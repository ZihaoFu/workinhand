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1445"/>
  </bookViews>
  <sheets>
    <sheet name="16040401" sheetId="2" r:id="rId1"/>
    <sheet name="13070201" sheetId="14" r:id="rId2"/>
    <sheet name="16030101" sheetId="15" r:id="rId3"/>
  </sheets>
  <externalReferences>
    <externalReference r:id="rId4"/>
  </externalReferences>
  <definedNames>
    <definedName name="_xlnm._FilterDatabase" localSheetId="0" hidden="1">'16040401'!$A$1:$AB$3320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64" i="2" l="1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<sst xmlns="http://schemas.openxmlformats.org/spreadsheetml/2006/main" count="458" uniqueCount="181">
  <si>
    <t>字段</t>
    <phoneticPr fontId="3" type="noConversion"/>
  </si>
  <si>
    <t>资产类型
Asset class</t>
    <phoneticPr fontId="3" type="noConversion"/>
  </si>
  <si>
    <t>公司代码
Company Code</t>
    <phoneticPr fontId="3" type="noConversion"/>
  </si>
  <si>
    <t>资产描述
Description</t>
    <phoneticPr fontId="3" type="noConversion"/>
  </si>
  <si>
    <t>主号文本
Asset Main No. Text</t>
    <phoneticPr fontId="3" type="noConversion"/>
  </si>
  <si>
    <t>序列号
Serial number</t>
    <phoneticPr fontId="3" type="noConversion"/>
  </si>
  <si>
    <t>库存编号
Inventory number</t>
    <phoneticPr fontId="3" type="noConversion"/>
  </si>
  <si>
    <t>资产资本化日期
Capitalized on</t>
    <phoneticPr fontId="3" type="noConversion"/>
  </si>
  <si>
    <t>成本中心
Cost center</t>
    <phoneticPr fontId="3" type="noConversion"/>
  </si>
  <si>
    <t>责任成本中心
Resp. Cost center</t>
    <phoneticPr fontId="3" type="noConversion"/>
  </si>
  <si>
    <t>位置Location</t>
    <phoneticPr fontId="3" type="noConversion"/>
  </si>
  <si>
    <t>WBS元素
WBS element</t>
    <phoneticPr fontId="3" type="noConversion"/>
  </si>
  <si>
    <t>折旧范围
Dep area</t>
    <phoneticPr fontId="3" type="noConversion"/>
  </si>
  <si>
    <t>折旧码
Dep key</t>
    <phoneticPr fontId="3" type="noConversion"/>
  </si>
  <si>
    <t>折旧开始时间
Dep from</t>
    <phoneticPr fontId="3" type="noConversion"/>
  </si>
  <si>
    <t>折旧结束期间
Dep to</t>
    <phoneticPr fontId="3" type="noConversion"/>
  </si>
  <si>
    <t>使用年限
Useful life</t>
    <phoneticPr fontId="3" type="noConversion"/>
  </si>
  <si>
    <t>使用期间
Period</t>
    <phoneticPr fontId="3" type="noConversion"/>
  </si>
  <si>
    <t>累计购置价值
Cumulative APC</t>
    <phoneticPr fontId="3" type="noConversion"/>
  </si>
  <si>
    <t>累计普通折旧
Accum Ordinary Depreciation</t>
    <phoneticPr fontId="3" type="noConversion"/>
  </si>
  <si>
    <t>本年已计提折旧
Posted Ordinary Dep for the Year</t>
    <phoneticPr fontId="3" type="noConversion"/>
  </si>
  <si>
    <t>工厂
Plant</t>
    <phoneticPr fontId="2" type="noConversion"/>
  </si>
  <si>
    <t>子资产编号</t>
    <phoneticPr fontId="2" type="noConversion"/>
  </si>
  <si>
    <t>l</t>
    <phoneticPr fontId="3" type="noConversion"/>
  </si>
  <si>
    <t>残值</t>
  </si>
  <si>
    <t>Local Branch</t>
  </si>
  <si>
    <t>CN11</t>
  </si>
  <si>
    <t>IPAD mini4 10台</t>
  </si>
  <si>
    <t>FSSC_2.2_05032016_54</t>
  </si>
  <si>
    <t>MOIA Control软件产品采购</t>
  </si>
  <si>
    <t>FSSC_2.2_10202016_93</t>
  </si>
  <si>
    <t>恒生投资交易管理系统软件</t>
  </si>
  <si>
    <t>FSSC_2.2_01132017_65</t>
  </si>
  <si>
    <t>AMC采购恒生投资系统软件</t>
  </si>
  <si>
    <t>FSSC_2.2_10272017_34</t>
  </si>
  <si>
    <t>HP一体机*5采购</t>
  </si>
  <si>
    <t>FSSC_2.2_12202017_143</t>
  </si>
  <si>
    <t>FSSC_2.2_03132018_48</t>
  </si>
  <si>
    <t>Y2017 PC replacement</t>
  </si>
  <si>
    <t>FSSC_2.2_02272018_14</t>
  </si>
  <si>
    <t>采购投影仪</t>
  </si>
  <si>
    <t>FSSC_2.2_03122018_28</t>
  </si>
  <si>
    <t>崇明SSC采购投影机</t>
  </si>
  <si>
    <t>FSSC_2.2_03122018_06</t>
  </si>
  <si>
    <t>照相机</t>
  </si>
  <si>
    <t>FSSC_2.2_02272018_36</t>
  </si>
  <si>
    <t>Purchase 27 HP N240 LCD</t>
  </si>
  <si>
    <t>FSSC_2.2_04022018_55</t>
  </si>
  <si>
    <t>订购1台9.7 英寸 iPad</t>
  </si>
  <si>
    <t>FSSC_2.2_04112018_62</t>
  </si>
  <si>
    <t>增购CM7 license</t>
  </si>
  <si>
    <t>FSSC_2.2_04192018_66</t>
  </si>
  <si>
    <t>八爪鱼电话</t>
  </si>
  <si>
    <t>FSSC_2.2_04192018_72</t>
  </si>
  <si>
    <t>张江会议室电话机采购</t>
  </si>
  <si>
    <t>FSSC_2.2_04192018_73</t>
  </si>
  <si>
    <t>iPad Pro, 配套便携式键盘</t>
  </si>
  <si>
    <t>FSSC_2.2_05082018_28</t>
  </si>
  <si>
    <t>AMC 备份软件采购</t>
  </si>
  <si>
    <t>FSSC_2.2_05112018_53</t>
  </si>
  <si>
    <t>7* HP840G3 laptops</t>
  </si>
  <si>
    <t>FSSC_2.2_11162017_07</t>
  </si>
  <si>
    <t>McAfee HIPS Licenses</t>
  </si>
  <si>
    <t>FSSC_2.2_12012017_50</t>
  </si>
  <si>
    <t>Purchase 1 Lenovo laptop</t>
  </si>
  <si>
    <t>FSSC_2.2_11012017_16</t>
  </si>
  <si>
    <t>Purchase 2 *HP 800 G3</t>
  </si>
  <si>
    <t>FSSC_2.2_11162017_06</t>
  </si>
  <si>
    <t>Purchase iPad&amp;iPad Mini</t>
  </si>
  <si>
    <t>FSSC_2.2_11072017_17</t>
  </si>
  <si>
    <t>network room facility UPS</t>
  </si>
  <si>
    <t>FSSC_2.2_12122017_92</t>
  </si>
  <si>
    <t>采购iPhone 8及iPhone 8p</t>
  </si>
  <si>
    <t>FSSC_2.2_09302017_26</t>
  </si>
  <si>
    <t>外滩移动电视机架采购货款</t>
  </si>
  <si>
    <t>FSSC_2.2_12062017_24</t>
  </si>
  <si>
    <t>4TB Additional Arcstore</t>
  </si>
  <si>
    <t>FSSC_2.4_02262018_02</t>
  </si>
  <si>
    <t>CN12</t>
  </si>
  <si>
    <t>博瑞营销服务部网络设备-进</t>
  </si>
  <si>
    <t>会议电话两部B189-进项</t>
  </si>
  <si>
    <t>显示器及IT笔记本</t>
  </si>
  <si>
    <t>营运部5位员工入职电脑</t>
  </si>
  <si>
    <t>CN14</t>
  </si>
  <si>
    <t>捷泰5F空间改造电视机采购</t>
  </si>
  <si>
    <t>捷泰7F空间改造电视机采购</t>
  </si>
  <si>
    <t>中山三乡网络设备</t>
  </si>
  <si>
    <t>一体式电脑1台VAT</t>
  </si>
  <si>
    <t>高净值IT部采购电脑VAT</t>
  </si>
  <si>
    <t>三乡古镇中山银保电脑VAT</t>
  </si>
  <si>
    <t>英德ssc采购电脑VAT</t>
  </si>
  <si>
    <t>佛山培训部采购电脑VAT</t>
  </si>
  <si>
    <t>CN15</t>
  </si>
  <si>
    <t>东莞IC项目笔记本采购VAT</t>
  </si>
  <si>
    <t>东莞台式电脑40台VAT</t>
  </si>
  <si>
    <t>CN17</t>
  </si>
  <si>
    <t>地王6楼上海培训室投影机</t>
  </si>
  <si>
    <t>2016 PC replacement采购</t>
  </si>
  <si>
    <t>PC replacement显示器采购</t>
  </si>
  <si>
    <t>交换机&amp;服务费</t>
  </si>
  <si>
    <t>坂田OSC扫描仪采购</t>
  </si>
  <si>
    <t>2017 PC replacement</t>
  </si>
  <si>
    <t>采购HP显示器117台</t>
  </si>
  <si>
    <t>采购惠普一体机</t>
  </si>
  <si>
    <t>地王6楼培训室投影机</t>
  </si>
  <si>
    <t>赢家启航ipad采购</t>
  </si>
  <si>
    <t>CN13</t>
  </si>
  <si>
    <t>江苏UPS采购</t>
  </si>
  <si>
    <t>Smart UPS RT3000</t>
  </si>
  <si>
    <t>赢家启航PAD采购</t>
  </si>
  <si>
    <t>采购CAD软件</t>
  </si>
  <si>
    <t>新增资产</t>
  </si>
  <si>
    <t>iPad进项税K180427024</t>
  </si>
  <si>
    <t>iPad进项税K180518010</t>
  </si>
  <si>
    <t>路由器&amp;交换机进项税K18042</t>
  </si>
  <si>
    <t>苏州营运中心采购iPad</t>
  </si>
  <si>
    <t>SML 9F</t>
  </si>
  <si>
    <t>SML16F</t>
  </si>
  <si>
    <t>奉贤SSC</t>
  </si>
  <si>
    <t>嘉定SSC</t>
  </si>
  <si>
    <t>南汇装修项目</t>
  </si>
  <si>
    <t>张江装修</t>
  </si>
  <si>
    <t>Mate 9 for KYH projectVAT</t>
  </si>
  <si>
    <t>2.0_ebudget_09212016_01</t>
  </si>
  <si>
    <t>2.0_ebudget_01152018_01</t>
  </si>
  <si>
    <t>2.0_ebudget_04032018_01</t>
  </si>
  <si>
    <t>2.0_ebudget_07032017_02</t>
  </si>
  <si>
    <t>2.0_ebudget_12222017_01</t>
  </si>
  <si>
    <t>2.0_ebudget_12272017_02</t>
  </si>
  <si>
    <t>2.1_ebudget_06062017_03</t>
  </si>
  <si>
    <t>2.1_ebudget_11142017_05</t>
  </si>
  <si>
    <t>3.0_ebudget_01252018_04</t>
  </si>
  <si>
    <t>3.0_ebudget_01252018_05</t>
  </si>
  <si>
    <t>3.0_ebudget_03162018_02</t>
  </si>
  <si>
    <t>3.0_ebudget_07112017_02</t>
  </si>
  <si>
    <t>3.0_ebudget_07262017_04</t>
  </si>
  <si>
    <t>3.0_ebudget_11212017_02</t>
  </si>
  <si>
    <t>3.0_ebudget_12152017_02</t>
  </si>
  <si>
    <t>2.0_ebudget_07032014_01</t>
  </si>
  <si>
    <t>2.0_ebudget_01092017_01</t>
  </si>
  <si>
    <t>2.0_ebudget_10252017_01</t>
  </si>
  <si>
    <t>3.0_ebudget_12122017_03</t>
  </si>
  <si>
    <t>3.0_ebudget_12132017_03</t>
  </si>
  <si>
    <t>地王10楼窗帘采购</t>
  </si>
  <si>
    <t>地王6楼影音改造首款进项</t>
  </si>
  <si>
    <t>地王10楼家具采购</t>
  </si>
  <si>
    <t>地王6楼影音改造完工结算款</t>
  </si>
  <si>
    <t>南山新SSC网络设备采购</t>
  </si>
  <si>
    <t>电信服务费(余款)</t>
  </si>
  <si>
    <t>FSSC_2.2_01042017_22</t>
  </si>
  <si>
    <t>南山SSC培训桌采购4张</t>
  </si>
  <si>
    <t>移机一次性费用</t>
  </si>
  <si>
    <t>3.0_ebudget_09252017_01</t>
  </si>
  <si>
    <t>2.0_ebudget_01232018_01</t>
  </si>
  <si>
    <t>2.0_ebudget_02052018_02</t>
  </si>
  <si>
    <t>2.0_ebudget_02172017_02</t>
  </si>
  <si>
    <t>2.0_ebudget_05102017_02</t>
  </si>
  <si>
    <t>2.0_ebudget_06082017_02</t>
  </si>
  <si>
    <t>2.0_ebudget_06142017_01</t>
  </si>
  <si>
    <t>2.0_ebudget_07252017_01</t>
  </si>
  <si>
    <t>2.0_ebudget_08042016_01</t>
  </si>
  <si>
    <t>2.0_ebudget_09012017_01</t>
  </si>
  <si>
    <t>2.0_ebudget_09062016_02</t>
  </si>
  <si>
    <t>2.0_ebudget_09192016_01</t>
  </si>
  <si>
    <t>2.0_ebudget_09192016_02</t>
  </si>
  <si>
    <t>2.0_ebudget_09192017_01</t>
  </si>
  <si>
    <t>2.0_ebudget_09222017_01</t>
  </si>
  <si>
    <t>2.0_ebudget_10302017_01</t>
  </si>
  <si>
    <t>2.0_ebudget_11152017_02</t>
  </si>
  <si>
    <t>2.0_ebudget_11212017_02</t>
  </si>
  <si>
    <t>2.0_ebudget_12052017_01</t>
  </si>
  <si>
    <t>2.0_ebudget_12052017_02</t>
  </si>
  <si>
    <t>2.1_ebudget_01022018_01</t>
  </si>
  <si>
    <t>2.1_ebudget_02172017_01</t>
  </si>
  <si>
    <t>2.1_ebudget_02222017_02</t>
  </si>
  <si>
    <t>2.1_ebudget_03152018_02</t>
  </si>
  <si>
    <t>2.1_ebudget_06052017_01</t>
  </si>
  <si>
    <t>2.1_ebudget_06272017_02</t>
  </si>
  <si>
    <t>2.1_ebudget_08302017_01</t>
  </si>
  <si>
    <t>2.1_ebudget_09252017_01</t>
  </si>
  <si>
    <t>2.1_ebudget_11202017_01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</si>
</sst>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8" fillId="0" borderId="0" applyNumberFormat="0" applyFill="0" applyBorder="0" applyAlignment="0" applyProtection="0"/>
    <xf numFmtId="0" fontId="7" fillId="0" borderId="0"/>
    <xf numFmtId="0" fontId="8" fillId="0" borderId="0">
      <alignment vertical="center"/>
    </xf>
  </cellStyleXfs>
  <cellXfs count="13">
    <xf numFmtId="0" fontId="0" fillId="0" borderId="0" xfId="0"/>
    <xf numFmtId="0" fontId="4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1" applyFont="1" applyFill="1">
      <alignment vertical="center"/>
    </xf>
    <xf numFmtId="2" fontId="4" fillId="0" borderId="0" xfId="1" applyNumberFormat="1" applyFont="1">
      <alignment vertical="center"/>
    </xf>
    <xf numFmtId="0" fontId="4" fillId="4" borderId="0" xfId="1" applyFont="1" applyFill="1">
      <alignment vertical="center"/>
    </xf>
    <xf numFmtId="0" fontId="4" fillId="5" borderId="0" xfId="1" applyFont="1" applyFill="1">
      <alignment vertical="center"/>
    </xf>
    <xf numFmtId="0" fontId="0" fillId="0" borderId="1" xfId="0" applyBorder="1"/>
    <xf numFmtId="0" fontId="1" fillId="5" borderId="0" xfId="2" applyFill="1">
      <alignment vertical="center"/>
    </xf>
    <xf numFmtId="0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7">
    <cellStyle name="Normal" xfId="0" builtinId="0"/>
    <cellStyle name="Normal 10 2 2 2" xfId="4"/>
    <cellStyle name="Normal 2" xfId="3"/>
    <cellStyle name="Normal 3" xfId="2"/>
    <cellStyle name="常规 2" xfId="1"/>
    <cellStyle name="常规 3" xfId="5"/>
    <cellStyle name="常规_Analysis Code_061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car821/Desktop/&#36164;&#20135;&#36716;sap/&#22312;&#368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040401"/>
      <sheetName val="13070201"/>
      <sheetName val="16030101"/>
      <sheetName val="mapping"/>
    </sheetNames>
    <sheetDataSet>
      <sheetData sheetId="0"/>
      <sheetData sheetId="1"/>
      <sheetData sheetId="2"/>
      <sheetData sheetId="3">
        <row r="1">
          <cell r="B1" t="str">
            <v>T9 Description</v>
          </cell>
          <cell r="C1" t="str">
            <v>Company Code</v>
          </cell>
          <cell r="D1" t="str">
            <v>Local Branch</v>
          </cell>
        </row>
        <row r="2">
          <cell r="B2" t="str">
            <v>上海分公司</v>
          </cell>
          <cell r="C2" t="str">
            <v>CN11</v>
          </cell>
          <cell r="D2">
            <v>11010000</v>
          </cell>
        </row>
        <row r="3">
          <cell r="B3" t="str">
            <v>上海投资帐</v>
          </cell>
          <cell r="C3" t="str">
            <v>CN11</v>
          </cell>
          <cell r="D3">
            <v>11000000</v>
          </cell>
        </row>
        <row r="4">
          <cell r="B4" t="str">
            <v>上海分公司H</v>
          </cell>
          <cell r="C4" t="str">
            <v>CN11</v>
          </cell>
          <cell r="D4">
            <v>11010000</v>
          </cell>
        </row>
        <row r="5">
          <cell r="B5" t="str">
            <v>上海投资帐H</v>
          </cell>
          <cell r="C5" t="str">
            <v>CN11</v>
          </cell>
          <cell r="D5">
            <v>11000000</v>
          </cell>
        </row>
        <row r="6">
          <cell r="B6" t="str">
            <v>上海分公司G</v>
          </cell>
          <cell r="C6" t="str">
            <v>CN11</v>
          </cell>
          <cell r="D6">
            <v>11010000</v>
          </cell>
        </row>
        <row r="7">
          <cell r="B7" t="str">
            <v>上海投资帐G</v>
          </cell>
          <cell r="C7" t="str">
            <v>CN11</v>
          </cell>
          <cell r="D7">
            <v>11000000</v>
          </cell>
        </row>
        <row r="8">
          <cell r="B8" t="str">
            <v>上海分公司</v>
          </cell>
          <cell r="C8" t="str">
            <v>CN11</v>
          </cell>
          <cell r="D8">
            <v>11010000</v>
          </cell>
        </row>
        <row r="9">
          <cell r="B9" t="str">
            <v>上海投资帐</v>
          </cell>
          <cell r="C9" t="str">
            <v>CN11</v>
          </cell>
          <cell r="D9">
            <v>11000000</v>
          </cell>
        </row>
        <row r="10">
          <cell r="B10" t="str">
            <v>北京分公司</v>
          </cell>
          <cell r="C10" t="str">
            <v>CN12</v>
          </cell>
          <cell r="D10">
            <v>12010000</v>
          </cell>
        </row>
        <row r="11">
          <cell r="B11" t="str">
            <v>北京投资</v>
          </cell>
          <cell r="C11" t="str">
            <v>CN12</v>
          </cell>
          <cell r="D11">
            <v>12000000</v>
          </cell>
        </row>
        <row r="12">
          <cell r="B12" t="str">
            <v>北京分公司H</v>
          </cell>
          <cell r="C12" t="str">
            <v>CN12</v>
          </cell>
          <cell r="D12">
            <v>12010000</v>
          </cell>
        </row>
        <row r="13">
          <cell r="B13" t="str">
            <v>北京投资帐H</v>
          </cell>
          <cell r="C13" t="str">
            <v>CN12</v>
          </cell>
          <cell r="D13">
            <v>12000000</v>
          </cell>
        </row>
        <row r="14">
          <cell r="B14" t="str">
            <v>北京分公司G</v>
          </cell>
          <cell r="C14" t="str">
            <v>CN12</v>
          </cell>
          <cell r="D14">
            <v>12010000</v>
          </cell>
        </row>
        <row r="15">
          <cell r="B15" t="str">
            <v>北京投资帐G</v>
          </cell>
          <cell r="C15" t="str">
            <v>CN12</v>
          </cell>
          <cell r="D15">
            <v>12000000</v>
          </cell>
        </row>
        <row r="16">
          <cell r="B16" t="str">
            <v>北京投资帐</v>
          </cell>
          <cell r="C16" t="str">
            <v>CN12</v>
          </cell>
          <cell r="D16">
            <v>12000000</v>
          </cell>
        </row>
        <row r="17">
          <cell r="B17" t="str">
            <v>江苏投资</v>
          </cell>
          <cell r="C17" t="str">
            <v>CN13</v>
          </cell>
          <cell r="D17">
            <v>13000000</v>
          </cell>
        </row>
        <row r="18">
          <cell r="B18" t="str">
            <v>江苏虚拟本级</v>
          </cell>
          <cell r="C18" t="str">
            <v>CN13</v>
          </cell>
          <cell r="D18">
            <v>13010000</v>
          </cell>
        </row>
        <row r="19">
          <cell r="B19" t="str">
            <v>南京</v>
          </cell>
          <cell r="C19" t="str">
            <v>CN13</v>
          </cell>
          <cell r="D19">
            <v>13020000</v>
          </cell>
        </row>
        <row r="20">
          <cell r="B20" t="str">
            <v>苏州</v>
          </cell>
          <cell r="C20" t="str">
            <v>CN13</v>
          </cell>
          <cell r="D20">
            <v>13030000</v>
          </cell>
        </row>
        <row r="21">
          <cell r="B21" t="str">
            <v>无锡</v>
          </cell>
          <cell r="C21" t="str">
            <v>CN13</v>
          </cell>
          <cell r="D21">
            <v>13040000</v>
          </cell>
        </row>
        <row r="22">
          <cell r="B22" t="str">
            <v>扬州</v>
          </cell>
          <cell r="C22" t="str">
            <v>CN13</v>
          </cell>
          <cell r="D22">
            <v>13050000</v>
          </cell>
        </row>
        <row r="23">
          <cell r="B23" t="str">
            <v>徐州</v>
          </cell>
          <cell r="C23" t="str">
            <v>CN13</v>
          </cell>
          <cell r="D23">
            <v>13060000</v>
          </cell>
        </row>
        <row r="24">
          <cell r="B24" t="str">
            <v>泰州</v>
          </cell>
          <cell r="C24" t="str">
            <v>CN13</v>
          </cell>
          <cell r="D24">
            <v>13070000</v>
          </cell>
        </row>
        <row r="25">
          <cell r="B25" t="str">
            <v>南通</v>
          </cell>
          <cell r="C25" t="str">
            <v>CN13</v>
          </cell>
          <cell r="D25">
            <v>13080000</v>
          </cell>
        </row>
        <row r="26">
          <cell r="B26" t="str">
            <v>常州</v>
          </cell>
          <cell r="C26" t="str">
            <v>CN13</v>
          </cell>
          <cell r="D26">
            <v>13090000</v>
          </cell>
        </row>
        <row r="27">
          <cell r="B27" t="str">
            <v>盐城</v>
          </cell>
          <cell r="C27" t="str">
            <v>CN13</v>
          </cell>
          <cell r="D27">
            <v>13100000</v>
          </cell>
        </row>
        <row r="28">
          <cell r="B28" t="str">
            <v>连云港</v>
          </cell>
          <cell r="C28" t="str">
            <v>CN13</v>
          </cell>
          <cell r="D28">
            <v>13110000</v>
          </cell>
        </row>
        <row r="29">
          <cell r="B29" t="str">
            <v>镇江</v>
          </cell>
          <cell r="C29" t="str">
            <v>CN13</v>
          </cell>
          <cell r="D29">
            <v>13120000</v>
          </cell>
        </row>
        <row r="30">
          <cell r="B30" t="str">
            <v>江苏投资帐H</v>
          </cell>
          <cell r="C30" t="str">
            <v>CN13</v>
          </cell>
          <cell r="D30">
            <v>13000000</v>
          </cell>
        </row>
        <row r="31">
          <cell r="B31" t="str">
            <v>江苏虚拟本级H</v>
          </cell>
          <cell r="C31" t="str">
            <v>CN13</v>
          </cell>
          <cell r="D31">
            <v>13010000</v>
          </cell>
        </row>
        <row r="32">
          <cell r="B32" t="str">
            <v>南京H</v>
          </cell>
          <cell r="C32" t="str">
            <v>CN13</v>
          </cell>
          <cell r="D32">
            <v>13020000</v>
          </cell>
        </row>
        <row r="33">
          <cell r="B33" t="str">
            <v>苏州H</v>
          </cell>
          <cell r="C33" t="str">
            <v>CN13</v>
          </cell>
          <cell r="D33">
            <v>13030000</v>
          </cell>
        </row>
        <row r="34">
          <cell r="B34" t="str">
            <v>无锡H</v>
          </cell>
          <cell r="C34" t="str">
            <v>CN13</v>
          </cell>
          <cell r="D34">
            <v>13040000</v>
          </cell>
        </row>
        <row r="35">
          <cell r="B35" t="str">
            <v>扬州H</v>
          </cell>
          <cell r="C35" t="str">
            <v>CN13</v>
          </cell>
          <cell r="D35">
            <v>13050000</v>
          </cell>
        </row>
        <row r="36">
          <cell r="B36" t="str">
            <v>徐州H</v>
          </cell>
          <cell r="C36" t="str">
            <v>CN13</v>
          </cell>
          <cell r="D36">
            <v>13060000</v>
          </cell>
        </row>
        <row r="37">
          <cell r="B37" t="str">
            <v>泰州H</v>
          </cell>
          <cell r="C37" t="str">
            <v>CN13</v>
          </cell>
          <cell r="D37">
            <v>13070000</v>
          </cell>
        </row>
        <row r="38">
          <cell r="B38" t="str">
            <v>南通H</v>
          </cell>
          <cell r="C38" t="str">
            <v>CN13</v>
          </cell>
          <cell r="D38">
            <v>13080000</v>
          </cell>
        </row>
        <row r="39">
          <cell r="B39" t="str">
            <v>常州H</v>
          </cell>
          <cell r="C39" t="str">
            <v>CN13</v>
          </cell>
          <cell r="D39">
            <v>13090000</v>
          </cell>
        </row>
        <row r="40">
          <cell r="B40" t="str">
            <v>江苏投资帐G</v>
          </cell>
          <cell r="C40" t="str">
            <v>CN13</v>
          </cell>
          <cell r="D40">
            <v>13000000</v>
          </cell>
        </row>
        <row r="41">
          <cell r="B41" t="str">
            <v>江苏虚拟本级G</v>
          </cell>
          <cell r="C41" t="str">
            <v>CN13</v>
          </cell>
          <cell r="D41">
            <v>13010000</v>
          </cell>
        </row>
        <row r="42">
          <cell r="B42" t="str">
            <v>南京G</v>
          </cell>
          <cell r="C42" t="str">
            <v>CN13</v>
          </cell>
          <cell r="D42">
            <v>13020000</v>
          </cell>
        </row>
        <row r="43">
          <cell r="B43" t="str">
            <v>苏州G</v>
          </cell>
          <cell r="C43" t="str">
            <v>CN13</v>
          </cell>
          <cell r="D43">
            <v>13030000</v>
          </cell>
        </row>
        <row r="44">
          <cell r="B44" t="str">
            <v>无锡G</v>
          </cell>
          <cell r="C44" t="str">
            <v>CN13</v>
          </cell>
          <cell r="D44">
            <v>13040000</v>
          </cell>
        </row>
        <row r="45">
          <cell r="B45" t="str">
            <v>扬州G</v>
          </cell>
          <cell r="C45" t="str">
            <v>CN13</v>
          </cell>
          <cell r="D45">
            <v>13050000</v>
          </cell>
        </row>
        <row r="46">
          <cell r="B46" t="str">
            <v>徐州G</v>
          </cell>
          <cell r="C46" t="str">
            <v>CN13</v>
          </cell>
          <cell r="D46">
            <v>13060000</v>
          </cell>
        </row>
        <row r="47">
          <cell r="B47" t="str">
            <v>泰州G</v>
          </cell>
          <cell r="C47" t="str">
            <v>CN13</v>
          </cell>
          <cell r="D47">
            <v>13070000</v>
          </cell>
        </row>
        <row r="48">
          <cell r="B48" t="str">
            <v>南通G</v>
          </cell>
          <cell r="C48" t="str">
            <v>CN13</v>
          </cell>
          <cell r="D48">
            <v>13080000</v>
          </cell>
        </row>
        <row r="49">
          <cell r="B49" t="str">
            <v>常州G</v>
          </cell>
          <cell r="C49" t="str">
            <v>CN13</v>
          </cell>
          <cell r="D49">
            <v>13090000</v>
          </cell>
        </row>
        <row r="50">
          <cell r="B50" t="str">
            <v>江苏投资帐</v>
          </cell>
          <cell r="C50" t="str">
            <v>CN13</v>
          </cell>
          <cell r="D50">
            <v>13000000</v>
          </cell>
        </row>
        <row r="51">
          <cell r="B51" t="str">
            <v>广州</v>
          </cell>
          <cell r="C51" t="str">
            <v>CN14</v>
          </cell>
          <cell r="D51">
            <v>14020000</v>
          </cell>
        </row>
        <row r="52">
          <cell r="B52" t="str">
            <v>广东投资</v>
          </cell>
          <cell r="C52" t="str">
            <v>CN14</v>
          </cell>
          <cell r="D52">
            <v>14000000</v>
          </cell>
        </row>
        <row r="53">
          <cell r="B53" t="str">
            <v>广东虚拟本级</v>
          </cell>
          <cell r="C53" t="str">
            <v>CN14</v>
          </cell>
          <cell r="D53">
            <v>14010000</v>
          </cell>
        </row>
        <row r="54">
          <cell r="B54" t="str">
            <v>佛山</v>
          </cell>
          <cell r="C54" t="str">
            <v>CN14</v>
          </cell>
          <cell r="D54">
            <v>14030000</v>
          </cell>
        </row>
        <row r="55">
          <cell r="B55" t="str">
            <v>清远</v>
          </cell>
          <cell r="C55" t="str">
            <v>CN14</v>
          </cell>
          <cell r="D55">
            <v>14040000</v>
          </cell>
        </row>
        <row r="56">
          <cell r="B56" t="str">
            <v>汕头</v>
          </cell>
          <cell r="C56" t="str">
            <v>CN14</v>
          </cell>
          <cell r="D56">
            <v>14050000</v>
          </cell>
        </row>
        <row r="57">
          <cell r="B57" t="str">
            <v>肇庆</v>
          </cell>
          <cell r="C57" t="str">
            <v>CN14</v>
          </cell>
          <cell r="D57">
            <v>14060000</v>
          </cell>
        </row>
        <row r="58">
          <cell r="B58" t="str">
            <v>湛江</v>
          </cell>
          <cell r="C58" t="str">
            <v>CN14</v>
          </cell>
          <cell r="D58">
            <v>14070000</v>
          </cell>
        </row>
        <row r="59">
          <cell r="B59" t="str">
            <v>茂名</v>
          </cell>
          <cell r="C59" t="str">
            <v>CN14</v>
          </cell>
          <cell r="D59">
            <v>14080000</v>
          </cell>
        </row>
        <row r="60">
          <cell r="B60" t="str">
            <v>中山</v>
          </cell>
          <cell r="C60" t="str">
            <v>CN14</v>
          </cell>
          <cell r="D60">
            <v>14090000</v>
          </cell>
        </row>
        <row r="61">
          <cell r="B61" t="str">
            <v>珠海</v>
          </cell>
          <cell r="C61" t="str">
            <v>CN14</v>
          </cell>
          <cell r="D61">
            <v>14100000</v>
          </cell>
        </row>
        <row r="62">
          <cell r="B62" t="str">
            <v>惠州</v>
          </cell>
          <cell r="C62" t="str">
            <v>CN14</v>
          </cell>
          <cell r="D62">
            <v>14110000</v>
          </cell>
        </row>
        <row r="63">
          <cell r="B63" t="str">
            <v>韶关</v>
          </cell>
          <cell r="C63" t="str">
            <v>CN14</v>
          </cell>
          <cell r="D63">
            <v>14120000</v>
          </cell>
        </row>
        <row r="64">
          <cell r="B64" t="str">
            <v>揭阳</v>
          </cell>
          <cell r="C64" t="str">
            <v>CN14</v>
          </cell>
          <cell r="D64">
            <v>14130000</v>
          </cell>
        </row>
        <row r="65">
          <cell r="B65" t="str">
            <v>广州分公司H</v>
          </cell>
          <cell r="C65" t="str">
            <v>CN14</v>
          </cell>
          <cell r="D65">
            <v>14020000</v>
          </cell>
        </row>
        <row r="66">
          <cell r="B66" t="str">
            <v>广东投资帐H</v>
          </cell>
          <cell r="C66" t="str">
            <v>CN14</v>
          </cell>
          <cell r="D66">
            <v>14000000</v>
          </cell>
        </row>
        <row r="67">
          <cell r="B67" t="str">
            <v>广东虚拟本级H</v>
          </cell>
          <cell r="C67" t="str">
            <v>CN14</v>
          </cell>
          <cell r="D67">
            <v>14010000</v>
          </cell>
        </row>
        <row r="68">
          <cell r="B68" t="str">
            <v>佛山分公司H</v>
          </cell>
          <cell r="C68" t="str">
            <v>CN14</v>
          </cell>
          <cell r="D68">
            <v>14030000</v>
          </cell>
        </row>
        <row r="69">
          <cell r="B69" t="str">
            <v>清远H</v>
          </cell>
          <cell r="C69" t="str">
            <v>CN14</v>
          </cell>
          <cell r="D69">
            <v>14040000</v>
          </cell>
        </row>
        <row r="70">
          <cell r="B70" t="str">
            <v>汕头H</v>
          </cell>
          <cell r="C70" t="str">
            <v>CN14</v>
          </cell>
          <cell r="D70">
            <v>14050000</v>
          </cell>
        </row>
        <row r="71">
          <cell r="B71" t="str">
            <v>肇庆H</v>
          </cell>
          <cell r="C71" t="str">
            <v>CN14</v>
          </cell>
          <cell r="D71">
            <v>14060000</v>
          </cell>
        </row>
        <row r="72">
          <cell r="B72" t="str">
            <v>湛江H</v>
          </cell>
          <cell r="C72" t="str">
            <v>CN14</v>
          </cell>
          <cell r="D72">
            <v>14070000</v>
          </cell>
        </row>
        <row r="73">
          <cell r="B73" t="str">
            <v>茂名H</v>
          </cell>
          <cell r="C73" t="str">
            <v>CN14</v>
          </cell>
          <cell r="D73">
            <v>14080000</v>
          </cell>
        </row>
        <row r="74">
          <cell r="B74" t="str">
            <v>中山H</v>
          </cell>
          <cell r="C74" t="str">
            <v>CN14</v>
          </cell>
          <cell r="D74">
            <v>14090000</v>
          </cell>
        </row>
        <row r="75">
          <cell r="B75" t="str">
            <v>珠海H</v>
          </cell>
          <cell r="C75" t="str">
            <v>CN14</v>
          </cell>
          <cell r="D75">
            <v>14100000</v>
          </cell>
        </row>
        <row r="76">
          <cell r="B76" t="str">
            <v>惠州H</v>
          </cell>
          <cell r="C76" t="str">
            <v>CN14</v>
          </cell>
          <cell r="D76">
            <v>14110000</v>
          </cell>
        </row>
        <row r="77">
          <cell r="B77" t="str">
            <v>广州分公司G</v>
          </cell>
          <cell r="C77" t="str">
            <v>CN14</v>
          </cell>
          <cell r="D77">
            <v>14020000</v>
          </cell>
        </row>
        <row r="78">
          <cell r="B78" t="str">
            <v>广东投资帐G</v>
          </cell>
          <cell r="C78" t="str">
            <v>CN14</v>
          </cell>
          <cell r="D78">
            <v>14000000</v>
          </cell>
        </row>
        <row r="79">
          <cell r="B79" t="str">
            <v>广东虚拟本级G</v>
          </cell>
          <cell r="C79" t="str">
            <v>CN14</v>
          </cell>
          <cell r="D79">
            <v>14010000</v>
          </cell>
        </row>
        <row r="80">
          <cell r="B80" t="str">
            <v>佛山分公司G</v>
          </cell>
          <cell r="C80" t="str">
            <v>CN14</v>
          </cell>
          <cell r="D80">
            <v>14030000</v>
          </cell>
        </row>
        <row r="81">
          <cell r="B81" t="str">
            <v>清远G</v>
          </cell>
          <cell r="C81" t="str">
            <v>CN14</v>
          </cell>
          <cell r="D81">
            <v>14040000</v>
          </cell>
        </row>
        <row r="82">
          <cell r="B82" t="str">
            <v>汕头G</v>
          </cell>
          <cell r="C82" t="str">
            <v>CN14</v>
          </cell>
          <cell r="D82">
            <v>14050000</v>
          </cell>
        </row>
        <row r="83">
          <cell r="B83" t="str">
            <v>肇庆G</v>
          </cell>
          <cell r="C83" t="str">
            <v>CN14</v>
          </cell>
          <cell r="D83">
            <v>14060000</v>
          </cell>
        </row>
        <row r="84">
          <cell r="B84" t="str">
            <v>湛江G</v>
          </cell>
          <cell r="C84" t="str">
            <v>CN14</v>
          </cell>
          <cell r="D84">
            <v>14070000</v>
          </cell>
        </row>
        <row r="85">
          <cell r="B85" t="str">
            <v>茂名G</v>
          </cell>
          <cell r="C85" t="str">
            <v>CN14</v>
          </cell>
          <cell r="D85">
            <v>14080000</v>
          </cell>
        </row>
        <row r="86">
          <cell r="B86" t="str">
            <v>中山G</v>
          </cell>
          <cell r="C86" t="str">
            <v>CN14</v>
          </cell>
          <cell r="D86">
            <v>14090000</v>
          </cell>
        </row>
        <row r="87">
          <cell r="B87" t="str">
            <v>珠海G</v>
          </cell>
          <cell r="C87" t="str">
            <v>CN14</v>
          </cell>
          <cell r="D87">
            <v>14100000</v>
          </cell>
        </row>
        <row r="88">
          <cell r="B88" t="str">
            <v>惠州G</v>
          </cell>
          <cell r="C88" t="str">
            <v>CN14</v>
          </cell>
          <cell r="D88">
            <v>14110000</v>
          </cell>
        </row>
        <row r="89">
          <cell r="B89" t="str">
            <v>广东投资帐</v>
          </cell>
          <cell r="C89" t="str">
            <v>CN14</v>
          </cell>
          <cell r="D89">
            <v>14000000</v>
          </cell>
        </row>
        <row r="90">
          <cell r="B90" t="str">
            <v>东莞</v>
          </cell>
          <cell r="C90" t="str">
            <v>CN15</v>
          </cell>
          <cell r="D90">
            <v>15010000</v>
          </cell>
        </row>
        <row r="91">
          <cell r="B91" t="str">
            <v>东莞支公司H</v>
          </cell>
          <cell r="C91" t="str">
            <v>CN15</v>
          </cell>
          <cell r="D91">
            <v>15010000</v>
          </cell>
        </row>
        <row r="92">
          <cell r="B92" t="str">
            <v>东莞支公司G</v>
          </cell>
          <cell r="C92" t="str">
            <v>CN15</v>
          </cell>
          <cell r="D92">
            <v>15010000</v>
          </cell>
        </row>
        <row r="93">
          <cell r="B93" t="str">
            <v>江门</v>
          </cell>
          <cell r="C93" t="str">
            <v>CN16</v>
          </cell>
          <cell r="D93">
            <v>16010000</v>
          </cell>
        </row>
        <row r="94">
          <cell r="B94" t="str">
            <v>江门支公司H</v>
          </cell>
          <cell r="C94" t="str">
            <v>CN16</v>
          </cell>
          <cell r="D94">
            <v>16010000</v>
          </cell>
        </row>
        <row r="95">
          <cell r="B95" t="str">
            <v>江门支公司G</v>
          </cell>
          <cell r="C95" t="str">
            <v>CN16</v>
          </cell>
          <cell r="D95">
            <v>16010000</v>
          </cell>
        </row>
        <row r="96">
          <cell r="B96" t="str">
            <v>深圳</v>
          </cell>
          <cell r="C96" t="str">
            <v>CN17</v>
          </cell>
          <cell r="D96">
            <v>17010000</v>
          </cell>
        </row>
        <row r="97">
          <cell r="B97" t="str">
            <v>深圳分公司H</v>
          </cell>
          <cell r="C97" t="str">
            <v>CN17</v>
          </cell>
          <cell r="D97">
            <v>17010000</v>
          </cell>
        </row>
        <row r="98">
          <cell r="B98" t="str">
            <v>深圳分公司G</v>
          </cell>
          <cell r="C98" t="str">
            <v>CN17</v>
          </cell>
          <cell r="D98">
            <v>17010000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57"/>
  <sheetViews>
    <sheetView tabSelected="1" zoomScaleNormal="100" workbookViewId="0">
      <selection activeCell="J30" sqref="J30"/>
    </sheetView>
  </sheetViews>
  <sheetFormatPr defaultRowHeight="16.5"/>
  <cols>
    <col min="1" max="1" width="9.25" style="1" bestFit="1" customWidth="1"/>
    <col min="2" max="3" width="17.875" style="1" customWidth="1"/>
    <col min="4" max="4" width="18.875" style="1" customWidth="1"/>
    <col min="5" max="5" width="34.625" style="1" bestFit="1" customWidth="1"/>
    <col min="6" max="6" width="15.25" style="1" bestFit="1" customWidth="1"/>
    <col min="7" max="7" width="17.125" style="1" customWidth="1"/>
    <col min="8" max="9" width="15" style="1" customWidth="1"/>
    <col min="10" max="10" width="16.5" style="1" customWidth="1"/>
    <col min="11" max="11" width="20.625" style="1" customWidth="1"/>
    <col min="12" max="13" width="15.875" style="1" customWidth="1"/>
    <col min="14" max="15" width="10.75" style="1" customWidth="1"/>
    <col min="16" max="16" width="12.375" style="1" customWidth="1"/>
    <col min="17" max="17" width="15.125" style="1" customWidth="1"/>
    <col min="18" max="18" width="13.125" style="1" customWidth="1"/>
    <col min="19" max="19" width="16.625" style="1" bestFit="1" customWidth="1"/>
    <col min="20" max="20" width="16.625" style="1" customWidth="1"/>
    <col min="21" max="21" width="16.5" style="1" customWidth="1"/>
    <col min="22" max="22" width="14.875" style="1" customWidth="1"/>
    <col min="23" max="23" width="15.125" style="1" customWidth="1"/>
    <col min="24" max="24" width="19.375" style="1" customWidth="1"/>
    <col min="25" max="27" width="19.75" style="1" customWidth="1"/>
    <col min="28" max="28" width="15.375" style="1" customWidth="1"/>
    <col min="29" max="29" width="19.375" style="1" bestFit="1" customWidth="1"/>
    <col min="30" max="30" width="17.75" style="1" customWidth="1"/>
    <col min="31" max="16384" width="9" style="1"/>
  </cols>
  <sheetData>
    <row r="1" spans="1:28" ht="57" customHeight="1">
      <c r="A1" s="2" t="s">
        <v>0</v>
      </c>
      <c r="B1" s="2" t="s">
        <v>1</v>
      </c>
      <c r="C1" s="2" t="s">
        <v>22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23</v>
      </c>
      <c r="K1" s="2" t="s">
        <v>7</v>
      </c>
      <c r="L1" s="2" t="s">
        <v>8</v>
      </c>
      <c r="M1" s="2" t="s">
        <v>9</v>
      </c>
      <c r="N1" s="2" t="s">
        <v>21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24</v>
      </c>
      <c r="AA1" s="3" t="s">
        <v>25</v>
      </c>
      <c r="AB1" s="3"/>
    </row>
    <row r="2" spans="1:28">
      <c r="B2" s="11">
        <f>+VLOOKUP(#REF!,[1]mapping!B:D,3,0)</f>
        <v>72001</v>
      </c>
      <c r="D2" s="4" t="str">
        <f>+VLOOKUP(#REF!,[1]mapping!#REF!,3,0)</f>
        <v>CN11</v>
      </c>
      <c r="E2" s="4" t="str">
        <f>#REF!</f>
        <v>1E0</v>
      </c>
      <c r="M2" s="9"/>
      <c r="W2" s="12">
        <f>P2</f>
        <v>-251811.40999999968</v>
      </c>
      <c r="AA2" s="11">
        <f>+VLOOKUP('[1]16040401'!T2,[1]mapping!O:R,4,0)</f>
        <v>11010000</v>
      </c>
    </row>
    <row r="3" spans="1:28">
      <c r="B3" s="11">
        <f>+VLOOKUP(#REF!,[1]mapping!B:D,3,0)</f>
        <v>72001</v>
      </c>
      <c r="D3" s="4" t="str">
        <f>+VLOOKUP(#REF!,[1]mapping!#REF!,3,0)</f>
        <v>CN11</v>
      </c>
      <c r="E3" s="4" t="str">
        <f t="shared" ref="E3" si="0">#REF!</f>
        <v>1J0</v>
      </c>
      <c r="M3" s="9"/>
      <c r="W3" s="12">
        <f t="shared" ref="W3:W64" si="1">P3</f>
        <v>10989992.620000001</v>
      </c>
      <c r="AA3" s="11">
        <f>+VLOOKUP('[1]16040401'!T3,[1]mapping!O:R,4,0)</f>
        <v>11010000</v>
      </c>
    </row>
    <row r="4" spans="1:28">
      <c r="B4" s="11">
        <f>+VLOOKUP(#REF!,[1]mapping!B:D,3,0)</f>
        <v>72001</v>
      </c>
      <c r="D4" s="4" t="str">
        <f>+VLOOKUP(#REF!,[1]mapping!#REF!,3,0)</f>
        <v>CN11</v>
      </c>
      <c r="E4" s="4" t="str">
        <f t="shared" ref="E4" si="2">#REF!</f>
        <v>1K0</v>
      </c>
      <c r="M4" s="9"/>
      <c r="W4" s="12">
        <f t="shared" si="1"/>
        <v>3414725.7</v>
      </c>
      <c r="AA4" s="11">
        <f>+VLOOKUP('[1]16040401'!T4,[1]mapping!O:R,4,0)</f>
        <v>11010000</v>
      </c>
    </row>
    <row r="5" spans="1:28">
      <c r="B5" s="11">
        <f>+VLOOKUP(#REF!,[1]mapping!B:D,3,0)</f>
        <v>72001</v>
      </c>
      <c r="D5" s="4" t="str">
        <f>+VLOOKUP(#REF!,[1]mapping!#REF!,3,0)</f>
        <v>CN11</v>
      </c>
      <c r="E5" s="4" t="str">
        <f t="shared" ref="E5" si="3">#REF!</f>
        <v>1L0</v>
      </c>
      <c r="M5" s="9"/>
      <c r="W5" s="12">
        <f t="shared" si="1"/>
        <v>4856018.5799999991</v>
      </c>
      <c r="AA5" s="11">
        <f>+VLOOKUP('[1]16040401'!T5,[1]mapping!O:R,4,0)</f>
        <v>11010000</v>
      </c>
    </row>
    <row r="6" spans="1:28">
      <c r="B6" s="11">
        <f>+VLOOKUP(#REF!,[1]mapping!B:D,3,0)</f>
        <v>72001</v>
      </c>
      <c r="D6" s="4" t="str">
        <f>+VLOOKUP(#REF!,[1]mapping!#REF!,3,0)</f>
        <v>CN11</v>
      </c>
      <c r="E6" s="4" t="str">
        <f t="shared" ref="E6" si="4">#REF!</f>
        <v>540</v>
      </c>
      <c r="M6" s="9"/>
      <c r="W6" s="12">
        <f t="shared" si="1"/>
        <v>-9400.0000000004657</v>
      </c>
      <c r="AA6" s="11">
        <f>+VLOOKUP('[1]16040401'!T6,[1]mapping!O:R,4,0)</f>
        <v>11010000</v>
      </c>
    </row>
    <row r="7" spans="1:28">
      <c r="B7" s="11">
        <f>+VLOOKUP(#REF!,[1]mapping!B:D,3,0)</f>
        <v>72001</v>
      </c>
      <c r="D7" s="4" t="str">
        <f>+VLOOKUP(#REF!,[1]mapping!#REF!,3,0)</f>
        <v>CN11</v>
      </c>
      <c r="E7" s="4" t="str">
        <f t="shared" ref="E7" si="5">#REF!</f>
        <v>5F0</v>
      </c>
      <c r="M7" s="9"/>
      <c r="W7" s="12">
        <f t="shared" si="1"/>
        <v>1414150.9</v>
      </c>
      <c r="AA7" s="11">
        <f>+VLOOKUP('[1]16040401'!T7,[1]mapping!O:R,4,0)</f>
        <v>11010000</v>
      </c>
    </row>
    <row r="8" spans="1:28">
      <c r="B8" s="11">
        <f>+VLOOKUP(#REF!,[1]mapping!B:D,3,0)</f>
        <v>72001</v>
      </c>
      <c r="D8" s="4" t="str">
        <f>+VLOOKUP(#REF!,[1]mapping!#REF!,3,0)</f>
        <v>CN11</v>
      </c>
      <c r="E8" s="4" t="str">
        <f t="shared" ref="E8" si="6">#REF!</f>
        <v>5H0</v>
      </c>
      <c r="M8" s="9"/>
      <c r="W8" s="12">
        <f t="shared" si="1"/>
        <v>1631000</v>
      </c>
      <c r="AA8" s="11">
        <f>+VLOOKUP('[1]16040401'!T8,[1]mapping!O:R,4,0)</f>
        <v>11010000</v>
      </c>
    </row>
    <row r="9" spans="1:28">
      <c r="B9" s="11">
        <f>+VLOOKUP(#REF!,[1]mapping!B:D,3,0)</f>
        <v>72001</v>
      </c>
      <c r="D9" s="4" t="str">
        <f>+VLOOKUP(#REF!,[1]mapping!#REF!,3,0)</f>
        <v>CN11</v>
      </c>
      <c r="E9" s="4" t="str">
        <f t="shared" ref="E9" si="7">#REF!</f>
        <v>5K0</v>
      </c>
      <c r="M9" s="9"/>
      <c r="W9" s="12">
        <f t="shared" si="1"/>
        <v>1462869.74</v>
      </c>
      <c r="AA9" s="11">
        <f>+VLOOKUP('[1]16040401'!T9,[1]mapping!O:R,4,0)</f>
        <v>11010000</v>
      </c>
    </row>
    <row r="10" spans="1:28">
      <c r="B10" s="11">
        <f>+VLOOKUP(#REF!,[1]mapping!B:D,3,0)</f>
        <v>72001</v>
      </c>
      <c r="D10" s="4" t="str">
        <f>+VLOOKUP(#REF!,[1]mapping!#REF!,3,0)</f>
        <v>CN11</v>
      </c>
      <c r="E10" s="4" t="str">
        <f t="shared" ref="E10" si="8">#REF!</f>
        <v>5L0</v>
      </c>
      <c r="M10" s="9"/>
      <c r="W10" s="12">
        <f t="shared" si="1"/>
        <v>1390508</v>
      </c>
      <c r="AA10" s="11">
        <f>+VLOOKUP('[1]16040401'!T10,[1]mapping!O:R,4,0)</f>
        <v>11010000</v>
      </c>
    </row>
    <row r="11" spans="1:28">
      <c r="B11" s="11">
        <f>+VLOOKUP(#REF!,[1]mapping!B:D,3,0)</f>
        <v>72001</v>
      </c>
      <c r="D11" s="4" t="str">
        <f>+VLOOKUP(#REF!,[1]mapping!#REF!,3,0)</f>
        <v>CN11</v>
      </c>
      <c r="E11" s="4" t="str">
        <f t="shared" ref="E11" si="9">#REF!</f>
        <v>5M0</v>
      </c>
      <c r="M11" s="9"/>
      <c r="W11" s="12">
        <f t="shared" si="1"/>
        <v>10645463.920000002</v>
      </c>
      <c r="AA11" s="11">
        <f>+VLOOKUP('[1]16040401'!T11,[1]mapping!O:R,4,0)</f>
        <v>11010000</v>
      </c>
    </row>
    <row r="12" spans="1:28">
      <c r="B12" s="11">
        <f>+VLOOKUP(#REF!,[1]mapping!B:D,3,0)</f>
        <v>72001</v>
      </c>
      <c r="D12" s="4" t="str">
        <f>+VLOOKUP(#REF!,[1]mapping!#REF!,3,0)</f>
        <v>CN11</v>
      </c>
      <c r="E12" s="4" t="str">
        <f t="shared" ref="E12" si="10">#REF!</f>
        <v>650</v>
      </c>
      <c r="M12" s="9"/>
      <c r="W12" s="12">
        <f t="shared" si="1"/>
        <v>-428399.99999999977</v>
      </c>
      <c r="AA12" s="11">
        <f>+VLOOKUP('[1]16040401'!T12,[1]mapping!O:R,4,0)</f>
        <v>11010000</v>
      </c>
    </row>
    <row r="13" spans="1:28">
      <c r="B13" s="11">
        <f>+VLOOKUP(#REF!,[1]mapping!B:D,3,0)</f>
        <v>72001</v>
      </c>
      <c r="D13" s="4" t="str">
        <f>+VLOOKUP(#REF!,[1]mapping!#REF!,3,0)</f>
        <v>CN11</v>
      </c>
      <c r="E13" s="4" t="str">
        <f t="shared" ref="E13" si="11">#REF!</f>
        <v>680</v>
      </c>
      <c r="M13" s="9"/>
      <c r="W13" s="12">
        <f t="shared" si="1"/>
        <v>2922994.37</v>
      </c>
      <c r="AA13" s="11">
        <f>+VLOOKUP('[1]16040401'!T13,[1]mapping!O:R,4,0)</f>
        <v>11010000</v>
      </c>
    </row>
    <row r="14" spans="1:28">
      <c r="B14" s="11">
        <f>+VLOOKUP(#REF!,[1]mapping!B:D,3,0)</f>
        <v>72001</v>
      </c>
      <c r="D14" s="4" t="str">
        <f>+VLOOKUP(#REF!,[1]mapping!#REF!,3,0)</f>
        <v>CN11</v>
      </c>
      <c r="E14" s="4" t="str">
        <f t="shared" ref="E14" si="12">#REF!</f>
        <v>6B0</v>
      </c>
      <c r="M14" s="9"/>
      <c r="W14" s="12">
        <f t="shared" si="1"/>
        <v>152400</v>
      </c>
      <c r="AA14" s="11">
        <f>+VLOOKUP('[1]16040401'!T14,[1]mapping!O:R,4,0)</f>
        <v>11010000</v>
      </c>
    </row>
    <row r="15" spans="1:28">
      <c r="B15" s="11">
        <f>+VLOOKUP(#REF!,[1]mapping!B:D,3,0)</f>
        <v>72001</v>
      </c>
      <c r="D15" s="4" t="str">
        <f>+VLOOKUP(#REF!,[1]mapping!#REF!,3,0)</f>
        <v>CN11</v>
      </c>
      <c r="E15" s="4" t="str">
        <f t="shared" ref="E15" si="13">#REF!</f>
        <v>6D0</v>
      </c>
      <c r="M15" s="9"/>
      <c r="W15" s="12">
        <f t="shared" si="1"/>
        <v>-12786.11</v>
      </c>
      <c r="AA15" s="11">
        <f>+VLOOKUP('[1]16040401'!T15,[1]mapping!O:R,4,0)</f>
        <v>11010000</v>
      </c>
    </row>
    <row r="16" spans="1:28">
      <c r="B16" s="11">
        <f>+VLOOKUP(#REF!,[1]mapping!B:D,3,0)</f>
        <v>72001</v>
      </c>
      <c r="D16" s="4" t="str">
        <f>+VLOOKUP(#REF!,[1]mapping!#REF!,3,0)</f>
        <v>CN11</v>
      </c>
      <c r="E16" s="4" t="str">
        <f t="shared" ref="E16" si="14">#REF!</f>
        <v>6F0</v>
      </c>
      <c r="M16" s="9"/>
      <c r="W16" s="12">
        <f t="shared" si="1"/>
        <v>-27772.299999999814</v>
      </c>
      <c r="AA16" s="11">
        <f>+VLOOKUP('[1]16040401'!T16,[1]mapping!O:R,4,0)</f>
        <v>11010000</v>
      </c>
    </row>
    <row r="17" spans="2:27">
      <c r="B17" s="11">
        <f>+VLOOKUP(#REF!,[1]mapping!B:D,3,0)</f>
        <v>72001</v>
      </c>
      <c r="D17" s="4" t="str">
        <f>+VLOOKUP(#REF!,[1]mapping!#REF!,3,0)</f>
        <v>CN11</v>
      </c>
      <c r="E17" s="4" t="str">
        <f t="shared" ref="E17" si="15">#REF!</f>
        <v>6H0</v>
      </c>
      <c r="M17" s="9"/>
      <c r="W17" s="12">
        <f t="shared" si="1"/>
        <v>2541186.89</v>
      </c>
      <c r="AA17" s="11">
        <f>+VLOOKUP('[1]16040401'!T17,[1]mapping!O:R,4,0)</f>
        <v>11010000</v>
      </c>
    </row>
    <row r="18" spans="2:27">
      <c r="B18" s="11">
        <f>+VLOOKUP(#REF!,[1]mapping!B:D,3,0)</f>
        <v>72001</v>
      </c>
      <c r="D18" s="4" t="str">
        <f>+VLOOKUP(#REF!,[1]mapping!#REF!,3,0)</f>
        <v>CN11</v>
      </c>
      <c r="E18" s="4" t="str">
        <f t="shared" ref="E18" si="16">#REF!</f>
        <v>6J0</v>
      </c>
      <c r="M18" s="9"/>
      <c r="W18" s="12">
        <f t="shared" si="1"/>
        <v>597365.61</v>
      </c>
      <c r="AA18" s="11">
        <f>+VLOOKUP('[1]16040401'!T18,[1]mapping!O:R,4,0)</f>
        <v>11010000</v>
      </c>
    </row>
    <row r="19" spans="2:27">
      <c r="B19" s="11">
        <f>+VLOOKUP(#REF!,[1]mapping!B:D,3,0)</f>
        <v>72001</v>
      </c>
      <c r="D19" s="4" t="str">
        <f>+VLOOKUP(#REF!,[1]mapping!#REF!,3,0)</f>
        <v>CN11</v>
      </c>
      <c r="E19" s="4" t="str">
        <f t="shared" ref="E19" si="17">#REF!</f>
        <v>6N0</v>
      </c>
      <c r="M19" s="9"/>
      <c r="W19" s="12">
        <f t="shared" si="1"/>
        <v>-76282.040000000226</v>
      </c>
      <c r="AA19" s="11">
        <f>+VLOOKUP('[1]16040401'!T19,[1]mapping!O:R,4,0)</f>
        <v>11010000</v>
      </c>
    </row>
    <row r="20" spans="2:27">
      <c r="B20" s="11">
        <f>+VLOOKUP(#REF!,[1]mapping!B:D,3,0)</f>
        <v>72001</v>
      </c>
      <c r="D20" s="4" t="str">
        <f>+VLOOKUP(#REF!,[1]mapping!#REF!,3,0)</f>
        <v>CN11</v>
      </c>
      <c r="E20" s="4" t="str">
        <f t="shared" ref="E20" si="18">#REF!</f>
        <v>6P0</v>
      </c>
      <c r="M20" s="9"/>
      <c r="W20" s="12">
        <f t="shared" si="1"/>
        <v>66213.459999999992</v>
      </c>
      <c r="AA20" s="11">
        <f>+VLOOKUP('[1]16040401'!T20,[1]mapping!O:R,4,0)</f>
        <v>11010000</v>
      </c>
    </row>
    <row r="21" spans="2:27">
      <c r="B21" s="11">
        <f>+VLOOKUP(#REF!,[1]mapping!B:D,3,0)</f>
        <v>72001</v>
      </c>
      <c r="D21" s="4" t="str">
        <f>+VLOOKUP(#REF!,[1]mapping!#REF!,3,0)</f>
        <v>CN11</v>
      </c>
      <c r="E21" s="4" t="str">
        <f t="shared" ref="E21" si="19">#REF!</f>
        <v>6Q0</v>
      </c>
      <c r="M21" s="9"/>
      <c r="W21" s="12">
        <f t="shared" si="1"/>
        <v>4040615.03</v>
      </c>
      <c r="AA21" s="11">
        <f>+VLOOKUP('[1]16040401'!T21,[1]mapping!O:R,4,0)</f>
        <v>11010000</v>
      </c>
    </row>
    <row r="22" spans="2:27">
      <c r="B22" s="11">
        <f>+VLOOKUP(#REF!,[1]mapping!B:D,3,0)</f>
        <v>72001</v>
      </c>
      <c r="D22" s="4" t="str">
        <f>+VLOOKUP(#REF!,[1]mapping!#REF!,3,0)</f>
        <v>CN11</v>
      </c>
      <c r="E22" s="4" t="str">
        <f t="shared" ref="E22" si="20">#REF!</f>
        <v>6R0</v>
      </c>
      <c r="M22" s="9"/>
      <c r="W22" s="12">
        <f t="shared" si="1"/>
        <v>1514127.92</v>
      </c>
      <c r="AA22" s="11">
        <f>+VLOOKUP('[1]16040401'!T22,[1]mapping!O:R,4,0)</f>
        <v>11010000</v>
      </c>
    </row>
    <row r="23" spans="2:27">
      <c r="B23" s="11">
        <f>+VLOOKUP(#REF!,[1]mapping!B:D,3,0)</f>
        <v>72001</v>
      </c>
      <c r="D23" s="4" t="str">
        <f>+VLOOKUP(#REF!,[1]mapping!#REF!,3,0)</f>
        <v>CN11</v>
      </c>
      <c r="E23" s="4" t="str">
        <f t="shared" ref="E23" si="21">#REF!</f>
        <v>6S0</v>
      </c>
      <c r="M23" s="9"/>
      <c r="W23" s="12">
        <f t="shared" si="1"/>
        <v>3187677.2600000002</v>
      </c>
      <c r="AA23" s="11">
        <f>+VLOOKUP('[1]16040401'!T23,[1]mapping!O:R,4,0)</f>
        <v>11010000</v>
      </c>
    </row>
    <row r="24" spans="2:27">
      <c r="B24" s="11">
        <f>+VLOOKUP(#REF!,[1]mapping!B:D,3,0)</f>
        <v>72001</v>
      </c>
      <c r="D24" s="4" t="str">
        <f>+VLOOKUP(#REF!,[1]mapping!#REF!,3,0)</f>
        <v>CN11</v>
      </c>
      <c r="E24" s="4" t="str">
        <f t="shared" ref="E24" si="22">#REF!</f>
        <v>6T0</v>
      </c>
      <c r="M24" s="9"/>
      <c r="W24" s="12">
        <f t="shared" si="1"/>
        <v>1018867.9</v>
      </c>
      <c r="AA24" s="11">
        <f>+VLOOKUP('[1]16040401'!T24,[1]mapping!O:R,4,0)</f>
        <v>11010000</v>
      </c>
    </row>
    <row r="25" spans="2:27">
      <c r="B25" s="11">
        <f>+VLOOKUP(#REF!,[1]mapping!B:D,3,0)</f>
        <v>72001</v>
      </c>
      <c r="D25" s="4" t="str">
        <f>+VLOOKUP(#REF!,[1]mapping!#REF!,3,0)</f>
        <v>CN11</v>
      </c>
      <c r="E25" s="4" t="str">
        <f t="shared" ref="E25" si="23">#REF!</f>
        <v>6U0</v>
      </c>
      <c r="M25" s="9"/>
      <c r="W25" s="12">
        <f t="shared" si="1"/>
        <v>1608857.75</v>
      </c>
      <c r="AA25" s="11">
        <f>+VLOOKUP('[1]16040401'!T25,[1]mapping!O:R,4,0)</f>
        <v>11010000</v>
      </c>
    </row>
    <row r="26" spans="2:27">
      <c r="B26" s="11">
        <f>+VLOOKUP(#REF!,[1]mapping!B:D,3,0)</f>
        <v>72001</v>
      </c>
      <c r="D26" s="4" t="str">
        <f>+VLOOKUP(#REF!,[1]mapping!#REF!,3,0)</f>
        <v>CN11</v>
      </c>
      <c r="E26" s="4" t="str">
        <f t="shared" ref="E26" si="24">#REF!</f>
        <v>6V0</v>
      </c>
      <c r="M26" s="9"/>
      <c r="W26" s="12">
        <f t="shared" si="1"/>
        <v>2529296.1300000004</v>
      </c>
      <c r="AA26" s="11">
        <f>+VLOOKUP('[1]16040401'!T26,[1]mapping!O:R,4,0)</f>
        <v>11010000</v>
      </c>
    </row>
    <row r="27" spans="2:27">
      <c r="B27" s="11">
        <f>+VLOOKUP(#REF!,[1]mapping!B:D,3,0)</f>
        <v>72001</v>
      </c>
      <c r="D27" s="4" t="str">
        <f>+VLOOKUP(#REF!,[1]mapping!#REF!,3,0)</f>
        <v>CN11</v>
      </c>
      <c r="E27" s="4" t="str">
        <f t="shared" ref="E27" si="25">#REF!</f>
        <v>6W0</v>
      </c>
      <c r="M27" s="9"/>
      <c r="W27" s="12">
        <f t="shared" si="1"/>
        <v>1090637.2</v>
      </c>
      <c r="AA27" s="11">
        <f>+VLOOKUP('[1]16040401'!T27,[1]mapping!O:R,4,0)</f>
        <v>11010000</v>
      </c>
    </row>
    <row r="28" spans="2:27">
      <c r="B28" s="11">
        <f>+VLOOKUP(#REF!,[1]mapping!B:D,3,0)</f>
        <v>72001</v>
      </c>
      <c r="D28" s="4" t="str">
        <f>+VLOOKUP(#REF!,[1]mapping!#REF!,3,0)</f>
        <v>CN11</v>
      </c>
      <c r="E28" s="4" t="str">
        <f t="shared" ref="E28" si="26">#REF!</f>
        <v>6X0</v>
      </c>
      <c r="M28" s="9"/>
      <c r="W28" s="12">
        <f t="shared" si="1"/>
        <v>1626202.3599999999</v>
      </c>
      <c r="AA28" s="11">
        <f>+VLOOKUP('[1]16040401'!T28,[1]mapping!O:R,4,0)</f>
        <v>11010000</v>
      </c>
    </row>
    <row r="29" spans="2:27">
      <c r="B29" s="11">
        <f>+VLOOKUP(#REF!,[1]mapping!B:D,3,0)</f>
        <v>72001</v>
      </c>
      <c r="D29" s="4" t="str">
        <f>+VLOOKUP(#REF!,[1]mapping!#REF!,3,0)</f>
        <v>CN11</v>
      </c>
      <c r="E29" s="4" t="str">
        <f t="shared" ref="E29" si="27">#REF!</f>
        <v>6Y0</v>
      </c>
      <c r="M29" s="9"/>
      <c r="W29" s="12">
        <f t="shared" si="1"/>
        <v>738621.07</v>
      </c>
      <c r="AA29" s="11">
        <f>+VLOOKUP('[1]16040401'!T29,[1]mapping!O:R,4,0)</f>
        <v>11010000</v>
      </c>
    </row>
    <row r="30" spans="2:27">
      <c r="B30" s="11">
        <f>+VLOOKUP(#REF!,[1]mapping!B:D,3,0)</f>
        <v>72001</v>
      </c>
      <c r="D30" s="4" t="str">
        <f>+VLOOKUP(#REF!,[1]mapping!#REF!,3,0)</f>
        <v>CN11</v>
      </c>
      <c r="E30" s="4" t="str">
        <f t="shared" ref="E30" si="28">#REF!</f>
        <v>6Z0</v>
      </c>
      <c r="M30" s="9"/>
      <c r="W30" s="12">
        <f t="shared" si="1"/>
        <v>417981.13</v>
      </c>
      <c r="AA30" s="11">
        <f>+VLOOKUP('[1]16040401'!T30,[1]mapping!O:R,4,0)</f>
        <v>11010000</v>
      </c>
    </row>
    <row r="31" spans="2:27">
      <c r="B31" s="11">
        <f>+VLOOKUP(#REF!,[1]mapping!B:D,3,0)</f>
        <v>72001</v>
      </c>
      <c r="D31" s="4" t="str">
        <f>+VLOOKUP(#REF!,[1]mapping!#REF!,3,0)</f>
        <v>CN11</v>
      </c>
      <c r="E31" s="4" t="str">
        <f t="shared" ref="E31" si="29">#REF!</f>
        <v>790</v>
      </c>
      <c r="M31" s="9"/>
      <c r="W31" s="12">
        <f t="shared" si="1"/>
        <v>1613310.7100000002</v>
      </c>
      <c r="AA31" s="11">
        <f>+VLOOKUP('[1]16040401'!T31,[1]mapping!O:R,4,0)</f>
        <v>11010000</v>
      </c>
    </row>
    <row r="32" spans="2:27">
      <c r="B32" s="11">
        <f>+VLOOKUP(#REF!,[1]mapping!B:D,3,0)</f>
        <v>72001</v>
      </c>
      <c r="D32" s="4" t="str">
        <f>+VLOOKUP(#REF!,[1]mapping!#REF!,3,0)</f>
        <v>CN11</v>
      </c>
      <c r="E32" s="4" t="str">
        <f t="shared" ref="E32" si="30">#REF!</f>
        <v>7A0</v>
      </c>
      <c r="M32" s="9"/>
      <c r="W32" s="12">
        <f t="shared" si="1"/>
        <v>-511206.94999999955</v>
      </c>
      <c r="AA32" s="11">
        <f>+VLOOKUP('[1]16040401'!T32,[1]mapping!O:R,4,0)</f>
        <v>11010000</v>
      </c>
    </row>
    <row r="33" spans="2:27">
      <c r="B33" s="11">
        <f>+VLOOKUP(#REF!,[1]mapping!B:D,3,0)</f>
        <v>72001</v>
      </c>
      <c r="D33" s="4" t="str">
        <f>+VLOOKUP(#REF!,[1]mapping!#REF!,3,0)</f>
        <v>CN11</v>
      </c>
      <c r="E33" s="4" t="str">
        <f t="shared" ref="E33" si="31">#REF!</f>
        <v>7B0</v>
      </c>
      <c r="M33" s="9"/>
      <c r="W33" s="12">
        <f t="shared" si="1"/>
        <v>-41912.269999999291</v>
      </c>
      <c r="AA33" s="11">
        <f>+VLOOKUP('[1]16040401'!T33,[1]mapping!O:R,4,0)</f>
        <v>11010000</v>
      </c>
    </row>
    <row r="34" spans="2:27">
      <c r="B34" s="11">
        <f>+VLOOKUP(#REF!,[1]mapping!B:D,3,0)</f>
        <v>72001</v>
      </c>
      <c r="D34" s="4" t="str">
        <f>+VLOOKUP(#REF!,[1]mapping!#REF!,3,0)</f>
        <v>CN11</v>
      </c>
      <c r="E34" s="4" t="str">
        <f t="shared" ref="E34" si="32">#REF!</f>
        <v>7C0</v>
      </c>
      <c r="M34" s="9"/>
      <c r="W34" s="12">
        <f t="shared" si="1"/>
        <v>-355094.59000000189</v>
      </c>
      <c r="AA34" s="11">
        <f>+VLOOKUP('[1]16040401'!T34,[1]mapping!O:R,4,0)</f>
        <v>11010000</v>
      </c>
    </row>
    <row r="35" spans="2:27">
      <c r="B35" s="11">
        <f>+VLOOKUP(#REF!,[1]mapping!B:D,3,0)</f>
        <v>72001</v>
      </c>
      <c r="D35" s="4" t="str">
        <f>+VLOOKUP(#REF!,[1]mapping!#REF!,3,0)</f>
        <v>CN11</v>
      </c>
      <c r="E35" s="4" t="str">
        <f t="shared" ref="E35" si="33">#REF!</f>
        <v>7G0</v>
      </c>
      <c r="M35" s="9"/>
      <c r="W35" s="12">
        <f t="shared" si="1"/>
        <v>-17149.999999999767</v>
      </c>
      <c r="AA35" s="11">
        <f>+VLOOKUP('[1]16040401'!T35,[1]mapping!O:R,4,0)</f>
        <v>11010000</v>
      </c>
    </row>
    <row r="36" spans="2:27">
      <c r="B36" s="11">
        <f>+VLOOKUP(#REF!,[1]mapping!B:D,3,0)</f>
        <v>72001</v>
      </c>
      <c r="D36" s="4" t="str">
        <f>+VLOOKUP(#REF!,[1]mapping!#REF!,3,0)</f>
        <v>CN11</v>
      </c>
      <c r="E36" s="4" t="str">
        <f t="shared" ref="E36" si="34">#REF!</f>
        <v>7O0</v>
      </c>
      <c r="M36" s="9"/>
      <c r="W36" s="12">
        <f t="shared" si="1"/>
        <v>12002962.939999999</v>
      </c>
      <c r="AA36" s="11">
        <f>+VLOOKUP('[1]16040401'!T36,[1]mapping!O:R,4,0)</f>
        <v>11010000</v>
      </c>
    </row>
    <row r="37" spans="2:27">
      <c r="B37" s="11">
        <f>+VLOOKUP(#REF!,[1]mapping!B:D,3,0)</f>
        <v>72001</v>
      </c>
      <c r="D37" s="4" t="str">
        <f>+VLOOKUP(#REF!,[1]mapping!#REF!,3,0)</f>
        <v>CN11</v>
      </c>
      <c r="E37" s="4" t="str">
        <f t="shared" ref="E37" si="35">#REF!</f>
        <v>7P0</v>
      </c>
      <c r="M37" s="9"/>
      <c r="W37" s="12">
        <f t="shared" si="1"/>
        <v>4131149.3800000004</v>
      </c>
      <c r="AA37" s="11">
        <f>+VLOOKUP('[1]16040401'!T37,[1]mapping!O:R,4,0)</f>
        <v>11010000</v>
      </c>
    </row>
    <row r="38" spans="2:27">
      <c r="B38" s="11">
        <f>+VLOOKUP(#REF!,[1]mapping!B:D,3,0)</f>
        <v>72001</v>
      </c>
      <c r="D38" s="4" t="str">
        <f>+VLOOKUP(#REF!,[1]mapping!#REF!,3,0)</f>
        <v>CN11</v>
      </c>
      <c r="E38" s="4" t="str">
        <f t="shared" ref="E38" si="36">#REF!</f>
        <v>7Q0</v>
      </c>
      <c r="M38" s="9"/>
      <c r="W38" s="12">
        <f t="shared" si="1"/>
        <v>3338258.8400000003</v>
      </c>
      <c r="AA38" s="11">
        <f>+VLOOKUP('[1]16040401'!T38,[1]mapping!O:R,4,0)</f>
        <v>11010000</v>
      </c>
    </row>
    <row r="39" spans="2:27">
      <c r="B39" s="11">
        <f>+VLOOKUP(#REF!,[1]mapping!B:D,3,0)</f>
        <v>72001</v>
      </c>
      <c r="D39" s="4" t="str">
        <f>+VLOOKUP(#REF!,[1]mapping!#REF!,3,0)</f>
        <v>CN11</v>
      </c>
      <c r="E39" s="4" t="str">
        <f t="shared" ref="E39" si="37">#REF!</f>
        <v>7T0</v>
      </c>
      <c r="M39" s="9"/>
      <c r="W39" s="12">
        <f t="shared" si="1"/>
        <v>1160098.3899999999</v>
      </c>
      <c r="AA39" s="11">
        <f>+VLOOKUP('[1]16040401'!T39,[1]mapping!O:R,4,0)</f>
        <v>11010000</v>
      </c>
    </row>
    <row r="40" spans="2:27">
      <c r="B40" s="11">
        <f>+VLOOKUP(#REF!,[1]mapping!B:D,3,0)</f>
        <v>72001</v>
      </c>
      <c r="D40" s="4" t="str">
        <f>+VLOOKUP(#REF!,[1]mapping!#REF!,3,0)</f>
        <v>CN11</v>
      </c>
      <c r="E40" s="4" t="str">
        <f t="shared" ref="E40" si="38">#REF!</f>
        <v>7U0</v>
      </c>
      <c r="M40" s="9"/>
      <c r="W40" s="12">
        <f t="shared" si="1"/>
        <v>857680.28000000014</v>
      </c>
      <c r="AA40" s="11">
        <f>+VLOOKUP('[1]16040401'!T40,[1]mapping!O:R,4,0)</f>
        <v>11010000</v>
      </c>
    </row>
    <row r="41" spans="2:27">
      <c r="B41" s="11">
        <f>+VLOOKUP(#REF!,[1]mapping!B:D,3,0)</f>
        <v>72001</v>
      </c>
      <c r="D41" s="4" t="str">
        <f>+VLOOKUP(#REF!,[1]mapping!#REF!,3,0)</f>
        <v>CN11</v>
      </c>
      <c r="E41" s="4" t="str">
        <f t="shared" ref="E41" si="39">#REF!</f>
        <v>7V0</v>
      </c>
      <c r="M41" s="9"/>
      <c r="W41" s="12">
        <f t="shared" si="1"/>
        <v>4421052.09</v>
      </c>
      <c r="AA41" s="11">
        <f>+VLOOKUP('[1]16040401'!T41,[1]mapping!O:R,4,0)</f>
        <v>11010000</v>
      </c>
    </row>
    <row r="42" spans="2:27">
      <c r="B42" s="11">
        <f>+VLOOKUP(#REF!,[1]mapping!B:D,3,0)</f>
        <v>72001</v>
      </c>
      <c r="D42" s="4" t="str">
        <f>+VLOOKUP(#REF!,[1]mapping!#REF!,3,0)</f>
        <v>CN11</v>
      </c>
      <c r="E42" s="4" t="str">
        <f t="shared" ref="E42" si="40">#REF!</f>
        <v>7W0</v>
      </c>
      <c r="M42" s="9"/>
      <c r="W42" s="12">
        <f t="shared" si="1"/>
        <v>-3037.5800000000017</v>
      </c>
      <c r="AA42" s="11">
        <f>+VLOOKUP('[1]16040401'!T42,[1]mapping!O:R,4,0)</f>
        <v>11010000</v>
      </c>
    </row>
    <row r="43" spans="2:27">
      <c r="B43" s="11">
        <f>+VLOOKUP(#REF!,[1]mapping!B:D,3,0)</f>
        <v>72001</v>
      </c>
      <c r="D43" s="4" t="str">
        <f>+VLOOKUP(#REF!,[1]mapping!#REF!,3,0)</f>
        <v>CN11</v>
      </c>
      <c r="E43" s="4" t="str">
        <f t="shared" ref="E43" si="41">#REF!</f>
        <v>7Y0</v>
      </c>
      <c r="M43" s="9"/>
      <c r="W43" s="12">
        <f t="shared" si="1"/>
        <v>1873849.0199999998</v>
      </c>
      <c r="AA43" s="11">
        <f>+VLOOKUP('[1]16040401'!T43,[1]mapping!O:R,4,0)</f>
        <v>11010000</v>
      </c>
    </row>
    <row r="44" spans="2:27">
      <c r="B44" s="11">
        <f>+VLOOKUP(#REF!,[1]mapping!B:D,3,0)</f>
        <v>72001</v>
      </c>
      <c r="D44" s="4" t="str">
        <f>+VLOOKUP(#REF!,[1]mapping!#REF!,3,0)</f>
        <v>CN11</v>
      </c>
      <c r="E44" s="4" t="str">
        <f t="shared" ref="E44" si="42">#REF!</f>
        <v>7Z0</v>
      </c>
      <c r="M44" s="9"/>
      <c r="W44" s="12">
        <f t="shared" si="1"/>
        <v>9771596.0600000005</v>
      </c>
      <c r="AA44" s="11">
        <f>+VLOOKUP('[1]16040401'!T44,[1]mapping!O:R,4,0)</f>
        <v>11010000</v>
      </c>
    </row>
    <row r="45" spans="2:27">
      <c r="B45" s="11">
        <f>+VLOOKUP(#REF!,[1]mapping!B:D,3,0)</f>
        <v>72001</v>
      </c>
      <c r="D45" s="4" t="str">
        <f>+VLOOKUP(#REF!,[1]mapping!#REF!,3,0)</f>
        <v>CN11</v>
      </c>
      <c r="E45" s="4" t="str">
        <f t="shared" ref="E45" si="43">#REF!</f>
        <v>880</v>
      </c>
      <c r="M45" s="9"/>
      <c r="W45" s="12">
        <f t="shared" si="1"/>
        <v>325947.17</v>
      </c>
      <c r="AA45" s="11">
        <f>+VLOOKUP('[1]16040401'!T45,[1]mapping!O:R,4,0)</f>
        <v>11010000</v>
      </c>
    </row>
    <row r="46" spans="2:27">
      <c r="B46" s="11">
        <f>+VLOOKUP(#REF!,[1]mapping!B:D,3,0)</f>
        <v>72001</v>
      </c>
      <c r="D46" s="4" t="str">
        <f>+VLOOKUP(#REF!,[1]mapping!#REF!,3,0)</f>
        <v>CN11</v>
      </c>
      <c r="E46" s="4" t="str">
        <f t="shared" ref="E46" si="44">#REF!</f>
        <v>8B0</v>
      </c>
      <c r="M46" s="9"/>
      <c r="W46" s="12">
        <f t="shared" si="1"/>
        <v>-45905.999999999534</v>
      </c>
      <c r="AA46" s="11">
        <f>+VLOOKUP('[1]16040401'!T46,[1]mapping!O:R,4,0)</f>
        <v>11010000</v>
      </c>
    </row>
    <row r="47" spans="2:27">
      <c r="B47" s="11">
        <f>+VLOOKUP(#REF!,[1]mapping!B:D,3,0)</f>
        <v>72001</v>
      </c>
      <c r="D47" s="4" t="str">
        <f>+VLOOKUP(#REF!,[1]mapping!#REF!,3,0)</f>
        <v>CN11</v>
      </c>
      <c r="E47" s="4" t="str">
        <f t="shared" ref="E47" si="45">#REF!</f>
        <v>8C0</v>
      </c>
      <c r="M47" s="9"/>
      <c r="W47" s="12">
        <f t="shared" si="1"/>
        <v>140399.99999999919</v>
      </c>
      <c r="AA47" s="11">
        <f>+VLOOKUP('[1]16040401'!T47,[1]mapping!O:R,4,0)</f>
        <v>11010000</v>
      </c>
    </row>
    <row r="48" spans="2:27">
      <c r="B48" s="11">
        <f>+VLOOKUP(#REF!,[1]mapping!B:D,3,0)</f>
        <v>72001</v>
      </c>
      <c r="D48" s="4" t="str">
        <f>+VLOOKUP(#REF!,[1]mapping!#REF!,3,0)</f>
        <v>CN11</v>
      </c>
      <c r="E48" s="4" t="str">
        <f t="shared" ref="E48" si="46">#REF!</f>
        <v>8D0</v>
      </c>
      <c r="M48" s="9"/>
      <c r="W48" s="12">
        <f t="shared" si="1"/>
        <v>-31907.360000000343</v>
      </c>
      <c r="AA48" s="11">
        <f>+VLOOKUP('[1]16040401'!T48,[1]mapping!O:R,4,0)</f>
        <v>11010000</v>
      </c>
    </row>
    <row r="49" spans="2:27">
      <c r="B49" s="11">
        <f>+VLOOKUP(#REF!,[1]mapping!B:D,3,0)</f>
        <v>72001</v>
      </c>
      <c r="D49" s="4" t="str">
        <f>+VLOOKUP(#REF!,[1]mapping!#REF!,3,0)</f>
        <v>CN11</v>
      </c>
      <c r="E49" s="4" t="str">
        <f t="shared" ref="E49" si="47">#REF!</f>
        <v>8G0</v>
      </c>
      <c r="M49" s="9"/>
      <c r="W49" s="12">
        <f t="shared" si="1"/>
        <v>35999.999999999767</v>
      </c>
      <c r="AA49" s="11">
        <f>+VLOOKUP('[1]16040401'!T49,[1]mapping!O:R,4,0)</f>
        <v>11010000</v>
      </c>
    </row>
    <row r="50" spans="2:27">
      <c r="B50" s="11">
        <f>+VLOOKUP(#REF!,[1]mapping!B:D,3,0)</f>
        <v>72001</v>
      </c>
      <c r="D50" s="4" t="str">
        <f>+VLOOKUP(#REF!,[1]mapping!#REF!,3,0)</f>
        <v>CN11</v>
      </c>
      <c r="E50" s="4" t="str">
        <f t="shared" ref="E50" si="48">#REF!</f>
        <v>8I0</v>
      </c>
      <c r="M50" s="9"/>
      <c r="W50" s="12">
        <f t="shared" si="1"/>
        <v>-1001253.1699999981</v>
      </c>
      <c r="AA50" s="11">
        <f>+VLOOKUP('[1]16040401'!T50,[1]mapping!O:R,4,0)</f>
        <v>11010000</v>
      </c>
    </row>
    <row r="51" spans="2:27">
      <c r="B51" s="11">
        <f>+VLOOKUP(#REF!,[1]mapping!B:D,3,0)</f>
        <v>72001</v>
      </c>
      <c r="D51" s="4" t="str">
        <f>+VLOOKUP(#REF!,[1]mapping!#REF!,3,0)</f>
        <v>CN11</v>
      </c>
      <c r="E51" s="4" t="str">
        <f t="shared" ref="E51" si="49">#REF!</f>
        <v>8T0</v>
      </c>
      <c r="M51" s="9"/>
      <c r="W51" s="12">
        <f t="shared" si="1"/>
        <v>-49123.97</v>
      </c>
      <c r="AA51" s="11">
        <f>+VLOOKUP('[1]16040401'!T51,[1]mapping!O:R,4,0)</f>
        <v>11010000</v>
      </c>
    </row>
    <row r="52" spans="2:27">
      <c r="B52" s="11">
        <f>+VLOOKUP(#REF!,[1]mapping!B:D,3,0)</f>
        <v>72001</v>
      </c>
      <c r="D52" s="4" t="str">
        <f>+VLOOKUP(#REF!,[1]mapping!#REF!,3,0)</f>
        <v>CN11</v>
      </c>
      <c r="E52" s="4" t="str">
        <f t="shared" ref="E52" si="50">#REF!</f>
        <v>AD0</v>
      </c>
      <c r="M52" s="9"/>
      <c r="W52" s="12">
        <f t="shared" si="1"/>
        <v>21556</v>
      </c>
      <c r="AA52" s="11">
        <f>+VLOOKUP('[1]16040401'!T52,[1]mapping!O:R,4,0)</f>
        <v>11010000</v>
      </c>
    </row>
    <row r="53" spans="2:27">
      <c r="B53" s="11">
        <f>+VLOOKUP(#REF!,[1]mapping!B:D,3,0)</f>
        <v>72001</v>
      </c>
      <c r="D53" s="4" t="str">
        <f>+VLOOKUP(#REF!,[1]mapping!#REF!,3,0)</f>
        <v>CN11</v>
      </c>
      <c r="E53" s="4" t="str">
        <f t="shared" ref="E53" si="51">#REF!</f>
        <v>CI0</v>
      </c>
      <c r="M53" s="9"/>
      <c r="W53" s="12">
        <f t="shared" si="1"/>
        <v>5547257.9300000006</v>
      </c>
      <c r="AA53" s="11">
        <f>+VLOOKUP('[1]16040401'!T53,[1]mapping!O:R,4,0)</f>
        <v>11010000</v>
      </c>
    </row>
    <row r="54" spans="2:27">
      <c r="B54" s="11">
        <f>+VLOOKUP(#REF!,[1]mapping!B:D,3,0)</f>
        <v>72001</v>
      </c>
      <c r="D54" s="4" t="str">
        <f>+VLOOKUP(#REF!,[1]mapping!#REF!,3,0)</f>
        <v>CN11</v>
      </c>
      <c r="E54" s="4" t="str">
        <f t="shared" ref="E54" si="52">#REF!</f>
        <v>DI0</v>
      </c>
      <c r="M54" s="9"/>
      <c r="W54" s="12">
        <f t="shared" si="1"/>
        <v>708007</v>
      </c>
      <c r="AA54" s="11">
        <f>+VLOOKUP('[1]16040401'!T54,[1]mapping!O:R,4,0)</f>
        <v>11010000</v>
      </c>
    </row>
    <row r="55" spans="2:27">
      <c r="B55" s="11">
        <f>+VLOOKUP(#REF!,[1]mapping!B:D,3,0)</f>
        <v>72001</v>
      </c>
      <c r="D55" s="4" t="str">
        <f>+VLOOKUP(#REF!,[1]mapping!#REF!,3,0)</f>
        <v>CN11</v>
      </c>
      <c r="E55" s="4" t="str">
        <f t="shared" ref="E55" si="53">#REF!</f>
        <v>DT0</v>
      </c>
      <c r="M55" s="9"/>
      <c r="W55" s="12">
        <f t="shared" si="1"/>
        <v>-1324985.94</v>
      </c>
      <c r="AA55" s="11">
        <f>+VLOOKUP('[1]16040401'!T55,[1]mapping!O:R,4,0)</f>
        <v>11010000</v>
      </c>
    </row>
    <row r="56" spans="2:27">
      <c r="B56" s="11">
        <f>+VLOOKUP(#REF!,[1]mapping!B:D,3,0)</f>
        <v>72001</v>
      </c>
      <c r="D56" s="4" t="str">
        <f>+VLOOKUP(#REF!,[1]mapping!#REF!,3,0)</f>
        <v>CN11</v>
      </c>
      <c r="E56" s="4" t="str">
        <f t="shared" ref="E56" si="54">#REF!</f>
        <v>DV0</v>
      </c>
      <c r="M56" s="9"/>
      <c r="W56" s="12">
        <f t="shared" si="1"/>
        <v>-11313.400000000838</v>
      </c>
      <c r="AA56" s="11">
        <f>+VLOOKUP('[1]16040401'!T56,[1]mapping!O:R,4,0)</f>
        <v>11010000</v>
      </c>
    </row>
    <row r="57" spans="2:27">
      <c r="B57" s="11">
        <f>+VLOOKUP(#REF!,[1]mapping!B:D,3,0)</f>
        <v>72001</v>
      </c>
      <c r="D57" s="4" t="str">
        <f>+VLOOKUP(#REF!,[1]mapping!#REF!,3,0)</f>
        <v>CN11</v>
      </c>
      <c r="E57" s="4" t="str">
        <f t="shared" ref="E57" si="55">#REF!</f>
        <v>FN0</v>
      </c>
      <c r="M57" s="9"/>
      <c r="W57" s="12">
        <f t="shared" si="1"/>
        <v>149971.17000000016</v>
      </c>
      <c r="AA57" s="11">
        <f>+VLOOKUP('[1]16040401'!T57,[1]mapping!O:R,4,0)</f>
        <v>11010000</v>
      </c>
    </row>
    <row r="58" spans="2:27">
      <c r="B58" s="11">
        <f>+VLOOKUP(#REF!,[1]mapping!B:D,3,0)</f>
        <v>72001</v>
      </c>
      <c r="D58" s="4" t="str">
        <f>+VLOOKUP(#REF!,[1]mapping!#REF!,3,0)</f>
        <v>CN11</v>
      </c>
      <c r="E58" s="4" t="str">
        <f t="shared" ref="E58" si="56">#REF!</f>
        <v>FS0</v>
      </c>
      <c r="M58" s="9"/>
      <c r="W58" s="12">
        <f t="shared" si="1"/>
        <v>42481.830000000016</v>
      </c>
      <c r="AA58" s="11">
        <f>+VLOOKUP('[1]16040401'!T58,[1]mapping!O:R,4,0)</f>
        <v>11010000</v>
      </c>
    </row>
    <row r="59" spans="2:27">
      <c r="B59" s="11">
        <f>+VLOOKUP(#REF!,[1]mapping!B:D,3,0)</f>
        <v>72001</v>
      </c>
      <c r="D59" s="4" t="str">
        <f>+VLOOKUP(#REF!,[1]mapping!#REF!,3,0)</f>
        <v>CN11</v>
      </c>
      <c r="E59" s="4" t="str">
        <f t="shared" ref="E59" si="57">#REF!</f>
        <v>IT0</v>
      </c>
      <c r="M59" s="9"/>
      <c r="W59" s="12">
        <f t="shared" si="1"/>
        <v>-14627487.42</v>
      </c>
      <c r="AA59" s="11">
        <f>+VLOOKUP('[1]16040401'!T59,[1]mapping!O:R,4,0)</f>
        <v>11010000</v>
      </c>
    </row>
    <row r="60" spans="2:27">
      <c r="B60" s="11">
        <f>+VLOOKUP(#REF!,[1]mapping!B:D,3,0)</f>
        <v>72001</v>
      </c>
      <c r="D60" s="4" t="str">
        <f>+VLOOKUP(#REF!,[1]mapping!#REF!,3,0)</f>
        <v>CN11</v>
      </c>
      <c r="E60" s="4" t="str">
        <f t="shared" ref="E60" si="58">#REF!</f>
        <v>IT1</v>
      </c>
      <c r="M60" s="9"/>
      <c r="W60" s="12">
        <f t="shared" si="1"/>
        <v>898698.72</v>
      </c>
      <c r="AA60" s="11">
        <f>+VLOOKUP('[1]16040401'!T60,[1]mapping!O:R,4,0)</f>
        <v>11010000</v>
      </c>
    </row>
    <row r="61" spans="2:27">
      <c r="B61" s="11">
        <f>+VLOOKUP(#REF!,[1]mapping!B:D,3,0)</f>
        <v>72001</v>
      </c>
      <c r="D61" s="4" t="str">
        <f>+VLOOKUP(#REF!,[1]mapping!#REF!,3,0)</f>
        <v>CN11</v>
      </c>
      <c r="E61" s="4" t="str">
        <f t="shared" ref="E61" si="59">#REF!</f>
        <v>IT3</v>
      </c>
      <c r="M61" s="9"/>
      <c r="W61" s="12">
        <f t="shared" si="1"/>
        <v>34150.53</v>
      </c>
      <c r="AA61" s="11">
        <f>+VLOOKUP('[1]16040401'!T61,[1]mapping!O:R,4,0)</f>
        <v>11010000</v>
      </c>
    </row>
    <row r="62" spans="2:27">
      <c r="B62" s="11">
        <f>+VLOOKUP(#REF!,[1]mapping!B:D,3,0)</f>
        <v>72001</v>
      </c>
      <c r="D62" s="4" t="str">
        <f>+VLOOKUP(#REF!,[1]mapping!#REF!,3,0)</f>
        <v>CN11</v>
      </c>
      <c r="E62" s="4" t="str">
        <f t="shared" ref="E62" si="60">#REF!</f>
        <v>RM0</v>
      </c>
      <c r="M62" s="9"/>
      <c r="W62" s="12">
        <f t="shared" si="1"/>
        <v>666958.26</v>
      </c>
      <c r="AA62" s="11">
        <f>+VLOOKUP('[1]16040401'!T62,[1]mapping!O:R,4,0)</f>
        <v>11010000</v>
      </c>
    </row>
    <row r="63" spans="2:27">
      <c r="B63" s="11">
        <f>+VLOOKUP(#REF!,[1]mapping!B:D,3,0)</f>
        <v>72001</v>
      </c>
      <c r="D63" s="4" t="str">
        <f>+VLOOKUP(#REF!,[1]mapping!#REF!,3,0)</f>
        <v>CN11</v>
      </c>
      <c r="E63" s="4" t="str">
        <f t="shared" ref="E63" si="61">#REF!</f>
        <v>WA0</v>
      </c>
      <c r="M63" s="9"/>
      <c r="W63" s="12">
        <f t="shared" si="1"/>
        <v>1038498.04</v>
      </c>
      <c r="AA63" s="11">
        <f>+VLOOKUP('[1]16040401'!T63,[1]mapping!O:R,4,0)</f>
        <v>11010000</v>
      </c>
    </row>
    <row r="64" spans="2:27">
      <c r="B64" s="11">
        <f>+VLOOKUP(#REF!,[1]mapping!B:D,3,0)</f>
        <v>72001</v>
      </c>
      <c r="D64" s="4" t="str">
        <f>+VLOOKUP(#REF!,[1]mapping!#REF!,3,0)</f>
        <v>CN11</v>
      </c>
      <c r="E64" s="4" t="str">
        <f t="shared" ref="E64" si="62">#REF!</f>
        <v>5G0</v>
      </c>
      <c r="M64" s="9"/>
      <c r="W64" s="12">
        <f t="shared" si="1"/>
        <v>89570</v>
      </c>
      <c r="AA64" s="11">
        <f>+VLOOKUP('[1]16040401'!T64,[1]mapping!O:R,4,0)</f>
        <v>11010000</v>
      </c>
    </row>
    <row r="65" spans="13:23">
      <c r="M65" s="9"/>
      <c r="W65" s="6"/>
    </row>
    <row r="66" spans="13:23">
      <c r="M66" s="9"/>
      <c r="W66" s="6"/>
    </row>
    <row r="67" spans="13:23">
      <c r="M67" s="9"/>
      <c r="W67" s="6"/>
    </row>
    <row r="68" spans="13:23">
      <c r="M68" s="9"/>
      <c r="W68" s="6"/>
    </row>
    <row r="69" spans="13:23">
      <c r="M69" s="9"/>
      <c r="W69" s="6"/>
    </row>
    <row r="70" spans="13:23">
      <c r="M70" s="9"/>
      <c r="W70" s="6"/>
    </row>
    <row r="71" spans="13:23">
      <c r="M71" s="9"/>
      <c r="W71" s="6"/>
    </row>
    <row r="72" spans="13:23">
      <c r="M72" s="9"/>
      <c r="W72" s="6"/>
    </row>
    <row r="73" spans="13:23">
      <c r="M73" s="9"/>
      <c r="W73" s="6"/>
    </row>
    <row r="74" spans="13:23">
      <c r="M74" s="9"/>
      <c r="W74" s="6"/>
    </row>
    <row r="75" spans="13:23">
      <c r="M75" s="9"/>
      <c r="W75" s="6"/>
    </row>
    <row r="76" spans="13:23">
      <c r="M76" s="9"/>
      <c r="W76" s="6"/>
    </row>
    <row r="77" spans="13:23">
      <c r="M77" s="9"/>
      <c r="W77" s="6"/>
    </row>
    <row r="78" spans="13:23">
      <c r="M78" s="9"/>
      <c r="W78" s="6"/>
    </row>
    <row r="79" spans="13:23">
      <c r="M79" s="9"/>
      <c r="W79" s="6"/>
    </row>
    <row r="80" spans="13:23">
      <c r="M80" s="9"/>
      <c r="W80" s="6"/>
    </row>
    <row r="81" spans="13:23">
      <c r="M81" s="9"/>
      <c r="W81" s="6"/>
    </row>
    <row r="82" spans="13:23">
      <c r="M82" s="9"/>
      <c r="W82" s="6"/>
    </row>
    <row r="83" spans="13:23">
      <c r="M83" s="9"/>
      <c r="W83" s="6"/>
    </row>
    <row r="84" spans="13:23">
      <c r="M84" s="9"/>
      <c r="W84" s="6"/>
    </row>
    <row r="85" spans="13:23">
      <c r="M85" s="9"/>
      <c r="W85" s="6"/>
    </row>
    <row r="86" spans="13:23">
      <c r="M86" s="9"/>
      <c r="W86" s="6"/>
    </row>
    <row r="87" spans="13:23">
      <c r="M87" s="9"/>
      <c r="W87" s="6"/>
    </row>
    <row r="88" spans="13:23">
      <c r="M88" s="9"/>
      <c r="W88" s="6"/>
    </row>
    <row r="89" spans="13:23">
      <c r="M89" s="9"/>
      <c r="W89" s="6"/>
    </row>
    <row r="90" spans="13:23">
      <c r="M90" s="9"/>
      <c r="W90" s="6"/>
    </row>
    <row r="91" spans="13:23">
      <c r="M91" s="9"/>
      <c r="W91" s="6"/>
    </row>
    <row r="92" spans="13:23">
      <c r="M92" s="9"/>
      <c r="W92" s="6"/>
    </row>
    <row r="93" spans="13:23">
      <c r="M93" s="9"/>
      <c r="W93" s="6"/>
    </row>
    <row r="94" spans="13:23">
      <c r="M94" s="9"/>
      <c r="W94" s="6"/>
    </row>
    <row r="95" spans="13:23">
      <c r="M95" s="9"/>
      <c r="W95" s="6"/>
    </row>
    <row r="96" spans="13:23">
      <c r="M96" s="9"/>
      <c r="W96" s="6"/>
    </row>
    <row r="97" spans="13:23">
      <c r="M97" s="9"/>
      <c r="W97" s="6"/>
    </row>
    <row r="98" spans="13:23">
      <c r="M98" s="9"/>
      <c r="W98" s="6"/>
    </row>
    <row r="99" spans="13:23">
      <c r="M99" s="9"/>
      <c r="W99" s="6"/>
    </row>
    <row r="100" spans="13:23">
      <c r="M100" s="9"/>
      <c r="W100" s="6"/>
    </row>
    <row r="101" spans="13:23">
      <c r="M101" s="9"/>
      <c r="W101" s="6"/>
    </row>
    <row r="102" spans="13:23">
      <c r="M102" s="9"/>
      <c r="W102" s="6"/>
    </row>
    <row r="103" spans="13:23">
      <c r="M103" s="9"/>
      <c r="W103" s="6"/>
    </row>
    <row r="104" spans="13:23">
      <c r="M104" s="9"/>
      <c r="W104" s="6"/>
    </row>
    <row r="105" spans="13:23">
      <c r="M105" s="9"/>
      <c r="W105" s="6"/>
    </row>
    <row r="106" spans="13:23">
      <c r="M106" s="9"/>
      <c r="W106" s="6"/>
    </row>
    <row r="107" spans="13:23">
      <c r="M107" s="9"/>
      <c r="W107" s="6"/>
    </row>
    <row r="108" spans="13:23">
      <c r="M108" s="9"/>
      <c r="W108" s="6"/>
    </row>
    <row r="109" spans="13:23">
      <c r="M109" s="9"/>
      <c r="W109" s="6"/>
    </row>
    <row r="110" spans="13:23">
      <c r="M110" s="9"/>
      <c r="W110" s="6"/>
    </row>
    <row r="111" spans="13:23">
      <c r="M111" s="9"/>
      <c r="W111" s="6"/>
    </row>
    <row r="112" spans="13:23">
      <c r="M112" s="9"/>
      <c r="W112" s="6"/>
    </row>
    <row r="113" spans="13:23">
      <c r="M113" s="9"/>
      <c r="W113" s="6"/>
    </row>
    <row r="114" spans="13:23">
      <c r="M114" s="9"/>
      <c r="W114" s="6"/>
    </row>
    <row r="115" spans="13:23">
      <c r="M115" s="9"/>
      <c r="W115" s="6"/>
    </row>
    <row r="116" spans="13:23">
      <c r="M116" s="9"/>
      <c r="W116" s="6"/>
    </row>
    <row r="117" spans="13:23">
      <c r="M117" s="9"/>
      <c r="W117" s="6"/>
    </row>
    <row r="118" spans="13:23">
      <c r="M118" s="9"/>
      <c r="W118" s="6"/>
    </row>
    <row r="119" spans="13:23">
      <c r="M119" s="9"/>
      <c r="W119" s="6"/>
    </row>
    <row r="120" spans="13:23">
      <c r="M120" s="9"/>
      <c r="W120" s="6"/>
    </row>
    <row r="121" spans="13:23">
      <c r="M121" s="9"/>
      <c r="W121" s="6"/>
    </row>
    <row r="122" spans="13:23">
      <c r="M122" s="9"/>
      <c r="W122" s="6"/>
    </row>
    <row r="123" spans="13:23">
      <c r="M123" s="9"/>
      <c r="W123" s="6"/>
    </row>
    <row r="124" spans="13:23">
      <c r="M124" s="9"/>
      <c r="W124" s="6"/>
    </row>
    <row r="125" spans="13:23">
      <c r="M125" s="9"/>
      <c r="W125" s="6"/>
    </row>
    <row r="126" spans="13:23">
      <c r="M126" s="9"/>
      <c r="W126" s="6"/>
    </row>
    <row r="127" spans="13:23">
      <c r="M127" s="9"/>
      <c r="W127" s="6"/>
    </row>
    <row r="128" spans="13:23">
      <c r="M128" s="9"/>
      <c r="W128" s="6"/>
    </row>
    <row r="129" spans="13:23">
      <c r="M129" s="9"/>
      <c r="W129" s="6"/>
    </row>
    <row r="130" spans="13:23">
      <c r="M130" s="9"/>
      <c r="W130" s="6"/>
    </row>
    <row r="131" spans="13:23">
      <c r="M131" s="9"/>
      <c r="W131" s="6"/>
    </row>
    <row r="132" spans="13:23">
      <c r="M132" s="9"/>
      <c r="W132" s="6"/>
    </row>
    <row r="133" spans="13:23">
      <c r="M133" s="9"/>
      <c r="W133" s="6"/>
    </row>
    <row r="134" spans="13:23">
      <c r="M134" s="9"/>
      <c r="W134" s="6"/>
    </row>
    <row r="135" spans="13:23">
      <c r="M135" s="9"/>
      <c r="W135" s="6"/>
    </row>
    <row r="136" spans="13:23">
      <c r="M136" s="9"/>
      <c r="W136" s="6"/>
    </row>
    <row r="137" spans="13:23">
      <c r="M137" s="9"/>
      <c r="W137" s="6"/>
    </row>
    <row r="138" spans="13:23">
      <c r="M138" s="9"/>
      <c r="W138" s="6"/>
    </row>
    <row r="139" spans="13:23">
      <c r="M139" s="9"/>
      <c r="W139" s="6"/>
    </row>
    <row r="140" spans="13:23">
      <c r="M140" s="9"/>
      <c r="W140" s="6"/>
    </row>
    <row r="141" spans="13:23">
      <c r="M141" s="9"/>
      <c r="W141" s="6"/>
    </row>
    <row r="142" spans="13:23">
      <c r="M142" s="9"/>
      <c r="W142" s="6"/>
    </row>
    <row r="143" spans="13:23">
      <c r="M143" s="9"/>
      <c r="W143" s="6"/>
    </row>
    <row r="144" spans="13:23">
      <c r="M144" s="9"/>
      <c r="W144" s="6"/>
    </row>
    <row r="145" spans="13:23">
      <c r="M145" s="9"/>
      <c r="W145" s="6"/>
    </row>
    <row r="146" spans="13:23">
      <c r="M146" s="9"/>
      <c r="W146" s="6"/>
    </row>
    <row r="147" spans="13:23">
      <c r="M147" s="9"/>
      <c r="W147" s="6"/>
    </row>
    <row r="148" spans="13:23">
      <c r="M148" s="9"/>
      <c r="W148" s="6"/>
    </row>
    <row r="149" spans="13:23">
      <c r="M149" s="9"/>
      <c r="W149" s="6"/>
    </row>
    <row r="150" spans="13:23">
      <c r="M150" s="9"/>
      <c r="W150" s="6"/>
    </row>
    <row r="151" spans="13:23">
      <c r="M151" s="9"/>
      <c r="W151" s="6"/>
    </row>
    <row r="152" spans="13:23">
      <c r="M152" s="9"/>
      <c r="W152" s="6"/>
    </row>
    <row r="153" spans="13:23">
      <c r="M153" s="9"/>
      <c r="W153" s="6"/>
    </row>
    <row r="154" spans="13:23">
      <c r="M154" s="9"/>
      <c r="W154" s="6"/>
    </row>
    <row r="155" spans="13:23">
      <c r="M155" s="9"/>
      <c r="W155" s="6"/>
    </row>
    <row r="156" spans="13:23">
      <c r="M156" s="9"/>
      <c r="W156" s="6"/>
    </row>
    <row r="157" spans="13:23">
      <c r="M157" s="9"/>
      <c r="W157" s="6"/>
    </row>
    <row r="158" spans="13:23">
      <c r="M158" s="9"/>
      <c r="W158" s="6"/>
    </row>
    <row r="159" spans="13:23">
      <c r="M159" s="9"/>
      <c r="W159" s="6"/>
    </row>
    <row r="160" spans="13:23">
      <c r="M160" s="9"/>
      <c r="W160" s="6"/>
    </row>
    <row r="161" spans="13:23">
      <c r="M161" s="9"/>
      <c r="W161" s="6"/>
    </row>
    <row r="162" spans="13:23">
      <c r="M162" s="9"/>
      <c r="W162" s="6"/>
    </row>
    <row r="163" spans="13:23">
      <c r="M163" s="9"/>
      <c r="W163" s="6"/>
    </row>
    <row r="164" spans="13:23">
      <c r="M164" s="9"/>
      <c r="W164" s="6"/>
    </row>
    <row r="165" spans="13:23">
      <c r="M165" s="9"/>
      <c r="W165" s="6"/>
    </row>
    <row r="166" spans="13:23">
      <c r="M166" s="9"/>
      <c r="W166" s="6"/>
    </row>
    <row r="167" spans="13:23">
      <c r="M167" s="9"/>
      <c r="W167" s="6"/>
    </row>
    <row r="168" spans="13:23">
      <c r="M168" s="9"/>
      <c r="W168" s="6"/>
    </row>
    <row r="169" spans="13:23">
      <c r="M169" s="9"/>
      <c r="W169" s="6"/>
    </row>
    <row r="170" spans="13:23">
      <c r="M170" s="9"/>
      <c r="W170" s="6"/>
    </row>
    <row r="171" spans="13:23">
      <c r="M171" s="9"/>
      <c r="W171" s="6"/>
    </row>
    <row r="172" spans="13:23">
      <c r="M172" s="9"/>
      <c r="W172" s="6"/>
    </row>
    <row r="173" spans="13:23">
      <c r="M173" s="9"/>
      <c r="W173" s="6"/>
    </row>
    <row r="174" spans="13:23">
      <c r="M174" s="9"/>
      <c r="W174" s="6"/>
    </row>
    <row r="175" spans="13:23">
      <c r="M175" s="9"/>
      <c r="W175" s="6"/>
    </row>
    <row r="176" spans="13:23">
      <c r="M176" s="9"/>
      <c r="W176" s="6"/>
    </row>
    <row r="177" spans="13:23">
      <c r="M177" s="9"/>
      <c r="W177" s="6"/>
    </row>
    <row r="178" spans="13:23">
      <c r="M178" s="9"/>
      <c r="W178" s="6"/>
    </row>
    <row r="179" spans="13:23">
      <c r="M179" s="9"/>
      <c r="W179" s="6"/>
    </row>
    <row r="180" spans="13:23">
      <c r="M180" s="9"/>
      <c r="W180" s="6"/>
    </row>
    <row r="181" spans="13:23">
      <c r="M181" s="9"/>
      <c r="W181" s="6"/>
    </row>
    <row r="182" spans="13:23">
      <c r="M182" s="9"/>
      <c r="W182" s="6"/>
    </row>
    <row r="183" spans="13:23">
      <c r="M183" s="9"/>
      <c r="W183" s="6"/>
    </row>
    <row r="184" spans="13:23">
      <c r="M184" s="9"/>
      <c r="W184" s="6"/>
    </row>
    <row r="185" spans="13:23">
      <c r="M185" s="9"/>
      <c r="W185" s="6"/>
    </row>
    <row r="186" spans="13:23">
      <c r="M186" s="9"/>
      <c r="W186" s="6"/>
    </row>
    <row r="187" spans="13:23">
      <c r="M187" s="9"/>
      <c r="W187" s="6"/>
    </row>
    <row r="188" spans="13:23">
      <c r="M188" s="9"/>
      <c r="W188" s="6"/>
    </row>
    <row r="189" spans="13:23">
      <c r="M189" s="9"/>
      <c r="W189" s="6"/>
    </row>
    <row r="190" spans="13:23">
      <c r="M190" s="9"/>
      <c r="W190" s="6"/>
    </row>
    <row r="191" spans="13:23">
      <c r="M191" s="9"/>
      <c r="W191" s="6"/>
    </row>
    <row r="192" spans="13:23">
      <c r="M192" s="9"/>
      <c r="W192" s="6"/>
    </row>
    <row r="193" spans="13:23">
      <c r="M193" s="9"/>
      <c r="W193" s="6"/>
    </row>
    <row r="194" spans="13:23">
      <c r="M194" s="9"/>
      <c r="W194" s="6"/>
    </row>
    <row r="195" spans="13:23">
      <c r="M195" s="9"/>
      <c r="W195" s="6"/>
    </row>
    <row r="196" spans="13:23">
      <c r="M196" s="9"/>
      <c r="W196" s="6"/>
    </row>
    <row r="197" spans="13:23">
      <c r="M197" s="9"/>
      <c r="W197" s="6"/>
    </row>
    <row r="198" spans="13:23">
      <c r="M198" s="9"/>
      <c r="W198" s="6"/>
    </row>
    <row r="199" spans="13:23">
      <c r="M199" s="9"/>
      <c r="W199" s="6"/>
    </row>
    <row r="200" spans="13:23">
      <c r="M200" s="9"/>
      <c r="W200" s="6"/>
    </row>
    <row r="201" spans="13:23">
      <c r="M201" s="9"/>
      <c r="W201" s="6"/>
    </row>
    <row r="202" spans="13:23">
      <c r="M202" s="9"/>
      <c r="W202" s="6"/>
    </row>
    <row r="203" spans="13:23">
      <c r="M203" s="9"/>
      <c r="W203" s="6"/>
    </row>
    <row r="204" spans="13:23">
      <c r="M204" s="9"/>
      <c r="W204" s="6"/>
    </row>
    <row r="205" spans="13:23">
      <c r="M205" s="9"/>
      <c r="W205" s="6"/>
    </row>
    <row r="206" spans="13:23">
      <c r="M206" s="9"/>
      <c r="W206" s="6"/>
    </row>
    <row r="207" spans="13:23">
      <c r="M207" s="9"/>
      <c r="W207" s="6"/>
    </row>
    <row r="208" spans="13:23">
      <c r="M208" s="9"/>
      <c r="W208" s="6"/>
    </row>
    <row r="209" spans="13:23">
      <c r="M209" s="9"/>
      <c r="W209" s="6"/>
    </row>
    <row r="210" spans="13:23">
      <c r="M210" s="9"/>
      <c r="W210" s="6"/>
    </row>
    <row r="211" spans="13:23">
      <c r="M211" s="9"/>
      <c r="W211" s="6"/>
    </row>
    <row r="212" spans="13:23">
      <c r="M212" s="9"/>
      <c r="W212" s="6"/>
    </row>
    <row r="213" spans="13:23">
      <c r="M213" s="9"/>
      <c r="W213" s="6"/>
    </row>
    <row r="214" spans="13:23">
      <c r="M214" s="9"/>
      <c r="W214" s="6"/>
    </row>
    <row r="215" spans="13:23">
      <c r="M215" s="9"/>
      <c r="W215" s="6"/>
    </row>
    <row r="216" spans="13:23">
      <c r="M216" s="9"/>
      <c r="W216" s="6"/>
    </row>
    <row r="217" spans="13:23">
      <c r="M217" s="9"/>
      <c r="W217" s="6"/>
    </row>
    <row r="218" spans="13:23">
      <c r="M218" s="9"/>
      <c r="W218" s="6"/>
    </row>
    <row r="219" spans="13:23">
      <c r="M219" s="9"/>
      <c r="W219" s="6"/>
    </row>
    <row r="220" spans="13:23">
      <c r="M220" s="9"/>
      <c r="W220" s="6"/>
    </row>
    <row r="221" spans="13:23">
      <c r="M221" s="9"/>
      <c r="W221" s="6"/>
    </row>
    <row r="222" spans="13:23">
      <c r="M222" s="9"/>
      <c r="W222" s="6"/>
    </row>
    <row r="223" spans="13:23">
      <c r="M223" s="9"/>
      <c r="W223" s="6"/>
    </row>
    <row r="224" spans="13:23">
      <c r="M224" s="9"/>
      <c r="W224" s="6"/>
    </row>
    <row r="225" spans="13:23">
      <c r="M225" s="9"/>
      <c r="W225" s="6"/>
    </row>
    <row r="226" spans="13:23">
      <c r="M226" s="9"/>
      <c r="W226" s="6"/>
    </row>
    <row r="227" spans="13:23">
      <c r="M227" s="9"/>
      <c r="W227" s="6"/>
    </row>
    <row r="228" spans="13:23">
      <c r="M228" s="9"/>
      <c r="W228" s="6"/>
    </row>
    <row r="229" spans="13:23">
      <c r="M229" s="9"/>
      <c r="W229" s="6"/>
    </row>
    <row r="230" spans="13:23">
      <c r="M230" s="9"/>
      <c r="W230" s="6"/>
    </row>
    <row r="231" spans="13:23">
      <c r="M231" s="9"/>
      <c r="W231" s="6"/>
    </row>
    <row r="232" spans="13:23">
      <c r="M232" s="9"/>
      <c r="W232" s="6"/>
    </row>
    <row r="233" spans="13:23">
      <c r="M233" s="9"/>
      <c r="W233" s="6"/>
    </row>
    <row r="234" spans="13:23">
      <c r="M234" s="9"/>
      <c r="W234" s="6"/>
    </row>
    <row r="235" spans="13:23">
      <c r="M235" s="9"/>
      <c r="W235" s="6"/>
    </row>
    <row r="236" spans="13:23">
      <c r="M236" s="9"/>
      <c r="W236" s="6"/>
    </row>
    <row r="237" spans="13:23">
      <c r="M237" s="9"/>
      <c r="W237" s="6"/>
    </row>
    <row r="238" spans="13:23">
      <c r="M238" s="9"/>
      <c r="W238" s="6"/>
    </row>
    <row r="239" spans="13:23">
      <c r="M239" s="9"/>
      <c r="W239" s="6"/>
    </row>
    <row r="240" spans="13:23">
      <c r="M240" s="9"/>
      <c r="W240" s="6"/>
    </row>
    <row r="241" spans="13:23">
      <c r="M241" s="9"/>
      <c r="W241" s="6"/>
    </row>
    <row r="242" spans="13:23">
      <c r="M242" s="9"/>
      <c r="W242" s="6"/>
    </row>
    <row r="243" spans="13:23">
      <c r="M243" s="9"/>
      <c r="W243" s="6"/>
    </row>
    <row r="244" spans="13:23">
      <c r="M244" s="9"/>
      <c r="W244" s="6"/>
    </row>
    <row r="245" spans="13:23">
      <c r="M245" s="9"/>
      <c r="W245" s="6"/>
    </row>
    <row r="246" spans="13:23">
      <c r="M246" s="9"/>
      <c r="W246" s="6"/>
    </row>
    <row r="247" spans="13:23">
      <c r="M247" s="9"/>
      <c r="W247" s="6"/>
    </row>
    <row r="248" spans="13:23">
      <c r="M248" s="9"/>
      <c r="W248" s="6"/>
    </row>
    <row r="249" spans="13:23">
      <c r="M249" s="9"/>
      <c r="W249" s="6"/>
    </row>
    <row r="250" spans="13:23">
      <c r="M250" s="9"/>
      <c r="W250" s="6"/>
    </row>
    <row r="251" spans="13:23">
      <c r="M251" s="9"/>
      <c r="W251" s="6"/>
    </row>
    <row r="252" spans="13:23">
      <c r="M252" s="9"/>
      <c r="W252" s="6"/>
    </row>
    <row r="253" spans="13:23">
      <c r="M253" s="9"/>
      <c r="W253" s="6"/>
    </row>
    <row r="254" spans="13:23">
      <c r="M254" s="9"/>
      <c r="W254" s="6"/>
    </row>
    <row r="255" spans="13:23">
      <c r="M255" s="9"/>
      <c r="W255" s="6"/>
    </row>
    <row r="256" spans="13:23">
      <c r="M256" s="9"/>
      <c r="W256" s="6"/>
    </row>
    <row r="257" spans="13:23">
      <c r="M257" s="9"/>
      <c r="W257" s="6"/>
    </row>
    <row r="258" spans="13:23">
      <c r="M258" s="9"/>
      <c r="W258" s="6"/>
    </row>
    <row r="259" spans="13:23">
      <c r="M259" s="9"/>
      <c r="W259" s="6"/>
    </row>
    <row r="260" spans="13:23">
      <c r="M260" s="9"/>
      <c r="W260" s="6"/>
    </row>
    <row r="261" spans="13:23">
      <c r="M261" s="9"/>
      <c r="W261" s="6"/>
    </row>
    <row r="262" spans="13:23">
      <c r="M262" s="9"/>
      <c r="W262" s="6"/>
    </row>
    <row r="263" spans="13:23">
      <c r="M263" s="9"/>
      <c r="W263" s="6"/>
    </row>
    <row r="264" spans="13:23">
      <c r="M264" s="9"/>
      <c r="W264" s="6"/>
    </row>
    <row r="265" spans="13:23">
      <c r="M265" s="9"/>
      <c r="W265" s="6"/>
    </row>
    <row r="266" spans="13:23">
      <c r="M266" s="9"/>
      <c r="W266" s="6"/>
    </row>
    <row r="267" spans="13:23">
      <c r="M267" s="9"/>
      <c r="W267" s="6"/>
    </row>
    <row r="268" spans="13:23">
      <c r="M268" s="9"/>
      <c r="W268" s="6"/>
    </row>
    <row r="269" spans="13:23">
      <c r="M269" s="9"/>
      <c r="W269" s="6"/>
    </row>
    <row r="270" spans="13:23">
      <c r="M270" s="9"/>
      <c r="W270" s="6"/>
    </row>
    <row r="271" spans="13:23">
      <c r="M271" s="9"/>
      <c r="W271" s="6"/>
    </row>
    <row r="272" spans="13:23">
      <c r="M272" s="9"/>
      <c r="W272" s="6"/>
    </row>
    <row r="273" spans="13:23">
      <c r="M273" s="9"/>
      <c r="W273" s="6"/>
    </row>
    <row r="274" spans="13:23">
      <c r="M274" s="9"/>
      <c r="W274" s="6"/>
    </row>
    <row r="275" spans="13:23">
      <c r="M275" s="9"/>
      <c r="W275" s="6"/>
    </row>
    <row r="276" spans="13:23">
      <c r="M276" s="9"/>
      <c r="W276" s="6"/>
    </row>
    <row r="277" spans="13:23">
      <c r="M277" s="9"/>
      <c r="W277" s="6"/>
    </row>
    <row r="278" spans="13:23">
      <c r="M278" s="9"/>
      <c r="W278" s="6"/>
    </row>
    <row r="279" spans="13:23">
      <c r="M279" s="9"/>
      <c r="W279" s="6"/>
    </row>
    <row r="280" spans="13:23">
      <c r="M280" s="9"/>
      <c r="W280" s="6"/>
    </row>
    <row r="281" spans="13:23">
      <c r="M281" s="9"/>
      <c r="W281" s="6"/>
    </row>
    <row r="282" spans="13:23">
      <c r="M282" s="9"/>
      <c r="W282" s="6"/>
    </row>
    <row r="283" spans="13:23">
      <c r="M283" s="9"/>
      <c r="W283" s="6"/>
    </row>
    <row r="284" spans="13:23">
      <c r="M284" s="9"/>
      <c r="W284" s="6"/>
    </row>
    <row r="285" spans="13:23">
      <c r="M285" s="9"/>
      <c r="W285" s="6"/>
    </row>
    <row r="286" spans="13:23">
      <c r="M286" s="9"/>
      <c r="W286" s="6"/>
    </row>
    <row r="287" spans="13:23">
      <c r="M287" s="9"/>
      <c r="W287" s="6"/>
    </row>
    <row r="288" spans="13:23">
      <c r="M288" s="9"/>
      <c r="W288" s="6"/>
    </row>
    <row r="289" spans="13:23">
      <c r="M289" s="9"/>
      <c r="W289" s="6"/>
    </row>
    <row r="290" spans="13:23">
      <c r="M290" s="9"/>
      <c r="W290" s="6"/>
    </row>
    <row r="291" spans="13:23">
      <c r="M291" s="9"/>
      <c r="W291" s="6"/>
    </row>
    <row r="292" spans="13:23">
      <c r="M292" s="9"/>
      <c r="W292" s="6"/>
    </row>
    <row r="293" spans="13:23">
      <c r="M293" s="9"/>
      <c r="W293" s="6"/>
    </row>
    <row r="294" spans="13:23">
      <c r="M294" s="9"/>
      <c r="W294" s="6"/>
    </row>
    <row r="295" spans="13:23">
      <c r="M295" s="9"/>
      <c r="W295" s="6"/>
    </row>
    <row r="296" spans="13:23">
      <c r="M296" s="9"/>
      <c r="W296" s="6"/>
    </row>
    <row r="297" spans="13:23">
      <c r="M297" s="9"/>
      <c r="W297" s="6"/>
    </row>
    <row r="298" spans="13:23">
      <c r="M298" s="9"/>
      <c r="W298" s="6"/>
    </row>
    <row r="299" spans="13:23">
      <c r="M299" s="9"/>
      <c r="W299" s="6"/>
    </row>
    <row r="300" spans="13:23">
      <c r="M300" s="9"/>
      <c r="W300" s="6"/>
    </row>
    <row r="301" spans="13:23">
      <c r="M301" s="9"/>
      <c r="W301" s="6"/>
    </row>
    <row r="302" spans="13:23">
      <c r="M302" s="9"/>
      <c r="W302" s="6"/>
    </row>
    <row r="303" spans="13:23">
      <c r="M303" s="9"/>
      <c r="W303" s="6"/>
    </row>
    <row r="304" spans="13:23">
      <c r="M304" s="9"/>
      <c r="W304" s="6"/>
    </row>
    <row r="305" spans="13:23">
      <c r="M305" s="9"/>
      <c r="W305" s="6"/>
    </row>
    <row r="306" spans="13:23">
      <c r="M306" s="9"/>
      <c r="W306" s="6"/>
    </row>
    <row r="307" spans="13:23">
      <c r="M307" s="9"/>
      <c r="W307" s="6"/>
    </row>
    <row r="308" spans="13:23">
      <c r="M308" s="9"/>
      <c r="W308" s="6"/>
    </row>
    <row r="309" spans="13:23">
      <c r="M309" s="9"/>
      <c r="W309" s="6"/>
    </row>
    <row r="310" spans="13:23">
      <c r="M310" s="9"/>
      <c r="W310" s="6"/>
    </row>
    <row r="311" spans="13:23">
      <c r="M311" s="9"/>
      <c r="W311" s="6"/>
    </row>
    <row r="312" spans="13:23">
      <c r="M312" s="9"/>
      <c r="W312" s="6"/>
    </row>
    <row r="313" spans="13:23">
      <c r="M313" s="9"/>
      <c r="W313" s="6"/>
    </row>
    <row r="314" spans="13:23">
      <c r="M314" s="9"/>
      <c r="W314" s="6"/>
    </row>
    <row r="315" spans="13:23">
      <c r="M315" s="9"/>
      <c r="W315" s="6"/>
    </row>
    <row r="316" spans="13:23">
      <c r="M316" s="9"/>
      <c r="W316" s="6"/>
    </row>
    <row r="317" spans="13:23">
      <c r="M317" s="9"/>
      <c r="W317" s="6"/>
    </row>
    <row r="318" spans="13:23">
      <c r="M318" s="9"/>
      <c r="W318" s="6"/>
    </row>
    <row r="319" spans="13:23">
      <c r="M319" s="9"/>
      <c r="W319" s="6"/>
    </row>
    <row r="320" spans="13:23">
      <c r="M320" s="9"/>
      <c r="W320" s="6"/>
    </row>
    <row r="321" spans="13:23">
      <c r="M321" s="9"/>
      <c r="W321" s="6"/>
    </row>
    <row r="322" spans="13:23">
      <c r="M322" s="9"/>
      <c r="W322" s="6"/>
    </row>
    <row r="323" spans="13:23">
      <c r="M323" s="9"/>
      <c r="W323" s="6"/>
    </row>
    <row r="324" spans="13:23">
      <c r="M324" s="9"/>
      <c r="W324" s="6"/>
    </row>
    <row r="325" spans="13:23">
      <c r="M325" s="9"/>
      <c r="W325" s="6"/>
    </row>
    <row r="326" spans="13:23">
      <c r="M326" s="9"/>
      <c r="W326" s="6"/>
    </row>
    <row r="327" spans="13:23">
      <c r="M327" s="9"/>
      <c r="W327" s="6"/>
    </row>
    <row r="328" spans="13:23">
      <c r="M328" s="9"/>
      <c r="W328" s="6"/>
    </row>
    <row r="329" spans="13:23">
      <c r="M329" s="9"/>
      <c r="W329" s="6"/>
    </row>
    <row r="330" spans="13:23">
      <c r="M330" s="9"/>
      <c r="W330" s="6"/>
    </row>
    <row r="331" spans="13:23">
      <c r="M331" s="9"/>
      <c r="W331" s="6"/>
    </row>
    <row r="332" spans="13:23">
      <c r="M332" s="9"/>
      <c r="W332" s="6"/>
    </row>
    <row r="333" spans="13:23">
      <c r="M333" s="9"/>
      <c r="W333" s="6"/>
    </row>
    <row r="334" spans="13:23">
      <c r="M334" s="9"/>
      <c r="W334" s="6"/>
    </row>
    <row r="335" spans="13:23">
      <c r="M335" s="9"/>
      <c r="W335" s="6"/>
    </row>
    <row r="336" spans="13:23">
      <c r="M336" s="9"/>
      <c r="W336" s="6"/>
    </row>
    <row r="337" spans="13:23">
      <c r="M337" s="9"/>
      <c r="W337" s="6"/>
    </row>
    <row r="338" spans="13:23">
      <c r="M338" s="9"/>
      <c r="W338" s="6"/>
    </row>
    <row r="339" spans="13:23">
      <c r="M339" s="9"/>
      <c r="W339" s="6"/>
    </row>
    <row r="340" spans="13:23">
      <c r="M340" s="9"/>
      <c r="W340" s="6"/>
    </row>
    <row r="341" spans="13:23">
      <c r="M341" s="9"/>
      <c r="W341" s="6"/>
    </row>
    <row r="342" spans="13:23">
      <c r="M342" s="9"/>
      <c r="W342" s="6"/>
    </row>
    <row r="343" spans="13:23">
      <c r="M343" s="9"/>
      <c r="W343" s="6"/>
    </row>
    <row r="344" spans="13:23">
      <c r="M344" s="9"/>
      <c r="W344" s="6"/>
    </row>
    <row r="345" spans="13:23">
      <c r="M345" s="9"/>
      <c r="W345" s="6"/>
    </row>
    <row r="346" spans="13:23">
      <c r="M346" s="9"/>
      <c r="W346" s="6"/>
    </row>
    <row r="347" spans="13:23">
      <c r="M347" s="9"/>
      <c r="W347" s="6"/>
    </row>
    <row r="348" spans="13:23">
      <c r="M348" s="9"/>
      <c r="W348" s="6"/>
    </row>
    <row r="349" spans="13:23">
      <c r="M349" s="9"/>
      <c r="W349" s="6"/>
    </row>
    <row r="350" spans="13:23">
      <c r="M350" s="9"/>
      <c r="W350" s="6"/>
    </row>
    <row r="351" spans="13:23">
      <c r="M351" s="9"/>
      <c r="W351" s="6"/>
    </row>
    <row r="352" spans="13:23">
      <c r="M352" s="9"/>
      <c r="W352" s="6"/>
    </row>
    <row r="353" spans="13:23">
      <c r="M353" s="9"/>
      <c r="W353" s="6"/>
    </row>
    <row r="354" spans="13:23">
      <c r="M354" s="9"/>
      <c r="W354" s="6"/>
    </row>
    <row r="355" spans="13:23">
      <c r="M355" s="9"/>
      <c r="W355" s="6"/>
    </row>
    <row r="356" spans="13:23">
      <c r="M356" s="9"/>
      <c r="W356" s="6"/>
    </row>
    <row r="357" spans="13:23">
      <c r="M357" s="9"/>
      <c r="W357" s="6"/>
    </row>
    <row r="358" spans="13:23">
      <c r="M358" s="9"/>
      <c r="W358" s="6"/>
    </row>
    <row r="359" spans="13:23">
      <c r="M359" s="9"/>
      <c r="W359" s="6"/>
    </row>
    <row r="360" spans="13:23">
      <c r="M360" s="9"/>
      <c r="W360" s="6"/>
    </row>
    <row r="361" spans="13:23">
      <c r="M361" s="9"/>
      <c r="W361" s="6"/>
    </row>
    <row r="362" spans="13:23">
      <c r="M362" s="9"/>
      <c r="W362" s="6"/>
    </row>
    <row r="363" spans="13:23">
      <c r="M363" s="9"/>
      <c r="W363" s="6"/>
    </row>
    <row r="364" spans="13:23">
      <c r="M364" s="9"/>
      <c r="W364" s="6"/>
    </row>
    <row r="365" spans="13:23">
      <c r="M365" s="9"/>
      <c r="W365" s="6"/>
    </row>
    <row r="366" spans="13:23">
      <c r="M366" s="9"/>
      <c r="W366" s="6"/>
    </row>
    <row r="367" spans="13:23">
      <c r="M367" s="9"/>
      <c r="W367" s="6"/>
    </row>
    <row r="368" spans="13:23">
      <c r="M368" s="9"/>
      <c r="W368" s="6"/>
    </row>
    <row r="369" spans="13:23">
      <c r="M369" s="9"/>
      <c r="W369" s="6"/>
    </row>
    <row r="370" spans="13:23">
      <c r="M370" s="9"/>
      <c r="W370" s="6"/>
    </row>
    <row r="371" spans="13:23">
      <c r="M371" s="9"/>
      <c r="W371" s="6"/>
    </row>
    <row r="372" spans="13:23">
      <c r="M372" s="9"/>
      <c r="W372" s="6"/>
    </row>
    <row r="373" spans="13:23">
      <c r="M373" s="9"/>
      <c r="W373" s="6"/>
    </row>
    <row r="374" spans="13:23">
      <c r="M374" s="9"/>
      <c r="W374" s="6"/>
    </row>
    <row r="375" spans="13:23">
      <c r="M375" s="9"/>
      <c r="W375" s="6"/>
    </row>
    <row r="376" spans="13:23">
      <c r="M376" s="9"/>
      <c r="W376" s="6"/>
    </row>
    <row r="377" spans="13:23">
      <c r="M377" s="9"/>
      <c r="W377" s="6"/>
    </row>
    <row r="378" spans="13:23">
      <c r="M378" s="9"/>
      <c r="W378" s="6"/>
    </row>
    <row r="379" spans="13:23">
      <c r="M379" s="9"/>
      <c r="W379" s="6"/>
    </row>
    <row r="380" spans="13:23">
      <c r="M380" s="9"/>
      <c r="W380" s="6"/>
    </row>
    <row r="381" spans="13:23">
      <c r="M381" s="9"/>
      <c r="W381" s="6"/>
    </row>
    <row r="382" spans="13:23">
      <c r="M382" s="9"/>
      <c r="W382" s="6"/>
    </row>
    <row r="383" spans="13:23">
      <c r="M383" s="9"/>
      <c r="W383" s="6"/>
    </row>
    <row r="384" spans="13:23">
      <c r="M384" s="9"/>
      <c r="W384" s="6"/>
    </row>
    <row r="385" spans="13:23">
      <c r="M385" s="9"/>
      <c r="W385" s="6"/>
    </row>
    <row r="386" spans="13:23">
      <c r="M386" s="9"/>
      <c r="W386" s="6"/>
    </row>
    <row r="387" spans="13:23">
      <c r="M387" s="9"/>
      <c r="W387" s="6"/>
    </row>
    <row r="388" spans="13:23">
      <c r="M388" s="9"/>
      <c r="W388" s="6"/>
    </row>
    <row r="389" spans="13:23">
      <c r="M389" s="9"/>
      <c r="W389" s="6"/>
    </row>
    <row r="390" spans="13:23">
      <c r="M390" s="9"/>
      <c r="W390" s="6"/>
    </row>
    <row r="391" spans="13:23">
      <c r="M391" s="9"/>
      <c r="W391" s="6"/>
    </row>
    <row r="392" spans="13:23">
      <c r="M392" s="9"/>
      <c r="W392" s="6"/>
    </row>
    <row r="393" spans="13:23">
      <c r="M393" s="9"/>
      <c r="W393" s="6"/>
    </row>
    <row r="394" spans="13:23">
      <c r="M394" s="9"/>
      <c r="W394" s="6"/>
    </row>
    <row r="395" spans="13:23">
      <c r="M395" s="9"/>
      <c r="W395" s="6"/>
    </row>
    <row r="396" spans="13:23">
      <c r="M396" s="9"/>
      <c r="W396" s="6"/>
    </row>
    <row r="397" spans="13:23">
      <c r="M397" s="9"/>
      <c r="W397" s="6"/>
    </row>
    <row r="398" spans="13:23">
      <c r="M398" s="9"/>
      <c r="W398" s="6"/>
    </row>
    <row r="399" spans="13:23">
      <c r="M399" s="9"/>
      <c r="W399" s="6"/>
    </row>
    <row r="400" spans="13:23">
      <c r="M400" s="9"/>
      <c r="W400" s="6"/>
    </row>
    <row r="401" spans="13:23">
      <c r="M401" s="9"/>
      <c r="W401" s="6"/>
    </row>
    <row r="402" spans="13:23">
      <c r="M402" s="9"/>
      <c r="W402" s="6"/>
    </row>
    <row r="403" spans="13:23">
      <c r="M403" s="9"/>
      <c r="W403" s="6"/>
    </row>
    <row r="404" spans="13:23">
      <c r="M404" s="9"/>
      <c r="W404" s="6"/>
    </row>
    <row r="405" spans="13:23">
      <c r="M405" s="9"/>
      <c r="W405" s="6"/>
    </row>
    <row r="406" spans="13:23">
      <c r="M406" s="9"/>
      <c r="W406" s="6"/>
    </row>
    <row r="407" spans="13:23">
      <c r="M407" s="9"/>
      <c r="W407" s="6"/>
    </row>
    <row r="408" spans="13:23">
      <c r="M408" s="9"/>
      <c r="W408" s="6"/>
    </row>
    <row r="409" spans="13:23">
      <c r="M409" s="9"/>
      <c r="W409" s="6"/>
    </row>
    <row r="410" spans="13:23">
      <c r="M410" s="9"/>
      <c r="W410" s="6"/>
    </row>
    <row r="411" spans="13:23">
      <c r="M411" s="9"/>
      <c r="W411" s="6"/>
    </row>
    <row r="412" spans="13:23">
      <c r="M412" s="9"/>
      <c r="W412" s="6"/>
    </row>
    <row r="413" spans="13:23">
      <c r="M413" s="9"/>
      <c r="W413" s="6"/>
    </row>
    <row r="414" spans="13:23">
      <c r="M414" s="9"/>
      <c r="W414" s="6"/>
    </row>
    <row r="415" spans="13:23">
      <c r="M415" s="9"/>
      <c r="W415" s="6"/>
    </row>
    <row r="416" spans="13:23">
      <c r="M416" s="9"/>
      <c r="W416" s="6"/>
    </row>
    <row r="417" spans="13:23">
      <c r="M417" s="9"/>
      <c r="W417" s="6"/>
    </row>
    <row r="418" spans="13:23">
      <c r="M418" s="9"/>
      <c r="W418" s="6"/>
    </row>
    <row r="419" spans="13:23">
      <c r="M419" s="9"/>
      <c r="W419" s="6"/>
    </row>
    <row r="420" spans="13:23">
      <c r="M420" s="9"/>
      <c r="W420" s="6"/>
    </row>
    <row r="421" spans="13:23">
      <c r="M421" s="9"/>
      <c r="W421" s="6"/>
    </row>
    <row r="422" spans="13:23">
      <c r="M422" s="9"/>
      <c r="W422" s="6"/>
    </row>
    <row r="423" spans="13:23">
      <c r="M423" s="9"/>
      <c r="W423" s="6"/>
    </row>
    <row r="424" spans="13:23">
      <c r="M424" s="9"/>
      <c r="W424" s="6"/>
    </row>
    <row r="425" spans="13:23">
      <c r="M425" s="9"/>
      <c r="W425" s="6"/>
    </row>
    <row r="426" spans="13:23">
      <c r="M426" s="9"/>
      <c r="W426" s="6"/>
    </row>
    <row r="427" spans="13:23">
      <c r="M427" s="9"/>
      <c r="W427" s="6"/>
    </row>
    <row r="428" spans="13:23">
      <c r="M428" s="9"/>
      <c r="W428" s="6"/>
    </row>
    <row r="429" spans="13:23">
      <c r="M429" s="9"/>
      <c r="W429" s="6"/>
    </row>
    <row r="430" spans="13:23">
      <c r="M430" s="9"/>
      <c r="W430" s="6"/>
    </row>
    <row r="431" spans="13:23">
      <c r="M431" s="9"/>
      <c r="W431" s="6"/>
    </row>
    <row r="432" spans="13:23">
      <c r="M432" s="9"/>
      <c r="W432" s="6"/>
    </row>
    <row r="433" spans="13:23">
      <c r="M433" s="9"/>
      <c r="W433" s="6"/>
    </row>
    <row r="434" spans="13:23">
      <c r="M434" s="9"/>
      <c r="W434" s="6"/>
    </row>
    <row r="435" spans="13:23">
      <c r="M435" s="9"/>
      <c r="W435" s="6"/>
    </row>
    <row r="436" spans="13:23">
      <c r="M436" s="9"/>
      <c r="W436" s="6"/>
    </row>
    <row r="437" spans="13:23">
      <c r="M437" s="9"/>
      <c r="W437" s="6"/>
    </row>
    <row r="438" spans="13:23">
      <c r="M438" s="9"/>
      <c r="W438" s="6"/>
    </row>
    <row r="439" spans="13:23">
      <c r="M439" s="9"/>
      <c r="W439" s="6"/>
    </row>
    <row r="440" spans="13:23">
      <c r="M440" s="9"/>
      <c r="W440" s="6"/>
    </row>
    <row r="441" spans="13:23">
      <c r="M441" s="9"/>
      <c r="W441" s="6"/>
    </row>
    <row r="442" spans="13:23">
      <c r="M442" s="9"/>
      <c r="W442" s="6"/>
    </row>
    <row r="443" spans="13:23">
      <c r="M443" s="9"/>
      <c r="W443" s="6"/>
    </row>
    <row r="444" spans="13:23">
      <c r="M444" s="9"/>
      <c r="W444" s="6"/>
    </row>
    <row r="445" spans="13:23">
      <c r="M445" s="9"/>
      <c r="W445" s="6"/>
    </row>
    <row r="446" spans="13:23">
      <c r="M446" s="9"/>
      <c r="W446" s="6"/>
    </row>
    <row r="447" spans="13:23">
      <c r="M447" s="9"/>
      <c r="W447" s="6"/>
    </row>
    <row r="448" spans="13:23">
      <c r="M448" s="9"/>
      <c r="W448" s="6"/>
    </row>
    <row r="449" spans="13:23">
      <c r="M449" s="9"/>
      <c r="W449" s="6"/>
    </row>
    <row r="450" spans="13:23">
      <c r="M450" s="9"/>
      <c r="W450" s="6"/>
    </row>
    <row r="451" spans="13:23">
      <c r="M451" s="9"/>
      <c r="W451" s="6"/>
    </row>
    <row r="452" spans="13:23">
      <c r="M452" s="9"/>
      <c r="W452" s="6"/>
    </row>
    <row r="453" spans="13:23">
      <c r="M453" s="9"/>
      <c r="W453" s="6"/>
    </row>
    <row r="454" spans="13:23">
      <c r="M454" s="9"/>
      <c r="W454" s="6"/>
    </row>
    <row r="455" spans="13:23">
      <c r="M455" s="9"/>
      <c r="W455" s="6"/>
    </row>
    <row r="456" spans="13:23">
      <c r="M456" s="9"/>
      <c r="W456" s="6"/>
    </row>
    <row r="457" spans="13:23">
      <c r="M457" s="9"/>
      <c r="W457" s="6"/>
    </row>
    <row r="458" spans="13:23">
      <c r="M458" s="9"/>
      <c r="W458" s="6"/>
    </row>
    <row r="459" spans="13:23">
      <c r="M459" s="9"/>
      <c r="W459" s="6"/>
    </row>
    <row r="460" spans="13:23">
      <c r="M460" s="9"/>
      <c r="W460" s="6"/>
    </row>
    <row r="461" spans="13:23">
      <c r="M461" s="9"/>
      <c r="W461" s="6"/>
    </row>
    <row r="462" spans="13:23">
      <c r="M462" s="9"/>
      <c r="W462" s="6"/>
    </row>
    <row r="463" spans="13:23">
      <c r="M463" s="9"/>
      <c r="W463" s="6"/>
    </row>
    <row r="464" spans="13:23">
      <c r="M464" s="9"/>
      <c r="W464" s="6"/>
    </row>
    <row r="465" spans="13:23">
      <c r="M465" s="9"/>
      <c r="W465" s="6"/>
    </row>
    <row r="466" spans="13:23">
      <c r="M466" s="9"/>
      <c r="W466" s="6"/>
    </row>
    <row r="467" spans="13:23">
      <c r="M467" s="9"/>
      <c r="W467" s="6"/>
    </row>
    <row r="468" spans="13:23">
      <c r="M468" s="9"/>
      <c r="W468" s="6"/>
    </row>
    <row r="469" spans="13:23">
      <c r="M469" s="9"/>
      <c r="W469" s="6"/>
    </row>
    <row r="470" spans="13:23">
      <c r="M470" s="9"/>
      <c r="W470" s="6"/>
    </row>
    <row r="471" spans="13:23">
      <c r="M471" s="9"/>
      <c r="W471" s="6"/>
    </row>
    <row r="472" spans="13:23">
      <c r="M472" s="9"/>
      <c r="W472" s="6"/>
    </row>
    <row r="473" spans="13:23">
      <c r="M473" s="9"/>
      <c r="W473" s="6"/>
    </row>
    <row r="474" spans="13:23">
      <c r="M474" s="9"/>
      <c r="W474" s="6"/>
    </row>
    <row r="475" spans="13:23">
      <c r="M475" s="9"/>
      <c r="W475" s="6"/>
    </row>
    <row r="476" spans="13:23">
      <c r="M476" s="9"/>
      <c r="W476" s="6"/>
    </row>
    <row r="477" spans="13:23">
      <c r="M477" s="9"/>
      <c r="W477" s="6"/>
    </row>
    <row r="478" spans="13:23">
      <c r="M478" s="9"/>
      <c r="W478" s="6"/>
    </row>
    <row r="479" spans="13:23">
      <c r="M479" s="9"/>
      <c r="W479" s="6"/>
    </row>
    <row r="480" spans="13:23">
      <c r="M480" s="9"/>
      <c r="W480" s="6"/>
    </row>
    <row r="481" spans="13:23">
      <c r="M481" s="9"/>
      <c r="W481" s="6"/>
    </row>
    <row r="482" spans="13:23">
      <c r="M482" s="9"/>
      <c r="W482" s="6"/>
    </row>
    <row r="483" spans="13:23">
      <c r="M483" s="9"/>
      <c r="W483" s="6"/>
    </row>
    <row r="484" spans="13:23">
      <c r="M484" s="9"/>
      <c r="W484" s="6"/>
    </row>
    <row r="485" spans="13:23">
      <c r="M485" s="9"/>
      <c r="W485" s="6"/>
    </row>
    <row r="486" spans="13:23">
      <c r="M486" s="9"/>
      <c r="W486" s="6"/>
    </row>
    <row r="487" spans="13:23">
      <c r="M487" s="9"/>
      <c r="W487" s="6"/>
    </row>
    <row r="488" spans="13:23">
      <c r="M488" s="9"/>
      <c r="W488" s="6"/>
    </row>
    <row r="489" spans="13:23">
      <c r="M489" s="9"/>
      <c r="W489" s="6"/>
    </row>
    <row r="490" spans="13:23">
      <c r="M490" s="9"/>
      <c r="W490" s="6"/>
    </row>
    <row r="491" spans="13:23">
      <c r="M491" s="9"/>
      <c r="W491" s="6"/>
    </row>
    <row r="492" spans="13:23">
      <c r="M492" s="9"/>
      <c r="W492" s="6"/>
    </row>
    <row r="493" spans="13:23">
      <c r="M493" s="9"/>
      <c r="W493" s="6"/>
    </row>
    <row r="494" spans="13:23">
      <c r="M494" s="9"/>
      <c r="W494" s="6"/>
    </row>
    <row r="495" spans="13:23">
      <c r="M495" s="9"/>
      <c r="W495" s="6"/>
    </row>
    <row r="496" spans="13:23">
      <c r="M496" s="9"/>
      <c r="W496" s="6"/>
    </row>
    <row r="497" spans="13:23">
      <c r="M497" s="9"/>
      <c r="W497" s="6"/>
    </row>
    <row r="498" spans="13:23">
      <c r="M498" s="9"/>
      <c r="W498" s="6"/>
    </row>
    <row r="499" spans="13:23">
      <c r="M499" s="9"/>
      <c r="W499" s="6"/>
    </row>
    <row r="500" spans="13:23">
      <c r="M500" s="9"/>
      <c r="W500" s="6"/>
    </row>
    <row r="501" spans="13:23">
      <c r="M501" s="9"/>
      <c r="W501" s="6"/>
    </row>
    <row r="502" spans="13:23">
      <c r="M502" s="9"/>
      <c r="W502" s="6"/>
    </row>
    <row r="503" spans="13:23">
      <c r="M503" s="9"/>
      <c r="W503" s="6"/>
    </row>
    <row r="504" spans="13:23">
      <c r="M504" s="9"/>
      <c r="W504" s="6"/>
    </row>
    <row r="505" spans="13:23">
      <c r="M505" s="9"/>
      <c r="W505" s="6"/>
    </row>
    <row r="506" spans="13:23">
      <c r="M506" s="9"/>
      <c r="W506" s="6"/>
    </row>
    <row r="507" spans="13:23">
      <c r="M507" s="9"/>
      <c r="W507" s="6"/>
    </row>
    <row r="508" spans="13:23">
      <c r="M508" s="9"/>
      <c r="W508" s="6"/>
    </row>
    <row r="509" spans="13:23">
      <c r="M509" s="9"/>
      <c r="W509" s="6"/>
    </row>
    <row r="510" spans="13:23">
      <c r="M510" s="9"/>
      <c r="W510" s="6"/>
    </row>
    <row r="511" spans="13:23">
      <c r="M511" s="9"/>
      <c r="W511" s="6"/>
    </row>
    <row r="512" spans="13:23">
      <c r="M512" s="9"/>
      <c r="W512" s="6"/>
    </row>
    <row r="513" spans="13:23">
      <c r="M513" s="9"/>
      <c r="W513" s="6"/>
    </row>
    <row r="514" spans="13:23">
      <c r="M514" s="9"/>
      <c r="W514" s="6"/>
    </row>
    <row r="515" spans="13:23">
      <c r="M515" s="9"/>
      <c r="W515" s="6"/>
    </row>
    <row r="516" spans="13:23">
      <c r="M516" s="9"/>
      <c r="W516" s="6"/>
    </row>
    <row r="517" spans="13:23">
      <c r="M517" s="9"/>
      <c r="W517" s="6"/>
    </row>
    <row r="518" spans="13:23">
      <c r="M518" s="9"/>
      <c r="W518" s="6"/>
    </row>
    <row r="519" spans="13:23">
      <c r="M519" s="9"/>
      <c r="W519" s="6"/>
    </row>
    <row r="520" spans="13:23">
      <c r="M520" s="9"/>
      <c r="W520" s="6"/>
    </row>
    <row r="521" spans="13:23">
      <c r="M521" s="9"/>
      <c r="W521" s="6"/>
    </row>
    <row r="522" spans="13:23">
      <c r="M522" s="9"/>
      <c r="W522" s="6"/>
    </row>
    <row r="523" spans="13:23">
      <c r="M523" s="9"/>
      <c r="W523" s="6"/>
    </row>
    <row r="524" spans="13:23">
      <c r="M524" s="9"/>
      <c r="W524" s="6"/>
    </row>
    <row r="525" spans="13:23">
      <c r="M525" s="9"/>
      <c r="W525" s="6"/>
    </row>
    <row r="526" spans="13:23">
      <c r="M526" s="9"/>
      <c r="W526" s="6"/>
    </row>
    <row r="527" spans="13:23">
      <c r="M527" s="9"/>
      <c r="W527" s="6"/>
    </row>
    <row r="528" spans="13:23">
      <c r="M528" s="9"/>
      <c r="W528" s="6"/>
    </row>
    <row r="529" spans="13:23">
      <c r="M529" s="9"/>
      <c r="W529" s="6"/>
    </row>
    <row r="530" spans="13:23">
      <c r="M530" s="9"/>
      <c r="W530" s="6"/>
    </row>
    <row r="531" spans="13:23">
      <c r="M531" s="9"/>
      <c r="W531" s="6"/>
    </row>
    <row r="532" spans="13:23">
      <c r="M532" s="9"/>
      <c r="W532" s="6"/>
    </row>
    <row r="533" spans="13:23">
      <c r="M533" s="9"/>
      <c r="W533" s="6"/>
    </row>
    <row r="534" spans="13:23">
      <c r="M534" s="9"/>
      <c r="W534" s="6"/>
    </row>
    <row r="535" spans="13:23">
      <c r="M535" s="9"/>
      <c r="W535" s="6"/>
    </row>
    <row r="536" spans="13:23">
      <c r="M536" s="9"/>
      <c r="W536" s="6"/>
    </row>
    <row r="537" spans="13:23">
      <c r="M537" s="9"/>
      <c r="W537" s="6"/>
    </row>
    <row r="538" spans="13:23">
      <c r="M538" s="9"/>
      <c r="W538" s="6"/>
    </row>
    <row r="539" spans="13:23">
      <c r="M539" s="9"/>
      <c r="W539" s="6"/>
    </row>
    <row r="540" spans="13:23">
      <c r="M540" s="9"/>
      <c r="W540" s="6"/>
    </row>
    <row r="541" spans="13:23">
      <c r="M541" s="9"/>
      <c r="W541" s="6"/>
    </row>
    <row r="542" spans="13:23">
      <c r="M542" s="9"/>
      <c r="W542" s="6"/>
    </row>
    <row r="543" spans="13:23">
      <c r="M543" s="9"/>
      <c r="W543" s="6"/>
    </row>
    <row r="544" spans="13:23">
      <c r="M544" s="9"/>
      <c r="W544" s="6"/>
    </row>
    <row r="545" spans="13:23">
      <c r="M545" s="9"/>
      <c r="W545" s="6"/>
    </row>
    <row r="546" spans="13:23">
      <c r="M546" s="9"/>
      <c r="W546" s="6"/>
    </row>
    <row r="547" spans="13:23">
      <c r="M547" s="9"/>
      <c r="W547" s="6"/>
    </row>
    <row r="548" spans="13:23">
      <c r="M548" s="9"/>
      <c r="W548" s="6"/>
    </row>
    <row r="549" spans="13:23">
      <c r="M549" s="9"/>
      <c r="W549" s="6"/>
    </row>
    <row r="550" spans="13:23">
      <c r="M550" s="9"/>
      <c r="W550" s="6"/>
    </row>
    <row r="551" spans="13:23">
      <c r="M551" s="9"/>
      <c r="W551" s="6"/>
    </row>
    <row r="552" spans="13:23">
      <c r="M552" s="9"/>
      <c r="W552" s="6"/>
    </row>
    <row r="553" spans="13:23">
      <c r="M553" s="9"/>
      <c r="W553" s="6"/>
    </row>
    <row r="554" spans="13:23">
      <c r="M554" s="9"/>
      <c r="W554" s="6"/>
    </row>
    <row r="555" spans="13:23">
      <c r="M555" s="9"/>
      <c r="W555" s="6"/>
    </row>
    <row r="556" spans="13:23">
      <c r="M556" s="9"/>
      <c r="W556" s="6"/>
    </row>
    <row r="557" spans="13:23">
      <c r="M557" s="9"/>
      <c r="W557" s="6"/>
    </row>
    <row r="558" spans="13:23">
      <c r="M558" s="9"/>
      <c r="W558" s="6"/>
    </row>
    <row r="559" spans="13:23">
      <c r="M559" s="9"/>
      <c r="W559" s="6"/>
    </row>
    <row r="560" spans="13:23">
      <c r="M560" s="9"/>
      <c r="W560" s="6"/>
    </row>
    <row r="561" spans="13:23">
      <c r="M561" s="9"/>
      <c r="W561" s="6"/>
    </row>
    <row r="562" spans="13:23">
      <c r="M562" s="9"/>
      <c r="W562" s="6"/>
    </row>
    <row r="563" spans="13:23">
      <c r="M563" s="9"/>
      <c r="W563" s="6"/>
    </row>
    <row r="564" spans="13:23">
      <c r="M564" s="9"/>
      <c r="W564" s="6"/>
    </row>
    <row r="565" spans="13:23">
      <c r="M565" s="9"/>
      <c r="W565" s="6"/>
    </row>
    <row r="566" spans="13:23">
      <c r="M566" s="9"/>
      <c r="W566" s="6"/>
    </row>
    <row r="567" spans="13:23">
      <c r="M567" s="9"/>
      <c r="W567" s="6"/>
    </row>
    <row r="568" spans="13:23">
      <c r="M568" s="9"/>
      <c r="W568" s="6"/>
    </row>
    <row r="569" spans="13:23">
      <c r="M569" s="9"/>
      <c r="W569" s="6"/>
    </row>
    <row r="570" spans="13:23">
      <c r="M570" s="9"/>
      <c r="W570" s="6"/>
    </row>
    <row r="571" spans="13:23">
      <c r="M571" s="9"/>
      <c r="W571" s="6"/>
    </row>
    <row r="572" spans="13:23">
      <c r="M572" s="9"/>
      <c r="W572" s="6"/>
    </row>
    <row r="573" spans="13:23">
      <c r="M573" s="9"/>
      <c r="W573" s="6"/>
    </row>
    <row r="574" spans="13:23">
      <c r="M574" s="9"/>
      <c r="W574" s="6"/>
    </row>
    <row r="575" spans="13:23">
      <c r="M575" s="9"/>
      <c r="W575" s="6"/>
    </row>
    <row r="576" spans="13:23">
      <c r="M576" s="9"/>
      <c r="W576" s="6"/>
    </row>
    <row r="577" spans="13:23">
      <c r="M577" s="9"/>
      <c r="W577" s="6"/>
    </row>
    <row r="578" spans="13:23">
      <c r="M578" s="9"/>
      <c r="W578" s="6"/>
    </row>
    <row r="579" spans="13:23">
      <c r="M579" s="9"/>
      <c r="W579" s="6"/>
    </row>
    <row r="580" spans="13:23">
      <c r="M580" s="9"/>
      <c r="W580" s="6"/>
    </row>
    <row r="581" spans="13:23">
      <c r="M581" s="9"/>
      <c r="W581" s="6"/>
    </row>
    <row r="582" spans="13:23">
      <c r="M582" s="9"/>
      <c r="W582" s="6"/>
    </row>
    <row r="583" spans="13:23">
      <c r="M583" s="9"/>
      <c r="W583" s="6"/>
    </row>
    <row r="584" spans="13:23">
      <c r="M584" s="9"/>
      <c r="W584" s="6"/>
    </row>
    <row r="585" spans="13:23">
      <c r="M585" s="9"/>
      <c r="W585" s="6"/>
    </row>
    <row r="586" spans="13:23">
      <c r="M586" s="9"/>
      <c r="W586" s="6"/>
    </row>
    <row r="587" spans="13:23">
      <c r="M587" s="9"/>
      <c r="W587" s="6"/>
    </row>
    <row r="588" spans="13:23">
      <c r="M588" s="9"/>
      <c r="W588" s="6"/>
    </row>
    <row r="589" spans="13:23">
      <c r="M589" s="9"/>
      <c r="W589" s="6"/>
    </row>
    <row r="590" spans="13:23">
      <c r="M590" s="9"/>
      <c r="W590" s="6"/>
    </row>
    <row r="591" spans="13:23">
      <c r="M591" s="9"/>
      <c r="W591" s="6"/>
    </row>
    <row r="592" spans="13:23">
      <c r="M592" s="9"/>
      <c r="W592" s="6"/>
    </row>
    <row r="593" spans="13:23">
      <c r="M593" s="9"/>
      <c r="W593" s="6"/>
    </row>
    <row r="594" spans="13:23">
      <c r="M594" s="9"/>
      <c r="W594" s="6"/>
    </row>
    <row r="595" spans="13:23">
      <c r="M595" s="9"/>
      <c r="W595" s="6"/>
    </row>
    <row r="596" spans="13:23">
      <c r="M596" s="9"/>
      <c r="W596" s="6"/>
    </row>
    <row r="597" spans="13:23">
      <c r="M597" s="9"/>
      <c r="W597" s="6"/>
    </row>
    <row r="598" spans="13:23">
      <c r="M598" s="9"/>
      <c r="W598" s="6"/>
    </row>
    <row r="599" spans="13:23">
      <c r="M599" s="9"/>
      <c r="W599" s="6"/>
    </row>
    <row r="600" spans="13:23">
      <c r="M600" s="9"/>
      <c r="W600" s="6"/>
    </row>
    <row r="601" spans="13:23">
      <c r="M601" s="9"/>
      <c r="W601" s="6"/>
    </row>
    <row r="602" spans="13:23">
      <c r="M602" s="9"/>
      <c r="W602" s="6"/>
    </row>
    <row r="603" spans="13:23">
      <c r="M603" s="9"/>
      <c r="W603" s="6"/>
    </row>
    <row r="604" spans="13:23">
      <c r="M604" s="9"/>
      <c r="W604" s="6"/>
    </row>
    <row r="605" spans="13:23">
      <c r="M605" s="9"/>
      <c r="W605" s="6"/>
    </row>
    <row r="606" spans="13:23">
      <c r="M606" s="9"/>
      <c r="W606" s="6"/>
    </row>
    <row r="607" spans="13:23">
      <c r="M607" s="9"/>
      <c r="W607" s="6"/>
    </row>
    <row r="608" spans="13:23">
      <c r="M608" s="9"/>
      <c r="W608" s="6"/>
    </row>
    <row r="609" spans="13:23">
      <c r="M609" s="9"/>
      <c r="W609" s="6"/>
    </row>
    <row r="610" spans="13:23">
      <c r="M610" s="9"/>
      <c r="W610" s="6"/>
    </row>
    <row r="611" spans="13:23">
      <c r="M611" s="9"/>
      <c r="W611" s="6"/>
    </row>
    <row r="612" spans="13:23">
      <c r="M612" s="9"/>
      <c r="W612" s="6"/>
    </row>
    <row r="613" spans="13:23">
      <c r="M613" s="9"/>
      <c r="W613" s="6"/>
    </row>
    <row r="614" spans="13:23">
      <c r="M614" s="9"/>
      <c r="W614" s="6"/>
    </row>
    <row r="615" spans="13:23">
      <c r="M615" s="9"/>
      <c r="W615" s="6"/>
    </row>
    <row r="616" spans="13:23">
      <c r="M616" s="9"/>
      <c r="W616" s="6"/>
    </row>
    <row r="617" spans="13:23">
      <c r="M617" s="9"/>
      <c r="W617" s="6"/>
    </row>
    <row r="618" spans="13:23">
      <c r="M618" s="9"/>
      <c r="W618" s="6"/>
    </row>
    <row r="619" spans="13:23">
      <c r="M619" s="9"/>
      <c r="W619" s="6"/>
    </row>
    <row r="620" spans="13:23">
      <c r="M620" s="9"/>
      <c r="W620" s="6"/>
    </row>
    <row r="621" spans="13:23">
      <c r="M621" s="9"/>
      <c r="W621" s="6"/>
    </row>
    <row r="622" spans="13:23">
      <c r="M622" s="9"/>
      <c r="W622" s="6"/>
    </row>
    <row r="623" spans="13:23">
      <c r="M623" s="9"/>
      <c r="W623" s="6"/>
    </row>
    <row r="624" spans="13:23">
      <c r="M624" s="9"/>
      <c r="W624" s="6"/>
    </row>
    <row r="625" spans="13:23">
      <c r="M625" s="9"/>
      <c r="W625" s="6"/>
    </row>
    <row r="626" spans="13:23">
      <c r="M626" s="9"/>
      <c r="W626" s="6"/>
    </row>
    <row r="627" spans="13:23">
      <c r="M627" s="9"/>
      <c r="W627" s="6"/>
    </row>
    <row r="628" spans="13:23">
      <c r="M628" s="9"/>
      <c r="W628" s="6"/>
    </row>
    <row r="629" spans="13:23">
      <c r="M629" s="9"/>
      <c r="W629" s="6"/>
    </row>
    <row r="630" spans="13:23">
      <c r="M630" s="9"/>
      <c r="W630" s="6"/>
    </row>
    <row r="631" spans="13:23">
      <c r="M631" s="9"/>
      <c r="W631" s="6"/>
    </row>
    <row r="632" spans="13:23">
      <c r="M632" s="9"/>
      <c r="W632" s="6"/>
    </row>
    <row r="633" spans="13:23">
      <c r="M633" s="9"/>
      <c r="W633" s="6"/>
    </row>
    <row r="634" spans="13:23">
      <c r="M634" s="9"/>
      <c r="W634" s="6"/>
    </row>
    <row r="635" spans="13:23">
      <c r="M635" s="9"/>
      <c r="W635" s="6"/>
    </row>
    <row r="636" spans="13:23">
      <c r="M636" s="9"/>
      <c r="W636" s="6"/>
    </row>
    <row r="637" spans="13:23">
      <c r="M637" s="9"/>
      <c r="W637" s="6"/>
    </row>
    <row r="638" spans="13:23">
      <c r="M638" s="9"/>
      <c r="W638" s="6"/>
    </row>
    <row r="639" spans="13:23">
      <c r="M639" s="9"/>
      <c r="W639" s="6"/>
    </row>
    <row r="640" spans="13:23">
      <c r="M640" s="9"/>
      <c r="W640" s="6"/>
    </row>
    <row r="641" spans="13:23">
      <c r="M641" s="9"/>
      <c r="W641" s="6"/>
    </row>
    <row r="642" spans="13:23">
      <c r="M642" s="9"/>
      <c r="W642" s="6"/>
    </row>
    <row r="643" spans="13:23">
      <c r="M643" s="9"/>
      <c r="W643" s="6"/>
    </row>
    <row r="644" spans="13:23">
      <c r="M644" s="9"/>
      <c r="W644" s="6"/>
    </row>
    <row r="645" spans="13:23">
      <c r="M645" s="9"/>
      <c r="W645" s="6"/>
    </row>
    <row r="646" spans="13:23">
      <c r="M646" s="9"/>
      <c r="W646" s="6"/>
    </row>
    <row r="647" spans="13:23">
      <c r="M647" s="9"/>
      <c r="W647" s="6"/>
    </row>
    <row r="648" spans="13:23">
      <c r="M648" s="9"/>
      <c r="W648" s="6"/>
    </row>
    <row r="649" spans="13:23">
      <c r="M649" s="9"/>
      <c r="W649" s="6"/>
    </row>
    <row r="650" spans="13:23">
      <c r="M650" s="9"/>
      <c r="W650" s="6"/>
    </row>
    <row r="651" spans="13:23">
      <c r="M651" s="9"/>
      <c r="W651" s="6"/>
    </row>
    <row r="652" spans="13:23">
      <c r="M652" s="9"/>
      <c r="W652" s="6"/>
    </row>
    <row r="653" spans="13:23">
      <c r="M653" s="9"/>
      <c r="W653" s="6"/>
    </row>
    <row r="654" spans="13:23">
      <c r="M654" s="9"/>
      <c r="W654" s="6"/>
    </row>
    <row r="655" spans="13:23">
      <c r="M655" s="9"/>
      <c r="W655" s="6"/>
    </row>
    <row r="656" spans="13:23">
      <c r="M656" s="9"/>
      <c r="W656" s="6"/>
    </row>
    <row r="657" spans="13:23">
      <c r="M657" s="9"/>
      <c r="W657" s="6"/>
    </row>
    <row r="658" spans="13:23">
      <c r="M658" s="9"/>
      <c r="W658" s="6"/>
    </row>
    <row r="659" spans="13:23">
      <c r="M659" s="9"/>
      <c r="W659" s="6"/>
    </row>
    <row r="660" spans="13:23">
      <c r="M660" s="9"/>
      <c r="W660" s="6"/>
    </row>
    <row r="661" spans="13:23">
      <c r="M661" s="9"/>
      <c r="W661" s="6"/>
    </row>
    <row r="662" spans="13:23">
      <c r="M662" s="9"/>
      <c r="W662" s="6"/>
    </row>
    <row r="663" spans="13:23">
      <c r="M663" s="9"/>
      <c r="W663" s="6"/>
    </row>
    <row r="664" spans="13:23">
      <c r="M664" s="9"/>
      <c r="W664" s="6"/>
    </row>
    <row r="665" spans="13:23">
      <c r="M665" s="9"/>
      <c r="W665" s="6"/>
    </row>
    <row r="666" spans="13:23">
      <c r="M666" s="9"/>
      <c r="W666" s="6"/>
    </row>
    <row r="667" spans="13:23">
      <c r="M667" s="9"/>
      <c r="W667" s="6"/>
    </row>
    <row r="668" spans="13:23">
      <c r="M668" s="9"/>
      <c r="W668" s="6"/>
    </row>
    <row r="669" spans="13:23">
      <c r="M669" s="9"/>
      <c r="W669" s="6"/>
    </row>
    <row r="670" spans="13:23">
      <c r="M670" s="9"/>
      <c r="W670" s="6"/>
    </row>
    <row r="671" spans="13:23">
      <c r="M671" s="9"/>
      <c r="W671" s="6"/>
    </row>
    <row r="672" spans="13:23">
      <c r="M672" s="9"/>
      <c r="W672" s="6"/>
    </row>
    <row r="673" spans="13:23">
      <c r="M673" s="9"/>
      <c r="W673" s="6"/>
    </row>
    <row r="674" spans="13:23">
      <c r="M674" s="9"/>
      <c r="W674" s="6"/>
    </row>
    <row r="675" spans="13:23">
      <c r="M675" s="9"/>
      <c r="W675" s="6"/>
    </row>
    <row r="676" spans="13:23">
      <c r="M676" s="9"/>
      <c r="W676" s="6"/>
    </row>
    <row r="677" spans="13:23">
      <c r="M677" s="9"/>
      <c r="W677" s="6"/>
    </row>
    <row r="678" spans="13:23">
      <c r="M678" s="9"/>
      <c r="W678" s="6"/>
    </row>
    <row r="679" spans="13:23">
      <c r="M679" s="9"/>
      <c r="W679" s="6"/>
    </row>
    <row r="680" spans="13:23">
      <c r="M680" s="9"/>
      <c r="W680" s="6"/>
    </row>
    <row r="681" spans="13:23">
      <c r="M681" s="9"/>
      <c r="W681" s="6"/>
    </row>
    <row r="682" spans="13:23">
      <c r="M682" s="9"/>
      <c r="W682" s="6"/>
    </row>
    <row r="683" spans="13:23">
      <c r="M683" s="9"/>
      <c r="W683" s="6"/>
    </row>
    <row r="684" spans="13:23">
      <c r="M684" s="9"/>
      <c r="W684" s="6"/>
    </row>
    <row r="685" spans="13:23">
      <c r="M685" s="9"/>
      <c r="W685" s="6"/>
    </row>
    <row r="686" spans="13:23">
      <c r="M686" s="9"/>
      <c r="W686" s="6"/>
    </row>
    <row r="687" spans="13:23">
      <c r="M687" s="9"/>
      <c r="W687" s="6"/>
    </row>
    <row r="688" spans="13:23">
      <c r="M688" s="9"/>
      <c r="W688" s="6"/>
    </row>
    <row r="689" spans="13:23">
      <c r="M689" s="9"/>
      <c r="W689" s="6"/>
    </row>
    <row r="690" spans="13:23">
      <c r="M690" s="9"/>
      <c r="W690" s="6"/>
    </row>
    <row r="691" spans="13:23">
      <c r="M691" s="9"/>
      <c r="W691" s="6"/>
    </row>
    <row r="692" spans="13:23">
      <c r="M692" s="9"/>
      <c r="W692" s="6"/>
    </row>
    <row r="693" spans="13:23">
      <c r="M693" s="9"/>
      <c r="W693" s="6"/>
    </row>
    <row r="694" spans="13:23">
      <c r="M694" s="9"/>
      <c r="W694" s="6"/>
    </row>
    <row r="695" spans="13:23">
      <c r="M695" s="9"/>
      <c r="W695" s="6"/>
    </row>
    <row r="696" spans="13:23">
      <c r="M696" s="9"/>
      <c r="W696" s="6"/>
    </row>
    <row r="697" spans="13:23">
      <c r="M697" s="9"/>
      <c r="W697" s="6"/>
    </row>
    <row r="698" spans="13:23">
      <c r="M698" s="9"/>
      <c r="W698" s="6"/>
    </row>
    <row r="699" spans="13:23">
      <c r="M699" s="9"/>
      <c r="W699" s="6"/>
    </row>
    <row r="700" spans="13:23">
      <c r="M700" s="9"/>
      <c r="W700" s="6"/>
    </row>
    <row r="701" spans="13:23">
      <c r="M701" s="9"/>
      <c r="W701" s="6"/>
    </row>
    <row r="702" spans="13:23">
      <c r="M702" s="9"/>
      <c r="W702" s="6"/>
    </row>
    <row r="703" spans="13:23">
      <c r="M703" s="9"/>
      <c r="W703" s="6"/>
    </row>
    <row r="704" spans="13:23">
      <c r="M704" s="9"/>
      <c r="W704" s="6"/>
    </row>
    <row r="705" spans="13:23">
      <c r="M705" s="9"/>
      <c r="W705" s="6"/>
    </row>
    <row r="706" spans="13:23">
      <c r="M706" s="9"/>
      <c r="W706" s="6"/>
    </row>
    <row r="707" spans="13:23">
      <c r="M707" s="9"/>
      <c r="W707" s="6"/>
    </row>
    <row r="708" spans="13:23">
      <c r="M708" s="9"/>
      <c r="W708" s="6"/>
    </row>
    <row r="709" spans="13:23">
      <c r="M709" s="9"/>
      <c r="W709" s="6"/>
    </row>
    <row r="710" spans="13:23">
      <c r="M710" s="9"/>
      <c r="W710" s="6"/>
    </row>
    <row r="711" spans="13:23">
      <c r="M711" s="9"/>
      <c r="W711" s="6"/>
    </row>
    <row r="712" spans="13:23">
      <c r="M712" s="9"/>
      <c r="W712" s="6"/>
    </row>
    <row r="713" spans="13:23">
      <c r="M713" s="9"/>
      <c r="W713" s="6"/>
    </row>
    <row r="714" spans="13:23">
      <c r="M714" s="9"/>
      <c r="W714" s="6"/>
    </row>
    <row r="715" spans="13:23">
      <c r="M715" s="9"/>
      <c r="W715" s="6"/>
    </row>
    <row r="716" spans="13:23">
      <c r="M716" s="9"/>
      <c r="W716" s="6"/>
    </row>
    <row r="717" spans="13:23">
      <c r="M717" s="9"/>
      <c r="W717" s="6"/>
    </row>
    <row r="718" spans="13:23">
      <c r="M718" s="9"/>
      <c r="W718" s="6"/>
    </row>
    <row r="719" spans="13:23">
      <c r="M719" s="9"/>
      <c r="W719" s="6"/>
    </row>
    <row r="720" spans="13:23">
      <c r="M720" s="9"/>
      <c r="W720" s="6"/>
    </row>
    <row r="721" spans="13:23">
      <c r="M721" s="9"/>
      <c r="W721" s="6"/>
    </row>
    <row r="722" spans="13:23">
      <c r="M722" s="9"/>
      <c r="W722" s="6"/>
    </row>
    <row r="723" spans="13:23">
      <c r="M723" s="9"/>
      <c r="W723" s="6"/>
    </row>
    <row r="724" spans="13:23">
      <c r="M724" s="9"/>
      <c r="W724" s="6"/>
    </row>
    <row r="725" spans="13:23">
      <c r="M725" s="9"/>
      <c r="W725" s="6"/>
    </row>
    <row r="726" spans="13:23">
      <c r="M726" s="9"/>
      <c r="W726" s="6"/>
    </row>
    <row r="727" spans="13:23">
      <c r="M727" s="9"/>
      <c r="W727" s="6"/>
    </row>
    <row r="728" spans="13:23">
      <c r="M728" s="9"/>
      <c r="W728" s="6"/>
    </row>
    <row r="729" spans="13:23">
      <c r="M729" s="9"/>
      <c r="W729" s="6"/>
    </row>
    <row r="730" spans="13:23">
      <c r="M730" s="9"/>
      <c r="W730" s="6"/>
    </row>
    <row r="731" spans="13:23">
      <c r="M731" s="9"/>
      <c r="W731" s="6"/>
    </row>
    <row r="732" spans="13:23">
      <c r="M732" s="9"/>
      <c r="W732" s="6"/>
    </row>
    <row r="733" spans="13:23">
      <c r="M733" s="9"/>
      <c r="W733" s="6"/>
    </row>
    <row r="734" spans="13:23">
      <c r="M734" s="9"/>
      <c r="W734" s="6"/>
    </row>
    <row r="735" spans="13:23">
      <c r="M735" s="9"/>
      <c r="W735" s="6"/>
    </row>
    <row r="736" spans="13:23">
      <c r="M736" s="9"/>
      <c r="W736" s="6"/>
    </row>
    <row r="737" spans="13:23">
      <c r="M737" s="9"/>
      <c r="W737" s="6"/>
    </row>
    <row r="738" spans="13:23">
      <c r="M738" s="9"/>
      <c r="W738" s="6"/>
    </row>
    <row r="739" spans="13:23">
      <c r="M739" s="9"/>
      <c r="W739" s="6"/>
    </row>
    <row r="740" spans="13:23">
      <c r="M740" s="9"/>
      <c r="W740" s="6"/>
    </row>
    <row r="741" spans="13:23">
      <c r="M741" s="9"/>
      <c r="W741" s="6"/>
    </row>
    <row r="742" spans="13:23">
      <c r="M742" s="9"/>
      <c r="W742" s="6"/>
    </row>
    <row r="743" spans="13:23">
      <c r="M743" s="9"/>
      <c r="W743" s="6"/>
    </row>
    <row r="744" spans="13:23">
      <c r="M744" s="9"/>
      <c r="W744" s="6"/>
    </row>
    <row r="745" spans="13:23">
      <c r="M745" s="9"/>
      <c r="W745" s="6"/>
    </row>
    <row r="746" spans="13:23">
      <c r="M746" s="9"/>
      <c r="W746" s="6"/>
    </row>
    <row r="747" spans="13:23">
      <c r="M747" s="9"/>
      <c r="W747" s="6"/>
    </row>
    <row r="748" spans="13:23">
      <c r="M748" s="9"/>
      <c r="W748" s="6"/>
    </row>
    <row r="749" spans="13:23">
      <c r="M749" s="9"/>
      <c r="W749" s="6"/>
    </row>
    <row r="750" spans="13:23">
      <c r="M750" s="9"/>
      <c r="W750" s="6"/>
    </row>
    <row r="751" spans="13:23">
      <c r="M751" s="9"/>
      <c r="W751" s="6"/>
    </row>
    <row r="752" spans="13:23">
      <c r="M752" s="9"/>
      <c r="W752" s="6"/>
    </row>
    <row r="753" spans="13:23">
      <c r="M753" s="9"/>
      <c r="W753" s="6"/>
    </row>
    <row r="754" spans="13:23">
      <c r="M754" s="9"/>
      <c r="W754" s="6"/>
    </row>
    <row r="755" spans="13:23">
      <c r="M755" s="9"/>
      <c r="W755" s="6"/>
    </row>
    <row r="756" spans="13:23">
      <c r="M756" s="9"/>
      <c r="W756" s="6"/>
    </row>
    <row r="757" spans="13:23">
      <c r="M757" s="9"/>
      <c r="W757" s="6"/>
    </row>
    <row r="758" spans="13:23">
      <c r="M758" s="9"/>
      <c r="W758" s="6"/>
    </row>
    <row r="759" spans="13:23">
      <c r="M759" s="9"/>
      <c r="W759" s="6"/>
    </row>
    <row r="760" spans="13:23">
      <c r="M760" s="9"/>
      <c r="W760" s="6"/>
    </row>
    <row r="761" spans="13:23">
      <c r="M761" s="9"/>
      <c r="W761" s="6"/>
    </row>
    <row r="762" spans="13:23">
      <c r="M762" s="9"/>
      <c r="W762" s="6"/>
    </row>
    <row r="763" spans="13:23">
      <c r="M763" s="9"/>
      <c r="W763" s="6"/>
    </row>
    <row r="764" spans="13:23">
      <c r="M764" s="9"/>
      <c r="W764" s="6"/>
    </row>
    <row r="765" spans="13:23">
      <c r="M765" s="9"/>
      <c r="W765" s="6"/>
    </row>
    <row r="766" spans="13:23">
      <c r="M766" s="9"/>
      <c r="W766" s="6"/>
    </row>
    <row r="767" spans="13:23">
      <c r="M767" s="9"/>
      <c r="W767" s="6"/>
    </row>
    <row r="768" spans="13:23">
      <c r="M768" s="9"/>
      <c r="W768" s="6"/>
    </row>
    <row r="769" spans="13:23">
      <c r="M769" s="9"/>
      <c r="W769" s="6"/>
    </row>
    <row r="770" spans="13:23">
      <c r="M770" s="9"/>
      <c r="W770" s="6"/>
    </row>
    <row r="771" spans="13:23">
      <c r="M771" s="9"/>
      <c r="W771" s="6"/>
    </row>
    <row r="772" spans="13:23">
      <c r="M772" s="9"/>
      <c r="W772" s="6"/>
    </row>
    <row r="773" spans="13:23">
      <c r="M773" s="9"/>
      <c r="W773" s="6"/>
    </row>
    <row r="774" spans="13:23">
      <c r="M774" s="9"/>
      <c r="W774" s="6"/>
    </row>
    <row r="775" spans="13:23">
      <c r="M775" s="9"/>
      <c r="W775" s="6"/>
    </row>
    <row r="776" spans="13:23">
      <c r="M776" s="9"/>
      <c r="W776" s="6"/>
    </row>
    <row r="777" spans="13:23">
      <c r="M777" s="9"/>
      <c r="W777" s="6"/>
    </row>
    <row r="778" spans="13:23">
      <c r="M778" s="9"/>
      <c r="W778" s="6"/>
    </row>
    <row r="779" spans="13:23">
      <c r="M779" s="9"/>
      <c r="W779" s="6"/>
    </row>
    <row r="780" spans="13:23">
      <c r="M780" s="9"/>
      <c r="W780" s="6"/>
    </row>
    <row r="781" spans="13:23">
      <c r="M781" s="9"/>
      <c r="W781" s="6"/>
    </row>
    <row r="782" spans="13:23">
      <c r="M782" s="9"/>
      <c r="W782" s="6"/>
    </row>
    <row r="783" spans="13:23">
      <c r="M783" s="9"/>
      <c r="W783" s="6"/>
    </row>
    <row r="784" spans="13:23">
      <c r="M784" s="9"/>
      <c r="W784" s="6"/>
    </row>
    <row r="785" spans="13:23">
      <c r="M785" s="9"/>
      <c r="W785" s="6"/>
    </row>
    <row r="786" spans="13:23">
      <c r="M786" s="9"/>
      <c r="W786" s="6"/>
    </row>
    <row r="787" spans="13:23">
      <c r="M787" s="9"/>
      <c r="W787" s="6"/>
    </row>
    <row r="788" spans="13:23">
      <c r="M788" s="9"/>
      <c r="W788" s="6"/>
    </row>
    <row r="789" spans="13:23">
      <c r="M789" s="9"/>
      <c r="W789" s="6"/>
    </row>
    <row r="790" spans="13:23">
      <c r="M790" s="9"/>
      <c r="W790" s="6"/>
    </row>
    <row r="791" spans="13:23">
      <c r="M791" s="9"/>
      <c r="W791" s="6"/>
    </row>
    <row r="792" spans="13:23">
      <c r="M792" s="9"/>
      <c r="W792" s="6"/>
    </row>
    <row r="793" spans="13:23">
      <c r="M793" s="9"/>
      <c r="W793" s="6"/>
    </row>
    <row r="794" spans="13:23">
      <c r="M794" s="9"/>
      <c r="W794" s="6"/>
    </row>
    <row r="795" spans="13:23">
      <c r="M795" s="9"/>
      <c r="W795" s="6"/>
    </row>
    <row r="796" spans="13:23">
      <c r="M796" s="9"/>
      <c r="W796" s="6"/>
    </row>
    <row r="797" spans="13:23">
      <c r="M797" s="9"/>
      <c r="W797" s="6"/>
    </row>
    <row r="798" spans="13:23">
      <c r="M798" s="9"/>
      <c r="W798" s="6"/>
    </row>
    <row r="799" spans="13:23">
      <c r="M799" s="9"/>
      <c r="W799" s="6"/>
    </row>
    <row r="800" spans="13:23">
      <c r="M800" s="9"/>
      <c r="W800" s="6"/>
    </row>
    <row r="801" spans="13:23">
      <c r="M801" s="9"/>
      <c r="W801" s="6"/>
    </row>
    <row r="802" spans="13:23">
      <c r="M802" s="9"/>
      <c r="W802" s="6"/>
    </row>
    <row r="803" spans="13:23">
      <c r="M803" s="9"/>
      <c r="W803" s="6"/>
    </row>
    <row r="804" spans="13:23">
      <c r="M804" s="9"/>
      <c r="W804" s="6"/>
    </row>
    <row r="805" spans="13:23">
      <c r="M805" s="9"/>
      <c r="W805" s="6"/>
    </row>
    <row r="806" spans="13:23">
      <c r="M806" s="9"/>
      <c r="W806" s="6"/>
    </row>
    <row r="807" spans="13:23">
      <c r="M807" s="9"/>
      <c r="W807" s="6"/>
    </row>
    <row r="808" spans="13:23">
      <c r="M808" s="9"/>
      <c r="W808" s="6"/>
    </row>
    <row r="809" spans="13:23">
      <c r="M809" s="9"/>
      <c r="W809" s="6"/>
    </row>
    <row r="810" spans="13:23">
      <c r="M810" s="9"/>
      <c r="W810" s="6"/>
    </row>
    <row r="811" spans="13:23">
      <c r="M811" s="9"/>
      <c r="W811" s="6"/>
    </row>
    <row r="812" spans="13:23">
      <c r="M812" s="9"/>
      <c r="W812" s="6"/>
    </row>
    <row r="813" spans="13:23">
      <c r="M813" s="9"/>
      <c r="W813" s="6"/>
    </row>
    <row r="814" spans="13:23">
      <c r="M814" s="9"/>
      <c r="W814" s="6"/>
    </row>
    <row r="815" spans="13:23">
      <c r="M815" s="9"/>
      <c r="W815" s="6"/>
    </row>
    <row r="816" spans="13:23">
      <c r="M816" s="9"/>
      <c r="W816" s="6"/>
    </row>
    <row r="817" spans="9:23">
      <c r="I817" s="7"/>
      <c r="M817" s="9"/>
      <c r="O817" s="7"/>
      <c r="W817" s="6"/>
    </row>
    <row r="818" spans="9:23">
      <c r="I818" s="7"/>
      <c r="M818" s="9"/>
      <c r="O818" s="7"/>
      <c r="W818" s="6"/>
    </row>
    <row r="819" spans="9:23">
      <c r="M819" s="9"/>
      <c r="W819" s="6"/>
    </row>
    <row r="820" spans="9:23">
      <c r="M820" s="9"/>
      <c r="W820" s="6"/>
    </row>
    <row r="821" spans="9:23">
      <c r="M821" s="9"/>
      <c r="W821" s="6"/>
    </row>
    <row r="822" spans="9:23">
      <c r="M822" s="9"/>
      <c r="W822" s="6"/>
    </row>
    <row r="823" spans="9:23">
      <c r="M823" s="9"/>
      <c r="W823" s="6"/>
    </row>
    <row r="824" spans="9:23">
      <c r="M824" s="9"/>
      <c r="W824" s="6"/>
    </row>
    <row r="825" spans="9:23">
      <c r="M825" s="9"/>
      <c r="W825" s="6"/>
    </row>
    <row r="826" spans="9:23">
      <c r="M826" s="9"/>
      <c r="W826" s="6"/>
    </row>
    <row r="827" spans="9:23">
      <c r="M827" s="9"/>
      <c r="W827" s="6"/>
    </row>
    <row r="828" spans="9:23">
      <c r="M828" s="9"/>
      <c r="W828" s="6"/>
    </row>
    <row r="829" spans="9:23">
      <c r="M829" s="9"/>
      <c r="W829" s="6"/>
    </row>
    <row r="830" spans="9:23">
      <c r="M830" s="9"/>
      <c r="W830" s="6"/>
    </row>
    <row r="831" spans="9:23">
      <c r="M831" s="9"/>
      <c r="W831" s="6"/>
    </row>
    <row r="832" spans="9:23">
      <c r="M832" s="9"/>
      <c r="W832" s="6"/>
    </row>
    <row r="833" spans="13:23">
      <c r="M833" s="9"/>
      <c r="W833" s="6"/>
    </row>
    <row r="834" spans="13:23">
      <c r="M834" s="9"/>
      <c r="W834" s="6"/>
    </row>
    <row r="835" spans="13:23">
      <c r="M835" s="9"/>
      <c r="W835" s="6"/>
    </row>
    <row r="836" spans="13:23">
      <c r="M836" s="9"/>
      <c r="W836" s="6"/>
    </row>
    <row r="837" spans="13:23">
      <c r="M837" s="9"/>
      <c r="W837" s="6"/>
    </row>
    <row r="838" spans="13:23">
      <c r="M838" s="9"/>
      <c r="W838" s="6"/>
    </row>
    <row r="839" spans="13:23">
      <c r="M839" s="9"/>
      <c r="W839" s="6"/>
    </row>
    <row r="840" spans="13:23">
      <c r="M840" s="9"/>
      <c r="W840" s="6"/>
    </row>
    <row r="841" spans="13:23">
      <c r="M841" s="9"/>
      <c r="W841" s="6"/>
    </row>
    <row r="842" spans="13:23">
      <c r="M842" s="9"/>
      <c r="W842" s="6"/>
    </row>
    <row r="843" spans="13:23">
      <c r="M843" s="9"/>
      <c r="W843" s="6"/>
    </row>
    <row r="844" spans="13:23">
      <c r="M844" s="9"/>
      <c r="W844" s="6"/>
    </row>
    <row r="845" spans="13:23">
      <c r="M845" s="9"/>
      <c r="W845" s="6"/>
    </row>
    <row r="846" spans="13:23">
      <c r="M846" s="9"/>
      <c r="W846" s="6"/>
    </row>
    <row r="847" spans="13:23">
      <c r="M847" s="9"/>
      <c r="W847" s="6"/>
    </row>
    <row r="848" spans="13:23">
      <c r="M848" s="9"/>
      <c r="W848" s="6"/>
    </row>
    <row r="849" spans="13:23">
      <c r="M849" s="9"/>
      <c r="W849" s="6"/>
    </row>
    <row r="850" spans="13:23">
      <c r="M850" s="9"/>
      <c r="W850" s="6"/>
    </row>
    <row r="851" spans="13:23">
      <c r="M851" s="9"/>
      <c r="W851" s="6"/>
    </row>
    <row r="852" spans="13:23">
      <c r="M852" s="9"/>
      <c r="W852" s="6"/>
    </row>
    <row r="853" spans="13:23">
      <c r="M853" s="9"/>
      <c r="W853" s="6"/>
    </row>
    <row r="854" spans="13:23">
      <c r="M854" s="9"/>
      <c r="W854" s="6"/>
    </row>
    <row r="855" spans="13:23">
      <c r="M855" s="9"/>
      <c r="W855" s="6"/>
    </row>
    <row r="856" spans="13:23">
      <c r="M856" s="9"/>
      <c r="W856" s="6"/>
    </row>
    <row r="857" spans="13:23">
      <c r="M857" s="9"/>
      <c r="W857" s="6"/>
    </row>
    <row r="858" spans="13:23">
      <c r="M858" s="9"/>
      <c r="W858" s="6"/>
    </row>
    <row r="859" spans="13:23">
      <c r="M859" s="9"/>
      <c r="W859" s="6"/>
    </row>
    <row r="860" spans="13:23">
      <c r="M860" s="9"/>
      <c r="W860" s="6"/>
    </row>
    <row r="861" spans="13:23">
      <c r="M861" s="9"/>
      <c r="W861" s="6"/>
    </row>
    <row r="862" spans="13:23">
      <c r="M862" s="9"/>
      <c r="W862" s="6"/>
    </row>
    <row r="863" spans="13:23">
      <c r="M863" s="9"/>
      <c r="W863" s="6"/>
    </row>
    <row r="864" spans="13:23">
      <c r="M864" s="9"/>
      <c r="W864" s="6"/>
    </row>
    <row r="865" spans="13:23">
      <c r="M865" s="9"/>
      <c r="W865" s="6"/>
    </row>
    <row r="866" spans="13:23">
      <c r="M866" s="9"/>
      <c r="W866" s="6"/>
    </row>
    <row r="867" spans="13:23">
      <c r="M867" s="9"/>
      <c r="W867" s="6"/>
    </row>
    <row r="868" spans="13:23">
      <c r="M868" s="9"/>
      <c r="W868" s="6"/>
    </row>
    <row r="869" spans="13:23">
      <c r="M869" s="9"/>
      <c r="W869" s="6"/>
    </row>
    <row r="870" spans="13:23">
      <c r="M870" s="9"/>
      <c r="W870" s="6"/>
    </row>
    <row r="871" spans="13:23">
      <c r="M871" s="9"/>
      <c r="W871" s="6"/>
    </row>
    <row r="872" spans="13:23">
      <c r="M872" s="9"/>
      <c r="W872" s="6"/>
    </row>
    <row r="873" spans="13:23">
      <c r="M873" s="9"/>
      <c r="W873" s="6"/>
    </row>
    <row r="874" spans="13:23">
      <c r="M874" s="9"/>
      <c r="W874" s="6"/>
    </row>
    <row r="875" spans="13:23">
      <c r="M875" s="9"/>
      <c r="W875" s="6"/>
    </row>
    <row r="876" spans="13:23">
      <c r="M876" s="9"/>
      <c r="W876" s="6"/>
    </row>
    <row r="877" spans="13:23">
      <c r="M877" s="9"/>
      <c r="W877" s="6"/>
    </row>
    <row r="878" spans="13:23">
      <c r="M878" s="9"/>
      <c r="W878" s="6"/>
    </row>
    <row r="879" spans="13:23">
      <c r="M879" s="9"/>
      <c r="W879" s="6"/>
    </row>
    <row r="880" spans="13:23">
      <c r="M880" s="9"/>
      <c r="W880" s="6"/>
    </row>
    <row r="881" spans="13:23">
      <c r="M881" s="9"/>
      <c r="W881" s="6"/>
    </row>
    <row r="882" spans="13:23">
      <c r="M882" s="9"/>
      <c r="W882" s="6"/>
    </row>
    <row r="883" spans="13:23">
      <c r="M883" s="9"/>
      <c r="W883" s="6"/>
    </row>
    <row r="884" spans="13:23">
      <c r="M884" s="9"/>
      <c r="W884" s="6"/>
    </row>
    <row r="885" spans="13:23">
      <c r="M885" s="9"/>
      <c r="W885" s="6"/>
    </row>
    <row r="886" spans="13:23">
      <c r="M886" s="9"/>
      <c r="W886" s="6"/>
    </row>
    <row r="887" spans="13:23">
      <c r="M887" s="9"/>
      <c r="W887" s="6"/>
    </row>
    <row r="888" spans="13:23">
      <c r="M888" s="9"/>
      <c r="W888" s="6"/>
    </row>
    <row r="889" spans="13:23">
      <c r="M889" s="9"/>
      <c r="W889" s="6"/>
    </row>
    <row r="890" spans="13:23">
      <c r="M890" s="9"/>
      <c r="W890" s="6"/>
    </row>
    <row r="891" spans="13:23">
      <c r="M891" s="9"/>
      <c r="W891" s="6"/>
    </row>
    <row r="892" spans="13:23">
      <c r="M892" s="9"/>
      <c r="W892" s="6"/>
    </row>
    <row r="893" spans="13:23">
      <c r="M893" s="9"/>
      <c r="W893" s="6"/>
    </row>
    <row r="894" spans="13:23">
      <c r="M894" s="9"/>
      <c r="W894" s="6"/>
    </row>
    <row r="895" spans="13:23">
      <c r="M895" s="9"/>
      <c r="W895" s="6"/>
    </row>
    <row r="896" spans="13:23">
      <c r="M896" s="9"/>
      <c r="W896" s="6"/>
    </row>
    <row r="897" spans="13:23">
      <c r="M897" s="9"/>
      <c r="W897" s="6"/>
    </row>
    <row r="898" spans="13:23">
      <c r="M898" s="9"/>
      <c r="W898" s="6"/>
    </row>
    <row r="899" spans="13:23">
      <c r="M899" s="9"/>
      <c r="W899" s="6"/>
    </row>
    <row r="900" spans="13:23">
      <c r="M900" s="9"/>
      <c r="W900" s="6"/>
    </row>
    <row r="901" spans="13:23">
      <c r="M901" s="9"/>
      <c r="W901" s="6"/>
    </row>
    <row r="902" spans="13:23">
      <c r="M902" s="9"/>
      <c r="W902" s="6"/>
    </row>
    <row r="903" spans="13:23">
      <c r="M903" s="9"/>
      <c r="W903" s="6"/>
    </row>
    <row r="904" spans="13:23">
      <c r="M904" s="9"/>
      <c r="W904" s="6"/>
    </row>
    <row r="905" spans="13:23">
      <c r="M905" s="9"/>
      <c r="W905" s="6"/>
    </row>
    <row r="906" spans="13:23">
      <c r="M906" s="9"/>
      <c r="W906" s="6"/>
    </row>
    <row r="907" spans="13:23">
      <c r="M907" s="9"/>
      <c r="W907" s="6"/>
    </row>
    <row r="908" spans="13:23">
      <c r="M908" s="9"/>
      <c r="W908" s="6"/>
    </row>
    <row r="909" spans="13:23">
      <c r="M909" s="9"/>
      <c r="W909" s="6"/>
    </row>
    <row r="910" spans="13:23">
      <c r="M910" s="9"/>
      <c r="W910" s="6"/>
    </row>
    <row r="911" spans="13:23">
      <c r="M911" s="9"/>
      <c r="W911" s="6"/>
    </row>
    <row r="912" spans="13:23">
      <c r="M912" s="9"/>
      <c r="W912" s="6"/>
    </row>
    <row r="913" spans="13:23">
      <c r="M913" s="9"/>
      <c r="W913" s="6"/>
    </row>
    <row r="914" spans="13:23">
      <c r="M914" s="9"/>
      <c r="W914" s="6"/>
    </row>
    <row r="915" spans="13:23">
      <c r="M915" s="9"/>
      <c r="W915" s="6"/>
    </row>
    <row r="916" spans="13:23">
      <c r="M916" s="9"/>
      <c r="W916" s="6"/>
    </row>
    <row r="917" spans="13:23">
      <c r="M917" s="9"/>
      <c r="W917" s="6"/>
    </row>
    <row r="918" spans="13:23">
      <c r="M918" s="9"/>
      <c r="W918" s="6"/>
    </row>
    <row r="919" spans="13:23">
      <c r="M919" s="9"/>
      <c r="W919" s="6"/>
    </row>
    <row r="920" spans="13:23">
      <c r="M920" s="9"/>
      <c r="W920" s="6"/>
    </row>
    <row r="921" spans="13:23">
      <c r="M921" s="9"/>
      <c r="W921" s="6"/>
    </row>
    <row r="922" spans="13:23">
      <c r="M922" s="9"/>
      <c r="W922" s="6"/>
    </row>
    <row r="923" spans="13:23">
      <c r="M923" s="9"/>
      <c r="W923" s="6"/>
    </row>
    <row r="924" spans="13:23">
      <c r="M924" s="9"/>
      <c r="W924" s="6"/>
    </row>
    <row r="925" spans="13:23">
      <c r="M925" s="9"/>
      <c r="W925" s="6"/>
    </row>
    <row r="926" spans="13:23">
      <c r="M926" s="9"/>
      <c r="W926" s="6"/>
    </row>
    <row r="927" spans="13:23">
      <c r="M927" s="9"/>
      <c r="W927" s="6"/>
    </row>
    <row r="928" spans="13:23">
      <c r="M928" s="9"/>
      <c r="W928" s="6"/>
    </row>
    <row r="929" spans="13:23">
      <c r="M929" s="9"/>
      <c r="W929" s="6"/>
    </row>
    <row r="930" spans="13:23">
      <c r="M930" s="9"/>
      <c r="W930" s="6"/>
    </row>
    <row r="931" spans="13:23">
      <c r="M931" s="9"/>
      <c r="W931" s="6"/>
    </row>
    <row r="932" spans="13:23">
      <c r="M932" s="9"/>
      <c r="W932" s="6"/>
    </row>
    <row r="933" spans="13:23">
      <c r="M933" s="9"/>
      <c r="W933" s="6"/>
    </row>
    <row r="934" spans="13:23">
      <c r="M934" s="9"/>
      <c r="W934" s="6"/>
    </row>
    <row r="935" spans="13:23">
      <c r="M935" s="9"/>
      <c r="W935" s="6"/>
    </row>
    <row r="936" spans="13:23">
      <c r="M936" s="9"/>
      <c r="W936" s="6"/>
    </row>
    <row r="937" spans="13:23">
      <c r="M937" s="9"/>
      <c r="W937" s="6"/>
    </row>
    <row r="938" spans="13:23">
      <c r="M938" s="9"/>
      <c r="W938" s="6"/>
    </row>
    <row r="939" spans="13:23">
      <c r="M939" s="9"/>
      <c r="W939" s="6"/>
    </row>
    <row r="940" spans="13:23">
      <c r="M940" s="9"/>
      <c r="W940" s="6"/>
    </row>
    <row r="941" spans="13:23">
      <c r="M941" s="9"/>
      <c r="W941" s="6"/>
    </row>
    <row r="942" spans="13:23">
      <c r="M942" s="9"/>
      <c r="W942" s="6"/>
    </row>
    <row r="943" spans="13:23">
      <c r="M943" s="9"/>
      <c r="W943" s="6"/>
    </row>
    <row r="944" spans="13:23">
      <c r="M944" s="9"/>
      <c r="W944" s="6"/>
    </row>
    <row r="945" spans="13:23">
      <c r="M945" s="9"/>
      <c r="W945" s="6"/>
    </row>
    <row r="946" spans="13:23">
      <c r="M946" s="9"/>
      <c r="W946" s="6"/>
    </row>
    <row r="947" spans="13:23">
      <c r="M947" s="9"/>
      <c r="W947" s="6"/>
    </row>
    <row r="948" spans="13:23">
      <c r="M948" s="9"/>
      <c r="W948" s="6"/>
    </row>
    <row r="949" spans="13:23">
      <c r="M949" s="9"/>
      <c r="W949" s="6"/>
    </row>
    <row r="950" spans="13:23">
      <c r="M950" s="9"/>
      <c r="W950" s="6"/>
    </row>
    <row r="951" spans="13:23">
      <c r="M951" s="9"/>
      <c r="W951" s="6"/>
    </row>
    <row r="952" spans="13:23">
      <c r="M952" s="9"/>
      <c r="W952" s="6"/>
    </row>
    <row r="953" spans="13:23">
      <c r="M953" s="9"/>
      <c r="W953" s="6"/>
    </row>
    <row r="954" spans="13:23">
      <c r="M954" s="9"/>
      <c r="W954" s="6"/>
    </row>
    <row r="955" spans="13:23">
      <c r="M955" s="9"/>
      <c r="W955" s="6"/>
    </row>
    <row r="956" spans="13:23">
      <c r="M956" s="9"/>
      <c r="W956" s="6"/>
    </row>
    <row r="957" spans="13:23">
      <c r="M957" s="9"/>
      <c r="W957" s="6"/>
    </row>
    <row r="958" spans="13:23">
      <c r="M958" s="9"/>
      <c r="W958" s="6"/>
    </row>
    <row r="959" spans="13:23">
      <c r="M959" s="9"/>
      <c r="W959" s="6"/>
    </row>
    <row r="960" spans="13:23">
      <c r="M960" s="9"/>
      <c r="W960" s="6"/>
    </row>
    <row r="961" spans="13:23">
      <c r="M961" s="9"/>
      <c r="W961" s="6"/>
    </row>
    <row r="962" spans="13:23">
      <c r="M962" s="9"/>
      <c r="W962" s="6"/>
    </row>
    <row r="963" spans="13:23">
      <c r="M963" s="9"/>
      <c r="W963" s="6"/>
    </row>
    <row r="964" spans="13:23">
      <c r="M964" s="9"/>
      <c r="W964" s="6"/>
    </row>
    <row r="965" spans="13:23">
      <c r="M965" s="9"/>
      <c r="W965" s="6"/>
    </row>
    <row r="966" spans="13:23">
      <c r="M966" s="9"/>
      <c r="W966" s="6"/>
    </row>
    <row r="967" spans="13:23">
      <c r="M967" s="9"/>
      <c r="W967" s="6"/>
    </row>
    <row r="968" spans="13:23">
      <c r="M968" s="9"/>
      <c r="W968" s="6"/>
    </row>
    <row r="969" spans="13:23">
      <c r="M969" s="9"/>
      <c r="W969" s="6"/>
    </row>
    <row r="970" spans="13:23">
      <c r="M970" s="9"/>
      <c r="W970" s="6"/>
    </row>
    <row r="971" spans="13:23">
      <c r="M971" s="9"/>
      <c r="W971" s="6"/>
    </row>
    <row r="972" spans="13:23">
      <c r="M972" s="9"/>
      <c r="W972" s="6"/>
    </row>
    <row r="973" spans="13:23">
      <c r="M973" s="9"/>
      <c r="W973" s="6"/>
    </row>
    <row r="974" spans="13:23">
      <c r="M974" s="9"/>
      <c r="W974" s="6"/>
    </row>
    <row r="975" spans="13:23">
      <c r="M975" s="9"/>
      <c r="W975" s="6"/>
    </row>
    <row r="976" spans="13:23">
      <c r="M976" s="9"/>
      <c r="W976" s="6"/>
    </row>
    <row r="977" spans="13:23">
      <c r="M977" s="9"/>
      <c r="W977" s="6"/>
    </row>
    <row r="978" spans="13:23">
      <c r="M978" s="9"/>
      <c r="W978" s="6"/>
    </row>
    <row r="979" spans="13:23">
      <c r="M979" s="9"/>
      <c r="W979" s="6"/>
    </row>
    <row r="980" spans="13:23">
      <c r="M980" s="9"/>
      <c r="W980" s="6"/>
    </row>
    <row r="981" spans="13:23">
      <c r="M981" s="9"/>
      <c r="W981" s="6"/>
    </row>
    <row r="982" spans="13:23">
      <c r="M982" s="9"/>
      <c r="W982" s="6"/>
    </row>
    <row r="983" spans="13:23">
      <c r="M983" s="9"/>
      <c r="W983" s="6"/>
    </row>
    <row r="984" spans="13:23">
      <c r="M984" s="9"/>
      <c r="W984" s="6"/>
    </row>
    <row r="985" spans="13:23">
      <c r="M985" s="9"/>
      <c r="W985" s="6"/>
    </row>
    <row r="986" spans="13:23">
      <c r="M986" s="9"/>
      <c r="W986" s="6"/>
    </row>
    <row r="987" spans="13:23">
      <c r="M987" s="9"/>
      <c r="W987" s="6"/>
    </row>
    <row r="988" spans="13:23">
      <c r="M988" s="9"/>
      <c r="W988" s="6"/>
    </row>
    <row r="989" spans="13:23">
      <c r="M989" s="9"/>
      <c r="W989" s="6"/>
    </row>
    <row r="990" spans="13:23">
      <c r="M990" s="9"/>
      <c r="W990" s="6"/>
    </row>
    <row r="991" spans="13:23">
      <c r="M991" s="9"/>
      <c r="W991" s="6"/>
    </row>
    <row r="992" spans="13:23">
      <c r="M992" s="9"/>
      <c r="W992" s="6"/>
    </row>
    <row r="993" spans="13:23">
      <c r="M993" s="9"/>
      <c r="W993" s="6"/>
    </row>
    <row r="994" spans="13:23">
      <c r="M994" s="9"/>
      <c r="W994" s="6"/>
    </row>
    <row r="995" spans="13:23">
      <c r="M995" s="9"/>
      <c r="W995" s="6"/>
    </row>
    <row r="996" spans="13:23">
      <c r="M996" s="9"/>
      <c r="W996" s="6"/>
    </row>
    <row r="997" spans="13:23">
      <c r="M997" s="9"/>
      <c r="W997" s="6"/>
    </row>
    <row r="998" spans="13:23">
      <c r="M998" s="9"/>
      <c r="W998" s="6"/>
    </row>
    <row r="999" spans="13:23">
      <c r="M999" s="9"/>
      <c r="W999" s="6"/>
    </row>
    <row r="1000" spans="13:23">
      <c r="M1000" s="9"/>
      <c r="W1000" s="6"/>
    </row>
    <row r="1001" spans="13:23">
      <c r="M1001" s="9"/>
      <c r="W1001" s="6"/>
    </row>
    <row r="1002" spans="13:23">
      <c r="M1002" s="9"/>
      <c r="W1002" s="6"/>
    </row>
    <row r="1003" spans="13:23">
      <c r="M1003" s="9"/>
      <c r="W1003" s="6"/>
    </row>
    <row r="1004" spans="13:23">
      <c r="M1004" s="9"/>
      <c r="W1004" s="6"/>
    </row>
    <row r="1005" spans="13:23">
      <c r="M1005" s="9"/>
      <c r="W1005" s="6"/>
    </row>
    <row r="1006" spans="13:23">
      <c r="M1006" s="9"/>
      <c r="W1006" s="6"/>
    </row>
    <row r="1007" spans="13:23">
      <c r="M1007" s="9"/>
      <c r="W1007" s="6"/>
    </row>
    <row r="1008" spans="13:23">
      <c r="M1008" s="9"/>
      <c r="W1008" s="6"/>
    </row>
    <row r="1009" spans="13:23">
      <c r="M1009" s="9"/>
      <c r="W1009" s="6"/>
    </row>
    <row r="1010" spans="13:23">
      <c r="M1010" s="9"/>
      <c r="W1010" s="6"/>
    </row>
    <row r="1011" spans="13:23">
      <c r="M1011" s="9"/>
      <c r="W1011" s="6"/>
    </row>
    <row r="1012" spans="13:23">
      <c r="M1012" s="9"/>
      <c r="W1012" s="6"/>
    </row>
    <row r="1013" spans="13:23">
      <c r="M1013" s="9"/>
      <c r="W1013" s="6"/>
    </row>
    <row r="1014" spans="13:23">
      <c r="M1014" s="9"/>
      <c r="W1014" s="6"/>
    </row>
    <row r="1015" spans="13:23">
      <c r="M1015" s="9"/>
      <c r="W1015" s="6"/>
    </row>
    <row r="1016" spans="13:23">
      <c r="M1016" s="9"/>
      <c r="W1016" s="6"/>
    </row>
    <row r="1017" spans="13:23">
      <c r="M1017" s="9"/>
      <c r="W1017" s="6"/>
    </row>
    <row r="1018" spans="13:23">
      <c r="M1018" s="9"/>
      <c r="W1018" s="6"/>
    </row>
    <row r="1019" spans="13:23">
      <c r="M1019" s="9"/>
      <c r="W1019" s="6"/>
    </row>
    <row r="1020" spans="13:23">
      <c r="M1020" s="9"/>
      <c r="W1020" s="6"/>
    </row>
    <row r="1021" spans="13:23">
      <c r="M1021" s="9"/>
      <c r="W1021" s="6"/>
    </row>
    <row r="1022" spans="13:23">
      <c r="M1022" s="9"/>
      <c r="W1022" s="6"/>
    </row>
    <row r="1023" spans="13:23">
      <c r="M1023" s="9"/>
      <c r="W1023" s="6"/>
    </row>
    <row r="1024" spans="13:23">
      <c r="M1024" s="9"/>
      <c r="W1024" s="6"/>
    </row>
    <row r="1025" spans="13:23">
      <c r="M1025" s="9"/>
      <c r="W1025" s="6"/>
    </row>
    <row r="1026" spans="13:23">
      <c r="M1026" s="9"/>
      <c r="W1026" s="6"/>
    </row>
    <row r="1027" spans="13:23">
      <c r="M1027" s="9"/>
      <c r="W1027" s="6"/>
    </row>
    <row r="1028" spans="13:23">
      <c r="M1028" s="9"/>
      <c r="W1028" s="6"/>
    </row>
    <row r="1029" spans="13:23">
      <c r="M1029" s="9"/>
      <c r="W1029" s="6"/>
    </row>
    <row r="1030" spans="13:23">
      <c r="M1030" s="9"/>
      <c r="W1030" s="6"/>
    </row>
    <row r="1031" spans="13:23">
      <c r="M1031" s="9"/>
      <c r="W1031" s="6"/>
    </row>
    <row r="1032" spans="13:23">
      <c r="M1032" s="9"/>
      <c r="W1032" s="6"/>
    </row>
    <row r="1033" spans="13:23">
      <c r="M1033" s="9"/>
      <c r="W1033" s="6"/>
    </row>
    <row r="1034" spans="13:23">
      <c r="M1034" s="9"/>
      <c r="W1034" s="6"/>
    </row>
    <row r="1035" spans="13:23">
      <c r="M1035" s="9"/>
      <c r="W1035" s="6"/>
    </row>
    <row r="1036" spans="13:23">
      <c r="M1036" s="9"/>
      <c r="W1036" s="6"/>
    </row>
    <row r="1037" spans="13:23">
      <c r="M1037" s="9"/>
      <c r="W1037" s="6"/>
    </row>
    <row r="1038" spans="13:23">
      <c r="M1038" s="9"/>
      <c r="W1038" s="6"/>
    </row>
    <row r="1039" spans="13:23">
      <c r="M1039" s="9"/>
      <c r="W1039" s="6"/>
    </row>
    <row r="1040" spans="13:23">
      <c r="M1040" s="9"/>
      <c r="W1040" s="6"/>
    </row>
    <row r="1041" spans="13:23">
      <c r="M1041" s="9"/>
      <c r="W1041" s="6"/>
    </row>
    <row r="1042" spans="13:23">
      <c r="M1042" s="9"/>
      <c r="W1042" s="6"/>
    </row>
    <row r="1043" spans="13:23">
      <c r="M1043" s="9"/>
      <c r="W1043" s="6"/>
    </row>
    <row r="1044" spans="13:23">
      <c r="M1044" s="9"/>
      <c r="W1044" s="6"/>
    </row>
    <row r="1045" spans="13:23">
      <c r="M1045" s="9"/>
      <c r="W1045" s="6"/>
    </row>
    <row r="1046" spans="13:23">
      <c r="M1046" s="9"/>
      <c r="W1046" s="6"/>
    </row>
    <row r="1047" spans="13:23">
      <c r="M1047" s="9"/>
      <c r="W1047" s="6"/>
    </row>
    <row r="1048" spans="13:23">
      <c r="M1048" s="9"/>
      <c r="W1048" s="6"/>
    </row>
    <row r="1049" spans="13:23">
      <c r="M1049" s="9"/>
      <c r="W1049" s="6"/>
    </row>
    <row r="1050" spans="13:23">
      <c r="M1050" s="9"/>
      <c r="W1050" s="6"/>
    </row>
    <row r="1051" spans="13:23">
      <c r="M1051" s="9"/>
      <c r="W1051" s="6"/>
    </row>
    <row r="1052" spans="13:23">
      <c r="M1052" s="9"/>
      <c r="W1052" s="6"/>
    </row>
    <row r="1053" spans="13:23">
      <c r="M1053" s="9"/>
      <c r="W1053" s="6"/>
    </row>
    <row r="1054" spans="13:23">
      <c r="M1054" s="9"/>
      <c r="W1054" s="6"/>
    </row>
    <row r="1055" spans="13:23">
      <c r="M1055" s="9"/>
      <c r="W1055" s="6"/>
    </row>
    <row r="1056" spans="13:23">
      <c r="M1056" s="9"/>
      <c r="W1056" s="6"/>
    </row>
    <row r="1057" spans="13:23">
      <c r="M1057" s="9"/>
      <c r="W1057" s="6"/>
    </row>
    <row r="1058" spans="13:23">
      <c r="M1058" s="9"/>
      <c r="W1058" s="6"/>
    </row>
    <row r="1059" spans="13:23">
      <c r="M1059" s="9"/>
      <c r="W1059" s="6"/>
    </row>
    <row r="1060" spans="13:23">
      <c r="M1060" s="9"/>
      <c r="W1060" s="6"/>
    </row>
    <row r="1061" spans="13:23">
      <c r="M1061" s="9"/>
      <c r="W1061" s="6"/>
    </row>
    <row r="1062" spans="13:23">
      <c r="M1062" s="9"/>
      <c r="W1062" s="6"/>
    </row>
    <row r="1063" spans="13:23">
      <c r="M1063" s="9"/>
      <c r="W1063" s="6"/>
    </row>
    <row r="1064" spans="13:23">
      <c r="M1064" s="9"/>
      <c r="W1064" s="6"/>
    </row>
    <row r="1065" spans="13:23">
      <c r="M1065" s="9"/>
      <c r="W1065" s="6"/>
    </row>
    <row r="1066" spans="13:23">
      <c r="M1066" s="9"/>
      <c r="W1066" s="6"/>
    </row>
    <row r="1067" spans="13:23">
      <c r="M1067" s="9"/>
      <c r="W1067" s="6"/>
    </row>
    <row r="1068" spans="13:23">
      <c r="M1068" s="9"/>
      <c r="W1068" s="6"/>
    </row>
    <row r="1069" spans="13:23">
      <c r="M1069" s="9"/>
      <c r="W1069" s="6"/>
    </row>
    <row r="1070" spans="13:23">
      <c r="M1070" s="9"/>
      <c r="W1070" s="6"/>
    </row>
    <row r="1071" spans="13:23">
      <c r="M1071" s="9"/>
      <c r="W1071" s="6"/>
    </row>
    <row r="1072" spans="13:23">
      <c r="M1072" s="9"/>
      <c r="W1072" s="6"/>
    </row>
    <row r="1073" spans="13:23">
      <c r="M1073" s="9"/>
      <c r="W1073" s="6"/>
    </row>
    <row r="1074" spans="13:23">
      <c r="M1074" s="9"/>
      <c r="W1074" s="6"/>
    </row>
    <row r="1075" spans="13:23">
      <c r="M1075" s="9"/>
      <c r="W1075" s="6"/>
    </row>
    <row r="1076" spans="13:23">
      <c r="M1076" s="9"/>
      <c r="W1076" s="6"/>
    </row>
    <row r="1077" spans="13:23">
      <c r="M1077" s="9"/>
      <c r="W1077" s="6"/>
    </row>
    <row r="1078" spans="13:23">
      <c r="M1078" s="9"/>
      <c r="W1078" s="6"/>
    </row>
    <row r="1079" spans="13:23">
      <c r="M1079" s="9"/>
      <c r="W1079" s="6"/>
    </row>
    <row r="1080" spans="13:23">
      <c r="M1080" s="9"/>
      <c r="W1080" s="6"/>
    </row>
    <row r="1081" spans="13:23">
      <c r="M1081" s="9"/>
      <c r="W1081" s="6"/>
    </row>
    <row r="1082" spans="13:23">
      <c r="M1082" s="9"/>
      <c r="W1082" s="6"/>
    </row>
    <row r="1083" spans="13:23">
      <c r="M1083" s="9"/>
      <c r="W1083" s="6"/>
    </row>
    <row r="1084" spans="13:23">
      <c r="M1084" s="9"/>
      <c r="W1084" s="6"/>
    </row>
    <row r="1085" spans="13:23">
      <c r="M1085" s="9"/>
      <c r="W1085" s="6"/>
    </row>
    <row r="1086" spans="13:23">
      <c r="M1086" s="9"/>
      <c r="W1086" s="6"/>
    </row>
    <row r="1087" spans="13:23">
      <c r="M1087" s="9"/>
      <c r="W1087" s="6"/>
    </row>
    <row r="1088" spans="13:23">
      <c r="M1088" s="9"/>
      <c r="W1088" s="6"/>
    </row>
    <row r="1089" spans="13:23">
      <c r="M1089" s="9"/>
      <c r="W1089" s="6"/>
    </row>
    <row r="1090" spans="13:23">
      <c r="M1090" s="9"/>
      <c r="W1090" s="6"/>
    </row>
    <row r="1091" spans="13:23">
      <c r="M1091" s="9"/>
      <c r="W1091" s="6"/>
    </row>
    <row r="1092" spans="13:23">
      <c r="M1092" s="9"/>
      <c r="W1092" s="6"/>
    </row>
    <row r="1093" spans="13:23">
      <c r="M1093" s="9"/>
      <c r="W1093" s="6"/>
    </row>
    <row r="1094" spans="13:23">
      <c r="M1094" s="9"/>
      <c r="W1094" s="6"/>
    </row>
    <row r="1095" spans="13:23">
      <c r="M1095" s="9"/>
      <c r="W1095" s="6"/>
    </row>
    <row r="1096" spans="13:23">
      <c r="M1096" s="9"/>
      <c r="W1096" s="6"/>
    </row>
    <row r="1097" spans="13:23">
      <c r="M1097" s="9"/>
      <c r="W1097" s="6"/>
    </row>
    <row r="1098" spans="13:23">
      <c r="M1098" s="9"/>
      <c r="W1098" s="6"/>
    </row>
    <row r="1099" spans="13:23">
      <c r="M1099" s="9"/>
      <c r="W1099" s="6"/>
    </row>
    <row r="1100" spans="13:23">
      <c r="M1100" s="9"/>
      <c r="W1100" s="6"/>
    </row>
    <row r="1101" spans="13:23">
      <c r="M1101" s="9"/>
      <c r="W1101" s="6"/>
    </row>
    <row r="1102" spans="13:23">
      <c r="M1102" s="9"/>
      <c r="W1102" s="6"/>
    </row>
    <row r="1103" spans="13:23">
      <c r="M1103" s="9"/>
      <c r="W1103" s="6"/>
    </row>
    <row r="1104" spans="13:23">
      <c r="M1104" s="9"/>
      <c r="W1104" s="6"/>
    </row>
    <row r="1105" spans="13:23">
      <c r="M1105" s="9"/>
      <c r="W1105" s="6"/>
    </row>
    <row r="1106" spans="13:23">
      <c r="M1106" s="9"/>
      <c r="W1106" s="6"/>
    </row>
    <row r="1107" spans="13:23">
      <c r="M1107" s="9"/>
      <c r="W1107" s="6"/>
    </row>
    <row r="1108" spans="13:23">
      <c r="M1108" s="9"/>
      <c r="W1108" s="6"/>
    </row>
    <row r="1109" spans="13:23">
      <c r="M1109" s="9"/>
      <c r="W1109" s="6"/>
    </row>
    <row r="1110" spans="13:23">
      <c r="M1110" s="9"/>
      <c r="W1110" s="6"/>
    </row>
    <row r="1111" spans="13:23">
      <c r="M1111" s="9"/>
      <c r="W1111" s="6"/>
    </row>
    <row r="1112" spans="13:23">
      <c r="M1112" s="9"/>
      <c r="W1112" s="6"/>
    </row>
    <row r="1113" spans="13:23">
      <c r="M1113" s="9"/>
      <c r="W1113" s="6"/>
    </row>
    <row r="1114" spans="13:23">
      <c r="M1114" s="9"/>
      <c r="W1114" s="6"/>
    </row>
    <row r="1115" spans="13:23">
      <c r="M1115" s="9"/>
      <c r="W1115" s="6"/>
    </row>
    <row r="1116" spans="13:23">
      <c r="M1116" s="9"/>
      <c r="W1116" s="6"/>
    </row>
    <row r="1117" spans="13:23">
      <c r="M1117" s="9"/>
      <c r="W1117" s="6"/>
    </row>
    <row r="1118" spans="13:23">
      <c r="M1118" s="9"/>
      <c r="W1118" s="6"/>
    </row>
    <row r="1119" spans="13:23">
      <c r="M1119" s="9"/>
      <c r="W1119" s="6"/>
    </row>
    <row r="1120" spans="13:23">
      <c r="M1120" s="9"/>
      <c r="W1120" s="6"/>
    </row>
    <row r="1121" spans="13:23">
      <c r="M1121" s="9"/>
      <c r="W1121" s="6"/>
    </row>
    <row r="1122" spans="13:23">
      <c r="M1122" s="9"/>
      <c r="W1122" s="6"/>
    </row>
    <row r="1123" spans="13:23">
      <c r="M1123" s="9"/>
      <c r="W1123" s="6"/>
    </row>
    <row r="1124" spans="13:23">
      <c r="M1124" s="9"/>
      <c r="W1124" s="6"/>
    </row>
    <row r="1125" spans="13:23">
      <c r="M1125" s="9"/>
      <c r="W1125" s="6"/>
    </row>
    <row r="1126" spans="13:23">
      <c r="M1126" s="9"/>
      <c r="W1126" s="6"/>
    </row>
    <row r="1127" spans="13:23">
      <c r="M1127" s="9"/>
      <c r="W1127" s="6"/>
    </row>
    <row r="1128" spans="13:23">
      <c r="M1128" s="9"/>
      <c r="W1128" s="6"/>
    </row>
    <row r="1129" spans="13:23">
      <c r="M1129" s="9"/>
      <c r="W1129" s="6"/>
    </row>
    <row r="1130" spans="13:23">
      <c r="M1130" s="9"/>
      <c r="W1130" s="6"/>
    </row>
    <row r="1131" spans="13:23">
      <c r="M1131" s="9"/>
      <c r="W1131" s="6"/>
    </row>
    <row r="1132" spans="13:23">
      <c r="M1132" s="9"/>
      <c r="W1132" s="6"/>
    </row>
    <row r="1133" spans="13:23">
      <c r="M1133" s="9"/>
      <c r="W1133" s="6"/>
    </row>
    <row r="1134" spans="13:23">
      <c r="M1134" s="9"/>
      <c r="W1134" s="6"/>
    </row>
    <row r="1135" spans="13:23">
      <c r="M1135" s="9"/>
      <c r="W1135" s="6"/>
    </row>
    <row r="1136" spans="13:23">
      <c r="M1136" s="9"/>
      <c r="W1136" s="6"/>
    </row>
    <row r="1137" spans="13:23">
      <c r="M1137" s="9"/>
      <c r="W1137" s="6"/>
    </row>
    <row r="1138" spans="13:23">
      <c r="M1138" s="9"/>
      <c r="W1138" s="6"/>
    </row>
    <row r="1139" spans="13:23">
      <c r="M1139" s="9"/>
      <c r="W1139" s="6"/>
    </row>
    <row r="1140" spans="13:23">
      <c r="M1140" s="9"/>
      <c r="W1140" s="6"/>
    </row>
    <row r="1141" spans="13:23">
      <c r="M1141" s="9"/>
      <c r="W1141" s="6"/>
    </row>
    <row r="1142" spans="13:23">
      <c r="M1142" s="9"/>
      <c r="W1142" s="6"/>
    </row>
    <row r="1143" spans="13:23">
      <c r="M1143" s="9"/>
      <c r="W1143" s="6"/>
    </row>
    <row r="1144" spans="13:23">
      <c r="M1144" s="9"/>
      <c r="W1144" s="6"/>
    </row>
    <row r="1145" spans="13:23">
      <c r="M1145" s="9"/>
      <c r="W1145" s="6"/>
    </row>
    <row r="1146" spans="13:23">
      <c r="M1146" s="9"/>
      <c r="W1146" s="6"/>
    </row>
    <row r="1147" spans="13:23">
      <c r="M1147" s="9"/>
      <c r="W1147" s="6"/>
    </row>
    <row r="1148" spans="13:23">
      <c r="M1148" s="9"/>
      <c r="W1148" s="6"/>
    </row>
    <row r="1149" spans="13:23">
      <c r="M1149" s="9"/>
      <c r="W1149" s="6"/>
    </row>
    <row r="1150" spans="13:23">
      <c r="M1150" s="9"/>
      <c r="W1150" s="6"/>
    </row>
    <row r="1151" spans="13:23">
      <c r="M1151" s="9"/>
      <c r="W1151" s="6"/>
    </row>
    <row r="1152" spans="13:23">
      <c r="M1152" s="9"/>
      <c r="W1152" s="6"/>
    </row>
    <row r="1153" spans="13:23">
      <c r="M1153" s="9"/>
      <c r="W1153" s="6"/>
    </row>
    <row r="1154" spans="13:23">
      <c r="M1154" s="9"/>
      <c r="W1154" s="6"/>
    </row>
    <row r="1155" spans="13:23">
      <c r="M1155" s="9"/>
      <c r="W1155" s="6"/>
    </row>
    <row r="1156" spans="13:23">
      <c r="M1156" s="9"/>
      <c r="W1156" s="6"/>
    </row>
    <row r="1157" spans="13:23">
      <c r="M1157" s="9"/>
      <c r="W1157" s="6"/>
    </row>
    <row r="1158" spans="13:23">
      <c r="M1158" s="9"/>
      <c r="W1158" s="6"/>
    </row>
    <row r="1159" spans="13:23">
      <c r="M1159" s="9"/>
      <c r="W1159" s="6"/>
    </row>
    <row r="1160" spans="13:23">
      <c r="M1160" s="9"/>
      <c r="W1160" s="6"/>
    </row>
    <row r="1161" spans="13:23">
      <c r="M1161" s="9"/>
      <c r="W1161" s="6"/>
    </row>
    <row r="1162" spans="13:23">
      <c r="M1162" s="9"/>
      <c r="W1162" s="6"/>
    </row>
    <row r="1163" spans="13:23">
      <c r="M1163" s="9"/>
      <c r="W1163" s="6"/>
    </row>
    <row r="1164" spans="13:23">
      <c r="M1164" s="9"/>
      <c r="W1164" s="6"/>
    </row>
    <row r="1165" spans="13:23">
      <c r="M1165" s="9"/>
      <c r="W1165" s="6"/>
    </row>
    <row r="1166" spans="13:23">
      <c r="M1166" s="9"/>
      <c r="W1166" s="6"/>
    </row>
    <row r="1167" spans="13:23">
      <c r="M1167" s="9"/>
      <c r="W1167" s="6"/>
    </row>
    <row r="1168" spans="13:23">
      <c r="M1168" s="9"/>
      <c r="W1168" s="6"/>
    </row>
    <row r="1169" spans="13:23">
      <c r="M1169" s="9"/>
      <c r="W1169" s="6"/>
    </row>
    <row r="1170" spans="13:23">
      <c r="M1170" s="9"/>
      <c r="W1170" s="6"/>
    </row>
    <row r="1171" spans="13:23">
      <c r="M1171" s="9"/>
      <c r="W1171" s="6"/>
    </row>
    <row r="1172" spans="13:23">
      <c r="M1172" s="9"/>
      <c r="W1172" s="6"/>
    </row>
    <row r="1173" spans="13:23">
      <c r="M1173" s="9"/>
      <c r="W1173" s="6"/>
    </row>
    <row r="1174" spans="13:23">
      <c r="M1174" s="9"/>
      <c r="W1174" s="6"/>
    </row>
    <row r="1175" spans="13:23">
      <c r="M1175" s="9"/>
      <c r="W1175" s="6"/>
    </row>
    <row r="1176" spans="13:23">
      <c r="M1176" s="9"/>
      <c r="W1176" s="6"/>
    </row>
    <row r="1177" spans="13:23">
      <c r="M1177" s="9"/>
      <c r="W1177" s="6"/>
    </row>
    <row r="1178" spans="13:23">
      <c r="M1178" s="9"/>
      <c r="W1178" s="6"/>
    </row>
    <row r="1179" spans="13:23">
      <c r="M1179" s="9"/>
      <c r="W1179" s="6"/>
    </row>
    <row r="1180" spans="13:23">
      <c r="M1180" s="9"/>
      <c r="W1180" s="6"/>
    </row>
    <row r="1181" spans="13:23">
      <c r="M1181" s="9"/>
      <c r="W1181" s="6"/>
    </row>
    <row r="1182" spans="13:23">
      <c r="M1182" s="9"/>
      <c r="W1182" s="6"/>
    </row>
    <row r="1183" spans="13:23">
      <c r="M1183" s="9"/>
      <c r="W1183" s="6"/>
    </row>
    <row r="1184" spans="13:23">
      <c r="M1184" s="9"/>
      <c r="W1184" s="6"/>
    </row>
    <row r="1185" spans="13:23">
      <c r="M1185" s="9"/>
      <c r="W1185" s="6"/>
    </row>
    <row r="1186" spans="13:23">
      <c r="M1186" s="9"/>
      <c r="W1186" s="6"/>
    </row>
    <row r="1187" spans="13:23">
      <c r="M1187" s="9"/>
      <c r="W1187" s="6"/>
    </row>
    <row r="1188" spans="13:23">
      <c r="M1188" s="9"/>
      <c r="W1188" s="6"/>
    </row>
    <row r="1189" spans="13:23">
      <c r="M1189" s="9"/>
      <c r="W1189" s="6"/>
    </row>
    <row r="1190" spans="13:23">
      <c r="M1190" s="9"/>
      <c r="W1190" s="6"/>
    </row>
    <row r="1191" spans="13:23">
      <c r="M1191" s="9"/>
      <c r="W1191" s="6"/>
    </row>
    <row r="1192" spans="13:23">
      <c r="M1192" s="9"/>
      <c r="W1192" s="6"/>
    </row>
    <row r="1193" spans="13:23">
      <c r="M1193" s="9"/>
      <c r="W1193" s="6"/>
    </row>
    <row r="1194" spans="13:23">
      <c r="M1194" s="9"/>
      <c r="W1194" s="6"/>
    </row>
    <row r="1195" spans="13:23">
      <c r="M1195" s="9"/>
      <c r="W1195" s="6"/>
    </row>
    <row r="1196" spans="13:23">
      <c r="M1196" s="9"/>
      <c r="W1196" s="6"/>
    </row>
    <row r="1197" spans="13:23">
      <c r="M1197" s="9"/>
      <c r="W1197" s="6"/>
    </row>
    <row r="1198" spans="13:23">
      <c r="M1198" s="9"/>
      <c r="W1198" s="6"/>
    </row>
    <row r="1199" spans="13:23">
      <c r="M1199" s="9"/>
      <c r="W1199" s="6"/>
    </row>
    <row r="1200" spans="13:23">
      <c r="M1200" s="9"/>
      <c r="W1200" s="6"/>
    </row>
    <row r="1201" spans="13:23">
      <c r="M1201" s="9"/>
      <c r="W1201" s="6"/>
    </row>
    <row r="1202" spans="13:23">
      <c r="M1202" s="9"/>
      <c r="W1202" s="6"/>
    </row>
    <row r="1203" spans="13:23">
      <c r="M1203" s="9"/>
      <c r="W1203" s="6"/>
    </row>
    <row r="1204" spans="13:23">
      <c r="M1204" s="9"/>
      <c r="W1204" s="6"/>
    </row>
    <row r="1205" spans="13:23">
      <c r="M1205" s="9"/>
      <c r="W1205" s="6"/>
    </row>
    <row r="1206" spans="13:23">
      <c r="M1206" s="9"/>
      <c r="W1206" s="6"/>
    </row>
    <row r="1207" spans="13:23">
      <c r="M1207" s="9"/>
      <c r="W1207" s="6"/>
    </row>
    <row r="1208" spans="13:23">
      <c r="M1208" s="9"/>
      <c r="W1208" s="6"/>
    </row>
    <row r="1209" spans="13:23">
      <c r="M1209" s="9"/>
      <c r="W1209" s="6"/>
    </row>
    <row r="1210" spans="13:23">
      <c r="M1210" s="9"/>
      <c r="W1210" s="6"/>
    </row>
    <row r="1211" spans="13:23">
      <c r="M1211" s="9"/>
      <c r="W1211" s="6"/>
    </row>
    <row r="1212" spans="13:23">
      <c r="M1212" s="9"/>
      <c r="W1212" s="6"/>
    </row>
    <row r="1213" spans="13:23">
      <c r="M1213" s="9"/>
      <c r="W1213" s="6"/>
    </row>
    <row r="1214" spans="13:23">
      <c r="M1214" s="9"/>
      <c r="W1214" s="6"/>
    </row>
    <row r="1215" spans="13:23">
      <c r="M1215" s="9"/>
      <c r="W1215" s="6"/>
    </row>
    <row r="1216" spans="13:23">
      <c r="M1216" s="9"/>
      <c r="W1216" s="6"/>
    </row>
    <row r="1217" spans="13:23">
      <c r="M1217" s="9"/>
      <c r="W1217" s="6"/>
    </row>
    <row r="1218" spans="13:23">
      <c r="M1218" s="9"/>
      <c r="W1218" s="6"/>
    </row>
    <row r="1219" spans="13:23">
      <c r="M1219" s="9"/>
      <c r="W1219" s="6"/>
    </row>
    <row r="1220" spans="13:23">
      <c r="M1220" s="9"/>
      <c r="W1220" s="6"/>
    </row>
    <row r="1221" spans="13:23">
      <c r="M1221" s="9"/>
      <c r="W1221" s="6"/>
    </row>
    <row r="1222" spans="13:23">
      <c r="M1222" s="9"/>
      <c r="W1222" s="6"/>
    </row>
    <row r="1223" spans="13:23">
      <c r="M1223" s="9"/>
      <c r="W1223" s="6"/>
    </row>
    <row r="1224" spans="13:23">
      <c r="M1224" s="9"/>
      <c r="W1224" s="6"/>
    </row>
    <row r="1225" spans="13:23">
      <c r="M1225" s="9"/>
      <c r="W1225" s="6"/>
    </row>
    <row r="1226" spans="13:23">
      <c r="M1226" s="9"/>
      <c r="W1226" s="6"/>
    </row>
    <row r="1227" spans="13:23">
      <c r="M1227" s="9"/>
      <c r="W1227" s="6"/>
    </row>
    <row r="1228" spans="13:23">
      <c r="M1228" s="9"/>
      <c r="W1228" s="6"/>
    </row>
    <row r="1229" spans="13:23">
      <c r="M1229" s="9"/>
      <c r="W1229" s="6"/>
    </row>
    <row r="1230" spans="13:23">
      <c r="M1230" s="9"/>
      <c r="W1230" s="6"/>
    </row>
    <row r="1231" spans="13:23">
      <c r="M1231" s="9"/>
      <c r="W1231" s="6"/>
    </row>
    <row r="1232" spans="13:23">
      <c r="M1232" s="9"/>
      <c r="W1232" s="6"/>
    </row>
    <row r="1233" spans="13:23">
      <c r="M1233" s="9"/>
      <c r="W1233" s="6"/>
    </row>
    <row r="1234" spans="13:23">
      <c r="M1234" s="9"/>
      <c r="W1234" s="6"/>
    </row>
    <row r="1235" spans="13:23">
      <c r="M1235" s="9"/>
      <c r="W1235" s="6"/>
    </row>
    <row r="1236" spans="13:23">
      <c r="M1236" s="9"/>
      <c r="W1236" s="6"/>
    </row>
    <row r="1237" spans="13:23">
      <c r="M1237" s="9"/>
      <c r="W1237" s="6"/>
    </row>
    <row r="1238" spans="13:23">
      <c r="M1238" s="9"/>
      <c r="W1238" s="6"/>
    </row>
    <row r="1239" spans="13:23">
      <c r="M1239" s="9"/>
      <c r="W1239" s="6"/>
    </row>
    <row r="1240" spans="13:23">
      <c r="M1240" s="9"/>
      <c r="W1240" s="6"/>
    </row>
    <row r="1241" spans="13:23">
      <c r="M1241" s="9"/>
      <c r="W1241" s="6"/>
    </row>
    <row r="1242" spans="13:23">
      <c r="M1242" s="9"/>
      <c r="W1242" s="6"/>
    </row>
    <row r="1243" spans="13:23">
      <c r="M1243" s="9"/>
      <c r="W1243" s="6"/>
    </row>
    <row r="1244" spans="13:23">
      <c r="M1244" s="9"/>
      <c r="W1244" s="6"/>
    </row>
    <row r="1245" spans="13:23">
      <c r="M1245" s="9"/>
      <c r="W1245" s="6"/>
    </row>
    <row r="1246" spans="13:23">
      <c r="M1246" s="9"/>
      <c r="W1246" s="6"/>
    </row>
    <row r="1247" spans="13:23">
      <c r="M1247" s="9"/>
      <c r="W1247" s="6"/>
    </row>
    <row r="1248" spans="13:23">
      <c r="M1248" s="9"/>
      <c r="W1248" s="6"/>
    </row>
    <row r="1249" spans="13:23">
      <c r="M1249" s="9"/>
      <c r="W1249" s="6"/>
    </row>
    <row r="1250" spans="13:23">
      <c r="M1250" s="9"/>
      <c r="W1250" s="6"/>
    </row>
    <row r="1251" spans="13:23">
      <c r="M1251" s="9"/>
      <c r="W1251" s="6"/>
    </row>
    <row r="1252" spans="13:23">
      <c r="M1252" s="9"/>
      <c r="W1252" s="6"/>
    </row>
    <row r="1253" spans="13:23">
      <c r="M1253" s="9"/>
      <c r="W1253" s="6"/>
    </row>
    <row r="1254" spans="13:23">
      <c r="M1254" s="9"/>
      <c r="W1254" s="6"/>
    </row>
    <row r="1255" spans="13:23">
      <c r="M1255" s="9"/>
      <c r="W1255" s="6"/>
    </row>
    <row r="1256" spans="13:23">
      <c r="M1256" s="9"/>
      <c r="W1256" s="6"/>
    </row>
    <row r="1257" spans="13:23">
      <c r="M1257" s="9"/>
      <c r="W1257" s="6"/>
    </row>
    <row r="1258" spans="13:23">
      <c r="M1258" s="9"/>
      <c r="W1258" s="6"/>
    </row>
    <row r="1259" spans="13:23">
      <c r="M1259" s="9"/>
      <c r="W1259" s="6"/>
    </row>
    <row r="1260" spans="13:23">
      <c r="M1260" s="9"/>
      <c r="W1260" s="6"/>
    </row>
    <row r="1261" spans="13:23">
      <c r="M1261" s="9"/>
      <c r="W1261" s="6"/>
    </row>
    <row r="1262" spans="13:23">
      <c r="M1262" s="9"/>
      <c r="W1262" s="6"/>
    </row>
    <row r="1263" spans="13:23">
      <c r="M1263" s="9"/>
      <c r="W1263" s="6"/>
    </row>
    <row r="1264" spans="13:23">
      <c r="M1264" s="9"/>
      <c r="W1264" s="6"/>
    </row>
    <row r="1265" spans="13:23">
      <c r="M1265" s="9"/>
      <c r="W1265" s="6"/>
    </row>
    <row r="1266" spans="13:23">
      <c r="M1266" s="9"/>
      <c r="W1266" s="6"/>
    </row>
    <row r="1267" spans="13:23">
      <c r="M1267" s="9"/>
      <c r="W1267" s="6"/>
    </row>
    <row r="1268" spans="13:23">
      <c r="M1268" s="9"/>
      <c r="W1268" s="6"/>
    </row>
    <row r="1269" spans="13:23">
      <c r="M1269" s="9"/>
      <c r="W1269" s="6"/>
    </row>
    <row r="1270" spans="13:23">
      <c r="M1270" s="9"/>
      <c r="W1270" s="6"/>
    </row>
    <row r="1271" spans="13:23">
      <c r="M1271" s="9"/>
      <c r="W1271" s="6"/>
    </row>
    <row r="1272" spans="13:23">
      <c r="M1272" s="9"/>
      <c r="W1272" s="6"/>
    </row>
    <row r="1273" spans="13:23">
      <c r="M1273" s="9"/>
      <c r="W1273" s="6"/>
    </row>
    <row r="1274" spans="13:23">
      <c r="M1274" s="9"/>
      <c r="W1274" s="6"/>
    </row>
    <row r="1275" spans="13:23">
      <c r="M1275" s="9"/>
      <c r="W1275" s="6"/>
    </row>
    <row r="1276" spans="13:23">
      <c r="M1276" s="9"/>
      <c r="W1276" s="6"/>
    </row>
    <row r="1277" spans="13:23">
      <c r="M1277" s="9"/>
      <c r="W1277" s="6"/>
    </row>
    <row r="1278" spans="13:23">
      <c r="M1278" s="9"/>
      <c r="W1278" s="6"/>
    </row>
    <row r="1279" spans="13:23">
      <c r="M1279" s="9"/>
      <c r="W1279" s="6"/>
    </row>
    <row r="1280" spans="13:23">
      <c r="M1280" s="9"/>
      <c r="W1280" s="6"/>
    </row>
    <row r="1281" spans="13:23">
      <c r="M1281" s="9"/>
      <c r="W1281" s="6"/>
    </row>
    <row r="1282" spans="13:23">
      <c r="M1282" s="9"/>
      <c r="W1282" s="6"/>
    </row>
    <row r="1283" spans="13:23">
      <c r="M1283" s="9"/>
      <c r="W1283" s="6"/>
    </row>
    <row r="1284" spans="13:23">
      <c r="M1284" s="9"/>
      <c r="W1284" s="6"/>
    </row>
    <row r="1285" spans="13:23">
      <c r="M1285" s="9"/>
      <c r="W1285" s="6"/>
    </row>
    <row r="1286" spans="13:23">
      <c r="M1286" s="9"/>
      <c r="W1286" s="6"/>
    </row>
    <row r="1287" spans="13:23">
      <c r="M1287" s="9"/>
      <c r="W1287" s="6"/>
    </row>
    <row r="1288" spans="13:23">
      <c r="M1288" s="9"/>
      <c r="W1288" s="6"/>
    </row>
    <row r="1289" spans="13:23">
      <c r="M1289" s="9"/>
      <c r="W1289" s="6"/>
    </row>
    <row r="1290" spans="13:23">
      <c r="M1290" s="9"/>
      <c r="W1290" s="6"/>
    </row>
    <row r="1291" spans="13:23">
      <c r="M1291" s="9"/>
      <c r="W1291" s="6"/>
    </row>
    <row r="1292" spans="13:23">
      <c r="M1292" s="9"/>
      <c r="W1292" s="6"/>
    </row>
    <row r="1293" spans="13:23">
      <c r="M1293" s="9"/>
      <c r="W1293" s="6"/>
    </row>
    <row r="1294" spans="13:23">
      <c r="M1294" s="9"/>
      <c r="W1294" s="6"/>
    </row>
    <row r="1295" spans="13:23">
      <c r="M1295" s="9"/>
      <c r="W1295" s="6"/>
    </row>
    <row r="1296" spans="13:23">
      <c r="M1296" s="9"/>
      <c r="W1296" s="6"/>
    </row>
    <row r="1297" spans="13:23">
      <c r="M1297" s="9"/>
      <c r="W1297" s="6"/>
    </row>
    <row r="1298" spans="13:23">
      <c r="M1298" s="9"/>
      <c r="W1298" s="6"/>
    </row>
    <row r="1299" spans="13:23">
      <c r="M1299" s="9"/>
      <c r="W1299" s="6"/>
    </row>
    <row r="1300" spans="13:23">
      <c r="M1300" s="9"/>
      <c r="W1300" s="6"/>
    </row>
    <row r="1301" spans="13:23">
      <c r="M1301" s="9"/>
      <c r="W1301" s="6"/>
    </row>
    <row r="1302" spans="13:23">
      <c r="M1302" s="9"/>
      <c r="W1302" s="6"/>
    </row>
    <row r="1303" spans="13:23">
      <c r="M1303" s="9"/>
      <c r="W1303" s="6"/>
    </row>
    <row r="1304" spans="13:23">
      <c r="M1304" s="9"/>
      <c r="W1304" s="6"/>
    </row>
    <row r="1305" spans="13:23">
      <c r="M1305" s="9"/>
      <c r="W1305" s="6"/>
    </row>
    <row r="1306" spans="13:23">
      <c r="M1306" s="9"/>
      <c r="W1306" s="6"/>
    </row>
    <row r="1307" spans="13:23">
      <c r="M1307" s="9"/>
      <c r="W1307" s="6"/>
    </row>
    <row r="1308" spans="13:23">
      <c r="M1308" s="9"/>
      <c r="W1308" s="6"/>
    </row>
    <row r="1309" spans="13:23">
      <c r="M1309" s="9"/>
      <c r="W1309" s="6"/>
    </row>
    <row r="1310" spans="13:23">
      <c r="M1310" s="9"/>
      <c r="W1310" s="6"/>
    </row>
    <row r="1311" spans="13:23">
      <c r="M1311" s="9"/>
      <c r="W1311" s="6"/>
    </row>
    <row r="1312" spans="13:23">
      <c r="M1312" s="9"/>
      <c r="W1312" s="6"/>
    </row>
    <row r="1313" spans="13:23">
      <c r="M1313" s="9"/>
      <c r="W1313" s="6"/>
    </row>
    <row r="1314" spans="13:23">
      <c r="M1314" s="9"/>
      <c r="W1314" s="6"/>
    </row>
    <row r="1315" spans="13:23">
      <c r="M1315" s="9"/>
      <c r="W1315" s="6"/>
    </row>
    <row r="1316" spans="13:23">
      <c r="M1316" s="9"/>
      <c r="W1316" s="6"/>
    </row>
    <row r="1317" spans="13:23">
      <c r="M1317" s="9"/>
      <c r="W1317" s="6"/>
    </row>
    <row r="1318" spans="13:23">
      <c r="M1318" s="9"/>
      <c r="W1318" s="6"/>
    </row>
    <row r="1319" spans="13:23">
      <c r="M1319" s="9"/>
      <c r="W1319" s="6"/>
    </row>
    <row r="1320" spans="13:23">
      <c r="M1320" s="9"/>
      <c r="W1320" s="6"/>
    </row>
    <row r="1321" spans="13:23">
      <c r="M1321" s="9"/>
      <c r="W1321" s="6"/>
    </row>
    <row r="1322" spans="13:23">
      <c r="M1322" s="9"/>
      <c r="W1322" s="6"/>
    </row>
    <row r="1323" spans="13:23">
      <c r="M1323" s="9"/>
      <c r="W1323" s="6"/>
    </row>
    <row r="1324" spans="13:23">
      <c r="M1324" s="9"/>
      <c r="W1324" s="6"/>
    </row>
    <row r="1325" spans="13:23">
      <c r="M1325" s="9"/>
      <c r="W1325" s="6"/>
    </row>
    <row r="1326" spans="13:23">
      <c r="M1326" s="9"/>
      <c r="W1326" s="6"/>
    </row>
    <row r="1327" spans="13:23">
      <c r="M1327" s="9"/>
      <c r="W1327" s="6"/>
    </row>
    <row r="1328" spans="13:23">
      <c r="M1328" s="9"/>
      <c r="W1328" s="6"/>
    </row>
    <row r="1329" spans="13:23">
      <c r="M1329" s="9"/>
      <c r="W1329" s="6"/>
    </row>
    <row r="1330" spans="13:23">
      <c r="M1330" s="9"/>
      <c r="W1330" s="6"/>
    </row>
    <row r="1331" spans="13:23">
      <c r="M1331" s="9"/>
      <c r="W1331" s="6"/>
    </row>
    <row r="1332" spans="13:23">
      <c r="M1332" s="9"/>
      <c r="W1332" s="6"/>
    </row>
    <row r="1333" spans="13:23">
      <c r="M1333" s="9"/>
      <c r="W1333" s="6"/>
    </row>
    <row r="1334" spans="13:23">
      <c r="M1334" s="9"/>
      <c r="W1334" s="6"/>
    </row>
    <row r="1335" spans="13:23">
      <c r="M1335" s="9"/>
      <c r="W1335" s="6"/>
    </row>
    <row r="1336" spans="13:23">
      <c r="M1336" s="9"/>
      <c r="W1336" s="6"/>
    </row>
    <row r="1337" spans="13:23">
      <c r="M1337" s="9"/>
      <c r="W1337" s="6"/>
    </row>
    <row r="1338" spans="13:23">
      <c r="M1338" s="9"/>
      <c r="W1338" s="6"/>
    </row>
    <row r="1339" spans="13:23">
      <c r="M1339" s="9"/>
      <c r="W1339" s="6"/>
    </row>
    <row r="1340" spans="13:23">
      <c r="M1340" s="9"/>
      <c r="W1340" s="6"/>
    </row>
    <row r="1341" spans="13:23">
      <c r="M1341" s="9"/>
      <c r="W1341" s="6"/>
    </row>
    <row r="1342" spans="13:23">
      <c r="M1342" s="9"/>
      <c r="W1342" s="6"/>
    </row>
    <row r="1343" spans="13:23">
      <c r="M1343" s="9"/>
      <c r="W1343" s="6"/>
    </row>
    <row r="1344" spans="13:23">
      <c r="M1344" s="9"/>
      <c r="W1344" s="6"/>
    </row>
    <row r="1345" spans="13:23">
      <c r="M1345" s="9"/>
      <c r="W1345" s="6"/>
    </row>
    <row r="1346" spans="13:23">
      <c r="M1346" s="9"/>
      <c r="W1346" s="6"/>
    </row>
    <row r="1347" spans="13:23">
      <c r="M1347" s="9"/>
      <c r="W1347" s="6"/>
    </row>
    <row r="1348" spans="13:23">
      <c r="M1348" s="9"/>
      <c r="W1348" s="6"/>
    </row>
    <row r="1349" spans="13:23">
      <c r="M1349" s="9"/>
      <c r="W1349" s="6"/>
    </row>
    <row r="1350" spans="13:23">
      <c r="M1350" s="9"/>
      <c r="W1350" s="6"/>
    </row>
    <row r="1351" spans="13:23">
      <c r="M1351" s="9"/>
      <c r="W1351" s="6"/>
    </row>
    <row r="1352" spans="13:23">
      <c r="M1352" s="9"/>
      <c r="W1352" s="6"/>
    </row>
    <row r="1353" spans="13:23">
      <c r="M1353" s="9"/>
      <c r="W1353" s="6"/>
    </row>
    <row r="1354" spans="13:23">
      <c r="M1354" s="9"/>
      <c r="W1354" s="6"/>
    </row>
    <row r="1355" spans="13:23">
      <c r="M1355" s="9"/>
      <c r="W1355" s="6"/>
    </row>
    <row r="1356" spans="13:23">
      <c r="M1356" s="9"/>
      <c r="W1356" s="6"/>
    </row>
    <row r="1357" spans="13:23">
      <c r="M1357" s="9"/>
      <c r="W1357" s="6"/>
    </row>
    <row r="1358" spans="13:23">
      <c r="M1358" s="9"/>
      <c r="W1358" s="6"/>
    </row>
    <row r="1359" spans="13:23">
      <c r="M1359" s="9"/>
      <c r="W1359" s="6"/>
    </row>
    <row r="1360" spans="13:23">
      <c r="M1360" s="9"/>
      <c r="W1360" s="6"/>
    </row>
    <row r="1361" spans="13:23">
      <c r="M1361" s="9"/>
      <c r="W1361" s="6"/>
    </row>
    <row r="1362" spans="13:23">
      <c r="M1362" s="9"/>
      <c r="W1362" s="6"/>
    </row>
    <row r="1363" spans="13:23">
      <c r="M1363" s="9"/>
      <c r="W1363" s="6"/>
    </row>
    <row r="1364" spans="13:23">
      <c r="M1364" s="9"/>
      <c r="W1364" s="6"/>
    </row>
    <row r="1365" spans="13:23">
      <c r="M1365" s="9"/>
      <c r="W1365" s="6"/>
    </row>
    <row r="1366" spans="13:23">
      <c r="M1366" s="9"/>
      <c r="W1366" s="6"/>
    </row>
    <row r="1367" spans="13:23">
      <c r="M1367" s="9"/>
      <c r="W1367" s="6"/>
    </row>
    <row r="1368" spans="13:23">
      <c r="M1368" s="9"/>
      <c r="W1368" s="6"/>
    </row>
    <row r="1369" spans="13:23">
      <c r="M1369" s="9"/>
      <c r="W1369" s="6"/>
    </row>
    <row r="1370" spans="13:23">
      <c r="M1370" s="9"/>
      <c r="W1370" s="6"/>
    </row>
    <row r="1371" spans="13:23">
      <c r="M1371" s="9"/>
      <c r="W1371" s="6"/>
    </row>
    <row r="1372" spans="13:23">
      <c r="M1372" s="9"/>
      <c r="W1372" s="6"/>
    </row>
    <row r="1373" spans="13:23">
      <c r="M1373" s="9"/>
      <c r="W1373" s="6"/>
    </row>
    <row r="1374" spans="13:23">
      <c r="M1374" s="9"/>
      <c r="W1374" s="6"/>
    </row>
    <row r="1375" spans="13:23">
      <c r="M1375" s="9"/>
      <c r="W1375" s="6"/>
    </row>
    <row r="1376" spans="13:23">
      <c r="M1376" s="9"/>
      <c r="W1376" s="6"/>
    </row>
    <row r="1377" spans="13:23">
      <c r="M1377" s="9"/>
      <c r="W1377" s="6"/>
    </row>
    <row r="1378" spans="13:23">
      <c r="M1378" s="9"/>
      <c r="W1378" s="6"/>
    </row>
    <row r="1379" spans="13:23">
      <c r="M1379" s="9"/>
      <c r="W1379" s="6"/>
    </row>
    <row r="1380" spans="13:23">
      <c r="M1380" s="9"/>
      <c r="W1380" s="6"/>
    </row>
    <row r="1381" spans="13:23">
      <c r="M1381" s="9"/>
      <c r="W1381" s="6"/>
    </row>
    <row r="1382" spans="13:23">
      <c r="M1382" s="9"/>
      <c r="W1382" s="6"/>
    </row>
    <row r="1383" spans="13:23">
      <c r="M1383" s="9"/>
      <c r="W1383" s="6"/>
    </row>
    <row r="1384" spans="13:23">
      <c r="M1384" s="9"/>
      <c r="W1384" s="6"/>
    </row>
    <row r="1385" spans="13:23">
      <c r="M1385" s="9"/>
      <c r="W1385" s="6"/>
    </row>
    <row r="1386" spans="13:23">
      <c r="M1386" s="9"/>
      <c r="W1386" s="6"/>
    </row>
    <row r="1387" spans="13:23">
      <c r="M1387" s="9"/>
      <c r="W1387" s="6"/>
    </row>
    <row r="1388" spans="13:23">
      <c r="M1388" s="9"/>
      <c r="W1388" s="6"/>
    </row>
    <row r="1389" spans="13:23">
      <c r="M1389" s="9"/>
      <c r="W1389" s="6"/>
    </row>
    <row r="1390" spans="13:23">
      <c r="M1390" s="9"/>
      <c r="W1390" s="6"/>
    </row>
    <row r="1391" spans="13:23">
      <c r="M1391" s="9"/>
      <c r="W1391" s="6"/>
    </row>
    <row r="1392" spans="13:23">
      <c r="M1392" s="9"/>
      <c r="W1392" s="6"/>
    </row>
    <row r="1393" spans="13:23">
      <c r="M1393" s="9"/>
      <c r="W1393" s="6"/>
    </row>
    <row r="1394" spans="13:23">
      <c r="M1394" s="9"/>
      <c r="W1394" s="6"/>
    </row>
    <row r="1395" spans="13:23">
      <c r="M1395" s="9"/>
      <c r="W1395" s="6"/>
    </row>
    <row r="1396" spans="13:23">
      <c r="M1396" s="9"/>
      <c r="W1396" s="6"/>
    </row>
    <row r="1397" spans="13:23">
      <c r="M1397" s="9"/>
      <c r="W1397" s="6"/>
    </row>
    <row r="1398" spans="13:23">
      <c r="M1398" s="9"/>
      <c r="W1398" s="6"/>
    </row>
    <row r="1399" spans="13:23">
      <c r="M1399" s="9"/>
      <c r="W1399" s="6"/>
    </row>
    <row r="1400" spans="13:23">
      <c r="M1400" s="9"/>
      <c r="W1400" s="6"/>
    </row>
    <row r="1401" spans="13:23">
      <c r="M1401" s="9"/>
      <c r="W1401" s="6"/>
    </row>
    <row r="1402" spans="13:23">
      <c r="M1402" s="9"/>
      <c r="W1402" s="6"/>
    </row>
    <row r="1403" spans="13:23">
      <c r="M1403" s="9"/>
      <c r="W1403" s="6"/>
    </row>
    <row r="1404" spans="13:23">
      <c r="M1404" s="9"/>
      <c r="W1404" s="6"/>
    </row>
    <row r="1405" spans="13:23">
      <c r="M1405" s="9"/>
      <c r="W1405" s="6"/>
    </row>
    <row r="1406" spans="13:23">
      <c r="M1406" s="9"/>
      <c r="W1406" s="6"/>
    </row>
    <row r="1407" spans="13:23">
      <c r="M1407" s="9"/>
      <c r="W1407" s="6"/>
    </row>
    <row r="1408" spans="13:23">
      <c r="M1408" s="9"/>
      <c r="W1408" s="6"/>
    </row>
    <row r="1409" spans="13:23">
      <c r="M1409" s="9"/>
      <c r="W1409" s="6"/>
    </row>
    <row r="1410" spans="13:23">
      <c r="M1410" s="9"/>
      <c r="W1410" s="6"/>
    </row>
    <row r="1411" spans="13:23">
      <c r="M1411" s="9"/>
      <c r="W1411" s="6"/>
    </row>
    <row r="1412" spans="13:23">
      <c r="M1412" s="9"/>
      <c r="W1412" s="6"/>
    </row>
    <row r="1413" spans="13:23">
      <c r="M1413" s="9"/>
      <c r="W1413" s="6"/>
    </row>
    <row r="1414" spans="13:23">
      <c r="M1414" s="9"/>
      <c r="W1414" s="6"/>
    </row>
    <row r="1415" spans="13:23">
      <c r="M1415" s="9"/>
      <c r="W1415" s="6"/>
    </row>
    <row r="1416" spans="13:23">
      <c r="M1416" s="9"/>
      <c r="W1416" s="6"/>
    </row>
    <row r="1417" spans="13:23">
      <c r="M1417" s="9"/>
      <c r="W1417" s="6"/>
    </row>
    <row r="1418" spans="13:23">
      <c r="M1418" s="9"/>
      <c r="W1418" s="6"/>
    </row>
    <row r="1419" spans="13:23">
      <c r="M1419" s="9"/>
      <c r="W1419" s="6"/>
    </row>
    <row r="1420" spans="13:23">
      <c r="M1420" s="9"/>
      <c r="W1420" s="6"/>
    </row>
    <row r="1421" spans="13:23">
      <c r="M1421" s="9"/>
      <c r="W1421" s="6"/>
    </row>
    <row r="1422" spans="13:23">
      <c r="M1422" s="9"/>
      <c r="W1422" s="6"/>
    </row>
    <row r="1423" spans="13:23">
      <c r="M1423" s="9"/>
      <c r="W1423" s="6"/>
    </row>
    <row r="1424" spans="13:23">
      <c r="M1424" s="9"/>
      <c r="W1424" s="6"/>
    </row>
    <row r="1425" spans="13:23">
      <c r="M1425" s="9"/>
      <c r="W1425" s="6"/>
    </row>
    <row r="1426" spans="13:23">
      <c r="M1426" s="9"/>
      <c r="W1426" s="6"/>
    </row>
    <row r="1427" spans="13:23">
      <c r="M1427" s="9"/>
      <c r="W1427" s="6"/>
    </row>
    <row r="1428" spans="13:23">
      <c r="M1428" s="9"/>
      <c r="W1428" s="6"/>
    </row>
    <row r="1429" spans="13:23">
      <c r="M1429" s="9"/>
      <c r="W1429" s="6"/>
    </row>
    <row r="1430" spans="13:23">
      <c r="M1430" s="9"/>
      <c r="W1430" s="6"/>
    </row>
    <row r="1431" spans="13:23">
      <c r="M1431" s="9"/>
      <c r="W1431" s="6"/>
    </row>
    <row r="1432" spans="13:23">
      <c r="M1432" s="9"/>
      <c r="W1432" s="6"/>
    </row>
    <row r="1433" spans="13:23">
      <c r="M1433" s="9"/>
      <c r="W1433" s="6"/>
    </row>
    <row r="1434" spans="13:23">
      <c r="M1434" s="9"/>
      <c r="W1434" s="6"/>
    </row>
    <row r="1435" spans="13:23">
      <c r="M1435" s="9"/>
      <c r="W1435" s="6"/>
    </row>
    <row r="1436" spans="13:23">
      <c r="M1436" s="9"/>
      <c r="W1436" s="6"/>
    </row>
    <row r="1437" spans="13:23">
      <c r="M1437" s="9"/>
      <c r="W1437" s="6"/>
    </row>
    <row r="1438" spans="13:23">
      <c r="M1438" s="9"/>
      <c r="W1438" s="6"/>
    </row>
    <row r="1439" spans="13:23">
      <c r="M1439" s="9"/>
      <c r="W1439" s="6"/>
    </row>
    <row r="1440" spans="13:23">
      <c r="M1440" s="9"/>
      <c r="W1440" s="6"/>
    </row>
    <row r="1441" spans="13:23">
      <c r="M1441" s="9"/>
      <c r="W1441" s="6"/>
    </row>
    <row r="1442" spans="13:23">
      <c r="M1442" s="9"/>
      <c r="W1442" s="6"/>
    </row>
    <row r="1443" spans="13:23">
      <c r="M1443" s="9"/>
      <c r="W1443" s="6"/>
    </row>
    <row r="1444" spans="13:23">
      <c r="M1444" s="9"/>
      <c r="W1444" s="6"/>
    </row>
    <row r="1445" spans="13:23">
      <c r="M1445" s="9"/>
      <c r="W1445" s="6"/>
    </row>
    <row r="1446" spans="13:23">
      <c r="M1446" s="9"/>
      <c r="W1446" s="6"/>
    </row>
    <row r="1447" spans="13:23">
      <c r="M1447" s="9"/>
      <c r="W1447" s="6"/>
    </row>
    <row r="1448" spans="13:23">
      <c r="M1448" s="9"/>
      <c r="W1448" s="6"/>
    </row>
    <row r="1449" spans="13:23">
      <c r="M1449" s="9"/>
      <c r="W1449" s="6"/>
    </row>
    <row r="1450" spans="13:23">
      <c r="M1450" s="9"/>
      <c r="W1450" s="6"/>
    </row>
    <row r="1451" spans="13:23">
      <c r="M1451" s="9"/>
      <c r="W1451" s="6"/>
    </row>
    <row r="1452" spans="13:23">
      <c r="M1452" s="9"/>
      <c r="W1452" s="6"/>
    </row>
    <row r="1453" spans="13:23">
      <c r="M1453" s="9"/>
      <c r="W1453" s="6"/>
    </row>
    <row r="1454" spans="13:23">
      <c r="M1454" s="9"/>
      <c r="W1454" s="6"/>
    </row>
    <row r="1455" spans="13:23">
      <c r="M1455" s="9"/>
      <c r="W1455" s="6"/>
    </row>
    <row r="1456" spans="13:23">
      <c r="M1456" s="9"/>
      <c r="W1456" s="6"/>
    </row>
    <row r="1457" spans="13:23">
      <c r="M1457" s="9"/>
      <c r="W1457" s="6"/>
    </row>
    <row r="1458" spans="13:23">
      <c r="M1458" s="9"/>
      <c r="W1458" s="6"/>
    </row>
    <row r="1459" spans="13:23">
      <c r="M1459" s="9"/>
      <c r="W1459" s="6"/>
    </row>
    <row r="1460" spans="13:23">
      <c r="M1460" s="9"/>
      <c r="W1460" s="6"/>
    </row>
    <row r="1461" spans="13:23">
      <c r="M1461" s="9"/>
      <c r="W1461" s="6"/>
    </row>
    <row r="1462" spans="13:23">
      <c r="M1462" s="9"/>
      <c r="W1462" s="6"/>
    </row>
    <row r="1463" spans="13:23">
      <c r="M1463" s="9"/>
      <c r="W1463" s="6"/>
    </row>
    <row r="1464" spans="13:23">
      <c r="M1464" s="9"/>
      <c r="W1464" s="6"/>
    </row>
    <row r="1465" spans="13:23">
      <c r="M1465" s="9"/>
      <c r="W1465" s="6"/>
    </row>
    <row r="1466" spans="13:23">
      <c r="M1466" s="9"/>
      <c r="W1466" s="6"/>
    </row>
    <row r="1467" spans="13:23">
      <c r="M1467" s="9"/>
      <c r="W1467" s="6"/>
    </row>
    <row r="1468" spans="13:23">
      <c r="M1468" s="9"/>
      <c r="W1468" s="6"/>
    </row>
    <row r="1469" spans="13:23">
      <c r="M1469" s="9"/>
      <c r="W1469" s="6"/>
    </row>
    <row r="1470" spans="13:23">
      <c r="M1470" s="9"/>
      <c r="W1470" s="6"/>
    </row>
    <row r="1471" spans="13:23">
      <c r="M1471" s="9"/>
      <c r="W1471" s="6"/>
    </row>
    <row r="1472" spans="13:23">
      <c r="M1472" s="9"/>
      <c r="W1472" s="6"/>
    </row>
    <row r="1473" spans="13:23">
      <c r="M1473" s="9"/>
      <c r="W1473" s="6"/>
    </row>
    <row r="1474" spans="13:23">
      <c r="M1474" s="9"/>
      <c r="W1474" s="6"/>
    </row>
    <row r="1475" spans="13:23">
      <c r="M1475" s="9"/>
      <c r="W1475" s="6"/>
    </row>
    <row r="1476" spans="13:23">
      <c r="M1476" s="9"/>
      <c r="W1476" s="6"/>
    </row>
    <row r="1477" spans="13:23">
      <c r="M1477" s="9"/>
      <c r="W1477" s="6"/>
    </row>
    <row r="1478" spans="13:23">
      <c r="M1478" s="9"/>
      <c r="W1478" s="6"/>
    </row>
    <row r="1479" spans="13:23">
      <c r="M1479" s="9"/>
      <c r="W1479" s="6"/>
    </row>
    <row r="1480" spans="13:23">
      <c r="M1480" s="9"/>
      <c r="W1480" s="6"/>
    </row>
    <row r="1481" spans="13:23">
      <c r="M1481" s="9"/>
      <c r="W1481" s="6"/>
    </row>
    <row r="1482" spans="13:23">
      <c r="M1482" s="9"/>
      <c r="W1482" s="6"/>
    </row>
    <row r="1483" spans="13:23">
      <c r="M1483" s="9"/>
      <c r="W1483" s="6"/>
    </row>
    <row r="1484" spans="13:23">
      <c r="M1484" s="9"/>
      <c r="W1484" s="6"/>
    </row>
    <row r="1485" spans="13:23">
      <c r="M1485" s="9"/>
      <c r="W1485" s="6"/>
    </row>
    <row r="1486" spans="13:23">
      <c r="M1486" s="9"/>
      <c r="W1486" s="6"/>
    </row>
    <row r="1487" spans="13:23">
      <c r="M1487" s="9"/>
      <c r="W1487" s="6"/>
    </row>
    <row r="1488" spans="13:23">
      <c r="M1488" s="9"/>
      <c r="W1488" s="6"/>
    </row>
    <row r="1489" spans="13:23">
      <c r="M1489" s="9"/>
      <c r="W1489" s="6"/>
    </row>
    <row r="1490" spans="13:23">
      <c r="M1490" s="9"/>
      <c r="W1490" s="6"/>
    </row>
    <row r="1491" spans="13:23">
      <c r="M1491" s="9"/>
      <c r="W1491" s="6"/>
    </row>
    <row r="1492" spans="13:23">
      <c r="M1492" s="9"/>
      <c r="W1492" s="6"/>
    </row>
    <row r="1493" spans="13:23">
      <c r="M1493" s="9"/>
      <c r="W1493" s="6"/>
    </row>
    <row r="1494" spans="13:23">
      <c r="M1494" s="9"/>
      <c r="W1494" s="6"/>
    </row>
    <row r="1495" spans="13:23">
      <c r="M1495" s="9"/>
      <c r="W1495" s="6"/>
    </row>
    <row r="1496" spans="13:23">
      <c r="M1496" s="9"/>
      <c r="W1496" s="6"/>
    </row>
    <row r="1497" spans="13:23">
      <c r="M1497" s="9"/>
      <c r="W1497" s="6"/>
    </row>
    <row r="1498" spans="13:23">
      <c r="M1498" s="9"/>
      <c r="W1498" s="6"/>
    </row>
    <row r="1499" spans="13:23">
      <c r="M1499" s="9"/>
      <c r="W1499" s="6"/>
    </row>
    <row r="1500" spans="13:23">
      <c r="M1500" s="9"/>
      <c r="W1500" s="6"/>
    </row>
    <row r="1501" spans="13:23">
      <c r="M1501" s="9"/>
      <c r="W1501" s="6"/>
    </row>
    <row r="1502" spans="13:23">
      <c r="M1502" s="9"/>
      <c r="W1502" s="6"/>
    </row>
    <row r="1503" spans="13:23">
      <c r="M1503" s="9"/>
      <c r="W1503" s="6"/>
    </row>
    <row r="1504" spans="13:23">
      <c r="M1504" s="9"/>
      <c r="W1504" s="6"/>
    </row>
    <row r="1505" spans="13:23">
      <c r="M1505" s="9"/>
      <c r="W1505" s="6"/>
    </row>
    <row r="1506" spans="13:23">
      <c r="M1506" s="9"/>
      <c r="W1506" s="6"/>
    </row>
    <row r="1507" spans="13:23">
      <c r="M1507" s="9"/>
      <c r="W1507" s="6"/>
    </row>
    <row r="1508" spans="13:23">
      <c r="M1508" s="9"/>
      <c r="W1508" s="6"/>
    </row>
    <row r="1509" spans="13:23">
      <c r="M1509" s="9"/>
      <c r="W1509" s="6"/>
    </row>
    <row r="1510" spans="13:23">
      <c r="M1510" s="9"/>
      <c r="W1510" s="6"/>
    </row>
    <row r="1511" spans="13:23">
      <c r="M1511" s="9"/>
      <c r="W1511" s="6"/>
    </row>
    <row r="1512" spans="13:23">
      <c r="M1512" s="9"/>
      <c r="W1512" s="6"/>
    </row>
    <row r="1513" spans="13:23">
      <c r="M1513" s="9"/>
      <c r="W1513" s="6"/>
    </row>
    <row r="1514" spans="13:23">
      <c r="M1514" s="9"/>
      <c r="W1514" s="6"/>
    </row>
    <row r="1515" spans="13:23">
      <c r="M1515" s="9"/>
      <c r="W1515" s="6"/>
    </row>
    <row r="1516" spans="13:23">
      <c r="M1516" s="9"/>
      <c r="W1516" s="6"/>
    </row>
    <row r="1517" spans="13:23">
      <c r="M1517" s="9"/>
      <c r="W1517" s="6"/>
    </row>
    <row r="1518" spans="13:23">
      <c r="M1518" s="9"/>
      <c r="W1518" s="6"/>
    </row>
    <row r="1519" spans="13:23">
      <c r="M1519" s="9"/>
      <c r="W1519" s="6"/>
    </row>
    <row r="1520" spans="13:23">
      <c r="M1520" s="9"/>
      <c r="W1520" s="6"/>
    </row>
    <row r="1521" spans="13:23">
      <c r="M1521" s="9"/>
      <c r="W1521" s="6"/>
    </row>
    <row r="1522" spans="13:23">
      <c r="M1522" s="9"/>
      <c r="W1522" s="6"/>
    </row>
    <row r="1523" spans="13:23">
      <c r="M1523" s="9"/>
      <c r="W1523" s="6"/>
    </row>
    <row r="1524" spans="13:23">
      <c r="M1524" s="9"/>
      <c r="W1524" s="6"/>
    </row>
    <row r="1525" spans="13:23">
      <c r="M1525" s="9"/>
      <c r="W1525" s="6"/>
    </row>
    <row r="1526" spans="13:23">
      <c r="M1526" s="9"/>
      <c r="W1526" s="6"/>
    </row>
    <row r="1527" spans="13:23">
      <c r="M1527" s="9"/>
      <c r="W1527" s="6"/>
    </row>
    <row r="1528" spans="13:23">
      <c r="M1528" s="9"/>
      <c r="W1528" s="6"/>
    </row>
    <row r="1529" spans="13:23">
      <c r="M1529" s="9"/>
      <c r="W1529" s="6"/>
    </row>
    <row r="1530" spans="13:23">
      <c r="M1530" s="9"/>
      <c r="W1530" s="6"/>
    </row>
    <row r="1531" spans="13:23">
      <c r="M1531" s="9"/>
      <c r="W1531" s="6"/>
    </row>
    <row r="1532" spans="13:23">
      <c r="M1532" s="9"/>
      <c r="W1532" s="6"/>
    </row>
    <row r="1533" spans="13:23">
      <c r="M1533" s="9"/>
      <c r="W1533" s="6"/>
    </row>
    <row r="1534" spans="13:23">
      <c r="M1534" s="9"/>
      <c r="W1534" s="6"/>
    </row>
    <row r="1535" spans="13:23">
      <c r="M1535" s="9"/>
      <c r="W1535" s="6"/>
    </row>
    <row r="1536" spans="13:23">
      <c r="M1536" s="9"/>
      <c r="W1536" s="6"/>
    </row>
    <row r="1537" spans="13:23">
      <c r="M1537" s="9"/>
      <c r="W1537" s="6"/>
    </row>
    <row r="1538" spans="13:23">
      <c r="M1538" s="9"/>
      <c r="W1538" s="6"/>
    </row>
    <row r="1539" spans="13:23">
      <c r="M1539" s="9"/>
      <c r="W1539" s="6"/>
    </row>
    <row r="1540" spans="13:23">
      <c r="M1540" s="9"/>
      <c r="W1540" s="6"/>
    </row>
    <row r="1541" spans="13:23">
      <c r="M1541" s="9"/>
      <c r="W1541" s="6"/>
    </row>
    <row r="1542" spans="13:23">
      <c r="M1542" s="9"/>
      <c r="W1542" s="6"/>
    </row>
    <row r="1543" spans="13:23">
      <c r="M1543" s="9"/>
      <c r="W1543" s="6"/>
    </row>
    <row r="1544" spans="13:23">
      <c r="M1544" s="9"/>
      <c r="W1544" s="6"/>
    </row>
    <row r="1545" spans="13:23">
      <c r="M1545" s="9"/>
      <c r="W1545" s="6"/>
    </row>
    <row r="1546" spans="13:23">
      <c r="M1546" s="9"/>
      <c r="W1546" s="6"/>
    </row>
    <row r="1547" spans="13:23">
      <c r="M1547" s="9"/>
      <c r="W1547" s="6"/>
    </row>
    <row r="1548" spans="13:23">
      <c r="M1548" s="9"/>
      <c r="W1548" s="6"/>
    </row>
    <row r="1549" spans="13:23">
      <c r="M1549" s="9"/>
      <c r="W1549" s="6"/>
    </row>
    <row r="1550" spans="13:23">
      <c r="M1550" s="9"/>
      <c r="W1550" s="6"/>
    </row>
    <row r="1551" spans="13:23">
      <c r="M1551" s="9"/>
      <c r="W1551" s="6"/>
    </row>
    <row r="1552" spans="13:23">
      <c r="M1552" s="9"/>
      <c r="W1552" s="6"/>
    </row>
    <row r="1553" spans="13:23">
      <c r="M1553" s="9"/>
      <c r="W1553" s="6"/>
    </row>
    <row r="1554" spans="13:23">
      <c r="M1554" s="9"/>
      <c r="W1554" s="6"/>
    </row>
    <row r="1555" spans="13:23">
      <c r="M1555" s="9"/>
      <c r="W1555" s="6"/>
    </row>
    <row r="1556" spans="13:23">
      <c r="M1556" s="9"/>
      <c r="W1556" s="6"/>
    </row>
    <row r="1557" spans="13:23">
      <c r="M1557" s="9"/>
      <c r="W1557" s="6"/>
    </row>
    <row r="1558" spans="13:23">
      <c r="M1558" s="9"/>
      <c r="W1558" s="6"/>
    </row>
    <row r="1559" spans="13:23">
      <c r="M1559" s="9"/>
      <c r="W1559" s="6"/>
    </row>
    <row r="1560" spans="13:23">
      <c r="M1560" s="9"/>
      <c r="W1560" s="6"/>
    </row>
    <row r="1561" spans="13:23">
      <c r="M1561" s="9"/>
      <c r="W1561" s="6"/>
    </row>
    <row r="1562" spans="13:23">
      <c r="M1562" s="9"/>
      <c r="W1562" s="6"/>
    </row>
    <row r="1563" spans="13:23">
      <c r="M1563" s="9"/>
      <c r="W1563" s="6"/>
    </row>
    <row r="1564" spans="13:23">
      <c r="M1564" s="9"/>
      <c r="W1564" s="6"/>
    </row>
    <row r="1565" spans="13:23">
      <c r="M1565" s="9"/>
      <c r="W1565" s="6"/>
    </row>
    <row r="1566" spans="13:23">
      <c r="M1566" s="9"/>
      <c r="W1566" s="6"/>
    </row>
    <row r="1567" spans="13:23">
      <c r="M1567" s="9"/>
      <c r="W1567" s="6"/>
    </row>
    <row r="1568" spans="13:23">
      <c r="M1568" s="9"/>
      <c r="W1568" s="6"/>
    </row>
    <row r="1569" spans="13:23">
      <c r="M1569" s="9"/>
      <c r="W1569" s="6"/>
    </row>
    <row r="1570" spans="13:23">
      <c r="M1570" s="9"/>
      <c r="W1570" s="6"/>
    </row>
    <row r="1571" spans="13:23">
      <c r="M1571" s="9"/>
      <c r="W1571" s="6"/>
    </row>
    <row r="1572" spans="13:23">
      <c r="M1572" s="9"/>
      <c r="W1572" s="6"/>
    </row>
    <row r="1573" spans="13:23">
      <c r="M1573" s="9"/>
      <c r="W1573" s="6"/>
    </row>
    <row r="1574" spans="13:23">
      <c r="M1574" s="9"/>
      <c r="W1574" s="6"/>
    </row>
    <row r="1575" spans="13:23">
      <c r="M1575" s="9"/>
      <c r="W1575" s="6"/>
    </row>
    <row r="1576" spans="13:23">
      <c r="M1576" s="9"/>
      <c r="W1576" s="6"/>
    </row>
    <row r="1577" spans="13:23">
      <c r="M1577" s="9"/>
      <c r="W1577" s="6"/>
    </row>
    <row r="1578" spans="13:23">
      <c r="M1578" s="9"/>
      <c r="W1578" s="6"/>
    </row>
    <row r="1579" spans="13:23">
      <c r="M1579" s="9"/>
      <c r="W1579" s="6"/>
    </row>
    <row r="1580" spans="13:23">
      <c r="M1580" s="9"/>
      <c r="W1580" s="6"/>
    </row>
    <row r="1581" spans="13:23">
      <c r="M1581" s="9"/>
      <c r="W1581" s="6"/>
    </row>
    <row r="1582" spans="13:23">
      <c r="M1582" s="9"/>
      <c r="W1582" s="6"/>
    </row>
    <row r="1583" spans="13:23">
      <c r="M1583" s="9"/>
      <c r="W1583" s="6"/>
    </row>
    <row r="1584" spans="13:23">
      <c r="M1584" s="9"/>
      <c r="W1584" s="6"/>
    </row>
    <row r="1585" spans="13:23">
      <c r="M1585" s="9"/>
      <c r="W1585" s="6"/>
    </row>
    <row r="1586" spans="13:23">
      <c r="M1586" s="9"/>
      <c r="W1586" s="6"/>
    </row>
    <row r="1587" spans="13:23">
      <c r="M1587" s="9"/>
      <c r="W1587" s="6"/>
    </row>
    <row r="1588" spans="13:23">
      <c r="M1588" s="9"/>
      <c r="W1588" s="6"/>
    </row>
    <row r="1589" spans="13:23">
      <c r="M1589" s="9"/>
      <c r="W1589" s="6"/>
    </row>
    <row r="1590" spans="13:23">
      <c r="M1590" s="9"/>
      <c r="W1590" s="6"/>
    </row>
    <row r="1591" spans="13:23">
      <c r="M1591" s="9"/>
      <c r="W1591" s="6"/>
    </row>
    <row r="1592" spans="13:23">
      <c r="M1592" s="9"/>
      <c r="W1592" s="6"/>
    </row>
    <row r="1593" spans="13:23">
      <c r="M1593" s="9"/>
      <c r="W1593" s="6"/>
    </row>
    <row r="1594" spans="13:23">
      <c r="M1594" s="9"/>
      <c r="W1594" s="6"/>
    </row>
    <row r="1595" spans="13:23">
      <c r="M1595" s="9"/>
      <c r="W1595" s="6"/>
    </row>
    <row r="1596" spans="13:23">
      <c r="M1596" s="9"/>
      <c r="W1596" s="6"/>
    </row>
    <row r="1597" spans="13:23">
      <c r="M1597" s="9"/>
      <c r="W1597" s="6"/>
    </row>
    <row r="1598" spans="13:23">
      <c r="M1598" s="9"/>
      <c r="W1598" s="6"/>
    </row>
    <row r="1599" spans="13:23">
      <c r="M1599" s="9"/>
      <c r="W1599" s="6"/>
    </row>
    <row r="1600" spans="13:23">
      <c r="M1600" s="9"/>
      <c r="W1600" s="6"/>
    </row>
    <row r="1601" spans="13:23">
      <c r="M1601" s="9"/>
      <c r="W1601" s="6"/>
    </row>
    <row r="1602" spans="13:23">
      <c r="M1602" s="9"/>
      <c r="W1602" s="6"/>
    </row>
    <row r="1603" spans="13:23">
      <c r="M1603" s="9"/>
      <c r="W1603" s="6"/>
    </row>
    <row r="1604" spans="13:23">
      <c r="M1604" s="9"/>
      <c r="W1604" s="6"/>
    </row>
    <row r="1605" spans="13:23">
      <c r="M1605" s="9"/>
      <c r="W1605" s="6"/>
    </row>
    <row r="1606" spans="13:23">
      <c r="M1606" s="9"/>
      <c r="W1606" s="6"/>
    </row>
    <row r="1607" spans="13:23">
      <c r="M1607" s="9"/>
      <c r="W1607" s="6"/>
    </row>
    <row r="1608" spans="13:23">
      <c r="M1608" s="9"/>
      <c r="W1608" s="6"/>
    </row>
    <row r="1609" spans="13:23">
      <c r="M1609" s="9"/>
      <c r="W1609" s="6"/>
    </row>
    <row r="1610" spans="13:23">
      <c r="M1610" s="9"/>
      <c r="W1610" s="6"/>
    </row>
    <row r="1611" spans="13:23">
      <c r="M1611" s="9"/>
      <c r="W1611" s="6"/>
    </row>
    <row r="1612" spans="13:23">
      <c r="M1612" s="9"/>
      <c r="W1612" s="6"/>
    </row>
    <row r="1613" spans="13:23">
      <c r="M1613" s="9"/>
      <c r="W1613" s="6"/>
    </row>
    <row r="1614" spans="13:23">
      <c r="M1614" s="9"/>
      <c r="W1614" s="6"/>
    </row>
    <row r="1615" spans="13:23">
      <c r="M1615" s="9"/>
      <c r="W1615" s="6"/>
    </row>
    <row r="1616" spans="13:23">
      <c r="M1616" s="9"/>
      <c r="W1616" s="6"/>
    </row>
    <row r="1617" spans="13:23">
      <c r="M1617" s="9"/>
      <c r="W1617" s="6"/>
    </row>
    <row r="1618" spans="13:23">
      <c r="M1618" s="9"/>
      <c r="W1618" s="6"/>
    </row>
    <row r="1619" spans="13:23">
      <c r="M1619" s="9"/>
      <c r="W1619" s="6"/>
    </row>
    <row r="1620" spans="13:23">
      <c r="M1620" s="9"/>
      <c r="W1620" s="6"/>
    </row>
    <row r="1621" spans="13:23">
      <c r="M1621" s="9"/>
      <c r="W1621" s="6"/>
    </row>
    <row r="1622" spans="13:23">
      <c r="M1622" s="9"/>
      <c r="W1622" s="6"/>
    </row>
    <row r="1623" spans="13:23">
      <c r="M1623" s="9"/>
      <c r="W1623" s="6"/>
    </row>
    <row r="1624" spans="13:23">
      <c r="M1624" s="9"/>
      <c r="W1624" s="6"/>
    </row>
    <row r="1625" spans="13:23">
      <c r="M1625" s="9"/>
      <c r="W1625" s="6"/>
    </row>
    <row r="1626" spans="13:23">
      <c r="M1626" s="9"/>
      <c r="W1626" s="6"/>
    </row>
    <row r="1627" spans="13:23">
      <c r="M1627" s="9"/>
      <c r="W1627" s="6"/>
    </row>
    <row r="1628" spans="13:23">
      <c r="M1628" s="9"/>
      <c r="W1628" s="6"/>
    </row>
    <row r="1629" spans="13:23">
      <c r="M1629" s="9"/>
      <c r="W1629" s="6"/>
    </row>
    <row r="1630" spans="13:23">
      <c r="M1630" s="9"/>
      <c r="W1630" s="6"/>
    </row>
    <row r="1631" spans="13:23">
      <c r="M1631" s="9"/>
      <c r="W1631" s="6"/>
    </row>
    <row r="1632" spans="13:23">
      <c r="M1632" s="9"/>
      <c r="W1632" s="6"/>
    </row>
    <row r="1633" spans="13:23">
      <c r="M1633" s="9"/>
      <c r="W1633" s="6"/>
    </row>
    <row r="1634" spans="13:23">
      <c r="M1634" s="9"/>
      <c r="W1634" s="6"/>
    </row>
    <row r="1635" spans="13:23">
      <c r="M1635" s="9"/>
      <c r="W1635" s="6"/>
    </row>
    <row r="1636" spans="13:23">
      <c r="M1636" s="9"/>
      <c r="W1636" s="6"/>
    </row>
    <row r="1637" spans="13:23">
      <c r="M1637" s="9"/>
      <c r="W1637" s="6"/>
    </row>
    <row r="1638" spans="13:23">
      <c r="M1638" s="9"/>
      <c r="W1638" s="6"/>
    </row>
    <row r="1639" spans="13:23">
      <c r="M1639" s="9"/>
      <c r="W1639" s="6"/>
    </row>
    <row r="1640" spans="13:23">
      <c r="M1640" s="9"/>
      <c r="W1640" s="6"/>
    </row>
    <row r="1641" spans="13:23">
      <c r="M1641" s="9"/>
      <c r="W1641" s="6"/>
    </row>
    <row r="1642" spans="13:23">
      <c r="M1642" s="9"/>
      <c r="W1642" s="6"/>
    </row>
    <row r="1643" spans="13:23">
      <c r="M1643" s="9"/>
      <c r="W1643" s="6"/>
    </row>
    <row r="1644" spans="13:23">
      <c r="M1644" s="9"/>
      <c r="W1644" s="6"/>
    </row>
    <row r="1645" spans="13:23">
      <c r="M1645" s="9"/>
      <c r="W1645" s="6"/>
    </row>
    <row r="1646" spans="13:23">
      <c r="M1646" s="9"/>
      <c r="W1646" s="6"/>
    </row>
    <row r="1647" spans="13:23">
      <c r="M1647" s="9"/>
      <c r="W1647" s="6"/>
    </row>
    <row r="1648" spans="13:23">
      <c r="M1648" s="9"/>
      <c r="W1648" s="6"/>
    </row>
    <row r="1649" spans="13:23">
      <c r="M1649" s="9"/>
      <c r="W1649" s="6"/>
    </row>
    <row r="1650" spans="13:23">
      <c r="M1650" s="9"/>
      <c r="W1650" s="6"/>
    </row>
    <row r="1651" spans="13:23">
      <c r="M1651" s="9"/>
      <c r="W1651" s="6"/>
    </row>
    <row r="1652" spans="13:23">
      <c r="M1652" s="9"/>
      <c r="W1652" s="6"/>
    </row>
    <row r="1653" spans="13:23">
      <c r="M1653" s="9"/>
      <c r="W1653" s="6"/>
    </row>
    <row r="1654" spans="13:23">
      <c r="M1654" s="9"/>
      <c r="W1654" s="6"/>
    </row>
    <row r="1655" spans="13:23">
      <c r="M1655" s="9"/>
      <c r="W1655" s="6"/>
    </row>
    <row r="1656" spans="13:23">
      <c r="M1656" s="9"/>
      <c r="W1656" s="6"/>
    </row>
    <row r="1657" spans="13:23">
      <c r="M1657" s="9"/>
      <c r="W1657" s="6"/>
    </row>
    <row r="1658" spans="13:23">
      <c r="M1658" s="9"/>
      <c r="W1658" s="6"/>
    </row>
    <row r="1659" spans="13:23">
      <c r="M1659" s="9"/>
      <c r="W1659" s="6"/>
    </row>
    <row r="1660" spans="13:23">
      <c r="M1660" s="9"/>
      <c r="W1660" s="6"/>
    </row>
    <row r="1661" spans="13:23">
      <c r="M1661" s="9"/>
      <c r="W1661" s="6"/>
    </row>
    <row r="1662" spans="13:23">
      <c r="M1662" s="9"/>
      <c r="W1662" s="6"/>
    </row>
    <row r="1663" spans="13:23">
      <c r="M1663" s="9"/>
      <c r="W1663" s="6"/>
    </row>
    <row r="1664" spans="13:23">
      <c r="M1664" s="9"/>
      <c r="W1664" s="6"/>
    </row>
    <row r="1665" spans="13:23">
      <c r="M1665" s="9"/>
      <c r="W1665" s="6"/>
    </row>
    <row r="1666" spans="13:23">
      <c r="M1666" s="9"/>
      <c r="W1666" s="6"/>
    </row>
    <row r="1667" spans="13:23">
      <c r="M1667" s="9"/>
      <c r="W1667" s="6"/>
    </row>
    <row r="1668" spans="13:23">
      <c r="M1668" s="9"/>
      <c r="W1668" s="6"/>
    </row>
    <row r="1669" spans="13:23">
      <c r="M1669" s="9"/>
      <c r="W1669" s="6"/>
    </row>
    <row r="1670" spans="13:23">
      <c r="M1670" s="9"/>
      <c r="W1670" s="6"/>
    </row>
    <row r="1671" spans="13:23">
      <c r="M1671" s="9"/>
      <c r="W1671" s="6"/>
    </row>
    <row r="1672" spans="13:23">
      <c r="M1672" s="9"/>
      <c r="W1672" s="6"/>
    </row>
    <row r="1673" spans="13:23">
      <c r="M1673" s="9"/>
      <c r="W1673" s="6"/>
    </row>
    <row r="1674" spans="13:23">
      <c r="M1674" s="9"/>
      <c r="W1674" s="6"/>
    </row>
    <row r="1675" spans="13:23">
      <c r="M1675" s="9"/>
      <c r="W1675" s="6"/>
    </row>
    <row r="1676" spans="13:23">
      <c r="M1676" s="9"/>
      <c r="W1676" s="6"/>
    </row>
    <row r="1677" spans="13:23">
      <c r="M1677" s="9"/>
      <c r="W1677" s="6"/>
    </row>
    <row r="1678" spans="13:23">
      <c r="M1678" s="9"/>
      <c r="W1678" s="6"/>
    </row>
    <row r="1679" spans="13:23">
      <c r="M1679" s="9"/>
      <c r="W1679" s="6"/>
    </row>
    <row r="1680" spans="13:23">
      <c r="M1680" s="9"/>
      <c r="W1680" s="6"/>
    </row>
    <row r="1681" spans="13:23">
      <c r="M1681" s="9"/>
      <c r="W1681" s="6"/>
    </row>
    <row r="1682" spans="13:23">
      <c r="M1682" s="9"/>
      <c r="W1682" s="6"/>
    </row>
    <row r="1683" spans="13:23">
      <c r="M1683" s="9"/>
      <c r="W1683" s="6"/>
    </row>
    <row r="1684" spans="13:23">
      <c r="M1684" s="9"/>
      <c r="W1684" s="6"/>
    </row>
    <row r="1685" spans="13:23">
      <c r="M1685" s="9"/>
      <c r="W1685" s="6"/>
    </row>
    <row r="1686" spans="13:23">
      <c r="M1686" s="9"/>
      <c r="W1686" s="6"/>
    </row>
    <row r="1687" spans="13:23">
      <c r="M1687" s="9"/>
      <c r="W1687" s="6"/>
    </row>
    <row r="1688" spans="13:23">
      <c r="M1688" s="9"/>
      <c r="W1688" s="6"/>
    </row>
    <row r="1689" spans="13:23">
      <c r="M1689" s="9"/>
      <c r="W1689" s="6"/>
    </row>
    <row r="1690" spans="13:23">
      <c r="M1690" s="9"/>
      <c r="W1690" s="6"/>
    </row>
    <row r="1691" spans="13:23">
      <c r="M1691" s="9"/>
      <c r="W1691" s="6"/>
    </row>
    <row r="1692" spans="13:23">
      <c r="M1692" s="9"/>
      <c r="W1692" s="6"/>
    </row>
    <row r="1693" spans="13:23">
      <c r="M1693" s="9"/>
      <c r="W1693" s="6"/>
    </row>
    <row r="1694" spans="13:23">
      <c r="M1694" s="9"/>
      <c r="W1694" s="6"/>
    </row>
    <row r="1695" spans="13:23">
      <c r="M1695" s="9"/>
      <c r="W1695" s="6"/>
    </row>
    <row r="1696" spans="13:23">
      <c r="M1696" s="9"/>
      <c r="W1696" s="6"/>
    </row>
    <row r="1697" spans="13:23">
      <c r="M1697" s="9"/>
      <c r="W1697" s="6"/>
    </row>
    <row r="1698" spans="13:23">
      <c r="M1698" s="9"/>
      <c r="W1698" s="6"/>
    </row>
    <row r="1699" spans="13:23">
      <c r="M1699" s="9"/>
      <c r="W1699" s="6"/>
    </row>
    <row r="1700" spans="13:23">
      <c r="M1700" s="9"/>
      <c r="W1700" s="6"/>
    </row>
    <row r="1701" spans="13:23">
      <c r="M1701" s="9"/>
      <c r="W1701" s="6"/>
    </row>
    <row r="1702" spans="13:23">
      <c r="M1702" s="9"/>
      <c r="W1702" s="6"/>
    </row>
    <row r="1703" spans="13:23">
      <c r="M1703" s="9"/>
      <c r="W1703" s="6"/>
    </row>
    <row r="1704" spans="13:23">
      <c r="M1704" s="9"/>
      <c r="W1704" s="6"/>
    </row>
    <row r="1705" spans="13:23">
      <c r="M1705" s="9"/>
      <c r="W1705" s="6"/>
    </row>
    <row r="1706" spans="13:23">
      <c r="M1706" s="9"/>
      <c r="W1706" s="6"/>
    </row>
    <row r="1707" spans="13:23">
      <c r="M1707" s="9"/>
      <c r="W1707" s="6"/>
    </row>
    <row r="1708" spans="13:23">
      <c r="M1708" s="9"/>
      <c r="W1708" s="6"/>
    </row>
    <row r="1709" spans="13:23">
      <c r="M1709" s="9"/>
      <c r="W1709" s="6"/>
    </row>
    <row r="1710" spans="13:23">
      <c r="M1710" s="9"/>
      <c r="W1710" s="6"/>
    </row>
    <row r="1711" spans="13:23">
      <c r="M1711" s="9"/>
      <c r="W1711" s="6"/>
    </row>
    <row r="1712" spans="13:23">
      <c r="M1712" s="9"/>
      <c r="W1712" s="6"/>
    </row>
    <row r="1713" spans="13:23">
      <c r="M1713" s="9"/>
      <c r="W1713" s="6"/>
    </row>
    <row r="1714" spans="13:23">
      <c r="M1714" s="9"/>
      <c r="W1714" s="6"/>
    </row>
    <row r="1715" spans="13:23">
      <c r="M1715" s="9"/>
      <c r="W1715" s="6"/>
    </row>
    <row r="1716" spans="13:23">
      <c r="M1716" s="9"/>
      <c r="W1716" s="6"/>
    </row>
    <row r="1717" spans="13:23">
      <c r="M1717" s="9"/>
      <c r="W1717" s="6"/>
    </row>
    <row r="1718" spans="13:23">
      <c r="M1718" s="9"/>
      <c r="W1718" s="6"/>
    </row>
    <row r="1719" spans="13:23">
      <c r="M1719" s="9"/>
      <c r="W1719" s="6"/>
    </row>
    <row r="1720" spans="13:23">
      <c r="M1720" s="9"/>
      <c r="W1720" s="6"/>
    </row>
    <row r="1721" spans="13:23">
      <c r="M1721" s="9"/>
      <c r="W1721" s="6"/>
    </row>
    <row r="1722" spans="13:23">
      <c r="M1722" s="9"/>
      <c r="W1722" s="6"/>
    </row>
    <row r="1723" spans="13:23">
      <c r="M1723" s="9"/>
      <c r="W1723" s="6"/>
    </row>
    <row r="1724" spans="13:23">
      <c r="M1724" s="9"/>
      <c r="W1724" s="6"/>
    </row>
    <row r="1725" spans="13:23">
      <c r="M1725" s="9"/>
      <c r="W1725" s="6"/>
    </row>
    <row r="1726" spans="13:23">
      <c r="M1726" s="9"/>
      <c r="W1726" s="6"/>
    </row>
    <row r="1727" spans="13:23">
      <c r="M1727" s="9"/>
      <c r="W1727" s="6"/>
    </row>
    <row r="1728" spans="13:23">
      <c r="M1728" s="9"/>
      <c r="W1728" s="6"/>
    </row>
    <row r="1729" spans="13:23">
      <c r="M1729" s="9"/>
      <c r="W1729" s="6"/>
    </row>
    <row r="1730" spans="13:23">
      <c r="M1730" s="9"/>
      <c r="W1730" s="6"/>
    </row>
    <row r="1731" spans="13:23">
      <c r="M1731" s="9"/>
      <c r="W1731" s="6"/>
    </row>
    <row r="1732" spans="13:23">
      <c r="M1732" s="9"/>
      <c r="W1732" s="6"/>
    </row>
    <row r="1733" spans="13:23">
      <c r="M1733" s="9"/>
      <c r="W1733" s="6"/>
    </row>
    <row r="1734" spans="13:23">
      <c r="M1734" s="9"/>
      <c r="W1734" s="6"/>
    </row>
    <row r="1735" spans="13:23">
      <c r="M1735" s="9"/>
      <c r="W1735" s="6"/>
    </row>
    <row r="1736" spans="13:23">
      <c r="M1736" s="9"/>
      <c r="W1736" s="6"/>
    </row>
    <row r="1737" spans="13:23">
      <c r="M1737" s="9"/>
      <c r="W1737" s="6"/>
    </row>
    <row r="1738" spans="13:23">
      <c r="M1738" s="9"/>
      <c r="W1738" s="6"/>
    </row>
    <row r="1739" spans="13:23">
      <c r="M1739" s="9"/>
      <c r="W1739" s="6"/>
    </row>
    <row r="1740" spans="13:23">
      <c r="M1740" s="9"/>
      <c r="W1740" s="6"/>
    </row>
    <row r="1741" spans="13:23">
      <c r="M1741" s="9"/>
      <c r="W1741" s="6"/>
    </row>
    <row r="1742" spans="13:23">
      <c r="M1742" s="9"/>
      <c r="W1742" s="6"/>
    </row>
    <row r="1743" spans="13:23">
      <c r="M1743" s="9"/>
      <c r="W1743" s="6"/>
    </row>
    <row r="1744" spans="13:23">
      <c r="M1744" s="9"/>
      <c r="W1744" s="6"/>
    </row>
    <row r="1745" spans="13:23">
      <c r="M1745" s="9"/>
      <c r="W1745" s="6"/>
    </row>
    <row r="1746" spans="13:23">
      <c r="M1746" s="9"/>
      <c r="W1746" s="6"/>
    </row>
    <row r="1747" spans="13:23">
      <c r="M1747" s="9"/>
      <c r="W1747" s="6"/>
    </row>
    <row r="1748" spans="13:23">
      <c r="M1748" s="9"/>
      <c r="W1748" s="6"/>
    </row>
    <row r="1749" spans="13:23">
      <c r="M1749" s="9"/>
      <c r="W1749" s="6"/>
    </row>
    <row r="1750" spans="13:23">
      <c r="M1750" s="9"/>
      <c r="W1750" s="6"/>
    </row>
    <row r="1751" spans="13:23">
      <c r="M1751" s="9"/>
      <c r="W1751" s="6"/>
    </row>
    <row r="1752" spans="13:23">
      <c r="M1752" s="9"/>
      <c r="W1752" s="6"/>
    </row>
    <row r="1753" spans="13:23">
      <c r="M1753" s="9"/>
      <c r="W1753" s="6"/>
    </row>
    <row r="1754" spans="13:23">
      <c r="M1754" s="9"/>
      <c r="W1754" s="6"/>
    </row>
    <row r="1755" spans="13:23">
      <c r="M1755" s="9"/>
      <c r="W1755" s="6"/>
    </row>
    <row r="1756" spans="13:23">
      <c r="M1756" s="9"/>
      <c r="W1756" s="6"/>
    </row>
    <row r="1757" spans="13:23">
      <c r="M1757" s="9"/>
      <c r="W1757" s="6"/>
    </row>
    <row r="1758" spans="13:23">
      <c r="M1758" s="9"/>
      <c r="W1758" s="6"/>
    </row>
    <row r="1759" spans="13:23">
      <c r="M1759" s="9"/>
      <c r="W1759" s="6"/>
    </row>
    <row r="1760" spans="13:23">
      <c r="M1760" s="9"/>
      <c r="W1760" s="6"/>
    </row>
    <row r="1761" spans="13:23">
      <c r="M1761" s="9"/>
      <c r="W1761" s="6"/>
    </row>
    <row r="1762" spans="13:23">
      <c r="M1762" s="9"/>
      <c r="W1762" s="6"/>
    </row>
    <row r="1763" spans="13:23">
      <c r="M1763" s="9"/>
      <c r="W1763" s="6"/>
    </row>
    <row r="1764" spans="13:23">
      <c r="M1764" s="9"/>
      <c r="W1764" s="6"/>
    </row>
    <row r="1765" spans="13:23">
      <c r="M1765" s="9"/>
      <c r="W1765" s="6"/>
    </row>
    <row r="1766" spans="13:23">
      <c r="M1766" s="9"/>
      <c r="W1766" s="6"/>
    </row>
    <row r="1767" spans="13:23">
      <c r="M1767" s="9"/>
      <c r="W1767" s="6"/>
    </row>
    <row r="1768" spans="13:23">
      <c r="M1768" s="9"/>
      <c r="W1768" s="6"/>
    </row>
    <row r="1769" spans="13:23">
      <c r="M1769" s="9"/>
      <c r="W1769" s="6"/>
    </row>
    <row r="1770" spans="13:23">
      <c r="M1770" s="9"/>
      <c r="W1770" s="6"/>
    </row>
    <row r="1771" spans="13:23">
      <c r="M1771" s="9"/>
      <c r="W1771" s="6"/>
    </row>
    <row r="1772" spans="13:23">
      <c r="M1772" s="9"/>
      <c r="W1772" s="6"/>
    </row>
    <row r="1773" spans="13:23">
      <c r="M1773" s="9"/>
      <c r="W1773" s="6"/>
    </row>
    <row r="1774" spans="13:23">
      <c r="M1774" s="9"/>
      <c r="W1774" s="6"/>
    </row>
    <row r="1775" spans="13:23">
      <c r="M1775" s="9"/>
      <c r="W1775" s="6"/>
    </row>
    <row r="1776" spans="13:23">
      <c r="M1776" s="9"/>
      <c r="W1776" s="6"/>
    </row>
    <row r="1777" spans="13:23">
      <c r="M1777" s="9"/>
      <c r="W1777" s="6"/>
    </row>
    <row r="1778" spans="13:23">
      <c r="M1778" s="9"/>
      <c r="W1778" s="6"/>
    </row>
    <row r="1779" spans="13:23">
      <c r="M1779" s="9"/>
      <c r="W1779" s="6"/>
    </row>
    <row r="1780" spans="13:23">
      <c r="M1780" s="9"/>
      <c r="W1780" s="6"/>
    </row>
    <row r="1781" spans="13:23">
      <c r="M1781" s="9"/>
      <c r="W1781" s="6"/>
    </row>
    <row r="1782" spans="13:23">
      <c r="M1782" s="9"/>
      <c r="W1782" s="6"/>
    </row>
    <row r="1783" spans="13:23">
      <c r="M1783" s="9"/>
      <c r="W1783" s="6"/>
    </row>
    <row r="1784" spans="13:23">
      <c r="M1784" s="9"/>
      <c r="W1784" s="6"/>
    </row>
    <row r="1785" spans="13:23">
      <c r="M1785" s="9"/>
      <c r="W1785" s="6"/>
    </row>
    <row r="1786" spans="13:23">
      <c r="M1786" s="9"/>
      <c r="W1786" s="6"/>
    </row>
    <row r="1787" spans="13:23">
      <c r="M1787" s="9"/>
      <c r="W1787" s="6"/>
    </row>
    <row r="1788" spans="13:23">
      <c r="M1788" s="9"/>
      <c r="W1788" s="6"/>
    </row>
    <row r="1789" spans="13:23">
      <c r="M1789" s="9"/>
      <c r="W1789" s="6"/>
    </row>
    <row r="1790" spans="13:23">
      <c r="M1790" s="9"/>
      <c r="W1790" s="6"/>
    </row>
    <row r="1791" spans="13:23">
      <c r="M1791" s="9"/>
      <c r="W1791" s="6"/>
    </row>
    <row r="1792" spans="13:23">
      <c r="M1792" s="9"/>
      <c r="W1792" s="6"/>
    </row>
    <row r="1793" spans="13:23">
      <c r="M1793" s="9"/>
      <c r="W1793" s="6"/>
    </row>
    <row r="1794" spans="13:23">
      <c r="M1794" s="9"/>
      <c r="W1794" s="6"/>
    </row>
    <row r="1795" spans="13:23">
      <c r="M1795" s="9"/>
      <c r="W1795" s="6"/>
    </row>
    <row r="1796" spans="13:23">
      <c r="M1796" s="9"/>
      <c r="W1796" s="6"/>
    </row>
    <row r="1797" spans="13:23">
      <c r="M1797" s="9"/>
      <c r="W1797" s="6"/>
    </row>
    <row r="1798" spans="13:23">
      <c r="M1798" s="9"/>
      <c r="W1798" s="6"/>
    </row>
    <row r="1799" spans="13:23">
      <c r="M1799" s="9"/>
      <c r="W1799" s="6"/>
    </row>
    <row r="1800" spans="13:23">
      <c r="M1800" s="9"/>
      <c r="W1800" s="6"/>
    </row>
    <row r="1801" spans="13:23">
      <c r="M1801" s="9"/>
      <c r="W1801" s="6"/>
    </row>
    <row r="1802" spans="13:23">
      <c r="M1802" s="9"/>
      <c r="W1802" s="6"/>
    </row>
    <row r="1803" spans="13:23">
      <c r="M1803" s="9"/>
      <c r="W1803" s="6"/>
    </row>
    <row r="1804" spans="13:23">
      <c r="M1804" s="9"/>
      <c r="W1804" s="6"/>
    </row>
    <row r="1805" spans="13:23">
      <c r="M1805" s="9"/>
      <c r="W1805" s="6"/>
    </row>
    <row r="1806" spans="13:23">
      <c r="M1806" s="9"/>
      <c r="W1806" s="6"/>
    </row>
    <row r="1807" spans="13:23">
      <c r="M1807" s="9"/>
      <c r="W1807" s="6"/>
    </row>
    <row r="1808" spans="13:23">
      <c r="M1808" s="9"/>
      <c r="W1808" s="6"/>
    </row>
    <row r="1809" spans="13:23">
      <c r="M1809" s="9"/>
      <c r="W1809" s="6"/>
    </row>
    <row r="1810" spans="13:23">
      <c r="M1810" s="9"/>
      <c r="W1810" s="6"/>
    </row>
    <row r="1811" spans="13:23">
      <c r="M1811" s="9"/>
      <c r="W1811" s="6"/>
    </row>
    <row r="1812" spans="13:23">
      <c r="M1812" s="9"/>
      <c r="W1812" s="6"/>
    </row>
    <row r="1813" spans="13:23">
      <c r="M1813" s="9"/>
      <c r="W1813" s="6"/>
    </row>
    <row r="1814" spans="13:23">
      <c r="M1814" s="9"/>
      <c r="W1814" s="6"/>
    </row>
    <row r="1815" spans="13:23">
      <c r="M1815" s="9"/>
      <c r="W1815" s="6"/>
    </row>
    <row r="1816" spans="13:23">
      <c r="M1816" s="9"/>
      <c r="W1816" s="6"/>
    </row>
    <row r="1817" spans="13:23">
      <c r="M1817" s="9"/>
      <c r="W1817" s="6"/>
    </row>
    <row r="1818" spans="13:23">
      <c r="M1818" s="9"/>
      <c r="W1818" s="6"/>
    </row>
    <row r="1819" spans="13:23">
      <c r="M1819" s="9"/>
      <c r="W1819" s="6"/>
    </row>
    <row r="1820" spans="13:23">
      <c r="M1820" s="9"/>
      <c r="W1820" s="6"/>
    </row>
    <row r="1821" spans="13:23">
      <c r="M1821" s="9"/>
      <c r="W1821" s="6"/>
    </row>
    <row r="1822" spans="13:23">
      <c r="M1822" s="9"/>
      <c r="W1822" s="6"/>
    </row>
    <row r="1823" spans="13:23">
      <c r="M1823" s="9"/>
      <c r="W1823" s="6"/>
    </row>
    <row r="1824" spans="13:23">
      <c r="M1824" s="9"/>
      <c r="W1824" s="6"/>
    </row>
    <row r="1825" spans="13:23">
      <c r="M1825" s="9"/>
      <c r="W1825" s="6"/>
    </row>
    <row r="1826" spans="13:23">
      <c r="M1826" s="9"/>
      <c r="W1826" s="6"/>
    </row>
    <row r="1827" spans="13:23">
      <c r="M1827" s="9"/>
      <c r="W1827" s="6"/>
    </row>
    <row r="1828" spans="13:23">
      <c r="M1828" s="9"/>
      <c r="W1828" s="6"/>
    </row>
    <row r="1829" spans="13:23">
      <c r="M1829" s="9"/>
      <c r="W1829" s="6"/>
    </row>
    <row r="1830" spans="13:23">
      <c r="M1830" s="9"/>
      <c r="W1830" s="6"/>
    </row>
    <row r="1831" spans="13:23">
      <c r="M1831" s="9"/>
      <c r="W1831" s="6"/>
    </row>
    <row r="1832" spans="13:23">
      <c r="M1832" s="9"/>
      <c r="W1832" s="6"/>
    </row>
    <row r="1833" spans="13:23">
      <c r="M1833" s="9"/>
      <c r="W1833" s="6"/>
    </row>
    <row r="1834" spans="13:23">
      <c r="M1834" s="9"/>
      <c r="W1834" s="6"/>
    </row>
    <row r="1835" spans="13:23">
      <c r="M1835" s="9"/>
      <c r="W1835" s="6"/>
    </row>
    <row r="1836" spans="13:23">
      <c r="M1836" s="9"/>
      <c r="W1836" s="6"/>
    </row>
    <row r="1837" spans="13:23">
      <c r="M1837" s="9"/>
      <c r="W1837" s="6"/>
    </row>
    <row r="1838" spans="13:23">
      <c r="M1838" s="9"/>
      <c r="W1838" s="6"/>
    </row>
    <row r="1839" spans="13:23">
      <c r="M1839" s="9"/>
      <c r="W1839" s="6"/>
    </row>
    <row r="1840" spans="13:23">
      <c r="M1840" s="9"/>
      <c r="W1840" s="6"/>
    </row>
    <row r="1841" spans="13:23">
      <c r="M1841" s="9"/>
      <c r="W1841" s="6"/>
    </row>
    <row r="1842" spans="13:23">
      <c r="M1842" s="9"/>
      <c r="W1842" s="6"/>
    </row>
    <row r="1843" spans="13:23">
      <c r="M1843" s="9"/>
      <c r="W1843" s="6"/>
    </row>
    <row r="1844" spans="13:23">
      <c r="M1844" s="9"/>
      <c r="W1844" s="6"/>
    </row>
    <row r="1845" spans="13:23">
      <c r="M1845" s="9"/>
      <c r="W1845" s="6"/>
    </row>
    <row r="1846" spans="13:23">
      <c r="M1846" s="9"/>
      <c r="W1846" s="6"/>
    </row>
    <row r="1847" spans="13:23">
      <c r="M1847" s="9"/>
      <c r="W1847" s="6"/>
    </row>
    <row r="1848" spans="13:23">
      <c r="M1848" s="9"/>
      <c r="W1848" s="6"/>
    </row>
    <row r="1849" spans="13:23">
      <c r="M1849" s="9"/>
      <c r="W1849" s="6"/>
    </row>
    <row r="1850" spans="13:23">
      <c r="M1850" s="9"/>
      <c r="W1850" s="6"/>
    </row>
    <row r="1851" spans="13:23">
      <c r="M1851" s="9"/>
      <c r="W1851" s="6"/>
    </row>
    <row r="1852" spans="13:23">
      <c r="M1852" s="9"/>
      <c r="W1852" s="6"/>
    </row>
    <row r="1853" spans="13:23">
      <c r="M1853" s="9"/>
      <c r="W1853" s="6"/>
    </row>
    <row r="1854" spans="13:23">
      <c r="M1854" s="9"/>
      <c r="W1854" s="6"/>
    </row>
    <row r="1855" spans="13:23">
      <c r="M1855" s="9"/>
      <c r="W1855" s="6"/>
    </row>
    <row r="1856" spans="13:23">
      <c r="M1856" s="9"/>
      <c r="W1856" s="6"/>
    </row>
    <row r="1857" spans="13:23">
      <c r="M1857" s="9"/>
      <c r="W1857" s="6"/>
    </row>
    <row r="1858" spans="13:23">
      <c r="M1858" s="9"/>
      <c r="W1858" s="6"/>
    </row>
    <row r="1859" spans="13:23">
      <c r="M1859" s="9"/>
      <c r="W1859" s="6"/>
    </row>
    <row r="1860" spans="13:23">
      <c r="M1860" s="9"/>
      <c r="W1860" s="6"/>
    </row>
    <row r="1861" spans="13:23">
      <c r="M1861" s="9"/>
      <c r="W1861" s="6"/>
    </row>
    <row r="1862" spans="13:23">
      <c r="M1862" s="9"/>
      <c r="W1862" s="6"/>
    </row>
    <row r="1863" spans="13:23">
      <c r="M1863" s="9"/>
      <c r="W1863" s="6"/>
    </row>
    <row r="1864" spans="13:23">
      <c r="M1864" s="9"/>
      <c r="W1864" s="6"/>
    </row>
    <row r="1865" spans="13:23">
      <c r="M1865" s="9"/>
      <c r="W1865" s="6"/>
    </row>
    <row r="1866" spans="13:23">
      <c r="M1866" s="9"/>
      <c r="W1866" s="6"/>
    </row>
    <row r="1867" spans="13:23">
      <c r="M1867" s="9"/>
      <c r="W1867" s="6"/>
    </row>
    <row r="1868" spans="13:23">
      <c r="M1868" s="9"/>
      <c r="W1868" s="6"/>
    </row>
    <row r="1869" spans="13:23">
      <c r="M1869" s="9"/>
      <c r="W1869" s="6"/>
    </row>
    <row r="1870" spans="13:23">
      <c r="M1870" s="9"/>
      <c r="W1870" s="6"/>
    </row>
    <row r="1871" spans="13:23">
      <c r="M1871" s="9"/>
      <c r="W1871" s="6"/>
    </row>
    <row r="1872" spans="13:23">
      <c r="M1872" s="9"/>
      <c r="W1872" s="6"/>
    </row>
    <row r="1873" spans="13:23">
      <c r="M1873" s="9"/>
      <c r="W1873" s="6"/>
    </row>
    <row r="1874" spans="13:23">
      <c r="M1874" s="9"/>
      <c r="W1874" s="6"/>
    </row>
    <row r="1875" spans="13:23">
      <c r="M1875" s="9"/>
      <c r="W1875" s="6"/>
    </row>
    <row r="1876" spans="13:23">
      <c r="M1876" s="9"/>
      <c r="W1876" s="6"/>
    </row>
    <row r="1877" spans="13:23">
      <c r="M1877" s="9"/>
      <c r="W1877" s="6"/>
    </row>
    <row r="1878" spans="13:23">
      <c r="M1878" s="9"/>
      <c r="W1878" s="6"/>
    </row>
    <row r="1879" spans="13:23">
      <c r="M1879" s="9"/>
      <c r="W1879" s="6"/>
    </row>
    <row r="1880" spans="13:23">
      <c r="M1880" s="9"/>
      <c r="W1880" s="6"/>
    </row>
    <row r="1881" spans="13:23">
      <c r="M1881" s="9"/>
      <c r="W1881" s="6"/>
    </row>
    <row r="1882" spans="13:23">
      <c r="M1882" s="9"/>
      <c r="W1882" s="6"/>
    </row>
    <row r="1883" spans="13:23">
      <c r="M1883" s="9"/>
      <c r="W1883" s="6"/>
    </row>
    <row r="1884" spans="13:23">
      <c r="M1884" s="9"/>
      <c r="W1884" s="6"/>
    </row>
    <row r="1885" spans="13:23">
      <c r="M1885" s="9"/>
      <c r="W1885" s="6"/>
    </row>
    <row r="1886" spans="13:23">
      <c r="M1886" s="9"/>
      <c r="W1886" s="6"/>
    </row>
    <row r="1887" spans="13:23">
      <c r="M1887" s="9"/>
      <c r="W1887" s="6"/>
    </row>
    <row r="1888" spans="13:23">
      <c r="M1888" s="9"/>
      <c r="W1888" s="6"/>
    </row>
    <row r="1889" spans="13:23">
      <c r="M1889" s="9"/>
      <c r="W1889" s="6"/>
    </row>
    <row r="1890" spans="13:23">
      <c r="M1890" s="9"/>
      <c r="W1890" s="6"/>
    </row>
    <row r="1891" spans="13:23">
      <c r="M1891" s="9"/>
      <c r="W1891" s="6"/>
    </row>
    <row r="1892" spans="13:23">
      <c r="M1892" s="9"/>
      <c r="W1892" s="6"/>
    </row>
    <row r="1893" spans="13:23">
      <c r="M1893" s="9"/>
      <c r="W1893" s="6"/>
    </row>
    <row r="1894" spans="13:23">
      <c r="M1894" s="9"/>
      <c r="W1894" s="6"/>
    </row>
    <row r="1895" spans="13:23">
      <c r="M1895" s="9"/>
      <c r="W1895" s="6"/>
    </row>
    <row r="1896" spans="13:23">
      <c r="M1896" s="9"/>
      <c r="W1896" s="6"/>
    </row>
    <row r="1897" spans="13:23">
      <c r="M1897" s="9"/>
      <c r="W1897" s="6"/>
    </row>
    <row r="1898" spans="13:23">
      <c r="M1898" s="9"/>
      <c r="W1898" s="6"/>
    </row>
    <row r="1899" spans="13:23">
      <c r="M1899" s="9"/>
      <c r="W1899" s="6"/>
    </row>
    <row r="1900" spans="13:23">
      <c r="M1900" s="9"/>
      <c r="W1900" s="6"/>
    </row>
    <row r="1901" spans="13:23">
      <c r="M1901" s="9"/>
      <c r="W1901" s="6"/>
    </row>
    <row r="1902" spans="13:23">
      <c r="M1902" s="9"/>
      <c r="W1902" s="6"/>
    </row>
    <row r="1903" spans="13:23">
      <c r="M1903" s="9"/>
      <c r="W1903" s="6"/>
    </row>
    <row r="1904" spans="13:23">
      <c r="M1904" s="9"/>
      <c r="W1904" s="6"/>
    </row>
    <row r="1905" spans="13:23">
      <c r="M1905" s="9"/>
      <c r="W1905" s="6"/>
    </row>
    <row r="1906" spans="13:23">
      <c r="M1906" s="9"/>
      <c r="W1906" s="6"/>
    </row>
    <row r="1907" spans="13:23">
      <c r="M1907" s="9"/>
      <c r="W1907" s="6"/>
    </row>
    <row r="1908" spans="13:23">
      <c r="M1908" s="9"/>
      <c r="W1908" s="6"/>
    </row>
    <row r="1909" spans="13:23">
      <c r="M1909" s="9"/>
      <c r="W1909" s="6"/>
    </row>
    <row r="1910" spans="13:23">
      <c r="M1910" s="9"/>
      <c r="W1910" s="6"/>
    </row>
    <row r="1911" spans="13:23">
      <c r="M1911" s="9"/>
      <c r="W1911" s="6"/>
    </row>
    <row r="1912" spans="13:23">
      <c r="M1912" s="9"/>
      <c r="W1912" s="6"/>
    </row>
    <row r="1913" spans="13:23">
      <c r="M1913" s="9"/>
      <c r="W1913" s="6"/>
    </row>
    <row r="1914" spans="13:23">
      <c r="M1914" s="9"/>
      <c r="W1914" s="6"/>
    </row>
    <row r="1915" spans="13:23">
      <c r="M1915" s="9"/>
      <c r="W1915" s="6"/>
    </row>
    <row r="1916" spans="13:23">
      <c r="M1916" s="9"/>
      <c r="W1916" s="6"/>
    </row>
    <row r="1917" spans="13:23">
      <c r="M1917" s="9"/>
      <c r="W1917" s="6"/>
    </row>
    <row r="1918" spans="13:23">
      <c r="M1918" s="9"/>
      <c r="W1918" s="6"/>
    </row>
    <row r="1919" spans="13:23">
      <c r="M1919" s="9"/>
      <c r="W1919" s="6"/>
    </row>
    <row r="1920" spans="13:23">
      <c r="M1920" s="9"/>
      <c r="W1920" s="6"/>
    </row>
    <row r="1921" spans="13:23">
      <c r="M1921" s="9"/>
      <c r="W1921" s="6"/>
    </row>
    <row r="1922" spans="13:23">
      <c r="M1922" s="9"/>
      <c r="W1922" s="6"/>
    </row>
    <row r="1923" spans="13:23">
      <c r="M1923" s="9"/>
      <c r="W1923" s="6"/>
    </row>
    <row r="1924" spans="13:23">
      <c r="M1924" s="9"/>
      <c r="W1924" s="6"/>
    </row>
    <row r="1925" spans="13:23">
      <c r="M1925" s="9"/>
      <c r="W1925" s="6"/>
    </row>
    <row r="1926" spans="13:23">
      <c r="M1926" s="9"/>
      <c r="W1926" s="6"/>
    </row>
    <row r="1927" spans="13:23">
      <c r="M1927" s="9"/>
      <c r="W1927" s="6"/>
    </row>
    <row r="1928" spans="13:23">
      <c r="M1928" s="9"/>
      <c r="W1928" s="6"/>
    </row>
    <row r="1929" spans="13:23">
      <c r="M1929" s="9"/>
      <c r="W1929" s="6"/>
    </row>
    <row r="1930" spans="13:23">
      <c r="M1930" s="9"/>
      <c r="W1930" s="6"/>
    </row>
    <row r="1931" spans="13:23">
      <c r="M1931" s="9"/>
      <c r="W1931" s="6"/>
    </row>
    <row r="1932" spans="13:23">
      <c r="M1932" s="9"/>
      <c r="W1932" s="6"/>
    </row>
    <row r="1933" spans="13:23">
      <c r="M1933" s="9"/>
      <c r="W1933" s="6"/>
    </row>
    <row r="1934" spans="13:23">
      <c r="M1934" s="9"/>
      <c r="W1934" s="6"/>
    </row>
    <row r="1935" spans="13:23">
      <c r="M1935" s="9"/>
      <c r="W1935" s="6"/>
    </row>
    <row r="1936" spans="13:23">
      <c r="M1936" s="9"/>
      <c r="W1936" s="6"/>
    </row>
    <row r="1937" spans="13:23">
      <c r="M1937" s="9"/>
      <c r="W1937" s="6"/>
    </row>
    <row r="1938" spans="13:23">
      <c r="M1938" s="9"/>
      <c r="W1938" s="6"/>
    </row>
    <row r="1939" spans="13:23">
      <c r="M1939" s="9"/>
      <c r="W1939" s="6"/>
    </row>
    <row r="1940" spans="13:23">
      <c r="M1940" s="9"/>
      <c r="W1940" s="6"/>
    </row>
    <row r="1941" spans="13:23">
      <c r="M1941" s="9"/>
      <c r="W1941" s="6"/>
    </row>
    <row r="1942" spans="13:23">
      <c r="M1942" s="9"/>
      <c r="W1942" s="6"/>
    </row>
    <row r="1943" spans="13:23">
      <c r="M1943" s="9"/>
      <c r="W1943" s="6"/>
    </row>
    <row r="1944" spans="13:23">
      <c r="M1944" s="9"/>
      <c r="W1944" s="6"/>
    </row>
    <row r="1945" spans="13:23">
      <c r="M1945" s="9"/>
      <c r="W1945" s="6"/>
    </row>
    <row r="1946" spans="13:23">
      <c r="M1946" s="9"/>
      <c r="W1946" s="6"/>
    </row>
    <row r="1947" spans="13:23">
      <c r="M1947" s="9"/>
      <c r="W1947" s="6"/>
    </row>
    <row r="1948" spans="13:23">
      <c r="M1948" s="9"/>
      <c r="W1948" s="6"/>
    </row>
    <row r="1949" spans="13:23">
      <c r="M1949" s="9"/>
      <c r="W1949" s="6"/>
    </row>
    <row r="1950" spans="13:23">
      <c r="M1950" s="9"/>
      <c r="W1950" s="6"/>
    </row>
    <row r="1951" spans="13:23">
      <c r="M1951" s="9"/>
      <c r="W1951" s="6"/>
    </row>
    <row r="1952" spans="13:23">
      <c r="M1952" s="9"/>
      <c r="W1952" s="6"/>
    </row>
    <row r="1953" spans="13:23">
      <c r="M1953" s="9"/>
      <c r="W1953" s="6"/>
    </row>
    <row r="1954" spans="13:23">
      <c r="M1954" s="9"/>
      <c r="W1954" s="6"/>
    </row>
    <row r="1955" spans="13:23">
      <c r="M1955" s="9"/>
      <c r="W1955" s="6"/>
    </row>
    <row r="1956" spans="13:23">
      <c r="M1956" s="9"/>
      <c r="W1956" s="6"/>
    </row>
    <row r="1957" spans="13:23">
      <c r="M1957" s="9"/>
      <c r="W1957" s="6"/>
    </row>
    <row r="1958" spans="13:23">
      <c r="M1958" s="9"/>
      <c r="W1958" s="6"/>
    </row>
    <row r="1959" spans="13:23">
      <c r="M1959" s="9"/>
      <c r="W1959" s="6"/>
    </row>
    <row r="1960" spans="13:23">
      <c r="M1960" s="9"/>
      <c r="W1960" s="6"/>
    </row>
    <row r="1961" spans="13:23">
      <c r="M1961" s="9"/>
      <c r="W1961" s="6"/>
    </row>
    <row r="1962" spans="13:23">
      <c r="M1962" s="9"/>
      <c r="W1962" s="6"/>
    </row>
    <row r="1963" spans="13:23">
      <c r="M1963" s="9"/>
      <c r="W1963" s="6"/>
    </row>
    <row r="1964" spans="13:23">
      <c r="M1964" s="9"/>
      <c r="W1964" s="6"/>
    </row>
    <row r="1965" spans="13:23">
      <c r="M1965" s="9"/>
      <c r="W1965" s="6"/>
    </row>
    <row r="1966" spans="13:23">
      <c r="M1966" s="9"/>
      <c r="W1966" s="6"/>
    </row>
    <row r="1967" spans="13:23">
      <c r="M1967" s="9"/>
      <c r="W1967" s="6"/>
    </row>
    <row r="1968" spans="13:23">
      <c r="M1968" s="9"/>
      <c r="W1968" s="6"/>
    </row>
    <row r="1969" spans="13:23">
      <c r="M1969" s="9"/>
      <c r="W1969" s="6"/>
    </row>
    <row r="1970" spans="13:23">
      <c r="M1970" s="9"/>
      <c r="W1970" s="6"/>
    </row>
    <row r="1971" spans="13:23">
      <c r="M1971" s="9"/>
      <c r="W1971" s="6"/>
    </row>
    <row r="1972" spans="13:23">
      <c r="M1972" s="9"/>
      <c r="W1972" s="6"/>
    </row>
    <row r="1973" spans="13:23">
      <c r="M1973" s="9"/>
      <c r="W1973" s="6"/>
    </row>
    <row r="1974" spans="13:23">
      <c r="M1974" s="9"/>
      <c r="W1974" s="6"/>
    </row>
    <row r="1975" spans="13:23">
      <c r="M1975" s="9"/>
      <c r="W1975" s="6"/>
    </row>
    <row r="1976" spans="13:23">
      <c r="M1976" s="9"/>
      <c r="W1976" s="6"/>
    </row>
    <row r="1977" spans="13:23">
      <c r="M1977" s="9"/>
      <c r="W1977" s="6"/>
    </row>
    <row r="1978" spans="13:23">
      <c r="M1978" s="9"/>
      <c r="W1978" s="6"/>
    </row>
    <row r="1979" spans="13:23">
      <c r="M1979" s="9"/>
      <c r="W1979" s="6"/>
    </row>
    <row r="1980" spans="13:23">
      <c r="M1980" s="9"/>
      <c r="W1980" s="6"/>
    </row>
    <row r="1981" spans="13:23">
      <c r="M1981" s="9"/>
      <c r="W1981" s="6"/>
    </row>
    <row r="1982" spans="13:23">
      <c r="M1982" s="9"/>
      <c r="W1982" s="6"/>
    </row>
    <row r="1983" spans="13:23">
      <c r="M1983" s="9"/>
      <c r="W1983" s="6"/>
    </row>
    <row r="1984" spans="13:23">
      <c r="M1984" s="9"/>
      <c r="W1984" s="6"/>
    </row>
    <row r="1985" spans="13:23">
      <c r="M1985" s="9"/>
      <c r="W1985" s="6"/>
    </row>
    <row r="1986" spans="13:23">
      <c r="M1986" s="9"/>
      <c r="W1986" s="6"/>
    </row>
    <row r="1987" spans="13:23">
      <c r="M1987" s="9"/>
      <c r="W1987" s="6"/>
    </row>
    <row r="1988" spans="13:23">
      <c r="M1988" s="9"/>
      <c r="W1988" s="6"/>
    </row>
    <row r="1989" spans="13:23">
      <c r="M1989" s="9"/>
      <c r="W1989" s="6"/>
    </row>
    <row r="1990" spans="13:23">
      <c r="M1990" s="9"/>
      <c r="W1990" s="6"/>
    </row>
    <row r="1991" spans="13:23">
      <c r="M1991" s="9"/>
      <c r="W1991" s="6"/>
    </row>
    <row r="1992" spans="13:23">
      <c r="M1992" s="9"/>
      <c r="W1992" s="6"/>
    </row>
    <row r="1993" spans="13:23">
      <c r="M1993" s="9"/>
      <c r="W1993" s="6"/>
    </row>
    <row r="1994" spans="13:23">
      <c r="M1994" s="9"/>
      <c r="W1994" s="6"/>
    </row>
    <row r="1995" spans="13:23">
      <c r="M1995" s="9"/>
      <c r="W1995" s="6"/>
    </row>
    <row r="1996" spans="13:23">
      <c r="M1996" s="9"/>
      <c r="W1996" s="6"/>
    </row>
    <row r="1997" spans="13:23">
      <c r="M1997" s="9"/>
      <c r="W1997" s="6"/>
    </row>
    <row r="1998" spans="13:23">
      <c r="M1998" s="9"/>
      <c r="W1998" s="6"/>
    </row>
    <row r="1999" spans="13:23">
      <c r="M1999" s="9"/>
      <c r="W1999" s="6"/>
    </row>
    <row r="2000" spans="13:23">
      <c r="M2000" s="9"/>
      <c r="W2000" s="6"/>
    </row>
    <row r="2001" spans="13:23">
      <c r="M2001" s="9"/>
      <c r="W2001" s="6"/>
    </row>
    <row r="2002" spans="13:23">
      <c r="M2002" s="9"/>
      <c r="W2002" s="6"/>
    </row>
    <row r="2003" spans="13:23">
      <c r="M2003" s="9"/>
      <c r="W2003" s="6"/>
    </row>
    <row r="2004" spans="13:23">
      <c r="M2004" s="9"/>
      <c r="W2004" s="6"/>
    </row>
    <row r="2005" spans="13:23">
      <c r="M2005" s="9"/>
      <c r="W2005" s="6"/>
    </row>
    <row r="2006" spans="13:23">
      <c r="M2006" s="9"/>
      <c r="W2006" s="6"/>
    </row>
    <row r="2007" spans="13:23">
      <c r="M2007" s="9"/>
      <c r="W2007" s="6"/>
    </row>
    <row r="2008" spans="13:23">
      <c r="M2008" s="9"/>
      <c r="W2008" s="6"/>
    </row>
    <row r="2009" spans="13:23">
      <c r="M2009" s="9"/>
      <c r="W2009" s="6"/>
    </row>
    <row r="2010" spans="13:23">
      <c r="M2010" s="9"/>
      <c r="W2010" s="6"/>
    </row>
    <row r="2011" spans="13:23">
      <c r="M2011" s="9"/>
      <c r="W2011" s="6"/>
    </row>
    <row r="2012" spans="13:23">
      <c r="M2012" s="9"/>
      <c r="W2012" s="6"/>
    </row>
    <row r="2013" spans="13:23">
      <c r="M2013" s="9"/>
      <c r="W2013" s="6"/>
    </row>
    <row r="2014" spans="13:23">
      <c r="M2014" s="9"/>
      <c r="W2014" s="6"/>
    </row>
    <row r="2015" spans="13:23">
      <c r="M2015" s="9"/>
      <c r="W2015" s="6"/>
    </row>
    <row r="2016" spans="13:23">
      <c r="M2016" s="9"/>
      <c r="W2016" s="6"/>
    </row>
    <row r="2017" spans="13:23">
      <c r="M2017" s="9"/>
      <c r="W2017" s="6"/>
    </row>
    <row r="2018" spans="13:23">
      <c r="M2018" s="9"/>
      <c r="W2018" s="6"/>
    </row>
    <row r="2019" spans="13:23">
      <c r="M2019" s="9"/>
      <c r="W2019" s="6"/>
    </row>
    <row r="2020" spans="13:23">
      <c r="M2020" s="9"/>
      <c r="W2020" s="6"/>
    </row>
    <row r="2021" spans="13:23">
      <c r="M2021" s="9"/>
      <c r="W2021" s="6"/>
    </row>
    <row r="2022" spans="13:23">
      <c r="M2022" s="9"/>
      <c r="W2022" s="6"/>
    </row>
    <row r="2023" spans="13:23">
      <c r="M2023" s="9"/>
      <c r="W2023" s="6"/>
    </row>
    <row r="2024" spans="13:23">
      <c r="M2024" s="9"/>
      <c r="W2024" s="6"/>
    </row>
    <row r="2025" spans="13:23">
      <c r="M2025" s="9"/>
      <c r="W2025" s="6"/>
    </row>
    <row r="2026" spans="13:23">
      <c r="M2026" s="9"/>
      <c r="W2026" s="6"/>
    </row>
    <row r="2027" spans="13:23">
      <c r="M2027" s="9"/>
      <c r="W2027" s="6"/>
    </row>
    <row r="2028" spans="13:23">
      <c r="M2028" s="9"/>
      <c r="W2028" s="6"/>
    </row>
    <row r="2029" spans="13:23">
      <c r="M2029" s="9"/>
      <c r="W2029" s="6"/>
    </row>
    <row r="2030" spans="13:23">
      <c r="M2030" s="9"/>
      <c r="W2030" s="6"/>
    </row>
    <row r="2031" spans="13:23">
      <c r="M2031" s="9"/>
      <c r="W2031" s="6"/>
    </row>
    <row r="2032" spans="13:23">
      <c r="M2032" s="9"/>
      <c r="W2032" s="6"/>
    </row>
    <row r="2033" spans="13:23">
      <c r="M2033" s="9"/>
      <c r="W2033" s="6"/>
    </row>
    <row r="2034" spans="13:23">
      <c r="M2034" s="9"/>
      <c r="W2034" s="6"/>
    </row>
    <row r="2035" spans="13:23">
      <c r="M2035" s="9"/>
      <c r="W2035" s="6"/>
    </row>
    <row r="2036" spans="13:23">
      <c r="M2036" s="9"/>
      <c r="W2036" s="6"/>
    </row>
    <row r="2037" spans="13:23">
      <c r="M2037" s="9"/>
      <c r="W2037" s="6"/>
    </row>
    <row r="2038" spans="13:23">
      <c r="M2038" s="9"/>
      <c r="W2038" s="6"/>
    </row>
    <row r="2039" spans="13:23">
      <c r="M2039" s="9"/>
      <c r="W2039" s="6"/>
    </row>
    <row r="2040" spans="13:23">
      <c r="M2040" s="9"/>
      <c r="W2040" s="6"/>
    </row>
    <row r="2041" spans="13:23">
      <c r="M2041" s="9"/>
      <c r="W2041" s="6"/>
    </row>
    <row r="2042" spans="13:23">
      <c r="M2042" s="9"/>
      <c r="W2042" s="6"/>
    </row>
    <row r="2043" spans="13:23">
      <c r="M2043" s="9"/>
      <c r="W2043" s="6"/>
    </row>
    <row r="2044" spans="13:23">
      <c r="M2044" s="9"/>
      <c r="W2044" s="6"/>
    </row>
    <row r="2045" spans="13:23">
      <c r="M2045" s="9"/>
      <c r="W2045" s="6"/>
    </row>
    <row r="2046" spans="13:23">
      <c r="M2046" s="9"/>
      <c r="W2046" s="6"/>
    </row>
    <row r="2047" spans="13:23">
      <c r="M2047" s="9"/>
      <c r="W2047" s="6"/>
    </row>
    <row r="2048" spans="13:23">
      <c r="M2048" s="9"/>
      <c r="W2048" s="6"/>
    </row>
    <row r="2049" spans="13:23">
      <c r="M2049" s="9"/>
      <c r="W2049" s="6"/>
    </row>
    <row r="2050" spans="13:23">
      <c r="M2050" s="9"/>
      <c r="W2050" s="6"/>
    </row>
    <row r="2051" spans="13:23">
      <c r="M2051" s="9"/>
      <c r="W2051" s="6"/>
    </row>
    <row r="2052" spans="13:23">
      <c r="M2052" s="9"/>
      <c r="W2052" s="6"/>
    </row>
    <row r="2053" spans="13:23">
      <c r="M2053" s="9"/>
      <c r="W2053" s="6"/>
    </row>
    <row r="2054" spans="13:23">
      <c r="M2054" s="9"/>
      <c r="W2054" s="6"/>
    </row>
    <row r="2055" spans="13:23">
      <c r="M2055" s="9"/>
      <c r="W2055" s="6"/>
    </row>
    <row r="2056" spans="13:23">
      <c r="M2056" s="9"/>
      <c r="W2056" s="6"/>
    </row>
    <row r="2057" spans="13:23">
      <c r="M2057" s="9"/>
      <c r="W2057" s="6"/>
    </row>
    <row r="2058" spans="13:23">
      <c r="M2058" s="9"/>
      <c r="W2058" s="6"/>
    </row>
    <row r="2059" spans="13:23">
      <c r="M2059" s="9"/>
      <c r="W2059" s="6"/>
    </row>
    <row r="2060" spans="13:23">
      <c r="M2060" s="9"/>
      <c r="W2060" s="6"/>
    </row>
    <row r="2061" spans="13:23">
      <c r="M2061" s="9"/>
      <c r="W2061" s="6"/>
    </row>
    <row r="2062" spans="13:23">
      <c r="M2062" s="9"/>
      <c r="W2062" s="6"/>
    </row>
    <row r="2063" spans="13:23">
      <c r="M2063" s="9"/>
      <c r="W2063" s="6"/>
    </row>
    <row r="2064" spans="13:23">
      <c r="M2064" s="9"/>
      <c r="W2064" s="6"/>
    </row>
    <row r="2065" spans="13:23">
      <c r="M2065" s="9"/>
      <c r="W2065" s="6"/>
    </row>
    <row r="2066" spans="13:23">
      <c r="M2066" s="9"/>
      <c r="W2066" s="6"/>
    </row>
    <row r="2067" spans="13:23">
      <c r="M2067" s="9"/>
      <c r="W2067" s="6"/>
    </row>
    <row r="2068" spans="13:23">
      <c r="M2068" s="9"/>
      <c r="W2068" s="6"/>
    </row>
    <row r="2069" spans="13:23">
      <c r="M2069" s="9"/>
      <c r="W2069" s="6"/>
    </row>
    <row r="2070" spans="13:23">
      <c r="M2070" s="9"/>
      <c r="W2070" s="6"/>
    </row>
    <row r="2071" spans="13:23">
      <c r="M2071" s="9"/>
      <c r="W2071" s="6"/>
    </row>
    <row r="2072" spans="13:23">
      <c r="M2072" s="9"/>
      <c r="W2072" s="6"/>
    </row>
    <row r="2073" spans="13:23">
      <c r="M2073" s="9"/>
      <c r="W2073" s="6"/>
    </row>
    <row r="2074" spans="13:23">
      <c r="M2074" s="9"/>
      <c r="W2074" s="6"/>
    </row>
    <row r="2075" spans="13:23">
      <c r="M2075" s="9"/>
      <c r="W2075" s="6"/>
    </row>
    <row r="2076" spans="13:23">
      <c r="M2076" s="9"/>
      <c r="W2076" s="6"/>
    </row>
    <row r="2077" spans="13:23">
      <c r="M2077" s="9"/>
      <c r="W2077" s="6"/>
    </row>
    <row r="2078" spans="13:23">
      <c r="M2078" s="9"/>
      <c r="W2078" s="6"/>
    </row>
    <row r="2079" spans="13:23">
      <c r="M2079" s="9"/>
      <c r="W2079" s="6"/>
    </row>
    <row r="2080" spans="13:23">
      <c r="M2080" s="9"/>
      <c r="W2080" s="6"/>
    </row>
    <row r="2081" spans="13:23">
      <c r="M2081" s="9"/>
      <c r="W2081" s="6"/>
    </row>
    <row r="2082" spans="13:23">
      <c r="M2082" s="9"/>
      <c r="W2082" s="6"/>
    </row>
    <row r="2083" spans="13:23">
      <c r="M2083" s="9"/>
      <c r="W2083" s="6"/>
    </row>
    <row r="2084" spans="13:23">
      <c r="M2084" s="9"/>
      <c r="W2084" s="6"/>
    </row>
    <row r="2085" spans="13:23">
      <c r="M2085" s="9"/>
      <c r="W2085" s="6"/>
    </row>
    <row r="2086" spans="13:23">
      <c r="M2086" s="9"/>
      <c r="W2086" s="6"/>
    </row>
    <row r="2087" spans="13:23">
      <c r="M2087" s="9"/>
      <c r="W2087" s="6"/>
    </row>
    <row r="2088" spans="13:23">
      <c r="M2088" s="9"/>
      <c r="W2088" s="6"/>
    </row>
    <row r="2089" spans="13:23">
      <c r="M2089" s="9"/>
      <c r="W2089" s="6"/>
    </row>
    <row r="2090" spans="13:23">
      <c r="M2090" s="9"/>
      <c r="W2090" s="6"/>
    </row>
    <row r="2091" spans="13:23">
      <c r="M2091" s="9"/>
      <c r="W2091" s="6"/>
    </row>
    <row r="2092" spans="13:23">
      <c r="M2092" s="9"/>
      <c r="W2092" s="6"/>
    </row>
    <row r="2093" spans="13:23">
      <c r="M2093" s="9"/>
      <c r="W2093" s="6"/>
    </row>
    <row r="2094" spans="13:23">
      <c r="M2094" s="9"/>
      <c r="W2094" s="6"/>
    </row>
    <row r="2095" spans="13:23">
      <c r="M2095" s="9"/>
      <c r="W2095" s="6"/>
    </row>
    <row r="2096" spans="13:23">
      <c r="M2096" s="9"/>
      <c r="W2096" s="6"/>
    </row>
    <row r="2097" spans="13:23">
      <c r="M2097" s="9"/>
      <c r="W2097" s="6"/>
    </row>
    <row r="2098" spans="13:23">
      <c r="M2098" s="9"/>
      <c r="W2098" s="6"/>
    </row>
    <row r="2099" spans="13:23">
      <c r="M2099" s="9"/>
      <c r="W2099" s="6"/>
    </row>
    <row r="2100" spans="13:23">
      <c r="M2100" s="9"/>
      <c r="W2100" s="6"/>
    </row>
    <row r="2101" spans="13:23">
      <c r="M2101" s="9"/>
      <c r="W2101" s="6"/>
    </row>
    <row r="2102" spans="13:23">
      <c r="M2102" s="9"/>
      <c r="W2102" s="6"/>
    </row>
    <row r="2103" spans="13:23">
      <c r="M2103" s="9"/>
      <c r="W2103" s="6"/>
    </row>
    <row r="2104" spans="13:23">
      <c r="M2104" s="9"/>
      <c r="W2104" s="6"/>
    </row>
    <row r="2105" spans="13:23">
      <c r="M2105" s="9"/>
      <c r="W2105" s="6"/>
    </row>
    <row r="2106" spans="13:23">
      <c r="M2106" s="9"/>
      <c r="W2106" s="6"/>
    </row>
    <row r="2107" spans="13:23">
      <c r="M2107" s="9"/>
      <c r="W2107" s="6"/>
    </row>
    <row r="2108" spans="13:23">
      <c r="M2108" s="9"/>
      <c r="W2108" s="6"/>
    </row>
    <row r="2109" spans="13:23">
      <c r="M2109" s="9"/>
      <c r="W2109" s="6"/>
    </row>
    <row r="2110" spans="13:23">
      <c r="M2110" s="9"/>
      <c r="W2110" s="6"/>
    </row>
    <row r="2111" spans="13:23">
      <c r="M2111" s="9"/>
      <c r="W2111" s="6"/>
    </row>
    <row r="2112" spans="13:23">
      <c r="M2112" s="9"/>
      <c r="W2112" s="6"/>
    </row>
    <row r="2113" spans="13:23">
      <c r="M2113" s="9"/>
      <c r="W2113" s="6"/>
    </row>
    <row r="2114" spans="13:23">
      <c r="M2114" s="9"/>
      <c r="W2114" s="6"/>
    </row>
    <row r="2115" spans="13:23">
      <c r="M2115" s="9"/>
      <c r="W2115" s="6"/>
    </row>
    <row r="2116" spans="13:23">
      <c r="M2116" s="9"/>
      <c r="W2116" s="6"/>
    </row>
    <row r="2117" spans="13:23">
      <c r="M2117" s="9"/>
      <c r="W2117" s="6"/>
    </row>
    <row r="2118" spans="13:23">
      <c r="M2118" s="9"/>
      <c r="W2118" s="6"/>
    </row>
    <row r="2119" spans="13:23">
      <c r="M2119" s="9"/>
      <c r="W2119" s="6"/>
    </row>
    <row r="2120" spans="13:23">
      <c r="M2120" s="9"/>
      <c r="W2120" s="6"/>
    </row>
    <row r="2121" spans="13:23">
      <c r="M2121" s="9"/>
      <c r="W2121" s="6"/>
    </row>
    <row r="2122" spans="13:23">
      <c r="M2122" s="9"/>
      <c r="W2122" s="6"/>
    </row>
    <row r="2123" spans="13:23">
      <c r="M2123" s="9"/>
      <c r="W2123" s="6"/>
    </row>
    <row r="2124" spans="13:23">
      <c r="M2124" s="9"/>
      <c r="W2124" s="6"/>
    </row>
    <row r="2125" spans="13:23">
      <c r="M2125" s="9"/>
      <c r="W2125" s="6"/>
    </row>
    <row r="2126" spans="13:23">
      <c r="M2126" s="9"/>
      <c r="W2126" s="6"/>
    </row>
    <row r="2127" spans="13:23">
      <c r="M2127" s="9"/>
      <c r="W2127" s="6"/>
    </row>
    <row r="2128" spans="13:23">
      <c r="M2128" s="9"/>
      <c r="W2128" s="6"/>
    </row>
    <row r="2129" spans="13:23">
      <c r="M2129" s="9"/>
      <c r="W2129" s="6"/>
    </row>
    <row r="2130" spans="13:23">
      <c r="M2130" s="9"/>
      <c r="W2130" s="6"/>
    </row>
    <row r="2131" spans="13:23">
      <c r="M2131" s="9"/>
      <c r="W2131" s="6"/>
    </row>
    <row r="2132" spans="13:23">
      <c r="M2132" s="9"/>
      <c r="W2132" s="6"/>
    </row>
    <row r="2133" spans="13:23">
      <c r="M2133" s="9"/>
      <c r="W2133" s="6"/>
    </row>
    <row r="2134" spans="13:23">
      <c r="M2134" s="9"/>
      <c r="W2134" s="6"/>
    </row>
    <row r="2135" spans="13:23">
      <c r="M2135" s="9"/>
      <c r="W2135" s="6"/>
    </row>
    <row r="2136" spans="13:23">
      <c r="M2136" s="9"/>
      <c r="W2136" s="6"/>
    </row>
    <row r="2137" spans="13:23">
      <c r="M2137" s="9"/>
      <c r="W2137" s="6"/>
    </row>
    <row r="2138" spans="13:23">
      <c r="M2138" s="9"/>
      <c r="W2138" s="6"/>
    </row>
    <row r="2139" spans="13:23">
      <c r="M2139" s="9"/>
      <c r="W2139" s="6"/>
    </row>
    <row r="2140" spans="13:23">
      <c r="M2140" s="9"/>
      <c r="W2140" s="6"/>
    </row>
    <row r="2141" spans="13:23">
      <c r="M2141" s="9"/>
      <c r="W2141" s="6"/>
    </row>
    <row r="2142" spans="13:23">
      <c r="M2142" s="9"/>
      <c r="W2142" s="6"/>
    </row>
    <row r="2143" spans="13:23">
      <c r="M2143" s="9"/>
      <c r="W2143" s="6"/>
    </row>
    <row r="2144" spans="13:23">
      <c r="M2144" s="9"/>
      <c r="W2144" s="6"/>
    </row>
    <row r="2145" spans="13:23">
      <c r="M2145" s="9"/>
      <c r="W2145" s="6"/>
    </row>
    <row r="2146" spans="13:23">
      <c r="M2146" s="9"/>
      <c r="W2146" s="6"/>
    </row>
    <row r="2147" spans="13:23">
      <c r="M2147" s="9"/>
      <c r="W2147" s="6"/>
    </row>
    <row r="2148" spans="13:23">
      <c r="M2148" s="9"/>
      <c r="W2148" s="6"/>
    </row>
    <row r="2149" spans="13:23">
      <c r="M2149" s="9"/>
      <c r="W2149" s="6"/>
    </row>
    <row r="2150" spans="13:23">
      <c r="M2150" s="9"/>
      <c r="W2150" s="6"/>
    </row>
    <row r="2151" spans="13:23">
      <c r="M2151" s="9"/>
      <c r="W2151" s="6"/>
    </row>
    <row r="2152" spans="13:23">
      <c r="M2152" s="9"/>
      <c r="W2152" s="6"/>
    </row>
    <row r="2153" spans="13:23">
      <c r="M2153" s="9"/>
      <c r="W2153" s="6"/>
    </row>
    <row r="2154" spans="13:23">
      <c r="M2154" s="9"/>
      <c r="W2154" s="6"/>
    </row>
    <row r="2155" spans="13:23">
      <c r="M2155" s="9"/>
      <c r="W2155" s="6"/>
    </row>
    <row r="2156" spans="13:23">
      <c r="M2156" s="9"/>
      <c r="W2156" s="6"/>
    </row>
    <row r="2157" spans="13:23">
      <c r="M2157" s="9"/>
      <c r="W2157" s="6"/>
    </row>
    <row r="2158" spans="13:23">
      <c r="M2158" s="9"/>
      <c r="W2158" s="6"/>
    </row>
    <row r="2159" spans="13:23">
      <c r="M2159" s="9"/>
      <c r="W2159" s="6"/>
    </row>
    <row r="2160" spans="13:23">
      <c r="M2160" s="9"/>
      <c r="W2160" s="6"/>
    </row>
    <row r="2161" spans="13:23">
      <c r="M2161" s="9"/>
      <c r="W2161" s="6"/>
    </row>
    <row r="2162" spans="13:23">
      <c r="M2162" s="9"/>
      <c r="W2162" s="6"/>
    </row>
    <row r="2163" spans="13:23">
      <c r="M2163" s="9"/>
      <c r="W2163" s="6"/>
    </row>
    <row r="2164" spans="13:23">
      <c r="M2164" s="9"/>
      <c r="W2164" s="6"/>
    </row>
    <row r="2165" spans="13:23">
      <c r="M2165" s="9"/>
      <c r="W2165" s="6"/>
    </row>
    <row r="2166" spans="13:23">
      <c r="M2166" s="9"/>
      <c r="W2166" s="6"/>
    </row>
    <row r="2167" spans="13:23">
      <c r="M2167" s="9"/>
      <c r="W2167" s="6"/>
    </row>
    <row r="2168" spans="13:23">
      <c r="M2168" s="9"/>
      <c r="W2168" s="6"/>
    </row>
    <row r="2169" spans="13:23">
      <c r="M2169" s="9"/>
      <c r="W2169" s="6"/>
    </row>
    <row r="2170" spans="13:23">
      <c r="M2170" s="9"/>
      <c r="W2170" s="6"/>
    </row>
    <row r="2171" spans="13:23">
      <c r="M2171" s="9"/>
      <c r="W2171" s="6"/>
    </row>
    <row r="2172" spans="13:23">
      <c r="M2172" s="9"/>
      <c r="W2172" s="6"/>
    </row>
    <row r="2173" spans="13:23">
      <c r="M2173" s="9"/>
      <c r="W2173" s="6"/>
    </row>
    <row r="2174" spans="13:23">
      <c r="M2174" s="9"/>
      <c r="W2174" s="6"/>
    </row>
    <row r="2175" spans="13:23">
      <c r="M2175" s="9"/>
      <c r="W2175" s="6"/>
    </row>
    <row r="2176" spans="13:23">
      <c r="M2176" s="9"/>
      <c r="W2176" s="6"/>
    </row>
    <row r="2177" spans="13:23">
      <c r="M2177" s="9"/>
      <c r="W2177" s="6"/>
    </row>
    <row r="2178" spans="13:23">
      <c r="M2178" s="9"/>
      <c r="W2178" s="6"/>
    </row>
    <row r="2179" spans="13:23">
      <c r="M2179" s="9"/>
      <c r="W2179" s="6"/>
    </row>
    <row r="2180" spans="13:23">
      <c r="M2180" s="9"/>
      <c r="W2180" s="6"/>
    </row>
    <row r="2181" spans="13:23">
      <c r="M2181" s="9"/>
      <c r="W2181" s="6"/>
    </row>
    <row r="2182" spans="13:23">
      <c r="M2182" s="9"/>
      <c r="W2182" s="6"/>
    </row>
    <row r="2183" spans="13:23">
      <c r="M2183" s="9"/>
      <c r="W2183" s="6"/>
    </row>
    <row r="2184" spans="13:23">
      <c r="M2184" s="9"/>
      <c r="W2184" s="6"/>
    </row>
    <row r="2185" spans="13:23">
      <c r="M2185" s="9"/>
      <c r="W2185" s="6"/>
    </row>
    <row r="2186" spans="13:23">
      <c r="M2186" s="9"/>
      <c r="W2186" s="6"/>
    </row>
    <row r="2187" spans="13:23">
      <c r="M2187" s="9"/>
      <c r="W2187" s="6"/>
    </row>
    <row r="2188" spans="13:23">
      <c r="M2188" s="9"/>
      <c r="W2188" s="6"/>
    </row>
    <row r="2189" spans="13:23">
      <c r="M2189" s="9"/>
      <c r="W2189" s="6"/>
    </row>
    <row r="2190" spans="13:23">
      <c r="M2190" s="9"/>
      <c r="W2190" s="6"/>
    </row>
    <row r="2191" spans="13:23">
      <c r="M2191" s="9"/>
      <c r="W2191" s="6"/>
    </row>
    <row r="2192" spans="13:23">
      <c r="M2192" s="9"/>
      <c r="W2192" s="6"/>
    </row>
    <row r="2193" spans="13:23">
      <c r="M2193" s="9"/>
      <c r="W2193" s="6"/>
    </row>
    <row r="2194" spans="13:23">
      <c r="M2194" s="9"/>
      <c r="W2194" s="6"/>
    </row>
    <row r="2195" spans="13:23">
      <c r="M2195" s="9"/>
      <c r="W2195" s="6"/>
    </row>
    <row r="2196" spans="13:23">
      <c r="M2196" s="9"/>
      <c r="W2196" s="6"/>
    </row>
    <row r="2197" spans="13:23">
      <c r="M2197" s="9"/>
      <c r="W2197" s="6"/>
    </row>
    <row r="2198" spans="13:23">
      <c r="M2198" s="9"/>
      <c r="W2198" s="6"/>
    </row>
    <row r="2199" spans="13:23">
      <c r="M2199" s="9"/>
      <c r="W2199" s="6"/>
    </row>
    <row r="2200" spans="13:23">
      <c r="M2200" s="9"/>
      <c r="W2200" s="6"/>
    </row>
    <row r="2201" spans="13:23">
      <c r="M2201" s="9"/>
      <c r="W2201" s="6"/>
    </row>
    <row r="2202" spans="13:23">
      <c r="M2202" s="9"/>
      <c r="W2202" s="6"/>
    </row>
    <row r="2203" spans="13:23">
      <c r="M2203" s="9"/>
      <c r="W2203" s="6"/>
    </row>
    <row r="2204" spans="13:23">
      <c r="M2204" s="9"/>
      <c r="W2204" s="6"/>
    </row>
    <row r="2205" spans="13:23">
      <c r="M2205" s="9"/>
      <c r="W2205" s="6"/>
    </row>
    <row r="2206" spans="13:23">
      <c r="M2206" s="9"/>
      <c r="W2206" s="6"/>
    </row>
    <row r="2207" spans="13:23">
      <c r="M2207" s="9"/>
      <c r="W2207" s="6"/>
    </row>
    <row r="2208" spans="13:23">
      <c r="M2208" s="9"/>
      <c r="W2208" s="6"/>
    </row>
    <row r="2209" spans="13:23">
      <c r="M2209" s="9"/>
      <c r="W2209" s="6"/>
    </row>
    <row r="2210" spans="13:23">
      <c r="M2210" s="9"/>
      <c r="W2210" s="6"/>
    </row>
    <row r="2211" spans="13:23">
      <c r="M2211" s="9"/>
      <c r="W2211" s="6"/>
    </row>
    <row r="2212" spans="13:23">
      <c r="M2212" s="9"/>
      <c r="W2212" s="6"/>
    </row>
    <row r="2213" spans="13:23">
      <c r="M2213" s="9"/>
      <c r="W2213" s="6"/>
    </row>
    <row r="2214" spans="13:23">
      <c r="M2214" s="9"/>
      <c r="W2214" s="6"/>
    </row>
    <row r="2215" spans="13:23">
      <c r="M2215" s="9"/>
      <c r="W2215" s="6"/>
    </row>
    <row r="2216" spans="13:23">
      <c r="M2216" s="9"/>
      <c r="W2216" s="6"/>
    </row>
    <row r="2217" spans="13:23">
      <c r="M2217" s="9"/>
      <c r="W2217" s="6"/>
    </row>
    <row r="2218" spans="13:23">
      <c r="M2218" s="9"/>
      <c r="W2218" s="6"/>
    </row>
    <row r="2219" spans="13:23">
      <c r="M2219" s="9"/>
      <c r="W2219" s="6"/>
    </row>
    <row r="2220" spans="13:23">
      <c r="M2220" s="9"/>
      <c r="W2220" s="6"/>
    </row>
    <row r="2221" spans="13:23">
      <c r="M2221" s="9"/>
      <c r="W2221" s="6"/>
    </row>
    <row r="2222" spans="13:23">
      <c r="M2222" s="9"/>
      <c r="W2222" s="6"/>
    </row>
    <row r="2223" spans="13:23">
      <c r="M2223" s="9"/>
      <c r="W2223" s="6"/>
    </row>
    <row r="2224" spans="13:23">
      <c r="M2224" s="9"/>
      <c r="W2224" s="6"/>
    </row>
    <row r="2225" spans="13:23">
      <c r="M2225" s="9"/>
      <c r="W2225" s="6"/>
    </row>
    <row r="2226" spans="13:23">
      <c r="M2226" s="9"/>
      <c r="W2226" s="6"/>
    </row>
    <row r="2227" spans="13:23">
      <c r="M2227" s="9"/>
      <c r="W2227" s="6"/>
    </row>
    <row r="2228" spans="13:23">
      <c r="M2228" s="9"/>
      <c r="W2228" s="6"/>
    </row>
    <row r="2229" spans="13:23">
      <c r="M2229" s="9"/>
      <c r="W2229" s="6"/>
    </row>
    <row r="2230" spans="13:23">
      <c r="M2230" s="9"/>
      <c r="W2230" s="6"/>
    </row>
    <row r="2231" spans="13:23">
      <c r="M2231" s="9"/>
      <c r="W2231" s="6"/>
    </row>
    <row r="2232" spans="13:23">
      <c r="M2232" s="9"/>
      <c r="W2232" s="6"/>
    </row>
    <row r="2233" spans="13:23">
      <c r="M2233" s="9"/>
      <c r="W2233" s="6"/>
    </row>
    <row r="2234" spans="13:23">
      <c r="M2234" s="9"/>
      <c r="W2234" s="6"/>
    </row>
    <row r="2235" spans="13:23">
      <c r="M2235" s="9"/>
      <c r="W2235" s="6"/>
    </row>
    <row r="2236" spans="13:23">
      <c r="M2236" s="9"/>
      <c r="W2236" s="6"/>
    </row>
    <row r="2237" spans="13:23">
      <c r="M2237" s="9"/>
      <c r="W2237" s="6"/>
    </row>
    <row r="2238" spans="13:23">
      <c r="M2238" s="9"/>
      <c r="W2238" s="6"/>
    </row>
    <row r="2239" spans="13:23">
      <c r="M2239" s="9"/>
      <c r="W2239" s="6"/>
    </row>
    <row r="2240" spans="13:23">
      <c r="M2240" s="9"/>
      <c r="W2240" s="6"/>
    </row>
    <row r="2241" spans="13:23">
      <c r="M2241" s="9"/>
      <c r="W2241" s="6"/>
    </row>
    <row r="2242" spans="13:23">
      <c r="M2242" s="9"/>
      <c r="W2242" s="6"/>
    </row>
    <row r="2243" spans="13:23">
      <c r="M2243" s="9"/>
      <c r="W2243" s="6"/>
    </row>
    <row r="2244" spans="13:23">
      <c r="M2244" s="9"/>
      <c r="W2244" s="6"/>
    </row>
    <row r="2245" spans="13:23">
      <c r="M2245" s="9"/>
      <c r="W2245" s="6"/>
    </row>
    <row r="2246" spans="13:23">
      <c r="M2246" s="9"/>
      <c r="W2246" s="6"/>
    </row>
    <row r="2247" spans="13:23">
      <c r="M2247" s="9"/>
      <c r="W2247" s="6"/>
    </row>
    <row r="2248" spans="13:23">
      <c r="M2248" s="9"/>
      <c r="W2248" s="6"/>
    </row>
    <row r="2249" spans="13:23">
      <c r="M2249" s="9"/>
      <c r="W2249" s="6"/>
    </row>
    <row r="2250" spans="13:23">
      <c r="M2250" s="9"/>
      <c r="W2250" s="6"/>
    </row>
    <row r="2251" spans="13:23">
      <c r="M2251" s="9"/>
      <c r="W2251" s="6"/>
    </row>
    <row r="2252" spans="13:23">
      <c r="M2252" s="9"/>
      <c r="W2252" s="6"/>
    </row>
    <row r="2253" spans="13:23">
      <c r="M2253" s="9"/>
      <c r="W2253" s="6"/>
    </row>
    <row r="2254" spans="13:23">
      <c r="M2254" s="9"/>
      <c r="W2254" s="6"/>
    </row>
    <row r="2255" spans="13:23">
      <c r="M2255" s="9"/>
      <c r="W2255" s="6"/>
    </row>
    <row r="2256" spans="13:23">
      <c r="M2256" s="9"/>
      <c r="W2256" s="6"/>
    </row>
    <row r="2257" spans="13:23">
      <c r="M2257" s="9"/>
      <c r="W2257" s="6"/>
    </row>
    <row r="2258" spans="13:23">
      <c r="M2258" s="9"/>
      <c r="W2258" s="6"/>
    </row>
    <row r="2259" spans="13:23">
      <c r="M2259" s="9"/>
      <c r="W2259" s="6"/>
    </row>
    <row r="2260" spans="13:23">
      <c r="M2260" s="9"/>
      <c r="W2260" s="6"/>
    </row>
    <row r="2261" spans="13:23">
      <c r="M2261" s="9"/>
      <c r="W2261" s="6"/>
    </row>
    <row r="2262" spans="13:23">
      <c r="M2262" s="9"/>
      <c r="W2262" s="6"/>
    </row>
    <row r="2263" spans="13:23">
      <c r="M2263" s="9"/>
      <c r="W2263" s="6"/>
    </row>
    <row r="2264" spans="13:23">
      <c r="M2264" s="9"/>
      <c r="W2264" s="6"/>
    </row>
    <row r="2265" spans="13:23">
      <c r="M2265" s="9"/>
      <c r="W2265" s="6"/>
    </row>
    <row r="2266" spans="13:23">
      <c r="M2266" s="9"/>
      <c r="W2266" s="6"/>
    </row>
    <row r="2267" spans="13:23">
      <c r="M2267" s="9"/>
      <c r="W2267" s="6"/>
    </row>
    <row r="2268" spans="13:23">
      <c r="M2268" s="9"/>
      <c r="W2268" s="6"/>
    </row>
    <row r="2269" spans="13:23">
      <c r="M2269" s="9"/>
      <c r="W2269" s="6"/>
    </row>
    <row r="2270" spans="13:23">
      <c r="M2270" s="9"/>
      <c r="W2270" s="6"/>
    </row>
    <row r="2271" spans="13:23">
      <c r="M2271" s="9"/>
      <c r="W2271" s="6"/>
    </row>
    <row r="2272" spans="13:23">
      <c r="M2272" s="9"/>
      <c r="W2272" s="6"/>
    </row>
    <row r="2273" spans="13:23">
      <c r="M2273" s="9"/>
      <c r="W2273" s="6"/>
    </row>
    <row r="2274" spans="13:23">
      <c r="M2274" s="9"/>
      <c r="W2274" s="6"/>
    </row>
    <row r="2275" spans="13:23">
      <c r="M2275" s="9"/>
      <c r="W2275" s="6"/>
    </row>
    <row r="2276" spans="13:23">
      <c r="M2276" s="9"/>
      <c r="W2276" s="6"/>
    </row>
    <row r="2277" spans="13:23">
      <c r="M2277" s="9"/>
      <c r="W2277" s="6"/>
    </row>
    <row r="2278" spans="13:23">
      <c r="M2278" s="9"/>
      <c r="W2278" s="6"/>
    </row>
    <row r="2279" spans="13:23">
      <c r="M2279" s="9"/>
      <c r="W2279" s="6"/>
    </row>
    <row r="2280" spans="13:23">
      <c r="M2280" s="9"/>
      <c r="W2280" s="6"/>
    </row>
    <row r="2281" spans="13:23">
      <c r="M2281" s="9"/>
      <c r="W2281" s="6"/>
    </row>
    <row r="2282" spans="13:23">
      <c r="M2282" s="9"/>
      <c r="W2282" s="6"/>
    </row>
    <row r="2283" spans="13:23">
      <c r="M2283" s="9"/>
      <c r="W2283" s="6"/>
    </row>
    <row r="2284" spans="13:23">
      <c r="M2284" s="9"/>
      <c r="W2284" s="6"/>
    </row>
    <row r="2285" spans="13:23">
      <c r="M2285" s="9"/>
      <c r="W2285" s="6"/>
    </row>
    <row r="2286" spans="13:23">
      <c r="M2286" s="9"/>
      <c r="W2286" s="6"/>
    </row>
    <row r="2287" spans="13:23">
      <c r="M2287" s="9"/>
      <c r="W2287" s="6"/>
    </row>
    <row r="2288" spans="13:23">
      <c r="M2288" s="9"/>
      <c r="W2288" s="6"/>
    </row>
    <row r="2289" spans="13:23">
      <c r="M2289" s="9"/>
      <c r="W2289" s="6"/>
    </row>
    <row r="2290" spans="13:23">
      <c r="M2290" s="9"/>
      <c r="W2290" s="6"/>
    </row>
    <row r="2291" spans="13:23">
      <c r="M2291" s="9"/>
      <c r="W2291" s="6"/>
    </row>
    <row r="2292" spans="13:23">
      <c r="M2292" s="9"/>
      <c r="W2292" s="6"/>
    </row>
    <row r="2293" spans="13:23">
      <c r="M2293" s="9"/>
      <c r="W2293" s="6"/>
    </row>
    <row r="2294" spans="13:23">
      <c r="M2294" s="9"/>
      <c r="W2294" s="6"/>
    </row>
    <row r="2295" spans="13:23">
      <c r="M2295" s="9"/>
      <c r="W2295" s="6"/>
    </row>
    <row r="2296" spans="13:23">
      <c r="M2296" s="9"/>
      <c r="W2296" s="6"/>
    </row>
    <row r="2297" spans="13:23">
      <c r="M2297" s="9"/>
      <c r="W2297" s="6"/>
    </row>
    <row r="2298" spans="13:23">
      <c r="M2298" s="9"/>
      <c r="W2298" s="6"/>
    </row>
    <row r="2299" spans="13:23">
      <c r="M2299" s="9"/>
      <c r="W2299" s="6"/>
    </row>
    <row r="2300" spans="13:23">
      <c r="M2300" s="9"/>
      <c r="W2300" s="6"/>
    </row>
    <row r="2301" spans="13:23">
      <c r="M2301" s="9"/>
      <c r="W2301" s="6"/>
    </row>
    <row r="2302" spans="13:23">
      <c r="M2302" s="9"/>
      <c r="W2302" s="6"/>
    </row>
    <row r="2303" spans="13:23">
      <c r="M2303" s="9"/>
      <c r="W2303" s="6"/>
    </row>
    <row r="2304" spans="13:23">
      <c r="M2304" s="9"/>
      <c r="W2304" s="6"/>
    </row>
    <row r="2305" spans="13:23">
      <c r="M2305" s="9"/>
      <c r="W2305" s="6"/>
    </row>
    <row r="2306" spans="13:23">
      <c r="M2306" s="9"/>
      <c r="W2306" s="6"/>
    </row>
    <row r="2307" spans="13:23">
      <c r="M2307" s="9"/>
      <c r="W2307" s="6"/>
    </row>
    <row r="2308" spans="13:23">
      <c r="M2308" s="9"/>
      <c r="W2308" s="6"/>
    </row>
    <row r="2309" spans="13:23">
      <c r="M2309" s="9"/>
      <c r="W2309" s="6"/>
    </row>
    <row r="2310" spans="13:23">
      <c r="M2310" s="9"/>
      <c r="W2310" s="6"/>
    </row>
    <row r="2311" spans="13:23">
      <c r="M2311" s="9"/>
      <c r="W2311" s="6"/>
    </row>
    <row r="2312" spans="13:23">
      <c r="M2312" s="9"/>
      <c r="W2312" s="6"/>
    </row>
    <row r="2313" spans="13:23">
      <c r="M2313" s="9"/>
      <c r="W2313" s="6"/>
    </row>
    <row r="2314" spans="13:23">
      <c r="M2314" s="9"/>
      <c r="W2314" s="6"/>
    </row>
    <row r="2315" spans="13:23">
      <c r="M2315" s="9"/>
      <c r="W2315" s="6"/>
    </row>
    <row r="2316" spans="13:23">
      <c r="M2316" s="9"/>
      <c r="W2316" s="6"/>
    </row>
    <row r="2317" spans="13:23">
      <c r="M2317" s="9"/>
      <c r="W2317" s="6"/>
    </row>
    <row r="2318" spans="13:23">
      <c r="M2318" s="9"/>
      <c r="W2318" s="6"/>
    </row>
    <row r="2319" spans="13:23">
      <c r="M2319" s="9"/>
      <c r="W2319" s="6"/>
    </row>
    <row r="2320" spans="13:23">
      <c r="M2320" s="9"/>
      <c r="W2320" s="6"/>
    </row>
    <row r="2321" spans="13:23">
      <c r="M2321" s="9"/>
      <c r="W2321" s="6"/>
    </row>
    <row r="2322" spans="13:23">
      <c r="M2322" s="9"/>
      <c r="W2322" s="6"/>
    </row>
    <row r="2323" spans="13:23">
      <c r="M2323" s="9"/>
      <c r="W2323" s="6"/>
    </row>
    <row r="2324" spans="13:23">
      <c r="M2324" s="9"/>
      <c r="W2324" s="6"/>
    </row>
    <row r="2325" spans="13:23">
      <c r="M2325" s="9"/>
      <c r="W2325" s="6"/>
    </row>
    <row r="2326" spans="13:23">
      <c r="M2326" s="9"/>
      <c r="W2326" s="6"/>
    </row>
    <row r="2327" spans="13:23">
      <c r="M2327" s="9"/>
      <c r="W2327" s="6"/>
    </row>
    <row r="2328" spans="13:23">
      <c r="M2328" s="9"/>
      <c r="W2328" s="6"/>
    </row>
    <row r="2329" spans="13:23">
      <c r="M2329" s="9"/>
      <c r="W2329" s="6"/>
    </row>
    <row r="2330" spans="13:23">
      <c r="M2330" s="9"/>
      <c r="W2330" s="6"/>
    </row>
    <row r="2331" spans="13:23">
      <c r="M2331" s="9"/>
      <c r="W2331" s="6"/>
    </row>
    <row r="2332" spans="13:23">
      <c r="M2332" s="9"/>
      <c r="W2332" s="6"/>
    </row>
    <row r="2333" spans="13:23">
      <c r="M2333" s="9"/>
      <c r="W2333" s="6"/>
    </row>
    <row r="2334" spans="13:23">
      <c r="M2334" s="9"/>
      <c r="W2334" s="6"/>
    </row>
    <row r="2335" spans="13:23">
      <c r="M2335" s="9"/>
      <c r="W2335" s="6"/>
    </row>
    <row r="2336" spans="13:23">
      <c r="M2336" s="9"/>
      <c r="W2336" s="6"/>
    </row>
    <row r="2337" spans="13:23">
      <c r="M2337" s="9"/>
      <c r="W2337" s="6"/>
    </row>
    <row r="2338" spans="13:23">
      <c r="M2338" s="9"/>
      <c r="W2338" s="6"/>
    </row>
    <row r="2339" spans="13:23">
      <c r="M2339" s="9"/>
      <c r="W2339" s="6"/>
    </row>
    <row r="2340" spans="13:23">
      <c r="M2340" s="9"/>
      <c r="W2340" s="6"/>
    </row>
    <row r="2341" spans="13:23">
      <c r="M2341" s="9"/>
      <c r="W2341" s="6"/>
    </row>
    <row r="2342" spans="13:23">
      <c r="M2342" s="9"/>
      <c r="W2342" s="6"/>
    </row>
    <row r="2343" spans="13:23">
      <c r="M2343" s="9"/>
      <c r="W2343" s="6"/>
    </row>
    <row r="2344" spans="13:23">
      <c r="M2344" s="9"/>
      <c r="W2344" s="6"/>
    </row>
    <row r="2345" spans="13:23">
      <c r="M2345" s="9"/>
      <c r="W2345" s="6"/>
    </row>
    <row r="2346" spans="13:23">
      <c r="M2346" s="9"/>
      <c r="W2346" s="6"/>
    </row>
    <row r="2347" spans="13:23">
      <c r="M2347" s="9"/>
      <c r="W2347" s="6"/>
    </row>
    <row r="2348" spans="13:23">
      <c r="M2348" s="9"/>
      <c r="W2348" s="6"/>
    </row>
    <row r="2349" spans="13:23">
      <c r="M2349" s="9"/>
      <c r="W2349" s="6"/>
    </row>
    <row r="2350" spans="13:23">
      <c r="M2350" s="9"/>
      <c r="W2350" s="6"/>
    </row>
    <row r="2351" spans="13:23">
      <c r="M2351" s="9"/>
      <c r="W2351" s="6"/>
    </row>
    <row r="2352" spans="13:23">
      <c r="M2352" s="9"/>
      <c r="W2352" s="6"/>
    </row>
    <row r="2353" spans="13:23">
      <c r="M2353" s="9"/>
      <c r="W2353" s="6"/>
    </row>
    <row r="2354" spans="13:23">
      <c r="M2354" s="9"/>
      <c r="W2354" s="6"/>
    </row>
    <row r="2355" spans="13:23">
      <c r="M2355" s="9"/>
      <c r="W2355" s="6"/>
    </row>
    <row r="2356" spans="13:23">
      <c r="M2356" s="9"/>
      <c r="W2356" s="6"/>
    </row>
    <row r="2357" spans="13:23">
      <c r="M2357" s="9"/>
      <c r="W2357" s="6"/>
    </row>
    <row r="2358" spans="13:23">
      <c r="M2358" s="9"/>
      <c r="W2358" s="6"/>
    </row>
    <row r="2359" spans="13:23">
      <c r="M2359" s="9"/>
      <c r="W2359" s="6"/>
    </row>
    <row r="2360" spans="13:23">
      <c r="M2360" s="9"/>
      <c r="W2360" s="6"/>
    </row>
    <row r="2361" spans="13:23">
      <c r="M2361" s="9"/>
      <c r="W2361" s="6"/>
    </row>
    <row r="2362" spans="13:23">
      <c r="M2362" s="9"/>
      <c r="W2362" s="6"/>
    </row>
    <row r="2363" spans="13:23">
      <c r="M2363" s="9"/>
      <c r="W2363" s="6"/>
    </row>
    <row r="2364" spans="13:23">
      <c r="M2364" s="9"/>
      <c r="W2364" s="6"/>
    </row>
    <row r="2365" spans="13:23">
      <c r="M2365" s="9"/>
      <c r="W2365" s="6"/>
    </row>
    <row r="2366" spans="13:23">
      <c r="M2366" s="9"/>
      <c r="W2366" s="6"/>
    </row>
    <row r="2367" spans="13:23">
      <c r="M2367" s="9"/>
      <c r="W2367" s="6"/>
    </row>
    <row r="2368" spans="13:23">
      <c r="M2368" s="9"/>
      <c r="W2368" s="6"/>
    </row>
    <row r="2369" spans="13:23">
      <c r="M2369" s="9"/>
      <c r="W2369" s="6"/>
    </row>
    <row r="2370" spans="13:23">
      <c r="M2370" s="9"/>
      <c r="W2370" s="6"/>
    </row>
    <row r="2371" spans="13:23">
      <c r="M2371" s="9"/>
      <c r="W2371" s="6"/>
    </row>
    <row r="2372" spans="13:23">
      <c r="M2372" s="9"/>
      <c r="W2372" s="6"/>
    </row>
    <row r="2373" spans="13:23">
      <c r="M2373" s="9"/>
      <c r="W2373" s="6"/>
    </row>
    <row r="2374" spans="13:23">
      <c r="M2374" s="9"/>
      <c r="W2374" s="6"/>
    </row>
    <row r="2375" spans="13:23">
      <c r="M2375" s="9"/>
      <c r="W2375" s="6"/>
    </row>
    <row r="2376" spans="13:23">
      <c r="M2376" s="9"/>
      <c r="W2376" s="6"/>
    </row>
    <row r="2377" spans="13:23">
      <c r="M2377" s="9"/>
      <c r="W2377" s="6"/>
    </row>
    <row r="2378" spans="13:23">
      <c r="M2378" s="9"/>
      <c r="W2378" s="6"/>
    </row>
    <row r="2379" spans="13:23">
      <c r="M2379" s="9"/>
      <c r="W2379" s="6"/>
    </row>
    <row r="2380" spans="13:23">
      <c r="M2380" s="9"/>
      <c r="W2380" s="6"/>
    </row>
    <row r="2381" spans="13:23">
      <c r="M2381" s="9"/>
      <c r="W2381" s="6"/>
    </row>
    <row r="2382" spans="13:23">
      <c r="M2382" s="9"/>
      <c r="W2382" s="6"/>
    </row>
    <row r="2383" spans="13:23">
      <c r="M2383" s="9"/>
      <c r="W2383" s="6"/>
    </row>
    <row r="2384" spans="13:23">
      <c r="M2384" s="9"/>
      <c r="W2384" s="6"/>
    </row>
    <row r="2385" spans="13:23">
      <c r="M2385" s="9"/>
      <c r="W2385" s="6"/>
    </row>
    <row r="2386" spans="13:23">
      <c r="M2386" s="9"/>
      <c r="W2386" s="6"/>
    </row>
    <row r="2387" spans="13:23">
      <c r="M2387" s="9"/>
      <c r="W2387" s="6"/>
    </row>
    <row r="2388" spans="13:23">
      <c r="M2388" s="9"/>
      <c r="W2388" s="6"/>
    </row>
    <row r="2389" spans="13:23">
      <c r="M2389" s="9"/>
      <c r="W2389" s="6"/>
    </row>
    <row r="2390" spans="13:23">
      <c r="M2390" s="9"/>
      <c r="W2390" s="6"/>
    </row>
    <row r="2391" spans="13:23">
      <c r="M2391" s="9"/>
      <c r="W2391" s="6"/>
    </row>
    <row r="2392" spans="13:23">
      <c r="M2392" s="9"/>
      <c r="W2392" s="6"/>
    </row>
    <row r="2393" spans="13:23">
      <c r="M2393" s="9"/>
      <c r="W2393" s="6"/>
    </row>
    <row r="2394" spans="13:23">
      <c r="M2394" s="9"/>
      <c r="W2394" s="6"/>
    </row>
    <row r="2395" spans="13:23">
      <c r="M2395" s="9"/>
      <c r="W2395" s="6"/>
    </row>
    <row r="2396" spans="13:23">
      <c r="M2396" s="9"/>
      <c r="W2396" s="6"/>
    </row>
    <row r="2397" spans="13:23">
      <c r="M2397" s="9"/>
      <c r="W2397" s="6"/>
    </row>
    <row r="2398" spans="13:23">
      <c r="M2398" s="9"/>
      <c r="W2398" s="6"/>
    </row>
    <row r="2399" spans="13:23">
      <c r="M2399" s="9"/>
      <c r="W2399" s="6"/>
    </row>
    <row r="2400" spans="13:23">
      <c r="M2400" s="9"/>
      <c r="W2400" s="6"/>
    </row>
    <row r="2401" spans="13:23">
      <c r="M2401" s="9"/>
      <c r="W2401" s="6"/>
    </row>
    <row r="2402" spans="13:23">
      <c r="M2402" s="9"/>
      <c r="W2402" s="6"/>
    </row>
    <row r="2403" spans="13:23">
      <c r="M2403" s="9"/>
      <c r="W2403" s="6"/>
    </row>
    <row r="2404" spans="13:23">
      <c r="M2404" s="9"/>
      <c r="W2404" s="6"/>
    </row>
    <row r="2405" spans="13:23">
      <c r="M2405" s="9"/>
      <c r="W2405" s="6"/>
    </row>
    <row r="2406" spans="13:23">
      <c r="M2406" s="9"/>
      <c r="W2406" s="6"/>
    </row>
    <row r="2407" spans="13:23">
      <c r="M2407" s="9"/>
      <c r="W2407" s="6"/>
    </row>
    <row r="2408" spans="13:23">
      <c r="M2408" s="9"/>
      <c r="W2408" s="6"/>
    </row>
    <row r="2409" spans="13:23">
      <c r="M2409" s="9"/>
      <c r="W2409" s="6"/>
    </row>
    <row r="2410" spans="13:23">
      <c r="M2410" s="9"/>
      <c r="W2410" s="6"/>
    </row>
    <row r="2411" spans="13:23">
      <c r="M2411" s="9"/>
      <c r="W2411" s="6"/>
    </row>
    <row r="2412" spans="13:23">
      <c r="M2412" s="9"/>
      <c r="W2412" s="6"/>
    </row>
    <row r="2413" spans="13:23">
      <c r="M2413" s="9"/>
      <c r="W2413" s="6"/>
    </row>
    <row r="2414" spans="13:23">
      <c r="M2414" s="9"/>
      <c r="W2414" s="6"/>
    </row>
    <row r="2415" spans="13:23">
      <c r="M2415" s="9"/>
      <c r="W2415" s="6"/>
    </row>
    <row r="2416" spans="13:23">
      <c r="M2416" s="9"/>
      <c r="W2416" s="6"/>
    </row>
    <row r="2417" spans="13:23">
      <c r="M2417" s="9"/>
      <c r="W2417" s="6"/>
    </row>
    <row r="2418" spans="13:23">
      <c r="M2418" s="9"/>
      <c r="W2418" s="6"/>
    </row>
    <row r="2419" spans="13:23">
      <c r="M2419" s="9"/>
      <c r="W2419" s="6"/>
    </row>
    <row r="2420" spans="13:23">
      <c r="M2420" s="9"/>
      <c r="W2420" s="6"/>
    </row>
    <row r="2421" spans="13:23">
      <c r="M2421" s="9"/>
      <c r="W2421" s="6"/>
    </row>
    <row r="2422" spans="13:23">
      <c r="M2422" s="9"/>
      <c r="W2422" s="6"/>
    </row>
    <row r="2423" spans="13:23">
      <c r="M2423" s="9"/>
      <c r="W2423" s="6"/>
    </row>
    <row r="2424" spans="13:23">
      <c r="M2424" s="9"/>
      <c r="W2424" s="6"/>
    </row>
    <row r="2425" spans="13:23">
      <c r="M2425" s="9"/>
      <c r="W2425" s="6"/>
    </row>
    <row r="2426" spans="13:23">
      <c r="M2426" s="9"/>
      <c r="W2426" s="6"/>
    </row>
    <row r="2427" spans="13:23">
      <c r="M2427" s="9"/>
      <c r="W2427" s="6"/>
    </row>
    <row r="2428" spans="13:23">
      <c r="M2428" s="9"/>
      <c r="W2428" s="6"/>
    </row>
    <row r="2429" spans="13:23">
      <c r="M2429" s="9"/>
      <c r="W2429" s="6"/>
    </row>
    <row r="2430" spans="13:23">
      <c r="M2430" s="9"/>
      <c r="W2430" s="6"/>
    </row>
    <row r="2431" spans="13:23">
      <c r="M2431" s="9"/>
      <c r="W2431" s="6"/>
    </row>
    <row r="2432" spans="13:23">
      <c r="M2432" s="9"/>
      <c r="W2432" s="6"/>
    </row>
    <row r="2433" spans="13:23">
      <c r="M2433" s="9"/>
      <c r="W2433" s="6"/>
    </row>
    <row r="2434" spans="13:23">
      <c r="M2434" s="9"/>
      <c r="W2434" s="6"/>
    </row>
    <row r="2435" spans="13:23">
      <c r="M2435" s="9"/>
      <c r="W2435" s="6"/>
    </row>
    <row r="2436" spans="13:23">
      <c r="M2436" s="9"/>
      <c r="W2436" s="6"/>
    </row>
    <row r="2437" spans="13:23">
      <c r="M2437" s="9"/>
      <c r="W2437" s="6"/>
    </row>
    <row r="2438" spans="13:23">
      <c r="M2438" s="9"/>
      <c r="W2438" s="6"/>
    </row>
    <row r="2439" spans="13:23">
      <c r="M2439" s="9"/>
      <c r="W2439" s="6"/>
    </row>
    <row r="2440" spans="13:23">
      <c r="M2440" s="9"/>
      <c r="W2440" s="6"/>
    </row>
    <row r="2441" spans="13:23">
      <c r="M2441" s="9"/>
      <c r="W2441" s="6"/>
    </row>
    <row r="2442" spans="13:23">
      <c r="M2442" s="9"/>
      <c r="W2442" s="6"/>
    </row>
    <row r="2443" spans="13:23">
      <c r="M2443" s="9"/>
      <c r="W2443" s="6"/>
    </row>
    <row r="2444" spans="13:23">
      <c r="M2444" s="9"/>
      <c r="W2444" s="6"/>
    </row>
    <row r="2445" spans="13:23">
      <c r="M2445" s="9"/>
      <c r="W2445" s="6"/>
    </row>
    <row r="2446" spans="13:23">
      <c r="M2446" s="9"/>
      <c r="W2446" s="6"/>
    </row>
    <row r="2447" spans="13:23">
      <c r="M2447" s="9"/>
      <c r="W2447" s="6"/>
    </row>
    <row r="2448" spans="13:23">
      <c r="M2448" s="9"/>
      <c r="W2448" s="6"/>
    </row>
    <row r="2449" spans="13:23">
      <c r="M2449" s="9"/>
      <c r="W2449" s="6"/>
    </row>
    <row r="2450" spans="13:23">
      <c r="M2450" s="9"/>
      <c r="W2450" s="6"/>
    </row>
    <row r="2451" spans="13:23">
      <c r="M2451" s="9"/>
      <c r="W2451" s="6"/>
    </row>
    <row r="2452" spans="13:23">
      <c r="M2452" s="9"/>
      <c r="W2452" s="6"/>
    </row>
    <row r="2453" spans="13:23">
      <c r="M2453" s="9"/>
      <c r="W2453" s="6"/>
    </row>
    <row r="2454" spans="13:23">
      <c r="M2454" s="9"/>
      <c r="W2454" s="6"/>
    </row>
    <row r="2455" spans="13:23">
      <c r="M2455" s="9"/>
      <c r="W2455" s="6"/>
    </row>
    <row r="2456" spans="13:23">
      <c r="M2456" s="9"/>
      <c r="W2456" s="6"/>
    </row>
    <row r="2457" spans="13:23">
      <c r="M2457" s="9"/>
      <c r="W2457" s="6"/>
    </row>
    <row r="2458" spans="13:23">
      <c r="M2458" s="9"/>
      <c r="W2458" s="6"/>
    </row>
    <row r="2459" spans="13:23">
      <c r="M2459" s="9"/>
      <c r="W2459" s="6"/>
    </row>
    <row r="2460" spans="13:23">
      <c r="M2460" s="9"/>
      <c r="W2460" s="6"/>
    </row>
    <row r="2461" spans="13:23">
      <c r="M2461" s="9"/>
      <c r="W2461" s="6"/>
    </row>
    <row r="2462" spans="13:23">
      <c r="M2462" s="9"/>
      <c r="W2462" s="6"/>
    </row>
    <row r="2463" spans="13:23">
      <c r="M2463" s="9"/>
      <c r="N2463" s="8"/>
      <c r="O2463" s="10"/>
      <c r="W2463" s="6"/>
    </row>
    <row r="2464" spans="13:23">
      <c r="M2464" s="9"/>
      <c r="N2464" s="8"/>
      <c r="O2464" s="10"/>
      <c r="W2464" s="6"/>
    </row>
    <row r="2465" spans="13:23">
      <c r="M2465" s="9"/>
      <c r="W2465" s="6"/>
    </row>
    <row r="2466" spans="13:23">
      <c r="M2466" s="9"/>
      <c r="W2466" s="6"/>
    </row>
    <row r="2467" spans="13:23">
      <c r="M2467" s="9"/>
      <c r="W2467" s="6"/>
    </row>
    <row r="2468" spans="13:23">
      <c r="M2468" s="9"/>
      <c r="W2468" s="6"/>
    </row>
    <row r="2469" spans="13:23">
      <c r="M2469" s="9"/>
      <c r="W2469" s="6"/>
    </row>
    <row r="2470" spans="13:23">
      <c r="M2470" s="9"/>
      <c r="W2470" s="6"/>
    </row>
    <row r="2471" spans="13:23">
      <c r="M2471" s="9"/>
      <c r="W2471" s="6"/>
    </row>
    <row r="2472" spans="13:23">
      <c r="M2472" s="9"/>
      <c r="W2472" s="6"/>
    </row>
    <row r="2473" spans="13:23">
      <c r="M2473" s="9"/>
      <c r="W2473" s="6"/>
    </row>
    <row r="2474" spans="13:23">
      <c r="M2474" s="9"/>
      <c r="W2474" s="6"/>
    </row>
    <row r="2475" spans="13:23">
      <c r="M2475" s="9"/>
      <c r="W2475" s="6"/>
    </row>
    <row r="2476" spans="13:23">
      <c r="M2476" s="9"/>
      <c r="W2476" s="6"/>
    </row>
    <row r="2477" spans="13:23">
      <c r="M2477" s="9"/>
      <c r="W2477" s="6"/>
    </row>
    <row r="2478" spans="13:23">
      <c r="M2478" s="9"/>
      <c r="W2478" s="6"/>
    </row>
    <row r="2479" spans="13:23">
      <c r="M2479" s="9"/>
      <c r="W2479" s="6"/>
    </row>
    <row r="2480" spans="13:23">
      <c r="M2480" s="9"/>
      <c r="W2480" s="6"/>
    </row>
    <row r="2481" spans="13:23">
      <c r="M2481" s="9"/>
      <c r="W2481" s="6"/>
    </row>
    <row r="2482" spans="13:23">
      <c r="M2482" s="9"/>
      <c r="W2482" s="6"/>
    </row>
    <row r="2483" spans="13:23">
      <c r="M2483" s="9"/>
      <c r="W2483" s="6"/>
    </row>
    <row r="2484" spans="13:23">
      <c r="M2484" s="9"/>
      <c r="W2484" s="6"/>
    </row>
    <row r="2485" spans="13:23">
      <c r="M2485" s="9"/>
      <c r="W2485" s="6"/>
    </row>
    <row r="2486" spans="13:23">
      <c r="M2486" s="9"/>
      <c r="W2486" s="6"/>
    </row>
    <row r="2487" spans="13:23">
      <c r="M2487" s="9"/>
      <c r="W2487" s="6"/>
    </row>
    <row r="2488" spans="13:23">
      <c r="M2488" s="9"/>
      <c r="W2488" s="6"/>
    </row>
    <row r="2489" spans="13:23">
      <c r="M2489" s="9"/>
      <c r="W2489" s="6"/>
    </row>
    <row r="2490" spans="13:23">
      <c r="M2490" s="9"/>
      <c r="W2490" s="6"/>
    </row>
    <row r="2491" spans="13:23">
      <c r="M2491" s="9"/>
      <c r="W2491" s="6"/>
    </row>
    <row r="2492" spans="13:23">
      <c r="M2492" s="9"/>
      <c r="W2492" s="6"/>
    </row>
    <row r="2493" spans="13:23">
      <c r="M2493" s="9"/>
      <c r="W2493" s="6"/>
    </row>
    <row r="2494" spans="13:23">
      <c r="M2494" s="9"/>
      <c r="W2494" s="6"/>
    </row>
    <row r="2495" spans="13:23">
      <c r="M2495" s="9"/>
      <c r="W2495" s="6"/>
    </row>
    <row r="2496" spans="13:23">
      <c r="M2496" s="9"/>
      <c r="W2496" s="6"/>
    </row>
    <row r="2497" spans="13:23">
      <c r="M2497" s="9"/>
      <c r="W2497" s="6"/>
    </row>
    <row r="2498" spans="13:23">
      <c r="M2498" s="9"/>
      <c r="W2498" s="6"/>
    </row>
    <row r="2499" spans="13:23">
      <c r="M2499" s="9"/>
      <c r="W2499" s="6"/>
    </row>
    <row r="2500" spans="13:23">
      <c r="M2500" s="9"/>
      <c r="W2500" s="6"/>
    </row>
    <row r="2501" spans="13:23">
      <c r="M2501" s="9"/>
      <c r="W2501" s="6"/>
    </row>
    <row r="2502" spans="13:23">
      <c r="M2502" s="9"/>
      <c r="W2502" s="6"/>
    </row>
    <row r="2503" spans="13:23">
      <c r="M2503" s="9"/>
      <c r="W2503" s="6"/>
    </row>
    <row r="2504" spans="13:23">
      <c r="M2504" s="9"/>
      <c r="W2504" s="6"/>
    </row>
    <row r="2505" spans="13:23">
      <c r="M2505" s="9"/>
      <c r="W2505" s="6"/>
    </row>
    <row r="2506" spans="13:23">
      <c r="M2506" s="9"/>
      <c r="W2506" s="6"/>
    </row>
    <row r="2507" spans="13:23">
      <c r="M2507" s="9"/>
      <c r="W2507" s="6"/>
    </row>
    <row r="2508" spans="13:23">
      <c r="M2508" s="9"/>
      <c r="W2508" s="6"/>
    </row>
    <row r="2509" spans="13:23">
      <c r="M2509" s="9"/>
      <c r="W2509" s="6"/>
    </row>
    <row r="2510" spans="13:23">
      <c r="M2510" s="9"/>
      <c r="W2510" s="6"/>
    </row>
    <row r="2511" spans="13:23">
      <c r="M2511" s="9"/>
      <c r="W2511" s="6"/>
    </row>
    <row r="2512" spans="13:23">
      <c r="M2512" s="9"/>
      <c r="W2512" s="6"/>
    </row>
    <row r="2513" spans="13:23">
      <c r="M2513" s="9"/>
      <c r="W2513" s="6"/>
    </row>
    <row r="2514" spans="13:23">
      <c r="M2514" s="9"/>
      <c r="W2514" s="6"/>
    </row>
    <row r="2515" spans="13:23">
      <c r="M2515" s="9"/>
      <c r="W2515" s="6"/>
    </row>
    <row r="2516" spans="13:23">
      <c r="M2516" s="9"/>
      <c r="W2516" s="6"/>
    </row>
    <row r="2517" spans="13:23">
      <c r="M2517" s="9"/>
      <c r="W2517" s="6"/>
    </row>
    <row r="2518" spans="13:23">
      <c r="M2518" s="9"/>
      <c r="W2518" s="6"/>
    </row>
    <row r="2519" spans="13:23">
      <c r="M2519" s="9"/>
      <c r="W2519" s="6"/>
    </row>
    <row r="2520" spans="13:23">
      <c r="M2520" s="9"/>
      <c r="W2520" s="6"/>
    </row>
    <row r="2521" spans="13:23">
      <c r="M2521" s="9"/>
      <c r="W2521" s="6"/>
    </row>
    <row r="2522" spans="13:23">
      <c r="M2522" s="9"/>
      <c r="W2522" s="6"/>
    </row>
    <row r="2523" spans="13:23">
      <c r="M2523" s="9"/>
      <c r="W2523" s="6"/>
    </row>
    <row r="2524" spans="13:23">
      <c r="M2524" s="9"/>
      <c r="W2524" s="6"/>
    </row>
    <row r="2525" spans="13:23">
      <c r="M2525" s="9"/>
      <c r="W2525" s="6"/>
    </row>
    <row r="2526" spans="13:23">
      <c r="M2526" s="9"/>
      <c r="W2526" s="6"/>
    </row>
    <row r="2527" spans="13:23">
      <c r="M2527" s="9"/>
      <c r="W2527" s="6"/>
    </row>
    <row r="2528" spans="13:23">
      <c r="M2528" s="9"/>
      <c r="W2528" s="6"/>
    </row>
    <row r="2529" spans="13:23">
      <c r="M2529" s="9"/>
      <c r="W2529" s="6"/>
    </row>
    <row r="2530" spans="13:23">
      <c r="M2530" s="9"/>
      <c r="W2530" s="6"/>
    </row>
    <row r="2531" spans="13:23">
      <c r="M2531" s="9"/>
      <c r="W2531" s="6"/>
    </row>
    <row r="2532" spans="13:23">
      <c r="M2532" s="9"/>
      <c r="W2532" s="6"/>
    </row>
    <row r="2533" spans="13:23">
      <c r="M2533" s="9"/>
      <c r="W2533" s="6"/>
    </row>
    <row r="2534" spans="13:23">
      <c r="M2534" s="9"/>
      <c r="W2534" s="6"/>
    </row>
    <row r="2535" spans="13:23">
      <c r="M2535" s="9"/>
      <c r="W2535" s="6"/>
    </row>
    <row r="2536" spans="13:23">
      <c r="M2536" s="9"/>
      <c r="W2536" s="6"/>
    </row>
    <row r="2537" spans="13:23">
      <c r="M2537" s="9"/>
      <c r="W2537" s="6"/>
    </row>
    <row r="2538" spans="13:23">
      <c r="M2538" s="9"/>
      <c r="W2538" s="6"/>
    </row>
    <row r="2539" spans="13:23">
      <c r="M2539" s="9"/>
      <c r="W2539" s="6"/>
    </row>
    <row r="2540" spans="13:23">
      <c r="M2540" s="9"/>
      <c r="W2540" s="6"/>
    </row>
    <row r="2541" spans="13:23">
      <c r="M2541" s="9"/>
      <c r="W2541" s="6"/>
    </row>
    <row r="2542" spans="13:23">
      <c r="M2542" s="9"/>
      <c r="W2542" s="6"/>
    </row>
    <row r="2543" spans="13:23">
      <c r="M2543" s="9"/>
      <c r="W2543" s="6"/>
    </row>
    <row r="2544" spans="13:23">
      <c r="M2544" s="9"/>
      <c r="W2544" s="6"/>
    </row>
    <row r="2545" spans="13:23">
      <c r="M2545" s="9"/>
      <c r="W2545" s="6"/>
    </row>
    <row r="2546" spans="13:23">
      <c r="M2546" s="9"/>
      <c r="W2546" s="6"/>
    </row>
    <row r="2547" spans="13:23">
      <c r="M2547" s="9"/>
      <c r="W2547" s="6"/>
    </row>
    <row r="2548" spans="13:23">
      <c r="M2548" s="9"/>
      <c r="W2548" s="6"/>
    </row>
    <row r="2549" spans="13:23">
      <c r="M2549" s="9"/>
      <c r="W2549" s="6"/>
    </row>
    <row r="2550" spans="13:23">
      <c r="M2550" s="9"/>
      <c r="W2550" s="6"/>
    </row>
    <row r="2551" spans="13:23">
      <c r="M2551" s="9"/>
      <c r="W2551" s="6"/>
    </row>
    <row r="2552" spans="13:23">
      <c r="M2552" s="9"/>
      <c r="W2552" s="6"/>
    </row>
    <row r="2553" spans="13:23">
      <c r="M2553" s="9"/>
      <c r="W2553" s="6"/>
    </row>
    <row r="2554" spans="13:23">
      <c r="M2554" s="9"/>
      <c r="W2554" s="6"/>
    </row>
    <row r="2555" spans="13:23">
      <c r="M2555" s="9"/>
      <c r="W2555" s="6"/>
    </row>
    <row r="2556" spans="13:23">
      <c r="M2556" s="9"/>
      <c r="W2556" s="6"/>
    </row>
    <row r="2557" spans="13:23">
      <c r="M2557" s="9"/>
      <c r="W2557" s="6"/>
    </row>
    <row r="2558" spans="13:23">
      <c r="M2558" s="9"/>
      <c r="W2558" s="6"/>
    </row>
    <row r="2559" spans="13:23">
      <c r="M2559" s="9"/>
      <c r="W2559" s="6"/>
    </row>
    <row r="2560" spans="13:23">
      <c r="M2560" s="9"/>
      <c r="W2560" s="6"/>
    </row>
    <row r="2561" spans="13:23">
      <c r="M2561" s="9"/>
      <c r="W2561" s="6"/>
    </row>
    <row r="2562" spans="13:23">
      <c r="M2562" s="9"/>
      <c r="W2562" s="6"/>
    </row>
    <row r="2563" spans="13:23">
      <c r="M2563" s="9"/>
      <c r="W2563" s="6"/>
    </row>
    <row r="2564" spans="13:23">
      <c r="M2564" s="9"/>
      <c r="W2564" s="6"/>
    </row>
    <row r="2565" spans="13:23">
      <c r="M2565" s="9"/>
      <c r="W2565" s="6"/>
    </row>
    <row r="2566" spans="13:23">
      <c r="M2566" s="9"/>
      <c r="W2566" s="6"/>
    </row>
    <row r="2567" spans="13:23">
      <c r="M2567" s="9"/>
      <c r="W2567" s="6"/>
    </row>
    <row r="2568" spans="13:23">
      <c r="M2568" s="9"/>
      <c r="W2568" s="6"/>
    </row>
    <row r="2569" spans="13:23">
      <c r="M2569" s="9"/>
      <c r="W2569" s="6"/>
    </row>
    <row r="2570" spans="13:23">
      <c r="M2570" s="9"/>
      <c r="W2570" s="6"/>
    </row>
    <row r="2571" spans="13:23">
      <c r="M2571" s="9"/>
      <c r="W2571" s="6"/>
    </row>
    <row r="2572" spans="13:23">
      <c r="M2572" s="9"/>
      <c r="W2572" s="6"/>
    </row>
    <row r="2573" spans="13:23">
      <c r="M2573" s="9"/>
      <c r="W2573" s="6"/>
    </row>
    <row r="2574" spans="13:23">
      <c r="M2574" s="9"/>
      <c r="W2574" s="6"/>
    </row>
    <row r="2575" spans="13:23">
      <c r="M2575" s="9"/>
      <c r="W2575" s="6"/>
    </row>
    <row r="2576" spans="13:23">
      <c r="M2576" s="9"/>
      <c r="W2576" s="6"/>
    </row>
    <row r="2577" spans="13:23">
      <c r="M2577" s="9"/>
      <c r="W2577" s="6"/>
    </row>
    <row r="2578" spans="13:23">
      <c r="M2578" s="9"/>
      <c r="W2578" s="6"/>
    </row>
    <row r="2579" spans="13:23">
      <c r="M2579" s="9"/>
      <c r="W2579" s="6"/>
    </row>
    <row r="2580" spans="13:23">
      <c r="M2580" s="9"/>
      <c r="W2580" s="6"/>
    </row>
    <row r="2581" spans="13:23">
      <c r="M2581" s="9"/>
      <c r="W2581" s="6"/>
    </row>
    <row r="2582" spans="13:23">
      <c r="M2582" s="9"/>
      <c r="W2582" s="6"/>
    </row>
    <row r="2583" spans="13:23">
      <c r="M2583" s="9"/>
      <c r="W2583" s="6"/>
    </row>
    <row r="2584" spans="13:23">
      <c r="M2584" s="9"/>
      <c r="W2584" s="6"/>
    </row>
    <row r="2585" spans="13:23">
      <c r="M2585" s="9"/>
      <c r="W2585" s="6"/>
    </row>
    <row r="2586" spans="13:23">
      <c r="M2586" s="9"/>
      <c r="W2586" s="6"/>
    </row>
    <row r="2587" spans="13:23">
      <c r="M2587" s="9"/>
      <c r="W2587" s="6"/>
    </row>
    <row r="2588" spans="13:23">
      <c r="M2588" s="9"/>
      <c r="W2588" s="6"/>
    </row>
    <row r="2589" spans="13:23">
      <c r="M2589" s="9"/>
      <c r="W2589" s="6"/>
    </row>
    <row r="2590" spans="13:23">
      <c r="M2590" s="9"/>
      <c r="W2590" s="6"/>
    </row>
    <row r="2591" spans="13:23">
      <c r="M2591" s="9"/>
      <c r="W2591" s="6"/>
    </row>
    <row r="2592" spans="13:23">
      <c r="M2592" s="9"/>
      <c r="W2592" s="6"/>
    </row>
    <row r="2593" spans="13:23">
      <c r="M2593" s="9"/>
      <c r="W2593" s="6"/>
    </row>
    <row r="2594" spans="13:23">
      <c r="M2594" s="9"/>
      <c r="W2594" s="6"/>
    </row>
    <row r="2595" spans="13:23">
      <c r="M2595" s="9"/>
      <c r="W2595" s="6"/>
    </row>
    <row r="2596" spans="13:23">
      <c r="M2596" s="9"/>
      <c r="W2596" s="6"/>
    </row>
    <row r="2597" spans="13:23">
      <c r="M2597" s="9"/>
      <c r="W2597" s="6"/>
    </row>
    <row r="2598" spans="13:23">
      <c r="M2598" s="9"/>
      <c r="W2598" s="6"/>
    </row>
    <row r="2599" spans="13:23">
      <c r="M2599" s="9"/>
      <c r="W2599" s="6"/>
    </row>
    <row r="2600" spans="13:23">
      <c r="M2600" s="9"/>
      <c r="W2600" s="6"/>
    </row>
    <row r="2601" spans="13:23">
      <c r="M2601" s="9"/>
      <c r="W2601" s="6"/>
    </row>
    <row r="2602" spans="13:23">
      <c r="M2602" s="9"/>
      <c r="W2602" s="6"/>
    </row>
    <row r="2603" spans="13:23">
      <c r="M2603" s="9"/>
      <c r="W2603" s="6"/>
    </row>
    <row r="2604" spans="13:23">
      <c r="M2604" s="9"/>
      <c r="W2604" s="6"/>
    </row>
    <row r="2605" spans="13:23">
      <c r="M2605" s="9"/>
      <c r="W2605" s="6"/>
    </row>
    <row r="2606" spans="13:23">
      <c r="M2606" s="9"/>
      <c r="W2606" s="6"/>
    </row>
    <row r="2607" spans="13:23">
      <c r="M2607" s="9"/>
      <c r="W2607" s="6"/>
    </row>
    <row r="2608" spans="13:23">
      <c r="M2608" s="9"/>
      <c r="W2608" s="6"/>
    </row>
    <row r="2609" spans="13:23">
      <c r="M2609" s="9"/>
      <c r="W2609" s="6"/>
    </row>
    <row r="2610" spans="13:23">
      <c r="M2610" s="9"/>
      <c r="W2610" s="6"/>
    </row>
    <row r="2611" spans="13:23">
      <c r="M2611" s="9"/>
      <c r="W2611" s="6"/>
    </row>
    <row r="2612" spans="13:23">
      <c r="M2612" s="9"/>
      <c r="W2612" s="6"/>
    </row>
    <row r="2613" spans="13:23">
      <c r="M2613" s="9"/>
      <c r="W2613" s="6"/>
    </row>
    <row r="2614" spans="13:23">
      <c r="M2614" s="9"/>
      <c r="W2614" s="6"/>
    </row>
    <row r="2615" spans="13:23">
      <c r="M2615" s="9"/>
      <c r="W2615" s="6"/>
    </row>
    <row r="2616" spans="13:23">
      <c r="M2616" s="9"/>
      <c r="W2616" s="6"/>
    </row>
    <row r="2617" spans="13:23">
      <c r="M2617" s="9"/>
      <c r="W2617" s="6"/>
    </row>
    <row r="2618" spans="13:23">
      <c r="M2618" s="9"/>
      <c r="W2618" s="6"/>
    </row>
    <row r="2619" spans="13:23">
      <c r="M2619" s="9"/>
      <c r="W2619" s="6"/>
    </row>
    <row r="2620" spans="13:23">
      <c r="M2620" s="9"/>
      <c r="W2620" s="6"/>
    </row>
    <row r="2621" spans="13:23">
      <c r="M2621" s="9"/>
      <c r="W2621" s="6"/>
    </row>
    <row r="2622" spans="13:23">
      <c r="M2622" s="9"/>
      <c r="W2622" s="6"/>
    </row>
    <row r="2623" spans="13:23">
      <c r="M2623" s="9"/>
      <c r="W2623" s="6"/>
    </row>
    <row r="2624" spans="13:23">
      <c r="M2624" s="9"/>
      <c r="W2624" s="6"/>
    </row>
    <row r="2625" spans="13:23">
      <c r="M2625" s="9"/>
      <c r="W2625" s="6"/>
    </row>
    <row r="2626" spans="13:23">
      <c r="M2626" s="9"/>
      <c r="W2626" s="6"/>
    </row>
    <row r="2627" spans="13:23">
      <c r="M2627" s="9"/>
      <c r="W2627" s="6"/>
    </row>
    <row r="2628" spans="13:23">
      <c r="M2628" s="9"/>
      <c r="W2628" s="6"/>
    </row>
    <row r="2629" spans="13:23">
      <c r="M2629" s="9"/>
      <c r="W2629" s="6"/>
    </row>
    <row r="2630" spans="13:23">
      <c r="M2630" s="9"/>
      <c r="W2630" s="6"/>
    </row>
    <row r="2631" spans="13:23">
      <c r="M2631" s="9"/>
      <c r="W2631" s="6"/>
    </row>
    <row r="2632" spans="13:23">
      <c r="M2632" s="9"/>
      <c r="W2632" s="6"/>
    </row>
    <row r="2633" spans="13:23">
      <c r="M2633" s="9"/>
      <c r="W2633" s="6"/>
    </row>
    <row r="2634" spans="13:23">
      <c r="M2634" s="9"/>
      <c r="W2634" s="6"/>
    </row>
    <row r="2635" spans="13:23">
      <c r="M2635" s="9"/>
      <c r="W2635" s="6"/>
    </row>
    <row r="2636" spans="13:23">
      <c r="M2636" s="9"/>
      <c r="W2636" s="6"/>
    </row>
    <row r="2637" spans="13:23">
      <c r="M2637" s="9"/>
      <c r="W2637" s="6"/>
    </row>
    <row r="2638" spans="13:23">
      <c r="M2638" s="9"/>
      <c r="W2638" s="6"/>
    </row>
    <row r="2639" spans="13:23">
      <c r="M2639" s="9"/>
      <c r="W2639" s="6"/>
    </row>
    <row r="2640" spans="13:23">
      <c r="M2640" s="9"/>
      <c r="W2640" s="6"/>
    </row>
    <row r="2641" spans="13:23">
      <c r="M2641" s="9"/>
      <c r="W2641" s="6"/>
    </row>
    <row r="2642" spans="13:23">
      <c r="M2642" s="9"/>
      <c r="W2642" s="6"/>
    </row>
    <row r="2643" spans="13:23">
      <c r="M2643" s="9"/>
      <c r="W2643" s="6"/>
    </row>
    <row r="2644" spans="13:23">
      <c r="M2644" s="9"/>
      <c r="W2644" s="6"/>
    </row>
    <row r="2645" spans="13:23">
      <c r="M2645" s="9"/>
      <c r="W2645" s="6"/>
    </row>
    <row r="2646" spans="13:23">
      <c r="M2646" s="9"/>
      <c r="W2646" s="6"/>
    </row>
    <row r="2647" spans="13:23">
      <c r="M2647" s="9"/>
      <c r="W2647" s="6"/>
    </row>
    <row r="2648" spans="13:23">
      <c r="M2648" s="9"/>
      <c r="W2648" s="6"/>
    </row>
    <row r="2649" spans="13:23">
      <c r="M2649" s="9"/>
      <c r="W2649" s="6"/>
    </row>
    <row r="2650" spans="13:23">
      <c r="M2650" s="9"/>
      <c r="W2650" s="6"/>
    </row>
    <row r="2651" spans="13:23">
      <c r="M2651" s="9"/>
      <c r="W2651" s="6"/>
    </row>
    <row r="2652" spans="13:23">
      <c r="M2652" s="9"/>
      <c r="W2652" s="6"/>
    </row>
    <row r="2653" spans="13:23">
      <c r="M2653" s="9"/>
      <c r="W2653" s="6"/>
    </row>
    <row r="2654" spans="13:23">
      <c r="M2654" s="9"/>
      <c r="W2654" s="6"/>
    </row>
    <row r="2655" spans="13:23">
      <c r="M2655" s="9"/>
      <c r="W2655" s="6"/>
    </row>
    <row r="2656" spans="13:23">
      <c r="M2656" s="9"/>
      <c r="W2656" s="6"/>
    </row>
    <row r="2657" spans="13:23">
      <c r="M2657" s="9"/>
      <c r="W2657" s="6"/>
    </row>
    <row r="2658" spans="13:23">
      <c r="M2658" s="9"/>
      <c r="W2658" s="6"/>
    </row>
    <row r="2659" spans="13:23">
      <c r="M2659" s="9"/>
      <c r="W2659" s="6"/>
    </row>
    <row r="2660" spans="13:23">
      <c r="M2660" s="9"/>
      <c r="W2660" s="6"/>
    </row>
    <row r="2661" spans="13:23">
      <c r="M2661" s="9"/>
      <c r="W2661" s="6"/>
    </row>
    <row r="2662" spans="13:23">
      <c r="M2662" s="9"/>
      <c r="W2662" s="6"/>
    </row>
    <row r="2663" spans="13:23">
      <c r="M2663" s="9"/>
      <c r="W2663" s="6"/>
    </row>
    <row r="2664" spans="13:23">
      <c r="M2664" s="9"/>
      <c r="W2664" s="6"/>
    </row>
    <row r="2665" spans="13:23">
      <c r="M2665" s="9"/>
      <c r="W2665" s="6"/>
    </row>
    <row r="2666" spans="13:23">
      <c r="M2666" s="9"/>
      <c r="W2666" s="6"/>
    </row>
    <row r="2667" spans="13:23">
      <c r="M2667" s="9"/>
      <c r="W2667" s="6"/>
    </row>
    <row r="2668" spans="13:23">
      <c r="M2668" s="9"/>
      <c r="W2668" s="6"/>
    </row>
    <row r="2669" spans="13:23">
      <c r="M2669" s="9"/>
      <c r="W2669" s="6"/>
    </row>
    <row r="2670" spans="13:23">
      <c r="M2670" s="9"/>
      <c r="W2670" s="6"/>
    </row>
    <row r="2671" spans="13:23">
      <c r="M2671" s="9"/>
      <c r="W2671" s="6"/>
    </row>
    <row r="2672" spans="13:23">
      <c r="M2672" s="9"/>
      <c r="W2672" s="6"/>
    </row>
    <row r="2673" spans="13:23">
      <c r="M2673" s="9"/>
      <c r="W2673" s="6"/>
    </row>
    <row r="2674" spans="13:23">
      <c r="M2674" s="9"/>
      <c r="W2674" s="6"/>
    </row>
    <row r="2675" spans="13:23">
      <c r="M2675" s="9"/>
      <c r="W2675" s="6"/>
    </row>
    <row r="2676" spans="13:23">
      <c r="M2676" s="9"/>
      <c r="W2676" s="6"/>
    </row>
    <row r="2677" spans="13:23">
      <c r="M2677" s="9"/>
      <c r="W2677" s="6"/>
    </row>
    <row r="2678" spans="13:23">
      <c r="M2678" s="9"/>
      <c r="W2678" s="6"/>
    </row>
    <row r="2679" spans="13:23">
      <c r="M2679" s="9"/>
      <c r="W2679" s="6"/>
    </row>
    <row r="2680" spans="13:23">
      <c r="M2680" s="9"/>
      <c r="W2680" s="6"/>
    </row>
    <row r="2681" spans="13:23">
      <c r="M2681" s="9"/>
      <c r="W2681" s="6"/>
    </row>
    <row r="2682" spans="13:23">
      <c r="M2682" s="9"/>
      <c r="W2682" s="6"/>
    </row>
    <row r="2683" spans="13:23">
      <c r="M2683" s="9"/>
      <c r="W2683" s="6"/>
    </row>
    <row r="2684" spans="13:23">
      <c r="M2684" s="9"/>
      <c r="W2684" s="6"/>
    </row>
    <row r="2685" spans="13:23">
      <c r="M2685" s="9"/>
      <c r="W2685" s="6"/>
    </row>
    <row r="2686" spans="13:23">
      <c r="M2686" s="9"/>
      <c r="W2686" s="6"/>
    </row>
    <row r="2687" spans="13:23">
      <c r="M2687" s="9"/>
      <c r="W2687" s="6"/>
    </row>
    <row r="2688" spans="13:23">
      <c r="M2688" s="9"/>
      <c r="W2688" s="6"/>
    </row>
    <row r="2689" spans="13:23">
      <c r="M2689" s="9"/>
      <c r="W2689" s="6"/>
    </row>
    <row r="2690" spans="13:23">
      <c r="M2690" s="9"/>
      <c r="W2690" s="6"/>
    </row>
    <row r="2691" spans="13:23">
      <c r="M2691" s="9"/>
      <c r="W2691" s="6"/>
    </row>
    <row r="2692" spans="13:23">
      <c r="M2692" s="9"/>
      <c r="W2692" s="6"/>
    </row>
    <row r="2693" spans="13:23">
      <c r="M2693" s="9"/>
      <c r="W2693" s="6"/>
    </row>
    <row r="2694" spans="13:23">
      <c r="M2694" s="9"/>
      <c r="W2694" s="6"/>
    </row>
    <row r="2695" spans="13:23">
      <c r="M2695" s="9"/>
      <c r="W2695" s="6"/>
    </row>
    <row r="2696" spans="13:23">
      <c r="M2696" s="9"/>
      <c r="W2696" s="6"/>
    </row>
    <row r="2697" spans="13:23">
      <c r="M2697" s="9"/>
      <c r="W2697" s="6"/>
    </row>
    <row r="2698" spans="13:23">
      <c r="M2698" s="9"/>
      <c r="W2698" s="6"/>
    </row>
    <row r="2699" spans="13:23">
      <c r="M2699" s="9"/>
      <c r="W2699" s="6"/>
    </row>
    <row r="2700" spans="13:23">
      <c r="M2700" s="9"/>
      <c r="W2700" s="6"/>
    </row>
    <row r="2701" spans="13:23">
      <c r="M2701" s="9"/>
      <c r="W2701" s="6"/>
    </row>
    <row r="2702" spans="13:23">
      <c r="M2702" s="9"/>
      <c r="W2702" s="6"/>
    </row>
    <row r="2703" spans="13:23">
      <c r="M2703" s="9"/>
      <c r="W2703" s="6"/>
    </row>
    <row r="2704" spans="13:23">
      <c r="M2704" s="9"/>
      <c r="W2704" s="6"/>
    </row>
    <row r="2705" spans="13:23">
      <c r="M2705" s="9"/>
      <c r="W2705" s="6"/>
    </row>
    <row r="2706" spans="13:23">
      <c r="M2706" s="9"/>
      <c r="W2706" s="6"/>
    </row>
    <row r="2707" spans="13:23">
      <c r="M2707" s="9"/>
      <c r="W2707" s="6"/>
    </row>
    <row r="2708" spans="13:23">
      <c r="M2708" s="9"/>
      <c r="W2708" s="6"/>
    </row>
    <row r="2709" spans="13:23">
      <c r="M2709" s="9"/>
      <c r="W2709" s="6"/>
    </row>
    <row r="2710" spans="13:23">
      <c r="M2710" s="9"/>
      <c r="W2710" s="6"/>
    </row>
    <row r="2711" spans="13:23">
      <c r="M2711" s="9"/>
      <c r="W2711" s="6"/>
    </row>
    <row r="2712" spans="13:23">
      <c r="M2712" s="9"/>
      <c r="W2712" s="6"/>
    </row>
    <row r="2713" spans="13:23">
      <c r="M2713" s="9"/>
      <c r="W2713" s="6"/>
    </row>
    <row r="2714" spans="13:23">
      <c r="M2714" s="9"/>
      <c r="W2714" s="6"/>
    </row>
    <row r="2715" spans="13:23">
      <c r="M2715" s="9"/>
      <c r="W2715" s="6"/>
    </row>
    <row r="2716" spans="13:23">
      <c r="M2716" s="9"/>
      <c r="W2716" s="6"/>
    </row>
    <row r="2717" spans="13:23">
      <c r="M2717" s="9"/>
      <c r="W2717" s="6"/>
    </row>
    <row r="2718" spans="13:23">
      <c r="M2718" s="9"/>
      <c r="W2718" s="6"/>
    </row>
    <row r="2719" spans="13:23">
      <c r="M2719" s="9"/>
      <c r="W2719" s="6"/>
    </row>
    <row r="2720" spans="13:23">
      <c r="M2720" s="9"/>
      <c r="W2720" s="6"/>
    </row>
    <row r="2721" spans="13:23">
      <c r="M2721" s="9"/>
      <c r="W2721" s="6"/>
    </row>
    <row r="2722" spans="13:23">
      <c r="M2722" s="9"/>
      <c r="W2722" s="6"/>
    </row>
    <row r="2723" spans="13:23">
      <c r="M2723" s="9"/>
      <c r="W2723" s="6"/>
    </row>
    <row r="2724" spans="13:23">
      <c r="M2724" s="9"/>
      <c r="W2724" s="6"/>
    </row>
    <row r="2725" spans="13:23">
      <c r="M2725" s="9"/>
      <c r="W2725" s="6"/>
    </row>
    <row r="2726" spans="13:23">
      <c r="M2726" s="9"/>
      <c r="W2726" s="6"/>
    </row>
    <row r="2727" spans="13:23">
      <c r="M2727" s="9"/>
      <c r="W2727" s="6"/>
    </row>
    <row r="2728" spans="13:23">
      <c r="M2728" s="9"/>
      <c r="W2728" s="6"/>
    </row>
    <row r="2729" spans="13:23">
      <c r="M2729" s="9"/>
      <c r="W2729" s="6"/>
    </row>
    <row r="2730" spans="13:23">
      <c r="M2730" s="9"/>
      <c r="W2730" s="6"/>
    </row>
    <row r="2731" spans="13:23">
      <c r="M2731" s="9"/>
      <c r="W2731" s="6"/>
    </row>
    <row r="2732" spans="13:23">
      <c r="M2732" s="9"/>
      <c r="W2732" s="6"/>
    </row>
    <row r="2733" spans="13:23">
      <c r="M2733" s="9"/>
      <c r="W2733" s="6"/>
    </row>
    <row r="2734" spans="13:23">
      <c r="M2734" s="9"/>
      <c r="W2734" s="6"/>
    </row>
    <row r="2735" spans="13:23">
      <c r="M2735" s="9"/>
      <c r="W2735" s="6"/>
    </row>
    <row r="2736" spans="13:23">
      <c r="M2736" s="9"/>
      <c r="W2736" s="6"/>
    </row>
    <row r="2737" spans="13:23">
      <c r="M2737" s="9"/>
      <c r="W2737" s="6"/>
    </row>
    <row r="2738" spans="13:23">
      <c r="M2738" s="9"/>
      <c r="W2738" s="6"/>
    </row>
    <row r="2739" spans="13:23">
      <c r="M2739" s="9"/>
      <c r="W2739" s="6"/>
    </row>
    <row r="2740" spans="13:23">
      <c r="M2740" s="9"/>
      <c r="W2740" s="6"/>
    </row>
    <row r="2741" spans="13:23">
      <c r="M2741" s="9"/>
      <c r="W2741" s="6"/>
    </row>
    <row r="2742" spans="13:23">
      <c r="M2742" s="9"/>
      <c r="W2742" s="6"/>
    </row>
    <row r="2743" spans="13:23">
      <c r="M2743" s="9"/>
      <c r="W2743" s="6"/>
    </row>
    <row r="2744" spans="13:23">
      <c r="M2744" s="9"/>
      <c r="W2744" s="6"/>
    </row>
    <row r="2745" spans="13:23">
      <c r="M2745" s="9"/>
      <c r="W2745" s="6"/>
    </row>
    <row r="2746" spans="13:23">
      <c r="M2746" s="9"/>
      <c r="W2746" s="6"/>
    </row>
    <row r="2747" spans="13:23">
      <c r="M2747" s="9"/>
      <c r="W2747" s="6"/>
    </row>
    <row r="2748" spans="13:23">
      <c r="M2748" s="9"/>
      <c r="W2748" s="6"/>
    </row>
    <row r="2749" spans="13:23">
      <c r="M2749" s="9"/>
      <c r="W2749" s="6"/>
    </row>
    <row r="2750" spans="13:23">
      <c r="M2750" s="9"/>
      <c r="W2750" s="6"/>
    </row>
    <row r="2751" spans="13:23">
      <c r="M2751" s="9"/>
      <c r="W2751" s="6"/>
    </row>
    <row r="2752" spans="13:23">
      <c r="M2752" s="9"/>
      <c r="W2752" s="6"/>
    </row>
    <row r="2753" spans="13:23">
      <c r="M2753" s="9"/>
      <c r="W2753" s="6"/>
    </row>
    <row r="2754" spans="13:23">
      <c r="M2754" s="9"/>
      <c r="W2754" s="6"/>
    </row>
    <row r="2755" spans="13:23">
      <c r="M2755" s="9"/>
      <c r="W2755" s="6"/>
    </row>
    <row r="2756" spans="13:23">
      <c r="M2756" s="9"/>
      <c r="W2756" s="6"/>
    </row>
    <row r="2757" spans="13:23">
      <c r="M2757" s="9"/>
      <c r="W2757" s="6"/>
    </row>
    <row r="2758" spans="13:23">
      <c r="M2758" s="9"/>
      <c r="W2758" s="6"/>
    </row>
    <row r="2759" spans="13:23">
      <c r="M2759" s="9"/>
      <c r="W2759" s="6"/>
    </row>
    <row r="2760" spans="13:23">
      <c r="M2760" s="9"/>
      <c r="W2760" s="6"/>
    </row>
    <row r="2761" spans="13:23">
      <c r="M2761" s="9"/>
      <c r="W2761" s="6"/>
    </row>
    <row r="2762" spans="13:23">
      <c r="M2762" s="9"/>
      <c r="W2762" s="6"/>
    </row>
    <row r="2763" spans="13:23">
      <c r="M2763" s="9"/>
      <c r="W2763" s="6"/>
    </row>
    <row r="2764" spans="13:23">
      <c r="M2764" s="9"/>
      <c r="W2764" s="6"/>
    </row>
    <row r="2765" spans="13:23">
      <c r="M2765" s="9"/>
      <c r="W2765" s="6"/>
    </row>
    <row r="2766" spans="13:23">
      <c r="M2766" s="9"/>
      <c r="W2766" s="6"/>
    </row>
    <row r="2767" spans="13:23">
      <c r="M2767" s="9"/>
      <c r="W2767" s="6"/>
    </row>
    <row r="2768" spans="13:23">
      <c r="M2768" s="9"/>
      <c r="W2768" s="6"/>
    </row>
    <row r="2769" spans="13:23">
      <c r="M2769" s="9"/>
      <c r="W2769" s="6"/>
    </row>
    <row r="2770" spans="13:23">
      <c r="M2770" s="9"/>
      <c r="W2770" s="6"/>
    </row>
    <row r="2771" spans="13:23">
      <c r="M2771" s="9"/>
      <c r="W2771" s="6"/>
    </row>
    <row r="2772" spans="13:23">
      <c r="M2772" s="9"/>
      <c r="W2772" s="6"/>
    </row>
    <row r="2773" spans="13:23">
      <c r="M2773" s="9"/>
      <c r="W2773" s="6"/>
    </row>
    <row r="2774" spans="13:23">
      <c r="M2774" s="9"/>
      <c r="W2774" s="6"/>
    </row>
    <row r="2775" spans="13:23">
      <c r="M2775" s="9"/>
      <c r="W2775" s="6"/>
    </row>
    <row r="2776" spans="13:23">
      <c r="M2776" s="9"/>
      <c r="W2776" s="6"/>
    </row>
    <row r="2777" spans="13:23">
      <c r="M2777" s="9"/>
      <c r="W2777" s="6"/>
    </row>
    <row r="2778" spans="13:23">
      <c r="M2778" s="9"/>
      <c r="W2778" s="6"/>
    </row>
    <row r="2779" spans="13:23">
      <c r="M2779" s="9"/>
      <c r="W2779" s="6"/>
    </row>
    <row r="2780" spans="13:23">
      <c r="M2780" s="9"/>
      <c r="W2780" s="6"/>
    </row>
    <row r="2781" spans="13:23">
      <c r="M2781" s="9"/>
      <c r="W2781" s="6"/>
    </row>
    <row r="2782" spans="13:23">
      <c r="M2782" s="9"/>
      <c r="W2782" s="6"/>
    </row>
    <row r="2783" spans="13:23">
      <c r="M2783" s="9"/>
      <c r="W2783" s="6"/>
    </row>
    <row r="2784" spans="13:23">
      <c r="M2784" s="9"/>
      <c r="W2784" s="6"/>
    </row>
    <row r="2785" spans="13:23">
      <c r="M2785" s="9"/>
      <c r="W2785" s="6"/>
    </row>
    <row r="2786" spans="13:23">
      <c r="M2786" s="9"/>
      <c r="W2786" s="6"/>
    </row>
    <row r="2787" spans="13:23">
      <c r="M2787" s="9"/>
      <c r="W2787" s="6"/>
    </row>
    <row r="2788" spans="13:23">
      <c r="M2788" s="9"/>
      <c r="W2788" s="6"/>
    </row>
    <row r="2789" spans="13:23">
      <c r="M2789" s="9"/>
      <c r="W2789" s="6"/>
    </row>
    <row r="2790" spans="13:23">
      <c r="M2790" s="9"/>
      <c r="W2790" s="6"/>
    </row>
    <row r="2791" spans="13:23">
      <c r="M2791" s="9"/>
      <c r="W2791" s="6"/>
    </row>
    <row r="2792" spans="13:23">
      <c r="M2792" s="9"/>
      <c r="W2792" s="6"/>
    </row>
    <row r="2793" spans="13:23">
      <c r="M2793" s="9"/>
      <c r="W2793" s="6"/>
    </row>
    <row r="2794" spans="13:23">
      <c r="M2794" s="9"/>
      <c r="W2794" s="6"/>
    </row>
    <row r="2795" spans="13:23">
      <c r="M2795" s="9"/>
      <c r="W2795" s="6"/>
    </row>
    <row r="2796" spans="13:23">
      <c r="M2796" s="9"/>
      <c r="W2796" s="6"/>
    </row>
    <row r="2797" spans="13:23">
      <c r="M2797" s="9"/>
      <c r="W2797" s="6"/>
    </row>
    <row r="2798" spans="13:23">
      <c r="M2798" s="9"/>
      <c r="W2798" s="6"/>
    </row>
    <row r="2799" spans="13:23">
      <c r="M2799" s="9"/>
      <c r="W2799" s="6"/>
    </row>
    <row r="2800" spans="13:23">
      <c r="M2800" s="9"/>
      <c r="W2800" s="6"/>
    </row>
    <row r="2801" spans="13:23">
      <c r="M2801" s="9"/>
      <c r="W2801" s="6"/>
    </row>
    <row r="2802" spans="13:23">
      <c r="M2802" s="9"/>
      <c r="W2802" s="6"/>
    </row>
    <row r="2803" spans="13:23">
      <c r="M2803" s="9"/>
      <c r="W2803" s="6"/>
    </row>
    <row r="2804" spans="13:23">
      <c r="M2804" s="9"/>
      <c r="W2804" s="6"/>
    </row>
    <row r="2805" spans="13:23">
      <c r="M2805" s="9"/>
      <c r="W2805" s="6"/>
    </row>
    <row r="2806" spans="13:23">
      <c r="M2806" s="9"/>
      <c r="W2806" s="6"/>
    </row>
    <row r="2807" spans="13:23">
      <c r="M2807" s="9"/>
      <c r="W2807" s="6"/>
    </row>
    <row r="2808" spans="13:23">
      <c r="M2808" s="9"/>
      <c r="W2808" s="6"/>
    </row>
    <row r="2809" spans="13:23">
      <c r="M2809" s="9"/>
      <c r="W2809" s="6"/>
    </row>
    <row r="2810" spans="13:23">
      <c r="M2810" s="9"/>
      <c r="W2810" s="6"/>
    </row>
    <row r="2811" spans="13:23">
      <c r="M2811" s="9"/>
      <c r="W2811" s="6"/>
    </row>
    <row r="2812" spans="13:23">
      <c r="M2812" s="9"/>
      <c r="W2812" s="6"/>
    </row>
    <row r="2813" spans="13:23">
      <c r="M2813" s="9"/>
      <c r="W2813" s="6"/>
    </row>
    <row r="2814" spans="13:23">
      <c r="M2814" s="9"/>
      <c r="W2814" s="6"/>
    </row>
    <row r="2815" spans="13:23">
      <c r="M2815" s="9"/>
      <c r="W2815" s="6"/>
    </row>
    <row r="2816" spans="13:23">
      <c r="M2816" s="9"/>
      <c r="W2816" s="6"/>
    </row>
    <row r="2817" spans="13:23">
      <c r="M2817" s="9"/>
      <c r="W2817" s="6"/>
    </row>
    <row r="2818" spans="13:23">
      <c r="M2818" s="9"/>
      <c r="W2818" s="6"/>
    </row>
    <row r="2819" spans="13:23">
      <c r="M2819" s="9"/>
      <c r="W2819" s="6"/>
    </row>
    <row r="2820" spans="13:23">
      <c r="M2820" s="9"/>
      <c r="W2820" s="6"/>
    </row>
    <row r="2821" spans="13:23">
      <c r="M2821" s="9"/>
      <c r="W2821" s="6"/>
    </row>
    <row r="2822" spans="13:23">
      <c r="M2822" s="9"/>
      <c r="W2822" s="6"/>
    </row>
    <row r="2823" spans="13:23">
      <c r="M2823" s="9"/>
      <c r="W2823" s="6"/>
    </row>
    <row r="2824" spans="13:23">
      <c r="M2824" s="9"/>
      <c r="W2824" s="6"/>
    </row>
    <row r="2825" spans="13:23">
      <c r="M2825" s="9"/>
      <c r="W2825" s="6"/>
    </row>
    <row r="2826" spans="13:23">
      <c r="M2826" s="9"/>
      <c r="W2826" s="6"/>
    </row>
    <row r="2827" spans="13:23">
      <c r="M2827" s="9"/>
      <c r="W2827" s="6"/>
    </row>
    <row r="2828" spans="13:23">
      <c r="M2828" s="9"/>
      <c r="W2828" s="6"/>
    </row>
    <row r="2829" spans="13:23">
      <c r="M2829" s="9"/>
      <c r="W2829" s="6"/>
    </row>
    <row r="2830" spans="13:23">
      <c r="M2830" s="9"/>
      <c r="W2830" s="6"/>
    </row>
    <row r="2831" spans="13:23">
      <c r="M2831" s="9"/>
      <c r="W2831" s="6"/>
    </row>
    <row r="2832" spans="13:23">
      <c r="M2832" s="9"/>
      <c r="W2832" s="6"/>
    </row>
    <row r="2833" spans="13:23">
      <c r="M2833" s="9"/>
      <c r="W2833" s="6"/>
    </row>
    <row r="2834" spans="13:23">
      <c r="M2834" s="9"/>
      <c r="W2834" s="6"/>
    </row>
    <row r="2835" spans="13:23">
      <c r="M2835" s="9"/>
      <c r="W2835" s="6"/>
    </row>
    <row r="2836" spans="13:23">
      <c r="M2836" s="9"/>
      <c r="W2836" s="6"/>
    </row>
    <row r="2837" spans="13:23">
      <c r="M2837" s="9"/>
      <c r="W2837" s="6"/>
    </row>
    <row r="2838" spans="13:23">
      <c r="M2838" s="9"/>
      <c r="W2838" s="6"/>
    </row>
    <row r="2839" spans="13:23">
      <c r="M2839" s="9"/>
      <c r="W2839" s="6"/>
    </row>
    <row r="2840" spans="13:23">
      <c r="M2840" s="9"/>
      <c r="W2840" s="6"/>
    </row>
    <row r="2841" spans="13:23">
      <c r="M2841" s="9"/>
      <c r="W2841" s="6"/>
    </row>
    <row r="2842" spans="13:23">
      <c r="M2842" s="9"/>
      <c r="W2842" s="6"/>
    </row>
    <row r="2843" spans="13:23">
      <c r="M2843" s="9"/>
      <c r="W2843" s="6"/>
    </row>
    <row r="2844" spans="13:23">
      <c r="M2844" s="9"/>
      <c r="W2844" s="6"/>
    </row>
    <row r="2845" spans="13:23">
      <c r="M2845" s="9"/>
      <c r="W2845" s="6"/>
    </row>
    <row r="2846" spans="13:23">
      <c r="M2846" s="9"/>
      <c r="W2846" s="6"/>
    </row>
    <row r="2847" spans="13:23">
      <c r="M2847" s="9"/>
      <c r="W2847" s="6"/>
    </row>
    <row r="2848" spans="13:23">
      <c r="M2848" s="9"/>
      <c r="W2848" s="6"/>
    </row>
    <row r="2849" spans="13:23">
      <c r="M2849" s="9"/>
      <c r="W2849" s="6"/>
    </row>
    <row r="2850" spans="13:23">
      <c r="M2850" s="9"/>
      <c r="W2850" s="6"/>
    </row>
    <row r="2851" spans="13:23">
      <c r="M2851" s="9"/>
      <c r="W2851" s="6"/>
    </row>
    <row r="2852" spans="13:23">
      <c r="M2852" s="9"/>
      <c r="W2852" s="6"/>
    </row>
    <row r="2853" spans="13:23">
      <c r="M2853" s="9"/>
      <c r="W2853" s="6"/>
    </row>
    <row r="2854" spans="13:23">
      <c r="M2854" s="9"/>
      <c r="W2854" s="6"/>
    </row>
    <row r="2855" spans="13:23">
      <c r="M2855" s="9"/>
      <c r="W2855" s="6"/>
    </row>
    <row r="2856" spans="13:23">
      <c r="M2856" s="9"/>
      <c r="W2856" s="6"/>
    </row>
    <row r="2857" spans="13:23">
      <c r="M2857" s="9"/>
      <c r="W2857" s="6"/>
    </row>
    <row r="2858" spans="13:23">
      <c r="M2858" s="9"/>
      <c r="W2858" s="6"/>
    </row>
    <row r="2859" spans="13:23">
      <c r="M2859" s="9"/>
      <c r="W2859" s="6"/>
    </row>
    <row r="2860" spans="13:23">
      <c r="M2860" s="9"/>
      <c r="W2860" s="6"/>
    </row>
    <row r="2861" spans="13:23">
      <c r="M2861" s="9"/>
      <c r="W2861" s="6"/>
    </row>
    <row r="2862" spans="13:23">
      <c r="M2862" s="9"/>
      <c r="W2862" s="6"/>
    </row>
    <row r="2863" spans="13:23">
      <c r="M2863" s="9"/>
      <c r="W2863" s="6"/>
    </row>
    <row r="2864" spans="13:23">
      <c r="M2864" s="9"/>
      <c r="W2864" s="6"/>
    </row>
    <row r="2865" spans="13:23">
      <c r="M2865" s="9"/>
      <c r="W2865" s="6"/>
    </row>
    <row r="2866" spans="13:23">
      <c r="M2866" s="9"/>
      <c r="W2866" s="6"/>
    </row>
    <row r="2867" spans="13:23">
      <c r="M2867" s="9"/>
      <c r="W2867" s="6"/>
    </row>
    <row r="2868" spans="13:23">
      <c r="M2868" s="9"/>
      <c r="W2868" s="6"/>
    </row>
    <row r="2869" spans="13:23">
      <c r="M2869" s="9"/>
      <c r="W2869" s="6"/>
    </row>
    <row r="2870" spans="13:23">
      <c r="M2870" s="9"/>
      <c r="W2870" s="6"/>
    </row>
    <row r="2871" spans="13:23">
      <c r="M2871" s="9"/>
      <c r="W2871" s="6"/>
    </row>
    <row r="2872" spans="13:23">
      <c r="M2872" s="9"/>
      <c r="W2872" s="6"/>
    </row>
    <row r="2873" spans="13:23">
      <c r="M2873" s="9"/>
      <c r="W2873" s="6"/>
    </row>
    <row r="2874" spans="13:23">
      <c r="M2874" s="9"/>
      <c r="W2874" s="6"/>
    </row>
    <row r="2875" spans="13:23">
      <c r="M2875" s="9"/>
      <c r="W2875" s="6"/>
    </row>
    <row r="2876" spans="13:23">
      <c r="M2876" s="9"/>
      <c r="W2876" s="6"/>
    </row>
    <row r="2877" spans="13:23">
      <c r="M2877" s="9"/>
      <c r="W2877" s="6"/>
    </row>
    <row r="2878" spans="13:23">
      <c r="M2878" s="9"/>
      <c r="W2878" s="6"/>
    </row>
    <row r="2879" spans="13:23">
      <c r="M2879" s="9"/>
      <c r="W2879" s="6"/>
    </row>
    <row r="2880" spans="13:23">
      <c r="M2880" s="9"/>
      <c r="W2880" s="6"/>
    </row>
    <row r="2881" spans="13:23">
      <c r="M2881" s="9"/>
      <c r="W2881" s="6"/>
    </row>
    <row r="2882" spans="13:23">
      <c r="M2882" s="9"/>
      <c r="W2882" s="6"/>
    </row>
    <row r="2883" spans="13:23">
      <c r="M2883" s="9"/>
      <c r="W2883" s="6"/>
    </row>
    <row r="2884" spans="13:23">
      <c r="M2884" s="9"/>
      <c r="W2884" s="6"/>
    </row>
    <row r="2885" spans="13:23">
      <c r="M2885" s="9"/>
      <c r="W2885" s="6"/>
    </row>
    <row r="2886" spans="13:23">
      <c r="M2886" s="9"/>
      <c r="W2886" s="6"/>
    </row>
    <row r="2887" spans="13:23">
      <c r="M2887" s="9"/>
      <c r="W2887" s="6"/>
    </row>
    <row r="2888" spans="13:23">
      <c r="M2888" s="9"/>
      <c r="W2888" s="6"/>
    </row>
    <row r="2889" spans="13:23">
      <c r="M2889" s="9"/>
      <c r="W2889" s="6"/>
    </row>
    <row r="2890" spans="13:23">
      <c r="M2890" s="9"/>
      <c r="W2890" s="6"/>
    </row>
    <row r="2891" spans="13:23">
      <c r="M2891" s="9"/>
      <c r="W2891" s="6"/>
    </row>
    <row r="2892" spans="13:23">
      <c r="M2892" s="9"/>
      <c r="W2892" s="6"/>
    </row>
    <row r="2893" spans="13:23">
      <c r="M2893" s="9"/>
      <c r="W2893" s="6"/>
    </row>
    <row r="2894" spans="13:23">
      <c r="M2894" s="9"/>
      <c r="W2894" s="6"/>
    </row>
    <row r="2895" spans="13:23">
      <c r="M2895" s="9"/>
      <c r="W2895" s="6"/>
    </row>
    <row r="2896" spans="13:23">
      <c r="M2896" s="9"/>
      <c r="W2896" s="6"/>
    </row>
    <row r="2897" spans="13:23">
      <c r="M2897" s="9"/>
      <c r="W2897" s="6"/>
    </row>
    <row r="2898" spans="13:23">
      <c r="M2898" s="9"/>
      <c r="W2898" s="6"/>
    </row>
    <row r="2899" spans="13:23">
      <c r="M2899" s="9"/>
      <c r="W2899" s="6"/>
    </row>
    <row r="2900" spans="13:23">
      <c r="M2900" s="9"/>
      <c r="W2900" s="6"/>
    </row>
    <row r="2901" spans="13:23">
      <c r="M2901" s="9"/>
      <c r="W2901" s="6"/>
    </row>
    <row r="2902" spans="13:23">
      <c r="M2902" s="9"/>
      <c r="W2902" s="6"/>
    </row>
    <row r="2903" spans="13:23">
      <c r="M2903" s="9"/>
      <c r="W2903" s="6"/>
    </row>
    <row r="2904" spans="13:23">
      <c r="M2904" s="9"/>
      <c r="W2904" s="6"/>
    </row>
    <row r="2905" spans="13:23">
      <c r="M2905" s="9"/>
      <c r="W2905" s="6"/>
    </row>
    <row r="2906" spans="13:23">
      <c r="M2906" s="9"/>
      <c r="W2906" s="6"/>
    </row>
    <row r="2907" spans="13:23">
      <c r="M2907" s="9"/>
      <c r="W2907" s="6"/>
    </row>
    <row r="2908" spans="13:23">
      <c r="M2908" s="9"/>
      <c r="W2908" s="6"/>
    </row>
    <row r="2909" spans="13:23">
      <c r="M2909" s="9"/>
      <c r="W2909" s="6"/>
    </row>
    <row r="2910" spans="13:23">
      <c r="M2910" s="9"/>
      <c r="W2910" s="6"/>
    </row>
    <row r="2911" spans="13:23">
      <c r="M2911" s="9"/>
      <c r="W2911" s="6"/>
    </row>
    <row r="2912" spans="13:23">
      <c r="M2912" s="9"/>
      <c r="W2912" s="6"/>
    </row>
    <row r="2913" spans="13:23">
      <c r="M2913" s="9"/>
      <c r="W2913" s="6"/>
    </row>
    <row r="2914" spans="13:23">
      <c r="M2914" s="9"/>
      <c r="W2914" s="6"/>
    </row>
    <row r="2915" spans="13:23">
      <c r="M2915" s="9"/>
      <c r="W2915" s="6"/>
    </row>
    <row r="2916" spans="13:23">
      <c r="M2916" s="9"/>
      <c r="W2916" s="6"/>
    </row>
    <row r="2917" spans="13:23">
      <c r="M2917" s="9"/>
      <c r="W2917" s="6"/>
    </row>
    <row r="2918" spans="13:23">
      <c r="M2918" s="9"/>
      <c r="W2918" s="6"/>
    </row>
    <row r="2919" spans="13:23">
      <c r="M2919" s="9"/>
      <c r="W2919" s="6"/>
    </row>
    <row r="2920" spans="13:23">
      <c r="M2920" s="9"/>
      <c r="W2920" s="6"/>
    </row>
    <row r="2921" spans="13:23">
      <c r="M2921" s="9"/>
      <c r="W2921" s="6"/>
    </row>
    <row r="2922" spans="13:23">
      <c r="M2922" s="9"/>
      <c r="W2922" s="6"/>
    </row>
    <row r="2923" spans="13:23">
      <c r="M2923" s="9"/>
      <c r="W2923" s="6"/>
    </row>
    <row r="2924" spans="13:23">
      <c r="M2924" s="9"/>
      <c r="W2924" s="6"/>
    </row>
    <row r="2925" spans="13:23">
      <c r="M2925" s="9"/>
      <c r="W2925" s="6"/>
    </row>
    <row r="2926" spans="13:23">
      <c r="M2926" s="9"/>
      <c r="W2926" s="6"/>
    </row>
    <row r="2927" spans="13:23">
      <c r="M2927" s="9"/>
      <c r="W2927" s="6"/>
    </row>
    <row r="2928" spans="13:23">
      <c r="M2928" s="9"/>
      <c r="W2928" s="6"/>
    </row>
    <row r="2929" spans="13:23">
      <c r="M2929" s="9"/>
      <c r="W2929" s="6"/>
    </row>
    <row r="2930" spans="13:23">
      <c r="M2930" s="9"/>
      <c r="W2930" s="6"/>
    </row>
    <row r="2931" spans="13:23">
      <c r="M2931" s="9"/>
      <c r="W2931" s="6"/>
    </row>
    <row r="2932" spans="13:23">
      <c r="M2932" s="9"/>
      <c r="W2932" s="6"/>
    </row>
    <row r="2933" spans="13:23">
      <c r="M2933" s="9"/>
      <c r="W2933" s="6"/>
    </row>
    <row r="2934" spans="13:23">
      <c r="M2934" s="9"/>
      <c r="W2934" s="6"/>
    </row>
    <row r="2935" spans="13:23">
      <c r="M2935" s="9"/>
      <c r="W2935" s="6"/>
    </row>
    <row r="2936" spans="13:23">
      <c r="M2936" s="9"/>
      <c r="W2936" s="6"/>
    </row>
    <row r="2937" spans="13:23">
      <c r="M2937" s="9"/>
      <c r="W2937" s="6"/>
    </row>
    <row r="2938" spans="13:23">
      <c r="M2938" s="9"/>
      <c r="W2938" s="6"/>
    </row>
    <row r="2939" spans="13:23">
      <c r="M2939" s="9"/>
      <c r="W2939" s="6"/>
    </row>
    <row r="2940" spans="13:23">
      <c r="M2940" s="9"/>
      <c r="W2940" s="6"/>
    </row>
    <row r="2941" spans="13:23">
      <c r="M2941" s="9"/>
      <c r="W2941" s="6"/>
    </row>
    <row r="2942" spans="13:23">
      <c r="M2942" s="9"/>
      <c r="W2942" s="6"/>
    </row>
    <row r="2943" spans="13:23">
      <c r="M2943" s="9"/>
      <c r="W2943" s="6"/>
    </row>
    <row r="2944" spans="13:23">
      <c r="M2944" s="9"/>
      <c r="W2944" s="6"/>
    </row>
    <row r="2945" spans="13:23">
      <c r="M2945" s="9"/>
      <c r="W2945" s="6"/>
    </row>
    <row r="2946" spans="13:23">
      <c r="M2946" s="9"/>
      <c r="W2946" s="6"/>
    </row>
    <row r="2947" spans="13:23">
      <c r="M2947" s="9"/>
      <c r="W2947" s="6"/>
    </row>
    <row r="2948" spans="13:23">
      <c r="M2948" s="9"/>
      <c r="W2948" s="6"/>
    </row>
    <row r="2949" spans="13:23">
      <c r="M2949" s="9"/>
      <c r="W2949" s="6"/>
    </row>
    <row r="2950" spans="13:23">
      <c r="M2950" s="9"/>
      <c r="W2950" s="6"/>
    </row>
    <row r="2951" spans="13:23">
      <c r="M2951" s="9"/>
      <c r="W2951" s="6"/>
    </row>
    <row r="2952" spans="13:23">
      <c r="M2952" s="9"/>
      <c r="W2952" s="6"/>
    </row>
    <row r="2953" spans="13:23">
      <c r="M2953" s="9"/>
      <c r="W2953" s="6"/>
    </row>
    <row r="2954" spans="13:23">
      <c r="M2954" s="9"/>
      <c r="W2954" s="6"/>
    </row>
    <row r="2955" spans="13:23">
      <c r="M2955" s="9"/>
      <c r="W2955" s="6"/>
    </row>
    <row r="2956" spans="13:23">
      <c r="M2956" s="9"/>
      <c r="W2956" s="6"/>
    </row>
    <row r="2957" spans="13:23">
      <c r="M2957" s="9"/>
      <c r="W2957" s="6"/>
    </row>
    <row r="2958" spans="13:23">
      <c r="M2958" s="9"/>
      <c r="W2958" s="6"/>
    </row>
    <row r="2959" spans="13:23">
      <c r="M2959" s="9"/>
      <c r="W2959" s="6"/>
    </row>
    <row r="2960" spans="13:23">
      <c r="M2960" s="9"/>
      <c r="W2960" s="6"/>
    </row>
    <row r="2961" spans="13:23">
      <c r="M2961" s="9"/>
      <c r="W2961" s="6"/>
    </row>
    <row r="2962" spans="13:23">
      <c r="M2962" s="9"/>
      <c r="W2962" s="6"/>
    </row>
    <row r="2963" spans="13:23">
      <c r="M2963" s="9"/>
      <c r="W2963" s="6"/>
    </row>
    <row r="2964" spans="13:23">
      <c r="M2964" s="9"/>
      <c r="W2964" s="6"/>
    </row>
    <row r="2965" spans="13:23">
      <c r="M2965" s="9"/>
      <c r="W2965" s="6"/>
    </row>
    <row r="2966" spans="13:23">
      <c r="M2966" s="9"/>
      <c r="W2966" s="6"/>
    </row>
    <row r="2967" spans="13:23">
      <c r="M2967" s="9"/>
      <c r="W2967" s="6"/>
    </row>
    <row r="2968" spans="13:23">
      <c r="M2968" s="9"/>
      <c r="W2968" s="6"/>
    </row>
    <row r="2969" spans="13:23">
      <c r="M2969" s="9"/>
      <c r="W2969" s="6"/>
    </row>
    <row r="2970" spans="13:23">
      <c r="M2970" s="9"/>
      <c r="W2970" s="6"/>
    </row>
    <row r="2971" spans="13:23">
      <c r="M2971" s="9"/>
      <c r="W2971" s="6"/>
    </row>
    <row r="2972" spans="13:23">
      <c r="M2972" s="9"/>
      <c r="W2972" s="6"/>
    </row>
    <row r="2973" spans="13:23">
      <c r="M2973" s="9"/>
      <c r="W2973" s="6"/>
    </row>
    <row r="2974" spans="13:23">
      <c r="M2974" s="9"/>
      <c r="W2974" s="6"/>
    </row>
    <row r="2975" spans="13:23">
      <c r="M2975" s="9"/>
      <c r="W2975" s="6"/>
    </row>
    <row r="2976" spans="13:23">
      <c r="M2976" s="9"/>
      <c r="W2976" s="6"/>
    </row>
    <row r="2977" spans="13:23">
      <c r="M2977" s="9"/>
      <c r="W2977" s="6"/>
    </row>
    <row r="2978" spans="13:23">
      <c r="M2978" s="9"/>
      <c r="W2978" s="6"/>
    </row>
    <row r="2979" spans="13:23">
      <c r="M2979" s="9"/>
      <c r="W2979" s="6"/>
    </row>
    <row r="2980" spans="13:23">
      <c r="M2980" s="9"/>
      <c r="W2980" s="6"/>
    </row>
    <row r="2981" spans="13:23">
      <c r="M2981" s="9"/>
      <c r="W2981" s="6"/>
    </row>
    <row r="2982" spans="13:23">
      <c r="M2982" s="9"/>
      <c r="W2982" s="6"/>
    </row>
    <row r="2983" spans="13:23">
      <c r="M2983" s="9"/>
      <c r="W2983" s="6"/>
    </row>
    <row r="2984" spans="13:23">
      <c r="M2984" s="9"/>
      <c r="W2984" s="6"/>
    </row>
    <row r="2985" spans="13:23">
      <c r="M2985" s="9"/>
      <c r="W2985" s="6"/>
    </row>
    <row r="2986" spans="13:23">
      <c r="M2986" s="9"/>
      <c r="W2986" s="6"/>
    </row>
    <row r="2987" spans="13:23">
      <c r="M2987" s="9"/>
      <c r="W2987" s="6"/>
    </row>
    <row r="2988" spans="13:23">
      <c r="M2988" s="9"/>
      <c r="W2988" s="6"/>
    </row>
    <row r="2989" spans="13:23">
      <c r="M2989" s="9"/>
      <c r="W2989" s="6"/>
    </row>
    <row r="2990" spans="13:23">
      <c r="M2990" s="9"/>
      <c r="W2990" s="6"/>
    </row>
    <row r="2991" spans="13:23">
      <c r="M2991" s="9"/>
      <c r="W2991" s="6"/>
    </row>
    <row r="2992" spans="13:23">
      <c r="M2992" s="9"/>
      <c r="W2992" s="6"/>
    </row>
    <row r="2993" spans="13:23">
      <c r="M2993" s="9"/>
      <c r="W2993" s="6"/>
    </row>
    <row r="2994" spans="13:23">
      <c r="M2994" s="9"/>
      <c r="W2994" s="6"/>
    </row>
    <row r="2995" spans="13:23">
      <c r="M2995" s="9"/>
      <c r="W2995" s="6"/>
    </row>
    <row r="2996" spans="13:23">
      <c r="M2996" s="9"/>
      <c r="W2996" s="6"/>
    </row>
    <row r="2997" spans="13:23">
      <c r="M2997" s="9"/>
      <c r="W2997" s="6"/>
    </row>
    <row r="2998" spans="13:23">
      <c r="M2998" s="9"/>
      <c r="W2998" s="6"/>
    </row>
    <row r="2999" spans="13:23">
      <c r="M2999" s="9"/>
      <c r="W2999" s="6"/>
    </row>
    <row r="3000" spans="13:23">
      <c r="M3000" s="9"/>
      <c r="W3000" s="6"/>
    </row>
    <row r="3001" spans="13:23">
      <c r="M3001" s="9"/>
      <c r="W3001" s="6"/>
    </row>
    <row r="3002" spans="13:23">
      <c r="M3002" s="9"/>
      <c r="W3002" s="6"/>
    </row>
    <row r="3003" spans="13:23">
      <c r="M3003" s="9"/>
      <c r="W3003" s="6"/>
    </row>
    <row r="3004" spans="13:23">
      <c r="M3004" s="9"/>
      <c r="W3004" s="6"/>
    </row>
    <row r="3005" spans="13:23">
      <c r="M3005" s="9"/>
      <c r="W3005" s="6"/>
    </row>
    <row r="3006" spans="13:23">
      <c r="M3006" s="9"/>
      <c r="W3006" s="6"/>
    </row>
    <row r="3007" spans="13:23">
      <c r="M3007" s="9"/>
      <c r="W3007" s="6"/>
    </row>
    <row r="3008" spans="13:23">
      <c r="M3008" s="9"/>
      <c r="W3008" s="6"/>
    </row>
    <row r="3009" spans="13:23">
      <c r="M3009" s="9"/>
      <c r="W3009" s="6"/>
    </row>
    <row r="3010" spans="13:23">
      <c r="M3010" s="9"/>
      <c r="W3010" s="6"/>
    </row>
    <row r="3011" spans="13:23">
      <c r="M3011" s="9"/>
      <c r="W3011" s="6"/>
    </row>
    <row r="3012" spans="13:23">
      <c r="M3012" s="9"/>
      <c r="W3012" s="6"/>
    </row>
    <row r="3013" spans="13:23">
      <c r="M3013" s="9"/>
      <c r="W3013" s="6"/>
    </row>
    <row r="3014" spans="13:23">
      <c r="M3014" s="9"/>
      <c r="W3014" s="6"/>
    </row>
    <row r="3015" spans="13:23">
      <c r="M3015" s="9"/>
      <c r="W3015" s="6"/>
    </row>
    <row r="3016" spans="13:23">
      <c r="M3016" s="9"/>
      <c r="W3016" s="6"/>
    </row>
    <row r="3017" spans="13:23">
      <c r="M3017" s="9"/>
      <c r="W3017" s="6"/>
    </row>
    <row r="3018" spans="13:23">
      <c r="M3018" s="9"/>
      <c r="W3018" s="6"/>
    </row>
    <row r="3019" spans="13:23">
      <c r="M3019" s="9"/>
      <c r="W3019" s="6"/>
    </row>
    <row r="3020" spans="13:23">
      <c r="M3020" s="9"/>
      <c r="W3020" s="6"/>
    </row>
    <row r="3021" spans="13:23">
      <c r="M3021" s="9"/>
      <c r="W3021" s="6"/>
    </row>
    <row r="3022" spans="13:23">
      <c r="M3022" s="9"/>
      <c r="W3022" s="6"/>
    </row>
    <row r="3023" spans="13:23">
      <c r="M3023" s="9"/>
      <c r="W3023" s="6"/>
    </row>
    <row r="3024" spans="13:23">
      <c r="M3024" s="9"/>
      <c r="W3024" s="6"/>
    </row>
    <row r="3025" spans="13:23">
      <c r="M3025" s="9"/>
      <c r="W3025" s="6"/>
    </row>
    <row r="3026" spans="13:23">
      <c r="M3026" s="9"/>
      <c r="W3026" s="6"/>
    </row>
    <row r="3027" spans="13:23">
      <c r="M3027" s="9"/>
      <c r="W3027" s="6"/>
    </row>
    <row r="3028" spans="13:23">
      <c r="M3028" s="9"/>
      <c r="W3028" s="6"/>
    </row>
    <row r="3029" spans="13:23">
      <c r="M3029" s="9"/>
      <c r="W3029" s="6"/>
    </row>
    <row r="3030" spans="13:23">
      <c r="M3030" s="9"/>
      <c r="W3030" s="6"/>
    </row>
    <row r="3031" spans="13:23">
      <c r="M3031" s="9"/>
      <c r="W3031" s="6"/>
    </row>
    <row r="3032" spans="13:23">
      <c r="M3032" s="9"/>
      <c r="W3032" s="6"/>
    </row>
    <row r="3033" spans="13:23">
      <c r="M3033" s="9"/>
      <c r="W3033" s="6"/>
    </row>
    <row r="3034" spans="13:23">
      <c r="M3034" s="9"/>
      <c r="W3034" s="6"/>
    </row>
    <row r="3035" spans="13:23">
      <c r="M3035" s="9"/>
      <c r="W3035" s="6"/>
    </row>
    <row r="3036" spans="13:23">
      <c r="M3036" s="9"/>
      <c r="W3036" s="6"/>
    </row>
    <row r="3037" spans="13:23">
      <c r="M3037" s="9"/>
      <c r="W3037" s="6"/>
    </row>
    <row r="3038" spans="13:23">
      <c r="M3038" s="9"/>
      <c r="W3038" s="6"/>
    </row>
    <row r="3039" spans="13:23">
      <c r="M3039" s="9"/>
      <c r="W3039" s="6"/>
    </row>
    <row r="3040" spans="13:23">
      <c r="M3040" s="9"/>
      <c r="W3040" s="6"/>
    </row>
    <row r="3041" spans="13:23">
      <c r="M3041" s="9"/>
      <c r="W3041" s="6"/>
    </row>
    <row r="3042" spans="13:23">
      <c r="M3042" s="9"/>
      <c r="W3042" s="6"/>
    </row>
    <row r="3043" spans="13:23">
      <c r="M3043" s="9"/>
      <c r="W3043" s="6"/>
    </row>
    <row r="3044" spans="13:23">
      <c r="M3044" s="9"/>
      <c r="W3044" s="6"/>
    </row>
    <row r="3045" spans="13:23">
      <c r="M3045" s="9"/>
      <c r="W3045" s="6"/>
    </row>
    <row r="3046" spans="13:23">
      <c r="M3046" s="9"/>
      <c r="W3046" s="6"/>
    </row>
    <row r="3047" spans="13:23">
      <c r="M3047" s="9"/>
      <c r="W3047" s="6"/>
    </row>
    <row r="3048" spans="13:23">
      <c r="M3048" s="9"/>
      <c r="W3048" s="6"/>
    </row>
    <row r="3049" spans="13:23">
      <c r="M3049" s="9"/>
      <c r="W3049" s="6"/>
    </row>
    <row r="3050" spans="13:23">
      <c r="M3050" s="9"/>
      <c r="W3050" s="6"/>
    </row>
    <row r="3051" spans="13:23">
      <c r="M3051" s="9"/>
      <c r="W3051" s="6"/>
    </row>
    <row r="3052" spans="13:23">
      <c r="M3052" s="9"/>
      <c r="W3052" s="6"/>
    </row>
    <row r="3053" spans="13:23">
      <c r="M3053" s="9"/>
      <c r="W3053" s="6"/>
    </row>
    <row r="3054" spans="13:23">
      <c r="M3054" s="9"/>
      <c r="W3054" s="6"/>
    </row>
    <row r="3055" spans="13:23">
      <c r="M3055" s="9"/>
      <c r="W3055" s="6"/>
    </row>
    <row r="3056" spans="13:23">
      <c r="M3056" s="9"/>
      <c r="W3056" s="6"/>
    </row>
    <row r="3057" spans="13:23">
      <c r="M3057" s="9"/>
      <c r="W3057" s="6"/>
    </row>
    <row r="3058" spans="13:23">
      <c r="M3058" s="9"/>
      <c r="W3058" s="6"/>
    </row>
    <row r="3059" spans="13:23">
      <c r="M3059" s="9"/>
      <c r="W3059" s="6"/>
    </row>
    <row r="3060" spans="13:23">
      <c r="M3060" s="9"/>
      <c r="W3060" s="6"/>
    </row>
    <row r="3061" spans="13:23">
      <c r="M3061" s="9"/>
      <c r="W3061" s="6"/>
    </row>
    <row r="3062" spans="13:23">
      <c r="M3062" s="9"/>
      <c r="W3062" s="6"/>
    </row>
    <row r="3063" spans="13:23">
      <c r="M3063" s="9"/>
      <c r="W3063" s="6"/>
    </row>
    <row r="3064" spans="13:23">
      <c r="M3064" s="9"/>
      <c r="W3064" s="6"/>
    </row>
    <row r="3065" spans="13:23">
      <c r="M3065" s="9"/>
      <c r="W3065" s="6"/>
    </row>
    <row r="3066" spans="13:23">
      <c r="M3066" s="9"/>
      <c r="W3066" s="6"/>
    </row>
    <row r="3067" spans="13:23">
      <c r="M3067" s="9"/>
      <c r="W3067" s="6"/>
    </row>
    <row r="3068" spans="13:23">
      <c r="M3068" s="9"/>
      <c r="W3068" s="6"/>
    </row>
    <row r="3069" spans="13:23">
      <c r="M3069" s="9"/>
      <c r="W3069" s="6"/>
    </row>
    <row r="3070" spans="13:23">
      <c r="M3070" s="9"/>
      <c r="W3070" s="6"/>
    </row>
    <row r="3071" spans="13:23">
      <c r="M3071" s="9"/>
      <c r="W3071" s="6"/>
    </row>
    <row r="3072" spans="13:23">
      <c r="M3072" s="9"/>
      <c r="W3072" s="6"/>
    </row>
    <row r="3073" spans="13:23">
      <c r="M3073" s="9"/>
      <c r="W3073" s="6"/>
    </row>
    <row r="3074" spans="13:23">
      <c r="M3074" s="9"/>
      <c r="W3074" s="6"/>
    </row>
    <row r="3075" spans="13:23">
      <c r="M3075" s="9"/>
      <c r="W3075" s="6"/>
    </row>
    <row r="3076" spans="13:23">
      <c r="M3076" s="9"/>
      <c r="W3076" s="6"/>
    </row>
    <row r="3077" spans="13:23">
      <c r="M3077" s="9"/>
      <c r="W3077" s="6"/>
    </row>
    <row r="3078" spans="13:23">
      <c r="M3078" s="9"/>
      <c r="W3078" s="6"/>
    </row>
    <row r="3079" spans="13:23">
      <c r="M3079" s="9"/>
      <c r="W3079" s="6"/>
    </row>
    <row r="3080" spans="13:23">
      <c r="M3080" s="9"/>
      <c r="W3080" s="6"/>
    </row>
    <row r="3081" spans="13:23">
      <c r="M3081" s="9"/>
      <c r="W3081" s="6"/>
    </row>
    <row r="3082" spans="13:23">
      <c r="M3082" s="9"/>
      <c r="W3082" s="6"/>
    </row>
    <row r="3083" spans="13:23">
      <c r="M3083" s="9"/>
      <c r="W3083" s="6"/>
    </row>
    <row r="3084" spans="13:23">
      <c r="M3084" s="9"/>
      <c r="W3084" s="6"/>
    </row>
    <row r="3085" spans="13:23">
      <c r="M3085" s="9"/>
      <c r="W3085" s="6"/>
    </row>
    <row r="3086" spans="13:23">
      <c r="M3086" s="9"/>
      <c r="W3086" s="6"/>
    </row>
    <row r="3087" spans="13:23">
      <c r="M3087" s="9"/>
      <c r="W3087" s="6"/>
    </row>
    <row r="3088" spans="13:23">
      <c r="M3088" s="9"/>
      <c r="W3088" s="6"/>
    </row>
    <row r="3089" spans="13:23">
      <c r="M3089" s="9"/>
      <c r="W3089" s="6"/>
    </row>
    <row r="3090" spans="13:23">
      <c r="M3090" s="9"/>
      <c r="W3090" s="6"/>
    </row>
    <row r="3091" spans="13:23">
      <c r="M3091" s="9"/>
      <c r="W3091" s="6"/>
    </row>
    <row r="3092" spans="13:23">
      <c r="M3092" s="9"/>
      <c r="W3092" s="6"/>
    </row>
    <row r="3093" spans="13:23">
      <c r="M3093" s="9"/>
      <c r="W3093" s="6"/>
    </row>
    <row r="3094" spans="13:23">
      <c r="M3094" s="9"/>
      <c r="W3094" s="6"/>
    </row>
    <row r="3095" spans="13:23">
      <c r="M3095" s="9"/>
      <c r="W3095" s="6"/>
    </row>
    <row r="3096" spans="13:23">
      <c r="M3096" s="9"/>
      <c r="W3096" s="6"/>
    </row>
    <row r="3097" spans="13:23">
      <c r="M3097" s="9"/>
      <c r="W3097" s="6"/>
    </row>
    <row r="3098" spans="13:23">
      <c r="M3098" s="9"/>
      <c r="W3098" s="6"/>
    </row>
    <row r="3099" spans="13:23">
      <c r="M3099" s="9"/>
      <c r="W3099" s="6"/>
    </row>
    <row r="3100" spans="13:23">
      <c r="M3100" s="9"/>
      <c r="W3100" s="6"/>
    </row>
    <row r="3101" spans="13:23">
      <c r="M3101" s="9"/>
      <c r="W3101" s="6"/>
    </row>
    <row r="3102" spans="13:23">
      <c r="M3102" s="9"/>
      <c r="W3102" s="6"/>
    </row>
    <row r="3103" spans="13:23">
      <c r="M3103" s="9"/>
      <c r="W3103" s="6"/>
    </row>
    <row r="3104" spans="13:23">
      <c r="M3104" s="9"/>
      <c r="W3104" s="6"/>
    </row>
    <row r="3105" spans="13:23">
      <c r="M3105" s="9"/>
      <c r="W3105" s="6"/>
    </row>
    <row r="3106" spans="13:23">
      <c r="M3106" s="9"/>
      <c r="W3106" s="6"/>
    </row>
    <row r="3107" spans="13:23">
      <c r="M3107" s="9"/>
      <c r="W3107" s="6"/>
    </row>
    <row r="3108" spans="13:23">
      <c r="M3108" s="9"/>
      <c r="W3108" s="6"/>
    </row>
    <row r="3109" spans="13:23">
      <c r="M3109" s="9"/>
      <c r="W3109" s="6"/>
    </row>
    <row r="3110" spans="13:23">
      <c r="M3110" s="9"/>
      <c r="W3110" s="6"/>
    </row>
    <row r="3111" spans="13:23">
      <c r="M3111" s="9"/>
      <c r="W3111" s="6"/>
    </row>
    <row r="3112" spans="13:23">
      <c r="M3112" s="9"/>
      <c r="W3112" s="6"/>
    </row>
    <row r="3113" spans="13:23">
      <c r="M3113" s="9"/>
      <c r="W3113" s="6"/>
    </row>
    <row r="3114" spans="13:23">
      <c r="M3114" s="9"/>
      <c r="W3114" s="6"/>
    </row>
    <row r="3115" spans="13:23">
      <c r="M3115" s="9"/>
      <c r="W3115" s="6"/>
    </row>
    <row r="3116" spans="13:23">
      <c r="M3116" s="9"/>
      <c r="W3116" s="6"/>
    </row>
    <row r="3117" spans="13:23">
      <c r="M3117" s="9"/>
      <c r="W3117" s="6"/>
    </row>
    <row r="3118" spans="13:23">
      <c r="M3118" s="9"/>
      <c r="W3118" s="6"/>
    </row>
    <row r="3119" spans="13:23">
      <c r="M3119" s="9"/>
      <c r="W3119" s="6"/>
    </row>
    <row r="3120" spans="13:23">
      <c r="M3120" s="9"/>
      <c r="W3120" s="6"/>
    </row>
    <row r="3121" spans="9:23">
      <c r="M3121" s="9"/>
      <c r="W3121" s="6"/>
    </row>
    <row r="3122" spans="9:23">
      <c r="M3122" s="9"/>
      <c r="W3122" s="6"/>
    </row>
    <row r="3123" spans="9:23">
      <c r="M3123" s="9"/>
      <c r="W3123" s="6"/>
    </row>
    <row r="3124" spans="9:23">
      <c r="I3124" s="7"/>
      <c r="M3124" s="9"/>
      <c r="O3124" s="7"/>
      <c r="W3124" s="6"/>
    </row>
    <row r="3125" spans="9:23">
      <c r="M3125" s="9"/>
      <c r="W3125" s="6"/>
    </row>
    <row r="3126" spans="9:23">
      <c r="M3126" s="9"/>
      <c r="W3126" s="6"/>
    </row>
    <row r="3127" spans="9:23">
      <c r="M3127" s="9"/>
      <c r="W3127" s="6"/>
    </row>
    <row r="3128" spans="9:23">
      <c r="M3128" s="9"/>
      <c r="W3128" s="6"/>
    </row>
    <row r="3129" spans="9:23">
      <c r="M3129" s="9"/>
      <c r="W3129" s="6"/>
    </row>
    <row r="3130" spans="9:23">
      <c r="M3130" s="9"/>
      <c r="W3130" s="6"/>
    </row>
    <row r="3131" spans="9:23">
      <c r="M3131" s="9"/>
      <c r="W3131" s="6"/>
    </row>
    <row r="3132" spans="9:23">
      <c r="M3132" s="9"/>
      <c r="W3132" s="6"/>
    </row>
    <row r="3133" spans="9:23">
      <c r="M3133" s="9"/>
      <c r="N3133" s="8"/>
      <c r="O3133" s="8"/>
      <c r="W3133" s="6"/>
    </row>
    <row r="3134" spans="9:23">
      <c r="M3134" s="9"/>
      <c r="W3134" s="6"/>
    </row>
    <row r="3135" spans="9:23">
      <c r="M3135" s="9"/>
      <c r="W3135" s="6"/>
    </row>
    <row r="3136" spans="9:23">
      <c r="M3136" s="9"/>
      <c r="W3136" s="6"/>
    </row>
    <row r="3137" spans="9:23">
      <c r="M3137" s="9"/>
      <c r="W3137" s="6"/>
    </row>
    <row r="3138" spans="9:23">
      <c r="M3138" s="9"/>
      <c r="W3138" s="6"/>
    </row>
    <row r="3139" spans="9:23">
      <c r="I3139" s="7"/>
      <c r="M3139" s="9"/>
      <c r="O3139" s="7"/>
      <c r="W3139" s="6"/>
    </row>
    <row r="3140" spans="9:23">
      <c r="M3140" s="9"/>
      <c r="W3140" s="6"/>
    </row>
    <row r="3141" spans="9:23">
      <c r="M3141" s="9"/>
      <c r="W3141" s="6"/>
    </row>
    <row r="3142" spans="9:23">
      <c r="M3142" s="9"/>
      <c r="W3142" s="6"/>
    </row>
    <row r="3143" spans="9:23">
      <c r="M3143" s="9"/>
      <c r="W3143" s="6"/>
    </row>
    <row r="3144" spans="9:23">
      <c r="M3144" s="9"/>
      <c r="W3144" s="6"/>
    </row>
    <row r="3145" spans="9:23">
      <c r="M3145" s="9"/>
      <c r="W3145" s="6"/>
    </row>
    <row r="3146" spans="9:23">
      <c r="M3146" s="9"/>
      <c r="W3146" s="6"/>
    </row>
    <row r="3147" spans="9:23">
      <c r="M3147" s="9"/>
      <c r="W3147" s="6"/>
    </row>
    <row r="3148" spans="9:23">
      <c r="M3148" s="9"/>
      <c r="W3148" s="6"/>
    </row>
    <row r="3149" spans="9:23">
      <c r="M3149" s="9"/>
      <c r="W3149" s="6"/>
    </row>
    <row r="3150" spans="9:23">
      <c r="M3150" s="9"/>
      <c r="W3150" s="6"/>
    </row>
    <row r="3151" spans="9:23">
      <c r="M3151" s="9"/>
      <c r="W3151" s="6"/>
    </row>
    <row r="3152" spans="9:23">
      <c r="M3152" s="9"/>
      <c r="W3152" s="6"/>
    </row>
    <row r="3153" spans="13:23">
      <c r="M3153" s="9"/>
      <c r="W3153" s="6"/>
    </row>
    <row r="3154" spans="13:23">
      <c r="M3154" s="9"/>
      <c r="W3154" s="6"/>
    </row>
    <row r="3155" spans="13:23">
      <c r="M3155" s="9"/>
      <c r="W3155" s="6"/>
    </row>
    <row r="3156" spans="13:23">
      <c r="M3156" s="9"/>
      <c r="W3156" s="6"/>
    </row>
    <row r="3157" spans="13:23">
      <c r="M3157" s="9"/>
      <c r="W3157" s="6"/>
    </row>
    <row r="3158" spans="13:23">
      <c r="M3158" s="9"/>
      <c r="W3158" s="6"/>
    </row>
    <row r="3159" spans="13:23">
      <c r="M3159" s="9"/>
      <c r="W3159" s="6"/>
    </row>
    <row r="3160" spans="13:23">
      <c r="M3160" s="9"/>
      <c r="W3160" s="6"/>
    </row>
    <row r="3161" spans="13:23">
      <c r="M3161" s="9"/>
      <c r="W3161" s="6"/>
    </row>
    <row r="3162" spans="13:23">
      <c r="M3162" s="9"/>
      <c r="W3162" s="6"/>
    </row>
    <row r="3163" spans="13:23">
      <c r="M3163" s="9"/>
      <c r="W3163" s="6"/>
    </row>
    <row r="3164" spans="13:23">
      <c r="M3164" s="9"/>
      <c r="W3164" s="6"/>
    </row>
    <row r="3165" spans="13:23">
      <c r="M3165" s="9"/>
      <c r="W3165" s="6"/>
    </row>
    <row r="3166" spans="13:23">
      <c r="M3166" s="9"/>
      <c r="W3166" s="6"/>
    </row>
    <row r="3167" spans="13:23">
      <c r="M3167" s="9"/>
      <c r="W3167" s="6"/>
    </row>
    <row r="3168" spans="13:23">
      <c r="M3168" s="9"/>
      <c r="W3168" s="6"/>
    </row>
    <row r="3169" spans="13:23">
      <c r="M3169" s="9"/>
      <c r="W3169" s="6"/>
    </row>
    <row r="3170" spans="13:23">
      <c r="M3170" s="9"/>
      <c r="W3170" s="6"/>
    </row>
    <row r="3171" spans="13:23">
      <c r="M3171" s="9"/>
      <c r="W3171" s="6"/>
    </row>
    <row r="3172" spans="13:23">
      <c r="M3172" s="9"/>
      <c r="W3172" s="6"/>
    </row>
    <row r="3173" spans="13:23">
      <c r="M3173" s="9"/>
      <c r="W3173" s="6"/>
    </row>
    <row r="3174" spans="13:23">
      <c r="M3174" s="9"/>
      <c r="W3174" s="6"/>
    </row>
    <row r="3175" spans="13:23">
      <c r="M3175" s="9"/>
      <c r="W3175" s="6"/>
    </row>
    <row r="3176" spans="13:23">
      <c r="M3176" s="9"/>
      <c r="W3176" s="6"/>
    </row>
    <row r="3177" spans="13:23">
      <c r="M3177" s="9"/>
      <c r="W3177" s="6"/>
    </row>
    <row r="3178" spans="13:23">
      <c r="M3178" s="9"/>
      <c r="W3178" s="6"/>
    </row>
    <row r="3179" spans="13:23">
      <c r="M3179" s="9"/>
      <c r="W3179" s="6"/>
    </row>
    <row r="3180" spans="13:23">
      <c r="M3180" s="9"/>
      <c r="W3180" s="6"/>
    </row>
    <row r="3181" spans="13:23">
      <c r="M3181" s="9"/>
      <c r="W3181" s="6"/>
    </row>
    <row r="3182" spans="13:23">
      <c r="M3182" s="9"/>
      <c r="W3182" s="6"/>
    </row>
    <row r="3183" spans="13:23">
      <c r="M3183" s="9"/>
      <c r="W3183" s="6"/>
    </row>
    <row r="3184" spans="13:23">
      <c r="M3184" s="9"/>
      <c r="W3184" s="6"/>
    </row>
    <row r="3185" spans="13:23">
      <c r="M3185" s="9"/>
      <c r="W3185" s="6"/>
    </row>
    <row r="3186" spans="13:23">
      <c r="M3186" s="9"/>
      <c r="W3186" s="6"/>
    </row>
    <row r="3187" spans="13:23">
      <c r="M3187" s="9"/>
      <c r="W3187" s="6"/>
    </row>
    <row r="3188" spans="13:23">
      <c r="M3188" s="9"/>
      <c r="W3188" s="6"/>
    </row>
    <row r="3189" spans="13:23">
      <c r="M3189" s="9"/>
      <c r="W3189" s="6"/>
    </row>
    <row r="3190" spans="13:23">
      <c r="M3190" s="9"/>
      <c r="W3190" s="6"/>
    </row>
    <row r="3191" spans="13:23">
      <c r="M3191" s="9"/>
      <c r="W3191" s="6"/>
    </row>
    <row r="3192" spans="13:23">
      <c r="M3192" s="9"/>
      <c r="W3192" s="6"/>
    </row>
    <row r="3193" spans="13:23">
      <c r="M3193" s="9"/>
      <c r="W3193" s="6"/>
    </row>
    <row r="3194" spans="13:23">
      <c r="M3194" s="9"/>
      <c r="W3194" s="6"/>
    </row>
    <row r="3195" spans="13:23">
      <c r="M3195" s="9"/>
      <c r="W3195" s="6"/>
    </row>
    <row r="3196" spans="13:23">
      <c r="M3196" s="9"/>
      <c r="W3196" s="6"/>
    </row>
    <row r="3197" spans="13:23">
      <c r="M3197" s="9"/>
      <c r="W3197" s="6"/>
    </row>
    <row r="3198" spans="13:23">
      <c r="M3198" s="9"/>
      <c r="W3198" s="6"/>
    </row>
    <row r="3199" spans="13:23">
      <c r="M3199" s="9"/>
      <c r="W3199" s="6"/>
    </row>
    <row r="3200" spans="13:23">
      <c r="M3200" s="9"/>
      <c r="W3200" s="6"/>
    </row>
    <row r="3201" spans="13:23">
      <c r="M3201" s="9"/>
      <c r="W3201" s="6"/>
    </row>
    <row r="3202" spans="13:23">
      <c r="M3202" s="9"/>
      <c r="W3202" s="6"/>
    </row>
    <row r="3203" spans="13:23">
      <c r="M3203" s="9"/>
      <c r="W3203" s="6"/>
    </row>
    <row r="3204" spans="13:23">
      <c r="M3204" s="9"/>
      <c r="W3204" s="6"/>
    </row>
    <row r="3205" spans="13:23">
      <c r="M3205" s="9"/>
      <c r="W3205" s="6"/>
    </row>
    <row r="3206" spans="13:23">
      <c r="M3206" s="9"/>
      <c r="W3206" s="6"/>
    </row>
    <row r="3207" spans="13:23">
      <c r="M3207" s="9"/>
      <c r="W3207" s="6"/>
    </row>
    <row r="3208" spans="13:23">
      <c r="M3208" s="9"/>
      <c r="W3208" s="6"/>
    </row>
    <row r="3209" spans="13:23">
      <c r="M3209" s="9"/>
      <c r="W3209" s="6"/>
    </row>
    <row r="3210" spans="13:23">
      <c r="M3210" s="9"/>
      <c r="W3210" s="6"/>
    </row>
    <row r="3211" spans="13:23">
      <c r="M3211" s="9"/>
      <c r="W3211" s="6"/>
    </row>
    <row r="3212" spans="13:23">
      <c r="M3212" s="9"/>
      <c r="W3212" s="6"/>
    </row>
    <row r="3213" spans="13:23">
      <c r="M3213" s="9"/>
      <c r="W3213" s="6"/>
    </row>
    <row r="3214" spans="13:23">
      <c r="M3214" s="9"/>
      <c r="W3214" s="6"/>
    </row>
    <row r="3215" spans="13:23">
      <c r="M3215" s="9"/>
      <c r="W3215" s="6"/>
    </row>
    <row r="3216" spans="13:23">
      <c r="M3216" s="9"/>
      <c r="W3216" s="6"/>
    </row>
    <row r="3217" spans="13:23">
      <c r="M3217" s="9"/>
      <c r="W3217" s="6"/>
    </row>
    <row r="3250" spans="25:27" s="5" customFormat="1">
      <c r="Y3250" s="1"/>
      <c r="Z3250" s="1"/>
      <c r="AA3250" s="1"/>
    </row>
    <row r="3257" spans="25:27" s="5" customFormat="1">
      <c r="Y3257" s="1"/>
      <c r="Z3257" s="1"/>
      <c r="AA3257" s="1"/>
    </row>
  </sheetData>
  <dataConsolidate link="1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57"/>
  <sheetViews>
    <sheetView workbookViewId="0">
      <selection activeCell="F14" sqref="F14"/>
    </sheetView>
  </sheetViews>
  <sheetFormatPr defaultRowHeight="16.5"/>
  <cols>
    <col min="1" max="1" width="9.25" style="1" bestFit="1" customWidth="1"/>
    <col min="2" max="3" width="17.875" style="1" customWidth="1"/>
    <col min="4" max="4" width="18.875" style="1" customWidth="1"/>
    <col min="5" max="5" width="34.625" style="1" bestFit="1" customWidth="1"/>
    <col min="6" max="6" width="23.875" style="1" bestFit="1" customWidth="1"/>
    <col min="7" max="7" width="17.125" style="1" customWidth="1"/>
    <col min="8" max="9" width="15" style="1" customWidth="1"/>
    <col min="10" max="10" width="16.5" style="1" customWidth="1"/>
    <col min="11" max="11" width="20.625" style="1" customWidth="1"/>
    <col min="12" max="13" width="15.875" style="1" customWidth="1"/>
    <col min="14" max="15" width="10.75" style="1" customWidth="1"/>
    <col min="16" max="16" width="12.375" style="1" customWidth="1"/>
    <col min="17" max="17" width="15.125" style="1" customWidth="1"/>
    <col min="18" max="18" width="13.125" style="1" customWidth="1"/>
    <col min="19" max="19" width="16.625" style="1" bestFit="1" customWidth="1"/>
    <col min="20" max="20" width="16.625" style="1" customWidth="1"/>
    <col min="21" max="21" width="16.5" style="1" customWidth="1"/>
    <col min="22" max="22" width="14.875" style="1" customWidth="1"/>
    <col min="23" max="23" width="15.125" style="1" customWidth="1"/>
    <col min="24" max="24" width="19.375" style="1" customWidth="1"/>
    <col min="25" max="27" width="19.75" style="1" customWidth="1"/>
    <col min="28" max="28" width="15.375" style="1" customWidth="1"/>
    <col min="29" max="29" width="19.375" style="1" bestFit="1" customWidth="1"/>
    <col min="30" max="30" width="17.75" style="1" customWidth="1"/>
    <col min="31" max="16384" width="9" style="1"/>
  </cols>
  <sheetData>
    <row r="1" spans="1:28" ht="57" customHeight="1">
      <c r="A1" s="2" t="s">
        <v>0</v>
      </c>
      <c r="B1" s="2" t="s">
        <v>1</v>
      </c>
      <c r="C1" s="2" t="s">
        <v>22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23</v>
      </c>
      <c r="K1" s="2" t="s">
        <v>7</v>
      </c>
      <c r="L1" s="2" t="s">
        <v>8</v>
      </c>
      <c r="M1" s="2" t="s">
        <v>9</v>
      </c>
      <c r="N1" s="2" t="s">
        <v>21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24</v>
      </c>
      <c r="AA1" s="3" t="s">
        <v>25</v>
      </c>
      <c r="AB1" s="3"/>
    </row>
    <row r="2" spans="1:28">
      <c r="B2" s="11">
        <v>73001</v>
      </c>
      <c r="D2" s="4" t="s">
        <v>26</v>
      </c>
      <c r="E2" s="4" t="s">
        <v>27</v>
      </c>
      <c r="F2" s="11" t="s">
        <v>28</v>
      </c>
      <c r="M2" s="9"/>
      <c r="W2" s="12">
        <v>33730</v>
      </c>
      <c r="AA2" s="11">
        <v>11010000</v>
      </c>
    </row>
    <row r="3" spans="1:28">
      <c r="B3" s="11">
        <v>73001</v>
      </c>
      <c r="D3" s="4" t="s">
        <v>26</v>
      </c>
      <c r="E3" s="4" t="s">
        <v>29</v>
      </c>
      <c r="F3" s="11" t="s">
        <v>30</v>
      </c>
      <c r="M3" s="9"/>
      <c r="W3" s="12">
        <v>128205.13</v>
      </c>
      <c r="AA3" s="11">
        <v>11010000</v>
      </c>
    </row>
    <row r="4" spans="1:28">
      <c r="B4" s="11">
        <v>73001</v>
      </c>
      <c r="D4" s="4" t="s">
        <v>26</v>
      </c>
      <c r="E4" s="4" t="s">
        <v>31</v>
      </c>
      <c r="F4" s="11" t="s">
        <v>32</v>
      </c>
      <c r="M4" s="9"/>
      <c r="W4" s="12">
        <v>410256.41000000003</v>
      </c>
      <c r="AA4" s="11">
        <v>11010000</v>
      </c>
    </row>
    <row r="5" spans="1:28">
      <c r="B5" s="11">
        <v>73001</v>
      </c>
      <c r="D5" s="4" t="s">
        <v>26</v>
      </c>
      <c r="E5" s="4" t="s">
        <v>33</v>
      </c>
      <c r="F5" s="11" t="s">
        <v>34</v>
      </c>
      <c r="M5" s="9"/>
      <c r="W5" s="12">
        <v>328205.13</v>
      </c>
      <c r="AA5" s="11">
        <v>11010000</v>
      </c>
    </row>
    <row r="6" spans="1:28">
      <c r="B6" s="11">
        <v>73001</v>
      </c>
      <c r="D6" s="4" t="s">
        <v>26</v>
      </c>
      <c r="E6" s="4" t="s">
        <v>35</v>
      </c>
      <c r="F6" s="11" t="s">
        <v>36</v>
      </c>
      <c r="M6" s="9"/>
      <c r="W6" s="12">
        <v>17100</v>
      </c>
      <c r="AA6" s="11">
        <v>11010000</v>
      </c>
    </row>
    <row r="7" spans="1:28">
      <c r="B7" s="11">
        <v>73001</v>
      </c>
      <c r="D7" s="4" t="s">
        <v>26</v>
      </c>
      <c r="E7" s="4" t="s">
        <v>35</v>
      </c>
      <c r="F7" s="11" t="s">
        <v>36</v>
      </c>
      <c r="M7" s="9"/>
      <c r="W7" s="12">
        <v>11400</v>
      </c>
      <c r="AA7" s="11">
        <v>11010000</v>
      </c>
    </row>
    <row r="8" spans="1:28">
      <c r="B8" s="11">
        <v>73001</v>
      </c>
      <c r="D8" s="4" t="s">
        <v>26</v>
      </c>
      <c r="E8" s="4" t="s">
        <v>29</v>
      </c>
      <c r="F8" s="11" t="s">
        <v>37</v>
      </c>
      <c r="M8" s="9"/>
      <c r="W8" s="12">
        <v>50000</v>
      </c>
      <c r="AA8" s="11">
        <v>11010000</v>
      </c>
    </row>
    <row r="9" spans="1:28">
      <c r="B9" s="11">
        <v>73001</v>
      </c>
      <c r="D9" s="4" t="s">
        <v>26</v>
      </c>
      <c r="E9" s="4" t="s">
        <v>38</v>
      </c>
      <c r="F9" s="11" t="s">
        <v>39</v>
      </c>
      <c r="M9" s="9"/>
      <c r="W9" s="12">
        <v>325500</v>
      </c>
      <c r="AA9" s="11">
        <v>11010000</v>
      </c>
    </row>
    <row r="10" spans="1:28">
      <c r="B10" s="11">
        <v>73001</v>
      </c>
      <c r="D10" s="4" t="s">
        <v>26</v>
      </c>
      <c r="E10" s="4" t="s">
        <v>40</v>
      </c>
      <c r="F10" s="11" t="s">
        <v>41</v>
      </c>
      <c r="M10" s="9"/>
      <c r="W10" s="12">
        <v>6999</v>
      </c>
      <c r="AA10" s="11">
        <v>11010000</v>
      </c>
    </row>
    <row r="11" spans="1:28">
      <c r="B11" s="11">
        <v>73001</v>
      </c>
      <c r="D11" s="4" t="s">
        <v>26</v>
      </c>
      <c r="E11" s="4" t="s">
        <v>42</v>
      </c>
      <c r="F11" s="11" t="s">
        <v>43</v>
      </c>
      <c r="M11" s="9"/>
      <c r="W11" s="12">
        <v>6865.09</v>
      </c>
      <c r="AA11" s="11">
        <v>11010000</v>
      </c>
    </row>
    <row r="12" spans="1:28">
      <c r="B12" s="11">
        <v>73001</v>
      </c>
      <c r="D12" s="4" t="s">
        <v>26</v>
      </c>
      <c r="E12" s="4" t="s">
        <v>44</v>
      </c>
      <c r="F12" s="11" t="s">
        <v>45</v>
      </c>
      <c r="M12" s="9"/>
      <c r="W12" s="12">
        <v>26228.87</v>
      </c>
      <c r="AA12" s="11">
        <v>11010000</v>
      </c>
    </row>
    <row r="13" spans="1:28">
      <c r="B13" s="11">
        <v>73001</v>
      </c>
      <c r="D13" s="4" t="s">
        <v>26</v>
      </c>
      <c r="E13" s="4" t="s">
        <v>46</v>
      </c>
      <c r="F13" s="11" t="s">
        <v>47</v>
      </c>
      <c r="M13" s="9"/>
      <c r="W13" s="12">
        <v>12350</v>
      </c>
      <c r="AA13" s="11">
        <v>11010000</v>
      </c>
    </row>
    <row r="14" spans="1:28">
      <c r="B14" s="11">
        <v>73001</v>
      </c>
      <c r="D14" s="4" t="s">
        <v>26</v>
      </c>
      <c r="E14" s="4" t="s">
        <v>48</v>
      </c>
      <c r="F14" s="11" t="s">
        <v>49</v>
      </c>
      <c r="M14" s="9"/>
      <c r="W14" s="12">
        <v>4845</v>
      </c>
      <c r="AA14" s="11">
        <v>11010000</v>
      </c>
    </row>
    <row r="15" spans="1:28">
      <c r="B15" s="11">
        <v>73001</v>
      </c>
      <c r="D15" s="4" t="s">
        <v>26</v>
      </c>
      <c r="E15" s="4" t="s">
        <v>50</v>
      </c>
      <c r="F15" s="11" t="s">
        <v>51</v>
      </c>
      <c r="M15" s="9"/>
      <c r="W15" s="12">
        <v>40764</v>
      </c>
      <c r="AA15" s="11">
        <v>11010000</v>
      </c>
    </row>
    <row r="16" spans="1:28">
      <c r="B16" s="11">
        <v>73001</v>
      </c>
      <c r="D16" s="4" t="s">
        <v>26</v>
      </c>
      <c r="E16" s="4" t="s">
        <v>52</v>
      </c>
      <c r="F16" s="11" t="s">
        <v>53</v>
      </c>
      <c r="M16" s="9"/>
      <c r="W16" s="12">
        <v>10949</v>
      </c>
      <c r="AA16" s="11">
        <v>11010000</v>
      </c>
    </row>
    <row r="17" spans="2:27">
      <c r="B17" s="11">
        <v>73001</v>
      </c>
      <c r="D17" s="4" t="s">
        <v>26</v>
      </c>
      <c r="E17" s="4" t="s">
        <v>54</v>
      </c>
      <c r="F17" s="11" t="s">
        <v>55</v>
      </c>
      <c r="M17" s="9"/>
      <c r="W17" s="12">
        <v>16069.1</v>
      </c>
      <c r="AA17" s="11">
        <v>11010000</v>
      </c>
    </row>
    <row r="18" spans="2:27">
      <c r="B18" s="11">
        <v>73001</v>
      </c>
      <c r="D18" s="4" t="s">
        <v>26</v>
      </c>
      <c r="E18" s="4" t="s">
        <v>56</v>
      </c>
      <c r="F18" s="11" t="s">
        <v>57</v>
      </c>
      <c r="M18" s="9"/>
      <c r="W18" s="12">
        <v>8193</v>
      </c>
      <c r="AA18" s="11">
        <v>11010000</v>
      </c>
    </row>
    <row r="19" spans="2:27">
      <c r="B19" s="11">
        <v>73001</v>
      </c>
      <c r="D19" s="4" t="s">
        <v>26</v>
      </c>
      <c r="E19" s="4" t="s">
        <v>58</v>
      </c>
      <c r="F19" s="11" t="s">
        <v>59</v>
      </c>
      <c r="M19" s="9"/>
      <c r="W19" s="12">
        <v>65000</v>
      </c>
      <c r="AA19" s="11">
        <v>11010000</v>
      </c>
    </row>
    <row r="20" spans="2:27">
      <c r="B20" s="11">
        <v>73001</v>
      </c>
      <c r="D20" s="4" t="s">
        <v>26</v>
      </c>
      <c r="E20" s="4" t="s">
        <v>60</v>
      </c>
      <c r="F20" s="11" t="s">
        <v>61</v>
      </c>
      <c r="M20" s="9"/>
      <c r="W20" s="12">
        <v>-1008.37</v>
      </c>
      <c r="AA20" s="11">
        <v>11010000</v>
      </c>
    </row>
    <row r="21" spans="2:27">
      <c r="B21" s="11">
        <v>73001</v>
      </c>
      <c r="D21" s="4" t="s">
        <v>26</v>
      </c>
      <c r="E21" s="4" t="s">
        <v>60</v>
      </c>
      <c r="F21" s="11" t="s">
        <v>61</v>
      </c>
      <c r="M21" s="9"/>
      <c r="W21" s="12">
        <v>-1008.37</v>
      </c>
      <c r="AA21" s="11">
        <v>11010000</v>
      </c>
    </row>
    <row r="22" spans="2:27">
      <c r="B22" s="11">
        <v>73001</v>
      </c>
      <c r="D22" s="4" t="s">
        <v>26</v>
      </c>
      <c r="E22" s="4" t="s">
        <v>60</v>
      </c>
      <c r="F22" s="11" t="s">
        <v>61</v>
      </c>
      <c r="M22" s="9"/>
      <c r="W22" s="12">
        <v>-1008.37</v>
      </c>
      <c r="AA22" s="11">
        <v>11010000</v>
      </c>
    </row>
    <row r="23" spans="2:27">
      <c r="B23" s="11">
        <v>73001</v>
      </c>
      <c r="D23" s="4" t="s">
        <v>26</v>
      </c>
      <c r="E23" s="4" t="s">
        <v>60</v>
      </c>
      <c r="F23" s="11" t="s">
        <v>61</v>
      </c>
      <c r="M23" s="9"/>
      <c r="W23" s="12">
        <v>-1008.38</v>
      </c>
      <c r="AA23" s="11">
        <v>11010000</v>
      </c>
    </row>
    <row r="24" spans="2:27">
      <c r="B24" s="11">
        <v>73001</v>
      </c>
      <c r="D24" s="4" t="s">
        <v>26</v>
      </c>
      <c r="E24" s="4" t="s">
        <v>60</v>
      </c>
      <c r="F24" s="11" t="s">
        <v>61</v>
      </c>
      <c r="M24" s="9"/>
      <c r="W24" s="12">
        <v>-1008.38</v>
      </c>
      <c r="AA24" s="11">
        <v>11010000</v>
      </c>
    </row>
    <row r="25" spans="2:27">
      <c r="B25" s="11">
        <v>73001</v>
      </c>
      <c r="D25" s="4" t="s">
        <v>26</v>
      </c>
      <c r="E25" s="4" t="s">
        <v>60</v>
      </c>
      <c r="F25" s="11" t="s">
        <v>61</v>
      </c>
      <c r="M25" s="9"/>
      <c r="W25" s="12">
        <v>-1008.38</v>
      </c>
      <c r="AA25" s="11">
        <v>11010000</v>
      </c>
    </row>
    <row r="26" spans="2:27">
      <c r="B26" s="11">
        <v>73001</v>
      </c>
      <c r="D26" s="4" t="s">
        <v>26</v>
      </c>
      <c r="E26" s="4" t="s">
        <v>60</v>
      </c>
      <c r="F26" s="11" t="s">
        <v>61</v>
      </c>
      <c r="M26" s="9"/>
      <c r="W26" s="12">
        <v>-1008.38</v>
      </c>
      <c r="AA26" s="11">
        <v>11010000</v>
      </c>
    </row>
    <row r="27" spans="2:27">
      <c r="B27" s="11">
        <v>73001</v>
      </c>
      <c r="D27" s="4" t="s">
        <v>26</v>
      </c>
      <c r="E27" s="4" t="s">
        <v>62</v>
      </c>
      <c r="F27" s="11" t="s">
        <v>63</v>
      </c>
      <c r="M27" s="9"/>
      <c r="W27" s="12">
        <v>-31170.68</v>
      </c>
      <c r="AA27" s="11">
        <v>11010000</v>
      </c>
    </row>
    <row r="28" spans="2:27">
      <c r="B28" s="11">
        <v>73001</v>
      </c>
      <c r="D28" s="4" t="s">
        <v>26</v>
      </c>
      <c r="E28" s="4" t="s">
        <v>64</v>
      </c>
      <c r="F28" s="11" t="s">
        <v>65</v>
      </c>
      <c r="M28" s="9"/>
      <c r="W28" s="12">
        <v>-1248.1199999999999</v>
      </c>
      <c r="AA28" s="11">
        <v>11010000</v>
      </c>
    </row>
    <row r="29" spans="2:27">
      <c r="B29" s="11">
        <v>73001</v>
      </c>
      <c r="D29" s="4" t="s">
        <v>26</v>
      </c>
      <c r="E29" s="4" t="s">
        <v>66</v>
      </c>
      <c r="F29" s="11" t="s">
        <v>67</v>
      </c>
      <c r="M29" s="9"/>
      <c r="W29" s="12">
        <v>-3205.3</v>
      </c>
      <c r="AA29" s="11">
        <v>11010000</v>
      </c>
    </row>
    <row r="30" spans="2:27">
      <c r="B30" s="11">
        <v>73001</v>
      </c>
      <c r="D30" s="4" t="s">
        <v>26</v>
      </c>
      <c r="E30" s="4" t="s">
        <v>68</v>
      </c>
      <c r="F30" s="11" t="s">
        <v>69</v>
      </c>
      <c r="M30" s="9"/>
      <c r="W30" s="12">
        <v>-1861.28</v>
      </c>
      <c r="AA30" s="11">
        <v>11010000</v>
      </c>
    </row>
    <row r="31" spans="2:27">
      <c r="B31" s="11">
        <v>73001</v>
      </c>
      <c r="D31" s="4" t="s">
        <v>26</v>
      </c>
      <c r="E31" s="4" t="s">
        <v>70</v>
      </c>
      <c r="F31" s="11" t="s">
        <v>71</v>
      </c>
      <c r="M31" s="9"/>
      <c r="W31" s="12">
        <v>-1423.94</v>
      </c>
      <c r="AA31" s="11">
        <v>11010000</v>
      </c>
    </row>
    <row r="32" spans="2:27">
      <c r="B32" s="11">
        <v>73001</v>
      </c>
      <c r="D32" s="4" t="s">
        <v>26</v>
      </c>
      <c r="E32" s="4" t="s">
        <v>72</v>
      </c>
      <c r="F32" s="11" t="s">
        <v>73</v>
      </c>
      <c r="M32" s="9"/>
      <c r="W32" s="12">
        <v>-1801.71</v>
      </c>
      <c r="AA32" s="11">
        <v>11010000</v>
      </c>
    </row>
    <row r="33" spans="2:27">
      <c r="B33" s="11">
        <v>73001</v>
      </c>
      <c r="D33" s="4" t="s">
        <v>26</v>
      </c>
      <c r="E33" s="4" t="s">
        <v>74</v>
      </c>
      <c r="F33" s="11" t="s">
        <v>75</v>
      </c>
      <c r="M33" s="9"/>
      <c r="W33" s="12">
        <v>-1409.26</v>
      </c>
      <c r="AA33" s="11">
        <v>11010000</v>
      </c>
    </row>
    <row r="34" spans="2:27">
      <c r="B34" s="11">
        <v>73001</v>
      </c>
      <c r="D34" s="4" t="s">
        <v>26</v>
      </c>
      <c r="E34" s="4" t="s">
        <v>76</v>
      </c>
      <c r="F34" s="11" t="s">
        <v>77</v>
      </c>
      <c r="M34" s="9"/>
      <c r="W34" s="12">
        <v>99616.949999999953</v>
      </c>
      <c r="AA34" s="11">
        <v>11010000</v>
      </c>
    </row>
    <row r="35" spans="2:27">
      <c r="B35" s="11">
        <v>73001</v>
      </c>
      <c r="D35" s="4" t="s">
        <v>78</v>
      </c>
      <c r="E35" s="4" t="s">
        <v>79</v>
      </c>
      <c r="M35" s="9"/>
      <c r="W35" s="12">
        <v>9666.4599999999991</v>
      </c>
      <c r="AA35" s="11">
        <v>12010000</v>
      </c>
    </row>
    <row r="36" spans="2:27">
      <c r="B36" s="11">
        <v>73001</v>
      </c>
      <c r="D36" s="4" t="s">
        <v>78</v>
      </c>
      <c r="E36" s="4" t="s">
        <v>80</v>
      </c>
      <c r="M36" s="9"/>
      <c r="W36" s="12">
        <v>4004.48</v>
      </c>
      <c r="AA36" s="11">
        <v>12010000</v>
      </c>
    </row>
    <row r="37" spans="2:27">
      <c r="B37" s="11">
        <v>73001</v>
      </c>
      <c r="D37" s="4" t="s">
        <v>78</v>
      </c>
      <c r="E37" s="4" t="s">
        <v>80</v>
      </c>
      <c r="M37" s="9"/>
      <c r="W37" s="12">
        <v>3388.41</v>
      </c>
      <c r="AA37" s="11">
        <v>12010000</v>
      </c>
    </row>
    <row r="38" spans="2:27">
      <c r="B38" s="11">
        <v>73001</v>
      </c>
      <c r="D38" s="4" t="s">
        <v>78</v>
      </c>
      <c r="E38" s="4" t="s">
        <v>81</v>
      </c>
      <c r="M38" s="9"/>
      <c r="W38" s="12">
        <v>1047.52</v>
      </c>
      <c r="AA38" s="11">
        <v>12010000</v>
      </c>
    </row>
    <row r="39" spans="2:27">
      <c r="B39" s="11">
        <v>73001</v>
      </c>
      <c r="D39" s="4" t="s">
        <v>78</v>
      </c>
      <c r="E39" s="4" t="s">
        <v>82</v>
      </c>
      <c r="M39" s="9"/>
      <c r="W39" s="12">
        <v>3063.25</v>
      </c>
      <c r="AA39" s="11">
        <v>12010000</v>
      </c>
    </row>
    <row r="40" spans="2:27">
      <c r="B40" s="11">
        <v>73001</v>
      </c>
      <c r="D40" s="4" t="s">
        <v>83</v>
      </c>
      <c r="E40" s="4" t="s">
        <v>84</v>
      </c>
      <c r="M40" s="9"/>
      <c r="W40" s="12">
        <v>11499</v>
      </c>
      <c r="AA40" s="11">
        <v>14020000</v>
      </c>
    </row>
    <row r="41" spans="2:27">
      <c r="B41" s="11">
        <v>73001</v>
      </c>
      <c r="D41" s="4" t="s">
        <v>83</v>
      </c>
      <c r="E41" s="4" t="s">
        <v>85</v>
      </c>
      <c r="M41" s="9"/>
      <c r="W41" s="12">
        <v>11499</v>
      </c>
      <c r="AA41" s="11">
        <v>14020000</v>
      </c>
    </row>
    <row r="42" spans="2:27">
      <c r="B42" s="11">
        <v>73001</v>
      </c>
      <c r="D42" s="4" t="s">
        <v>83</v>
      </c>
      <c r="E42" s="4" t="s">
        <v>86</v>
      </c>
      <c r="M42" s="9"/>
      <c r="W42" s="12">
        <v>18055</v>
      </c>
      <c r="AA42" s="11">
        <v>14090000</v>
      </c>
    </row>
    <row r="43" spans="2:27">
      <c r="B43" s="11">
        <v>73001</v>
      </c>
      <c r="D43" s="4" t="s">
        <v>83</v>
      </c>
      <c r="E43" s="4" t="s">
        <v>87</v>
      </c>
      <c r="M43" s="9"/>
      <c r="W43" s="12">
        <v>828.21</v>
      </c>
      <c r="AA43" s="11">
        <v>14020000</v>
      </c>
    </row>
    <row r="44" spans="2:27">
      <c r="B44" s="11">
        <v>73001</v>
      </c>
      <c r="D44" s="4" t="s">
        <v>83</v>
      </c>
      <c r="E44" s="4" t="s">
        <v>88</v>
      </c>
      <c r="M44" s="9"/>
      <c r="W44" s="12">
        <v>3142.56</v>
      </c>
      <c r="AA44" s="11">
        <v>14020000</v>
      </c>
    </row>
    <row r="45" spans="2:27">
      <c r="B45" s="11">
        <v>73001</v>
      </c>
      <c r="D45" s="4" t="s">
        <v>83</v>
      </c>
      <c r="E45" s="4" t="s">
        <v>89</v>
      </c>
      <c r="M45" s="9"/>
      <c r="W45" s="12">
        <v>13259.49</v>
      </c>
      <c r="AA45" s="11">
        <v>14090000</v>
      </c>
    </row>
    <row r="46" spans="2:27">
      <c r="B46" s="11">
        <v>73001</v>
      </c>
      <c r="D46" s="4" t="s">
        <v>83</v>
      </c>
      <c r="E46" s="4" t="s">
        <v>90</v>
      </c>
      <c r="M46" s="9"/>
      <c r="W46" s="12">
        <v>813.68</v>
      </c>
      <c r="AA46" s="11">
        <v>14040000</v>
      </c>
    </row>
    <row r="47" spans="2:27">
      <c r="B47" s="11">
        <v>73001</v>
      </c>
      <c r="D47" s="4" t="s">
        <v>83</v>
      </c>
      <c r="E47" s="4" t="s">
        <v>91</v>
      </c>
      <c r="M47" s="9"/>
      <c r="W47" s="12">
        <v>1952.82</v>
      </c>
      <c r="AA47" s="11">
        <v>14030000</v>
      </c>
    </row>
    <row r="48" spans="2:27">
      <c r="B48" s="11">
        <v>73001</v>
      </c>
      <c r="D48" s="4" t="s">
        <v>92</v>
      </c>
      <c r="E48" s="4" t="s">
        <v>93</v>
      </c>
      <c r="M48" s="9"/>
      <c r="W48" s="12">
        <v>2167.86</v>
      </c>
      <c r="AA48" s="11">
        <v>15010000</v>
      </c>
    </row>
    <row r="49" spans="2:27">
      <c r="B49" s="11">
        <v>73001</v>
      </c>
      <c r="D49" s="4" t="s">
        <v>92</v>
      </c>
      <c r="E49" s="4" t="s">
        <v>94</v>
      </c>
      <c r="M49" s="9"/>
      <c r="W49" s="12">
        <v>28652.99</v>
      </c>
      <c r="AA49" s="11">
        <v>15010000</v>
      </c>
    </row>
    <row r="50" spans="2:27">
      <c r="B50" s="11">
        <v>73001</v>
      </c>
      <c r="D50" s="4" t="s">
        <v>92</v>
      </c>
      <c r="E50" s="4" t="s">
        <v>87</v>
      </c>
      <c r="M50" s="9"/>
      <c r="W50" s="12">
        <v>813.68</v>
      </c>
      <c r="AA50" s="11">
        <v>15010000</v>
      </c>
    </row>
    <row r="51" spans="2:27">
      <c r="B51" s="11">
        <v>73001</v>
      </c>
      <c r="D51" s="4" t="s">
        <v>95</v>
      </c>
      <c r="E51" s="4" t="s">
        <v>96</v>
      </c>
      <c r="M51" s="9"/>
      <c r="W51" s="12">
        <v>-1031.6199999999999</v>
      </c>
      <c r="AA51" s="11">
        <v>17010000</v>
      </c>
    </row>
    <row r="52" spans="2:27">
      <c r="B52" s="11">
        <v>73001</v>
      </c>
      <c r="D52" s="4" t="s">
        <v>95</v>
      </c>
      <c r="E52" s="4" t="s">
        <v>97</v>
      </c>
      <c r="M52" s="9"/>
      <c r="W52" s="12">
        <v>-61936.67</v>
      </c>
      <c r="AA52" s="11">
        <v>17010000</v>
      </c>
    </row>
    <row r="53" spans="2:27">
      <c r="B53" s="11">
        <v>73001</v>
      </c>
      <c r="D53" s="4" t="s">
        <v>95</v>
      </c>
      <c r="E53" s="4" t="s">
        <v>98</v>
      </c>
      <c r="M53" s="9"/>
      <c r="W53" s="12">
        <v>-6829.06</v>
      </c>
      <c r="AA53" s="11">
        <v>17010000</v>
      </c>
    </row>
    <row r="54" spans="2:27">
      <c r="B54" s="11">
        <v>73001</v>
      </c>
      <c r="D54" s="4" t="s">
        <v>95</v>
      </c>
      <c r="E54" s="4" t="s">
        <v>98</v>
      </c>
      <c r="M54" s="9"/>
      <c r="W54" s="12">
        <v>-12804.49</v>
      </c>
      <c r="AA54" s="11">
        <v>17010000</v>
      </c>
    </row>
    <row r="55" spans="2:27">
      <c r="B55" s="11">
        <v>73001</v>
      </c>
      <c r="D55" s="4" t="s">
        <v>95</v>
      </c>
      <c r="E55" s="4" t="s">
        <v>99</v>
      </c>
      <c r="M55" s="9"/>
      <c r="W55" s="12">
        <v>-2425.04</v>
      </c>
      <c r="AA55" s="11">
        <v>17010000</v>
      </c>
    </row>
    <row r="56" spans="2:27">
      <c r="B56" s="11">
        <v>73001</v>
      </c>
      <c r="D56" s="4" t="s">
        <v>95</v>
      </c>
      <c r="E56" s="4" t="s">
        <v>100</v>
      </c>
      <c r="M56" s="9"/>
      <c r="W56" s="12">
        <v>-5085.47</v>
      </c>
      <c r="AA56" s="11">
        <v>17010000</v>
      </c>
    </row>
    <row r="57" spans="2:27">
      <c r="B57" s="11">
        <v>73001</v>
      </c>
      <c r="D57" s="4" t="s">
        <v>95</v>
      </c>
      <c r="E57" s="4" t="s">
        <v>101</v>
      </c>
      <c r="M57" s="9"/>
      <c r="W57" s="12">
        <v>-66257.86</v>
      </c>
      <c r="AA57" s="11">
        <v>17010000</v>
      </c>
    </row>
    <row r="58" spans="2:27">
      <c r="B58" s="11">
        <v>73001</v>
      </c>
      <c r="D58" s="4" t="s">
        <v>95</v>
      </c>
      <c r="E58" s="4" t="s">
        <v>102</v>
      </c>
      <c r="M58" s="9"/>
      <c r="W58" s="12">
        <v>-20995</v>
      </c>
      <c r="AA58" s="11">
        <v>17010000</v>
      </c>
    </row>
    <row r="59" spans="2:27">
      <c r="B59" s="11">
        <v>73001</v>
      </c>
      <c r="D59" s="4" t="s">
        <v>95</v>
      </c>
      <c r="E59" s="4" t="s">
        <v>103</v>
      </c>
      <c r="M59" s="9"/>
      <c r="W59" s="12">
        <v>-828.21</v>
      </c>
      <c r="AA59" s="11">
        <v>17010000</v>
      </c>
    </row>
    <row r="60" spans="2:27">
      <c r="B60" s="11">
        <v>73001</v>
      </c>
      <c r="D60" s="4" t="s">
        <v>95</v>
      </c>
      <c r="E60" s="4" t="s">
        <v>104</v>
      </c>
      <c r="M60" s="9"/>
      <c r="W60" s="12">
        <v>-1075.21</v>
      </c>
      <c r="AA60" s="11">
        <v>17010000</v>
      </c>
    </row>
    <row r="61" spans="2:27">
      <c r="B61" s="11">
        <v>73001</v>
      </c>
      <c r="D61" s="4" t="s">
        <v>95</v>
      </c>
      <c r="E61" s="4" t="s">
        <v>105</v>
      </c>
      <c r="M61" s="9"/>
      <c r="W61" s="12">
        <v>-7710.59</v>
      </c>
      <c r="AA61" s="11">
        <v>17010000</v>
      </c>
    </row>
    <row r="62" spans="2:27">
      <c r="B62" s="11">
        <v>73001</v>
      </c>
      <c r="D62" s="4" t="s">
        <v>106</v>
      </c>
      <c r="E62" s="4" t="s">
        <v>107</v>
      </c>
      <c r="M62" s="9"/>
      <c r="W62" s="12">
        <v>144900</v>
      </c>
      <c r="AA62" s="11">
        <v>13010000</v>
      </c>
    </row>
    <row r="63" spans="2:27">
      <c r="B63" s="11">
        <v>73001</v>
      </c>
      <c r="D63" s="4" t="s">
        <v>106</v>
      </c>
      <c r="E63" s="4" t="s">
        <v>108</v>
      </c>
      <c r="M63" s="9"/>
      <c r="W63" s="12">
        <v>-13759.12</v>
      </c>
      <c r="AA63" s="11">
        <v>13040000</v>
      </c>
    </row>
    <row r="64" spans="2:27">
      <c r="B64" s="11">
        <v>73001</v>
      </c>
      <c r="D64" s="4" t="s">
        <v>106</v>
      </c>
      <c r="E64" s="4" t="s">
        <v>108</v>
      </c>
      <c r="M64" s="9"/>
      <c r="W64" s="12">
        <v>-13759.13</v>
      </c>
      <c r="AA64" s="11">
        <v>13050000</v>
      </c>
    </row>
    <row r="65" spans="2:27">
      <c r="B65" s="11">
        <v>73001</v>
      </c>
      <c r="D65" s="4" t="s">
        <v>106</v>
      </c>
      <c r="E65" s="4" t="s">
        <v>108</v>
      </c>
      <c r="M65" s="9"/>
      <c r="W65" s="12">
        <v>-13759.13</v>
      </c>
      <c r="AA65" s="11">
        <v>13070000</v>
      </c>
    </row>
    <row r="66" spans="2:27">
      <c r="B66" s="11">
        <v>73001</v>
      </c>
      <c r="D66" s="4" t="s">
        <v>106</v>
      </c>
      <c r="E66" s="4" t="s">
        <v>108</v>
      </c>
      <c r="M66" s="9"/>
      <c r="W66" s="12">
        <v>-13759.12</v>
      </c>
      <c r="AA66" s="11">
        <v>13080000</v>
      </c>
    </row>
    <row r="67" spans="2:27">
      <c r="B67" s="11">
        <v>73001</v>
      </c>
      <c r="D67" s="4" t="s">
        <v>106</v>
      </c>
      <c r="E67" s="4" t="s">
        <v>108</v>
      </c>
      <c r="M67" s="9"/>
      <c r="W67" s="12">
        <v>-13759.13</v>
      </c>
      <c r="AA67" s="11">
        <v>13090000</v>
      </c>
    </row>
    <row r="68" spans="2:27">
      <c r="B68" s="11">
        <v>73001</v>
      </c>
      <c r="D68" s="4" t="s">
        <v>106</v>
      </c>
      <c r="E68" s="4" t="s">
        <v>108</v>
      </c>
      <c r="M68" s="9"/>
      <c r="W68" s="12">
        <v>-13759.13</v>
      </c>
      <c r="AA68" s="11">
        <v>13100000</v>
      </c>
    </row>
    <row r="69" spans="2:27">
      <c r="B69" s="11">
        <v>73001</v>
      </c>
      <c r="D69" s="4" t="s">
        <v>106</v>
      </c>
      <c r="E69" s="4" t="s">
        <v>108</v>
      </c>
      <c r="M69" s="9"/>
      <c r="W69" s="12">
        <v>-13759.13</v>
      </c>
      <c r="AA69" s="11">
        <v>13110000</v>
      </c>
    </row>
    <row r="70" spans="2:27">
      <c r="B70" s="11">
        <v>73001</v>
      </c>
      <c r="D70" s="4" t="s">
        <v>106</v>
      </c>
      <c r="E70" s="4" t="s">
        <v>108</v>
      </c>
      <c r="M70" s="9"/>
      <c r="W70" s="12">
        <v>-13759.13</v>
      </c>
      <c r="AA70" s="11">
        <v>13120000</v>
      </c>
    </row>
    <row r="71" spans="2:27">
      <c r="B71" s="11">
        <v>73001</v>
      </c>
      <c r="D71" s="4" t="s">
        <v>106</v>
      </c>
      <c r="E71" s="4" t="s">
        <v>108</v>
      </c>
      <c r="M71" s="9"/>
      <c r="W71" s="12">
        <v>-13759.13</v>
      </c>
      <c r="AA71" s="11">
        <v>13020000</v>
      </c>
    </row>
    <row r="72" spans="2:27">
      <c r="B72" s="11">
        <v>73001</v>
      </c>
      <c r="D72" s="4" t="s">
        <v>106</v>
      </c>
      <c r="E72" s="4" t="s">
        <v>107</v>
      </c>
      <c r="M72" s="9"/>
      <c r="W72" s="12">
        <v>-21053.85</v>
      </c>
      <c r="AA72" s="11">
        <v>13010000</v>
      </c>
    </row>
    <row r="73" spans="2:27">
      <c r="B73" s="11">
        <v>73001</v>
      </c>
      <c r="D73" s="4" t="s">
        <v>106</v>
      </c>
      <c r="E73" s="4" t="s">
        <v>108</v>
      </c>
      <c r="M73" s="9"/>
      <c r="W73" s="12">
        <v>-1.5</v>
      </c>
      <c r="AA73" s="11">
        <v>13020000</v>
      </c>
    </row>
    <row r="74" spans="2:27">
      <c r="B74" s="11">
        <v>73001</v>
      </c>
      <c r="D74" s="4" t="s">
        <v>106</v>
      </c>
      <c r="E74" s="4" t="s">
        <v>108</v>
      </c>
      <c r="M74" s="9"/>
      <c r="W74" s="12">
        <v>-1.6</v>
      </c>
      <c r="AA74" s="11">
        <v>13040000</v>
      </c>
    </row>
    <row r="75" spans="2:27">
      <c r="B75" s="11">
        <v>73001</v>
      </c>
      <c r="D75" s="4" t="s">
        <v>106</v>
      </c>
      <c r="E75" s="4" t="s">
        <v>108</v>
      </c>
      <c r="M75" s="9"/>
      <c r="W75" s="12">
        <v>-1.55</v>
      </c>
      <c r="AA75" s="11">
        <v>13050000</v>
      </c>
    </row>
    <row r="76" spans="2:27">
      <c r="B76" s="11">
        <v>73001</v>
      </c>
      <c r="D76" s="4" t="s">
        <v>106</v>
      </c>
      <c r="E76" s="4" t="s">
        <v>108</v>
      </c>
      <c r="M76" s="9"/>
      <c r="W76" s="12">
        <v>-1.55</v>
      </c>
      <c r="AA76" s="11">
        <v>13070000</v>
      </c>
    </row>
    <row r="77" spans="2:27">
      <c r="B77" s="11">
        <v>73001</v>
      </c>
      <c r="D77" s="4" t="s">
        <v>106</v>
      </c>
      <c r="E77" s="4" t="s">
        <v>108</v>
      </c>
      <c r="M77" s="9"/>
      <c r="W77" s="12">
        <v>-1.6</v>
      </c>
      <c r="AA77" s="11">
        <v>13080000</v>
      </c>
    </row>
    <row r="78" spans="2:27">
      <c r="B78" s="11">
        <v>73001</v>
      </c>
      <c r="D78" s="4" t="s">
        <v>106</v>
      </c>
      <c r="E78" s="4" t="s">
        <v>108</v>
      </c>
      <c r="M78" s="9"/>
      <c r="W78" s="12">
        <v>-1.55</v>
      </c>
      <c r="AA78" s="11">
        <v>13090000</v>
      </c>
    </row>
    <row r="79" spans="2:27">
      <c r="B79" s="11">
        <v>73001</v>
      </c>
      <c r="D79" s="4" t="s">
        <v>106</v>
      </c>
      <c r="E79" s="4" t="s">
        <v>108</v>
      </c>
      <c r="M79" s="9"/>
      <c r="W79" s="12">
        <v>-1.55</v>
      </c>
      <c r="AA79" s="11">
        <v>13100000</v>
      </c>
    </row>
    <row r="80" spans="2:27">
      <c r="B80" s="11">
        <v>73001</v>
      </c>
      <c r="D80" s="4" t="s">
        <v>106</v>
      </c>
      <c r="E80" s="4" t="s">
        <v>108</v>
      </c>
      <c r="M80" s="9"/>
      <c r="W80" s="12">
        <v>-1.55</v>
      </c>
      <c r="AA80" s="11">
        <v>13110000</v>
      </c>
    </row>
    <row r="81" spans="2:27">
      <c r="B81" s="11">
        <v>73001</v>
      </c>
      <c r="D81" s="4" t="s">
        <v>106</v>
      </c>
      <c r="E81" s="4" t="s">
        <v>108</v>
      </c>
      <c r="M81" s="9"/>
      <c r="W81" s="12">
        <v>-1.55</v>
      </c>
      <c r="AA81" s="11">
        <v>13120000</v>
      </c>
    </row>
    <row r="82" spans="2:27">
      <c r="B82" s="11">
        <v>73001</v>
      </c>
      <c r="D82" s="4" t="s">
        <v>106</v>
      </c>
      <c r="E82" s="4" t="s">
        <v>109</v>
      </c>
      <c r="M82" s="9"/>
      <c r="W82" s="12">
        <v>214795</v>
      </c>
      <c r="AA82" s="11">
        <v>13010000</v>
      </c>
    </row>
    <row r="83" spans="2:27">
      <c r="B83" s="11">
        <v>73001</v>
      </c>
      <c r="D83" s="4" t="s">
        <v>106</v>
      </c>
      <c r="E83" s="4" t="s">
        <v>109</v>
      </c>
      <c r="M83" s="9"/>
      <c r="W83" s="12">
        <v>-15162</v>
      </c>
      <c r="AA83" s="11">
        <v>13020000</v>
      </c>
    </row>
    <row r="84" spans="2:27">
      <c r="B84" s="11">
        <v>73001</v>
      </c>
      <c r="D84" s="4" t="s">
        <v>106</v>
      </c>
      <c r="E84" s="4" t="s">
        <v>109</v>
      </c>
      <c r="M84" s="9"/>
      <c r="W84" s="12">
        <v>-123823</v>
      </c>
      <c r="AA84" s="11">
        <v>13030000</v>
      </c>
    </row>
    <row r="85" spans="2:27">
      <c r="B85" s="11">
        <v>73001</v>
      </c>
      <c r="D85" s="4" t="s">
        <v>106</v>
      </c>
      <c r="E85" s="4" t="s">
        <v>109</v>
      </c>
      <c r="M85" s="9"/>
      <c r="W85" s="12">
        <v>-12635</v>
      </c>
      <c r="AA85" s="11">
        <v>13040000</v>
      </c>
    </row>
    <row r="86" spans="2:27">
      <c r="B86" s="11">
        <v>73001</v>
      </c>
      <c r="D86" s="4" t="s">
        <v>106</v>
      </c>
      <c r="E86" s="4" t="s">
        <v>109</v>
      </c>
      <c r="M86" s="9"/>
      <c r="W86" s="12">
        <v>-12635</v>
      </c>
      <c r="AA86" s="11">
        <v>13050000</v>
      </c>
    </row>
    <row r="87" spans="2:27">
      <c r="B87" s="11">
        <v>73001</v>
      </c>
      <c r="D87" s="4" t="s">
        <v>106</v>
      </c>
      <c r="E87" s="4" t="s">
        <v>109</v>
      </c>
      <c r="M87" s="9"/>
      <c r="W87" s="12">
        <v>-10108</v>
      </c>
      <c r="AA87" s="11">
        <v>13060000</v>
      </c>
    </row>
    <row r="88" spans="2:27">
      <c r="B88" s="11">
        <v>73001</v>
      </c>
      <c r="D88" s="4" t="s">
        <v>106</v>
      </c>
      <c r="E88" s="4" t="s">
        <v>109</v>
      </c>
      <c r="M88" s="9"/>
      <c r="W88" s="12">
        <v>-7581</v>
      </c>
      <c r="AA88" s="11">
        <v>13070000</v>
      </c>
    </row>
    <row r="89" spans="2:27">
      <c r="B89" s="11">
        <v>73001</v>
      </c>
      <c r="D89" s="4" t="s">
        <v>106</v>
      </c>
      <c r="E89" s="4" t="s">
        <v>109</v>
      </c>
      <c r="M89" s="9"/>
      <c r="W89" s="12">
        <v>-12635</v>
      </c>
      <c r="AA89" s="11">
        <v>13080000</v>
      </c>
    </row>
    <row r="90" spans="2:27">
      <c r="B90" s="11">
        <v>73001</v>
      </c>
      <c r="D90" s="4" t="s">
        <v>106</v>
      </c>
      <c r="E90" s="4" t="s">
        <v>109</v>
      </c>
      <c r="M90" s="9"/>
      <c r="W90" s="12">
        <v>-7581</v>
      </c>
      <c r="AA90" s="11">
        <v>13090000</v>
      </c>
    </row>
    <row r="91" spans="2:27">
      <c r="B91" s="11">
        <v>73001</v>
      </c>
      <c r="D91" s="4" t="s">
        <v>106</v>
      </c>
      <c r="E91" s="4" t="s">
        <v>109</v>
      </c>
      <c r="M91" s="9"/>
      <c r="W91" s="12">
        <v>-7581</v>
      </c>
      <c r="AA91" s="11">
        <v>13100000</v>
      </c>
    </row>
    <row r="92" spans="2:27">
      <c r="B92" s="11">
        <v>73001</v>
      </c>
      <c r="D92" s="4" t="s">
        <v>106</v>
      </c>
      <c r="E92" s="4" t="s">
        <v>109</v>
      </c>
      <c r="M92" s="9"/>
      <c r="W92" s="12">
        <v>-2527</v>
      </c>
      <c r="AA92" s="11">
        <v>13110000</v>
      </c>
    </row>
    <row r="93" spans="2:27">
      <c r="B93" s="11">
        <v>73001</v>
      </c>
      <c r="D93" s="4" t="s">
        <v>106</v>
      </c>
      <c r="E93" s="4" t="s">
        <v>109</v>
      </c>
      <c r="M93" s="9"/>
      <c r="W93" s="12">
        <v>-2527</v>
      </c>
      <c r="AA93" s="11">
        <v>13120000</v>
      </c>
    </row>
    <row r="94" spans="2:27">
      <c r="B94" s="11">
        <v>73001</v>
      </c>
      <c r="D94" s="4" t="s">
        <v>106</v>
      </c>
      <c r="E94" s="4" t="s">
        <v>110</v>
      </c>
      <c r="M94" s="9"/>
      <c r="W94" s="12">
        <v>46292.86</v>
      </c>
      <c r="AA94" s="11">
        <v>13010000</v>
      </c>
    </row>
    <row r="95" spans="2:27">
      <c r="B95" s="11">
        <v>73001</v>
      </c>
      <c r="D95" s="4" t="s">
        <v>106</v>
      </c>
      <c r="E95" s="4" t="s">
        <v>111</v>
      </c>
      <c r="M95" s="9"/>
      <c r="W95" s="12">
        <v>-46292.86</v>
      </c>
      <c r="AA95" s="11">
        <v>13030000</v>
      </c>
    </row>
    <row r="96" spans="2:27">
      <c r="B96" s="11">
        <v>73001</v>
      </c>
      <c r="D96" s="4" t="s">
        <v>106</v>
      </c>
      <c r="E96" s="4" t="s">
        <v>112</v>
      </c>
      <c r="M96" s="9"/>
      <c r="W96" s="12">
        <v>465.25</v>
      </c>
      <c r="AA96" s="11">
        <v>13010000</v>
      </c>
    </row>
    <row r="97" spans="2:27">
      <c r="B97" s="11">
        <v>73001</v>
      </c>
      <c r="D97" s="4" t="s">
        <v>106</v>
      </c>
      <c r="E97" s="4" t="s">
        <v>113</v>
      </c>
      <c r="M97" s="9"/>
      <c r="W97" s="12">
        <v>441.66</v>
      </c>
      <c r="AA97" s="11">
        <v>13070000</v>
      </c>
    </row>
    <row r="98" spans="2:27">
      <c r="B98" s="11">
        <v>73001</v>
      </c>
      <c r="D98" s="4" t="s">
        <v>106</v>
      </c>
      <c r="E98" s="4" t="s">
        <v>114</v>
      </c>
      <c r="M98" s="9"/>
      <c r="W98" s="12">
        <v>10672.8</v>
      </c>
      <c r="AA98" s="11">
        <v>13090000</v>
      </c>
    </row>
    <row r="99" spans="2:27">
      <c r="B99" s="11">
        <v>73001</v>
      </c>
      <c r="D99" s="4" t="s">
        <v>106</v>
      </c>
      <c r="E99" s="4" t="s">
        <v>114</v>
      </c>
      <c r="M99" s="9"/>
      <c r="W99" s="12">
        <v>6372.1</v>
      </c>
      <c r="AA99" s="11">
        <v>13020000</v>
      </c>
    </row>
    <row r="100" spans="2:27">
      <c r="B100" s="11">
        <v>73001</v>
      </c>
      <c r="D100" s="4" t="s">
        <v>106</v>
      </c>
      <c r="E100" s="4" t="s">
        <v>114</v>
      </c>
      <c r="M100" s="9"/>
      <c r="W100" s="12">
        <v>5527.62</v>
      </c>
      <c r="AA100" s="11">
        <v>13030000</v>
      </c>
    </row>
    <row r="101" spans="2:27">
      <c r="B101" s="11">
        <v>73001</v>
      </c>
      <c r="D101" s="4" t="s">
        <v>106</v>
      </c>
      <c r="E101" s="4" t="s">
        <v>114</v>
      </c>
      <c r="M101" s="9"/>
      <c r="W101" s="12">
        <v>14966.98</v>
      </c>
      <c r="AA101" s="11">
        <v>13050000</v>
      </c>
    </row>
    <row r="102" spans="2:27">
      <c r="B102" s="11">
        <v>73001</v>
      </c>
      <c r="D102" s="4" t="s">
        <v>106</v>
      </c>
      <c r="E102" s="4" t="s">
        <v>115</v>
      </c>
      <c r="M102" s="9"/>
      <c r="W102" s="12">
        <v>1427.86</v>
      </c>
      <c r="AA102" s="11">
        <v>13030000</v>
      </c>
    </row>
    <row r="103" spans="2:27">
      <c r="M103" s="9"/>
      <c r="W103" s="6"/>
    </row>
    <row r="104" spans="2:27">
      <c r="M104" s="9"/>
      <c r="W104" s="6"/>
    </row>
    <row r="105" spans="2:27">
      <c r="M105" s="9"/>
      <c r="W105" s="6"/>
    </row>
    <row r="106" spans="2:27">
      <c r="M106" s="9"/>
      <c r="W106" s="6"/>
    </row>
    <row r="107" spans="2:27">
      <c r="M107" s="9"/>
      <c r="W107" s="6"/>
    </row>
    <row r="108" spans="2:27">
      <c r="M108" s="9"/>
      <c r="W108" s="6"/>
    </row>
    <row r="109" spans="2:27">
      <c r="M109" s="9"/>
      <c r="W109" s="6"/>
    </row>
    <row r="110" spans="2:27">
      <c r="M110" s="9"/>
      <c r="W110" s="6"/>
    </row>
    <row r="111" spans="2:27">
      <c r="M111" s="9"/>
      <c r="W111" s="6"/>
    </row>
    <row r="112" spans="2:27">
      <c r="M112" s="9"/>
      <c r="W112" s="6"/>
    </row>
    <row r="113" spans="13:23">
      <c r="M113" s="9"/>
      <c r="W113" s="6"/>
    </row>
    <row r="114" spans="13:23">
      <c r="M114" s="9"/>
      <c r="W114" s="6"/>
    </row>
    <row r="115" spans="13:23">
      <c r="M115" s="9"/>
      <c r="W115" s="6"/>
    </row>
    <row r="116" spans="13:23">
      <c r="M116" s="9"/>
      <c r="W116" s="6"/>
    </row>
    <row r="117" spans="13:23">
      <c r="M117" s="9"/>
      <c r="W117" s="6"/>
    </row>
    <row r="118" spans="13:23">
      <c r="M118" s="9"/>
      <c r="W118" s="6"/>
    </row>
    <row r="119" spans="13:23">
      <c r="M119" s="9"/>
      <c r="W119" s="6"/>
    </row>
    <row r="120" spans="13:23">
      <c r="M120" s="9"/>
      <c r="W120" s="6"/>
    </row>
    <row r="121" spans="13:23">
      <c r="M121" s="9"/>
      <c r="W121" s="6"/>
    </row>
    <row r="122" spans="13:23">
      <c r="M122" s="9"/>
      <c r="W122" s="6"/>
    </row>
    <row r="123" spans="13:23">
      <c r="M123" s="9"/>
      <c r="W123" s="6"/>
    </row>
    <row r="124" spans="13:23">
      <c r="M124" s="9"/>
      <c r="W124" s="6"/>
    </row>
    <row r="125" spans="13:23">
      <c r="M125" s="9"/>
      <c r="W125" s="6"/>
    </row>
    <row r="126" spans="13:23">
      <c r="M126" s="9"/>
      <c r="W126" s="6"/>
    </row>
    <row r="127" spans="13:23">
      <c r="M127" s="9"/>
      <c r="W127" s="6"/>
    </row>
    <row r="128" spans="13:23">
      <c r="M128" s="9"/>
      <c r="W128" s="6"/>
    </row>
    <row r="129" spans="13:23">
      <c r="M129" s="9"/>
      <c r="W129" s="6"/>
    </row>
    <row r="130" spans="13:23">
      <c r="M130" s="9"/>
      <c r="W130" s="6"/>
    </row>
    <row r="131" spans="13:23">
      <c r="M131" s="9"/>
      <c r="W131" s="6"/>
    </row>
    <row r="132" spans="13:23">
      <c r="M132" s="9"/>
      <c r="W132" s="6"/>
    </row>
    <row r="133" spans="13:23">
      <c r="M133" s="9"/>
      <c r="W133" s="6"/>
    </row>
    <row r="134" spans="13:23">
      <c r="M134" s="9"/>
      <c r="W134" s="6"/>
    </row>
    <row r="135" spans="13:23">
      <c r="M135" s="9"/>
      <c r="W135" s="6"/>
    </row>
    <row r="136" spans="13:23">
      <c r="M136" s="9"/>
      <c r="W136" s="6"/>
    </row>
    <row r="137" spans="13:23">
      <c r="M137" s="9"/>
      <c r="W137" s="6"/>
    </row>
    <row r="138" spans="13:23">
      <c r="M138" s="9"/>
      <c r="W138" s="6"/>
    </row>
    <row r="139" spans="13:23">
      <c r="M139" s="9"/>
      <c r="W139" s="6"/>
    </row>
    <row r="140" spans="13:23">
      <c r="M140" s="9"/>
      <c r="W140" s="6"/>
    </row>
    <row r="141" spans="13:23">
      <c r="M141" s="9"/>
      <c r="W141" s="6"/>
    </row>
    <row r="142" spans="13:23">
      <c r="M142" s="9"/>
      <c r="W142" s="6"/>
    </row>
    <row r="143" spans="13:23">
      <c r="M143" s="9"/>
      <c r="W143" s="6"/>
    </row>
    <row r="144" spans="13:23">
      <c r="M144" s="9"/>
      <c r="W144" s="6"/>
    </row>
    <row r="145" spans="13:23">
      <c r="M145" s="9"/>
      <c r="W145" s="6"/>
    </row>
    <row r="146" spans="13:23">
      <c r="M146" s="9"/>
      <c r="W146" s="6"/>
    </row>
    <row r="147" spans="13:23">
      <c r="M147" s="9"/>
      <c r="W147" s="6"/>
    </row>
    <row r="148" spans="13:23">
      <c r="M148" s="9"/>
      <c r="W148" s="6"/>
    </row>
    <row r="149" spans="13:23">
      <c r="M149" s="9"/>
      <c r="W149" s="6"/>
    </row>
    <row r="150" spans="13:23">
      <c r="M150" s="9"/>
      <c r="W150" s="6"/>
    </row>
    <row r="151" spans="13:23">
      <c r="M151" s="9"/>
      <c r="W151" s="6"/>
    </row>
    <row r="152" spans="13:23">
      <c r="M152" s="9"/>
      <c r="W152" s="6"/>
    </row>
    <row r="153" spans="13:23">
      <c r="M153" s="9"/>
      <c r="W153" s="6"/>
    </row>
    <row r="154" spans="13:23">
      <c r="M154" s="9"/>
      <c r="W154" s="6"/>
    </row>
    <row r="155" spans="13:23">
      <c r="M155" s="9"/>
      <c r="W155" s="6"/>
    </row>
    <row r="156" spans="13:23">
      <c r="M156" s="9"/>
      <c r="W156" s="6"/>
    </row>
    <row r="157" spans="13:23">
      <c r="M157" s="9"/>
      <c r="W157" s="6"/>
    </row>
    <row r="158" spans="13:23">
      <c r="M158" s="9"/>
      <c r="W158" s="6"/>
    </row>
    <row r="159" spans="13:23">
      <c r="M159" s="9"/>
      <c r="W159" s="6"/>
    </row>
    <row r="160" spans="13:23">
      <c r="M160" s="9"/>
      <c r="W160" s="6"/>
    </row>
    <row r="161" spans="13:23">
      <c r="M161" s="9"/>
      <c r="W161" s="6"/>
    </row>
    <row r="162" spans="13:23">
      <c r="M162" s="9"/>
      <c r="W162" s="6"/>
    </row>
    <row r="163" spans="13:23">
      <c r="M163" s="9"/>
      <c r="W163" s="6"/>
    </row>
    <row r="164" spans="13:23">
      <c r="M164" s="9"/>
      <c r="W164" s="6"/>
    </row>
    <row r="165" spans="13:23">
      <c r="M165" s="9"/>
      <c r="W165" s="6"/>
    </row>
    <row r="166" spans="13:23">
      <c r="M166" s="9"/>
      <c r="W166" s="6"/>
    </row>
    <row r="167" spans="13:23">
      <c r="M167" s="9"/>
      <c r="W167" s="6"/>
    </row>
    <row r="168" spans="13:23">
      <c r="M168" s="9"/>
      <c r="W168" s="6"/>
    </row>
    <row r="169" spans="13:23">
      <c r="M169" s="9"/>
      <c r="W169" s="6"/>
    </row>
    <row r="170" spans="13:23">
      <c r="M170" s="9"/>
      <c r="W170" s="6"/>
    </row>
    <row r="171" spans="13:23">
      <c r="M171" s="9"/>
      <c r="W171" s="6"/>
    </row>
    <row r="172" spans="13:23">
      <c r="M172" s="9"/>
      <c r="W172" s="6"/>
    </row>
    <row r="173" spans="13:23">
      <c r="M173" s="9"/>
      <c r="W173" s="6"/>
    </row>
    <row r="174" spans="13:23">
      <c r="M174" s="9"/>
      <c r="W174" s="6"/>
    </row>
    <row r="175" spans="13:23">
      <c r="M175" s="9"/>
      <c r="W175" s="6"/>
    </row>
    <row r="176" spans="13:23">
      <c r="M176" s="9"/>
      <c r="W176" s="6"/>
    </row>
    <row r="177" spans="13:23">
      <c r="M177" s="9"/>
      <c r="W177" s="6"/>
    </row>
    <row r="178" spans="13:23">
      <c r="M178" s="9"/>
      <c r="W178" s="6"/>
    </row>
    <row r="179" spans="13:23">
      <c r="M179" s="9"/>
      <c r="W179" s="6"/>
    </row>
    <row r="180" spans="13:23">
      <c r="M180" s="9"/>
      <c r="W180" s="6"/>
    </row>
    <row r="181" spans="13:23">
      <c r="M181" s="9"/>
      <c r="W181" s="6"/>
    </row>
    <row r="182" spans="13:23">
      <c r="M182" s="9"/>
      <c r="W182" s="6"/>
    </row>
    <row r="183" spans="13:23">
      <c r="M183" s="9"/>
      <c r="W183" s="6"/>
    </row>
    <row r="184" spans="13:23">
      <c r="M184" s="9"/>
      <c r="W184" s="6"/>
    </row>
    <row r="185" spans="13:23">
      <c r="M185" s="9"/>
      <c r="W185" s="6"/>
    </row>
    <row r="186" spans="13:23">
      <c r="M186" s="9"/>
      <c r="W186" s="6"/>
    </row>
    <row r="187" spans="13:23">
      <c r="M187" s="9"/>
      <c r="W187" s="6"/>
    </row>
    <row r="188" spans="13:23">
      <c r="M188" s="9"/>
      <c r="W188" s="6"/>
    </row>
    <row r="189" spans="13:23">
      <c r="M189" s="9"/>
      <c r="W189" s="6"/>
    </row>
    <row r="190" spans="13:23">
      <c r="M190" s="9"/>
      <c r="W190" s="6"/>
    </row>
    <row r="191" spans="13:23">
      <c r="M191" s="9"/>
      <c r="W191" s="6"/>
    </row>
    <row r="192" spans="13:23">
      <c r="M192" s="9"/>
      <c r="W192" s="6"/>
    </row>
    <row r="193" spans="13:23">
      <c r="M193" s="9"/>
      <c r="W193" s="6"/>
    </row>
    <row r="194" spans="13:23">
      <c r="M194" s="9"/>
      <c r="W194" s="6"/>
    </row>
    <row r="195" spans="13:23">
      <c r="M195" s="9"/>
      <c r="W195" s="6"/>
    </row>
    <row r="196" spans="13:23">
      <c r="M196" s="9"/>
      <c r="W196" s="6"/>
    </row>
    <row r="197" spans="13:23">
      <c r="M197" s="9"/>
      <c r="W197" s="6"/>
    </row>
    <row r="198" spans="13:23">
      <c r="M198" s="9"/>
      <c r="W198" s="6"/>
    </row>
    <row r="199" spans="13:23">
      <c r="M199" s="9"/>
      <c r="W199" s="6"/>
    </row>
    <row r="200" spans="13:23">
      <c r="M200" s="9"/>
      <c r="W200" s="6"/>
    </row>
    <row r="201" spans="13:23">
      <c r="M201" s="9"/>
      <c r="W201" s="6"/>
    </row>
    <row r="202" spans="13:23">
      <c r="M202" s="9"/>
      <c r="W202" s="6"/>
    </row>
    <row r="203" spans="13:23">
      <c r="M203" s="9"/>
      <c r="W203" s="6"/>
    </row>
    <row r="204" spans="13:23">
      <c r="M204" s="9"/>
      <c r="W204" s="6"/>
    </row>
    <row r="205" spans="13:23">
      <c r="M205" s="9"/>
      <c r="W205" s="6"/>
    </row>
    <row r="206" spans="13:23">
      <c r="M206" s="9"/>
      <c r="W206" s="6"/>
    </row>
    <row r="207" spans="13:23">
      <c r="M207" s="9"/>
      <c r="W207" s="6"/>
    </row>
    <row r="208" spans="13:23">
      <c r="M208" s="9"/>
      <c r="W208" s="6"/>
    </row>
    <row r="209" spans="13:23">
      <c r="M209" s="9"/>
      <c r="W209" s="6"/>
    </row>
    <row r="210" spans="13:23">
      <c r="M210" s="9"/>
      <c r="W210" s="6"/>
    </row>
    <row r="211" spans="13:23">
      <c r="M211" s="9"/>
      <c r="W211" s="6"/>
    </row>
    <row r="212" spans="13:23">
      <c r="M212" s="9"/>
      <c r="W212" s="6"/>
    </row>
    <row r="213" spans="13:23">
      <c r="M213" s="9"/>
      <c r="W213" s="6"/>
    </row>
    <row r="214" spans="13:23">
      <c r="M214" s="9"/>
      <c r="W214" s="6"/>
    </row>
    <row r="215" spans="13:23">
      <c r="M215" s="9"/>
      <c r="W215" s="6"/>
    </row>
    <row r="216" spans="13:23">
      <c r="M216" s="9"/>
      <c r="W216" s="6"/>
    </row>
    <row r="217" spans="13:23">
      <c r="M217" s="9"/>
      <c r="W217" s="6"/>
    </row>
    <row r="218" spans="13:23">
      <c r="M218" s="9"/>
      <c r="W218" s="6"/>
    </row>
    <row r="219" spans="13:23">
      <c r="M219" s="9"/>
      <c r="W219" s="6"/>
    </row>
    <row r="220" spans="13:23">
      <c r="M220" s="9"/>
      <c r="W220" s="6"/>
    </row>
    <row r="221" spans="13:23">
      <c r="M221" s="9"/>
      <c r="W221" s="6"/>
    </row>
    <row r="222" spans="13:23">
      <c r="M222" s="9"/>
      <c r="W222" s="6"/>
    </row>
    <row r="223" spans="13:23">
      <c r="M223" s="9"/>
      <c r="W223" s="6"/>
    </row>
    <row r="224" spans="13:23">
      <c r="M224" s="9"/>
      <c r="W224" s="6"/>
    </row>
    <row r="225" spans="13:23">
      <c r="M225" s="9"/>
      <c r="W225" s="6"/>
    </row>
    <row r="226" spans="13:23">
      <c r="M226" s="9"/>
      <c r="W226" s="6"/>
    </row>
    <row r="227" spans="13:23">
      <c r="M227" s="9"/>
      <c r="W227" s="6"/>
    </row>
    <row r="228" spans="13:23">
      <c r="M228" s="9"/>
      <c r="W228" s="6"/>
    </row>
    <row r="229" spans="13:23">
      <c r="M229" s="9"/>
      <c r="W229" s="6"/>
    </row>
    <row r="230" spans="13:23">
      <c r="M230" s="9"/>
      <c r="W230" s="6"/>
    </row>
    <row r="231" spans="13:23">
      <c r="M231" s="9"/>
      <c r="W231" s="6"/>
    </row>
    <row r="232" spans="13:23">
      <c r="M232" s="9"/>
      <c r="W232" s="6"/>
    </row>
    <row r="233" spans="13:23">
      <c r="M233" s="9"/>
      <c r="W233" s="6"/>
    </row>
    <row r="234" spans="13:23">
      <c r="M234" s="9"/>
      <c r="W234" s="6"/>
    </row>
    <row r="235" spans="13:23">
      <c r="M235" s="9"/>
      <c r="W235" s="6"/>
    </row>
    <row r="236" spans="13:23">
      <c r="M236" s="9"/>
      <c r="W236" s="6"/>
    </row>
    <row r="237" spans="13:23">
      <c r="M237" s="9"/>
      <c r="W237" s="6"/>
    </row>
    <row r="238" spans="13:23">
      <c r="M238" s="9"/>
      <c r="W238" s="6"/>
    </row>
    <row r="239" spans="13:23">
      <c r="M239" s="9"/>
      <c r="W239" s="6"/>
    </row>
    <row r="240" spans="13:23">
      <c r="M240" s="9"/>
      <c r="W240" s="6"/>
    </row>
    <row r="241" spans="13:23">
      <c r="M241" s="9"/>
      <c r="W241" s="6"/>
    </row>
    <row r="242" spans="13:23">
      <c r="M242" s="9"/>
      <c r="W242" s="6"/>
    </row>
    <row r="243" spans="13:23">
      <c r="M243" s="9"/>
      <c r="W243" s="6"/>
    </row>
    <row r="244" spans="13:23">
      <c r="M244" s="9"/>
      <c r="W244" s="6"/>
    </row>
    <row r="245" spans="13:23">
      <c r="M245" s="9"/>
      <c r="W245" s="6"/>
    </row>
    <row r="246" spans="13:23">
      <c r="M246" s="9"/>
      <c r="W246" s="6"/>
    </row>
    <row r="247" spans="13:23">
      <c r="M247" s="9"/>
      <c r="W247" s="6"/>
    </row>
    <row r="248" spans="13:23">
      <c r="M248" s="9"/>
      <c r="W248" s="6"/>
    </row>
    <row r="249" spans="13:23">
      <c r="M249" s="9"/>
      <c r="W249" s="6"/>
    </row>
    <row r="250" spans="13:23">
      <c r="M250" s="9"/>
      <c r="W250" s="6"/>
    </row>
    <row r="251" spans="13:23">
      <c r="M251" s="9"/>
      <c r="W251" s="6"/>
    </row>
    <row r="252" spans="13:23">
      <c r="M252" s="9"/>
      <c r="W252" s="6"/>
    </row>
    <row r="253" spans="13:23">
      <c r="M253" s="9"/>
      <c r="W253" s="6"/>
    </row>
    <row r="254" spans="13:23">
      <c r="M254" s="9"/>
      <c r="W254" s="6"/>
    </row>
    <row r="255" spans="13:23">
      <c r="M255" s="9"/>
      <c r="W255" s="6"/>
    </row>
    <row r="256" spans="13:23">
      <c r="M256" s="9"/>
      <c r="W256" s="6"/>
    </row>
    <row r="257" spans="13:23">
      <c r="M257" s="9"/>
      <c r="W257" s="6"/>
    </row>
    <row r="258" spans="13:23">
      <c r="M258" s="9"/>
      <c r="W258" s="6"/>
    </row>
    <row r="259" spans="13:23">
      <c r="M259" s="9"/>
      <c r="W259" s="6"/>
    </row>
    <row r="260" spans="13:23">
      <c r="M260" s="9"/>
      <c r="W260" s="6"/>
    </row>
    <row r="261" spans="13:23">
      <c r="M261" s="9"/>
      <c r="W261" s="6"/>
    </row>
    <row r="262" spans="13:23">
      <c r="M262" s="9"/>
      <c r="W262" s="6"/>
    </row>
    <row r="263" spans="13:23">
      <c r="M263" s="9"/>
      <c r="W263" s="6"/>
    </row>
    <row r="264" spans="13:23">
      <c r="M264" s="9"/>
      <c r="W264" s="6"/>
    </row>
    <row r="265" spans="13:23">
      <c r="M265" s="9"/>
      <c r="W265" s="6"/>
    </row>
    <row r="266" spans="13:23">
      <c r="M266" s="9"/>
      <c r="W266" s="6"/>
    </row>
    <row r="267" spans="13:23">
      <c r="M267" s="9"/>
      <c r="W267" s="6"/>
    </row>
    <row r="268" spans="13:23">
      <c r="M268" s="9"/>
      <c r="W268" s="6"/>
    </row>
    <row r="269" spans="13:23">
      <c r="M269" s="9"/>
      <c r="W269" s="6"/>
    </row>
    <row r="270" spans="13:23">
      <c r="M270" s="9"/>
      <c r="W270" s="6"/>
    </row>
    <row r="271" spans="13:23">
      <c r="M271" s="9"/>
      <c r="W271" s="6"/>
    </row>
    <row r="272" spans="13:23">
      <c r="M272" s="9"/>
      <c r="W272" s="6"/>
    </row>
    <row r="273" spans="13:23">
      <c r="M273" s="9"/>
      <c r="W273" s="6"/>
    </row>
    <row r="274" spans="13:23">
      <c r="M274" s="9"/>
      <c r="W274" s="6"/>
    </row>
    <row r="275" spans="13:23">
      <c r="M275" s="9"/>
      <c r="W275" s="6"/>
    </row>
    <row r="276" spans="13:23">
      <c r="M276" s="9"/>
      <c r="W276" s="6"/>
    </row>
    <row r="277" spans="13:23">
      <c r="M277" s="9"/>
      <c r="W277" s="6"/>
    </row>
    <row r="278" spans="13:23">
      <c r="M278" s="9"/>
      <c r="W278" s="6"/>
    </row>
    <row r="279" spans="13:23">
      <c r="M279" s="9"/>
      <c r="W279" s="6"/>
    </row>
    <row r="280" spans="13:23">
      <c r="M280" s="9"/>
      <c r="W280" s="6"/>
    </row>
    <row r="281" spans="13:23">
      <c r="M281" s="9"/>
      <c r="W281" s="6"/>
    </row>
    <row r="282" spans="13:23">
      <c r="M282" s="9"/>
      <c r="W282" s="6"/>
    </row>
    <row r="283" spans="13:23">
      <c r="M283" s="9"/>
      <c r="W283" s="6"/>
    </row>
    <row r="284" spans="13:23">
      <c r="M284" s="9"/>
      <c r="W284" s="6"/>
    </row>
    <row r="285" spans="13:23">
      <c r="M285" s="9"/>
      <c r="W285" s="6"/>
    </row>
    <row r="286" spans="13:23">
      <c r="M286" s="9"/>
      <c r="W286" s="6"/>
    </row>
    <row r="287" spans="13:23">
      <c r="M287" s="9"/>
      <c r="W287" s="6"/>
    </row>
    <row r="288" spans="13:23">
      <c r="M288" s="9"/>
      <c r="W288" s="6"/>
    </row>
    <row r="289" spans="13:23">
      <c r="M289" s="9"/>
      <c r="W289" s="6"/>
    </row>
    <row r="290" spans="13:23">
      <c r="M290" s="9"/>
      <c r="W290" s="6"/>
    </row>
    <row r="291" spans="13:23">
      <c r="M291" s="9"/>
      <c r="W291" s="6"/>
    </row>
    <row r="292" spans="13:23">
      <c r="M292" s="9"/>
      <c r="W292" s="6"/>
    </row>
    <row r="293" spans="13:23">
      <c r="M293" s="9"/>
      <c r="W293" s="6"/>
    </row>
    <row r="294" spans="13:23">
      <c r="M294" s="9"/>
      <c r="W294" s="6"/>
    </row>
    <row r="295" spans="13:23">
      <c r="M295" s="9"/>
      <c r="W295" s="6"/>
    </row>
    <row r="296" spans="13:23">
      <c r="M296" s="9"/>
      <c r="W296" s="6"/>
    </row>
    <row r="297" spans="13:23">
      <c r="M297" s="9"/>
      <c r="W297" s="6"/>
    </row>
    <row r="298" spans="13:23">
      <c r="M298" s="9"/>
      <c r="W298" s="6"/>
    </row>
    <row r="299" spans="13:23">
      <c r="M299" s="9"/>
      <c r="W299" s="6"/>
    </row>
    <row r="300" spans="13:23">
      <c r="M300" s="9"/>
      <c r="W300" s="6"/>
    </row>
    <row r="301" spans="13:23">
      <c r="M301" s="9"/>
      <c r="W301" s="6"/>
    </row>
    <row r="302" spans="13:23">
      <c r="M302" s="9"/>
      <c r="W302" s="6"/>
    </row>
    <row r="303" spans="13:23">
      <c r="M303" s="9"/>
      <c r="W303" s="6"/>
    </row>
    <row r="304" spans="13:23">
      <c r="M304" s="9"/>
      <c r="W304" s="6"/>
    </row>
    <row r="305" spans="13:23">
      <c r="M305" s="9"/>
      <c r="W305" s="6"/>
    </row>
    <row r="306" spans="13:23">
      <c r="M306" s="9"/>
      <c r="W306" s="6"/>
    </row>
    <row r="307" spans="13:23">
      <c r="M307" s="9"/>
      <c r="W307" s="6"/>
    </row>
    <row r="308" spans="13:23">
      <c r="M308" s="9"/>
      <c r="W308" s="6"/>
    </row>
    <row r="309" spans="13:23">
      <c r="M309" s="9"/>
      <c r="W309" s="6"/>
    </row>
    <row r="310" spans="13:23">
      <c r="M310" s="9"/>
      <c r="W310" s="6"/>
    </row>
    <row r="311" spans="13:23">
      <c r="M311" s="9"/>
      <c r="W311" s="6"/>
    </row>
    <row r="312" spans="13:23">
      <c r="M312" s="9"/>
      <c r="W312" s="6"/>
    </row>
    <row r="313" spans="13:23">
      <c r="M313" s="9"/>
      <c r="W313" s="6"/>
    </row>
    <row r="314" spans="13:23">
      <c r="M314" s="9"/>
      <c r="W314" s="6"/>
    </row>
    <row r="315" spans="13:23">
      <c r="M315" s="9"/>
      <c r="W315" s="6"/>
    </row>
    <row r="316" spans="13:23">
      <c r="M316" s="9"/>
      <c r="W316" s="6"/>
    </row>
    <row r="317" spans="13:23">
      <c r="M317" s="9"/>
      <c r="W317" s="6"/>
    </row>
    <row r="318" spans="13:23">
      <c r="M318" s="9"/>
      <c r="W318" s="6"/>
    </row>
    <row r="319" spans="13:23">
      <c r="M319" s="9"/>
      <c r="W319" s="6"/>
    </row>
    <row r="320" spans="13:23">
      <c r="M320" s="9"/>
      <c r="W320" s="6"/>
    </row>
    <row r="321" spans="13:23">
      <c r="M321" s="9"/>
      <c r="W321" s="6"/>
    </row>
    <row r="322" spans="13:23">
      <c r="M322" s="9"/>
      <c r="W322" s="6"/>
    </row>
    <row r="323" spans="13:23">
      <c r="M323" s="9"/>
      <c r="W323" s="6"/>
    </row>
    <row r="324" spans="13:23">
      <c r="M324" s="9"/>
      <c r="W324" s="6"/>
    </row>
    <row r="325" spans="13:23">
      <c r="M325" s="9"/>
      <c r="W325" s="6"/>
    </row>
    <row r="326" spans="13:23">
      <c r="M326" s="9"/>
      <c r="W326" s="6"/>
    </row>
    <row r="327" spans="13:23">
      <c r="M327" s="9"/>
      <c r="W327" s="6"/>
    </row>
    <row r="328" spans="13:23">
      <c r="M328" s="9"/>
      <c r="W328" s="6"/>
    </row>
    <row r="329" spans="13:23">
      <c r="M329" s="9"/>
      <c r="W329" s="6"/>
    </row>
    <row r="330" spans="13:23">
      <c r="M330" s="9"/>
      <c r="W330" s="6"/>
    </row>
    <row r="331" spans="13:23">
      <c r="M331" s="9"/>
      <c r="W331" s="6"/>
    </row>
    <row r="332" spans="13:23">
      <c r="M332" s="9"/>
      <c r="W332" s="6"/>
    </row>
    <row r="333" spans="13:23">
      <c r="M333" s="9"/>
      <c r="W333" s="6"/>
    </row>
    <row r="334" spans="13:23">
      <c r="M334" s="9"/>
      <c r="W334" s="6"/>
    </row>
    <row r="335" spans="13:23">
      <c r="M335" s="9"/>
      <c r="W335" s="6"/>
    </row>
    <row r="336" spans="13:23">
      <c r="M336" s="9"/>
      <c r="W336" s="6"/>
    </row>
    <row r="337" spans="13:23">
      <c r="M337" s="9"/>
      <c r="W337" s="6"/>
    </row>
    <row r="338" spans="13:23">
      <c r="M338" s="9"/>
      <c r="W338" s="6"/>
    </row>
    <row r="339" spans="13:23">
      <c r="M339" s="9"/>
      <c r="W339" s="6"/>
    </row>
    <row r="340" spans="13:23">
      <c r="M340" s="9"/>
      <c r="W340" s="6"/>
    </row>
    <row r="341" spans="13:23">
      <c r="M341" s="9"/>
      <c r="W341" s="6"/>
    </row>
    <row r="342" spans="13:23">
      <c r="M342" s="9"/>
      <c r="W342" s="6"/>
    </row>
    <row r="343" spans="13:23">
      <c r="M343" s="9"/>
      <c r="W343" s="6"/>
    </row>
    <row r="344" spans="13:23">
      <c r="M344" s="9"/>
      <c r="W344" s="6"/>
    </row>
    <row r="345" spans="13:23">
      <c r="M345" s="9"/>
      <c r="W345" s="6"/>
    </row>
    <row r="346" spans="13:23">
      <c r="M346" s="9"/>
      <c r="W346" s="6"/>
    </row>
    <row r="347" spans="13:23">
      <c r="M347" s="9"/>
      <c r="W347" s="6"/>
    </row>
    <row r="348" spans="13:23">
      <c r="M348" s="9"/>
      <c r="W348" s="6"/>
    </row>
    <row r="349" spans="13:23">
      <c r="M349" s="9"/>
      <c r="W349" s="6"/>
    </row>
    <row r="350" spans="13:23">
      <c r="M350" s="9"/>
      <c r="W350" s="6"/>
    </row>
    <row r="351" spans="13:23">
      <c r="M351" s="9"/>
      <c r="W351" s="6"/>
    </row>
    <row r="352" spans="13:23">
      <c r="M352" s="9"/>
      <c r="W352" s="6"/>
    </row>
    <row r="353" spans="13:23">
      <c r="M353" s="9"/>
      <c r="W353" s="6"/>
    </row>
    <row r="354" spans="13:23">
      <c r="M354" s="9"/>
      <c r="W354" s="6"/>
    </row>
    <row r="355" spans="13:23">
      <c r="M355" s="9"/>
      <c r="W355" s="6"/>
    </row>
    <row r="356" spans="13:23">
      <c r="M356" s="9"/>
      <c r="W356" s="6"/>
    </row>
    <row r="357" spans="13:23">
      <c r="M357" s="9"/>
      <c r="W357" s="6"/>
    </row>
    <row r="358" spans="13:23">
      <c r="M358" s="9"/>
      <c r="W358" s="6"/>
    </row>
    <row r="359" spans="13:23">
      <c r="M359" s="9"/>
      <c r="W359" s="6"/>
    </row>
    <row r="360" spans="13:23">
      <c r="M360" s="9"/>
      <c r="W360" s="6"/>
    </row>
    <row r="361" spans="13:23">
      <c r="M361" s="9"/>
      <c r="W361" s="6"/>
    </row>
    <row r="362" spans="13:23">
      <c r="M362" s="9"/>
      <c r="W362" s="6"/>
    </row>
    <row r="363" spans="13:23">
      <c r="M363" s="9"/>
      <c r="W363" s="6"/>
    </row>
    <row r="364" spans="13:23">
      <c r="M364" s="9"/>
      <c r="W364" s="6"/>
    </row>
    <row r="365" spans="13:23">
      <c r="M365" s="9"/>
      <c r="W365" s="6"/>
    </row>
    <row r="366" spans="13:23">
      <c r="M366" s="9"/>
      <c r="W366" s="6"/>
    </row>
    <row r="367" spans="13:23">
      <c r="M367" s="9"/>
      <c r="W367" s="6"/>
    </row>
    <row r="368" spans="13:23">
      <c r="M368" s="9"/>
      <c r="W368" s="6"/>
    </row>
    <row r="369" spans="13:23">
      <c r="M369" s="9"/>
      <c r="W369" s="6"/>
    </row>
    <row r="370" spans="13:23">
      <c r="M370" s="9"/>
      <c r="W370" s="6"/>
    </row>
    <row r="371" spans="13:23">
      <c r="M371" s="9"/>
      <c r="W371" s="6"/>
    </row>
    <row r="372" spans="13:23">
      <c r="M372" s="9"/>
      <c r="W372" s="6"/>
    </row>
    <row r="373" spans="13:23">
      <c r="M373" s="9"/>
      <c r="W373" s="6"/>
    </row>
    <row r="374" spans="13:23">
      <c r="M374" s="9"/>
      <c r="W374" s="6"/>
    </row>
    <row r="375" spans="13:23">
      <c r="M375" s="9"/>
      <c r="W375" s="6"/>
    </row>
    <row r="376" spans="13:23">
      <c r="M376" s="9"/>
      <c r="W376" s="6"/>
    </row>
    <row r="377" spans="13:23">
      <c r="M377" s="9"/>
      <c r="W377" s="6"/>
    </row>
    <row r="378" spans="13:23">
      <c r="M378" s="9"/>
      <c r="W378" s="6"/>
    </row>
    <row r="379" spans="13:23">
      <c r="M379" s="9"/>
      <c r="W379" s="6"/>
    </row>
    <row r="380" spans="13:23">
      <c r="M380" s="9"/>
      <c r="W380" s="6"/>
    </row>
    <row r="381" spans="13:23">
      <c r="M381" s="9"/>
      <c r="W381" s="6"/>
    </row>
    <row r="382" spans="13:23">
      <c r="M382" s="9"/>
      <c r="W382" s="6"/>
    </row>
    <row r="383" spans="13:23">
      <c r="M383" s="9"/>
      <c r="W383" s="6"/>
    </row>
    <row r="384" spans="13:23">
      <c r="M384" s="9"/>
      <c r="W384" s="6"/>
    </row>
    <row r="385" spans="13:23">
      <c r="M385" s="9"/>
      <c r="W385" s="6"/>
    </row>
    <row r="386" spans="13:23">
      <c r="M386" s="9"/>
      <c r="W386" s="6"/>
    </row>
    <row r="387" spans="13:23">
      <c r="M387" s="9"/>
      <c r="W387" s="6"/>
    </row>
    <row r="388" spans="13:23">
      <c r="M388" s="9"/>
      <c r="W388" s="6"/>
    </row>
    <row r="389" spans="13:23">
      <c r="M389" s="9"/>
      <c r="W389" s="6"/>
    </row>
    <row r="390" spans="13:23">
      <c r="M390" s="9"/>
      <c r="W390" s="6"/>
    </row>
    <row r="391" spans="13:23">
      <c r="M391" s="9"/>
      <c r="W391" s="6"/>
    </row>
    <row r="392" spans="13:23">
      <c r="M392" s="9"/>
      <c r="W392" s="6"/>
    </row>
    <row r="393" spans="13:23">
      <c r="M393" s="9"/>
      <c r="W393" s="6"/>
    </row>
    <row r="394" spans="13:23">
      <c r="M394" s="9"/>
      <c r="W394" s="6"/>
    </row>
    <row r="395" spans="13:23">
      <c r="M395" s="9"/>
      <c r="W395" s="6"/>
    </row>
    <row r="396" spans="13:23">
      <c r="M396" s="9"/>
      <c r="W396" s="6"/>
    </row>
    <row r="397" spans="13:23">
      <c r="M397" s="9"/>
      <c r="W397" s="6"/>
    </row>
    <row r="398" spans="13:23">
      <c r="M398" s="9"/>
      <c r="W398" s="6"/>
    </row>
    <row r="399" spans="13:23">
      <c r="M399" s="9"/>
      <c r="W399" s="6"/>
    </row>
    <row r="400" spans="13:23">
      <c r="M400" s="9"/>
      <c r="W400" s="6"/>
    </row>
    <row r="401" spans="13:23">
      <c r="M401" s="9"/>
      <c r="W401" s="6"/>
    </row>
    <row r="402" spans="13:23">
      <c r="M402" s="9"/>
      <c r="W402" s="6"/>
    </row>
    <row r="403" spans="13:23">
      <c r="M403" s="9"/>
      <c r="W403" s="6"/>
    </row>
    <row r="404" spans="13:23">
      <c r="M404" s="9"/>
      <c r="W404" s="6"/>
    </row>
    <row r="405" spans="13:23">
      <c r="M405" s="9"/>
      <c r="W405" s="6"/>
    </row>
    <row r="406" spans="13:23">
      <c r="M406" s="9"/>
      <c r="W406" s="6"/>
    </row>
    <row r="407" spans="13:23">
      <c r="M407" s="9"/>
      <c r="W407" s="6"/>
    </row>
    <row r="408" spans="13:23">
      <c r="M408" s="9"/>
      <c r="W408" s="6"/>
    </row>
    <row r="409" spans="13:23">
      <c r="M409" s="9"/>
      <c r="W409" s="6"/>
    </row>
    <row r="410" spans="13:23">
      <c r="M410" s="9"/>
      <c r="W410" s="6"/>
    </row>
    <row r="411" spans="13:23">
      <c r="M411" s="9"/>
      <c r="W411" s="6"/>
    </row>
    <row r="412" spans="13:23">
      <c r="M412" s="9"/>
      <c r="W412" s="6"/>
    </row>
    <row r="413" spans="13:23">
      <c r="M413" s="9"/>
      <c r="W413" s="6"/>
    </row>
    <row r="414" spans="13:23">
      <c r="M414" s="9"/>
      <c r="W414" s="6"/>
    </row>
    <row r="415" spans="13:23">
      <c r="M415" s="9"/>
      <c r="W415" s="6"/>
    </row>
    <row r="416" spans="13:23">
      <c r="M416" s="9"/>
      <c r="W416" s="6"/>
    </row>
    <row r="417" spans="13:23">
      <c r="M417" s="9"/>
      <c r="W417" s="6"/>
    </row>
    <row r="418" spans="13:23">
      <c r="M418" s="9"/>
      <c r="W418" s="6"/>
    </row>
    <row r="419" spans="13:23">
      <c r="M419" s="9"/>
      <c r="W419" s="6"/>
    </row>
    <row r="420" spans="13:23">
      <c r="M420" s="9"/>
      <c r="W420" s="6"/>
    </row>
    <row r="421" spans="13:23">
      <c r="M421" s="9"/>
      <c r="W421" s="6"/>
    </row>
    <row r="422" spans="13:23">
      <c r="M422" s="9"/>
      <c r="W422" s="6"/>
    </row>
    <row r="423" spans="13:23">
      <c r="M423" s="9"/>
      <c r="W423" s="6"/>
    </row>
    <row r="424" spans="13:23">
      <c r="M424" s="9"/>
      <c r="W424" s="6"/>
    </row>
    <row r="425" spans="13:23">
      <c r="M425" s="9"/>
      <c r="W425" s="6"/>
    </row>
    <row r="426" spans="13:23">
      <c r="M426" s="9"/>
      <c r="W426" s="6"/>
    </row>
    <row r="427" spans="13:23">
      <c r="M427" s="9"/>
      <c r="W427" s="6"/>
    </row>
    <row r="428" spans="13:23">
      <c r="M428" s="9"/>
      <c r="W428" s="6"/>
    </row>
    <row r="429" spans="13:23">
      <c r="M429" s="9"/>
      <c r="W429" s="6"/>
    </row>
    <row r="430" spans="13:23">
      <c r="M430" s="9"/>
      <c r="W430" s="6"/>
    </row>
    <row r="431" spans="13:23">
      <c r="M431" s="9"/>
      <c r="W431" s="6"/>
    </row>
    <row r="432" spans="13:23">
      <c r="M432" s="9"/>
      <c r="W432" s="6"/>
    </row>
    <row r="433" spans="13:23">
      <c r="M433" s="9"/>
      <c r="W433" s="6"/>
    </row>
    <row r="434" spans="13:23">
      <c r="M434" s="9"/>
      <c r="W434" s="6"/>
    </row>
    <row r="435" spans="13:23">
      <c r="M435" s="9"/>
      <c r="W435" s="6"/>
    </row>
    <row r="436" spans="13:23">
      <c r="M436" s="9"/>
      <c r="W436" s="6"/>
    </row>
    <row r="437" spans="13:23">
      <c r="M437" s="9"/>
      <c r="W437" s="6"/>
    </row>
    <row r="438" spans="13:23">
      <c r="M438" s="9"/>
      <c r="W438" s="6"/>
    </row>
    <row r="439" spans="13:23">
      <c r="M439" s="9"/>
      <c r="W439" s="6"/>
    </row>
    <row r="440" spans="13:23">
      <c r="M440" s="9"/>
      <c r="W440" s="6"/>
    </row>
    <row r="441" spans="13:23">
      <c r="M441" s="9"/>
      <c r="W441" s="6"/>
    </row>
    <row r="442" spans="13:23">
      <c r="M442" s="9"/>
      <c r="W442" s="6"/>
    </row>
    <row r="443" spans="13:23">
      <c r="M443" s="9"/>
      <c r="W443" s="6"/>
    </row>
    <row r="444" spans="13:23">
      <c r="M444" s="9"/>
      <c r="W444" s="6"/>
    </row>
    <row r="445" spans="13:23">
      <c r="M445" s="9"/>
      <c r="W445" s="6"/>
    </row>
    <row r="446" spans="13:23">
      <c r="M446" s="9"/>
      <c r="W446" s="6"/>
    </row>
    <row r="447" spans="13:23">
      <c r="M447" s="9"/>
      <c r="W447" s="6"/>
    </row>
    <row r="448" spans="13:23">
      <c r="M448" s="9"/>
      <c r="W448" s="6"/>
    </row>
    <row r="449" spans="13:23">
      <c r="M449" s="9"/>
      <c r="W449" s="6"/>
    </row>
    <row r="450" spans="13:23">
      <c r="M450" s="9"/>
      <c r="W450" s="6"/>
    </row>
    <row r="451" spans="13:23">
      <c r="M451" s="9"/>
      <c r="W451" s="6"/>
    </row>
    <row r="452" spans="13:23">
      <c r="M452" s="9"/>
      <c r="W452" s="6"/>
    </row>
    <row r="453" spans="13:23">
      <c r="M453" s="9"/>
      <c r="W453" s="6"/>
    </row>
    <row r="454" spans="13:23">
      <c r="M454" s="9"/>
      <c r="W454" s="6"/>
    </row>
    <row r="455" spans="13:23">
      <c r="M455" s="9"/>
      <c r="W455" s="6"/>
    </row>
    <row r="456" spans="13:23">
      <c r="M456" s="9"/>
      <c r="W456" s="6"/>
    </row>
    <row r="457" spans="13:23">
      <c r="M457" s="9"/>
      <c r="W457" s="6"/>
    </row>
    <row r="458" spans="13:23">
      <c r="M458" s="9"/>
      <c r="W458" s="6"/>
    </row>
    <row r="459" spans="13:23">
      <c r="M459" s="9"/>
      <c r="W459" s="6"/>
    </row>
    <row r="460" spans="13:23">
      <c r="M460" s="9"/>
      <c r="W460" s="6"/>
    </row>
    <row r="461" spans="13:23">
      <c r="M461" s="9"/>
      <c r="W461" s="6"/>
    </row>
    <row r="462" spans="13:23">
      <c r="M462" s="9"/>
      <c r="W462" s="6"/>
    </row>
    <row r="463" spans="13:23">
      <c r="M463" s="9"/>
      <c r="W463" s="6"/>
    </row>
    <row r="464" spans="13:23">
      <c r="M464" s="9"/>
      <c r="W464" s="6"/>
    </row>
    <row r="465" spans="13:23">
      <c r="M465" s="9"/>
      <c r="W465" s="6"/>
    </row>
    <row r="466" spans="13:23">
      <c r="M466" s="9"/>
      <c r="W466" s="6"/>
    </row>
    <row r="467" spans="13:23">
      <c r="M467" s="9"/>
      <c r="W467" s="6"/>
    </row>
    <row r="468" spans="13:23">
      <c r="M468" s="9"/>
      <c r="W468" s="6"/>
    </row>
    <row r="469" spans="13:23">
      <c r="M469" s="9"/>
      <c r="W469" s="6"/>
    </row>
    <row r="470" spans="13:23">
      <c r="M470" s="9"/>
      <c r="W470" s="6"/>
    </row>
    <row r="471" spans="13:23">
      <c r="M471" s="9"/>
      <c r="W471" s="6"/>
    </row>
    <row r="472" spans="13:23">
      <c r="M472" s="9"/>
      <c r="W472" s="6"/>
    </row>
    <row r="473" spans="13:23">
      <c r="M473" s="9"/>
      <c r="W473" s="6"/>
    </row>
    <row r="474" spans="13:23">
      <c r="M474" s="9"/>
      <c r="W474" s="6"/>
    </row>
    <row r="475" spans="13:23">
      <c r="M475" s="9"/>
      <c r="W475" s="6"/>
    </row>
    <row r="476" spans="13:23">
      <c r="M476" s="9"/>
      <c r="W476" s="6"/>
    </row>
    <row r="477" spans="13:23">
      <c r="M477" s="9"/>
      <c r="W477" s="6"/>
    </row>
    <row r="478" spans="13:23">
      <c r="M478" s="9"/>
      <c r="W478" s="6"/>
    </row>
    <row r="479" spans="13:23">
      <c r="M479" s="9"/>
      <c r="W479" s="6"/>
    </row>
    <row r="480" spans="13:23">
      <c r="M480" s="9"/>
      <c r="W480" s="6"/>
    </row>
    <row r="481" spans="13:23">
      <c r="M481" s="9"/>
      <c r="W481" s="6"/>
    </row>
    <row r="482" spans="13:23">
      <c r="M482" s="9"/>
      <c r="W482" s="6"/>
    </row>
    <row r="483" spans="13:23">
      <c r="M483" s="9"/>
      <c r="W483" s="6"/>
    </row>
    <row r="484" spans="13:23">
      <c r="M484" s="9"/>
      <c r="W484" s="6"/>
    </row>
    <row r="485" spans="13:23">
      <c r="M485" s="9"/>
      <c r="W485" s="6"/>
    </row>
    <row r="486" spans="13:23">
      <c r="M486" s="9"/>
      <c r="W486" s="6"/>
    </row>
    <row r="487" spans="13:23">
      <c r="M487" s="9"/>
      <c r="W487" s="6"/>
    </row>
    <row r="488" spans="13:23">
      <c r="M488" s="9"/>
      <c r="W488" s="6"/>
    </row>
    <row r="489" spans="13:23">
      <c r="M489" s="9"/>
      <c r="W489" s="6"/>
    </row>
    <row r="490" spans="13:23">
      <c r="M490" s="9"/>
      <c r="W490" s="6"/>
    </row>
    <row r="491" spans="13:23">
      <c r="M491" s="9"/>
      <c r="W491" s="6"/>
    </row>
    <row r="492" spans="13:23">
      <c r="M492" s="9"/>
      <c r="W492" s="6"/>
    </row>
    <row r="493" spans="13:23">
      <c r="M493" s="9"/>
      <c r="W493" s="6"/>
    </row>
    <row r="494" spans="13:23">
      <c r="M494" s="9"/>
      <c r="W494" s="6"/>
    </row>
    <row r="495" spans="13:23">
      <c r="M495" s="9"/>
      <c r="W495" s="6"/>
    </row>
    <row r="496" spans="13:23">
      <c r="M496" s="9"/>
      <c r="W496" s="6"/>
    </row>
    <row r="497" spans="13:23">
      <c r="M497" s="9"/>
      <c r="W497" s="6"/>
    </row>
    <row r="498" spans="13:23">
      <c r="M498" s="9"/>
      <c r="W498" s="6"/>
    </row>
    <row r="499" spans="13:23">
      <c r="M499" s="9"/>
      <c r="W499" s="6"/>
    </row>
    <row r="500" spans="13:23">
      <c r="M500" s="9"/>
      <c r="W500" s="6"/>
    </row>
    <row r="501" spans="13:23">
      <c r="M501" s="9"/>
      <c r="W501" s="6"/>
    </row>
    <row r="502" spans="13:23">
      <c r="M502" s="9"/>
      <c r="W502" s="6"/>
    </row>
    <row r="503" spans="13:23">
      <c r="M503" s="9"/>
      <c r="W503" s="6"/>
    </row>
    <row r="504" spans="13:23">
      <c r="M504" s="9"/>
      <c r="W504" s="6"/>
    </row>
    <row r="505" spans="13:23">
      <c r="M505" s="9"/>
      <c r="W505" s="6"/>
    </row>
    <row r="506" spans="13:23">
      <c r="M506" s="9"/>
      <c r="W506" s="6"/>
    </row>
    <row r="507" spans="13:23">
      <c r="M507" s="9"/>
      <c r="W507" s="6"/>
    </row>
    <row r="508" spans="13:23">
      <c r="M508" s="9"/>
      <c r="W508" s="6"/>
    </row>
    <row r="509" spans="13:23">
      <c r="M509" s="9"/>
      <c r="W509" s="6"/>
    </row>
    <row r="510" spans="13:23">
      <c r="M510" s="9"/>
      <c r="W510" s="6"/>
    </row>
    <row r="511" spans="13:23">
      <c r="M511" s="9"/>
      <c r="W511" s="6"/>
    </row>
    <row r="512" spans="13:23">
      <c r="M512" s="9"/>
      <c r="W512" s="6"/>
    </row>
    <row r="513" spans="13:23">
      <c r="M513" s="9"/>
      <c r="W513" s="6"/>
    </row>
    <row r="514" spans="13:23">
      <c r="M514" s="9"/>
      <c r="W514" s="6"/>
    </row>
    <row r="515" spans="13:23">
      <c r="M515" s="9"/>
      <c r="W515" s="6"/>
    </row>
    <row r="516" spans="13:23">
      <c r="M516" s="9"/>
      <c r="W516" s="6"/>
    </row>
    <row r="517" spans="13:23">
      <c r="M517" s="9"/>
      <c r="W517" s="6"/>
    </row>
    <row r="518" spans="13:23">
      <c r="M518" s="9"/>
      <c r="W518" s="6"/>
    </row>
    <row r="519" spans="13:23">
      <c r="M519" s="9"/>
      <c r="W519" s="6"/>
    </row>
    <row r="520" spans="13:23">
      <c r="M520" s="9"/>
      <c r="W520" s="6"/>
    </row>
    <row r="521" spans="13:23">
      <c r="M521" s="9"/>
      <c r="W521" s="6"/>
    </row>
    <row r="522" spans="13:23">
      <c r="M522" s="9"/>
      <c r="W522" s="6"/>
    </row>
    <row r="523" spans="13:23">
      <c r="M523" s="9"/>
      <c r="W523" s="6"/>
    </row>
    <row r="524" spans="13:23">
      <c r="M524" s="9"/>
      <c r="W524" s="6"/>
    </row>
    <row r="525" spans="13:23">
      <c r="M525" s="9"/>
      <c r="W525" s="6"/>
    </row>
    <row r="526" spans="13:23">
      <c r="M526" s="9"/>
      <c r="W526" s="6"/>
    </row>
    <row r="527" spans="13:23">
      <c r="M527" s="9"/>
      <c r="W527" s="6"/>
    </row>
    <row r="528" spans="13:23">
      <c r="M528" s="9"/>
      <c r="W528" s="6"/>
    </row>
    <row r="529" spans="13:23">
      <c r="M529" s="9"/>
      <c r="W529" s="6"/>
    </row>
    <row r="530" spans="13:23">
      <c r="M530" s="9"/>
      <c r="W530" s="6"/>
    </row>
    <row r="531" spans="13:23">
      <c r="M531" s="9"/>
      <c r="W531" s="6"/>
    </row>
    <row r="532" spans="13:23">
      <c r="M532" s="9"/>
      <c r="W532" s="6"/>
    </row>
    <row r="533" spans="13:23">
      <c r="M533" s="9"/>
      <c r="W533" s="6"/>
    </row>
    <row r="534" spans="13:23">
      <c r="M534" s="9"/>
      <c r="W534" s="6"/>
    </row>
    <row r="535" spans="13:23">
      <c r="M535" s="9"/>
      <c r="W535" s="6"/>
    </row>
    <row r="536" spans="13:23">
      <c r="M536" s="9"/>
      <c r="W536" s="6"/>
    </row>
    <row r="537" spans="13:23">
      <c r="M537" s="9"/>
      <c r="W537" s="6"/>
    </row>
    <row r="538" spans="13:23">
      <c r="M538" s="9"/>
      <c r="W538" s="6"/>
    </row>
    <row r="539" spans="13:23">
      <c r="M539" s="9"/>
      <c r="W539" s="6"/>
    </row>
    <row r="540" spans="13:23">
      <c r="M540" s="9"/>
      <c r="W540" s="6"/>
    </row>
    <row r="541" spans="13:23">
      <c r="M541" s="9"/>
      <c r="W541" s="6"/>
    </row>
    <row r="542" spans="13:23">
      <c r="M542" s="9"/>
      <c r="W542" s="6"/>
    </row>
    <row r="543" spans="13:23">
      <c r="M543" s="9"/>
      <c r="W543" s="6"/>
    </row>
    <row r="544" spans="13:23">
      <c r="M544" s="9"/>
      <c r="W544" s="6"/>
    </row>
    <row r="545" spans="13:23">
      <c r="M545" s="9"/>
      <c r="W545" s="6"/>
    </row>
    <row r="546" spans="13:23">
      <c r="M546" s="9"/>
      <c r="W546" s="6"/>
    </row>
    <row r="547" spans="13:23">
      <c r="M547" s="9"/>
      <c r="W547" s="6"/>
    </row>
    <row r="548" spans="13:23">
      <c r="M548" s="9"/>
      <c r="W548" s="6"/>
    </row>
    <row r="549" spans="13:23">
      <c r="M549" s="9"/>
      <c r="W549" s="6"/>
    </row>
    <row r="550" spans="13:23">
      <c r="M550" s="9"/>
      <c r="W550" s="6"/>
    </row>
    <row r="551" spans="13:23">
      <c r="M551" s="9"/>
      <c r="W551" s="6"/>
    </row>
    <row r="552" spans="13:23">
      <c r="M552" s="9"/>
      <c r="W552" s="6"/>
    </row>
    <row r="553" spans="13:23">
      <c r="M553" s="9"/>
      <c r="W553" s="6"/>
    </row>
    <row r="554" spans="13:23">
      <c r="M554" s="9"/>
      <c r="W554" s="6"/>
    </row>
    <row r="555" spans="13:23">
      <c r="M555" s="9"/>
      <c r="W555" s="6"/>
    </row>
    <row r="556" spans="13:23">
      <c r="M556" s="9"/>
      <c r="W556" s="6"/>
    </row>
    <row r="557" spans="13:23">
      <c r="M557" s="9"/>
      <c r="W557" s="6"/>
    </row>
    <row r="558" spans="13:23">
      <c r="M558" s="9"/>
      <c r="W558" s="6"/>
    </row>
    <row r="559" spans="13:23">
      <c r="M559" s="9"/>
      <c r="W559" s="6"/>
    </row>
    <row r="560" spans="13:23">
      <c r="M560" s="9"/>
      <c r="W560" s="6"/>
    </row>
    <row r="561" spans="13:23">
      <c r="M561" s="9"/>
      <c r="W561" s="6"/>
    </row>
    <row r="562" spans="13:23">
      <c r="M562" s="9"/>
      <c r="W562" s="6"/>
    </row>
    <row r="563" spans="13:23">
      <c r="M563" s="9"/>
      <c r="W563" s="6"/>
    </row>
    <row r="564" spans="13:23">
      <c r="M564" s="9"/>
      <c r="W564" s="6"/>
    </row>
    <row r="565" spans="13:23">
      <c r="M565" s="9"/>
      <c r="W565" s="6"/>
    </row>
    <row r="566" spans="13:23">
      <c r="M566" s="9"/>
      <c r="W566" s="6"/>
    </row>
    <row r="567" spans="13:23">
      <c r="M567" s="9"/>
      <c r="W567" s="6"/>
    </row>
    <row r="568" spans="13:23">
      <c r="M568" s="9"/>
      <c r="W568" s="6"/>
    </row>
    <row r="569" spans="13:23">
      <c r="M569" s="9"/>
      <c r="W569" s="6"/>
    </row>
    <row r="570" spans="13:23">
      <c r="M570" s="9"/>
      <c r="W570" s="6"/>
    </row>
    <row r="571" spans="13:23">
      <c r="M571" s="9"/>
      <c r="W571" s="6"/>
    </row>
    <row r="572" spans="13:23">
      <c r="M572" s="9"/>
      <c r="W572" s="6"/>
    </row>
    <row r="573" spans="13:23">
      <c r="M573" s="9"/>
      <c r="W573" s="6"/>
    </row>
    <row r="574" spans="13:23">
      <c r="M574" s="9"/>
      <c r="W574" s="6"/>
    </row>
    <row r="575" spans="13:23">
      <c r="M575" s="9"/>
      <c r="W575" s="6"/>
    </row>
    <row r="576" spans="13:23">
      <c r="M576" s="9"/>
      <c r="W576" s="6"/>
    </row>
    <row r="577" spans="13:23">
      <c r="M577" s="9"/>
      <c r="W577" s="6"/>
    </row>
    <row r="578" spans="13:23">
      <c r="M578" s="9"/>
      <c r="W578" s="6"/>
    </row>
    <row r="579" spans="13:23">
      <c r="M579" s="9"/>
      <c r="W579" s="6"/>
    </row>
    <row r="580" spans="13:23">
      <c r="M580" s="9"/>
      <c r="W580" s="6"/>
    </row>
    <row r="581" spans="13:23">
      <c r="M581" s="9"/>
      <c r="W581" s="6"/>
    </row>
    <row r="582" spans="13:23">
      <c r="M582" s="9"/>
      <c r="W582" s="6"/>
    </row>
    <row r="583" spans="13:23">
      <c r="M583" s="9"/>
      <c r="W583" s="6"/>
    </row>
    <row r="584" spans="13:23">
      <c r="M584" s="9"/>
      <c r="W584" s="6"/>
    </row>
    <row r="585" spans="13:23">
      <c r="M585" s="9"/>
      <c r="W585" s="6"/>
    </row>
    <row r="586" spans="13:23">
      <c r="M586" s="9"/>
      <c r="W586" s="6"/>
    </row>
    <row r="587" spans="13:23">
      <c r="M587" s="9"/>
      <c r="W587" s="6"/>
    </row>
    <row r="588" spans="13:23">
      <c r="M588" s="9"/>
      <c r="W588" s="6"/>
    </row>
    <row r="589" spans="13:23">
      <c r="M589" s="9"/>
      <c r="W589" s="6"/>
    </row>
    <row r="590" spans="13:23">
      <c r="M590" s="9"/>
      <c r="W590" s="6"/>
    </row>
    <row r="591" spans="13:23">
      <c r="M591" s="9"/>
      <c r="W591" s="6"/>
    </row>
    <row r="592" spans="13:23">
      <c r="M592" s="9"/>
      <c r="W592" s="6"/>
    </row>
    <row r="593" spans="13:23">
      <c r="M593" s="9"/>
      <c r="W593" s="6"/>
    </row>
    <row r="594" spans="13:23">
      <c r="M594" s="9"/>
      <c r="W594" s="6"/>
    </row>
    <row r="595" spans="13:23">
      <c r="M595" s="9"/>
      <c r="W595" s="6"/>
    </row>
    <row r="596" spans="13:23">
      <c r="M596" s="9"/>
      <c r="W596" s="6"/>
    </row>
    <row r="597" spans="13:23">
      <c r="M597" s="9"/>
      <c r="W597" s="6"/>
    </row>
    <row r="598" spans="13:23">
      <c r="M598" s="9"/>
      <c r="W598" s="6"/>
    </row>
    <row r="599" spans="13:23">
      <c r="M599" s="9"/>
      <c r="W599" s="6"/>
    </row>
    <row r="600" spans="13:23">
      <c r="M600" s="9"/>
      <c r="W600" s="6"/>
    </row>
    <row r="601" spans="13:23">
      <c r="M601" s="9"/>
      <c r="W601" s="6"/>
    </row>
    <row r="602" spans="13:23">
      <c r="M602" s="9"/>
      <c r="W602" s="6"/>
    </row>
    <row r="603" spans="13:23">
      <c r="M603" s="9"/>
      <c r="W603" s="6"/>
    </row>
    <row r="604" spans="13:23">
      <c r="M604" s="9"/>
      <c r="W604" s="6"/>
    </row>
    <row r="605" spans="13:23">
      <c r="M605" s="9"/>
      <c r="W605" s="6"/>
    </row>
    <row r="606" spans="13:23">
      <c r="M606" s="9"/>
      <c r="W606" s="6"/>
    </row>
    <row r="607" spans="13:23">
      <c r="M607" s="9"/>
      <c r="W607" s="6"/>
    </row>
    <row r="608" spans="13:23">
      <c r="M608" s="9"/>
      <c r="W608" s="6"/>
    </row>
    <row r="609" spans="13:23">
      <c r="M609" s="9"/>
      <c r="W609" s="6"/>
    </row>
    <row r="610" spans="13:23">
      <c r="M610" s="9"/>
      <c r="W610" s="6"/>
    </row>
    <row r="611" spans="13:23">
      <c r="M611" s="9"/>
      <c r="W611" s="6"/>
    </row>
    <row r="612" spans="13:23">
      <c r="M612" s="9"/>
      <c r="W612" s="6"/>
    </row>
    <row r="613" spans="13:23">
      <c r="M613" s="9"/>
      <c r="W613" s="6"/>
    </row>
    <row r="614" spans="13:23">
      <c r="M614" s="9"/>
      <c r="W614" s="6"/>
    </row>
    <row r="615" spans="13:23">
      <c r="M615" s="9"/>
      <c r="W615" s="6"/>
    </row>
    <row r="616" spans="13:23">
      <c r="M616" s="9"/>
      <c r="W616" s="6"/>
    </row>
    <row r="617" spans="13:23">
      <c r="M617" s="9"/>
      <c r="W617" s="6"/>
    </row>
    <row r="618" spans="13:23">
      <c r="M618" s="9"/>
      <c r="W618" s="6"/>
    </row>
    <row r="619" spans="13:23">
      <c r="M619" s="9"/>
      <c r="W619" s="6"/>
    </row>
    <row r="620" spans="13:23">
      <c r="M620" s="9"/>
      <c r="W620" s="6"/>
    </row>
    <row r="621" spans="13:23">
      <c r="M621" s="9"/>
      <c r="W621" s="6"/>
    </row>
    <row r="622" spans="13:23">
      <c r="M622" s="9"/>
      <c r="W622" s="6"/>
    </row>
    <row r="623" spans="13:23">
      <c r="M623" s="9"/>
      <c r="W623" s="6"/>
    </row>
    <row r="624" spans="13:23">
      <c r="M624" s="9"/>
      <c r="W624" s="6"/>
    </row>
    <row r="625" spans="13:23">
      <c r="M625" s="9"/>
      <c r="W625" s="6"/>
    </row>
    <row r="626" spans="13:23">
      <c r="M626" s="9"/>
      <c r="W626" s="6"/>
    </row>
    <row r="627" spans="13:23">
      <c r="M627" s="9"/>
      <c r="W627" s="6"/>
    </row>
    <row r="628" spans="13:23">
      <c r="M628" s="9"/>
      <c r="W628" s="6"/>
    </row>
    <row r="629" spans="13:23">
      <c r="M629" s="9"/>
      <c r="W629" s="6"/>
    </row>
    <row r="630" spans="13:23">
      <c r="M630" s="9"/>
      <c r="W630" s="6"/>
    </row>
    <row r="631" spans="13:23">
      <c r="M631" s="9"/>
      <c r="W631" s="6"/>
    </row>
    <row r="632" spans="13:23">
      <c r="M632" s="9"/>
      <c r="W632" s="6"/>
    </row>
    <row r="633" spans="13:23">
      <c r="M633" s="9"/>
      <c r="W633" s="6"/>
    </row>
    <row r="634" spans="13:23">
      <c r="M634" s="9"/>
      <c r="W634" s="6"/>
    </row>
    <row r="635" spans="13:23">
      <c r="M635" s="9"/>
      <c r="W635" s="6"/>
    </row>
    <row r="636" spans="13:23">
      <c r="M636" s="9"/>
      <c r="W636" s="6"/>
    </row>
    <row r="637" spans="13:23">
      <c r="M637" s="9"/>
      <c r="W637" s="6"/>
    </row>
    <row r="638" spans="13:23">
      <c r="M638" s="9"/>
      <c r="W638" s="6"/>
    </row>
    <row r="639" spans="13:23">
      <c r="M639" s="9"/>
      <c r="W639" s="6"/>
    </row>
    <row r="640" spans="13:23">
      <c r="M640" s="9"/>
      <c r="W640" s="6"/>
    </row>
    <row r="641" spans="13:23">
      <c r="M641" s="9"/>
      <c r="W641" s="6"/>
    </row>
    <row r="642" spans="13:23">
      <c r="M642" s="9"/>
      <c r="W642" s="6"/>
    </row>
    <row r="643" spans="13:23">
      <c r="M643" s="9"/>
      <c r="W643" s="6"/>
    </row>
    <row r="644" spans="13:23">
      <c r="M644" s="9"/>
      <c r="W644" s="6"/>
    </row>
    <row r="645" spans="13:23">
      <c r="M645" s="9"/>
      <c r="W645" s="6"/>
    </row>
    <row r="646" spans="13:23">
      <c r="M646" s="9"/>
      <c r="W646" s="6"/>
    </row>
    <row r="647" spans="13:23">
      <c r="M647" s="9"/>
      <c r="W647" s="6"/>
    </row>
    <row r="648" spans="13:23">
      <c r="M648" s="9"/>
      <c r="W648" s="6"/>
    </row>
    <row r="649" spans="13:23">
      <c r="M649" s="9"/>
      <c r="W649" s="6"/>
    </row>
    <row r="650" spans="13:23">
      <c r="M650" s="9"/>
      <c r="W650" s="6"/>
    </row>
    <row r="651" spans="13:23">
      <c r="M651" s="9"/>
      <c r="W651" s="6"/>
    </row>
    <row r="652" spans="13:23">
      <c r="M652" s="9"/>
      <c r="W652" s="6"/>
    </row>
    <row r="653" spans="13:23">
      <c r="M653" s="9"/>
      <c r="W653" s="6"/>
    </row>
    <row r="654" spans="13:23">
      <c r="M654" s="9"/>
      <c r="W654" s="6"/>
    </row>
    <row r="655" spans="13:23">
      <c r="M655" s="9"/>
      <c r="W655" s="6"/>
    </row>
    <row r="656" spans="13:23">
      <c r="M656" s="9"/>
      <c r="W656" s="6"/>
    </row>
    <row r="657" spans="13:23">
      <c r="M657" s="9"/>
      <c r="W657" s="6"/>
    </row>
    <row r="658" spans="13:23">
      <c r="M658" s="9"/>
      <c r="W658" s="6"/>
    </row>
    <row r="659" spans="13:23">
      <c r="M659" s="9"/>
      <c r="W659" s="6"/>
    </row>
    <row r="660" spans="13:23">
      <c r="M660" s="9"/>
      <c r="W660" s="6"/>
    </row>
    <row r="661" spans="13:23">
      <c r="M661" s="9"/>
      <c r="W661" s="6"/>
    </row>
    <row r="662" spans="13:23">
      <c r="M662" s="9"/>
      <c r="W662" s="6"/>
    </row>
    <row r="663" spans="13:23">
      <c r="M663" s="9"/>
      <c r="W663" s="6"/>
    </row>
    <row r="664" spans="13:23">
      <c r="M664" s="9"/>
      <c r="W664" s="6"/>
    </row>
    <row r="665" spans="13:23">
      <c r="M665" s="9"/>
      <c r="W665" s="6"/>
    </row>
    <row r="666" spans="13:23">
      <c r="M666" s="9"/>
      <c r="W666" s="6"/>
    </row>
    <row r="667" spans="13:23">
      <c r="M667" s="9"/>
      <c r="W667" s="6"/>
    </row>
    <row r="668" spans="13:23">
      <c r="M668" s="9"/>
      <c r="W668" s="6"/>
    </row>
    <row r="669" spans="13:23">
      <c r="M669" s="9"/>
      <c r="W669" s="6"/>
    </row>
    <row r="670" spans="13:23">
      <c r="M670" s="9"/>
      <c r="W670" s="6"/>
    </row>
    <row r="671" spans="13:23">
      <c r="M671" s="9"/>
      <c r="W671" s="6"/>
    </row>
    <row r="672" spans="13:23">
      <c r="M672" s="9"/>
      <c r="W672" s="6"/>
    </row>
    <row r="673" spans="13:23">
      <c r="M673" s="9"/>
      <c r="W673" s="6"/>
    </row>
    <row r="674" spans="13:23">
      <c r="M674" s="9"/>
      <c r="W674" s="6"/>
    </row>
    <row r="675" spans="13:23">
      <c r="M675" s="9"/>
      <c r="W675" s="6"/>
    </row>
    <row r="676" spans="13:23">
      <c r="M676" s="9"/>
      <c r="W676" s="6"/>
    </row>
    <row r="677" spans="13:23">
      <c r="M677" s="9"/>
      <c r="W677" s="6"/>
    </row>
    <row r="678" spans="13:23">
      <c r="M678" s="9"/>
      <c r="W678" s="6"/>
    </row>
    <row r="679" spans="13:23">
      <c r="M679" s="9"/>
      <c r="W679" s="6"/>
    </row>
    <row r="680" spans="13:23">
      <c r="M680" s="9"/>
      <c r="W680" s="6"/>
    </row>
    <row r="681" spans="13:23">
      <c r="M681" s="9"/>
      <c r="W681" s="6"/>
    </row>
    <row r="682" spans="13:23">
      <c r="M682" s="9"/>
      <c r="W682" s="6"/>
    </row>
    <row r="683" spans="13:23">
      <c r="M683" s="9"/>
      <c r="W683" s="6"/>
    </row>
    <row r="684" spans="13:23">
      <c r="M684" s="9"/>
      <c r="W684" s="6"/>
    </row>
    <row r="685" spans="13:23">
      <c r="M685" s="9"/>
      <c r="W685" s="6"/>
    </row>
    <row r="686" spans="13:23">
      <c r="M686" s="9"/>
      <c r="W686" s="6"/>
    </row>
    <row r="687" spans="13:23">
      <c r="M687" s="9"/>
      <c r="W687" s="6"/>
    </row>
    <row r="688" spans="13:23">
      <c r="M688" s="9"/>
      <c r="W688" s="6"/>
    </row>
    <row r="689" spans="13:23">
      <c r="M689" s="9"/>
      <c r="W689" s="6"/>
    </row>
    <row r="690" spans="13:23">
      <c r="M690" s="9"/>
      <c r="W690" s="6"/>
    </row>
    <row r="691" spans="13:23">
      <c r="M691" s="9"/>
      <c r="W691" s="6"/>
    </row>
    <row r="692" spans="13:23">
      <c r="M692" s="9"/>
      <c r="W692" s="6"/>
    </row>
    <row r="693" spans="13:23">
      <c r="M693" s="9"/>
      <c r="W693" s="6"/>
    </row>
    <row r="694" spans="13:23">
      <c r="M694" s="9"/>
      <c r="W694" s="6"/>
    </row>
    <row r="695" spans="13:23">
      <c r="M695" s="9"/>
      <c r="W695" s="6"/>
    </row>
    <row r="696" spans="13:23">
      <c r="M696" s="9"/>
      <c r="W696" s="6"/>
    </row>
    <row r="697" spans="13:23">
      <c r="M697" s="9"/>
      <c r="W697" s="6"/>
    </row>
    <row r="698" spans="13:23">
      <c r="M698" s="9"/>
      <c r="W698" s="6"/>
    </row>
    <row r="699" spans="13:23">
      <c r="M699" s="9"/>
      <c r="W699" s="6"/>
    </row>
    <row r="700" spans="13:23">
      <c r="M700" s="9"/>
      <c r="W700" s="6"/>
    </row>
    <row r="701" spans="13:23">
      <c r="M701" s="9"/>
      <c r="W701" s="6"/>
    </row>
    <row r="702" spans="13:23">
      <c r="M702" s="9"/>
      <c r="W702" s="6"/>
    </row>
    <row r="703" spans="13:23">
      <c r="M703" s="9"/>
      <c r="W703" s="6"/>
    </row>
    <row r="704" spans="13:23">
      <c r="M704" s="9"/>
      <c r="W704" s="6"/>
    </row>
    <row r="705" spans="13:23">
      <c r="M705" s="9"/>
      <c r="W705" s="6"/>
    </row>
    <row r="706" spans="13:23">
      <c r="M706" s="9"/>
      <c r="W706" s="6"/>
    </row>
    <row r="707" spans="13:23">
      <c r="M707" s="9"/>
      <c r="W707" s="6"/>
    </row>
    <row r="708" spans="13:23">
      <c r="M708" s="9"/>
      <c r="W708" s="6"/>
    </row>
    <row r="709" spans="13:23">
      <c r="M709" s="9"/>
      <c r="W709" s="6"/>
    </row>
    <row r="710" spans="13:23">
      <c r="M710" s="9"/>
      <c r="W710" s="6"/>
    </row>
    <row r="711" spans="13:23">
      <c r="M711" s="9"/>
      <c r="W711" s="6"/>
    </row>
    <row r="712" spans="13:23">
      <c r="M712" s="9"/>
      <c r="W712" s="6"/>
    </row>
    <row r="713" spans="13:23">
      <c r="M713" s="9"/>
      <c r="W713" s="6"/>
    </row>
    <row r="714" spans="13:23">
      <c r="M714" s="9"/>
      <c r="W714" s="6"/>
    </row>
    <row r="715" spans="13:23">
      <c r="M715" s="9"/>
      <c r="W715" s="6"/>
    </row>
    <row r="716" spans="13:23">
      <c r="M716" s="9"/>
      <c r="W716" s="6"/>
    </row>
    <row r="717" spans="13:23">
      <c r="M717" s="9"/>
      <c r="W717" s="6"/>
    </row>
    <row r="718" spans="13:23">
      <c r="M718" s="9"/>
      <c r="W718" s="6"/>
    </row>
    <row r="719" spans="13:23">
      <c r="M719" s="9"/>
      <c r="W719" s="6"/>
    </row>
    <row r="720" spans="13:23">
      <c r="M720" s="9"/>
      <c r="W720" s="6"/>
    </row>
    <row r="721" spans="13:23">
      <c r="M721" s="9"/>
      <c r="W721" s="6"/>
    </row>
    <row r="722" spans="13:23">
      <c r="M722" s="9"/>
      <c r="W722" s="6"/>
    </row>
    <row r="723" spans="13:23">
      <c r="M723" s="9"/>
      <c r="W723" s="6"/>
    </row>
    <row r="724" spans="13:23">
      <c r="M724" s="9"/>
      <c r="W724" s="6"/>
    </row>
    <row r="725" spans="13:23">
      <c r="M725" s="9"/>
      <c r="W725" s="6"/>
    </row>
    <row r="726" spans="13:23">
      <c r="M726" s="9"/>
      <c r="W726" s="6"/>
    </row>
    <row r="727" spans="13:23">
      <c r="M727" s="9"/>
      <c r="W727" s="6"/>
    </row>
    <row r="728" spans="13:23">
      <c r="M728" s="9"/>
      <c r="W728" s="6"/>
    </row>
    <row r="729" spans="13:23">
      <c r="M729" s="9"/>
      <c r="W729" s="6"/>
    </row>
    <row r="730" spans="13:23">
      <c r="M730" s="9"/>
      <c r="W730" s="6"/>
    </row>
    <row r="731" spans="13:23">
      <c r="M731" s="9"/>
      <c r="W731" s="6"/>
    </row>
    <row r="732" spans="13:23">
      <c r="M732" s="9"/>
      <c r="W732" s="6"/>
    </row>
    <row r="733" spans="13:23">
      <c r="M733" s="9"/>
      <c r="W733" s="6"/>
    </row>
    <row r="734" spans="13:23">
      <c r="M734" s="9"/>
      <c r="W734" s="6"/>
    </row>
    <row r="735" spans="13:23">
      <c r="M735" s="9"/>
      <c r="W735" s="6"/>
    </row>
    <row r="736" spans="13:23">
      <c r="M736" s="9"/>
      <c r="W736" s="6"/>
    </row>
    <row r="737" spans="13:23">
      <c r="M737" s="9"/>
      <c r="W737" s="6"/>
    </row>
    <row r="738" spans="13:23">
      <c r="M738" s="9"/>
      <c r="W738" s="6"/>
    </row>
    <row r="739" spans="13:23">
      <c r="M739" s="9"/>
      <c r="W739" s="6"/>
    </row>
    <row r="740" spans="13:23">
      <c r="M740" s="9"/>
      <c r="W740" s="6"/>
    </row>
    <row r="741" spans="13:23">
      <c r="M741" s="9"/>
      <c r="W741" s="6"/>
    </row>
    <row r="742" spans="13:23">
      <c r="M742" s="9"/>
      <c r="W742" s="6"/>
    </row>
    <row r="743" spans="13:23">
      <c r="M743" s="9"/>
      <c r="W743" s="6"/>
    </row>
    <row r="744" spans="13:23">
      <c r="M744" s="9"/>
      <c r="W744" s="6"/>
    </row>
    <row r="745" spans="13:23">
      <c r="M745" s="9"/>
      <c r="W745" s="6"/>
    </row>
    <row r="746" spans="13:23">
      <c r="M746" s="9"/>
      <c r="W746" s="6"/>
    </row>
    <row r="747" spans="13:23">
      <c r="M747" s="9"/>
      <c r="W747" s="6"/>
    </row>
    <row r="748" spans="13:23">
      <c r="M748" s="9"/>
      <c r="W748" s="6"/>
    </row>
    <row r="749" spans="13:23">
      <c r="M749" s="9"/>
      <c r="W749" s="6"/>
    </row>
    <row r="750" spans="13:23">
      <c r="M750" s="9"/>
      <c r="W750" s="6"/>
    </row>
    <row r="751" spans="13:23">
      <c r="M751" s="9"/>
      <c r="W751" s="6"/>
    </row>
    <row r="752" spans="13:23">
      <c r="M752" s="9"/>
      <c r="W752" s="6"/>
    </row>
    <row r="753" spans="13:23">
      <c r="M753" s="9"/>
      <c r="W753" s="6"/>
    </row>
    <row r="754" spans="13:23">
      <c r="M754" s="9"/>
      <c r="W754" s="6"/>
    </row>
    <row r="755" spans="13:23">
      <c r="M755" s="9"/>
      <c r="W755" s="6"/>
    </row>
    <row r="756" spans="13:23">
      <c r="M756" s="9"/>
      <c r="W756" s="6"/>
    </row>
    <row r="757" spans="13:23">
      <c r="M757" s="9"/>
      <c r="W757" s="6"/>
    </row>
    <row r="758" spans="13:23">
      <c r="M758" s="9"/>
      <c r="W758" s="6"/>
    </row>
    <row r="759" spans="13:23">
      <c r="M759" s="9"/>
      <c r="W759" s="6"/>
    </row>
    <row r="760" spans="13:23">
      <c r="M760" s="9"/>
      <c r="W760" s="6"/>
    </row>
    <row r="761" spans="13:23">
      <c r="M761" s="9"/>
      <c r="W761" s="6"/>
    </row>
    <row r="762" spans="13:23">
      <c r="M762" s="9"/>
      <c r="W762" s="6"/>
    </row>
    <row r="763" spans="13:23">
      <c r="M763" s="9"/>
      <c r="W763" s="6"/>
    </row>
    <row r="764" spans="13:23">
      <c r="M764" s="9"/>
      <c r="W764" s="6"/>
    </row>
    <row r="765" spans="13:23">
      <c r="M765" s="9"/>
      <c r="W765" s="6"/>
    </row>
    <row r="766" spans="13:23">
      <c r="M766" s="9"/>
      <c r="W766" s="6"/>
    </row>
    <row r="767" spans="13:23">
      <c r="M767" s="9"/>
      <c r="W767" s="6"/>
    </row>
    <row r="768" spans="13:23">
      <c r="M768" s="9"/>
      <c r="W768" s="6"/>
    </row>
    <row r="769" spans="13:23">
      <c r="M769" s="9"/>
      <c r="W769" s="6"/>
    </row>
    <row r="770" spans="13:23">
      <c r="M770" s="9"/>
      <c r="W770" s="6"/>
    </row>
    <row r="771" spans="13:23">
      <c r="M771" s="9"/>
      <c r="W771" s="6"/>
    </row>
    <row r="772" spans="13:23">
      <c r="M772" s="9"/>
      <c r="W772" s="6"/>
    </row>
    <row r="773" spans="13:23">
      <c r="M773" s="9"/>
      <c r="W773" s="6"/>
    </row>
    <row r="774" spans="13:23">
      <c r="M774" s="9"/>
      <c r="W774" s="6"/>
    </row>
    <row r="775" spans="13:23">
      <c r="M775" s="9"/>
      <c r="W775" s="6"/>
    </row>
    <row r="776" spans="13:23">
      <c r="M776" s="9"/>
      <c r="W776" s="6"/>
    </row>
    <row r="777" spans="13:23">
      <c r="M777" s="9"/>
      <c r="W777" s="6"/>
    </row>
    <row r="778" spans="13:23">
      <c r="M778" s="9"/>
      <c r="W778" s="6"/>
    </row>
    <row r="779" spans="13:23">
      <c r="M779" s="9"/>
      <c r="W779" s="6"/>
    </row>
    <row r="780" spans="13:23">
      <c r="M780" s="9"/>
      <c r="W780" s="6"/>
    </row>
    <row r="781" spans="13:23">
      <c r="M781" s="9"/>
      <c r="W781" s="6"/>
    </row>
    <row r="782" spans="13:23">
      <c r="M782" s="9"/>
      <c r="W782" s="6"/>
    </row>
    <row r="783" spans="13:23">
      <c r="M783" s="9"/>
      <c r="W783" s="6"/>
    </row>
    <row r="784" spans="13:23">
      <c r="M784" s="9"/>
      <c r="W784" s="6"/>
    </row>
    <row r="785" spans="13:23">
      <c r="M785" s="9"/>
      <c r="W785" s="6"/>
    </row>
    <row r="786" spans="13:23">
      <c r="M786" s="9"/>
      <c r="W786" s="6"/>
    </row>
    <row r="787" spans="13:23">
      <c r="M787" s="9"/>
      <c r="W787" s="6"/>
    </row>
    <row r="788" spans="13:23">
      <c r="M788" s="9"/>
      <c r="W788" s="6"/>
    </row>
    <row r="789" spans="13:23">
      <c r="M789" s="9"/>
      <c r="W789" s="6"/>
    </row>
    <row r="790" spans="13:23">
      <c r="M790" s="9"/>
      <c r="W790" s="6"/>
    </row>
    <row r="791" spans="13:23">
      <c r="M791" s="9"/>
      <c r="W791" s="6"/>
    </row>
    <row r="792" spans="13:23">
      <c r="M792" s="9"/>
      <c r="W792" s="6"/>
    </row>
    <row r="793" spans="13:23">
      <c r="M793" s="9"/>
      <c r="W793" s="6"/>
    </row>
    <row r="794" spans="13:23">
      <c r="M794" s="9"/>
      <c r="W794" s="6"/>
    </row>
    <row r="795" spans="13:23">
      <c r="M795" s="9"/>
      <c r="W795" s="6"/>
    </row>
    <row r="796" spans="13:23">
      <c r="M796" s="9"/>
      <c r="W796" s="6"/>
    </row>
    <row r="797" spans="13:23">
      <c r="M797" s="9"/>
      <c r="W797" s="6"/>
    </row>
    <row r="798" spans="13:23">
      <c r="M798" s="9"/>
      <c r="W798" s="6"/>
    </row>
    <row r="799" spans="13:23">
      <c r="M799" s="9"/>
      <c r="W799" s="6"/>
    </row>
    <row r="800" spans="13:23">
      <c r="M800" s="9"/>
      <c r="W800" s="6"/>
    </row>
    <row r="801" spans="13:23">
      <c r="M801" s="9"/>
      <c r="W801" s="6"/>
    </row>
    <row r="802" spans="13:23">
      <c r="M802" s="9"/>
      <c r="W802" s="6"/>
    </row>
    <row r="803" spans="13:23">
      <c r="M803" s="9"/>
      <c r="W803" s="6"/>
    </row>
    <row r="804" spans="13:23">
      <c r="M804" s="9"/>
      <c r="W804" s="6"/>
    </row>
    <row r="805" spans="13:23">
      <c r="M805" s="9"/>
      <c r="W805" s="6"/>
    </row>
    <row r="806" spans="13:23">
      <c r="M806" s="9"/>
      <c r="W806" s="6"/>
    </row>
    <row r="807" spans="13:23">
      <c r="M807" s="9"/>
      <c r="W807" s="6"/>
    </row>
    <row r="808" spans="13:23">
      <c r="M808" s="9"/>
      <c r="W808" s="6"/>
    </row>
    <row r="809" spans="13:23">
      <c r="M809" s="9"/>
      <c r="W809" s="6"/>
    </row>
    <row r="810" spans="13:23">
      <c r="M810" s="9"/>
      <c r="W810" s="6"/>
    </row>
    <row r="811" spans="13:23">
      <c r="M811" s="9"/>
      <c r="W811" s="6"/>
    </row>
    <row r="812" spans="13:23">
      <c r="M812" s="9"/>
      <c r="W812" s="6"/>
    </row>
    <row r="813" spans="13:23">
      <c r="M813" s="9"/>
      <c r="W813" s="6"/>
    </row>
    <row r="814" spans="13:23">
      <c r="M814" s="9"/>
      <c r="W814" s="6"/>
    </row>
    <row r="815" spans="13:23">
      <c r="M815" s="9"/>
      <c r="W815" s="6"/>
    </row>
    <row r="816" spans="13:23">
      <c r="M816" s="9"/>
      <c r="W816" s="6"/>
    </row>
    <row r="817" spans="9:23">
      <c r="I817" s="7"/>
      <c r="M817" s="9"/>
      <c r="O817" s="7"/>
      <c r="W817" s="6"/>
    </row>
    <row r="818" spans="9:23">
      <c r="I818" s="7"/>
      <c r="M818" s="9"/>
      <c r="O818" s="7"/>
      <c r="W818" s="6"/>
    </row>
    <row r="819" spans="9:23">
      <c r="M819" s="9"/>
      <c r="W819" s="6"/>
    </row>
    <row r="820" spans="9:23">
      <c r="M820" s="9"/>
      <c r="W820" s="6"/>
    </row>
    <row r="821" spans="9:23">
      <c r="M821" s="9"/>
      <c r="W821" s="6"/>
    </row>
    <row r="822" spans="9:23">
      <c r="M822" s="9"/>
      <c r="W822" s="6"/>
    </row>
    <row r="823" spans="9:23">
      <c r="M823" s="9"/>
      <c r="W823" s="6"/>
    </row>
    <row r="824" spans="9:23">
      <c r="M824" s="9"/>
      <c r="W824" s="6"/>
    </row>
    <row r="825" spans="9:23">
      <c r="M825" s="9"/>
      <c r="W825" s="6"/>
    </row>
    <row r="826" spans="9:23">
      <c r="M826" s="9"/>
      <c r="W826" s="6"/>
    </row>
    <row r="827" spans="9:23">
      <c r="M827" s="9"/>
      <c r="W827" s="6"/>
    </row>
    <row r="828" spans="9:23">
      <c r="M828" s="9"/>
      <c r="W828" s="6"/>
    </row>
    <row r="829" spans="9:23">
      <c r="M829" s="9"/>
      <c r="W829" s="6"/>
    </row>
    <row r="830" spans="9:23">
      <c r="M830" s="9"/>
      <c r="W830" s="6"/>
    </row>
    <row r="831" spans="9:23">
      <c r="M831" s="9"/>
      <c r="W831" s="6"/>
    </row>
    <row r="832" spans="9:23">
      <c r="M832" s="9"/>
      <c r="W832" s="6"/>
    </row>
    <row r="833" spans="13:23">
      <c r="M833" s="9"/>
      <c r="W833" s="6"/>
    </row>
    <row r="834" spans="13:23">
      <c r="M834" s="9"/>
      <c r="W834" s="6"/>
    </row>
    <row r="835" spans="13:23">
      <c r="M835" s="9"/>
      <c r="W835" s="6"/>
    </row>
    <row r="836" spans="13:23">
      <c r="M836" s="9"/>
      <c r="W836" s="6"/>
    </row>
    <row r="837" spans="13:23">
      <c r="M837" s="9"/>
      <c r="W837" s="6"/>
    </row>
    <row r="838" spans="13:23">
      <c r="M838" s="9"/>
      <c r="W838" s="6"/>
    </row>
    <row r="839" spans="13:23">
      <c r="M839" s="9"/>
      <c r="W839" s="6"/>
    </row>
    <row r="840" spans="13:23">
      <c r="M840" s="9"/>
      <c r="W840" s="6"/>
    </row>
    <row r="841" spans="13:23">
      <c r="M841" s="9"/>
      <c r="W841" s="6"/>
    </row>
    <row r="842" spans="13:23">
      <c r="M842" s="9"/>
      <c r="W842" s="6"/>
    </row>
    <row r="843" spans="13:23">
      <c r="M843" s="9"/>
      <c r="W843" s="6"/>
    </row>
    <row r="844" spans="13:23">
      <c r="M844" s="9"/>
      <c r="W844" s="6"/>
    </row>
    <row r="845" spans="13:23">
      <c r="M845" s="9"/>
      <c r="W845" s="6"/>
    </row>
    <row r="846" spans="13:23">
      <c r="M846" s="9"/>
      <c r="W846" s="6"/>
    </row>
    <row r="847" spans="13:23">
      <c r="M847" s="9"/>
      <c r="W847" s="6"/>
    </row>
    <row r="848" spans="13:23">
      <c r="M848" s="9"/>
      <c r="W848" s="6"/>
    </row>
    <row r="849" spans="13:23">
      <c r="M849" s="9"/>
      <c r="W849" s="6"/>
    </row>
    <row r="850" spans="13:23">
      <c r="M850" s="9"/>
      <c r="W850" s="6"/>
    </row>
    <row r="851" spans="13:23">
      <c r="M851" s="9"/>
      <c r="W851" s="6"/>
    </row>
    <row r="852" spans="13:23">
      <c r="M852" s="9"/>
      <c r="W852" s="6"/>
    </row>
    <row r="853" spans="13:23">
      <c r="M853" s="9"/>
      <c r="W853" s="6"/>
    </row>
    <row r="854" spans="13:23">
      <c r="M854" s="9"/>
      <c r="W854" s="6"/>
    </row>
    <row r="855" spans="13:23">
      <c r="M855" s="9"/>
      <c r="W855" s="6"/>
    </row>
    <row r="856" spans="13:23">
      <c r="M856" s="9"/>
      <c r="W856" s="6"/>
    </row>
    <row r="857" spans="13:23">
      <c r="M857" s="9"/>
      <c r="W857" s="6"/>
    </row>
    <row r="858" spans="13:23">
      <c r="M858" s="9"/>
      <c r="W858" s="6"/>
    </row>
    <row r="859" spans="13:23">
      <c r="M859" s="9"/>
      <c r="W859" s="6"/>
    </row>
    <row r="860" spans="13:23">
      <c r="M860" s="9"/>
      <c r="W860" s="6"/>
    </row>
    <row r="861" spans="13:23">
      <c r="M861" s="9"/>
      <c r="W861" s="6"/>
    </row>
    <row r="862" spans="13:23">
      <c r="M862" s="9"/>
      <c r="W862" s="6"/>
    </row>
    <row r="863" spans="13:23">
      <c r="M863" s="9"/>
      <c r="W863" s="6"/>
    </row>
    <row r="864" spans="13:23">
      <c r="M864" s="9"/>
      <c r="W864" s="6"/>
    </row>
    <row r="865" spans="13:23">
      <c r="M865" s="9"/>
      <c r="W865" s="6"/>
    </row>
    <row r="866" spans="13:23">
      <c r="M866" s="9"/>
      <c r="W866" s="6"/>
    </row>
    <row r="867" spans="13:23">
      <c r="M867" s="9"/>
      <c r="W867" s="6"/>
    </row>
    <row r="868" spans="13:23">
      <c r="M868" s="9"/>
      <c r="W868" s="6"/>
    </row>
    <row r="869" spans="13:23">
      <c r="M869" s="9"/>
      <c r="W869" s="6"/>
    </row>
    <row r="870" spans="13:23">
      <c r="M870" s="9"/>
      <c r="W870" s="6"/>
    </row>
    <row r="871" spans="13:23">
      <c r="M871" s="9"/>
      <c r="W871" s="6"/>
    </row>
    <row r="872" spans="13:23">
      <c r="M872" s="9"/>
      <c r="W872" s="6"/>
    </row>
    <row r="873" spans="13:23">
      <c r="M873" s="9"/>
      <c r="W873" s="6"/>
    </row>
    <row r="874" spans="13:23">
      <c r="M874" s="9"/>
      <c r="W874" s="6"/>
    </row>
    <row r="875" spans="13:23">
      <c r="M875" s="9"/>
      <c r="W875" s="6"/>
    </row>
    <row r="876" spans="13:23">
      <c r="M876" s="9"/>
      <c r="W876" s="6"/>
    </row>
    <row r="877" spans="13:23">
      <c r="M877" s="9"/>
      <c r="W877" s="6"/>
    </row>
    <row r="878" spans="13:23">
      <c r="M878" s="9"/>
      <c r="W878" s="6"/>
    </row>
    <row r="879" spans="13:23">
      <c r="M879" s="9"/>
      <c r="W879" s="6"/>
    </row>
    <row r="880" spans="13:23">
      <c r="M880" s="9"/>
      <c r="W880" s="6"/>
    </row>
    <row r="881" spans="13:23">
      <c r="M881" s="9"/>
      <c r="W881" s="6"/>
    </row>
    <row r="882" spans="13:23">
      <c r="M882" s="9"/>
      <c r="W882" s="6"/>
    </row>
    <row r="883" spans="13:23">
      <c r="M883" s="9"/>
      <c r="W883" s="6"/>
    </row>
    <row r="884" spans="13:23">
      <c r="M884" s="9"/>
      <c r="W884" s="6"/>
    </row>
    <row r="885" spans="13:23">
      <c r="M885" s="9"/>
      <c r="W885" s="6"/>
    </row>
    <row r="886" spans="13:23">
      <c r="M886" s="9"/>
      <c r="W886" s="6"/>
    </row>
    <row r="887" spans="13:23">
      <c r="M887" s="9"/>
      <c r="W887" s="6"/>
    </row>
    <row r="888" spans="13:23">
      <c r="M888" s="9"/>
      <c r="W888" s="6"/>
    </row>
    <row r="889" spans="13:23">
      <c r="M889" s="9"/>
      <c r="W889" s="6"/>
    </row>
    <row r="890" spans="13:23">
      <c r="M890" s="9"/>
      <c r="W890" s="6"/>
    </row>
    <row r="891" spans="13:23">
      <c r="M891" s="9"/>
      <c r="W891" s="6"/>
    </row>
    <row r="892" spans="13:23">
      <c r="M892" s="9"/>
      <c r="W892" s="6"/>
    </row>
    <row r="893" spans="13:23">
      <c r="M893" s="9"/>
      <c r="W893" s="6"/>
    </row>
    <row r="894" spans="13:23">
      <c r="M894" s="9"/>
      <c r="W894" s="6"/>
    </row>
    <row r="895" spans="13:23">
      <c r="M895" s="9"/>
      <c r="W895" s="6"/>
    </row>
    <row r="896" spans="13:23">
      <c r="M896" s="9"/>
      <c r="W896" s="6"/>
    </row>
    <row r="897" spans="13:23">
      <c r="M897" s="9"/>
      <c r="W897" s="6"/>
    </row>
    <row r="898" spans="13:23">
      <c r="M898" s="9"/>
      <c r="W898" s="6"/>
    </row>
    <row r="899" spans="13:23">
      <c r="M899" s="9"/>
      <c r="W899" s="6"/>
    </row>
    <row r="900" spans="13:23">
      <c r="M900" s="9"/>
      <c r="W900" s="6"/>
    </row>
    <row r="901" spans="13:23">
      <c r="M901" s="9"/>
      <c r="W901" s="6"/>
    </row>
    <row r="902" spans="13:23">
      <c r="M902" s="9"/>
      <c r="W902" s="6"/>
    </row>
    <row r="903" spans="13:23">
      <c r="M903" s="9"/>
      <c r="W903" s="6"/>
    </row>
    <row r="904" spans="13:23">
      <c r="M904" s="9"/>
      <c r="W904" s="6"/>
    </row>
    <row r="905" spans="13:23">
      <c r="M905" s="9"/>
      <c r="W905" s="6"/>
    </row>
    <row r="906" spans="13:23">
      <c r="M906" s="9"/>
      <c r="W906" s="6"/>
    </row>
    <row r="907" spans="13:23">
      <c r="M907" s="9"/>
      <c r="W907" s="6"/>
    </row>
    <row r="908" spans="13:23">
      <c r="M908" s="9"/>
      <c r="W908" s="6"/>
    </row>
    <row r="909" spans="13:23">
      <c r="M909" s="9"/>
      <c r="W909" s="6"/>
    </row>
    <row r="910" spans="13:23">
      <c r="M910" s="9"/>
      <c r="W910" s="6"/>
    </row>
    <row r="911" spans="13:23">
      <c r="M911" s="9"/>
      <c r="W911" s="6"/>
    </row>
    <row r="912" spans="13:23">
      <c r="M912" s="9"/>
      <c r="W912" s="6"/>
    </row>
    <row r="913" spans="13:23">
      <c r="M913" s="9"/>
      <c r="W913" s="6"/>
    </row>
    <row r="914" spans="13:23">
      <c r="M914" s="9"/>
      <c r="W914" s="6"/>
    </row>
    <row r="915" spans="13:23">
      <c r="M915" s="9"/>
      <c r="W915" s="6"/>
    </row>
    <row r="916" spans="13:23">
      <c r="M916" s="9"/>
      <c r="W916" s="6"/>
    </row>
    <row r="917" spans="13:23">
      <c r="M917" s="9"/>
      <c r="W917" s="6"/>
    </row>
    <row r="918" spans="13:23">
      <c r="M918" s="9"/>
      <c r="W918" s="6"/>
    </row>
    <row r="919" spans="13:23">
      <c r="M919" s="9"/>
      <c r="W919" s="6"/>
    </row>
    <row r="920" spans="13:23">
      <c r="M920" s="9"/>
      <c r="W920" s="6"/>
    </row>
    <row r="921" spans="13:23">
      <c r="M921" s="9"/>
      <c r="W921" s="6"/>
    </row>
    <row r="922" spans="13:23">
      <c r="M922" s="9"/>
      <c r="W922" s="6"/>
    </row>
    <row r="923" spans="13:23">
      <c r="M923" s="9"/>
      <c r="W923" s="6"/>
    </row>
    <row r="924" spans="13:23">
      <c r="M924" s="9"/>
      <c r="W924" s="6"/>
    </row>
    <row r="925" spans="13:23">
      <c r="M925" s="9"/>
      <c r="W925" s="6"/>
    </row>
    <row r="926" spans="13:23">
      <c r="M926" s="9"/>
      <c r="W926" s="6"/>
    </row>
    <row r="927" spans="13:23">
      <c r="M927" s="9"/>
      <c r="W927" s="6"/>
    </row>
    <row r="928" spans="13:23">
      <c r="M928" s="9"/>
      <c r="W928" s="6"/>
    </row>
    <row r="929" spans="13:23">
      <c r="M929" s="9"/>
      <c r="W929" s="6"/>
    </row>
    <row r="930" spans="13:23">
      <c r="M930" s="9"/>
      <c r="W930" s="6"/>
    </row>
    <row r="931" spans="13:23">
      <c r="M931" s="9"/>
      <c r="W931" s="6"/>
    </row>
    <row r="932" spans="13:23">
      <c r="M932" s="9"/>
      <c r="W932" s="6"/>
    </row>
    <row r="933" spans="13:23">
      <c r="M933" s="9"/>
      <c r="W933" s="6"/>
    </row>
    <row r="934" spans="13:23">
      <c r="M934" s="9"/>
      <c r="W934" s="6"/>
    </row>
    <row r="935" spans="13:23">
      <c r="M935" s="9"/>
      <c r="W935" s="6"/>
    </row>
    <row r="936" spans="13:23">
      <c r="M936" s="9"/>
      <c r="W936" s="6"/>
    </row>
    <row r="937" spans="13:23">
      <c r="M937" s="9"/>
      <c r="W937" s="6"/>
    </row>
    <row r="938" spans="13:23">
      <c r="M938" s="9"/>
      <c r="W938" s="6"/>
    </row>
    <row r="939" spans="13:23">
      <c r="M939" s="9"/>
      <c r="W939" s="6"/>
    </row>
    <row r="940" spans="13:23">
      <c r="M940" s="9"/>
      <c r="W940" s="6"/>
    </row>
    <row r="941" spans="13:23">
      <c r="M941" s="9"/>
      <c r="W941" s="6"/>
    </row>
    <row r="942" spans="13:23">
      <c r="M942" s="9"/>
      <c r="W942" s="6"/>
    </row>
    <row r="943" spans="13:23">
      <c r="M943" s="9"/>
      <c r="W943" s="6"/>
    </row>
    <row r="944" spans="13:23">
      <c r="M944" s="9"/>
      <c r="W944" s="6"/>
    </row>
    <row r="945" spans="13:23">
      <c r="M945" s="9"/>
      <c r="W945" s="6"/>
    </row>
    <row r="946" spans="13:23">
      <c r="M946" s="9"/>
      <c r="W946" s="6"/>
    </row>
    <row r="947" spans="13:23">
      <c r="M947" s="9"/>
      <c r="W947" s="6"/>
    </row>
    <row r="948" spans="13:23">
      <c r="M948" s="9"/>
      <c r="W948" s="6"/>
    </row>
    <row r="949" spans="13:23">
      <c r="M949" s="9"/>
      <c r="W949" s="6"/>
    </row>
    <row r="950" spans="13:23">
      <c r="M950" s="9"/>
      <c r="W950" s="6"/>
    </row>
    <row r="951" spans="13:23">
      <c r="M951" s="9"/>
      <c r="W951" s="6"/>
    </row>
    <row r="952" spans="13:23">
      <c r="M952" s="9"/>
      <c r="W952" s="6"/>
    </row>
    <row r="953" spans="13:23">
      <c r="M953" s="9"/>
      <c r="W953" s="6"/>
    </row>
    <row r="954" spans="13:23">
      <c r="M954" s="9"/>
      <c r="W954" s="6"/>
    </row>
    <row r="955" spans="13:23">
      <c r="M955" s="9"/>
      <c r="W955" s="6"/>
    </row>
    <row r="956" spans="13:23">
      <c r="M956" s="9"/>
      <c r="W956" s="6"/>
    </row>
    <row r="957" spans="13:23">
      <c r="M957" s="9"/>
      <c r="W957" s="6"/>
    </row>
    <row r="958" spans="13:23">
      <c r="M958" s="9"/>
      <c r="W958" s="6"/>
    </row>
    <row r="959" spans="13:23">
      <c r="M959" s="9"/>
      <c r="W959" s="6"/>
    </row>
    <row r="960" spans="13:23">
      <c r="M960" s="9"/>
      <c r="W960" s="6"/>
    </row>
    <row r="961" spans="13:23">
      <c r="M961" s="9"/>
      <c r="W961" s="6"/>
    </row>
    <row r="962" spans="13:23">
      <c r="M962" s="9"/>
      <c r="W962" s="6"/>
    </row>
    <row r="963" spans="13:23">
      <c r="M963" s="9"/>
      <c r="W963" s="6"/>
    </row>
    <row r="964" spans="13:23">
      <c r="M964" s="9"/>
      <c r="W964" s="6"/>
    </row>
    <row r="965" spans="13:23">
      <c r="M965" s="9"/>
      <c r="W965" s="6"/>
    </row>
    <row r="966" spans="13:23">
      <c r="M966" s="9"/>
      <c r="W966" s="6"/>
    </row>
    <row r="967" spans="13:23">
      <c r="M967" s="9"/>
      <c r="W967" s="6"/>
    </row>
    <row r="968" spans="13:23">
      <c r="M968" s="9"/>
      <c r="W968" s="6"/>
    </row>
    <row r="969" spans="13:23">
      <c r="M969" s="9"/>
      <c r="W969" s="6"/>
    </row>
    <row r="970" spans="13:23">
      <c r="M970" s="9"/>
      <c r="W970" s="6"/>
    </row>
    <row r="971" spans="13:23">
      <c r="M971" s="9"/>
      <c r="W971" s="6"/>
    </row>
    <row r="972" spans="13:23">
      <c r="M972" s="9"/>
      <c r="W972" s="6"/>
    </row>
    <row r="973" spans="13:23">
      <c r="M973" s="9"/>
      <c r="W973" s="6"/>
    </row>
    <row r="974" spans="13:23">
      <c r="M974" s="9"/>
      <c r="W974" s="6"/>
    </row>
    <row r="975" spans="13:23">
      <c r="M975" s="9"/>
      <c r="W975" s="6"/>
    </row>
    <row r="976" spans="13:23">
      <c r="M976" s="9"/>
      <c r="W976" s="6"/>
    </row>
    <row r="977" spans="13:23">
      <c r="M977" s="9"/>
      <c r="W977" s="6"/>
    </row>
    <row r="978" spans="13:23">
      <c r="M978" s="9"/>
      <c r="W978" s="6"/>
    </row>
    <row r="979" spans="13:23">
      <c r="M979" s="9"/>
      <c r="W979" s="6"/>
    </row>
    <row r="980" spans="13:23">
      <c r="M980" s="9"/>
      <c r="W980" s="6"/>
    </row>
    <row r="981" spans="13:23">
      <c r="M981" s="9"/>
      <c r="W981" s="6"/>
    </row>
    <row r="982" spans="13:23">
      <c r="M982" s="9"/>
      <c r="W982" s="6"/>
    </row>
    <row r="983" spans="13:23">
      <c r="M983" s="9"/>
      <c r="W983" s="6"/>
    </row>
    <row r="984" spans="13:23">
      <c r="M984" s="9"/>
      <c r="W984" s="6"/>
    </row>
    <row r="985" spans="13:23">
      <c r="M985" s="9"/>
      <c r="W985" s="6"/>
    </row>
    <row r="986" spans="13:23">
      <c r="M986" s="9"/>
      <c r="W986" s="6"/>
    </row>
    <row r="987" spans="13:23">
      <c r="M987" s="9"/>
      <c r="W987" s="6"/>
    </row>
    <row r="988" spans="13:23">
      <c r="M988" s="9"/>
      <c r="W988" s="6"/>
    </row>
    <row r="989" spans="13:23">
      <c r="M989" s="9"/>
      <c r="W989" s="6"/>
    </row>
    <row r="990" spans="13:23">
      <c r="M990" s="9"/>
      <c r="W990" s="6"/>
    </row>
    <row r="991" spans="13:23">
      <c r="M991" s="9"/>
      <c r="W991" s="6"/>
    </row>
    <row r="992" spans="13:23">
      <c r="M992" s="9"/>
      <c r="W992" s="6"/>
    </row>
    <row r="993" spans="13:23">
      <c r="M993" s="9"/>
      <c r="W993" s="6"/>
    </row>
    <row r="994" spans="13:23">
      <c r="M994" s="9"/>
      <c r="W994" s="6"/>
    </row>
    <row r="995" spans="13:23">
      <c r="M995" s="9"/>
      <c r="W995" s="6"/>
    </row>
    <row r="996" spans="13:23">
      <c r="M996" s="9"/>
      <c r="W996" s="6"/>
    </row>
    <row r="997" spans="13:23">
      <c r="M997" s="9"/>
      <c r="W997" s="6"/>
    </row>
    <row r="998" spans="13:23">
      <c r="M998" s="9"/>
      <c r="W998" s="6"/>
    </row>
    <row r="999" spans="13:23">
      <c r="M999" s="9"/>
      <c r="W999" s="6"/>
    </row>
    <row r="1000" spans="13:23">
      <c r="M1000" s="9"/>
      <c r="W1000" s="6"/>
    </row>
    <row r="1001" spans="13:23">
      <c r="M1001" s="9"/>
      <c r="W1001" s="6"/>
    </row>
    <row r="1002" spans="13:23">
      <c r="M1002" s="9"/>
      <c r="W1002" s="6"/>
    </row>
    <row r="1003" spans="13:23">
      <c r="M1003" s="9"/>
      <c r="W1003" s="6"/>
    </row>
    <row r="1004" spans="13:23">
      <c r="M1004" s="9"/>
      <c r="W1004" s="6"/>
    </row>
    <row r="1005" spans="13:23">
      <c r="M1005" s="9"/>
      <c r="W1005" s="6"/>
    </row>
    <row r="1006" spans="13:23">
      <c r="M1006" s="9"/>
      <c r="W1006" s="6"/>
    </row>
    <row r="1007" spans="13:23">
      <c r="M1007" s="9"/>
      <c r="W1007" s="6"/>
    </row>
    <row r="1008" spans="13:23">
      <c r="M1008" s="9"/>
      <c r="W1008" s="6"/>
    </row>
    <row r="1009" spans="13:23">
      <c r="M1009" s="9"/>
      <c r="W1009" s="6"/>
    </row>
    <row r="1010" spans="13:23">
      <c r="M1010" s="9"/>
      <c r="W1010" s="6"/>
    </row>
    <row r="1011" spans="13:23">
      <c r="M1011" s="9"/>
      <c r="W1011" s="6"/>
    </row>
    <row r="1012" spans="13:23">
      <c r="M1012" s="9"/>
      <c r="W1012" s="6"/>
    </row>
    <row r="1013" spans="13:23">
      <c r="M1013" s="9"/>
      <c r="W1013" s="6"/>
    </row>
    <row r="1014" spans="13:23">
      <c r="M1014" s="9"/>
      <c r="W1014" s="6"/>
    </row>
    <row r="1015" spans="13:23">
      <c r="M1015" s="9"/>
      <c r="W1015" s="6"/>
    </row>
    <row r="1016" spans="13:23">
      <c r="M1016" s="9"/>
      <c r="W1016" s="6"/>
    </row>
    <row r="1017" spans="13:23">
      <c r="M1017" s="9"/>
      <c r="W1017" s="6"/>
    </row>
    <row r="1018" spans="13:23">
      <c r="M1018" s="9"/>
      <c r="W1018" s="6"/>
    </row>
    <row r="1019" spans="13:23">
      <c r="M1019" s="9"/>
      <c r="W1019" s="6"/>
    </row>
    <row r="1020" spans="13:23">
      <c r="M1020" s="9"/>
      <c r="W1020" s="6"/>
    </row>
    <row r="1021" spans="13:23">
      <c r="M1021" s="9"/>
      <c r="W1021" s="6"/>
    </row>
    <row r="1022" spans="13:23">
      <c r="M1022" s="9"/>
      <c r="W1022" s="6"/>
    </row>
    <row r="1023" spans="13:23">
      <c r="M1023" s="9"/>
      <c r="W1023" s="6"/>
    </row>
    <row r="1024" spans="13:23">
      <c r="M1024" s="9"/>
      <c r="W1024" s="6"/>
    </row>
    <row r="1025" spans="13:23">
      <c r="M1025" s="9"/>
      <c r="W1025" s="6"/>
    </row>
    <row r="1026" spans="13:23">
      <c r="M1026" s="9"/>
      <c r="W1026" s="6"/>
    </row>
    <row r="1027" spans="13:23">
      <c r="M1027" s="9"/>
      <c r="W1027" s="6"/>
    </row>
    <row r="1028" spans="13:23">
      <c r="M1028" s="9"/>
      <c r="W1028" s="6"/>
    </row>
    <row r="1029" spans="13:23">
      <c r="M1029" s="9"/>
      <c r="W1029" s="6"/>
    </row>
    <row r="1030" spans="13:23">
      <c r="M1030" s="9"/>
      <c r="W1030" s="6"/>
    </row>
    <row r="1031" spans="13:23">
      <c r="M1031" s="9"/>
      <c r="W1031" s="6"/>
    </row>
    <row r="1032" spans="13:23">
      <c r="M1032" s="9"/>
      <c r="W1032" s="6"/>
    </row>
    <row r="1033" spans="13:23">
      <c r="M1033" s="9"/>
      <c r="W1033" s="6"/>
    </row>
    <row r="1034" spans="13:23">
      <c r="M1034" s="9"/>
      <c r="W1034" s="6"/>
    </row>
    <row r="1035" spans="13:23">
      <c r="M1035" s="9"/>
      <c r="W1035" s="6"/>
    </row>
    <row r="1036" spans="13:23">
      <c r="M1036" s="9"/>
      <c r="W1036" s="6"/>
    </row>
    <row r="1037" spans="13:23">
      <c r="M1037" s="9"/>
      <c r="W1037" s="6"/>
    </row>
    <row r="1038" spans="13:23">
      <c r="M1038" s="9"/>
      <c r="W1038" s="6"/>
    </row>
    <row r="1039" spans="13:23">
      <c r="M1039" s="9"/>
      <c r="W1039" s="6"/>
    </row>
    <row r="1040" spans="13:23">
      <c r="M1040" s="9"/>
      <c r="W1040" s="6"/>
    </row>
    <row r="1041" spans="13:23">
      <c r="M1041" s="9"/>
      <c r="W1041" s="6"/>
    </row>
    <row r="1042" spans="13:23">
      <c r="M1042" s="9"/>
      <c r="W1042" s="6"/>
    </row>
    <row r="1043" spans="13:23">
      <c r="M1043" s="9"/>
      <c r="W1043" s="6"/>
    </row>
    <row r="1044" spans="13:23">
      <c r="M1044" s="9"/>
      <c r="W1044" s="6"/>
    </row>
    <row r="1045" spans="13:23">
      <c r="M1045" s="9"/>
      <c r="W1045" s="6"/>
    </row>
    <row r="1046" spans="13:23">
      <c r="M1046" s="9"/>
      <c r="W1046" s="6"/>
    </row>
    <row r="1047" spans="13:23">
      <c r="M1047" s="9"/>
      <c r="W1047" s="6"/>
    </row>
    <row r="1048" spans="13:23">
      <c r="M1048" s="9"/>
      <c r="W1048" s="6"/>
    </row>
    <row r="1049" spans="13:23">
      <c r="M1049" s="9"/>
      <c r="W1049" s="6"/>
    </row>
    <row r="1050" spans="13:23">
      <c r="M1050" s="9"/>
      <c r="W1050" s="6"/>
    </row>
    <row r="1051" spans="13:23">
      <c r="M1051" s="9"/>
      <c r="W1051" s="6"/>
    </row>
    <row r="1052" spans="13:23">
      <c r="M1052" s="9"/>
      <c r="W1052" s="6"/>
    </row>
    <row r="1053" spans="13:23">
      <c r="M1053" s="9"/>
      <c r="W1053" s="6"/>
    </row>
    <row r="1054" spans="13:23">
      <c r="M1054" s="9"/>
      <c r="W1054" s="6"/>
    </row>
    <row r="1055" spans="13:23">
      <c r="M1055" s="9"/>
      <c r="W1055" s="6"/>
    </row>
    <row r="1056" spans="13:23">
      <c r="M1056" s="9"/>
      <c r="W1056" s="6"/>
    </row>
    <row r="1057" spans="13:23">
      <c r="M1057" s="9"/>
      <c r="W1057" s="6"/>
    </row>
    <row r="1058" spans="13:23">
      <c r="M1058" s="9"/>
      <c r="W1058" s="6"/>
    </row>
    <row r="1059" spans="13:23">
      <c r="M1059" s="9"/>
      <c r="W1059" s="6"/>
    </row>
    <row r="1060" spans="13:23">
      <c r="M1060" s="9"/>
      <c r="W1060" s="6"/>
    </row>
    <row r="1061" spans="13:23">
      <c r="M1061" s="9"/>
      <c r="W1061" s="6"/>
    </row>
    <row r="1062" spans="13:23">
      <c r="M1062" s="9"/>
      <c r="W1062" s="6"/>
    </row>
    <row r="1063" spans="13:23">
      <c r="M1063" s="9"/>
      <c r="W1063" s="6"/>
    </row>
    <row r="1064" spans="13:23">
      <c r="M1064" s="9"/>
      <c r="W1064" s="6"/>
    </row>
    <row r="1065" spans="13:23">
      <c r="M1065" s="9"/>
      <c r="W1065" s="6"/>
    </row>
    <row r="1066" spans="13:23">
      <c r="M1066" s="9"/>
      <c r="W1066" s="6"/>
    </row>
    <row r="1067" spans="13:23">
      <c r="M1067" s="9"/>
      <c r="W1067" s="6"/>
    </row>
    <row r="1068" spans="13:23">
      <c r="M1068" s="9"/>
      <c r="W1068" s="6"/>
    </row>
    <row r="1069" spans="13:23">
      <c r="M1069" s="9"/>
      <c r="W1069" s="6"/>
    </row>
    <row r="1070" spans="13:23">
      <c r="M1070" s="9"/>
      <c r="W1070" s="6"/>
    </row>
    <row r="1071" spans="13:23">
      <c r="M1071" s="9"/>
      <c r="W1071" s="6"/>
    </row>
    <row r="1072" spans="13:23">
      <c r="M1072" s="9"/>
      <c r="W1072" s="6"/>
    </row>
    <row r="1073" spans="13:23">
      <c r="M1073" s="9"/>
      <c r="W1073" s="6"/>
    </row>
    <row r="1074" spans="13:23">
      <c r="M1074" s="9"/>
      <c r="W1074" s="6"/>
    </row>
    <row r="1075" spans="13:23">
      <c r="M1075" s="9"/>
      <c r="W1075" s="6"/>
    </row>
    <row r="1076" spans="13:23">
      <c r="M1076" s="9"/>
      <c r="W1076" s="6"/>
    </row>
    <row r="1077" spans="13:23">
      <c r="M1077" s="9"/>
      <c r="W1077" s="6"/>
    </row>
    <row r="1078" spans="13:23">
      <c r="M1078" s="9"/>
      <c r="W1078" s="6"/>
    </row>
    <row r="1079" spans="13:23">
      <c r="M1079" s="9"/>
      <c r="W1079" s="6"/>
    </row>
    <row r="1080" spans="13:23">
      <c r="M1080" s="9"/>
      <c r="W1080" s="6"/>
    </row>
    <row r="1081" spans="13:23">
      <c r="M1081" s="9"/>
      <c r="W1081" s="6"/>
    </row>
    <row r="1082" spans="13:23">
      <c r="M1082" s="9"/>
      <c r="W1082" s="6"/>
    </row>
    <row r="1083" spans="13:23">
      <c r="M1083" s="9"/>
      <c r="W1083" s="6"/>
    </row>
    <row r="1084" spans="13:23">
      <c r="M1084" s="9"/>
      <c r="W1084" s="6"/>
    </row>
    <row r="1085" spans="13:23">
      <c r="M1085" s="9"/>
      <c r="W1085" s="6"/>
    </row>
    <row r="1086" spans="13:23">
      <c r="M1086" s="9"/>
      <c r="W1086" s="6"/>
    </row>
    <row r="1087" spans="13:23">
      <c r="M1087" s="9"/>
      <c r="W1087" s="6"/>
    </row>
    <row r="1088" spans="13:23">
      <c r="M1088" s="9"/>
      <c r="W1088" s="6"/>
    </row>
    <row r="1089" spans="13:23">
      <c r="M1089" s="9"/>
      <c r="W1089" s="6"/>
    </row>
    <row r="1090" spans="13:23">
      <c r="M1090" s="9"/>
      <c r="W1090" s="6"/>
    </row>
    <row r="1091" spans="13:23">
      <c r="M1091" s="9"/>
      <c r="W1091" s="6"/>
    </row>
    <row r="1092" spans="13:23">
      <c r="M1092" s="9"/>
      <c r="W1092" s="6"/>
    </row>
    <row r="1093" spans="13:23">
      <c r="M1093" s="9"/>
      <c r="W1093" s="6"/>
    </row>
    <row r="1094" spans="13:23">
      <c r="M1094" s="9"/>
      <c r="W1094" s="6"/>
    </row>
    <row r="1095" spans="13:23">
      <c r="M1095" s="9"/>
      <c r="W1095" s="6"/>
    </row>
    <row r="1096" spans="13:23">
      <c r="M1096" s="9"/>
      <c r="W1096" s="6"/>
    </row>
    <row r="1097" spans="13:23">
      <c r="M1097" s="9"/>
      <c r="W1097" s="6"/>
    </row>
    <row r="1098" spans="13:23">
      <c r="M1098" s="9"/>
      <c r="W1098" s="6"/>
    </row>
    <row r="1099" spans="13:23">
      <c r="M1099" s="9"/>
      <c r="W1099" s="6"/>
    </row>
    <row r="1100" spans="13:23">
      <c r="M1100" s="9"/>
      <c r="W1100" s="6"/>
    </row>
    <row r="1101" spans="13:23">
      <c r="M1101" s="9"/>
      <c r="W1101" s="6"/>
    </row>
    <row r="1102" spans="13:23">
      <c r="M1102" s="9"/>
      <c r="W1102" s="6"/>
    </row>
    <row r="1103" spans="13:23">
      <c r="M1103" s="9"/>
      <c r="W1103" s="6"/>
    </row>
    <row r="1104" spans="13:23">
      <c r="M1104" s="9"/>
      <c r="W1104" s="6"/>
    </row>
    <row r="1105" spans="13:23">
      <c r="M1105" s="9"/>
      <c r="W1105" s="6"/>
    </row>
    <row r="1106" spans="13:23">
      <c r="M1106" s="9"/>
      <c r="W1106" s="6"/>
    </row>
    <row r="1107" spans="13:23">
      <c r="M1107" s="9"/>
      <c r="W1107" s="6"/>
    </row>
    <row r="1108" spans="13:23">
      <c r="M1108" s="9"/>
      <c r="W1108" s="6"/>
    </row>
    <row r="1109" spans="13:23">
      <c r="M1109" s="9"/>
      <c r="W1109" s="6"/>
    </row>
    <row r="1110" spans="13:23">
      <c r="M1110" s="9"/>
      <c r="W1110" s="6"/>
    </row>
    <row r="1111" spans="13:23">
      <c r="M1111" s="9"/>
      <c r="W1111" s="6"/>
    </row>
    <row r="1112" spans="13:23">
      <c r="M1112" s="9"/>
      <c r="W1112" s="6"/>
    </row>
    <row r="1113" spans="13:23">
      <c r="M1113" s="9"/>
      <c r="W1113" s="6"/>
    </row>
    <row r="1114" spans="13:23">
      <c r="M1114" s="9"/>
      <c r="W1114" s="6"/>
    </row>
    <row r="1115" spans="13:23">
      <c r="M1115" s="9"/>
      <c r="W1115" s="6"/>
    </row>
    <row r="1116" spans="13:23">
      <c r="M1116" s="9"/>
      <c r="W1116" s="6"/>
    </row>
    <row r="1117" spans="13:23">
      <c r="M1117" s="9"/>
      <c r="W1117" s="6"/>
    </row>
    <row r="1118" spans="13:23">
      <c r="M1118" s="9"/>
      <c r="W1118" s="6"/>
    </row>
    <row r="1119" spans="13:23">
      <c r="M1119" s="9"/>
      <c r="W1119" s="6"/>
    </row>
    <row r="1120" spans="13:23">
      <c r="M1120" s="9"/>
      <c r="W1120" s="6"/>
    </row>
    <row r="1121" spans="13:23">
      <c r="M1121" s="9"/>
      <c r="W1121" s="6"/>
    </row>
    <row r="1122" spans="13:23">
      <c r="M1122" s="9"/>
      <c r="W1122" s="6"/>
    </row>
    <row r="1123" spans="13:23">
      <c r="M1123" s="9"/>
      <c r="W1123" s="6"/>
    </row>
    <row r="1124" spans="13:23">
      <c r="M1124" s="9"/>
      <c r="W1124" s="6"/>
    </row>
    <row r="1125" spans="13:23">
      <c r="M1125" s="9"/>
      <c r="W1125" s="6"/>
    </row>
    <row r="1126" spans="13:23">
      <c r="M1126" s="9"/>
      <c r="W1126" s="6"/>
    </row>
    <row r="1127" spans="13:23">
      <c r="M1127" s="9"/>
      <c r="W1127" s="6"/>
    </row>
    <row r="1128" spans="13:23">
      <c r="M1128" s="9"/>
      <c r="W1128" s="6"/>
    </row>
    <row r="1129" spans="13:23">
      <c r="M1129" s="9"/>
      <c r="W1129" s="6"/>
    </row>
    <row r="1130" spans="13:23">
      <c r="M1130" s="9"/>
      <c r="W1130" s="6"/>
    </row>
    <row r="1131" spans="13:23">
      <c r="M1131" s="9"/>
      <c r="W1131" s="6"/>
    </row>
    <row r="1132" spans="13:23">
      <c r="M1132" s="9"/>
      <c r="W1132" s="6"/>
    </row>
    <row r="1133" spans="13:23">
      <c r="M1133" s="9"/>
      <c r="W1133" s="6"/>
    </row>
    <row r="1134" spans="13:23">
      <c r="M1134" s="9"/>
      <c r="W1134" s="6"/>
    </row>
    <row r="1135" spans="13:23">
      <c r="M1135" s="9"/>
      <c r="W1135" s="6"/>
    </row>
    <row r="1136" spans="13:23">
      <c r="M1136" s="9"/>
      <c r="W1136" s="6"/>
    </row>
    <row r="1137" spans="13:23">
      <c r="M1137" s="9"/>
      <c r="W1137" s="6"/>
    </row>
    <row r="1138" spans="13:23">
      <c r="M1138" s="9"/>
      <c r="W1138" s="6"/>
    </row>
    <row r="1139" spans="13:23">
      <c r="M1139" s="9"/>
      <c r="W1139" s="6"/>
    </row>
    <row r="1140" spans="13:23">
      <c r="M1140" s="9"/>
      <c r="W1140" s="6"/>
    </row>
    <row r="1141" spans="13:23">
      <c r="M1141" s="9"/>
      <c r="W1141" s="6"/>
    </row>
    <row r="1142" spans="13:23">
      <c r="M1142" s="9"/>
      <c r="W1142" s="6"/>
    </row>
    <row r="1143" spans="13:23">
      <c r="M1143" s="9"/>
      <c r="W1143" s="6"/>
    </row>
    <row r="1144" spans="13:23">
      <c r="M1144" s="9"/>
      <c r="W1144" s="6"/>
    </row>
    <row r="1145" spans="13:23">
      <c r="M1145" s="9"/>
      <c r="W1145" s="6"/>
    </row>
    <row r="1146" spans="13:23">
      <c r="M1146" s="9"/>
      <c r="W1146" s="6"/>
    </row>
    <row r="1147" spans="13:23">
      <c r="M1147" s="9"/>
      <c r="W1147" s="6"/>
    </row>
    <row r="1148" spans="13:23">
      <c r="M1148" s="9"/>
      <c r="W1148" s="6"/>
    </row>
    <row r="1149" spans="13:23">
      <c r="M1149" s="9"/>
      <c r="W1149" s="6"/>
    </row>
    <row r="1150" spans="13:23">
      <c r="M1150" s="9"/>
      <c r="W1150" s="6"/>
    </row>
    <row r="1151" spans="13:23">
      <c r="M1151" s="9"/>
      <c r="W1151" s="6"/>
    </row>
    <row r="1152" spans="13:23">
      <c r="M1152" s="9"/>
      <c r="W1152" s="6"/>
    </row>
    <row r="1153" spans="13:23">
      <c r="M1153" s="9"/>
      <c r="W1153" s="6"/>
    </row>
    <row r="1154" spans="13:23">
      <c r="M1154" s="9"/>
      <c r="W1154" s="6"/>
    </row>
    <row r="1155" spans="13:23">
      <c r="M1155" s="9"/>
      <c r="W1155" s="6"/>
    </row>
    <row r="1156" spans="13:23">
      <c r="M1156" s="9"/>
      <c r="W1156" s="6"/>
    </row>
    <row r="1157" spans="13:23">
      <c r="M1157" s="9"/>
      <c r="W1157" s="6"/>
    </row>
    <row r="1158" spans="13:23">
      <c r="M1158" s="9"/>
      <c r="W1158" s="6"/>
    </row>
    <row r="1159" spans="13:23">
      <c r="M1159" s="9"/>
      <c r="W1159" s="6"/>
    </row>
    <row r="1160" spans="13:23">
      <c r="M1160" s="9"/>
      <c r="W1160" s="6"/>
    </row>
    <row r="1161" spans="13:23">
      <c r="M1161" s="9"/>
      <c r="W1161" s="6"/>
    </row>
    <row r="1162" spans="13:23">
      <c r="M1162" s="9"/>
      <c r="W1162" s="6"/>
    </row>
    <row r="1163" spans="13:23">
      <c r="M1163" s="9"/>
      <c r="W1163" s="6"/>
    </row>
    <row r="1164" spans="13:23">
      <c r="M1164" s="9"/>
      <c r="W1164" s="6"/>
    </row>
    <row r="1165" spans="13:23">
      <c r="M1165" s="9"/>
      <c r="W1165" s="6"/>
    </row>
    <row r="1166" spans="13:23">
      <c r="M1166" s="9"/>
      <c r="W1166" s="6"/>
    </row>
    <row r="1167" spans="13:23">
      <c r="M1167" s="9"/>
      <c r="W1167" s="6"/>
    </row>
    <row r="1168" spans="13:23">
      <c r="M1168" s="9"/>
      <c r="W1168" s="6"/>
    </row>
    <row r="1169" spans="13:23">
      <c r="M1169" s="9"/>
      <c r="W1169" s="6"/>
    </row>
    <row r="1170" spans="13:23">
      <c r="M1170" s="9"/>
      <c r="W1170" s="6"/>
    </row>
    <row r="1171" spans="13:23">
      <c r="M1171" s="9"/>
      <c r="W1171" s="6"/>
    </row>
    <row r="1172" spans="13:23">
      <c r="M1172" s="9"/>
      <c r="W1172" s="6"/>
    </row>
    <row r="1173" spans="13:23">
      <c r="M1173" s="9"/>
      <c r="W1173" s="6"/>
    </row>
    <row r="1174" spans="13:23">
      <c r="M1174" s="9"/>
      <c r="W1174" s="6"/>
    </row>
    <row r="1175" spans="13:23">
      <c r="M1175" s="9"/>
      <c r="W1175" s="6"/>
    </row>
    <row r="1176" spans="13:23">
      <c r="M1176" s="9"/>
      <c r="W1176" s="6"/>
    </row>
    <row r="1177" spans="13:23">
      <c r="M1177" s="9"/>
      <c r="W1177" s="6"/>
    </row>
    <row r="1178" spans="13:23">
      <c r="M1178" s="9"/>
      <c r="W1178" s="6"/>
    </row>
    <row r="1179" spans="13:23">
      <c r="M1179" s="9"/>
      <c r="W1179" s="6"/>
    </row>
    <row r="1180" spans="13:23">
      <c r="M1180" s="9"/>
      <c r="W1180" s="6"/>
    </row>
    <row r="1181" spans="13:23">
      <c r="M1181" s="9"/>
      <c r="W1181" s="6"/>
    </row>
    <row r="1182" spans="13:23">
      <c r="M1182" s="9"/>
      <c r="W1182" s="6"/>
    </row>
    <row r="1183" spans="13:23">
      <c r="M1183" s="9"/>
      <c r="W1183" s="6"/>
    </row>
    <row r="1184" spans="13:23">
      <c r="M1184" s="9"/>
      <c r="W1184" s="6"/>
    </row>
    <row r="1185" spans="13:23">
      <c r="M1185" s="9"/>
      <c r="W1185" s="6"/>
    </row>
    <row r="1186" spans="13:23">
      <c r="M1186" s="9"/>
      <c r="W1186" s="6"/>
    </row>
    <row r="1187" spans="13:23">
      <c r="M1187" s="9"/>
      <c r="W1187" s="6"/>
    </row>
    <row r="1188" spans="13:23">
      <c r="M1188" s="9"/>
      <c r="W1188" s="6"/>
    </row>
    <row r="1189" spans="13:23">
      <c r="M1189" s="9"/>
      <c r="W1189" s="6"/>
    </row>
    <row r="1190" spans="13:23">
      <c r="M1190" s="9"/>
      <c r="W1190" s="6"/>
    </row>
    <row r="1191" spans="13:23">
      <c r="M1191" s="9"/>
      <c r="W1191" s="6"/>
    </row>
    <row r="1192" spans="13:23">
      <c r="M1192" s="9"/>
      <c r="W1192" s="6"/>
    </row>
    <row r="1193" spans="13:23">
      <c r="M1193" s="9"/>
      <c r="W1193" s="6"/>
    </row>
    <row r="1194" spans="13:23">
      <c r="M1194" s="9"/>
      <c r="W1194" s="6"/>
    </row>
    <row r="1195" spans="13:23">
      <c r="M1195" s="9"/>
      <c r="W1195" s="6"/>
    </row>
    <row r="1196" spans="13:23">
      <c r="M1196" s="9"/>
      <c r="W1196" s="6"/>
    </row>
    <row r="1197" spans="13:23">
      <c r="M1197" s="9"/>
      <c r="W1197" s="6"/>
    </row>
    <row r="1198" spans="13:23">
      <c r="M1198" s="9"/>
      <c r="W1198" s="6"/>
    </row>
    <row r="1199" spans="13:23">
      <c r="M1199" s="9"/>
      <c r="W1199" s="6"/>
    </row>
    <row r="1200" spans="13:23">
      <c r="M1200" s="9"/>
      <c r="W1200" s="6"/>
    </row>
    <row r="1201" spans="13:23">
      <c r="M1201" s="9"/>
      <c r="W1201" s="6"/>
    </row>
    <row r="1202" spans="13:23">
      <c r="M1202" s="9"/>
      <c r="W1202" s="6"/>
    </row>
    <row r="1203" spans="13:23">
      <c r="M1203" s="9"/>
      <c r="W1203" s="6"/>
    </row>
    <row r="1204" spans="13:23">
      <c r="M1204" s="9"/>
      <c r="W1204" s="6"/>
    </row>
    <row r="1205" spans="13:23">
      <c r="M1205" s="9"/>
      <c r="W1205" s="6"/>
    </row>
    <row r="1206" spans="13:23">
      <c r="M1206" s="9"/>
      <c r="W1206" s="6"/>
    </row>
    <row r="1207" spans="13:23">
      <c r="M1207" s="9"/>
      <c r="W1207" s="6"/>
    </row>
    <row r="1208" spans="13:23">
      <c r="M1208" s="9"/>
      <c r="W1208" s="6"/>
    </row>
    <row r="1209" spans="13:23">
      <c r="M1209" s="9"/>
      <c r="W1209" s="6"/>
    </row>
    <row r="1210" spans="13:23">
      <c r="M1210" s="9"/>
      <c r="W1210" s="6"/>
    </row>
    <row r="1211" spans="13:23">
      <c r="M1211" s="9"/>
      <c r="W1211" s="6"/>
    </row>
    <row r="1212" spans="13:23">
      <c r="M1212" s="9"/>
      <c r="W1212" s="6"/>
    </row>
    <row r="1213" spans="13:23">
      <c r="M1213" s="9"/>
      <c r="W1213" s="6"/>
    </row>
    <row r="1214" spans="13:23">
      <c r="M1214" s="9"/>
      <c r="W1214" s="6"/>
    </row>
    <row r="1215" spans="13:23">
      <c r="M1215" s="9"/>
      <c r="W1215" s="6"/>
    </row>
    <row r="1216" spans="13:23">
      <c r="M1216" s="9"/>
      <c r="W1216" s="6"/>
    </row>
    <row r="1217" spans="13:23">
      <c r="M1217" s="9"/>
      <c r="W1217" s="6"/>
    </row>
    <row r="1218" spans="13:23">
      <c r="M1218" s="9"/>
      <c r="W1218" s="6"/>
    </row>
    <row r="1219" spans="13:23">
      <c r="M1219" s="9"/>
      <c r="W1219" s="6"/>
    </row>
    <row r="1220" spans="13:23">
      <c r="M1220" s="9"/>
      <c r="W1220" s="6"/>
    </row>
    <row r="1221" spans="13:23">
      <c r="M1221" s="9"/>
      <c r="W1221" s="6"/>
    </row>
    <row r="1222" spans="13:23">
      <c r="M1222" s="9"/>
      <c r="W1222" s="6"/>
    </row>
    <row r="1223" spans="13:23">
      <c r="M1223" s="9"/>
      <c r="W1223" s="6"/>
    </row>
    <row r="1224" spans="13:23">
      <c r="M1224" s="9"/>
      <c r="W1224" s="6"/>
    </row>
    <row r="1225" spans="13:23">
      <c r="M1225" s="9"/>
      <c r="W1225" s="6"/>
    </row>
    <row r="1226" spans="13:23">
      <c r="M1226" s="9"/>
      <c r="W1226" s="6"/>
    </row>
    <row r="1227" spans="13:23">
      <c r="M1227" s="9"/>
      <c r="W1227" s="6"/>
    </row>
    <row r="1228" spans="13:23">
      <c r="M1228" s="9"/>
      <c r="W1228" s="6"/>
    </row>
    <row r="1229" spans="13:23">
      <c r="M1229" s="9"/>
      <c r="W1229" s="6"/>
    </row>
    <row r="1230" spans="13:23">
      <c r="M1230" s="9"/>
      <c r="W1230" s="6"/>
    </row>
    <row r="1231" spans="13:23">
      <c r="M1231" s="9"/>
      <c r="W1231" s="6"/>
    </row>
    <row r="1232" spans="13:23">
      <c r="M1232" s="9"/>
      <c r="W1232" s="6"/>
    </row>
    <row r="1233" spans="13:23">
      <c r="M1233" s="9"/>
      <c r="W1233" s="6"/>
    </row>
    <row r="1234" spans="13:23">
      <c r="M1234" s="9"/>
      <c r="W1234" s="6"/>
    </row>
    <row r="1235" spans="13:23">
      <c r="M1235" s="9"/>
      <c r="W1235" s="6"/>
    </row>
    <row r="1236" spans="13:23">
      <c r="M1236" s="9"/>
      <c r="W1236" s="6"/>
    </row>
    <row r="1237" spans="13:23">
      <c r="M1237" s="9"/>
      <c r="W1237" s="6"/>
    </row>
    <row r="1238" spans="13:23">
      <c r="M1238" s="9"/>
      <c r="W1238" s="6"/>
    </row>
    <row r="1239" spans="13:23">
      <c r="M1239" s="9"/>
      <c r="W1239" s="6"/>
    </row>
    <row r="1240" spans="13:23">
      <c r="M1240" s="9"/>
      <c r="W1240" s="6"/>
    </row>
    <row r="1241" spans="13:23">
      <c r="M1241" s="9"/>
      <c r="W1241" s="6"/>
    </row>
    <row r="1242" spans="13:23">
      <c r="M1242" s="9"/>
      <c r="W1242" s="6"/>
    </row>
    <row r="1243" spans="13:23">
      <c r="M1243" s="9"/>
      <c r="W1243" s="6"/>
    </row>
    <row r="1244" spans="13:23">
      <c r="M1244" s="9"/>
      <c r="W1244" s="6"/>
    </row>
    <row r="1245" spans="13:23">
      <c r="M1245" s="9"/>
      <c r="W1245" s="6"/>
    </row>
    <row r="1246" spans="13:23">
      <c r="M1246" s="9"/>
      <c r="W1246" s="6"/>
    </row>
    <row r="1247" spans="13:23">
      <c r="M1247" s="9"/>
      <c r="W1247" s="6"/>
    </row>
    <row r="1248" spans="13:23">
      <c r="M1248" s="9"/>
      <c r="W1248" s="6"/>
    </row>
    <row r="1249" spans="13:23">
      <c r="M1249" s="9"/>
      <c r="W1249" s="6"/>
    </row>
    <row r="1250" spans="13:23">
      <c r="M1250" s="9"/>
      <c r="W1250" s="6"/>
    </row>
    <row r="1251" spans="13:23">
      <c r="M1251" s="9"/>
      <c r="W1251" s="6"/>
    </row>
    <row r="1252" spans="13:23">
      <c r="M1252" s="9"/>
      <c r="W1252" s="6"/>
    </row>
    <row r="1253" spans="13:23">
      <c r="M1253" s="9"/>
      <c r="W1253" s="6"/>
    </row>
    <row r="1254" spans="13:23">
      <c r="M1254" s="9"/>
      <c r="W1254" s="6"/>
    </row>
    <row r="1255" spans="13:23">
      <c r="M1255" s="9"/>
      <c r="W1255" s="6"/>
    </row>
    <row r="1256" spans="13:23">
      <c r="M1256" s="9"/>
      <c r="W1256" s="6"/>
    </row>
    <row r="1257" spans="13:23">
      <c r="M1257" s="9"/>
      <c r="W1257" s="6"/>
    </row>
    <row r="1258" spans="13:23">
      <c r="M1258" s="9"/>
      <c r="W1258" s="6"/>
    </row>
    <row r="1259" spans="13:23">
      <c r="M1259" s="9"/>
      <c r="W1259" s="6"/>
    </row>
    <row r="1260" spans="13:23">
      <c r="M1260" s="9"/>
      <c r="W1260" s="6"/>
    </row>
    <row r="1261" spans="13:23">
      <c r="M1261" s="9"/>
      <c r="W1261" s="6"/>
    </row>
    <row r="1262" spans="13:23">
      <c r="M1262" s="9"/>
      <c r="W1262" s="6"/>
    </row>
    <row r="1263" spans="13:23">
      <c r="M1263" s="9"/>
      <c r="W1263" s="6"/>
    </row>
    <row r="1264" spans="13:23">
      <c r="M1264" s="9"/>
      <c r="W1264" s="6"/>
    </row>
    <row r="1265" spans="13:23">
      <c r="M1265" s="9"/>
      <c r="W1265" s="6"/>
    </row>
    <row r="1266" spans="13:23">
      <c r="M1266" s="9"/>
      <c r="W1266" s="6"/>
    </row>
    <row r="1267" spans="13:23">
      <c r="M1267" s="9"/>
      <c r="W1267" s="6"/>
    </row>
    <row r="1268" spans="13:23">
      <c r="M1268" s="9"/>
      <c r="W1268" s="6"/>
    </row>
    <row r="1269" spans="13:23">
      <c r="M1269" s="9"/>
      <c r="W1269" s="6"/>
    </row>
    <row r="1270" spans="13:23">
      <c r="M1270" s="9"/>
      <c r="W1270" s="6"/>
    </row>
    <row r="1271" spans="13:23">
      <c r="M1271" s="9"/>
      <c r="W1271" s="6"/>
    </row>
    <row r="1272" spans="13:23">
      <c r="M1272" s="9"/>
      <c r="W1272" s="6"/>
    </row>
    <row r="1273" spans="13:23">
      <c r="M1273" s="9"/>
      <c r="W1273" s="6"/>
    </row>
    <row r="1274" spans="13:23">
      <c r="M1274" s="9"/>
      <c r="W1274" s="6"/>
    </row>
    <row r="1275" spans="13:23">
      <c r="M1275" s="9"/>
      <c r="W1275" s="6"/>
    </row>
    <row r="1276" spans="13:23">
      <c r="M1276" s="9"/>
      <c r="W1276" s="6"/>
    </row>
    <row r="1277" spans="13:23">
      <c r="M1277" s="9"/>
      <c r="W1277" s="6"/>
    </row>
    <row r="1278" spans="13:23">
      <c r="M1278" s="9"/>
      <c r="W1278" s="6"/>
    </row>
    <row r="1279" spans="13:23">
      <c r="M1279" s="9"/>
      <c r="W1279" s="6"/>
    </row>
    <row r="1280" spans="13:23">
      <c r="M1280" s="9"/>
      <c r="W1280" s="6"/>
    </row>
    <row r="1281" spans="13:23">
      <c r="M1281" s="9"/>
      <c r="W1281" s="6"/>
    </row>
    <row r="1282" spans="13:23">
      <c r="M1282" s="9"/>
      <c r="W1282" s="6"/>
    </row>
    <row r="1283" spans="13:23">
      <c r="M1283" s="9"/>
      <c r="W1283" s="6"/>
    </row>
    <row r="1284" spans="13:23">
      <c r="M1284" s="9"/>
      <c r="W1284" s="6"/>
    </row>
    <row r="1285" spans="13:23">
      <c r="M1285" s="9"/>
      <c r="W1285" s="6"/>
    </row>
    <row r="1286" spans="13:23">
      <c r="M1286" s="9"/>
      <c r="W1286" s="6"/>
    </row>
    <row r="1287" spans="13:23">
      <c r="M1287" s="9"/>
      <c r="W1287" s="6"/>
    </row>
    <row r="1288" spans="13:23">
      <c r="M1288" s="9"/>
      <c r="W1288" s="6"/>
    </row>
    <row r="1289" spans="13:23">
      <c r="M1289" s="9"/>
      <c r="W1289" s="6"/>
    </row>
    <row r="1290" spans="13:23">
      <c r="M1290" s="9"/>
      <c r="W1290" s="6"/>
    </row>
    <row r="1291" spans="13:23">
      <c r="M1291" s="9"/>
      <c r="W1291" s="6"/>
    </row>
    <row r="1292" spans="13:23">
      <c r="M1292" s="9"/>
      <c r="W1292" s="6"/>
    </row>
    <row r="1293" spans="13:23">
      <c r="M1293" s="9"/>
      <c r="W1293" s="6"/>
    </row>
    <row r="1294" spans="13:23">
      <c r="M1294" s="9"/>
      <c r="W1294" s="6"/>
    </row>
    <row r="1295" spans="13:23">
      <c r="M1295" s="9"/>
      <c r="W1295" s="6"/>
    </row>
    <row r="1296" spans="13:23">
      <c r="M1296" s="9"/>
      <c r="W1296" s="6"/>
    </row>
    <row r="1297" spans="13:23">
      <c r="M1297" s="9"/>
      <c r="W1297" s="6"/>
    </row>
    <row r="1298" spans="13:23">
      <c r="M1298" s="9"/>
      <c r="W1298" s="6"/>
    </row>
    <row r="1299" spans="13:23">
      <c r="M1299" s="9"/>
      <c r="W1299" s="6"/>
    </row>
    <row r="1300" spans="13:23">
      <c r="M1300" s="9"/>
      <c r="W1300" s="6"/>
    </row>
    <row r="1301" spans="13:23">
      <c r="M1301" s="9"/>
      <c r="W1301" s="6"/>
    </row>
    <row r="1302" spans="13:23">
      <c r="M1302" s="9"/>
      <c r="W1302" s="6"/>
    </row>
    <row r="1303" spans="13:23">
      <c r="M1303" s="9"/>
      <c r="W1303" s="6"/>
    </row>
    <row r="1304" spans="13:23">
      <c r="M1304" s="9"/>
      <c r="W1304" s="6"/>
    </row>
    <row r="1305" spans="13:23">
      <c r="M1305" s="9"/>
      <c r="W1305" s="6"/>
    </row>
    <row r="1306" spans="13:23">
      <c r="M1306" s="9"/>
      <c r="W1306" s="6"/>
    </row>
    <row r="1307" spans="13:23">
      <c r="M1307" s="9"/>
      <c r="W1307" s="6"/>
    </row>
    <row r="1308" spans="13:23">
      <c r="M1308" s="9"/>
      <c r="W1308" s="6"/>
    </row>
    <row r="1309" spans="13:23">
      <c r="M1309" s="9"/>
      <c r="W1309" s="6"/>
    </row>
    <row r="1310" spans="13:23">
      <c r="M1310" s="9"/>
      <c r="W1310" s="6"/>
    </row>
    <row r="1311" spans="13:23">
      <c r="M1311" s="9"/>
      <c r="W1311" s="6"/>
    </row>
    <row r="1312" spans="13:23">
      <c r="M1312" s="9"/>
      <c r="W1312" s="6"/>
    </row>
    <row r="1313" spans="13:23">
      <c r="M1313" s="9"/>
      <c r="W1313" s="6"/>
    </row>
    <row r="1314" spans="13:23">
      <c r="M1314" s="9"/>
      <c r="W1314" s="6"/>
    </row>
    <row r="1315" spans="13:23">
      <c r="M1315" s="9"/>
      <c r="W1315" s="6"/>
    </row>
    <row r="1316" spans="13:23">
      <c r="M1316" s="9"/>
      <c r="W1316" s="6"/>
    </row>
    <row r="1317" spans="13:23">
      <c r="M1317" s="9"/>
      <c r="W1317" s="6"/>
    </row>
    <row r="1318" spans="13:23">
      <c r="M1318" s="9"/>
      <c r="W1318" s="6"/>
    </row>
    <row r="1319" spans="13:23">
      <c r="M1319" s="9"/>
      <c r="W1319" s="6"/>
    </row>
    <row r="1320" spans="13:23">
      <c r="M1320" s="9"/>
      <c r="W1320" s="6"/>
    </row>
    <row r="1321" spans="13:23">
      <c r="M1321" s="9"/>
      <c r="W1321" s="6"/>
    </row>
    <row r="1322" spans="13:23">
      <c r="M1322" s="9"/>
      <c r="W1322" s="6"/>
    </row>
    <row r="1323" spans="13:23">
      <c r="M1323" s="9"/>
      <c r="W1323" s="6"/>
    </row>
    <row r="1324" spans="13:23">
      <c r="M1324" s="9"/>
      <c r="W1324" s="6"/>
    </row>
    <row r="1325" spans="13:23">
      <c r="M1325" s="9"/>
      <c r="W1325" s="6"/>
    </row>
    <row r="1326" spans="13:23">
      <c r="M1326" s="9"/>
      <c r="W1326" s="6"/>
    </row>
    <row r="1327" spans="13:23">
      <c r="M1327" s="9"/>
      <c r="W1327" s="6"/>
    </row>
    <row r="1328" spans="13:23">
      <c r="M1328" s="9"/>
      <c r="W1328" s="6"/>
    </row>
    <row r="1329" spans="13:23">
      <c r="M1329" s="9"/>
      <c r="W1329" s="6"/>
    </row>
    <row r="1330" spans="13:23">
      <c r="M1330" s="9"/>
      <c r="W1330" s="6"/>
    </row>
    <row r="1331" spans="13:23">
      <c r="M1331" s="9"/>
      <c r="W1331" s="6"/>
    </row>
    <row r="1332" spans="13:23">
      <c r="M1332" s="9"/>
      <c r="W1332" s="6"/>
    </row>
    <row r="1333" spans="13:23">
      <c r="M1333" s="9"/>
      <c r="W1333" s="6"/>
    </row>
    <row r="1334" spans="13:23">
      <c r="M1334" s="9"/>
      <c r="W1334" s="6"/>
    </row>
    <row r="1335" spans="13:23">
      <c r="M1335" s="9"/>
      <c r="W1335" s="6"/>
    </row>
    <row r="1336" spans="13:23">
      <c r="M1336" s="9"/>
      <c r="W1336" s="6"/>
    </row>
    <row r="1337" spans="13:23">
      <c r="M1337" s="9"/>
      <c r="W1337" s="6"/>
    </row>
    <row r="1338" spans="13:23">
      <c r="M1338" s="9"/>
      <c r="W1338" s="6"/>
    </row>
    <row r="1339" spans="13:23">
      <c r="M1339" s="9"/>
      <c r="W1339" s="6"/>
    </row>
    <row r="1340" spans="13:23">
      <c r="M1340" s="9"/>
      <c r="W1340" s="6"/>
    </row>
    <row r="1341" spans="13:23">
      <c r="M1341" s="9"/>
      <c r="W1341" s="6"/>
    </row>
    <row r="1342" spans="13:23">
      <c r="M1342" s="9"/>
      <c r="W1342" s="6"/>
    </row>
    <row r="1343" spans="13:23">
      <c r="M1343" s="9"/>
      <c r="W1343" s="6"/>
    </row>
    <row r="1344" spans="13:23">
      <c r="M1344" s="9"/>
      <c r="W1344" s="6"/>
    </row>
    <row r="1345" spans="13:23">
      <c r="M1345" s="9"/>
      <c r="W1345" s="6"/>
    </row>
    <row r="1346" spans="13:23">
      <c r="M1346" s="9"/>
      <c r="W1346" s="6"/>
    </row>
    <row r="1347" spans="13:23">
      <c r="M1347" s="9"/>
      <c r="W1347" s="6"/>
    </row>
    <row r="1348" spans="13:23">
      <c r="M1348" s="9"/>
      <c r="W1348" s="6"/>
    </row>
    <row r="1349" spans="13:23">
      <c r="M1349" s="9"/>
      <c r="W1349" s="6"/>
    </row>
    <row r="1350" spans="13:23">
      <c r="M1350" s="9"/>
      <c r="W1350" s="6"/>
    </row>
    <row r="1351" spans="13:23">
      <c r="M1351" s="9"/>
      <c r="W1351" s="6"/>
    </row>
    <row r="1352" spans="13:23">
      <c r="M1352" s="9"/>
      <c r="W1352" s="6"/>
    </row>
    <row r="1353" spans="13:23">
      <c r="M1353" s="9"/>
      <c r="W1353" s="6"/>
    </row>
    <row r="1354" spans="13:23">
      <c r="M1354" s="9"/>
      <c r="W1354" s="6"/>
    </row>
    <row r="1355" spans="13:23">
      <c r="M1355" s="9"/>
      <c r="W1355" s="6"/>
    </row>
    <row r="1356" spans="13:23">
      <c r="M1356" s="9"/>
      <c r="W1356" s="6"/>
    </row>
    <row r="1357" spans="13:23">
      <c r="M1357" s="9"/>
      <c r="W1357" s="6"/>
    </row>
    <row r="1358" spans="13:23">
      <c r="M1358" s="9"/>
      <c r="W1358" s="6"/>
    </row>
    <row r="1359" spans="13:23">
      <c r="M1359" s="9"/>
      <c r="W1359" s="6"/>
    </row>
    <row r="1360" spans="13:23">
      <c r="M1360" s="9"/>
      <c r="W1360" s="6"/>
    </row>
    <row r="1361" spans="13:23">
      <c r="M1361" s="9"/>
      <c r="W1361" s="6"/>
    </row>
    <row r="1362" spans="13:23">
      <c r="M1362" s="9"/>
      <c r="W1362" s="6"/>
    </row>
    <row r="1363" spans="13:23">
      <c r="M1363" s="9"/>
      <c r="W1363" s="6"/>
    </row>
    <row r="1364" spans="13:23">
      <c r="M1364" s="9"/>
      <c r="W1364" s="6"/>
    </row>
    <row r="1365" spans="13:23">
      <c r="M1365" s="9"/>
      <c r="W1365" s="6"/>
    </row>
    <row r="1366" spans="13:23">
      <c r="M1366" s="9"/>
      <c r="W1366" s="6"/>
    </row>
    <row r="1367" spans="13:23">
      <c r="M1367" s="9"/>
      <c r="W1367" s="6"/>
    </row>
    <row r="1368" spans="13:23">
      <c r="M1368" s="9"/>
      <c r="W1368" s="6"/>
    </row>
    <row r="1369" spans="13:23">
      <c r="M1369" s="9"/>
      <c r="W1369" s="6"/>
    </row>
    <row r="1370" spans="13:23">
      <c r="M1370" s="9"/>
      <c r="W1370" s="6"/>
    </row>
    <row r="1371" spans="13:23">
      <c r="M1371" s="9"/>
      <c r="W1371" s="6"/>
    </row>
    <row r="1372" spans="13:23">
      <c r="M1372" s="9"/>
      <c r="W1372" s="6"/>
    </row>
    <row r="1373" spans="13:23">
      <c r="M1373" s="9"/>
      <c r="W1373" s="6"/>
    </row>
    <row r="1374" spans="13:23">
      <c r="M1374" s="9"/>
      <c r="W1374" s="6"/>
    </row>
    <row r="1375" spans="13:23">
      <c r="M1375" s="9"/>
      <c r="W1375" s="6"/>
    </row>
    <row r="1376" spans="13:23">
      <c r="M1376" s="9"/>
      <c r="W1376" s="6"/>
    </row>
    <row r="1377" spans="13:23">
      <c r="M1377" s="9"/>
      <c r="W1377" s="6"/>
    </row>
    <row r="1378" spans="13:23">
      <c r="M1378" s="9"/>
      <c r="W1378" s="6"/>
    </row>
    <row r="1379" spans="13:23">
      <c r="M1379" s="9"/>
      <c r="W1379" s="6"/>
    </row>
    <row r="1380" spans="13:23">
      <c r="M1380" s="9"/>
      <c r="W1380" s="6"/>
    </row>
    <row r="1381" spans="13:23">
      <c r="M1381" s="9"/>
      <c r="W1381" s="6"/>
    </row>
    <row r="1382" spans="13:23">
      <c r="M1382" s="9"/>
      <c r="W1382" s="6"/>
    </row>
    <row r="1383" spans="13:23">
      <c r="M1383" s="9"/>
      <c r="W1383" s="6"/>
    </row>
    <row r="1384" spans="13:23">
      <c r="M1384" s="9"/>
      <c r="W1384" s="6"/>
    </row>
    <row r="1385" spans="13:23">
      <c r="M1385" s="9"/>
      <c r="W1385" s="6"/>
    </row>
    <row r="1386" spans="13:23">
      <c r="M1386" s="9"/>
      <c r="W1386" s="6"/>
    </row>
    <row r="1387" spans="13:23">
      <c r="M1387" s="9"/>
      <c r="W1387" s="6"/>
    </row>
    <row r="1388" spans="13:23">
      <c r="M1388" s="9"/>
      <c r="W1388" s="6"/>
    </row>
    <row r="1389" spans="13:23">
      <c r="M1389" s="9"/>
      <c r="W1389" s="6"/>
    </row>
    <row r="1390" spans="13:23">
      <c r="M1390" s="9"/>
      <c r="W1390" s="6"/>
    </row>
    <row r="1391" spans="13:23">
      <c r="M1391" s="9"/>
      <c r="W1391" s="6"/>
    </row>
    <row r="1392" spans="13:23">
      <c r="M1392" s="9"/>
      <c r="W1392" s="6"/>
    </row>
    <row r="1393" spans="13:23">
      <c r="M1393" s="9"/>
      <c r="W1393" s="6"/>
    </row>
    <row r="1394" spans="13:23">
      <c r="M1394" s="9"/>
      <c r="W1394" s="6"/>
    </row>
    <row r="1395" spans="13:23">
      <c r="M1395" s="9"/>
      <c r="W1395" s="6"/>
    </row>
    <row r="1396" spans="13:23">
      <c r="M1396" s="9"/>
      <c r="W1396" s="6"/>
    </row>
    <row r="1397" spans="13:23">
      <c r="M1397" s="9"/>
      <c r="W1397" s="6"/>
    </row>
    <row r="1398" spans="13:23">
      <c r="M1398" s="9"/>
      <c r="W1398" s="6"/>
    </row>
    <row r="1399" spans="13:23">
      <c r="M1399" s="9"/>
      <c r="W1399" s="6"/>
    </row>
    <row r="1400" spans="13:23">
      <c r="M1400" s="9"/>
      <c r="W1400" s="6"/>
    </row>
    <row r="1401" spans="13:23">
      <c r="M1401" s="9"/>
      <c r="W1401" s="6"/>
    </row>
    <row r="1402" spans="13:23">
      <c r="M1402" s="9"/>
      <c r="W1402" s="6"/>
    </row>
    <row r="1403" spans="13:23">
      <c r="M1403" s="9"/>
      <c r="W1403" s="6"/>
    </row>
    <row r="1404" spans="13:23">
      <c r="M1404" s="9"/>
      <c r="W1404" s="6"/>
    </row>
    <row r="1405" spans="13:23">
      <c r="M1405" s="9"/>
      <c r="W1405" s="6"/>
    </row>
    <row r="1406" spans="13:23">
      <c r="M1406" s="9"/>
      <c r="W1406" s="6"/>
    </row>
    <row r="1407" spans="13:23">
      <c r="M1407" s="9"/>
      <c r="W1407" s="6"/>
    </row>
    <row r="1408" spans="13:23">
      <c r="M1408" s="9"/>
      <c r="W1408" s="6"/>
    </row>
    <row r="1409" spans="13:23">
      <c r="M1409" s="9"/>
      <c r="W1409" s="6"/>
    </row>
    <row r="1410" spans="13:23">
      <c r="M1410" s="9"/>
      <c r="W1410" s="6"/>
    </row>
    <row r="1411" spans="13:23">
      <c r="M1411" s="9"/>
      <c r="W1411" s="6"/>
    </row>
    <row r="1412" spans="13:23">
      <c r="M1412" s="9"/>
      <c r="W1412" s="6"/>
    </row>
    <row r="1413" spans="13:23">
      <c r="M1413" s="9"/>
      <c r="W1413" s="6"/>
    </row>
    <row r="1414" spans="13:23">
      <c r="M1414" s="9"/>
      <c r="W1414" s="6"/>
    </row>
    <row r="1415" spans="13:23">
      <c r="M1415" s="9"/>
      <c r="W1415" s="6"/>
    </row>
    <row r="1416" spans="13:23">
      <c r="M1416" s="9"/>
      <c r="W1416" s="6"/>
    </row>
    <row r="1417" spans="13:23">
      <c r="M1417" s="9"/>
      <c r="W1417" s="6"/>
    </row>
    <row r="1418" spans="13:23">
      <c r="M1418" s="9"/>
      <c r="W1418" s="6"/>
    </row>
    <row r="1419" spans="13:23">
      <c r="M1419" s="9"/>
      <c r="W1419" s="6"/>
    </row>
    <row r="1420" spans="13:23">
      <c r="M1420" s="9"/>
      <c r="W1420" s="6"/>
    </row>
    <row r="1421" spans="13:23">
      <c r="M1421" s="9"/>
      <c r="W1421" s="6"/>
    </row>
    <row r="1422" spans="13:23">
      <c r="M1422" s="9"/>
      <c r="W1422" s="6"/>
    </row>
    <row r="1423" spans="13:23">
      <c r="M1423" s="9"/>
      <c r="W1423" s="6"/>
    </row>
    <row r="1424" spans="13:23">
      <c r="M1424" s="9"/>
      <c r="W1424" s="6"/>
    </row>
    <row r="1425" spans="13:23">
      <c r="M1425" s="9"/>
      <c r="W1425" s="6"/>
    </row>
    <row r="1426" spans="13:23">
      <c r="M1426" s="9"/>
      <c r="W1426" s="6"/>
    </row>
    <row r="1427" spans="13:23">
      <c r="M1427" s="9"/>
      <c r="W1427" s="6"/>
    </row>
    <row r="1428" spans="13:23">
      <c r="M1428" s="9"/>
      <c r="W1428" s="6"/>
    </row>
    <row r="1429" spans="13:23">
      <c r="M1429" s="9"/>
      <c r="W1429" s="6"/>
    </row>
    <row r="1430" spans="13:23">
      <c r="M1430" s="9"/>
      <c r="W1430" s="6"/>
    </row>
    <row r="1431" spans="13:23">
      <c r="M1431" s="9"/>
      <c r="W1431" s="6"/>
    </row>
    <row r="1432" spans="13:23">
      <c r="M1432" s="9"/>
      <c r="W1432" s="6"/>
    </row>
    <row r="1433" spans="13:23">
      <c r="M1433" s="9"/>
      <c r="W1433" s="6"/>
    </row>
    <row r="1434" spans="13:23">
      <c r="M1434" s="9"/>
      <c r="W1434" s="6"/>
    </row>
    <row r="1435" spans="13:23">
      <c r="M1435" s="9"/>
      <c r="W1435" s="6"/>
    </row>
    <row r="1436" spans="13:23">
      <c r="M1436" s="9"/>
      <c r="W1436" s="6"/>
    </row>
    <row r="1437" spans="13:23">
      <c r="M1437" s="9"/>
      <c r="W1437" s="6"/>
    </row>
    <row r="1438" spans="13:23">
      <c r="M1438" s="9"/>
      <c r="W1438" s="6"/>
    </row>
    <row r="1439" spans="13:23">
      <c r="M1439" s="9"/>
      <c r="W1439" s="6"/>
    </row>
    <row r="1440" spans="13:23">
      <c r="M1440" s="9"/>
      <c r="W1440" s="6"/>
    </row>
    <row r="1441" spans="13:23">
      <c r="M1441" s="9"/>
      <c r="W1441" s="6"/>
    </row>
    <row r="1442" spans="13:23">
      <c r="M1442" s="9"/>
      <c r="W1442" s="6"/>
    </row>
    <row r="1443" spans="13:23">
      <c r="M1443" s="9"/>
      <c r="W1443" s="6"/>
    </row>
    <row r="1444" spans="13:23">
      <c r="M1444" s="9"/>
      <c r="W1444" s="6"/>
    </row>
    <row r="1445" spans="13:23">
      <c r="M1445" s="9"/>
      <c r="W1445" s="6"/>
    </row>
    <row r="1446" spans="13:23">
      <c r="M1446" s="9"/>
      <c r="W1446" s="6"/>
    </row>
    <row r="1447" spans="13:23">
      <c r="M1447" s="9"/>
      <c r="W1447" s="6"/>
    </row>
    <row r="1448" spans="13:23">
      <c r="M1448" s="9"/>
      <c r="W1448" s="6"/>
    </row>
    <row r="1449" spans="13:23">
      <c r="M1449" s="9"/>
      <c r="W1449" s="6"/>
    </row>
    <row r="1450" spans="13:23">
      <c r="M1450" s="9"/>
      <c r="W1450" s="6"/>
    </row>
    <row r="1451" spans="13:23">
      <c r="M1451" s="9"/>
      <c r="W1451" s="6"/>
    </row>
    <row r="1452" spans="13:23">
      <c r="M1452" s="9"/>
      <c r="W1452" s="6"/>
    </row>
    <row r="1453" spans="13:23">
      <c r="M1453" s="9"/>
      <c r="W1453" s="6"/>
    </row>
    <row r="1454" spans="13:23">
      <c r="M1454" s="9"/>
      <c r="W1454" s="6"/>
    </row>
    <row r="1455" spans="13:23">
      <c r="M1455" s="9"/>
      <c r="W1455" s="6"/>
    </row>
    <row r="1456" spans="13:23">
      <c r="M1456" s="9"/>
      <c r="W1456" s="6"/>
    </row>
    <row r="1457" spans="13:23">
      <c r="M1457" s="9"/>
      <c r="W1457" s="6"/>
    </row>
    <row r="1458" spans="13:23">
      <c r="M1458" s="9"/>
      <c r="W1458" s="6"/>
    </row>
    <row r="1459" spans="13:23">
      <c r="M1459" s="9"/>
      <c r="W1459" s="6"/>
    </row>
    <row r="1460" spans="13:23">
      <c r="M1460" s="9"/>
      <c r="W1460" s="6"/>
    </row>
    <row r="1461" spans="13:23">
      <c r="M1461" s="9"/>
      <c r="W1461" s="6"/>
    </row>
    <row r="1462" spans="13:23">
      <c r="M1462" s="9"/>
      <c r="W1462" s="6"/>
    </row>
    <row r="1463" spans="13:23">
      <c r="M1463" s="9"/>
      <c r="W1463" s="6"/>
    </row>
    <row r="1464" spans="13:23">
      <c r="M1464" s="9"/>
      <c r="W1464" s="6"/>
    </row>
    <row r="1465" spans="13:23">
      <c r="M1465" s="9"/>
      <c r="W1465" s="6"/>
    </row>
    <row r="1466" spans="13:23">
      <c r="M1466" s="9"/>
      <c r="W1466" s="6"/>
    </row>
    <row r="1467" spans="13:23">
      <c r="M1467" s="9"/>
      <c r="W1467" s="6"/>
    </row>
    <row r="1468" spans="13:23">
      <c r="M1468" s="9"/>
      <c r="W1468" s="6"/>
    </row>
    <row r="1469" spans="13:23">
      <c r="M1469" s="9"/>
      <c r="W1469" s="6"/>
    </row>
    <row r="1470" spans="13:23">
      <c r="M1470" s="9"/>
      <c r="W1470" s="6"/>
    </row>
    <row r="1471" spans="13:23">
      <c r="M1471" s="9"/>
      <c r="W1471" s="6"/>
    </row>
    <row r="1472" spans="13:23">
      <c r="M1472" s="9"/>
      <c r="W1472" s="6"/>
    </row>
    <row r="1473" spans="13:23">
      <c r="M1473" s="9"/>
      <c r="W1473" s="6"/>
    </row>
    <row r="1474" spans="13:23">
      <c r="M1474" s="9"/>
      <c r="W1474" s="6"/>
    </row>
    <row r="1475" spans="13:23">
      <c r="M1475" s="9"/>
      <c r="W1475" s="6"/>
    </row>
    <row r="1476" spans="13:23">
      <c r="M1476" s="9"/>
      <c r="W1476" s="6"/>
    </row>
    <row r="1477" spans="13:23">
      <c r="M1477" s="9"/>
      <c r="W1477" s="6"/>
    </row>
    <row r="1478" spans="13:23">
      <c r="M1478" s="9"/>
      <c r="W1478" s="6"/>
    </row>
    <row r="1479" spans="13:23">
      <c r="M1479" s="9"/>
      <c r="W1479" s="6"/>
    </row>
    <row r="1480" spans="13:23">
      <c r="M1480" s="9"/>
      <c r="W1480" s="6"/>
    </row>
    <row r="1481" spans="13:23">
      <c r="M1481" s="9"/>
      <c r="W1481" s="6"/>
    </row>
    <row r="1482" spans="13:23">
      <c r="M1482" s="9"/>
      <c r="W1482" s="6"/>
    </row>
    <row r="1483" spans="13:23">
      <c r="M1483" s="9"/>
      <c r="W1483" s="6"/>
    </row>
    <row r="1484" spans="13:23">
      <c r="M1484" s="9"/>
      <c r="W1484" s="6"/>
    </row>
    <row r="1485" spans="13:23">
      <c r="M1485" s="9"/>
      <c r="W1485" s="6"/>
    </row>
    <row r="1486" spans="13:23">
      <c r="M1486" s="9"/>
      <c r="W1486" s="6"/>
    </row>
    <row r="1487" spans="13:23">
      <c r="M1487" s="9"/>
      <c r="W1487" s="6"/>
    </row>
    <row r="1488" spans="13:23">
      <c r="M1488" s="9"/>
      <c r="W1488" s="6"/>
    </row>
    <row r="1489" spans="13:23">
      <c r="M1489" s="9"/>
      <c r="W1489" s="6"/>
    </row>
    <row r="1490" spans="13:23">
      <c r="M1490" s="9"/>
      <c r="W1490" s="6"/>
    </row>
    <row r="1491" spans="13:23">
      <c r="M1491" s="9"/>
      <c r="W1491" s="6"/>
    </row>
    <row r="1492" spans="13:23">
      <c r="M1492" s="9"/>
      <c r="W1492" s="6"/>
    </row>
    <row r="1493" spans="13:23">
      <c r="M1493" s="9"/>
      <c r="W1493" s="6"/>
    </row>
    <row r="1494" spans="13:23">
      <c r="M1494" s="9"/>
      <c r="W1494" s="6"/>
    </row>
    <row r="1495" spans="13:23">
      <c r="M1495" s="9"/>
      <c r="W1495" s="6"/>
    </row>
    <row r="1496" spans="13:23">
      <c r="M1496" s="9"/>
      <c r="W1496" s="6"/>
    </row>
    <row r="1497" spans="13:23">
      <c r="M1497" s="9"/>
      <c r="W1497" s="6"/>
    </row>
    <row r="1498" spans="13:23">
      <c r="M1498" s="9"/>
      <c r="W1498" s="6"/>
    </row>
    <row r="1499" spans="13:23">
      <c r="M1499" s="9"/>
      <c r="W1499" s="6"/>
    </row>
    <row r="1500" spans="13:23">
      <c r="M1500" s="9"/>
      <c r="W1500" s="6"/>
    </row>
    <row r="1501" spans="13:23">
      <c r="M1501" s="9"/>
      <c r="W1501" s="6"/>
    </row>
    <row r="1502" spans="13:23">
      <c r="M1502" s="9"/>
      <c r="W1502" s="6"/>
    </row>
    <row r="1503" spans="13:23">
      <c r="M1503" s="9"/>
      <c r="W1503" s="6"/>
    </row>
    <row r="1504" spans="13:23">
      <c r="M1504" s="9"/>
      <c r="W1504" s="6"/>
    </row>
    <row r="1505" spans="13:23">
      <c r="M1505" s="9"/>
      <c r="W1505" s="6"/>
    </row>
    <row r="1506" spans="13:23">
      <c r="M1506" s="9"/>
      <c r="W1506" s="6"/>
    </row>
    <row r="1507" spans="13:23">
      <c r="M1507" s="9"/>
      <c r="W1507" s="6"/>
    </row>
    <row r="1508" spans="13:23">
      <c r="M1508" s="9"/>
      <c r="W1508" s="6"/>
    </row>
    <row r="1509" spans="13:23">
      <c r="M1509" s="9"/>
      <c r="W1509" s="6"/>
    </row>
    <row r="1510" spans="13:23">
      <c r="M1510" s="9"/>
      <c r="W1510" s="6"/>
    </row>
    <row r="1511" spans="13:23">
      <c r="M1511" s="9"/>
      <c r="W1511" s="6"/>
    </row>
    <row r="1512" spans="13:23">
      <c r="M1512" s="9"/>
      <c r="W1512" s="6"/>
    </row>
    <row r="1513" spans="13:23">
      <c r="M1513" s="9"/>
      <c r="W1513" s="6"/>
    </row>
    <row r="1514" spans="13:23">
      <c r="M1514" s="9"/>
      <c r="W1514" s="6"/>
    </row>
    <row r="1515" spans="13:23">
      <c r="M1515" s="9"/>
      <c r="W1515" s="6"/>
    </row>
    <row r="1516" spans="13:23">
      <c r="M1516" s="9"/>
      <c r="W1516" s="6"/>
    </row>
    <row r="1517" spans="13:23">
      <c r="M1517" s="9"/>
      <c r="W1517" s="6"/>
    </row>
    <row r="1518" spans="13:23">
      <c r="M1518" s="9"/>
      <c r="W1518" s="6"/>
    </row>
    <row r="1519" spans="13:23">
      <c r="M1519" s="9"/>
      <c r="W1519" s="6"/>
    </row>
    <row r="1520" spans="13:23">
      <c r="M1520" s="9"/>
      <c r="W1520" s="6"/>
    </row>
    <row r="1521" spans="13:23">
      <c r="M1521" s="9"/>
      <c r="W1521" s="6"/>
    </row>
    <row r="1522" spans="13:23">
      <c r="M1522" s="9"/>
      <c r="W1522" s="6"/>
    </row>
    <row r="1523" spans="13:23">
      <c r="M1523" s="9"/>
      <c r="W1523" s="6"/>
    </row>
    <row r="1524" spans="13:23">
      <c r="M1524" s="9"/>
      <c r="W1524" s="6"/>
    </row>
    <row r="1525" spans="13:23">
      <c r="M1525" s="9"/>
      <c r="W1525" s="6"/>
    </row>
    <row r="1526" spans="13:23">
      <c r="M1526" s="9"/>
      <c r="W1526" s="6"/>
    </row>
    <row r="1527" spans="13:23">
      <c r="M1527" s="9"/>
      <c r="W1527" s="6"/>
    </row>
    <row r="1528" spans="13:23">
      <c r="M1528" s="9"/>
      <c r="W1528" s="6"/>
    </row>
    <row r="1529" spans="13:23">
      <c r="M1529" s="9"/>
      <c r="W1529" s="6"/>
    </row>
    <row r="1530" spans="13:23">
      <c r="M1530" s="9"/>
      <c r="W1530" s="6"/>
    </row>
    <row r="1531" spans="13:23">
      <c r="M1531" s="9"/>
      <c r="W1531" s="6"/>
    </row>
    <row r="1532" spans="13:23">
      <c r="M1532" s="9"/>
      <c r="W1532" s="6"/>
    </row>
    <row r="1533" spans="13:23">
      <c r="M1533" s="9"/>
      <c r="W1533" s="6"/>
    </row>
    <row r="1534" spans="13:23">
      <c r="M1534" s="9"/>
      <c r="W1534" s="6"/>
    </row>
    <row r="1535" spans="13:23">
      <c r="M1535" s="9"/>
      <c r="W1535" s="6"/>
    </row>
    <row r="1536" spans="13:23">
      <c r="M1536" s="9"/>
      <c r="W1536" s="6"/>
    </row>
    <row r="1537" spans="13:23">
      <c r="M1537" s="9"/>
      <c r="W1537" s="6"/>
    </row>
    <row r="1538" spans="13:23">
      <c r="M1538" s="9"/>
      <c r="W1538" s="6"/>
    </row>
    <row r="1539" spans="13:23">
      <c r="M1539" s="9"/>
      <c r="W1539" s="6"/>
    </row>
    <row r="1540" spans="13:23">
      <c r="M1540" s="9"/>
      <c r="W1540" s="6"/>
    </row>
    <row r="1541" spans="13:23">
      <c r="M1541" s="9"/>
      <c r="W1541" s="6"/>
    </row>
    <row r="1542" spans="13:23">
      <c r="M1542" s="9"/>
      <c r="W1542" s="6"/>
    </row>
    <row r="1543" spans="13:23">
      <c r="M1543" s="9"/>
      <c r="W1543" s="6"/>
    </row>
    <row r="1544" spans="13:23">
      <c r="M1544" s="9"/>
      <c r="W1544" s="6"/>
    </row>
    <row r="1545" spans="13:23">
      <c r="M1545" s="9"/>
      <c r="W1545" s="6"/>
    </row>
    <row r="1546" spans="13:23">
      <c r="M1546" s="9"/>
      <c r="W1546" s="6"/>
    </row>
    <row r="1547" spans="13:23">
      <c r="M1547" s="9"/>
      <c r="W1547" s="6"/>
    </row>
    <row r="1548" spans="13:23">
      <c r="M1548" s="9"/>
      <c r="W1548" s="6"/>
    </row>
    <row r="1549" spans="13:23">
      <c r="M1549" s="9"/>
      <c r="W1549" s="6"/>
    </row>
    <row r="1550" spans="13:23">
      <c r="M1550" s="9"/>
      <c r="W1550" s="6"/>
    </row>
    <row r="1551" spans="13:23">
      <c r="M1551" s="9"/>
      <c r="W1551" s="6"/>
    </row>
    <row r="1552" spans="13:23">
      <c r="M1552" s="9"/>
      <c r="W1552" s="6"/>
    </row>
    <row r="1553" spans="13:23">
      <c r="M1553" s="9"/>
      <c r="W1553" s="6"/>
    </row>
    <row r="1554" spans="13:23">
      <c r="M1554" s="9"/>
      <c r="W1554" s="6"/>
    </row>
    <row r="1555" spans="13:23">
      <c r="M1555" s="9"/>
      <c r="W1555" s="6"/>
    </row>
    <row r="1556" spans="13:23">
      <c r="M1556" s="9"/>
      <c r="W1556" s="6"/>
    </row>
    <row r="1557" spans="13:23">
      <c r="M1557" s="9"/>
      <c r="W1557" s="6"/>
    </row>
    <row r="1558" spans="13:23">
      <c r="M1558" s="9"/>
      <c r="W1558" s="6"/>
    </row>
    <row r="1559" spans="13:23">
      <c r="M1559" s="9"/>
      <c r="W1559" s="6"/>
    </row>
    <row r="1560" spans="13:23">
      <c r="M1560" s="9"/>
      <c r="W1560" s="6"/>
    </row>
    <row r="1561" spans="13:23">
      <c r="M1561" s="9"/>
      <c r="W1561" s="6"/>
    </row>
    <row r="1562" spans="13:23">
      <c r="M1562" s="9"/>
      <c r="W1562" s="6"/>
    </row>
    <row r="1563" spans="13:23">
      <c r="M1563" s="9"/>
      <c r="W1563" s="6"/>
    </row>
    <row r="1564" spans="13:23">
      <c r="M1564" s="9"/>
      <c r="W1564" s="6"/>
    </row>
    <row r="1565" spans="13:23">
      <c r="M1565" s="9"/>
      <c r="W1565" s="6"/>
    </row>
    <row r="1566" spans="13:23">
      <c r="M1566" s="9"/>
      <c r="W1566" s="6"/>
    </row>
    <row r="1567" spans="13:23">
      <c r="M1567" s="9"/>
      <c r="W1567" s="6"/>
    </row>
    <row r="1568" spans="13:23">
      <c r="M1568" s="9"/>
      <c r="W1568" s="6"/>
    </row>
    <row r="1569" spans="13:23">
      <c r="M1569" s="9"/>
      <c r="W1569" s="6"/>
    </row>
    <row r="1570" spans="13:23">
      <c r="M1570" s="9"/>
      <c r="W1570" s="6"/>
    </row>
    <row r="1571" spans="13:23">
      <c r="M1571" s="9"/>
      <c r="W1571" s="6"/>
    </row>
    <row r="1572" spans="13:23">
      <c r="M1572" s="9"/>
      <c r="W1572" s="6"/>
    </row>
    <row r="1573" spans="13:23">
      <c r="M1573" s="9"/>
      <c r="W1573" s="6"/>
    </row>
    <row r="1574" spans="13:23">
      <c r="M1574" s="9"/>
      <c r="W1574" s="6"/>
    </row>
    <row r="1575" spans="13:23">
      <c r="M1575" s="9"/>
      <c r="W1575" s="6"/>
    </row>
    <row r="1576" spans="13:23">
      <c r="M1576" s="9"/>
      <c r="W1576" s="6"/>
    </row>
    <row r="1577" spans="13:23">
      <c r="M1577" s="9"/>
      <c r="W1577" s="6"/>
    </row>
    <row r="1578" spans="13:23">
      <c r="M1578" s="9"/>
      <c r="W1578" s="6"/>
    </row>
    <row r="1579" spans="13:23">
      <c r="M1579" s="9"/>
      <c r="W1579" s="6"/>
    </row>
    <row r="1580" spans="13:23">
      <c r="M1580" s="9"/>
      <c r="W1580" s="6"/>
    </row>
    <row r="1581" spans="13:23">
      <c r="M1581" s="9"/>
      <c r="W1581" s="6"/>
    </row>
    <row r="1582" spans="13:23">
      <c r="M1582" s="9"/>
      <c r="W1582" s="6"/>
    </row>
    <row r="1583" spans="13:23">
      <c r="M1583" s="9"/>
      <c r="W1583" s="6"/>
    </row>
    <row r="1584" spans="13:23">
      <c r="M1584" s="9"/>
      <c r="W1584" s="6"/>
    </row>
    <row r="1585" spans="13:23">
      <c r="M1585" s="9"/>
      <c r="W1585" s="6"/>
    </row>
    <row r="1586" spans="13:23">
      <c r="M1586" s="9"/>
      <c r="W1586" s="6"/>
    </row>
    <row r="1587" spans="13:23">
      <c r="M1587" s="9"/>
      <c r="W1587" s="6"/>
    </row>
    <row r="1588" spans="13:23">
      <c r="M1588" s="9"/>
      <c r="W1588" s="6"/>
    </row>
    <row r="1589" spans="13:23">
      <c r="M1589" s="9"/>
      <c r="W1589" s="6"/>
    </row>
    <row r="1590" spans="13:23">
      <c r="M1590" s="9"/>
      <c r="W1590" s="6"/>
    </row>
    <row r="1591" spans="13:23">
      <c r="M1591" s="9"/>
      <c r="W1591" s="6"/>
    </row>
    <row r="1592" spans="13:23">
      <c r="M1592" s="9"/>
      <c r="W1592" s="6"/>
    </row>
    <row r="1593" spans="13:23">
      <c r="M1593" s="9"/>
      <c r="W1593" s="6"/>
    </row>
    <row r="1594" spans="13:23">
      <c r="M1594" s="9"/>
      <c r="W1594" s="6"/>
    </row>
    <row r="1595" spans="13:23">
      <c r="M1595" s="9"/>
      <c r="W1595" s="6"/>
    </row>
    <row r="1596" spans="13:23">
      <c r="M1596" s="9"/>
      <c r="W1596" s="6"/>
    </row>
    <row r="1597" spans="13:23">
      <c r="M1597" s="9"/>
      <c r="W1597" s="6"/>
    </row>
    <row r="1598" spans="13:23">
      <c r="M1598" s="9"/>
      <c r="W1598" s="6"/>
    </row>
    <row r="1599" spans="13:23">
      <c r="M1599" s="9"/>
      <c r="W1599" s="6"/>
    </row>
    <row r="1600" spans="13:23">
      <c r="M1600" s="9"/>
      <c r="W1600" s="6"/>
    </row>
    <row r="1601" spans="13:23">
      <c r="M1601" s="9"/>
      <c r="W1601" s="6"/>
    </row>
    <row r="1602" spans="13:23">
      <c r="M1602" s="9"/>
      <c r="W1602" s="6"/>
    </row>
    <row r="1603" spans="13:23">
      <c r="M1603" s="9"/>
      <c r="W1603" s="6"/>
    </row>
    <row r="1604" spans="13:23">
      <c r="M1604" s="9"/>
      <c r="W1604" s="6"/>
    </row>
    <row r="1605" spans="13:23">
      <c r="M1605" s="9"/>
      <c r="W1605" s="6"/>
    </row>
    <row r="1606" spans="13:23">
      <c r="M1606" s="9"/>
      <c r="W1606" s="6"/>
    </row>
    <row r="1607" spans="13:23">
      <c r="M1607" s="9"/>
      <c r="W1607" s="6"/>
    </row>
    <row r="1608" spans="13:23">
      <c r="M1608" s="9"/>
      <c r="W1608" s="6"/>
    </row>
    <row r="1609" spans="13:23">
      <c r="M1609" s="9"/>
      <c r="W1609" s="6"/>
    </row>
    <row r="1610" spans="13:23">
      <c r="M1610" s="9"/>
      <c r="W1610" s="6"/>
    </row>
    <row r="1611" spans="13:23">
      <c r="M1611" s="9"/>
      <c r="W1611" s="6"/>
    </row>
    <row r="1612" spans="13:23">
      <c r="M1612" s="9"/>
      <c r="W1612" s="6"/>
    </row>
    <row r="1613" spans="13:23">
      <c r="M1613" s="9"/>
      <c r="W1613" s="6"/>
    </row>
    <row r="1614" spans="13:23">
      <c r="M1614" s="9"/>
      <c r="W1614" s="6"/>
    </row>
    <row r="1615" spans="13:23">
      <c r="M1615" s="9"/>
      <c r="W1615" s="6"/>
    </row>
    <row r="1616" spans="13:23">
      <c r="M1616" s="9"/>
      <c r="W1616" s="6"/>
    </row>
    <row r="1617" spans="13:23">
      <c r="M1617" s="9"/>
      <c r="W1617" s="6"/>
    </row>
    <row r="1618" spans="13:23">
      <c r="M1618" s="9"/>
      <c r="W1618" s="6"/>
    </row>
    <row r="1619" spans="13:23">
      <c r="M1619" s="9"/>
      <c r="W1619" s="6"/>
    </row>
    <row r="1620" spans="13:23">
      <c r="M1620" s="9"/>
      <c r="W1620" s="6"/>
    </row>
    <row r="1621" spans="13:23">
      <c r="M1621" s="9"/>
      <c r="W1621" s="6"/>
    </row>
    <row r="1622" spans="13:23">
      <c r="M1622" s="9"/>
      <c r="W1622" s="6"/>
    </row>
    <row r="1623" spans="13:23">
      <c r="M1623" s="9"/>
      <c r="W1623" s="6"/>
    </row>
    <row r="1624" spans="13:23">
      <c r="M1624" s="9"/>
      <c r="W1624" s="6"/>
    </row>
    <row r="1625" spans="13:23">
      <c r="M1625" s="9"/>
      <c r="W1625" s="6"/>
    </row>
    <row r="1626" spans="13:23">
      <c r="M1626" s="9"/>
      <c r="W1626" s="6"/>
    </row>
    <row r="1627" spans="13:23">
      <c r="M1627" s="9"/>
      <c r="W1627" s="6"/>
    </row>
    <row r="1628" spans="13:23">
      <c r="M1628" s="9"/>
      <c r="W1628" s="6"/>
    </row>
    <row r="1629" spans="13:23">
      <c r="M1629" s="9"/>
      <c r="W1629" s="6"/>
    </row>
    <row r="1630" spans="13:23">
      <c r="M1630" s="9"/>
      <c r="W1630" s="6"/>
    </row>
    <row r="1631" spans="13:23">
      <c r="M1631" s="9"/>
      <c r="W1631" s="6"/>
    </row>
    <row r="1632" spans="13:23">
      <c r="M1632" s="9"/>
      <c r="W1632" s="6"/>
    </row>
    <row r="1633" spans="13:23">
      <c r="M1633" s="9"/>
      <c r="W1633" s="6"/>
    </row>
    <row r="1634" spans="13:23">
      <c r="M1634" s="9"/>
      <c r="W1634" s="6"/>
    </row>
    <row r="1635" spans="13:23">
      <c r="M1635" s="9"/>
      <c r="W1635" s="6"/>
    </row>
    <row r="1636" spans="13:23">
      <c r="M1636" s="9"/>
      <c r="W1636" s="6"/>
    </row>
    <row r="1637" spans="13:23">
      <c r="M1637" s="9"/>
      <c r="W1637" s="6"/>
    </row>
    <row r="1638" spans="13:23">
      <c r="M1638" s="9"/>
      <c r="W1638" s="6"/>
    </row>
    <row r="1639" spans="13:23">
      <c r="M1639" s="9"/>
      <c r="W1639" s="6"/>
    </row>
    <row r="1640" spans="13:23">
      <c r="M1640" s="9"/>
      <c r="W1640" s="6"/>
    </row>
    <row r="1641" spans="13:23">
      <c r="M1641" s="9"/>
      <c r="W1641" s="6"/>
    </row>
    <row r="1642" spans="13:23">
      <c r="M1642" s="9"/>
      <c r="W1642" s="6"/>
    </row>
    <row r="1643" spans="13:23">
      <c r="M1643" s="9"/>
      <c r="W1643" s="6"/>
    </row>
    <row r="1644" spans="13:23">
      <c r="M1644" s="9"/>
      <c r="W1644" s="6"/>
    </row>
    <row r="1645" spans="13:23">
      <c r="M1645" s="9"/>
      <c r="W1645" s="6"/>
    </row>
    <row r="1646" spans="13:23">
      <c r="M1646" s="9"/>
      <c r="W1646" s="6"/>
    </row>
    <row r="1647" spans="13:23">
      <c r="M1647" s="9"/>
      <c r="W1647" s="6"/>
    </row>
    <row r="1648" spans="13:23">
      <c r="M1648" s="9"/>
      <c r="W1648" s="6"/>
    </row>
    <row r="1649" spans="13:23">
      <c r="M1649" s="9"/>
      <c r="W1649" s="6"/>
    </row>
    <row r="1650" spans="13:23">
      <c r="M1650" s="9"/>
      <c r="W1650" s="6"/>
    </row>
    <row r="1651" spans="13:23">
      <c r="M1651" s="9"/>
      <c r="W1651" s="6"/>
    </row>
    <row r="1652" spans="13:23">
      <c r="M1652" s="9"/>
      <c r="W1652" s="6"/>
    </row>
    <row r="1653" spans="13:23">
      <c r="M1653" s="9"/>
      <c r="W1653" s="6"/>
    </row>
    <row r="1654" spans="13:23">
      <c r="M1654" s="9"/>
      <c r="W1654" s="6"/>
    </row>
    <row r="1655" spans="13:23">
      <c r="M1655" s="9"/>
      <c r="W1655" s="6"/>
    </row>
    <row r="1656" spans="13:23">
      <c r="M1656" s="9"/>
      <c r="W1656" s="6"/>
    </row>
    <row r="1657" spans="13:23">
      <c r="M1657" s="9"/>
      <c r="W1657" s="6"/>
    </row>
    <row r="1658" spans="13:23">
      <c r="M1658" s="9"/>
      <c r="W1658" s="6"/>
    </row>
    <row r="1659" spans="13:23">
      <c r="M1659" s="9"/>
      <c r="W1659" s="6"/>
    </row>
    <row r="1660" spans="13:23">
      <c r="M1660" s="9"/>
      <c r="W1660" s="6"/>
    </row>
    <row r="1661" spans="13:23">
      <c r="M1661" s="9"/>
      <c r="W1661" s="6"/>
    </row>
    <row r="1662" spans="13:23">
      <c r="M1662" s="9"/>
      <c r="W1662" s="6"/>
    </row>
    <row r="1663" spans="13:23">
      <c r="M1663" s="9"/>
      <c r="W1663" s="6"/>
    </row>
    <row r="1664" spans="13:23">
      <c r="M1664" s="9"/>
      <c r="W1664" s="6"/>
    </row>
    <row r="1665" spans="13:23">
      <c r="M1665" s="9"/>
      <c r="W1665" s="6"/>
    </row>
    <row r="1666" spans="13:23">
      <c r="M1666" s="9"/>
      <c r="W1666" s="6"/>
    </row>
    <row r="1667" spans="13:23">
      <c r="M1667" s="9"/>
      <c r="W1667" s="6"/>
    </row>
    <row r="1668" spans="13:23">
      <c r="M1668" s="9"/>
      <c r="W1668" s="6"/>
    </row>
    <row r="1669" spans="13:23">
      <c r="M1669" s="9"/>
      <c r="W1669" s="6"/>
    </row>
    <row r="1670" spans="13:23">
      <c r="M1670" s="9"/>
      <c r="W1670" s="6"/>
    </row>
    <row r="1671" spans="13:23">
      <c r="M1671" s="9"/>
      <c r="W1671" s="6"/>
    </row>
    <row r="1672" spans="13:23">
      <c r="M1672" s="9"/>
      <c r="W1672" s="6"/>
    </row>
    <row r="1673" spans="13:23">
      <c r="M1673" s="9"/>
      <c r="W1673" s="6"/>
    </row>
    <row r="1674" spans="13:23">
      <c r="M1674" s="9"/>
      <c r="W1674" s="6"/>
    </row>
    <row r="1675" spans="13:23">
      <c r="M1675" s="9"/>
      <c r="W1675" s="6"/>
    </row>
    <row r="1676" spans="13:23">
      <c r="M1676" s="9"/>
      <c r="W1676" s="6"/>
    </row>
    <row r="1677" spans="13:23">
      <c r="M1677" s="9"/>
      <c r="W1677" s="6"/>
    </row>
    <row r="1678" spans="13:23">
      <c r="M1678" s="9"/>
      <c r="W1678" s="6"/>
    </row>
    <row r="1679" spans="13:23">
      <c r="M1679" s="9"/>
      <c r="W1679" s="6"/>
    </row>
    <row r="1680" spans="13:23">
      <c r="M1680" s="9"/>
      <c r="W1680" s="6"/>
    </row>
    <row r="1681" spans="13:23">
      <c r="M1681" s="9"/>
      <c r="W1681" s="6"/>
    </row>
    <row r="1682" spans="13:23">
      <c r="M1682" s="9"/>
      <c r="W1682" s="6"/>
    </row>
    <row r="1683" spans="13:23">
      <c r="M1683" s="9"/>
      <c r="W1683" s="6"/>
    </row>
    <row r="1684" spans="13:23">
      <c r="M1684" s="9"/>
      <c r="W1684" s="6"/>
    </row>
    <row r="1685" spans="13:23">
      <c r="M1685" s="9"/>
      <c r="W1685" s="6"/>
    </row>
    <row r="1686" spans="13:23">
      <c r="M1686" s="9"/>
      <c r="W1686" s="6"/>
    </row>
    <row r="1687" spans="13:23">
      <c r="M1687" s="9"/>
      <c r="W1687" s="6"/>
    </row>
    <row r="1688" spans="13:23">
      <c r="M1688" s="9"/>
      <c r="W1688" s="6"/>
    </row>
    <row r="1689" spans="13:23">
      <c r="M1689" s="9"/>
      <c r="W1689" s="6"/>
    </row>
    <row r="1690" spans="13:23">
      <c r="M1690" s="9"/>
      <c r="W1690" s="6"/>
    </row>
    <row r="1691" spans="13:23">
      <c r="M1691" s="9"/>
      <c r="W1691" s="6"/>
    </row>
    <row r="1692" spans="13:23">
      <c r="M1692" s="9"/>
      <c r="W1692" s="6"/>
    </row>
    <row r="1693" spans="13:23">
      <c r="M1693" s="9"/>
      <c r="W1693" s="6"/>
    </row>
    <row r="1694" spans="13:23">
      <c r="M1694" s="9"/>
      <c r="W1694" s="6"/>
    </row>
    <row r="1695" spans="13:23">
      <c r="M1695" s="9"/>
      <c r="W1695" s="6"/>
    </row>
    <row r="1696" spans="13:23">
      <c r="M1696" s="9"/>
      <c r="W1696" s="6"/>
    </row>
    <row r="1697" spans="13:23">
      <c r="M1697" s="9"/>
      <c r="W1697" s="6"/>
    </row>
    <row r="1698" spans="13:23">
      <c r="M1698" s="9"/>
      <c r="W1698" s="6"/>
    </row>
    <row r="1699" spans="13:23">
      <c r="M1699" s="9"/>
      <c r="W1699" s="6"/>
    </row>
    <row r="1700" spans="13:23">
      <c r="M1700" s="9"/>
      <c r="W1700" s="6"/>
    </row>
    <row r="1701" spans="13:23">
      <c r="M1701" s="9"/>
      <c r="W1701" s="6"/>
    </row>
    <row r="1702" spans="13:23">
      <c r="M1702" s="9"/>
      <c r="W1702" s="6"/>
    </row>
    <row r="1703" spans="13:23">
      <c r="M1703" s="9"/>
      <c r="W1703" s="6"/>
    </row>
    <row r="1704" spans="13:23">
      <c r="M1704" s="9"/>
      <c r="W1704" s="6"/>
    </row>
    <row r="1705" spans="13:23">
      <c r="M1705" s="9"/>
      <c r="W1705" s="6"/>
    </row>
    <row r="1706" spans="13:23">
      <c r="M1706" s="9"/>
      <c r="W1706" s="6"/>
    </row>
    <row r="1707" spans="13:23">
      <c r="M1707" s="9"/>
      <c r="W1707" s="6"/>
    </row>
    <row r="1708" spans="13:23">
      <c r="M1708" s="9"/>
      <c r="W1708" s="6"/>
    </row>
    <row r="1709" spans="13:23">
      <c r="M1709" s="9"/>
      <c r="W1709" s="6"/>
    </row>
    <row r="1710" spans="13:23">
      <c r="M1710" s="9"/>
      <c r="W1710" s="6"/>
    </row>
    <row r="1711" spans="13:23">
      <c r="M1711" s="9"/>
      <c r="W1711" s="6"/>
    </row>
    <row r="1712" spans="13:23">
      <c r="M1712" s="9"/>
      <c r="W1712" s="6"/>
    </row>
    <row r="1713" spans="13:23">
      <c r="M1713" s="9"/>
      <c r="W1713" s="6"/>
    </row>
    <row r="1714" spans="13:23">
      <c r="M1714" s="9"/>
      <c r="W1714" s="6"/>
    </row>
    <row r="1715" spans="13:23">
      <c r="M1715" s="9"/>
      <c r="W1715" s="6"/>
    </row>
    <row r="1716" spans="13:23">
      <c r="M1716" s="9"/>
      <c r="W1716" s="6"/>
    </row>
    <row r="1717" spans="13:23">
      <c r="M1717" s="9"/>
      <c r="W1717" s="6"/>
    </row>
    <row r="1718" spans="13:23">
      <c r="M1718" s="9"/>
      <c r="W1718" s="6"/>
    </row>
    <row r="1719" spans="13:23">
      <c r="M1719" s="9"/>
      <c r="W1719" s="6"/>
    </row>
    <row r="1720" spans="13:23">
      <c r="M1720" s="9"/>
      <c r="W1720" s="6"/>
    </row>
    <row r="1721" spans="13:23">
      <c r="M1721" s="9"/>
      <c r="W1721" s="6"/>
    </row>
    <row r="1722" spans="13:23">
      <c r="M1722" s="9"/>
      <c r="W1722" s="6"/>
    </row>
    <row r="1723" spans="13:23">
      <c r="M1723" s="9"/>
      <c r="W1723" s="6"/>
    </row>
    <row r="1724" spans="13:23">
      <c r="M1724" s="9"/>
      <c r="W1724" s="6"/>
    </row>
    <row r="1725" spans="13:23">
      <c r="M1725" s="9"/>
      <c r="W1725" s="6"/>
    </row>
    <row r="1726" spans="13:23">
      <c r="M1726" s="9"/>
      <c r="W1726" s="6"/>
    </row>
    <row r="1727" spans="13:23">
      <c r="M1727" s="9"/>
      <c r="W1727" s="6"/>
    </row>
    <row r="1728" spans="13:23">
      <c r="M1728" s="9"/>
      <c r="W1728" s="6"/>
    </row>
    <row r="1729" spans="13:23">
      <c r="M1729" s="9"/>
      <c r="W1729" s="6"/>
    </row>
    <row r="1730" spans="13:23">
      <c r="M1730" s="9"/>
      <c r="W1730" s="6"/>
    </row>
    <row r="1731" spans="13:23">
      <c r="M1731" s="9"/>
      <c r="W1731" s="6"/>
    </row>
    <row r="1732" spans="13:23">
      <c r="M1732" s="9"/>
      <c r="W1732" s="6"/>
    </row>
    <row r="1733" spans="13:23">
      <c r="M1733" s="9"/>
      <c r="W1733" s="6"/>
    </row>
    <row r="1734" spans="13:23">
      <c r="M1734" s="9"/>
      <c r="W1734" s="6"/>
    </row>
    <row r="1735" spans="13:23">
      <c r="M1735" s="9"/>
      <c r="W1735" s="6"/>
    </row>
    <row r="1736" spans="13:23">
      <c r="M1736" s="9"/>
      <c r="W1736" s="6"/>
    </row>
    <row r="1737" spans="13:23">
      <c r="M1737" s="9"/>
      <c r="W1737" s="6"/>
    </row>
    <row r="1738" spans="13:23">
      <c r="M1738" s="9"/>
      <c r="W1738" s="6"/>
    </row>
    <row r="1739" spans="13:23">
      <c r="M1739" s="9"/>
      <c r="W1739" s="6"/>
    </row>
    <row r="1740" spans="13:23">
      <c r="M1740" s="9"/>
      <c r="W1740" s="6"/>
    </row>
    <row r="1741" spans="13:23">
      <c r="M1741" s="9"/>
      <c r="W1741" s="6"/>
    </row>
    <row r="1742" spans="13:23">
      <c r="M1742" s="9"/>
      <c r="W1742" s="6"/>
    </row>
    <row r="1743" spans="13:23">
      <c r="M1743" s="9"/>
      <c r="W1743" s="6"/>
    </row>
    <row r="1744" spans="13:23">
      <c r="M1744" s="9"/>
      <c r="W1744" s="6"/>
    </row>
    <row r="1745" spans="13:23">
      <c r="M1745" s="9"/>
      <c r="W1745" s="6"/>
    </row>
    <row r="1746" spans="13:23">
      <c r="M1746" s="9"/>
      <c r="W1746" s="6"/>
    </row>
    <row r="1747" spans="13:23">
      <c r="M1747" s="9"/>
      <c r="W1747" s="6"/>
    </row>
    <row r="1748" spans="13:23">
      <c r="M1748" s="9"/>
      <c r="W1748" s="6"/>
    </row>
    <row r="1749" spans="13:23">
      <c r="M1749" s="9"/>
      <c r="W1749" s="6"/>
    </row>
    <row r="1750" spans="13:23">
      <c r="M1750" s="9"/>
      <c r="W1750" s="6"/>
    </row>
    <row r="1751" spans="13:23">
      <c r="M1751" s="9"/>
      <c r="W1751" s="6"/>
    </row>
    <row r="1752" spans="13:23">
      <c r="M1752" s="9"/>
      <c r="W1752" s="6"/>
    </row>
    <row r="1753" spans="13:23">
      <c r="M1753" s="9"/>
      <c r="W1753" s="6"/>
    </row>
    <row r="1754" spans="13:23">
      <c r="M1754" s="9"/>
      <c r="W1754" s="6"/>
    </row>
    <row r="1755" spans="13:23">
      <c r="M1755" s="9"/>
      <c r="W1755" s="6"/>
    </row>
    <row r="1756" spans="13:23">
      <c r="M1756" s="9"/>
      <c r="W1756" s="6"/>
    </row>
    <row r="1757" spans="13:23">
      <c r="M1757" s="9"/>
      <c r="W1757" s="6"/>
    </row>
    <row r="1758" spans="13:23">
      <c r="M1758" s="9"/>
      <c r="W1758" s="6"/>
    </row>
    <row r="1759" spans="13:23">
      <c r="M1759" s="9"/>
      <c r="W1759" s="6"/>
    </row>
    <row r="1760" spans="13:23">
      <c r="M1760" s="9"/>
      <c r="W1760" s="6"/>
    </row>
    <row r="1761" spans="13:23">
      <c r="M1761" s="9"/>
      <c r="W1761" s="6"/>
    </row>
    <row r="1762" spans="13:23">
      <c r="M1762" s="9"/>
      <c r="W1762" s="6"/>
    </row>
    <row r="1763" spans="13:23">
      <c r="M1763" s="9"/>
      <c r="W1763" s="6"/>
    </row>
    <row r="1764" spans="13:23">
      <c r="M1764" s="9"/>
      <c r="W1764" s="6"/>
    </row>
    <row r="1765" spans="13:23">
      <c r="M1765" s="9"/>
      <c r="W1765" s="6"/>
    </row>
    <row r="1766" spans="13:23">
      <c r="M1766" s="9"/>
      <c r="W1766" s="6"/>
    </row>
    <row r="1767" spans="13:23">
      <c r="M1767" s="9"/>
      <c r="W1767" s="6"/>
    </row>
    <row r="1768" spans="13:23">
      <c r="M1768" s="9"/>
      <c r="W1768" s="6"/>
    </row>
    <row r="1769" spans="13:23">
      <c r="M1769" s="9"/>
      <c r="W1769" s="6"/>
    </row>
    <row r="1770" spans="13:23">
      <c r="M1770" s="9"/>
      <c r="W1770" s="6"/>
    </row>
    <row r="1771" spans="13:23">
      <c r="M1771" s="9"/>
      <c r="W1771" s="6"/>
    </row>
    <row r="1772" spans="13:23">
      <c r="M1772" s="9"/>
      <c r="W1772" s="6"/>
    </row>
    <row r="1773" spans="13:23">
      <c r="M1773" s="9"/>
      <c r="W1773" s="6"/>
    </row>
    <row r="1774" spans="13:23">
      <c r="M1774" s="9"/>
      <c r="W1774" s="6"/>
    </row>
    <row r="1775" spans="13:23">
      <c r="M1775" s="9"/>
      <c r="W1775" s="6"/>
    </row>
    <row r="1776" spans="13:23">
      <c r="M1776" s="9"/>
      <c r="W1776" s="6"/>
    </row>
    <row r="1777" spans="13:23">
      <c r="M1777" s="9"/>
      <c r="W1777" s="6"/>
    </row>
    <row r="1778" spans="13:23">
      <c r="M1778" s="9"/>
      <c r="W1778" s="6"/>
    </row>
    <row r="1779" spans="13:23">
      <c r="M1779" s="9"/>
      <c r="W1779" s="6"/>
    </row>
    <row r="1780" spans="13:23">
      <c r="M1780" s="9"/>
      <c r="W1780" s="6"/>
    </row>
    <row r="1781" spans="13:23">
      <c r="M1781" s="9"/>
      <c r="W1781" s="6"/>
    </row>
    <row r="1782" spans="13:23">
      <c r="M1782" s="9"/>
      <c r="W1782" s="6"/>
    </row>
    <row r="1783" spans="13:23">
      <c r="M1783" s="9"/>
      <c r="W1783" s="6"/>
    </row>
    <row r="1784" spans="13:23">
      <c r="M1784" s="9"/>
      <c r="W1784" s="6"/>
    </row>
    <row r="1785" spans="13:23">
      <c r="M1785" s="9"/>
      <c r="W1785" s="6"/>
    </row>
    <row r="1786" spans="13:23">
      <c r="M1786" s="9"/>
      <c r="W1786" s="6"/>
    </row>
    <row r="1787" spans="13:23">
      <c r="M1787" s="9"/>
      <c r="W1787" s="6"/>
    </row>
    <row r="1788" spans="13:23">
      <c r="M1788" s="9"/>
      <c r="W1788" s="6"/>
    </row>
    <row r="1789" spans="13:23">
      <c r="M1789" s="9"/>
      <c r="W1789" s="6"/>
    </row>
    <row r="1790" spans="13:23">
      <c r="M1790" s="9"/>
      <c r="W1790" s="6"/>
    </row>
    <row r="1791" spans="13:23">
      <c r="M1791" s="9"/>
      <c r="W1791" s="6"/>
    </row>
    <row r="1792" spans="13:23">
      <c r="M1792" s="9"/>
      <c r="W1792" s="6"/>
    </row>
    <row r="1793" spans="13:23">
      <c r="M1793" s="9"/>
      <c r="W1793" s="6"/>
    </row>
    <row r="1794" spans="13:23">
      <c r="M1794" s="9"/>
      <c r="W1794" s="6"/>
    </row>
    <row r="1795" spans="13:23">
      <c r="M1795" s="9"/>
      <c r="W1795" s="6"/>
    </row>
    <row r="1796" spans="13:23">
      <c r="M1796" s="9"/>
      <c r="W1796" s="6"/>
    </row>
    <row r="1797" spans="13:23">
      <c r="M1797" s="9"/>
      <c r="W1797" s="6"/>
    </row>
    <row r="1798" spans="13:23">
      <c r="M1798" s="9"/>
      <c r="W1798" s="6"/>
    </row>
    <row r="1799" spans="13:23">
      <c r="M1799" s="9"/>
      <c r="W1799" s="6"/>
    </row>
    <row r="1800" spans="13:23">
      <c r="M1800" s="9"/>
      <c r="W1800" s="6"/>
    </row>
    <row r="1801" spans="13:23">
      <c r="M1801" s="9"/>
      <c r="W1801" s="6"/>
    </row>
    <row r="1802" spans="13:23">
      <c r="M1802" s="9"/>
      <c r="W1802" s="6"/>
    </row>
    <row r="1803" spans="13:23">
      <c r="M1803" s="9"/>
      <c r="W1803" s="6"/>
    </row>
    <row r="1804" spans="13:23">
      <c r="M1804" s="9"/>
      <c r="W1804" s="6"/>
    </row>
    <row r="1805" spans="13:23">
      <c r="M1805" s="9"/>
      <c r="W1805" s="6"/>
    </row>
    <row r="1806" spans="13:23">
      <c r="M1806" s="9"/>
      <c r="W1806" s="6"/>
    </row>
    <row r="1807" spans="13:23">
      <c r="M1807" s="9"/>
      <c r="W1807" s="6"/>
    </row>
    <row r="1808" spans="13:23">
      <c r="M1808" s="9"/>
      <c r="W1808" s="6"/>
    </row>
    <row r="1809" spans="13:23">
      <c r="M1809" s="9"/>
      <c r="W1809" s="6"/>
    </row>
    <row r="1810" spans="13:23">
      <c r="M1810" s="9"/>
      <c r="W1810" s="6"/>
    </row>
    <row r="1811" spans="13:23">
      <c r="M1811" s="9"/>
      <c r="W1811" s="6"/>
    </row>
    <row r="1812" spans="13:23">
      <c r="M1812" s="9"/>
      <c r="W1812" s="6"/>
    </row>
    <row r="1813" spans="13:23">
      <c r="M1813" s="9"/>
      <c r="W1813" s="6"/>
    </row>
    <row r="1814" spans="13:23">
      <c r="M1814" s="9"/>
      <c r="W1814" s="6"/>
    </row>
    <row r="1815" spans="13:23">
      <c r="M1815" s="9"/>
      <c r="W1815" s="6"/>
    </row>
    <row r="1816" spans="13:23">
      <c r="M1816" s="9"/>
      <c r="W1816" s="6"/>
    </row>
    <row r="1817" spans="13:23">
      <c r="M1817" s="9"/>
      <c r="W1817" s="6"/>
    </row>
    <row r="1818" spans="13:23">
      <c r="M1818" s="9"/>
      <c r="W1818" s="6"/>
    </row>
    <row r="1819" spans="13:23">
      <c r="M1819" s="9"/>
      <c r="W1819" s="6"/>
    </row>
    <row r="1820" spans="13:23">
      <c r="M1820" s="9"/>
      <c r="W1820" s="6"/>
    </row>
    <row r="1821" spans="13:23">
      <c r="M1821" s="9"/>
      <c r="W1821" s="6"/>
    </row>
    <row r="1822" spans="13:23">
      <c r="M1822" s="9"/>
      <c r="W1822" s="6"/>
    </row>
    <row r="1823" spans="13:23">
      <c r="M1823" s="9"/>
      <c r="W1823" s="6"/>
    </row>
    <row r="1824" spans="13:23">
      <c r="M1824" s="9"/>
      <c r="W1824" s="6"/>
    </row>
    <row r="1825" spans="13:23">
      <c r="M1825" s="9"/>
      <c r="W1825" s="6"/>
    </row>
    <row r="1826" spans="13:23">
      <c r="M1826" s="9"/>
      <c r="W1826" s="6"/>
    </row>
    <row r="1827" spans="13:23">
      <c r="M1827" s="9"/>
      <c r="W1827" s="6"/>
    </row>
    <row r="1828" spans="13:23">
      <c r="M1828" s="9"/>
      <c r="W1828" s="6"/>
    </row>
    <row r="1829" spans="13:23">
      <c r="M1829" s="9"/>
      <c r="W1829" s="6"/>
    </row>
    <row r="1830" spans="13:23">
      <c r="M1830" s="9"/>
      <c r="W1830" s="6"/>
    </row>
    <row r="1831" spans="13:23">
      <c r="M1831" s="9"/>
      <c r="W1831" s="6"/>
    </row>
    <row r="1832" spans="13:23">
      <c r="M1832" s="9"/>
      <c r="W1832" s="6"/>
    </row>
    <row r="1833" spans="13:23">
      <c r="M1833" s="9"/>
      <c r="W1833" s="6"/>
    </row>
    <row r="1834" spans="13:23">
      <c r="M1834" s="9"/>
      <c r="W1834" s="6"/>
    </row>
    <row r="1835" spans="13:23">
      <c r="M1835" s="9"/>
      <c r="W1835" s="6"/>
    </row>
    <row r="1836" spans="13:23">
      <c r="M1836" s="9"/>
      <c r="W1836" s="6"/>
    </row>
    <row r="1837" spans="13:23">
      <c r="M1837" s="9"/>
      <c r="W1837" s="6"/>
    </row>
    <row r="1838" spans="13:23">
      <c r="M1838" s="9"/>
      <c r="W1838" s="6"/>
    </row>
    <row r="1839" spans="13:23">
      <c r="M1839" s="9"/>
      <c r="W1839" s="6"/>
    </row>
    <row r="1840" spans="13:23">
      <c r="M1840" s="9"/>
      <c r="W1840" s="6"/>
    </row>
    <row r="1841" spans="13:23">
      <c r="M1841" s="9"/>
      <c r="W1841" s="6"/>
    </row>
    <row r="1842" spans="13:23">
      <c r="M1842" s="9"/>
      <c r="W1842" s="6"/>
    </row>
    <row r="1843" spans="13:23">
      <c r="M1843" s="9"/>
      <c r="W1843" s="6"/>
    </row>
    <row r="1844" spans="13:23">
      <c r="M1844" s="9"/>
      <c r="W1844" s="6"/>
    </row>
    <row r="1845" spans="13:23">
      <c r="M1845" s="9"/>
      <c r="W1845" s="6"/>
    </row>
    <row r="1846" spans="13:23">
      <c r="M1846" s="9"/>
      <c r="W1846" s="6"/>
    </row>
    <row r="1847" spans="13:23">
      <c r="M1847" s="9"/>
      <c r="W1847" s="6"/>
    </row>
    <row r="1848" spans="13:23">
      <c r="M1848" s="9"/>
      <c r="W1848" s="6"/>
    </row>
    <row r="1849" spans="13:23">
      <c r="M1849" s="9"/>
      <c r="W1849" s="6"/>
    </row>
    <row r="1850" spans="13:23">
      <c r="M1850" s="9"/>
      <c r="W1850" s="6"/>
    </row>
    <row r="1851" spans="13:23">
      <c r="M1851" s="9"/>
      <c r="W1851" s="6"/>
    </row>
    <row r="1852" spans="13:23">
      <c r="M1852" s="9"/>
      <c r="W1852" s="6"/>
    </row>
    <row r="1853" spans="13:23">
      <c r="M1853" s="9"/>
      <c r="W1853" s="6"/>
    </row>
    <row r="1854" spans="13:23">
      <c r="M1854" s="9"/>
      <c r="W1854" s="6"/>
    </row>
    <row r="1855" spans="13:23">
      <c r="M1855" s="9"/>
      <c r="W1855" s="6"/>
    </row>
    <row r="1856" spans="13:23">
      <c r="M1856" s="9"/>
      <c r="W1856" s="6"/>
    </row>
    <row r="1857" spans="13:23">
      <c r="M1857" s="9"/>
      <c r="W1857" s="6"/>
    </row>
    <row r="1858" spans="13:23">
      <c r="M1858" s="9"/>
      <c r="W1858" s="6"/>
    </row>
    <row r="1859" spans="13:23">
      <c r="M1859" s="9"/>
      <c r="W1859" s="6"/>
    </row>
    <row r="1860" spans="13:23">
      <c r="M1860" s="9"/>
      <c r="W1860" s="6"/>
    </row>
    <row r="1861" spans="13:23">
      <c r="M1861" s="9"/>
      <c r="W1861" s="6"/>
    </row>
    <row r="1862" spans="13:23">
      <c r="M1862" s="9"/>
      <c r="W1862" s="6"/>
    </row>
    <row r="1863" spans="13:23">
      <c r="M1863" s="9"/>
      <c r="W1863" s="6"/>
    </row>
    <row r="1864" spans="13:23">
      <c r="M1864" s="9"/>
      <c r="W1864" s="6"/>
    </row>
    <row r="1865" spans="13:23">
      <c r="M1865" s="9"/>
      <c r="W1865" s="6"/>
    </row>
    <row r="1866" spans="13:23">
      <c r="M1866" s="9"/>
      <c r="W1866" s="6"/>
    </row>
    <row r="1867" spans="13:23">
      <c r="M1867" s="9"/>
      <c r="W1867" s="6"/>
    </row>
    <row r="1868" spans="13:23">
      <c r="M1868" s="9"/>
      <c r="W1868" s="6"/>
    </row>
    <row r="1869" spans="13:23">
      <c r="M1869" s="9"/>
      <c r="W1869" s="6"/>
    </row>
    <row r="1870" spans="13:23">
      <c r="M1870" s="9"/>
      <c r="W1870" s="6"/>
    </row>
    <row r="1871" spans="13:23">
      <c r="M1871" s="9"/>
      <c r="W1871" s="6"/>
    </row>
    <row r="1872" spans="13:23">
      <c r="M1872" s="9"/>
      <c r="W1872" s="6"/>
    </row>
    <row r="1873" spans="13:23">
      <c r="M1873" s="9"/>
      <c r="W1873" s="6"/>
    </row>
    <row r="1874" spans="13:23">
      <c r="M1874" s="9"/>
      <c r="W1874" s="6"/>
    </row>
    <row r="1875" spans="13:23">
      <c r="M1875" s="9"/>
      <c r="W1875" s="6"/>
    </row>
    <row r="1876" spans="13:23">
      <c r="M1876" s="9"/>
      <c r="W1876" s="6"/>
    </row>
    <row r="1877" spans="13:23">
      <c r="M1877" s="9"/>
      <c r="W1877" s="6"/>
    </row>
    <row r="1878" spans="13:23">
      <c r="M1878" s="9"/>
      <c r="W1878" s="6"/>
    </row>
    <row r="1879" spans="13:23">
      <c r="M1879" s="9"/>
      <c r="W1879" s="6"/>
    </row>
    <row r="1880" spans="13:23">
      <c r="M1880" s="9"/>
      <c r="W1880" s="6"/>
    </row>
    <row r="1881" spans="13:23">
      <c r="M1881" s="9"/>
      <c r="W1881" s="6"/>
    </row>
    <row r="1882" spans="13:23">
      <c r="M1882" s="9"/>
      <c r="W1882" s="6"/>
    </row>
    <row r="1883" spans="13:23">
      <c r="M1883" s="9"/>
      <c r="W1883" s="6"/>
    </row>
    <row r="1884" spans="13:23">
      <c r="M1884" s="9"/>
      <c r="W1884" s="6"/>
    </row>
    <row r="1885" spans="13:23">
      <c r="M1885" s="9"/>
      <c r="W1885" s="6"/>
    </row>
    <row r="1886" spans="13:23">
      <c r="M1886" s="9"/>
      <c r="W1886" s="6"/>
    </row>
    <row r="1887" spans="13:23">
      <c r="M1887" s="9"/>
      <c r="W1887" s="6"/>
    </row>
    <row r="1888" spans="13:23">
      <c r="M1888" s="9"/>
      <c r="W1888" s="6"/>
    </row>
    <row r="1889" spans="13:23">
      <c r="M1889" s="9"/>
      <c r="W1889" s="6"/>
    </row>
    <row r="1890" spans="13:23">
      <c r="M1890" s="9"/>
      <c r="W1890" s="6"/>
    </row>
    <row r="1891" spans="13:23">
      <c r="M1891" s="9"/>
      <c r="W1891" s="6"/>
    </row>
    <row r="1892" spans="13:23">
      <c r="M1892" s="9"/>
      <c r="W1892" s="6"/>
    </row>
    <row r="1893" spans="13:23">
      <c r="M1893" s="9"/>
      <c r="W1893" s="6"/>
    </row>
    <row r="1894" spans="13:23">
      <c r="M1894" s="9"/>
      <c r="W1894" s="6"/>
    </row>
    <row r="1895" spans="13:23">
      <c r="M1895" s="9"/>
      <c r="W1895" s="6"/>
    </row>
    <row r="1896" spans="13:23">
      <c r="M1896" s="9"/>
      <c r="W1896" s="6"/>
    </row>
    <row r="1897" spans="13:23">
      <c r="M1897" s="9"/>
      <c r="W1897" s="6"/>
    </row>
    <row r="1898" spans="13:23">
      <c r="M1898" s="9"/>
      <c r="W1898" s="6"/>
    </row>
    <row r="1899" spans="13:23">
      <c r="M1899" s="9"/>
      <c r="W1899" s="6"/>
    </row>
    <row r="1900" spans="13:23">
      <c r="M1900" s="9"/>
      <c r="W1900" s="6"/>
    </row>
    <row r="1901" spans="13:23">
      <c r="M1901" s="9"/>
      <c r="W1901" s="6"/>
    </row>
    <row r="1902" spans="13:23">
      <c r="M1902" s="9"/>
      <c r="W1902" s="6"/>
    </row>
    <row r="1903" spans="13:23">
      <c r="M1903" s="9"/>
      <c r="W1903" s="6"/>
    </row>
    <row r="1904" spans="13:23">
      <c r="M1904" s="9"/>
      <c r="W1904" s="6"/>
    </row>
    <row r="1905" spans="13:23">
      <c r="M1905" s="9"/>
      <c r="W1905" s="6"/>
    </row>
    <row r="1906" spans="13:23">
      <c r="M1906" s="9"/>
      <c r="W1906" s="6"/>
    </row>
    <row r="1907" spans="13:23">
      <c r="M1907" s="9"/>
      <c r="W1907" s="6"/>
    </row>
    <row r="1908" spans="13:23">
      <c r="M1908" s="9"/>
      <c r="W1908" s="6"/>
    </row>
    <row r="1909" spans="13:23">
      <c r="M1909" s="9"/>
      <c r="W1909" s="6"/>
    </row>
    <row r="1910" spans="13:23">
      <c r="M1910" s="9"/>
      <c r="W1910" s="6"/>
    </row>
    <row r="1911" spans="13:23">
      <c r="M1911" s="9"/>
      <c r="W1911" s="6"/>
    </row>
    <row r="1912" spans="13:23">
      <c r="M1912" s="9"/>
      <c r="W1912" s="6"/>
    </row>
    <row r="1913" spans="13:23">
      <c r="M1913" s="9"/>
      <c r="W1913" s="6"/>
    </row>
    <row r="1914" spans="13:23">
      <c r="M1914" s="9"/>
      <c r="W1914" s="6"/>
    </row>
    <row r="1915" spans="13:23">
      <c r="M1915" s="9"/>
      <c r="W1915" s="6"/>
    </row>
    <row r="1916" spans="13:23">
      <c r="M1916" s="9"/>
      <c r="W1916" s="6"/>
    </row>
    <row r="1917" spans="13:23">
      <c r="M1917" s="9"/>
      <c r="W1917" s="6"/>
    </row>
    <row r="1918" spans="13:23">
      <c r="M1918" s="9"/>
      <c r="W1918" s="6"/>
    </row>
    <row r="1919" spans="13:23">
      <c r="M1919" s="9"/>
      <c r="W1919" s="6"/>
    </row>
    <row r="1920" spans="13:23">
      <c r="M1920" s="9"/>
      <c r="W1920" s="6"/>
    </row>
    <row r="1921" spans="13:23">
      <c r="M1921" s="9"/>
      <c r="W1921" s="6"/>
    </row>
    <row r="1922" spans="13:23">
      <c r="M1922" s="9"/>
      <c r="W1922" s="6"/>
    </row>
    <row r="1923" spans="13:23">
      <c r="M1923" s="9"/>
      <c r="W1923" s="6"/>
    </row>
    <row r="1924" spans="13:23">
      <c r="M1924" s="9"/>
      <c r="W1924" s="6"/>
    </row>
    <row r="1925" spans="13:23">
      <c r="M1925" s="9"/>
      <c r="W1925" s="6"/>
    </row>
    <row r="1926" spans="13:23">
      <c r="M1926" s="9"/>
      <c r="W1926" s="6"/>
    </row>
    <row r="1927" spans="13:23">
      <c r="M1927" s="9"/>
      <c r="W1927" s="6"/>
    </row>
    <row r="1928" spans="13:23">
      <c r="M1928" s="9"/>
      <c r="W1928" s="6"/>
    </row>
    <row r="1929" spans="13:23">
      <c r="M1929" s="9"/>
      <c r="W1929" s="6"/>
    </row>
    <row r="1930" spans="13:23">
      <c r="M1930" s="9"/>
      <c r="W1930" s="6"/>
    </row>
    <row r="1931" spans="13:23">
      <c r="M1931" s="9"/>
      <c r="W1931" s="6"/>
    </row>
    <row r="1932" spans="13:23">
      <c r="M1932" s="9"/>
      <c r="W1932" s="6"/>
    </row>
    <row r="1933" spans="13:23">
      <c r="M1933" s="9"/>
      <c r="W1933" s="6"/>
    </row>
    <row r="1934" spans="13:23">
      <c r="M1934" s="9"/>
      <c r="W1934" s="6"/>
    </row>
    <row r="1935" spans="13:23">
      <c r="M1935" s="9"/>
      <c r="W1935" s="6"/>
    </row>
    <row r="1936" spans="13:23">
      <c r="M1936" s="9"/>
      <c r="W1936" s="6"/>
    </row>
    <row r="1937" spans="13:23">
      <c r="M1937" s="9"/>
      <c r="W1937" s="6"/>
    </row>
    <row r="1938" spans="13:23">
      <c r="M1938" s="9"/>
      <c r="W1938" s="6"/>
    </row>
    <row r="1939" spans="13:23">
      <c r="M1939" s="9"/>
      <c r="W1939" s="6"/>
    </row>
    <row r="1940" spans="13:23">
      <c r="M1940" s="9"/>
      <c r="W1940" s="6"/>
    </row>
    <row r="1941" spans="13:23">
      <c r="M1941" s="9"/>
      <c r="W1941" s="6"/>
    </row>
    <row r="1942" spans="13:23">
      <c r="M1942" s="9"/>
      <c r="W1942" s="6"/>
    </row>
    <row r="1943" spans="13:23">
      <c r="M1943" s="9"/>
      <c r="W1943" s="6"/>
    </row>
    <row r="1944" spans="13:23">
      <c r="M1944" s="9"/>
      <c r="W1944" s="6"/>
    </row>
    <row r="1945" spans="13:23">
      <c r="M1945" s="9"/>
      <c r="W1945" s="6"/>
    </row>
    <row r="1946" spans="13:23">
      <c r="M1946" s="9"/>
      <c r="W1946" s="6"/>
    </row>
    <row r="1947" spans="13:23">
      <c r="M1947" s="9"/>
      <c r="W1947" s="6"/>
    </row>
    <row r="1948" spans="13:23">
      <c r="M1948" s="9"/>
      <c r="W1948" s="6"/>
    </row>
    <row r="1949" spans="13:23">
      <c r="M1949" s="9"/>
      <c r="W1949" s="6"/>
    </row>
    <row r="1950" spans="13:23">
      <c r="M1950" s="9"/>
      <c r="W1950" s="6"/>
    </row>
    <row r="1951" spans="13:23">
      <c r="M1951" s="9"/>
      <c r="W1951" s="6"/>
    </row>
    <row r="1952" spans="13:23">
      <c r="M1952" s="9"/>
      <c r="W1952" s="6"/>
    </row>
    <row r="1953" spans="13:23">
      <c r="M1953" s="9"/>
      <c r="W1953" s="6"/>
    </row>
    <row r="1954" spans="13:23">
      <c r="M1954" s="9"/>
      <c r="W1954" s="6"/>
    </row>
    <row r="1955" spans="13:23">
      <c r="M1955" s="9"/>
      <c r="W1955" s="6"/>
    </row>
    <row r="1956" spans="13:23">
      <c r="M1956" s="9"/>
      <c r="W1956" s="6"/>
    </row>
    <row r="1957" spans="13:23">
      <c r="M1957" s="9"/>
      <c r="W1957" s="6"/>
    </row>
    <row r="1958" spans="13:23">
      <c r="M1958" s="9"/>
      <c r="W1958" s="6"/>
    </row>
    <row r="1959" spans="13:23">
      <c r="M1959" s="9"/>
      <c r="W1959" s="6"/>
    </row>
    <row r="1960" spans="13:23">
      <c r="M1960" s="9"/>
      <c r="W1960" s="6"/>
    </row>
    <row r="1961" spans="13:23">
      <c r="M1961" s="9"/>
      <c r="W1961" s="6"/>
    </row>
    <row r="1962" spans="13:23">
      <c r="M1962" s="9"/>
      <c r="W1962" s="6"/>
    </row>
    <row r="1963" spans="13:23">
      <c r="M1963" s="9"/>
      <c r="W1963" s="6"/>
    </row>
    <row r="1964" spans="13:23">
      <c r="M1964" s="9"/>
      <c r="W1964" s="6"/>
    </row>
    <row r="1965" spans="13:23">
      <c r="M1965" s="9"/>
      <c r="W1965" s="6"/>
    </row>
    <row r="1966" spans="13:23">
      <c r="M1966" s="9"/>
      <c r="W1966" s="6"/>
    </row>
    <row r="1967" spans="13:23">
      <c r="M1967" s="9"/>
      <c r="W1967" s="6"/>
    </row>
    <row r="1968" spans="13:23">
      <c r="M1968" s="9"/>
      <c r="W1968" s="6"/>
    </row>
    <row r="1969" spans="13:23">
      <c r="M1969" s="9"/>
      <c r="W1969" s="6"/>
    </row>
    <row r="1970" spans="13:23">
      <c r="M1970" s="9"/>
      <c r="W1970" s="6"/>
    </row>
    <row r="1971" spans="13:23">
      <c r="M1971" s="9"/>
      <c r="W1971" s="6"/>
    </row>
    <row r="1972" spans="13:23">
      <c r="M1972" s="9"/>
      <c r="W1972" s="6"/>
    </row>
    <row r="1973" spans="13:23">
      <c r="M1973" s="9"/>
      <c r="W1973" s="6"/>
    </row>
    <row r="1974" spans="13:23">
      <c r="M1974" s="9"/>
      <c r="W1974" s="6"/>
    </row>
    <row r="1975" spans="13:23">
      <c r="M1975" s="9"/>
      <c r="W1975" s="6"/>
    </row>
    <row r="1976" spans="13:23">
      <c r="M1976" s="9"/>
      <c r="W1976" s="6"/>
    </row>
    <row r="1977" spans="13:23">
      <c r="M1977" s="9"/>
      <c r="W1977" s="6"/>
    </row>
    <row r="1978" spans="13:23">
      <c r="M1978" s="9"/>
      <c r="W1978" s="6"/>
    </row>
    <row r="1979" spans="13:23">
      <c r="M1979" s="9"/>
      <c r="W1979" s="6"/>
    </row>
    <row r="1980" spans="13:23">
      <c r="M1980" s="9"/>
      <c r="W1980" s="6"/>
    </row>
    <row r="1981" spans="13:23">
      <c r="M1981" s="9"/>
      <c r="W1981" s="6"/>
    </row>
    <row r="1982" spans="13:23">
      <c r="M1982" s="9"/>
      <c r="W1982" s="6"/>
    </row>
    <row r="1983" spans="13:23">
      <c r="M1983" s="9"/>
      <c r="W1983" s="6"/>
    </row>
    <row r="1984" spans="13:23">
      <c r="M1984" s="9"/>
      <c r="W1984" s="6"/>
    </row>
    <row r="1985" spans="13:23">
      <c r="M1985" s="9"/>
      <c r="W1985" s="6"/>
    </row>
    <row r="1986" spans="13:23">
      <c r="M1986" s="9"/>
      <c r="W1986" s="6"/>
    </row>
    <row r="1987" spans="13:23">
      <c r="M1987" s="9"/>
      <c r="W1987" s="6"/>
    </row>
    <row r="1988" spans="13:23">
      <c r="M1988" s="9"/>
      <c r="W1988" s="6"/>
    </row>
    <row r="1989" spans="13:23">
      <c r="M1989" s="9"/>
      <c r="W1989" s="6"/>
    </row>
    <row r="1990" spans="13:23">
      <c r="M1990" s="9"/>
      <c r="W1990" s="6"/>
    </row>
    <row r="1991" spans="13:23">
      <c r="M1991" s="9"/>
      <c r="W1991" s="6"/>
    </row>
    <row r="1992" spans="13:23">
      <c r="M1992" s="9"/>
      <c r="W1992" s="6"/>
    </row>
    <row r="1993" spans="13:23">
      <c r="M1993" s="9"/>
      <c r="W1993" s="6"/>
    </row>
    <row r="1994" spans="13:23">
      <c r="M1994" s="9"/>
      <c r="W1994" s="6"/>
    </row>
    <row r="1995" spans="13:23">
      <c r="M1995" s="9"/>
      <c r="W1995" s="6"/>
    </row>
    <row r="1996" spans="13:23">
      <c r="M1996" s="9"/>
      <c r="W1996" s="6"/>
    </row>
    <row r="1997" spans="13:23">
      <c r="M1997" s="9"/>
      <c r="W1997" s="6"/>
    </row>
    <row r="1998" spans="13:23">
      <c r="M1998" s="9"/>
      <c r="W1998" s="6"/>
    </row>
    <row r="1999" spans="13:23">
      <c r="M1999" s="9"/>
      <c r="W1999" s="6"/>
    </row>
    <row r="2000" spans="13:23">
      <c r="M2000" s="9"/>
      <c r="W2000" s="6"/>
    </row>
    <row r="2001" spans="13:23">
      <c r="M2001" s="9"/>
      <c r="W2001" s="6"/>
    </row>
    <row r="2002" spans="13:23">
      <c r="M2002" s="9"/>
      <c r="W2002" s="6"/>
    </row>
    <row r="2003" spans="13:23">
      <c r="M2003" s="9"/>
      <c r="W2003" s="6"/>
    </row>
    <row r="2004" spans="13:23">
      <c r="M2004" s="9"/>
      <c r="W2004" s="6"/>
    </row>
    <row r="2005" spans="13:23">
      <c r="M2005" s="9"/>
      <c r="W2005" s="6"/>
    </row>
    <row r="2006" spans="13:23">
      <c r="M2006" s="9"/>
      <c r="W2006" s="6"/>
    </row>
    <row r="2007" spans="13:23">
      <c r="M2007" s="9"/>
      <c r="W2007" s="6"/>
    </row>
    <row r="2008" spans="13:23">
      <c r="M2008" s="9"/>
      <c r="W2008" s="6"/>
    </row>
    <row r="2009" spans="13:23">
      <c r="M2009" s="9"/>
      <c r="W2009" s="6"/>
    </row>
    <row r="2010" spans="13:23">
      <c r="M2010" s="9"/>
      <c r="W2010" s="6"/>
    </row>
    <row r="2011" spans="13:23">
      <c r="M2011" s="9"/>
      <c r="W2011" s="6"/>
    </row>
    <row r="2012" spans="13:23">
      <c r="M2012" s="9"/>
      <c r="W2012" s="6"/>
    </row>
    <row r="2013" spans="13:23">
      <c r="M2013" s="9"/>
      <c r="W2013" s="6"/>
    </row>
    <row r="2014" spans="13:23">
      <c r="M2014" s="9"/>
      <c r="W2014" s="6"/>
    </row>
    <row r="2015" spans="13:23">
      <c r="M2015" s="9"/>
      <c r="W2015" s="6"/>
    </row>
    <row r="2016" spans="13:23">
      <c r="M2016" s="9"/>
      <c r="W2016" s="6"/>
    </row>
    <row r="2017" spans="13:23">
      <c r="M2017" s="9"/>
      <c r="W2017" s="6"/>
    </row>
    <row r="2018" spans="13:23">
      <c r="M2018" s="9"/>
      <c r="W2018" s="6"/>
    </row>
    <row r="2019" spans="13:23">
      <c r="M2019" s="9"/>
      <c r="W2019" s="6"/>
    </row>
    <row r="2020" spans="13:23">
      <c r="M2020" s="9"/>
      <c r="W2020" s="6"/>
    </row>
    <row r="2021" spans="13:23">
      <c r="M2021" s="9"/>
      <c r="W2021" s="6"/>
    </row>
    <row r="2022" spans="13:23">
      <c r="M2022" s="9"/>
      <c r="W2022" s="6"/>
    </row>
    <row r="2023" spans="13:23">
      <c r="M2023" s="9"/>
      <c r="W2023" s="6"/>
    </row>
    <row r="2024" spans="13:23">
      <c r="M2024" s="9"/>
      <c r="W2024" s="6"/>
    </row>
    <row r="2025" spans="13:23">
      <c r="M2025" s="9"/>
      <c r="W2025" s="6"/>
    </row>
    <row r="2026" spans="13:23">
      <c r="M2026" s="9"/>
      <c r="W2026" s="6"/>
    </row>
    <row r="2027" spans="13:23">
      <c r="M2027" s="9"/>
      <c r="W2027" s="6"/>
    </row>
    <row r="2028" spans="13:23">
      <c r="M2028" s="9"/>
      <c r="W2028" s="6"/>
    </row>
    <row r="2029" spans="13:23">
      <c r="M2029" s="9"/>
      <c r="W2029" s="6"/>
    </row>
    <row r="2030" spans="13:23">
      <c r="M2030" s="9"/>
      <c r="W2030" s="6"/>
    </row>
    <row r="2031" spans="13:23">
      <c r="M2031" s="9"/>
      <c r="W2031" s="6"/>
    </row>
    <row r="2032" spans="13:23">
      <c r="M2032" s="9"/>
      <c r="W2032" s="6"/>
    </row>
    <row r="2033" spans="13:23">
      <c r="M2033" s="9"/>
      <c r="W2033" s="6"/>
    </row>
    <row r="2034" spans="13:23">
      <c r="M2034" s="9"/>
      <c r="W2034" s="6"/>
    </row>
    <row r="2035" spans="13:23">
      <c r="M2035" s="9"/>
      <c r="W2035" s="6"/>
    </row>
    <row r="2036" spans="13:23">
      <c r="M2036" s="9"/>
      <c r="W2036" s="6"/>
    </row>
    <row r="2037" spans="13:23">
      <c r="M2037" s="9"/>
      <c r="W2037" s="6"/>
    </row>
    <row r="2038" spans="13:23">
      <c r="M2038" s="9"/>
      <c r="W2038" s="6"/>
    </row>
    <row r="2039" spans="13:23">
      <c r="M2039" s="9"/>
      <c r="W2039" s="6"/>
    </row>
    <row r="2040" spans="13:23">
      <c r="M2040" s="9"/>
      <c r="W2040" s="6"/>
    </row>
    <row r="2041" spans="13:23">
      <c r="M2041" s="9"/>
      <c r="W2041" s="6"/>
    </row>
    <row r="2042" spans="13:23">
      <c r="M2042" s="9"/>
      <c r="W2042" s="6"/>
    </row>
    <row r="2043" spans="13:23">
      <c r="M2043" s="9"/>
      <c r="W2043" s="6"/>
    </row>
    <row r="2044" spans="13:23">
      <c r="M2044" s="9"/>
      <c r="W2044" s="6"/>
    </row>
    <row r="2045" spans="13:23">
      <c r="M2045" s="9"/>
      <c r="W2045" s="6"/>
    </row>
    <row r="2046" spans="13:23">
      <c r="M2046" s="9"/>
      <c r="W2046" s="6"/>
    </row>
    <row r="2047" spans="13:23">
      <c r="M2047" s="9"/>
      <c r="W2047" s="6"/>
    </row>
    <row r="2048" spans="13:23">
      <c r="M2048" s="9"/>
      <c r="W2048" s="6"/>
    </row>
    <row r="2049" spans="13:23">
      <c r="M2049" s="9"/>
      <c r="W2049" s="6"/>
    </row>
    <row r="2050" spans="13:23">
      <c r="M2050" s="9"/>
      <c r="W2050" s="6"/>
    </row>
    <row r="2051" spans="13:23">
      <c r="M2051" s="9"/>
      <c r="W2051" s="6"/>
    </row>
    <row r="2052" spans="13:23">
      <c r="M2052" s="9"/>
      <c r="W2052" s="6"/>
    </row>
    <row r="2053" spans="13:23">
      <c r="M2053" s="9"/>
      <c r="W2053" s="6"/>
    </row>
    <row r="2054" spans="13:23">
      <c r="M2054" s="9"/>
      <c r="W2054" s="6"/>
    </row>
    <row r="2055" spans="13:23">
      <c r="M2055" s="9"/>
      <c r="W2055" s="6"/>
    </row>
    <row r="2056" spans="13:23">
      <c r="M2056" s="9"/>
      <c r="W2056" s="6"/>
    </row>
    <row r="2057" spans="13:23">
      <c r="M2057" s="9"/>
      <c r="W2057" s="6"/>
    </row>
    <row r="2058" spans="13:23">
      <c r="M2058" s="9"/>
      <c r="W2058" s="6"/>
    </row>
    <row r="2059" spans="13:23">
      <c r="M2059" s="9"/>
      <c r="W2059" s="6"/>
    </row>
    <row r="2060" spans="13:23">
      <c r="M2060" s="9"/>
      <c r="W2060" s="6"/>
    </row>
    <row r="2061" spans="13:23">
      <c r="M2061" s="9"/>
      <c r="W2061" s="6"/>
    </row>
    <row r="2062" spans="13:23">
      <c r="M2062" s="9"/>
      <c r="W2062" s="6"/>
    </row>
    <row r="2063" spans="13:23">
      <c r="M2063" s="9"/>
      <c r="W2063" s="6"/>
    </row>
    <row r="2064" spans="13:23">
      <c r="M2064" s="9"/>
      <c r="W2064" s="6"/>
    </row>
    <row r="2065" spans="13:23">
      <c r="M2065" s="9"/>
      <c r="W2065" s="6"/>
    </row>
    <row r="2066" spans="13:23">
      <c r="M2066" s="9"/>
      <c r="W2066" s="6"/>
    </row>
    <row r="2067" spans="13:23">
      <c r="M2067" s="9"/>
      <c r="W2067" s="6"/>
    </row>
    <row r="2068" spans="13:23">
      <c r="M2068" s="9"/>
      <c r="W2068" s="6"/>
    </row>
    <row r="2069" spans="13:23">
      <c r="M2069" s="9"/>
      <c r="W2069" s="6"/>
    </row>
    <row r="2070" spans="13:23">
      <c r="M2070" s="9"/>
      <c r="W2070" s="6"/>
    </row>
    <row r="2071" spans="13:23">
      <c r="M2071" s="9"/>
      <c r="W2071" s="6"/>
    </row>
    <row r="2072" spans="13:23">
      <c r="M2072" s="9"/>
      <c r="W2072" s="6"/>
    </row>
    <row r="2073" spans="13:23">
      <c r="M2073" s="9"/>
      <c r="W2073" s="6"/>
    </row>
    <row r="2074" spans="13:23">
      <c r="M2074" s="9"/>
      <c r="W2074" s="6"/>
    </row>
    <row r="2075" spans="13:23">
      <c r="M2075" s="9"/>
      <c r="W2075" s="6"/>
    </row>
    <row r="2076" spans="13:23">
      <c r="M2076" s="9"/>
      <c r="W2076" s="6"/>
    </row>
    <row r="2077" spans="13:23">
      <c r="M2077" s="9"/>
      <c r="W2077" s="6"/>
    </row>
    <row r="2078" spans="13:23">
      <c r="M2078" s="9"/>
      <c r="W2078" s="6"/>
    </row>
    <row r="2079" spans="13:23">
      <c r="M2079" s="9"/>
      <c r="W2079" s="6"/>
    </row>
    <row r="2080" spans="13:23">
      <c r="M2080" s="9"/>
      <c r="W2080" s="6"/>
    </row>
    <row r="2081" spans="13:23">
      <c r="M2081" s="9"/>
      <c r="W2081" s="6"/>
    </row>
    <row r="2082" spans="13:23">
      <c r="M2082" s="9"/>
      <c r="W2082" s="6"/>
    </row>
    <row r="2083" spans="13:23">
      <c r="M2083" s="9"/>
      <c r="W2083" s="6"/>
    </row>
    <row r="2084" spans="13:23">
      <c r="M2084" s="9"/>
      <c r="W2084" s="6"/>
    </row>
    <row r="2085" spans="13:23">
      <c r="M2085" s="9"/>
      <c r="W2085" s="6"/>
    </row>
    <row r="2086" spans="13:23">
      <c r="M2086" s="9"/>
      <c r="W2086" s="6"/>
    </row>
    <row r="2087" spans="13:23">
      <c r="M2087" s="9"/>
      <c r="W2087" s="6"/>
    </row>
    <row r="2088" spans="13:23">
      <c r="M2088" s="9"/>
      <c r="W2088" s="6"/>
    </row>
    <row r="2089" spans="13:23">
      <c r="M2089" s="9"/>
      <c r="W2089" s="6"/>
    </row>
    <row r="2090" spans="13:23">
      <c r="M2090" s="9"/>
      <c r="W2090" s="6"/>
    </row>
    <row r="2091" spans="13:23">
      <c r="M2091" s="9"/>
      <c r="W2091" s="6"/>
    </row>
    <row r="2092" spans="13:23">
      <c r="M2092" s="9"/>
      <c r="W2092" s="6"/>
    </row>
    <row r="2093" spans="13:23">
      <c r="M2093" s="9"/>
      <c r="W2093" s="6"/>
    </row>
    <row r="2094" spans="13:23">
      <c r="M2094" s="9"/>
      <c r="W2094" s="6"/>
    </row>
    <row r="2095" spans="13:23">
      <c r="M2095" s="9"/>
      <c r="W2095" s="6"/>
    </row>
    <row r="2096" spans="13:23">
      <c r="M2096" s="9"/>
      <c r="W2096" s="6"/>
    </row>
    <row r="2097" spans="13:23">
      <c r="M2097" s="9"/>
      <c r="W2097" s="6"/>
    </row>
    <row r="2098" spans="13:23">
      <c r="M2098" s="9"/>
      <c r="W2098" s="6"/>
    </row>
    <row r="2099" spans="13:23">
      <c r="M2099" s="9"/>
      <c r="W2099" s="6"/>
    </row>
    <row r="2100" spans="13:23">
      <c r="M2100" s="9"/>
      <c r="W2100" s="6"/>
    </row>
    <row r="2101" spans="13:23">
      <c r="M2101" s="9"/>
      <c r="W2101" s="6"/>
    </row>
    <row r="2102" spans="13:23">
      <c r="M2102" s="9"/>
      <c r="W2102" s="6"/>
    </row>
    <row r="2103" spans="13:23">
      <c r="M2103" s="9"/>
      <c r="W2103" s="6"/>
    </row>
    <row r="2104" spans="13:23">
      <c r="M2104" s="9"/>
      <c r="W2104" s="6"/>
    </row>
    <row r="2105" spans="13:23">
      <c r="M2105" s="9"/>
      <c r="W2105" s="6"/>
    </row>
    <row r="2106" spans="13:23">
      <c r="M2106" s="9"/>
      <c r="W2106" s="6"/>
    </row>
    <row r="2107" spans="13:23">
      <c r="M2107" s="9"/>
      <c r="W2107" s="6"/>
    </row>
    <row r="2108" spans="13:23">
      <c r="M2108" s="9"/>
      <c r="W2108" s="6"/>
    </row>
    <row r="2109" spans="13:23">
      <c r="M2109" s="9"/>
      <c r="W2109" s="6"/>
    </row>
    <row r="2110" spans="13:23">
      <c r="M2110" s="9"/>
      <c r="W2110" s="6"/>
    </row>
    <row r="2111" spans="13:23">
      <c r="M2111" s="9"/>
      <c r="W2111" s="6"/>
    </row>
    <row r="2112" spans="13:23">
      <c r="M2112" s="9"/>
      <c r="W2112" s="6"/>
    </row>
    <row r="2113" spans="13:23">
      <c r="M2113" s="9"/>
      <c r="W2113" s="6"/>
    </row>
    <row r="2114" spans="13:23">
      <c r="M2114" s="9"/>
      <c r="W2114" s="6"/>
    </row>
    <row r="2115" spans="13:23">
      <c r="M2115" s="9"/>
      <c r="W2115" s="6"/>
    </row>
    <row r="2116" spans="13:23">
      <c r="M2116" s="9"/>
      <c r="W2116" s="6"/>
    </row>
    <row r="2117" spans="13:23">
      <c r="M2117" s="9"/>
      <c r="W2117" s="6"/>
    </row>
    <row r="2118" spans="13:23">
      <c r="M2118" s="9"/>
      <c r="W2118" s="6"/>
    </row>
    <row r="2119" spans="13:23">
      <c r="M2119" s="9"/>
      <c r="W2119" s="6"/>
    </row>
    <row r="2120" spans="13:23">
      <c r="M2120" s="9"/>
      <c r="W2120" s="6"/>
    </row>
    <row r="2121" spans="13:23">
      <c r="M2121" s="9"/>
      <c r="W2121" s="6"/>
    </row>
    <row r="2122" spans="13:23">
      <c r="M2122" s="9"/>
      <c r="W2122" s="6"/>
    </row>
    <row r="2123" spans="13:23">
      <c r="M2123" s="9"/>
      <c r="W2123" s="6"/>
    </row>
    <row r="2124" spans="13:23">
      <c r="M2124" s="9"/>
      <c r="W2124" s="6"/>
    </row>
    <row r="2125" spans="13:23">
      <c r="M2125" s="9"/>
      <c r="W2125" s="6"/>
    </row>
    <row r="2126" spans="13:23">
      <c r="M2126" s="9"/>
      <c r="W2126" s="6"/>
    </row>
    <row r="2127" spans="13:23">
      <c r="M2127" s="9"/>
      <c r="W2127" s="6"/>
    </row>
    <row r="2128" spans="13:23">
      <c r="M2128" s="9"/>
      <c r="W2128" s="6"/>
    </row>
    <row r="2129" spans="13:23">
      <c r="M2129" s="9"/>
      <c r="W2129" s="6"/>
    </row>
    <row r="2130" spans="13:23">
      <c r="M2130" s="9"/>
      <c r="W2130" s="6"/>
    </row>
    <row r="2131" spans="13:23">
      <c r="M2131" s="9"/>
      <c r="W2131" s="6"/>
    </row>
    <row r="2132" spans="13:23">
      <c r="M2132" s="9"/>
      <c r="W2132" s="6"/>
    </row>
    <row r="2133" spans="13:23">
      <c r="M2133" s="9"/>
      <c r="W2133" s="6"/>
    </row>
    <row r="2134" spans="13:23">
      <c r="M2134" s="9"/>
      <c r="W2134" s="6"/>
    </row>
    <row r="2135" spans="13:23">
      <c r="M2135" s="9"/>
      <c r="W2135" s="6"/>
    </row>
    <row r="2136" spans="13:23">
      <c r="M2136" s="9"/>
      <c r="W2136" s="6"/>
    </row>
    <row r="2137" spans="13:23">
      <c r="M2137" s="9"/>
      <c r="W2137" s="6"/>
    </row>
    <row r="2138" spans="13:23">
      <c r="M2138" s="9"/>
      <c r="W2138" s="6"/>
    </row>
    <row r="2139" spans="13:23">
      <c r="M2139" s="9"/>
      <c r="W2139" s="6"/>
    </row>
    <row r="2140" spans="13:23">
      <c r="M2140" s="9"/>
      <c r="W2140" s="6"/>
    </row>
    <row r="2141" spans="13:23">
      <c r="M2141" s="9"/>
      <c r="W2141" s="6"/>
    </row>
    <row r="2142" spans="13:23">
      <c r="M2142" s="9"/>
      <c r="W2142" s="6"/>
    </row>
    <row r="2143" spans="13:23">
      <c r="M2143" s="9"/>
      <c r="W2143" s="6"/>
    </row>
    <row r="2144" spans="13:23">
      <c r="M2144" s="9"/>
      <c r="W2144" s="6"/>
    </row>
    <row r="2145" spans="13:23">
      <c r="M2145" s="9"/>
      <c r="W2145" s="6"/>
    </row>
    <row r="2146" spans="13:23">
      <c r="M2146" s="9"/>
      <c r="W2146" s="6"/>
    </row>
    <row r="2147" spans="13:23">
      <c r="M2147" s="9"/>
      <c r="W2147" s="6"/>
    </row>
    <row r="2148" spans="13:23">
      <c r="M2148" s="9"/>
      <c r="W2148" s="6"/>
    </row>
    <row r="2149" spans="13:23">
      <c r="M2149" s="9"/>
      <c r="W2149" s="6"/>
    </row>
    <row r="2150" spans="13:23">
      <c r="M2150" s="9"/>
      <c r="W2150" s="6"/>
    </row>
    <row r="2151" spans="13:23">
      <c r="M2151" s="9"/>
      <c r="W2151" s="6"/>
    </row>
    <row r="2152" spans="13:23">
      <c r="M2152" s="9"/>
      <c r="W2152" s="6"/>
    </row>
    <row r="2153" spans="13:23">
      <c r="M2153" s="9"/>
      <c r="W2153" s="6"/>
    </row>
    <row r="2154" spans="13:23">
      <c r="M2154" s="9"/>
      <c r="W2154" s="6"/>
    </row>
    <row r="2155" spans="13:23">
      <c r="M2155" s="9"/>
      <c r="W2155" s="6"/>
    </row>
    <row r="2156" spans="13:23">
      <c r="M2156" s="9"/>
      <c r="W2156" s="6"/>
    </row>
    <row r="2157" spans="13:23">
      <c r="M2157" s="9"/>
      <c r="W2157" s="6"/>
    </row>
    <row r="2158" spans="13:23">
      <c r="M2158" s="9"/>
      <c r="W2158" s="6"/>
    </row>
    <row r="2159" spans="13:23">
      <c r="M2159" s="9"/>
      <c r="W2159" s="6"/>
    </row>
    <row r="2160" spans="13:23">
      <c r="M2160" s="9"/>
      <c r="W2160" s="6"/>
    </row>
    <row r="2161" spans="13:23">
      <c r="M2161" s="9"/>
      <c r="W2161" s="6"/>
    </row>
    <row r="2162" spans="13:23">
      <c r="M2162" s="9"/>
      <c r="W2162" s="6"/>
    </row>
    <row r="2163" spans="13:23">
      <c r="M2163" s="9"/>
      <c r="W2163" s="6"/>
    </row>
    <row r="2164" spans="13:23">
      <c r="M2164" s="9"/>
      <c r="W2164" s="6"/>
    </row>
    <row r="2165" spans="13:23">
      <c r="M2165" s="9"/>
      <c r="W2165" s="6"/>
    </row>
    <row r="2166" spans="13:23">
      <c r="M2166" s="9"/>
      <c r="W2166" s="6"/>
    </row>
    <row r="2167" spans="13:23">
      <c r="M2167" s="9"/>
      <c r="W2167" s="6"/>
    </row>
    <row r="2168" spans="13:23">
      <c r="M2168" s="9"/>
      <c r="W2168" s="6"/>
    </row>
    <row r="2169" spans="13:23">
      <c r="M2169" s="9"/>
      <c r="W2169" s="6"/>
    </row>
    <row r="2170" spans="13:23">
      <c r="M2170" s="9"/>
      <c r="W2170" s="6"/>
    </row>
    <row r="2171" spans="13:23">
      <c r="M2171" s="9"/>
      <c r="W2171" s="6"/>
    </row>
    <row r="2172" spans="13:23">
      <c r="M2172" s="9"/>
      <c r="W2172" s="6"/>
    </row>
    <row r="2173" spans="13:23">
      <c r="M2173" s="9"/>
      <c r="W2173" s="6"/>
    </row>
    <row r="2174" spans="13:23">
      <c r="M2174" s="9"/>
      <c r="W2174" s="6"/>
    </row>
    <row r="2175" spans="13:23">
      <c r="M2175" s="9"/>
      <c r="W2175" s="6"/>
    </row>
    <row r="2176" spans="13:23">
      <c r="M2176" s="9"/>
      <c r="W2176" s="6"/>
    </row>
    <row r="2177" spans="13:23">
      <c r="M2177" s="9"/>
      <c r="W2177" s="6"/>
    </row>
    <row r="2178" spans="13:23">
      <c r="M2178" s="9"/>
      <c r="W2178" s="6"/>
    </row>
    <row r="2179" spans="13:23">
      <c r="M2179" s="9"/>
      <c r="W2179" s="6"/>
    </row>
    <row r="2180" spans="13:23">
      <c r="M2180" s="9"/>
      <c r="W2180" s="6"/>
    </row>
    <row r="2181" spans="13:23">
      <c r="M2181" s="9"/>
      <c r="W2181" s="6"/>
    </row>
    <row r="2182" spans="13:23">
      <c r="M2182" s="9"/>
      <c r="W2182" s="6"/>
    </row>
    <row r="2183" spans="13:23">
      <c r="M2183" s="9"/>
      <c r="W2183" s="6"/>
    </row>
    <row r="2184" spans="13:23">
      <c r="M2184" s="9"/>
      <c r="W2184" s="6"/>
    </row>
    <row r="2185" spans="13:23">
      <c r="M2185" s="9"/>
      <c r="W2185" s="6"/>
    </row>
    <row r="2186" spans="13:23">
      <c r="M2186" s="9"/>
      <c r="W2186" s="6"/>
    </row>
    <row r="2187" spans="13:23">
      <c r="M2187" s="9"/>
      <c r="W2187" s="6"/>
    </row>
    <row r="2188" spans="13:23">
      <c r="M2188" s="9"/>
      <c r="W2188" s="6"/>
    </row>
    <row r="2189" spans="13:23">
      <c r="M2189" s="9"/>
      <c r="W2189" s="6"/>
    </row>
    <row r="2190" spans="13:23">
      <c r="M2190" s="9"/>
      <c r="W2190" s="6"/>
    </row>
    <row r="2191" spans="13:23">
      <c r="M2191" s="9"/>
      <c r="W2191" s="6"/>
    </row>
    <row r="2192" spans="13:23">
      <c r="M2192" s="9"/>
      <c r="W2192" s="6"/>
    </row>
    <row r="2193" spans="13:23">
      <c r="M2193" s="9"/>
      <c r="W2193" s="6"/>
    </row>
    <row r="2194" spans="13:23">
      <c r="M2194" s="9"/>
      <c r="W2194" s="6"/>
    </row>
    <row r="2195" spans="13:23">
      <c r="M2195" s="9"/>
      <c r="W2195" s="6"/>
    </row>
    <row r="2196" spans="13:23">
      <c r="M2196" s="9"/>
      <c r="W2196" s="6"/>
    </row>
    <row r="2197" spans="13:23">
      <c r="M2197" s="9"/>
      <c r="W2197" s="6"/>
    </row>
    <row r="2198" spans="13:23">
      <c r="M2198" s="9"/>
      <c r="W2198" s="6"/>
    </row>
    <row r="2199" spans="13:23">
      <c r="M2199" s="9"/>
      <c r="W2199" s="6"/>
    </row>
    <row r="2200" spans="13:23">
      <c r="M2200" s="9"/>
      <c r="W2200" s="6"/>
    </row>
    <row r="2201" spans="13:23">
      <c r="M2201" s="9"/>
      <c r="W2201" s="6"/>
    </row>
    <row r="2202" spans="13:23">
      <c r="M2202" s="9"/>
      <c r="W2202" s="6"/>
    </row>
    <row r="2203" spans="13:23">
      <c r="M2203" s="9"/>
      <c r="W2203" s="6"/>
    </row>
    <row r="2204" spans="13:23">
      <c r="M2204" s="9"/>
      <c r="W2204" s="6"/>
    </row>
    <row r="2205" spans="13:23">
      <c r="M2205" s="9"/>
      <c r="W2205" s="6"/>
    </row>
    <row r="2206" spans="13:23">
      <c r="M2206" s="9"/>
      <c r="W2206" s="6"/>
    </row>
    <row r="2207" spans="13:23">
      <c r="M2207" s="9"/>
      <c r="W2207" s="6"/>
    </row>
    <row r="2208" spans="13:23">
      <c r="M2208" s="9"/>
      <c r="W2208" s="6"/>
    </row>
    <row r="2209" spans="13:23">
      <c r="M2209" s="9"/>
      <c r="W2209" s="6"/>
    </row>
    <row r="2210" spans="13:23">
      <c r="M2210" s="9"/>
      <c r="W2210" s="6"/>
    </row>
    <row r="2211" spans="13:23">
      <c r="M2211" s="9"/>
      <c r="W2211" s="6"/>
    </row>
    <row r="2212" spans="13:23">
      <c r="M2212" s="9"/>
      <c r="W2212" s="6"/>
    </row>
    <row r="2213" spans="13:23">
      <c r="M2213" s="9"/>
      <c r="W2213" s="6"/>
    </row>
    <row r="2214" spans="13:23">
      <c r="M2214" s="9"/>
      <c r="W2214" s="6"/>
    </row>
    <row r="2215" spans="13:23">
      <c r="M2215" s="9"/>
      <c r="W2215" s="6"/>
    </row>
    <row r="2216" spans="13:23">
      <c r="M2216" s="9"/>
      <c r="W2216" s="6"/>
    </row>
    <row r="2217" spans="13:23">
      <c r="M2217" s="9"/>
      <c r="W2217" s="6"/>
    </row>
    <row r="2218" spans="13:23">
      <c r="M2218" s="9"/>
      <c r="W2218" s="6"/>
    </row>
    <row r="2219" spans="13:23">
      <c r="M2219" s="9"/>
      <c r="W2219" s="6"/>
    </row>
    <row r="2220" spans="13:23">
      <c r="M2220" s="9"/>
      <c r="W2220" s="6"/>
    </row>
    <row r="2221" spans="13:23">
      <c r="M2221" s="9"/>
      <c r="W2221" s="6"/>
    </row>
    <row r="2222" spans="13:23">
      <c r="M2222" s="9"/>
      <c r="W2222" s="6"/>
    </row>
    <row r="2223" spans="13:23">
      <c r="M2223" s="9"/>
      <c r="W2223" s="6"/>
    </row>
    <row r="2224" spans="13:23">
      <c r="M2224" s="9"/>
      <c r="W2224" s="6"/>
    </row>
    <row r="2225" spans="13:23">
      <c r="M2225" s="9"/>
      <c r="W2225" s="6"/>
    </row>
    <row r="2226" spans="13:23">
      <c r="M2226" s="9"/>
      <c r="W2226" s="6"/>
    </row>
    <row r="2227" spans="13:23">
      <c r="M2227" s="9"/>
      <c r="W2227" s="6"/>
    </row>
    <row r="2228" spans="13:23">
      <c r="M2228" s="9"/>
      <c r="W2228" s="6"/>
    </row>
    <row r="2229" spans="13:23">
      <c r="M2229" s="9"/>
      <c r="W2229" s="6"/>
    </row>
    <row r="2230" spans="13:23">
      <c r="M2230" s="9"/>
      <c r="W2230" s="6"/>
    </row>
    <row r="2231" spans="13:23">
      <c r="M2231" s="9"/>
      <c r="W2231" s="6"/>
    </row>
    <row r="2232" spans="13:23">
      <c r="M2232" s="9"/>
      <c r="W2232" s="6"/>
    </row>
    <row r="2233" spans="13:23">
      <c r="M2233" s="9"/>
      <c r="W2233" s="6"/>
    </row>
    <row r="2234" spans="13:23">
      <c r="M2234" s="9"/>
      <c r="W2234" s="6"/>
    </row>
    <row r="2235" spans="13:23">
      <c r="M2235" s="9"/>
      <c r="W2235" s="6"/>
    </row>
    <row r="2236" spans="13:23">
      <c r="M2236" s="9"/>
      <c r="W2236" s="6"/>
    </row>
    <row r="2237" spans="13:23">
      <c r="M2237" s="9"/>
      <c r="W2237" s="6"/>
    </row>
    <row r="2238" spans="13:23">
      <c r="M2238" s="9"/>
      <c r="W2238" s="6"/>
    </row>
    <row r="2239" spans="13:23">
      <c r="M2239" s="9"/>
      <c r="W2239" s="6"/>
    </row>
    <row r="2240" spans="13:23">
      <c r="M2240" s="9"/>
      <c r="W2240" s="6"/>
    </row>
    <row r="2241" spans="13:23">
      <c r="M2241" s="9"/>
      <c r="W2241" s="6"/>
    </row>
    <row r="2242" spans="13:23">
      <c r="M2242" s="9"/>
      <c r="W2242" s="6"/>
    </row>
    <row r="2243" spans="13:23">
      <c r="M2243" s="9"/>
      <c r="W2243" s="6"/>
    </row>
    <row r="2244" spans="13:23">
      <c r="M2244" s="9"/>
      <c r="W2244" s="6"/>
    </row>
    <row r="2245" spans="13:23">
      <c r="M2245" s="9"/>
      <c r="W2245" s="6"/>
    </row>
    <row r="2246" spans="13:23">
      <c r="M2246" s="9"/>
      <c r="W2246" s="6"/>
    </row>
    <row r="2247" spans="13:23">
      <c r="M2247" s="9"/>
      <c r="W2247" s="6"/>
    </row>
    <row r="2248" spans="13:23">
      <c r="M2248" s="9"/>
      <c r="W2248" s="6"/>
    </row>
    <row r="2249" spans="13:23">
      <c r="M2249" s="9"/>
      <c r="W2249" s="6"/>
    </row>
    <row r="2250" spans="13:23">
      <c r="M2250" s="9"/>
      <c r="W2250" s="6"/>
    </row>
    <row r="2251" spans="13:23">
      <c r="M2251" s="9"/>
      <c r="W2251" s="6"/>
    </row>
    <row r="2252" spans="13:23">
      <c r="M2252" s="9"/>
      <c r="W2252" s="6"/>
    </row>
    <row r="2253" spans="13:23">
      <c r="M2253" s="9"/>
      <c r="W2253" s="6"/>
    </row>
    <row r="2254" spans="13:23">
      <c r="M2254" s="9"/>
      <c r="W2254" s="6"/>
    </row>
    <row r="2255" spans="13:23">
      <c r="M2255" s="9"/>
      <c r="W2255" s="6"/>
    </row>
    <row r="2256" spans="13:23">
      <c r="M2256" s="9"/>
      <c r="W2256" s="6"/>
    </row>
    <row r="2257" spans="13:23">
      <c r="M2257" s="9"/>
      <c r="W2257" s="6"/>
    </row>
    <row r="2258" spans="13:23">
      <c r="M2258" s="9"/>
      <c r="W2258" s="6"/>
    </row>
    <row r="2259" spans="13:23">
      <c r="M2259" s="9"/>
      <c r="W2259" s="6"/>
    </row>
    <row r="2260" spans="13:23">
      <c r="M2260" s="9"/>
      <c r="W2260" s="6"/>
    </row>
    <row r="2261" spans="13:23">
      <c r="M2261" s="9"/>
      <c r="W2261" s="6"/>
    </row>
    <row r="2262" spans="13:23">
      <c r="M2262" s="9"/>
      <c r="W2262" s="6"/>
    </row>
    <row r="2263" spans="13:23">
      <c r="M2263" s="9"/>
      <c r="W2263" s="6"/>
    </row>
    <row r="2264" spans="13:23">
      <c r="M2264" s="9"/>
      <c r="W2264" s="6"/>
    </row>
    <row r="2265" spans="13:23">
      <c r="M2265" s="9"/>
      <c r="W2265" s="6"/>
    </row>
    <row r="2266" spans="13:23">
      <c r="M2266" s="9"/>
      <c r="W2266" s="6"/>
    </row>
    <row r="2267" spans="13:23">
      <c r="M2267" s="9"/>
      <c r="W2267" s="6"/>
    </row>
    <row r="2268" spans="13:23">
      <c r="M2268" s="9"/>
      <c r="W2268" s="6"/>
    </row>
    <row r="2269" spans="13:23">
      <c r="M2269" s="9"/>
      <c r="W2269" s="6"/>
    </row>
    <row r="2270" spans="13:23">
      <c r="M2270" s="9"/>
      <c r="W2270" s="6"/>
    </row>
    <row r="2271" spans="13:23">
      <c r="M2271" s="9"/>
      <c r="W2271" s="6"/>
    </row>
    <row r="2272" spans="13:23">
      <c r="M2272" s="9"/>
      <c r="W2272" s="6"/>
    </row>
    <row r="2273" spans="13:23">
      <c r="M2273" s="9"/>
      <c r="W2273" s="6"/>
    </row>
    <row r="2274" spans="13:23">
      <c r="M2274" s="9"/>
      <c r="W2274" s="6"/>
    </row>
    <row r="2275" spans="13:23">
      <c r="M2275" s="9"/>
      <c r="W2275" s="6"/>
    </row>
    <row r="2276" spans="13:23">
      <c r="M2276" s="9"/>
      <c r="W2276" s="6"/>
    </row>
    <row r="2277" spans="13:23">
      <c r="M2277" s="9"/>
      <c r="W2277" s="6"/>
    </row>
    <row r="2278" spans="13:23">
      <c r="M2278" s="9"/>
      <c r="W2278" s="6"/>
    </row>
    <row r="2279" spans="13:23">
      <c r="M2279" s="9"/>
      <c r="W2279" s="6"/>
    </row>
    <row r="2280" spans="13:23">
      <c r="M2280" s="9"/>
      <c r="W2280" s="6"/>
    </row>
    <row r="2281" spans="13:23">
      <c r="M2281" s="9"/>
      <c r="W2281" s="6"/>
    </row>
    <row r="2282" spans="13:23">
      <c r="M2282" s="9"/>
      <c r="W2282" s="6"/>
    </row>
    <row r="2283" spans="13:23">
      <c r="M2283" s="9"/>
      <c r="W2283" s="6"/>
    </row>
    <row r="2284" spans="13:23">
      <c r="M2284" s="9"/>
      <c r="W2284" s="6"/>
    </row>
    <row r="2285" spans="13:23">
      <c r="M2285" s="9"/>
      <c r="W2285" s="6"/>
    </row>
    <row r="2286" spans="13:23">
      <c r="M2286" s="9"/>
      <c r="W2286" s="6"/>
    </row>
    <row r="2287" spans="13:23">
      <c r="M2287" s="9"/>
      <c r="W2287" s="6"/>
    </row>
    <row r="2288" spans="13:23">
      <c r="M2288" s="9"/>
      <c r="W2288" s="6"/>
    </row>
    <row r="2289" spans="13:23">
      <c r="M2289" s="9"/>
      <c r="W2289" s="6"/>
    </row>
    <row r="2290" spans="13:23">
      <c r="M2290" s="9"/>
      <c r="W2290" s="6"/>
    </row>
    <row r="2291" spans="13:23">
      <c r="M2291" s="9"/>
      <c r="W2291" s="6"/>
    </row>
    <row r="2292" spans="13:23">
      <c r="M2292" s="9"/>
      <c r="W2292" s="6"/>
    </row>
    <row r="2293" spans="13:23">
      <c r="M2293" s="9"/>
      <c r="W2293" s="6"/>
    </row>
    <row r="2294" spans="13:23">
      <c r="M2294" s="9"/>
      <c r="W2294" s="6"/>
    </row>
    <row r="2295" spans="13:23">
      <c r="M2295" s="9"/>
      <c r="W2295" s="6"/>
    </row>
    <row r="2296" spans="13:23">
      <c r="M2296" s="9"/>
      <c r="W2296" s="6"/>
    </row>
    <row r="2297" spans="13:23">
      <c r="M2297" s="9"/>
      <c r="W2297" s="6"/>
    </row>
    <row r="2298" spans="13:23">
      <c r="M2298" s="9"/>
      <c r="W2298" s="6"/>
    </row>
    <row r="2299" spans="13:23">
      <c r="M2299" s="9"/>
      <c r="W2299" s="6"/>
    </row>
    <row r="2300" spans="13:23">
      <c r="M2300" s="9"/>
      <c r="W2300" s="6"/>
    </row>
    <row r="2301" spans="13:23">
      <c r="M2301" s="9"/>
      <c r="W2301" s="6"/>
    </row>
    <row r="2302" spans="13:23">
      <c r="M2302" s="9"/>
      <c r="W2302" s="6"/>
    </row>
    <row r="2303" spans="13:23">
      <c r="M2303" s="9"/>
      <c r="W2303" s="6"/>
    </row>
    <row r="2304" spans="13:23">
      <c r="M2304" s="9"/>
      <c r="W2304" s="6"/>
    </row>
    <row r="2305" spans="13:23">
      <c r="M2305" s="9"/>
      <c r="W2305" s="6"/>
    </row>
    <row r="2306" spans="13:23">
      <c r="M2306" s="9"/>
      <c r="W2306" s="6"/>
    </row>
    <row r="2307" spans="13:23">
      <c r="M2307" s="9"/>
      <c r="W2307" s="6"/>
    </row>
    <row r="2308" spans="13:23">
      <c r="M2308" s="9"/>
      <c r="W2308" s="6"/>
    </row>
    <row r="2309" spans="13:23">
      <c r="M2309" s="9"/>
      <c r="W2309" s="6"/>
    </row>
    <row r="2310" spans="13:23">
      <c r="M2310" s="9"/>
      <c r="W2310" s="6"/>
    </row>
    <row r="2311" spans="13:23">
      <c r="M2311" s="9"/>
      <c r="W2311" s="6"/>
    </row>
    <row r="2312" spans="13:23">
      <c r="M2312" s="9"/>
      <c r="W2312" s="6"/>
    </row>
    <row r="2313" spans="13:23">
      <c r="M2313" s="9"/>
      <c r="W2313" s="6"/>
    </row>
    <row r="2314" spans="13:23">
      <c r="M2314" s="9"/>
      <c r="W2314" s="6"/>
    </row>
    <row r="2315" spans="13:23">
      <c r="M2315" s="9"/>
      <c r="W2315" s="6"/>
    </row>
    <row r="2316" spans="13:23">
      <c r="M2316" s="9"/>
      <c r="W2316" s="6"/>
    </row>
    <row r="2317" spans="13:23">
      <c r="M2317" s="9"/>
      <c r="W2317" s="6"/>
    </row>
    <row r="2318" spans="13:23">
      <c r="M2318" s="9"/>
      <c r="W2318" s="6"/>
    </row>
    <row r="2319" spans="13:23">
      <c r="M2319" s="9"/>
      <c r="W2319" s="6"/>
    </row>
    <row r="2320" spans="13:23">
      <c r="M2320" s="9"/>
      <c r="W2320" s="6"/>
    </row>
    <row r="2321" spans="13:23">
      <c r="M2321" s="9"/>
      <c r="W2321" s="6"/>
    </row>
    <row r="2322" spans="13:23">
      <c r="M2322" s="9"/>
      <c r="W2322" s="6"/>
    </row>
    <row r="2323" spans="13:23">
      <c r="M2323" s="9"/>
      <c r="W2323" s="6"/>
    </row>
    <row r="2324" spans="13:23">
      <c r="M2324" s="9"/>
      <c r="W2324" s="6"/>
    </row>
    <row r="2325" spans="13:23">
      <c r="M2325" s="9"/>
      <c r="W2325" s="6"/>
    </row>
    <row r="2326" spans="13:23">
      <c r="M2326" s="9"/>
      <c r="W2326" s="6"/>
    </row>
    <row r="2327" spans="13:23">
      <c r="M2327" s="9"/>
      <c r="W2327" s="6"/>
    </row>
    <row r="2328" spans="13:23">
      <c r="M2328" s="9"/>
      <c r="W2328" s="6"/>
    </row>
    <row r="2329" spans="13:23">
      <c r="M2329" s="9"/>
      <c r="W2329" s="6"/>
    </row>
    <row r="2330" spans="13:23">
      <c r="M2330" s="9"/>
      <c r="W2330" s="6"/>
    </row>
    <row r="2331" spans="13:23">
      <c r="M2331" s="9"/>
      <c r="W2331" s="6"/>
    </row>
    <row r="2332" spans="13:23">
      <c r="M2332" s="9"/>
      <c r="W2332" s="6"/>
    </row>
    <row r="2333" spans="13:23">
      <c r="M2333" s="9"/>
      <c r="W2333" s="6"/>
    </row>
    <row r="2334" spans="13:23">
      <c r="M2334" s="9"/>
      <c r="W2334" s="6"/>
    </row>
    <row r="2335" spans="13:23">
      <c r="M2335" s="9"/>
      <c r="W2335" s="6"/>
    </row>
    <row r="2336" spans="13:23">
      <c r="M2336" s="9"/>
      <c r="W2336" s="6"/>
    </row>
    <row r="2337" spans="13:23">
      <c r="M2337" s="9"/>
      <c r="W2337" s="6"/>
    </row>
    <row r="2338" spans="13:23">
      <c r="M2338" s="9"/>
      <c r="W2338" s="6"/>
    </row>
    <row r="2339" spans="13:23">
      <c r="M2339" s="9"/>
      <c r="W2339" s="6"/>
    </row>
    <row r="2340" spans="13:23">
      <c r="M2340" s="9"/>
      <c r="W2340" s="6"/>
    </row>
    <row r="2341" spans="13:23">
      <c r="M2341" s="9"/>
      <c r="W2341" s="6"/>
    </row>
    <row r="2342" spans="13:23">
      <c r="M2342" s="9"/>
      <c r="W2342" s="6"/>
    </row>
    <row r="2343" spans="13:23">
      <c r="M2343" s="9"/>
      <c r="W2343" s="6"/>
    </row>
    <row r="2344" spans="13:23">
      <c r="M2344" s="9"/>
      <c r="W2344" s="6"/>
    </row>
    <row r="2345" spans="13:23">
      <c r="M2345" s="9"/>
      <c r="W2345" s="6"/>
    </row>
    <row r="2346" spans="13:23">
      <c r="M2346" s="9"/>
      <c r="W2346" s="6"/>
    </row>
    <row r="2347" spans="13:23">
      <c r="M2347" s="9"/>
      <c r="W2347" s="6"/>
    </row>
    <row r="2348" spans="13:23">
      <c r="M2348" s="9"/>
      <c r="W2348" s="6"/>
    </row>
    <row r="2349" spans="13:23">
      <c r="M2349" s="9"/>
      <c r="W2349" s="6"/>
    </row>
    <row r="2350" spans="13:23">
      <c r="M2350" s="9"/>
      <c r="W2350" s="6"/>
    </row>
    <row r="2351" spans="13:23">
      <c r="M2351" s="9"/>
      <c r="W2351" s="6"/>
    </row>
    <row r="2352" spans="13:23">
      <c r="M2352" s="9"/>
      <c r="W2352" s="6"/>
    </row>
    <row r="2353" spans="13:23">
      <c r="M2353" s="9"/>
      <c r="W2353" s="6"/>
    </row>
    <row r="2354" spans="13:23">
      <c r="M2354" s="9"/>
      <c r="W2354" s="6"/>
    </row>
    <row r="2355" spans="13:23">
      <c r="M2355" s="9"/>
      <c r="W2355" s="6"/>
    </row>
    <row r="2356" spans="13:23">
      <c r="M2356" s="9"/>
      <c r="W2356" s="6"/>
    </row>
    <row r="2357" spans="13:23">
      <c r="M2357" s="9"/>
      <c r="W2357" s="6"/>
    </row>
    <row r="2358" spans="13:23">
      <c r="M2358" s="9"/>
      <c r="W2358" s="6"/>
    </row>
    <row r="2359" spans="13:23">
      <c r="M2359" s="9"/>
      <c r="W2359" s="6"/>
    </row>
    <row r="2360" spans="13:23">
      <c r="M2360" s="9"/>
      <c r="W2360" s="6"/>
    </row>
    <row r="2361" spans="13:23">
      <c r="M2361" s="9"/>
      <c r="W2361" s="6"/>
    </row>
    <row r="2362" spans="13:23">
      <c r="M2362" s="9"/>
      <c r="W2362" s="6"/>
    </row>
    <row r="2363" spans="13:23">
      <c r="M2363" s="9"/>
      <c r="W2363" s="6"/>
    </row>
    <row r="2364" spans="13:23">
      <c r="M2364" s="9"/>
      <c r="W2364" s="6"/>
    </row>
    <row r="2365" spans="13:23">
      <c r="M2365" s="9"/>
      <c r="W2365" s="6"/>
    </row>
    <row r="2366" spans="13:23">
      <c r="M2366" s="9"/>
      <c r="W2366" s="6"/>
    </row>
    <row r="2367" spans="13:23">
      <c r="M2367" s="9"/>
      <c r="W2367" s="6"/>
    </row>
    <row r="2368" spans="13:23">
      <c r="M2368" s="9"/>
      <c r="W2368" s="6"/>
    </row>
    <row r="2369" spans="13:23">
      <c r="M2369" s="9"/>
      <c r="W2369" s="6"/>
    </row>
    <row r="2370" spans="13:23">
      <c r="M2370" s="9"/>
      <c r="W2370" s="6"/>
    </row>
    <row r="2371" spans="13:23">
      <c r="M2371" s="9"/>
      <c r="W2371" s="6"/>
    </row>
    <row r="2372" spans="13:23">
      <c r="M2372" s="9"/>
      <c r="W2372" s="6"/>
    </row>
    <row r="2373" spans="13:23">
      <c r="M2373" s="9"/>
      <c r="W2373" s="6"/>
    </row>
    <row r="2374" spans="13:23">
      <c r="M2374" s="9"/>
      <c r="W2374" s="6"/>
    </row>
    <row r="2375" spans="13:23">
      <c r="M2375" s="9"/>
      <c r="W2375" s="6"/>
    </row>
    <row r="2376" spans="13:23">
      <c r="M2376" s="9"/>
      <c r="W2376" s="6"/>
    </row>
    <row r="2377" spans="13:23">
      <c r="M2377" s="9"/>
      <c r="W2377" s="6"/>
    </row>
    <row r="2378" spans="13:23">
      <c r="M2378" s="9"/>
      <c r="W2378" s="6"/>
    </row>
    <row r="2379" spans="13:23">
      <c r="M2379" s="9"/>
      <c r="W2379" s="6"/>
    </row>
    <row r="2380" spans="13:23">
      <c r="M2380" s="9"/>
      <c r="W2380" s="6"/>
    </row>
    <row r="2381" spans="13:23">
      <c r="M2381" s="9"/>
      <c r="W2381" s="6"/>
    </row>
    <row r="2382" spans="13:23">
      <c r="M2382" s="9"/>
      <c r="W2382" s="6"/>
    </row>
    <row r="2383" spans="13:23">
      <c r="M2383" s="9"/>
      <c r="W2383" s="6"/>
    </row>
    <row r="2384" spans="13:23">
      <c r="M2384" s="9"/>
      <c r="W2384" s="6"/>
    </row>
    <row r="2385" spans="13:23">
      <c r="M2385" s="9"/>
      <c r="W2385" s="6"/>
    </row>
    <row r="2386" spans="13:23">
      <c r="M2386" s="9"/>
      <c r="W2386" s="6"/>
    </row>
    <row r="2387" spans="13:23">
      <c r="M2387" s="9"/>
      <c r="W2387" s="6"/>
    </row>
    <row r="2388" spans="13:23">
      <c r="M2388" s="9"/>
      <c r="W2388" s="6"/>
    </row>
    <row r="2389" spans="13:23">
      <c r="M2389" s="9"/>
      <c r="W2389" s="6"/>
    </row>
    <row r="2390" spans="13:23">
      <c r="M2390" s="9"/>
      <c r="W2390" s="6"/>
    </row>
    <row r="2391" spans="13:23">
      <c r="M2391" s="9"/>
      <c r="W2391" s="6"/>
    </row>
    <row r="2392" spans="13:23">
      <c r="M2392" s="9"/>
      <c r="W2392" s="6"/>
    </row>
    <row r="2393" spans="13:23">
      <c r="M2393" s="9"/>
      <c r="W2393" s="6"/>
    </row>
    <row r="2394" spans="13:23">
      <c r="M2394" s="9"/>
      <c r="W2394" s="6"/>
    </row>
    <row r="2395" spans="13:23">
      <c r="M2395" s="9"/>
      <c r="W2395" s="6"/>
    </row>
    <row r="2396" spans="13:23">
      <c r="M2396" s="9"/>
      <c r="W2396" s="6"/>
    </row>
    <row r="2397" spans="13:23">
      <c r="M2397" s="9"/>
      <c r="W2397" s="6"/>
    </row>
    <row r="2398" spans="13:23">
      <c r="M2398" s="9"/>
      <c r="W2398" s="6"/>
    </row>
    <row r="2399" spans="13:23">
      <c r="M2399" s="9"/>
      <c r="W2399" s="6"/>
    </row>
    <row r="2400" spans="13:23">
      <c r="M2400" s="9"/>
      <c r="W2400" s="6"/>
    </row>
    <row r="2401" spans="13:23">
      <c r="M2401" s="9"/>
      <c r="W2401" s="6"/>
    </row>
    <row r="2402" spans="13:23">
      <c r="M2402" s="9"/>
      <c r="W2402" s="6"/>
    </row>
    <row r="2403" spans="13:23">
      <c r="M2403" s="9"/>
      <c r="W2403" s="6"/>
    </row>
    <row r="2404" spans="13:23">
      <c r="M2404" s="9"/>
      <c r="W2404" s="6"/>
    </row>
    <row r="2405" spans="13:23">
      <c r="M2405" s="9"/>
      <c r="W2405" s="6"/>
    </row>
    <row r="2406" spans="13:23">
      <c r="M2406" s="9"/>
      <c r="W2406" s="6"/>
    </row>
    <row r="2407" spans="13:23">
      <c r="M2407" s="9"/>
      <c r="W2407" s="6"/>
    </row>
    <row r="2408" spans="13:23">
      <c r="M2408" s="9"/>
      <c r="W2408" s="6"/>
    </row>
    <row r="2409" spans="13:23">
      <c r="M2409" s="9"/>
      <c r="W2409" s="6"/>
    </row>
    <row r="2410" spans="13:23">
      <c r="M2410" s="9"/>
      <c r="W2410" s="6"/>
    </row>
    <row r="2411" spans="13:23">
      <c r="M2411" s="9"/>
      <c r="W2411" s="6"/>
    </row>
    <row r="2412" spans="13:23">
      <c r="M2412" s="9"/>
      <c r="W2412" s="6"/>
    </row>
    <row r="2413" spans="13:23">
      <c r="M2413" s="9"/>
      <c r="W2413" s="6"/>
    </row>
    <row r="2414" spans="13:23">
      <c r="M2414" s="9"/>
      <c r="W2414" s="6"/>
    </row>
    <row r="2415" spans="13:23">
      <c r="M2415" s="9"/>
      <c r="W2415" s="6"/>
    </row>
    <row r="2416" spans="13:23">
      <c r="M2416" s="9"/>
      <c r="W2416" s="6"/>
    </row>
    <row r="2417" spans="13:23">
      <c r="M2417" s="9"/>
      <c r="W2417" s="6"/>
    </row>
    <row r="2418" spans="13:23">
      <c r="M2418" s="9"/>
      <c r="W2418" s="6"/>
    </row>
    <row r="2419" spans="13:23">
      <c r="M2419" s="9"/>
      <c r="W2419" s="6"/>
    </row>
    <row r="2420" spans="13:23">
      <c r="M2420" s="9"/>
      <c r="W2420" s="6"/>
    </row>
    <row r="2421" spans="13:23">
      <c r="M2421" s="9"/>
      <c r="W2421" s="6"/>
    </row>
    <row r="2422" spans="13:23">
      <c r="M2422" s="9"/>
      <c r="W2422" s="6"/>
    </row>
    <row r="2423" spans="13:23">
      <c r="M2423" s="9"/>
      <c r="W2423" s="6"/>
    </row>
    <row r="2424" spans="13:23">
      <c r="M2424" s="9"/>
      <c r="W2424" s="6"/>
    </row>
    <row r="2425" spans="13:23">
      <c r="M2425" s="9"/>
      <c r="W2425" s="6"/>
    </row>
    <row r="2426" spans="13:23">
      <c r="M2426" s="9"/>
      <c r="W2426" s="6"/>
    </row>
    <row r="2427" spans="13:23">
      <c r="M2427" s="9"/>
      <c r="W2427" s="6"/>
    </row>
    <row r="2428" spans="13:23">
      <c r="M2428" s="9"/>
      <c r="W2428" s="6"/>
    </row>
    <row r="2429" spans="13:23">
      <c r="M2429" s="9"/>
      <c r="W2429" s="6"/>
    </row>
    <row r="2430" spans="13:23">
      <c r="M2430" s="9"/>
      <c r="W2430" s="6"/>
    </row>
    <row r="2431" spans="13:23">
      <c r="M2431" s="9"/>
      <c r="W2431" s="6"/>
    </row>
    <row r="2432" spans="13:23">
      <c r="M2432" s="9"/>
      <c r="W2432" s="6"/>
    </row>
    <row r="2433" spans="13:23">
      <c r="M2433" s="9"/>
      <c r="W2433" s="6"/>
    </row>
    <row r="2434" spans="13:23">
      <c r="M2434" s="9"/>
      <c r="W2434" s="6"/>
    </row>
    <row r="2435" spans="13:23">
      <c r="M2435" s="9"/>
      <c r="W2435" s="6"/>
    </row>
    <row r="2436" spans="13:23">
      <c r="M2436" s="9"/>
      <c r="W2436" s="6"/>
    </row>
    <row r="2437" spans="13:23">
      <c r="M2437" s="9"/>
      <c r="W2437" s="6"/>
    </row>
    <row r="2438" spans="13:23">
      <c r="M2438" s="9"/>
      <c r="W2438" s="6"/>
    </row>
    <row r="2439" spans="13:23">
      <c r="M2439" s="9"/>
      <c r="W2439" s="6"/>
    </row>
    <row r="2440" spans="13:23">
      <c r="M2440" s="9"/>
      <c r="W2440" s="6"/>
    </row>
    <row r="2441" spans="13:23">
      <c r="M2441" s="9"/>
      <c r="W2441" s="6"/>
    </row>
    <row r="2442" spans="13:23">
      <c r="M2442" s="9"/>
      <c r="W2442" s="6"/>
    </row>
    <row r="2443" spans="13:23">
      <c r="M2443" s="9"/>
      <c r="W2443" s="6"/>
    </row>
    <row r="2444" spans="13:23">
      <c r="M2444" s="9"/>
      <c r="W2444" s="6"/>
    </row>
    <row r="2445" spans="13:23">
      <c r="M2445" s="9"/>
      <c r="W2445" s="6"/>
    </row>
    <row r="2446" spans="13:23">
      <c r="M2446" s="9"/>
      <c r="W2446" s="6"/>
    </row>
    <row r="2447" spans="13:23">
      <c r="M2447" s="9"/>
      <c r="W2447" s="6"/>
    </row>
    <row r="2448" spans="13:23">
      <c r="M2448" s="9"/>
      <c r="W2448" s="6"/>
    </row>
    <row r="2449" spans="13:23">
      <c r="M2449" s="9"/>
      <c r="W2449" s="6"/>
    </row>
    <row r="2450" spans="13:23">
      <c r="M2450" s="9"/>
      <c r="W2450" s="6"/>
    </row>
    <row r="2451" spans="13:23">
      <c r="M2451" s="9"/>
      <c r="W2451" s="6"/>
    </row>
    <row r="2452" spans="13:23">
      <c r="M2452" s="9"/>
      <c r="W2452" s="6"/>
    </row>
    <row r="2453" spans="13:23">
      <c r="M2453" s="9"/>
      <c r="W2453" s="6"/>
    </row>
    <row r="2454" spans="13:23">
      <c r="M2454" s="9"/>
      <c r="W2454" s="6"/>
    </row>
    <row r="2455" spans="13:23">
      <c r="M2455" s="9"/>
      <c r="W2455" s="6"/>
    </row>
    <row r="2456" spans="13:23">
      <c r="M2456" s="9"/>
      <c r="W2456" s="6"/>
    </row>
    <row r="2457" spans="13:23">
      <c r="M2457" s="9"/>
      <c r="W2457" s="6"/>
    </row>
    <row r="2458" spans="13:23">
      <c r="M2458" s="9"/>
      <c r="W2458" s="6"/>
    </row>
    <row r="2459" spans="13:23">
      <c r="M2459" s="9"/>
      <c r="W2459" s="6"/>
    </row>
    <row r="2460" spans="13:23">
      <c r="M2460" s="9"/>
      <c r="W2460" s="6"/>
    </row>
    <row r="2461" spans="13:23">
      <c r="M2461" s="9"/>
      <c r="W2461" s="6"/>
    </row>
    <row r="2462" spans="13:23">
      <c r="M2462" s="9"/>
      <c r="W2462" s="6"/>
    </row>
    <row r="2463" spans="13:23">
      <c r="M2463" s="9"/>
      <c r="N2463" s="8"/>
      <c r="O2463" s="10"/>
      <c r="W2463" s="6"/>
    </row>
    <row r="2464" spans="13:23">
      <c r="M2464" s="9"/>
      <c r="N2464" s="8"/>
      <c r="O2464" s="10"/>
      <c r="W2464" s="6"/>
    </row>
    <row r="2465" spans="13:23">
      <c r="M2465" s="9"/>
      <c r="W2465" s="6"/>
    </row>
    <row r="2466" spans="13:23">
      <c r="M2466" s="9"/>
      <c r="W2466" s="6"/>
    </row>
    <row r="2467" spans="13:23">
      <c r="M2467" s="9"/>
      <c r="W2467" s="6"/>
    </row>
    <row r="2468" spans="13:23">
      <c r="M2468" s="9"/>
      <c r="W2468" s="6"/>
    </row>
    <row r="2469" spans="13:23">
      <c r="M2469" s="9"/>
      <c r="W2469" s="6"/>
    </row>
    <row r="2470" spans="13:23">
      <c r="M2470" s="9"/>
      <c r="W2470" s="6"/>
    </row>
    <row r="2471" spans="13:23">
      <c r="M2471" s="9"/>
      <c r="W2471" s="6"/>
    </row>
    <row r="2472" spans="13:23">
      <c r="M2472" s="9"/>
      <c r="W2472" s="6"/>
    </row>
    <row r="2473" spans="13:23">
      <c r="M2473" s="9"/>
      <c r="W2473" s="6"/>
    </row>
    <row r="2474" spans="13:23">
      <c r="M2474" s="9"/>
      <c r="W2474" s="6"/>
    </row>
    <row r="2475" spans="13:23">
      <c r="M2475" s="9"/>
      <c r="W2475" s="6"/>
    </row>
    <row r="2476" spans="13:23">
      <c r="M2476" s="9"/>
      <c r="W2476" s="6"/>
    </row>
    <row r="2477" spans="13:23">
      <c r="M2477" s="9"/>
      <c r="W2477" s="6"/>
    </row>
    <row r="2478" spans="13:23">
      <c r="M2478" s="9"/>
      <c r="W2478" s="6"/>
    </row>
    <row r="2479" spans="13:23">
      <c r="M2479" s="9"/>
      <c r="W2479" s="6"/>
    </row>
    <row r="2480" spans="13:23">
      <c r="M2480" s="9"/>
      <c r="W2480" s="6"/>
    </row>
    <row r="2481" spans="13:23">
      <c r="M2481" s="9"/>
      <c r="W2481" s="6"/>
    </row>
    <row r="2482" spans="13:23">
      <c r="M2482" s="9"/>
      <c r="W2482" s="6"/>
    </row>
    <row r="2483" spans="13:23">
      <c r="M2483" s="9"/>
      <c r="W2483" s="6"/>
    </row>
    <row r="2484" spans="13:23">
      <c r="M2484" s="9"/>
      <c r="W2484" s="6"/>
    </row>
    <row r="2485" spans="13:23">
      <c r="M2485" s="9"/>
      <c r="W2485" s="6"/>
    </row>
    <row r="2486" spans="13:23">
      <c r="M2486" s="9"/>
      <c r="W2486" s="6"/>
    </row>
    <row r="2487" spans="13:23">
      <c r="M2487" s="9"/>
      <c r="W2487" s="6"/>
    </row>
    <row r="2488" spans="13:23">
      <c r="M2488" s="9"/>
      <c r="W2488" s="6"/>
    </row>
    <row r="2489" spans="13:23">
      <c r="M2489" s="9"/>
      <c r="W2489" s="6"/>
    </row>
    <row r="2490" spans="13:23">
      <c r="M2490" s="9"/>
      <c r="W2490" s="6"/>
    </row>
    <row r="2491" spans="13:23">
      <c r="M2491" s="9"/>
      <c r="W2491" s="6"/>
    </row>
    <row r="2492" spans="13:23">
      <c r="M2492" s="9"/>
      <c r="W2492" s="6"/>
    </row>
    <row r="2493" spans="13:23">
      <c r="M2493" s="9"/>
      <c r="W2493" s="6"/>
    </row>
    <row r="2494" spans="13:23">
      <c r="M2494" s="9"/>
      <c r="W2494" s="6"/>
    </row>
    <row r="2495" spans="13:23">
      <c r="M2495" s="9"/>
      <c r="W2495" s="6"/>
    </row>
    <row r="2496" spans="13:23">
      <c r="M2496" s="9"/>
      <c r="W2496" s="6"/>
    </row>
    <row r="2497" spans="13:23">
      <c r="M2497" s="9"/>
      <c r="W2497" s="6"/>
    </row>
    <row r="2498" spans="13:23">
      <c r="M2498" s="9"/>
      <c r="W2498" s="6"/>
    </row>
    <row r="2499" spans="13:23">
      <c r="M2499" s="9"/>
      <c r="W2499" s="6"/>
    </row>
    <row r="2500" spans="13:23">
      <c r="M2500" s="9"/>
      <c r="W2500" s="6"/>
    </row>
    <row r="2501" spans="13:23">
      <c r="M2501" s="9"/>
      <c r="W2501" s="6"/>
    </row>
    <row r="2502" spans="13:23">
      <c r="M2502" s="9"/>
      <c r="W2502" s="6"/>
    </row>
    <row r="2503" spans="13:23">
      <c r="M2503" s="9"/>
      <c r="W2503" s="6"/>
    </row>
    <row r="2504" spans="13:23">
      <c r="M2504" s="9"/>
      <c r="W2504" s="6"/>
    </row>
    <row r="2505" spans="13:23">
      <c r="M2505" s="9"/>
      <c r="W2505" s="6"/>
    </row>
    <row r="2506" spans="13:23">
      <c r="M2506" s="9"/>
      <c r="W2506" s="6"/>
    </row>
    <row r="2507" spans="13:23">
      <c r="M2507" s="9"/>
      <c r="W2507" s="6"/>
    </row>
    <row r="2508" spans="13:23">
      <c r="M2508" s="9"/>
      <c r="W2508" s="6"/>
    </row>
    <row r="2509" spans="13:23">
      <c r="M2509" s="9"/>
      <c r="W2509" s="6"/>
    </row>
    <row r="2510" spans="13:23">
      <c r="M2510" s="9"/>
      <c r="W2510" s="6"/>
    </row>
    <row r="2511" spans="13:23">
      <c r="M2511" s="9"/>
      <c r="W2511" s="6"/>
    </row>
    <row r="2512" spans="13:23">
      <c r="M2512" s="9"/>
      <c r="W2512" s="6"/>
    </row>
    <row r="2513" spans="13:23">
      <c r="M2513" s="9"/>
      <c r="W2513" s="6"/>
    </row>
    <row r="2514" spans="13:23">
      <c r="M2514" s="9"/>
      <c r="W2514" s="6"/>
    </row>
    <row r="2515" spans="13:23">
      <c r="M2515" s="9"/>
      <c r="W2515" s="6"/>
    </row>
    <row r="2516" spans="13:23">
      <c r="M2516" s="9"/>
      <c r="W2516" s="6"/>
    </row>
    <row r="2517" spans="13:23">
      <c r="M2517" s="9"/>
      <c r="W2517" s="6"/>
    </row>
    <row r="2518" spans="13:23">
      <c r="M2518" s="9"/>
      <c r="W2518" s="6"/>
    </row>
    <row r="2519" spans="13:23">
      <c r="M2519" s="9"/>
      <c r="W2519" s="6"/>
    </row>
    <row r="2520" spans="13:23">
      <c r="M2520" s="9"/>
      <c r="W2520" s="6"/>
    </row>
    <row r="2521" spans="13:23">
      <c r="M2521" s="9"/>
      <c r="W2521" s="6"/>
    </row>
    <row r="2522" spans="13:23">
      <c r="M2522" s="9"/>
      <c r="W2522" s="6"/>
    </row>
    <row r="2523" spans="13:23">
      <c r="M2523" s="9"/>
      <c r="W2523" s="6"/>
    </row>
    <row r="2524" spans="13:23">
      <c r="M2524" s="9"/>
      <c r="W2524" s="6"/>
    </row>
    <row r="2525" spans="13:23">
      <c r="M2525" s="9"/>
      <c r="W2525" s="6"/>
    </row>
    <row r="2526" spans="13:23">
      <c r="M2526" s="9"/>
      <c r="W2526" s="6"/>
    </row>
    <row r="2527" spans="13:23">
      <c r="M2527" s="9"/>
      <c r="W2527" s="6"/>
    </row>
    <row r="2528" spans="13:23">
      <c r="M2528" s="9"/>
      <c r="W2528" s="6"/>
    </row>
    <row r="2529" spans="13:23">
      <c r="M2529" s="9"/>
      <c r="W2529" s="6"/>
    </row>
    <row r="2530" spans="13:23">
      <c r="M2530" s="9"/>
      <c r="W2530" s="6"/>
    </row>
    <row r="2531" spans="13:23">
      <c r="M2531" s="9"/>
      <c r="W2531" s="6"/>
    </row>
    <row r="2532" spans="13:23">
      <c r="M2532" s="9"/>
      <c r="W2532" s="6"/>
    </row>
    <row r="2533" spans="13:23">
      <c r="M2533" s="9"/>
      <c r="W2533" s="6"/>
    </row>
    <row r="2534" spans="13:23">
      <c r="M2534" s="9"/>
      <c r="W2534" s="6"/>
    </row>
    <row r="2535" spans="13:23">
      <c r="M2535" s="9"/>
      <c r="W2535" s="6"/>
    </row>
    <row r="2536" spans="13:23">
      <c r="M2536" s="9"/>
      <c r="W2536" s="6"/>
    </row>
    <row r="2537" spans="13:23">
      <c r="M2537" s="9"/>
      <c r="W2537" s="6"/>
    </row>
    <row r="2538" spans="13:23">
      <c r="M2538" s="9"/>
      <c r="W2538" s="6"/>
    </row>
    <row r="2539" spans="13:23">
      <c r="M2539" s="9"/>
      <c r="W2539" s="6"/>
    </row>
    <row r="2540" spans="13:23">
      <c r="M2540" s="9"/>
      <c r="W2540" s="6"/>
    </row>
    <row r="2541" spans="13:23">
      <c r="M2541" s="9"/>
      <c r="W2541" s="6"/>
    </row>
    <row r="2542" spans="13:23">
      <c r="M2542" s="9"/>
      <c r="W2542" s="6"/>
    </row>
    <row r="2543" spans="13:23">
      <c r="M2543" s="9"/>
      <c r="W2543" s="6"/>
    </row>
    <row r="2544" spans="13:23">
      <c r="M2544" s="9"/>
      <c r="W2544" s="6"/>
    </row>
    <row r="2545" spans="13:23">
      <c r="M2545" s="9"/>
      <c r="W2545" s="6"/>
    </row>
    <row r="2546" spans="13:23">
      <c r="M2546" s="9"/>
      <c r="W2546" s="6"/>
    </row>
    <row r="2547" spans="13:23">
      <c r="M2547" s="9"/>
      <c r="W2547" s="6"/>
    </row>
    <row r="2548" spans="13:23">
      <c r="M2548" s="9"/>
      <c r="W2548" s="6"/>
    </row>
    <row r="2549" spans="13:23">
      <c r="M2549" s="9"/>
      <c r="W2549" s="6"/>
    </row>
    <row r="2550" spans="13:23">
      <c r="M2550" s="9"/>
      <c r="W2550" s="6"/>
    </row>
    <row r="2551" spans="13:23">
      <c r="M2551" s="9"/>
      <c r="W2551" s="6"/>
    </row>
    <row r="2552" spans="13:23">
      <c r="M2552" s="9"/>
      <c r="W2552" s="6"/>
    </row>
    <row r="2553" spans="13:23">
      <c r="M2553" s="9"/>
      <c r="W2553" s="6"/>
    </row>
    <row r="2554" spans="13:23">
      <c r="M2554" s="9"/>
      <c r="W2554" s="6"/>
    </row>
    <row r="2555" spans="13:23">
      <c r="M2555" s="9"/>
      <c r="W2555" s="6"/>
    </row>
    <row r="2556" spans="13:23">
      <c r="M2556" s="9"/>
      <c r="W2556" s="6"/>
    </row>
    <row r="2557" spans="13:23">
      <c r="M2557" s="9"/>
      <c r="W2557" s="6"/>
    </row>
    <row r="2558" spans="13:23">
      <c r="M2558" s="9"/>
      <c r="W2558" s="6"/>
    </row>
    <row r="2559" spans="13:23">
      <c r="M2559" s="9"/>
      <c r="W2559" s="6"/>
    </row>
    <row r="2560" spans="13:23">
      <c r="M2560" s="9"/>
      <c r="W2560" s="6"/>
    </row>
    <row r="2561" spans="13:23">
      <c r="M2561" s="9"/>
      <c r="W2561" s="6"/>
    </row>
    <row r="2562" spans="13:23">
      <c r="M2562" s="9"/>
      <c r="W2562" s="6"/>
    </row>
    <row r="2563" spans="13:23">
      <c r="M2563" s="9"/>
      <c r="W2563" s="6"/>
    </row>
    <row r="2564" spans="13:23">
      <c r="M2564" s="9"/>
      <c r="W2564" s="6"/>
    </row>
    <row r="2565" spans="13:23">
      <c r="M2565" s="9"/>
      <c r="W2565" s="6"/>
    </row>
    <row r="2566" spans="13:23">
      <c r="M2566" s="9"/>
      <c r="W2566" s="6"/>
    </row>
    <row r="2567" spans="13:23">
      <c r="M2567" s="9"/>
      <c r="W2567" s="6"/>
    </row>
    <row r="2568" spans="13:23">
      <c r="M2568" s="9"/>
      <c r="W2568" s="6"/>
    </row>
    <row r="2569" spans="13:23">
      <c r="M2569" s="9"/>
      <c r="W2569" s="6"/>
    </row>
    <row r="2570" spans="13:23">
      <c r="M2570" s="9"/>
      <c r="W2570" s="6"/>
    </row>
    <row r="2571" spans="13:23">
      <c r="M2571" s="9"/>
      <c r="W2571" s="6"/>
    </row>
    <row r="2572" spans="13:23">
      <c r="M2572" s="9"/>
      <c r="W2572" s="6"/>
    </row>
    <row r="2573" spans="13:23">
      <c r="M2573" s="9"/>
      <c r="W2573" s="6"/>
    </row>
    <row r="2574" spans="13:23">
      <c r="M2574" s="9"/>
      <c r="W2574" s="6"/>
    </row>
    <row r="2575" spans="13:23">
      <c r="M2575" s="9"/>
      <c r="W2575" s="6"/>
    </row>
    <row r="2576" spans="13:23">
      <c r="M2576" s="9"/>
      <c r="W2576" s="6"/>
    </row>
    <row r="2577" spans="13:23">
      <c r="M2577" s="9"/>
      <c r="W2577" s="6"/>
    </row>
    <row r="2578" spans="13:23">
      <c r="M2578" s="9"/>
      <c r="W2578" s="6"/>
    </row>
    <row r="2579" spans="13:23">
      <c r="M2579" s="9"/>
      <c r="W2579" s="6"/>
    </row>
    <row r="2580" spans="13:23">
      <c r="M2580" s="9"/>
      <c r="W2580" s="6"/>
    </row>
    <row r="2581" spans="13:23">
      <c r="M2581" s="9"/>
      <c r="W2581" s="6"/>
    </row>
    <row r="2582" spans="13:23">
      <c r="M2582" s="9"/>
      <c r="W2582" s="6"/>
    </row>
    <row r="2583" spans="13:23">
      <c r="M2583" s="9"/>
      <c r="W2583" s="6"/>
    </row>
    <row r="2584" spans="13:23">
      <c r="M2584" s="9"/>
      <c r="W2584" s="6"/>
    </row>
    <row r="2585" spans="13:23">
      <c r="M2585" s="9"/>
      <c r="W2585" s="6"/>
    </row>
    <row r="2586" spans="13:23">
      <c r="M2586" s="9"/>
      <c r="W2586" s="6"/>
    </row>
    <row r="2587" spans="13:23">
      <c r="M2587" s="9"/>
      <c r="W2587" s="6"/>
    </row>
    <row r="2588" spans="13:23">
      <c r="M2588" s="9"/>
      <c r="W2588" s="6"/>
    </row>
    <row r="2589" spans="13:23">
      <c r="M2589" s="9"/>
      <c r="W2589" s="6"/>
    </row>
    <row r="2590" spans="13:23">
      <c r="M2590" s="9"/>
      <c r="W2590" s="6"/>
    </row>
    <row r="2591" spans="13:23">
      <c r="M2591" s="9"/>
      <c r="W2591" s="6"/>
    </row>
    <row r="2592" spans="13:23">
      <c r="M2592" s="9"/>
      <c r="W2592" s="6"/>
    </row>
    <row r="2593" spans="13:23">
      <c r="M2593" s="9"/>
      <c r="W2593" s="6"/>
    </row>
    <row r="2594" spans="13:23">
      <c r="M2594" s="9"/>
      <c r="W2594" s="6"/>
    </row>
    <row r="2595" spans="13:23">
      <c r="M2595" s="9"/>
      <c r="W2595" s="6"/>
    </row>
    <row r="2596" spans="13:23">
      <c r="M2596" s="9"/>
      <c r="W2596" s="6"/>
    </row>
    <row r="2597" spans="13:23">
      <c r="M2597" s="9"/>
      <c r="W2597" s="6"/>
    </row>
    <row r="2598" spans="13:23">
      <c r="M2598" s="9"/>
      <c r="W2598" s="6"/>
    </row>
    <row r="2599" spans="13:23">
      <c r="M2599" s="9"/>
      <c r="W2599" s="6"/>
    </row>
    <row r="2600" spans="13:23">
      <c r="M2600" s="9"/>
      <c r="W2600" s="6"/>
    </row>
    <row r="2601" spans="13:23">
      <c r="M2601" s="9"/>
      <c r="W2601" s="6"/>
    </row>
    <row r="2602" spans="13:23">
      <c r="M2602" s="9"/>
      <c r="W2602" s="6"/>
    </row>
    <row r="2603" spans="13:23">
      <c r="M2603" s="9"/>
      <c r="W2603" s="6"/>
    </row>
    <row r="2604" spans="13:23">
      <c r="M2604" s="9"/>
      <c r="W2604" s="6"/>
    </row>
    <row r="2605" spans="13:23">
      <c r="M2605" s="9"/>
      <c r="W2605" s="6"/>
    </row>
    <row r="2606" spans="13:23">
      <c r="M2606" s="9"/>
      <c r="W2606" s="6"/>
    </row>
    <row r="2607" spans="13:23">
      <c r="M2607" s="9"/>
      <c r="W2607" s="6"/>
    </row>
    <row r="2608" spans="13:23">
      <c r="M2608" s="9"/>
      <c r="W2608" s="6"/>
    </row>
    <row r="2609" spans="13:23">
      <c r="M2609" s="9"/>
      <c r="W2609" s="6"/>
    </row>
    <row r="2610" spans="13:23">
      <c r="M2610" s="9"/>
      <c r="W2610" s="6"/>
    </row>
    <row r="2611" spans="13:23">
      <c r="M2611" s="9"/>
      <c r="W2611" s="6"/>
    </row>
    <row r="2612" spans="13:23">
      <c r="M2612" s="9"/>
      <c r="W2612" s="6"/>
    </row>
    <row r="2613" spans="13:23">
      <c r="M2613" s="9"/>
      <c r="W2613" s="6"/>
    </row>
    <row r="2614" spans="13:23">
      <c r="M2614" s="9"/>
      <c r="W2614" s="6"/>
    </row>
    <row r="2615" spans="13:23">
      <c r="M2615" s="9"/>
      <c r="W2615" s="6"/>
    </row>
    <row r="2616" spans="13:23">
      <c r="M2616" s="9"/>
      <c r="W2616" s="6"/>
    </row>
    <row r="2617" spans="13:23">
      <c r="M2617" s="9"/>
      <c r="W2617" s="6"/>
    </row>
    <row r="2618" spans="13:23">
      <c r="M2618" s="9"/>
      <c r="W2618" s="6"/>
    </row>
    <row r="2619" spans="13:23">
      <c r="M2619" s="9"/>
      <c r="W2619" s="6"/>
    </row>
    <row r="2620" spans="13:23">
      <c r="M2620" s="9"/>
      <c r="W2620" s="6"/>
    </row>
    <row r="2621" spans="13:23">
      <c r="M2621" s="9"/>
      <c r="W2621" s="6"/>
    </row>
    <row r="2622" spans="13:23">
      <c r="M2622" s="9"/>
      <c r="W2622" s="6"/>
    </row>
    <row r="2623" spans="13:23">
      <c r="M2623" s="9"/>
      <c r="W2623" s="6"/>
    </row>
    <row r="2624" spans="13:23">
      <c r="M2624" s="9"/>
      <c r="W2624" s="6"/>
    </row>
    <row r="2625" spans="13:23">
      <c r="M2625" s="9"/>
      <c r="W2625" s="6"/>
    </row>
    <row r="2626" spans="13:23">
      <c r="M2626" s="9"/>
      <c r="W2626" s="6"/>
    </row>
    <row r="2627" spans="13:23">
      <c r="M2627" s="9"/>
      <c r="W2627" s="6"/>
    </row>
    <row r="2628" spans="13:23">
      <c r="M2628" s="9"/>
      <c r="W2628" s="6"/>
    </row>
    <row r="2629" spans="13:23">
      <c r="M2629" s="9"/>
      <c r="W2629" s="6"/>
    </row>
    <row r="2630" spans="13:23">
      <c r="M2630" s="9"/>
      <c r="W2630" s="6"/>
    </row>
    <row r="2631" spans="13:23">
      <c r="M2631" s="9"/>
      <c r="W2631" s="6"/>
    </row>
    <row r="2632" spans="13:23">
      <c r="M2632" s="9"/>
      <c r="W2632" s="6"/>
    </row>
    <row r="2633" spans="13:23">
      <c r="M2633" s="9"/>
      <c r="W2633" s="6"/>
    </row>
    <row r="2634" spans="13:23">
      <c r="M2634" s="9"/>
      <c r="W2634" s="6"/>
    </row>
    <row r="2635" spans="13:23">
      <c r="M2635" s="9"/>
      <c r="W2635" s="6"/>
    </row>
    <row r="2636" spans="13:23">
      <c r="M2636" s="9"/>
      <c r="W2636" s="6"/>
    </row>
    <row r="2637" spans="13:23">
      <c r="M2637" s="9"/>
      <c r="W2637" s="6"/>
    </row>
    <row r="2638" spans="13:23">
      <c r="M2638" s="9"/>
      <c r="W2638" s="6"/>
    </row>
    <row r="2639" spans="13:23">
      <c r="M2639" s="9"/>
      <c r="W2639" s="6"/>
    </row>
    <row r="2640" spans="13:23">
      <c r="M2640" s="9"/>
      <c r="W2640" s="6"/>
    </row>
    <row r="2641" spans="13:23">
      <c r="M2641" s="9"/>
      <c r="W2641" s="6"/>
    </row>
    <row r="2642" spans="13:23">
      <c r="M2642" s="9"/>
      <c r="W2642" s="6"/>
    </row>
    <row r="2643" spans="13:23">
      <c r="M2643" s="9"/>
      <c r="W2643" s="6"/>
    </row>
    <row r="2644" spans="13:23">
      <c r="M2644" s="9"/>
      <c r="W2644" s="6"/>
    </row>
    <row r="2645" spans="13:23">
      <c r="M2645" s="9"/>
      <c r="W2645" s="6"/>
    </row>
    <row r="2646" spans="13:23">
      <c r="M2646" s="9"/>
      <c r="W2646" s="6"/>
    </row>
    <row r="2647" spans="13:23">
      <c r="M2647" s="9"/>
      <c r="W2647" s="6"/>
    </row>
    <row r="2648" spans="13:23">
      <c r="M2648" s="9"/>
      <c r="W2648" s="6"/>
    </row>
    <row r="2649" spans="13:23">
      <c r="M2649" s="9"/>
      <c r="W2649" s="6"/>
    </row>
    <row r="2650" spans="13:23">
      <c r="M2650" s="9"/>
      <c r="W2650" s="6"/>
    </row>
    <row r="2651" spans="13:23">
      <c r="M2651" s="9"/>
      <c r="W2651" s="6"/>
    </row>
    <row r="2652" spans="13:23">
      <c r="M2652" s="9"/>
      <c r="W2652" s="6"/>
    </row>
    <row r="2653" spans="13:23">
      <c r="M2653" s="9"/>
      <c r="W2653" s="6"/>
    </row>
    <row r="2654" spans="13:23">
      <c r="M2654" s="9"/>
      <c r="W2654" s="6"/>
    </row>
    <row r="2655" spans="13:23">
      <c r="M2655" s="9"/>
      <c r="W2655" s="6"/>
    </row>
    <row r="2656" spans="13:23">
      <c r="M2656" s="9"/>
      <c r="W2656" s="6"/>
    </row>
    <row r="2657" spans="13:23">
      <c r="M2657" s="9"/>
      <c r="W2657" s="6"/>
    </row>
    <row r="2658" spans="13:23">
      <c r="M2658" s="9"/>
      <c r="W2658" s="6"/>
    </row>
    <row r="2659" spans="13:23">
      <c r="M2659" s="9"/>
      <c r="W2659" s="6"/>
    </row>
    <row r="2660" spans="13:23">
      <c r="M2660" s="9"/>
      <c r="W2660" s="6"/>
    </row>
    <row r="2661" spans="13:23">
      <c r="M2661" s="9"/>
      <c r="W2661" s="6"/>
    </row>
    <row r="2662" spans="13:23">
      <c r="M2662" s="9"/>
      <c r="W2662" s="6"/>
    </row>
    <row r="2663" spans="13:23">
      <c r="M2663" s="9"/>
      <c r="W2663" s="6"/>
    </row>
    <row r="2664" spans="13:23">
      <c r="M2664" s="9"/>
      <c r="W2664" s="6"/>
    </row>
    <row r="2665" spans="13:23">
      <c r="M2665" s="9"/>
      <c r="W2665" s="6"/>
    </row>
    <row r="2666" spans="13:23">
      <c r="M2666" s="9"/>
      <c r="W2666" s="6"/>
    </row>
    <row r="2667" spans="13:23">
      <c r="M2667" s="9"/>
      <c r="W2667" s="6"/>
    </row>
    <row r="2668" spans="13:23">
      <c r="M2668" s="9"/>
      <c r="W2668" s="6"/>
    </row>
    <row r="2669" spans="13:23">
      <c r="M2669" s="9"/>
      <c r="W2669" s="6"/>
    </row>
    <row r="2670" spans="13:23">
      <c r="M2670" s="9"/>
      <c r="W2670" s="6"/>
    </row>
    <row r="2671" spans="13:23">
      <c r="M2671" s="9"/>
      <c r="W2671" s="6"/>
    </row>
    <row r="2672" spans="13:23">
      <c r="M2672" s="9"/>
      <c r="W2672" s="6"/>
    </row>
    <row r="2673" spans="13:23">
      <c r="M2673" s="9"/>
      <c r="W2673" s="6"/>
    </row>
    <row r="2674" spans="13:23">
      <c r="M2674" s="9"/>
      <c r="W2674" s="6"/>
    </row>
    <row r="2675" spans="13:23">
      <c r="M2675" s="9"/>
      <c r="W2675" s="6"/>
    </row>
    <row r="2676" spans="13:23">
      <c r="M2676" s="9"/>
      <c r="W2676" s="6"/>
    </row>
    <row r="2677" spans="13:23">
      <c r="M2677" s="9"/>
      <c r="W2677" s="6"/>
    </row>
    <row r="2678" spans="13:23">
      <c r="M2678" s="9"/>
      <c r="W2678" s="6"/>
    </row>
    <row r="2679" spans="13:23">
      <c r="M2679" s="9"/>
      <c r="W2679" s="6"/>
    </row>
    <row r="2680" spans="13:23">
      <c r="M2680" s="9"/>
      <c r="W2680" s="6"/>
    </row>
    <row r="2681" spans="13:23">
      <c r="M2681" s="9"/>
      <c r="W2681" s="6"/>
    </row>
    <row r="2682" spans="13:23">
      <c r="M2682" s="9"/>
      <c r="W2682" s="6"/>
    </row>
    <row r="2683" spans="13:23">
      <c r="M2683" s="9"/>
      <c r="W2683" s="6"/>
    </row>
    <row r="2684" spans="13:23">
      <c r="M2684" s="9"/>
      <c r="W2684" s="6"/>
    </row>
    <row r="2685" spans="13:23">
      <c r="M2685" s="9"/>
      <c r="W2685" s="6"/>
    </row>
    <row r="2686" spans="13:23">
      <c r="M2686" s="9"/>
      <c r="W2686" s="6"/>
    </row>
    <row r="2687" spans="13:23">
      <c r="M2687" s="9"/>
      <c r="W2687" s="6"/>
    </row>
    <row r="2688" spans="13:23">
      <c r="M2688" s="9"/>
      <c r="W2688" s="6"/>
    </row>
    <row r="2689" spans="13:23">
      <c r="M2689" s="9"/>
      <c r="W2689" s="6"/>
    </row>
    <row r="2690" spans="13:23">
      <c r="M2690" s="9"/>
      <c r="W2690" s="6"/>
    </row>
    <row r="2691" spans="13:23">
      <c r="M2691" s="9"/>
      <c r="W2691" s="6"/>
    </row>
    <row r="2692" spans="13:23">
      <c r="M2692" s="9"/>
      <c r="W2692" s="6"/>
    </row>
    <row r="2693" spans="13:23">
      <c r="M2693" s="9"/>
      <c r="W2693" s="6"/>
    </row>
    <row r="2694" spans="13:23">
      <c r="M2694" s="9"/>
      <c r="W2694" s="6"/>
    </row>
    <row r="2695" spans="13:23">
      <c r="M2695" s="9"/>
      <c r="W2695" s="6"/>
    </row>
    <row r="2696" spans="13:23">
      <c r="M2696" s="9"/>
      <c r="W2696" s="6"/>
    </row>
    <row r="2697" spans="13:23">
      <c r="M2697" s="9"/>
      <c r="W2697" s="6"/>
    </row>
    <row r="2698" spans="13:23">
      <c r="M2698" s="9"/>
      <c r="W2698" s="6"/>
    </row>
    <row r="2699" spans="13:23">
      <c r="M2699" s="9"/>
      <c r="W2699" s="6"/>
    </row>
    <row r="2700" spans="13:23">
      <c r="M2700" s="9"/>
      <c r="W2700" s="6"/>
    </row>
    <row r="2701" spans="13:23">
      <c r="M2701" s="9"/>
      <c r="W2701" s="6"/>
    </row>
    <row r="2702" spans="13:23">
      <c r="M2702" s="9"/>
      <c r="W2702" s="6"/>
    </row>
    <row r="2703" spans="13:23">
      <c r="M2703" s="9"/>
      <c r="W2703" s="6"/>
    </row>
    <row r="2704" spans="13:23">
      <c r="M2704" s="9"/>
      <c r="W2704" s="6"/>
    </row>
    <row r="2705" spans="13:23">
      <c r="M2705" s="9"/>
      <c r="W2705" s="6"/>
    </row>
    <row r="2706" spans="13:23">
      <c r="M2706" s="9"/>
      <c r="W2706" s="6"/>
    </row>
    <row r="2707" spans="13:23">
      <c r="M2707" s="9"/>
      <c r="W2707" s="6"/>
    </row>
    <row r="2708" spans="13:23">
      <c r="M2708" s="9"/>
      <c r="W2708" s="6"/>
    </row>
    <row r="2709" spans="13:23">
      <c r="M2709" s="9"/>
      <c r="W2709" s="6"/>
    </row>
    <row r="2710" spans="13:23">
      <c r="M2710" s="9"/>
      <c r="W2710" s="6"/>
    </row>
    <row r="2711" spans="13:23">
      <c r="M2711" s="9"/>
      <c r="W2711" s="6"/>
    </row>
    <row r="2712" spans="13:23">
      <c r="M2712" s="9"/>
      <c r="W2712" s="6"/>
    </row>
    <row r="2713" spans="13:23">
      <c r="M2713" s="9"/>
      <c r="W2713" s="6"/>
    </row>
    <row r="2714" spans="13:23">
      <c r="M2714" s="9"/>
      <c r="W2714" s="6"/>
    </row>
    <row r="2715" spans="13:23">
      <c r="M2715" s="9"/>
      <c r="W2715" s="6"/>
    </row>
    <row r="2716" spans="13:23">
      <c r="M2716" s="9"/>
      <c r="W2716" s="6"/>
    </row>
    <row r="2717" spans="13:23">
      <c r="M2717" s="9"/>
      <c r="W2717" s="6"/>
    </row>
    <row r="2718" spans="13:23">
      <c r="M2718" s="9"/>
      <c r="W2718" s="6"/>
    </row>
    <row r="2719" spans="13:23">
      <c r="M2719" s="9"/>
      <c r="W2719" s="6"/>
    </row>
    <row r="2720" spans="13:23">
      <c r="M2720" s="9"/>
      <c r="W2720" s="6"/>
    </row>
    <row r="2721" spans="13:23">
      <c r="M2721" s="9"/>
      <c r="W2721" s="6"/>
    </row>
    <row r="2722" spans="13:23">
      <c r="M2722" s="9"/>
      <c r="W2722" s="6"/>
    </row>
    <row r="2723" spans="13:23">
      <c r="M2723" s="9"/>
      <c r="W2723" s="6"/>
    </row>
    <row r="2724" spans="13:23">
      <c r="M2724" s="9"/>
      <c r="W2724" s="6"/>
    </row>
    <row r="2725" spans="13:23">
      <c r="M2725" s="9"/>
      <c r="W2725" s="6"/>
    </row>
    <row r="2726" spans="13:23">
      <c r="M2726" s="9"/>
      <c r="W2726" s="6"/>
    </row>
    <row r="2727" spans="13:23">
      <c r="M2727" s="9"/>
      <c r="W2727" s="6"/>
    </row>
    <row r="2728" spans="13:23">
      <c r="M2728" s="9"/>
      <c r="W2728" s="6"/>
    </row>
    <row r="2729" spans="13:23">
      <c r="M2729" s="9"/>
      <c r="W2729" s="6"/>
    </row>
    <row r="2730" spans="13:23">
      <c r="M2730" s="9"/>
      <c r="W2730" s="6"/>
    </row>
    <row r="2731" spans="13:23">
      <c r="M2731" s="9"/>
      <c r="W2731" s="6"/>
    </row>
    <row r="2732" spans="13:23">
      <c r="M2732" s="9"/>
      <c r="W2732" s="6"/>
    </row>
    <row r="2733" spans="13:23">
      <c r="M2733" s="9"/>
      <c r="W2733" s="6"/>
    </row>
    <row r="2734" spans="13:23">
      <c r="M2734" s="9"/>
      <c r="W2734" s="6"/>
    </row>
    <row r="2735" spans="13:23">
      <c r="M2735" s="9"/>
      <c r="W2735" s="6"/>
    </row>
    <row r="2736" spans="13:23">
      <c r="M2736" s="9"/>
      <c r="W2736" s="6"/>
    </row>
    <row r="2737" spans="13:23">
      <c r="M2737" s="9"/>
      <c r="W2737" s="6"/>
    </row>
    <row r="2738" spans="13:23">
      <c r="M2738" s="9"/>
      <c r="W2738" s="6"/>
    </row>
    <row r="2739" spans="13:23">
      <c r="M2739" s="9"/>
      <c r="W2739" s="6"/>
    </row>
    <row r="2740" spans="13:23">
      <c r="M2740" s="9"/>
      <c r="W2740" s="6"/>
    </row>
    <row r="2741" spans="13:23">
      <c r="M2741" s="9"/>
      <c r="W2741" s="6"/>
    </row>
    <row r="2742" spans="13:23">
      <c r="M2742" s="9"/>
      <c r="W2742" s="6"/>
    </row>
    <row r="2743" spans="13:23">
      <c r="M2743" s="9"/>
      <c r="W2743" s="6"/>
    </row>
    <row r="2744" spans="13:23">
      <c r="M2744" s="9"/>
      <c r="W2744" s="6"/>
    </row>
    <row r="2745" spans="13:23">
      <c r="M2745" s="9"/>
      <c r="W2745" s="6"/>
    </row>
    <row r="2746" spans="13:23">
      <c r="M2746" s="9"/>
      <c r="W2746" s="6"/>
    </row>
    <row r="2747" spans="13:23">
      <c r="M2747" s="9"/>
      <c r="W2747" s="6"/>
    </row>
    <row r="2748" spans="13:23">
      <c r="M2748" s="9"/>
      <c r="W2748" s="6"/>
    </row>
    <row r="2749" spans="13:23">
      <c r="M2749" s="9"/>
      <c r="W2749" s="6"/>
    </row>
    <row r="2750" spans="13:23">
      <c r="M2750" s="9"/>
      <c r="W2750" s="6"/>
    </row>
    <row r="2751" spans="13:23">
      <c r="M2751" s="9"/>
      <c r="W2751" s="6"/>
    </row>
    <row r="2752" spans="13:23">
      <c r="M2752" s="9"/>
      <c r="W2752" s="6"/>
    </row>
    <row r="2753" spans="13:23">
      <c r="M2753" s="9"/>
      <c r="W2753" s="6"/>
    </row>
    <row r="2754" spans="13:23">
      <c r="M2754" s="9"/>
      <c r="W2754" s="6"/>
    </row>
    <row r="2755" spans="13:23">
      <c r="M2755" s="9"/>
      <c r="W2755" s="6"/>
    </row>
    <row r="2756" spans="13:23">
      <c r="M2756" s="9"/>
      <c r="W2756" s="6"/>
    </row>
    <row r="2757" spans="13:23">
      <c r="M2757" s="9"/>
      <c r="W2757" s="6"/>
    </row>
    <row r="2758" spans="13:23">
      <c r="M2758" s="9"/>
      <c r="W2758" s="6"/>
    </row>
    <row r="2759" spans="13:23">
      <c r="M2759" s="9"/>
      <c r="W2759" s="6"/>
    </row>
    <row r="2760" spans="13:23">
      <c r="M2760" s="9"/>
      <c r="W2760" s="6"/>
    </row>
    <row r="2761" spans="13:23">
      <c r="M2761" s="9"/>
      <c r="W2761" s="6"/>
    </row>
    <row r="2762" spans="13:23">
      <c r="M2762" s="9"/>
      <c r="W2762" s="6"/>
    </row>
    <row r="2763" spans="13:23">
      <c r="M2763" s="9"/>
      <c r="W2763" s="6"/>
    </row>
    <row r="2764" spans="13:23">
      <c r="M2764" s="9"/>
      <c r="W2764" s="6"/>
    </row>
    <row r="2765" spans="13:23">
      <c r="M2765" s="9"/>
      <c r="W2765" s="6"/>
    </row>
    <row r="2766" spans="13:23">
      <c r="M2766" s="9"/>
      <c r="W2766" s="6"/>
    </row>
    <row r="2767" spans="13:23">
      <c r="M2767" s="9"/>
      <c r="W2767" s="6"/>
    </row>
    <row r="2768" spans="13:23">
      <c r="M2768" s="9"/>
      <c r="W2768" s="6"/>
    </row>
    <row r="2769" spans="13:23">
      <c r="M2769" s="9"/>
      <c r="W2769" s="6"/>
    </row>
    <row r="2770" spans="13:23">
      <c r="M2770" s="9"/>
      <c r="W2770" s="6"/>
    </row>
    <row r="2771" spans="13:23">
      <c r="M2771" s="9"/>
      <c r="W2771" s="6"/>
    </row>
    <row r="2772" spans="13:23">
      <c r="M2772" s="9"/>
      <c r="W2772" s="6"/>
    </row>
    <row r="2773" spans="13:23">
      <c r="M2773" s="9"/>
      <c r="W2773" s="6"/>
    </row>
    <row r="2774" spans="13:23">
      <c r="M2774" s="9"/>
      <c r="W2774" s="6"/>
    </row>
    <row r="2775" spans="13:23">
      <c r="M2775" s="9"/>
      <c r="W2775" s="6"/>
    </row>
    <row r="2776" spans="13:23">
      <c r="M2776" s="9"/>
      <c r="W2776" s="6"/>
    </row>
    <row r="2777" spans="13:23">
      <c r="M2777" s="9"/>
      <c r="W2777" s="6"/>
    </row>
    <row r="2778" spans="13:23">
      <c r="M2778" s="9"/>
      <c r="W2778" s="6"/>
    </row>
    <row r="2779" spans="13:23">
      <c r="M2779" s="9"/>
      <c r="W2779" s="6"/>
    </row>
    <row r="2780" spans="13:23">
      <c r="M2780" s="9"/>
      <c r="W2780" s="6"/>
    </row>
    <row r="2781" spans="13:23">
      <c r="M2781" s="9"/>
      <c r="W2781" s="6"/>
    </row>
    <row r="2782" spans="13:23">
      <c r="M2782" s="9"/>
      <c r="W2782" s="6"/>
    </row>
    <row r="2783" spans="13:23">
      <c r="M2783" s="9"/>
      <c r="W2783" s="6"/>
    </row>
    <row r="2784" spans="13:23">
      <c r="M2784" s="9"/>
      <c r="W2784" s="6"/>
    </row>
    <row r="2785" spans="13:23">
      <c r="M2785" s="9"/>
      <c r="W2785" s="6"/>
    </row>
    <row r="2786" spans="13:23">
      <c r="M2786" s="9"/>
      <c r="W2786" s="6"/>
    </row>
    <row r="2787" spans="13:23">
      <c r="M2787" s="9"/>
      <c r="W2787" s="6"/>
    </row>
    <row r="2788" spans="13:23">
      <c r="M2788" s="9"/>
      <c r="W2788" s="6"/>
    </row>
    <row r="2789" spans="13:23">
      <c r="M2789" s="9"/>
      <c r="W2789" s="6"/>
    </row>
    <row r="2790" spans="13:23">
      <c r="M2790" s="9"/>
      <c r="W2790" s="6"/>
    </row>
    <row r="2791" spans="13:23">
      <c r="M2791" s="9"/>
      <c r="W2791" s="6"/>
    </row>
    <row r="2792" spans="13:23">
      <c r="M2792" s="9"/>
      <c r="W2792" s="6"/>
    </row>
    <row r="2793" spans="13:23">
      <c r="M2793" s="9"/>
      <c r="W2793" s="6"/>
    </row>
    <row r="2794" spans="13:23">
      <c r="M2794" s="9"/>
      <c r="W2794" s="6"/>
    </row>
    <row r="2795" spans="13:23">
      <c r="M2795" s="9"/>
      <c r="W2795" s="6"/>
    </row>
    <row r="2796" spans="13:23">
      <c r="M2796" s="9"/>
      <c r="W2796" s="6"/>
    </row>
    <row r="2797" spans="13:23">
      <c r="M2797" s="9"/>
      <c r="W2797" s="6"/>
    </row>
    <row r="2798" spans="13:23">
      <c r="M2798" s="9"/>
      <c r="W2798" s="6"/>
    </row>
    <row r="2799" spans="13:23">
      <c r="M2799" s="9"/>
      <c r="W2799" s="6"/>
    </row>
    <row r="2800" spans="13:23">
      <c r="M2800" s="9"/>
      <c r="W2800" s="6"/>
    </row>
    <row r="2801" spans="13:23">
      <c r="M2801" s="9"/>
      <c r="W2801" s="6"/>
    </row>
    <row r="2802" spans="13:23">
      <c r="M2802" s="9"/>
      <c r="W2802" s="6"/>
    </row>
    <row r="2803" spans="13:23">
      <c r="M2803" s="9"/>
      <c r="W2803" s="6"/>
    </row>
    <row r="2804" spans="13:23">
      <c r="M2804" s="9"/>
      <c r="W2804" s="6"/>
    </row>
    <row r="2805" spans="13:23">
      <c r="M2805" s="9"/>
      <c r="W2805" s="6"/>
    </row>
    <row r="2806" spans="13:23">
      <c r="M2806" s="9"/>
      <c r="W2806" s="6"/>
    </row>
    <row r="2807" spans="13:23">
      <c r="M2807" s="9"/>
      <c r="W2807" s="6"/>
    </row>
    <row r="2808" spans="13:23">
      <c r="M2808" s="9"/>
      <c r="W2808" s="6"/>
    </row>
    <row r="2809" spans="13:23">
      <c r="M2809" s="9"/>
      <c r="W2809" s="6"/>
    </row>
    <row r="2810" spans="13:23">
      <c r="M2810" s="9"/>
      <c r="W2810" s="6"/>
    </row>
    <row r="2811" spans="13:23">
      <c r="M2811" s="9"/>
      <c r="W2811" s="6"/>
    </row>
    <row r="2812" spans="13:23">
      <c r="M2812" s="9"/>
      <c r="W2812" s="6"/>
    </row>
    <row r="2813" spans="13:23">
      <c r="M2813" s="9"/>
      <c r="W2813" s="6"/>
    </row>
    <row r="2814" spans="13:23">
      <c r="M2814" s="9"/>
      <c r="W2814" s="6"/>
    </row>
    <row r="2815" spans="13:23">
      <c r="M2815" s="9"/>
      <c r="W2815" s="6"/>
    </row>
    <row r="2816" spans="13:23">
      <c r="M2816" s="9"/>
      <c r="W2816" s="6"/>
    </row>
    <row r="2817" spans="13:23">
      <c r="M2817" s="9"/>
      <c r="W2817" s="6"/>
    </row>
    <row r="2818" spans="13:23">
      <c r="M2818" s="9"/>
      <c r="W2818" s="6"/>
    </row>
    <row r="2819" spans="13:23">
      <c r="M2819" s="9"/>
      <c r="W2819" s="6"/>
    </row>
    <row r="2820" spans="13:23">
      <c r="M2820" s="9"/>
      <c r="W2820" s="6"/>
    </row>
    <row r="2821" spans="13:23">
      <c r="M2821" s="9"/>
      <c r="W2821" s="6"/>
    </row>
    <row r="2822" spans="13:23">
      <c r="M2822" s="9"/>
      <c r="W2822" s="6"/>
    </row>
    <row r="2823" spans="13:23">
      <c r="M2823" s="9"/>
      <c r="W2823" s="6"/>
    </row>
    <row r="2824" spans="13:23">
      <c r="M2824" s="9"/>
      <c r="W2824" s="6"/>
    </row>
    <row r="2825" spans="13:23">
      <c r="M2825" s="9"/>
      <c r="W2825" s="6"/>
    </row>
    <row r="2826" spans="13:23">
      <c r="M2826" s="9"/>
      <c r="W2826" s="6"/>
    </row>
    <row r="2827" spans="13:23">
      <c r="M2827" s="9"/>
      <c r="W2827" s="6"/>
    </row>
    <row r="2828" spans="13:23">
      <c r="M2828" s="9"/>
      <c r="W2828" s="6"/>
    </row>
    <row r="2829" spans="13:23">
      <c r="M2829" s="9"/>
      <c r="W2829" s="6"/>
    </row>
    <row r="2830" spans="13:23">
      <c r="M2830" s="9"/>
      <c r="W2830" s="6"/>
    </row>
    <row r="2831" spans="13:23">
      <c r="M2831" s="9"/>
      <c r="W2831" s="6"/>
    </row>
    <row r="2832" spans="13:23">
      <c r="M2832" s="9"/>
      <c r="W2832" s="6"/>
    </row>
    <row r="2833" spans="13:23">
      <c r="M2833" s="9"/>
      <c r="W2833" s="6"/>
    </row>
    <row r="2834" spans="13:23">
      <c r="M2834" s="9"/>
      <c r="W2834" s="6"/>
    </row>
    <row r="2835" spans="13:23">
      <c r="M2835" s="9"/>
      <c r="W2835" s="6"/>
    </row>
    <row r="2836" spans="13:23">
      <c r="M2836" s="9"/>
      <c r="W2836" s="6"/>
    </row>
    <row r="2837" spans="13:23">
      <c r="M2837" s="9"/>
      <c r="W2837" s="6"/>
    </row>
    <row r="2838" spans="13:23">
      <c r="M2838" s="9"/>
      <c r="W2838" s="6"/>
    </row>
    <row r="2839" spans="13:23">
      <c r="M2839" s="9"/>
      <c r="W2839" s="6"/>
    </row>
    <row r="2840" spans="13:23">
      <c r="M2840" s="9"/>
      <c r="W2840" s="6"/>
    </row>
    <row r="2841" spans="13:23">
      <c r="M2841" s="9"/>
      <c r="W2841" s="6"/>
    </row>
    <row r="2842" spans="13:23">
      <c r="M2842" s="9"/>
      <c r="W2842" s="6"/>
    </row>
    <row r="2843" spans="13:23">
      <c r="M2843" s="9"/>
      <c r="W2843" s="6"/>
    </row>
    <row r="2844" spans="13:23">
      <c r="M2844" s="9"/>
      <c r="W2844" s="6"/>
    </row>
    <row r="2845" spans="13:23">
      <c r="M2845" s="9"/>
      <c r="W2845" s="6"/>
    </row>
    <row r="2846" spans="13:23">
      <c r="M2846" s="9"/>
      <c r="W2846" s="6"/>
    </row>
    <row r="2847" spans="13:23">
      <c r="M2847" s="9"/>
      <c r="W2847" s="6"/>
    </row>
    <row r="2848" spans="13:23">
      <c r="M2848" s="9"/>
      <c r="W2848" s="6"/>
    </row>
    <row r="2849" spans="13:23">
      <c r="M2849" s="9"/>
      <c r="W2849" s="6"/>
    </row>
    <row r="2850" spans="13:23">
      <c r="M2850" s="9"/>
      <c r="W2850" s="6"/>
    </row>
    <row r="2851" spans="13:23">
      <c r="M2851" s="9"/>
      <c r="W2851" s="6"/>
    </row>
    <row r="2852" spans="13:23">
      <c r="M2852" s="9"/>
      <c r="W2852" s="6"/>
    </row>
    <row r="2853" spans="13:23">
      <c r="M2853" s="9"/>
      <c r="W2853" s="6"/>
    </row>
    <row r="2854" spans="13:23">
      <c r="M2854" s="9"/>
      <c r="W2854" s="6"/>
    </row>
    <row r="2855" spans="13:23">
      <c r="M2855" s="9"/>
      <c r="W2855" s="6"/>
    </row>
    <row r="2856" spans="13:23">
      <c r="M2856" s="9"/>
      <c r="W2856" s="6"/>
    </row>
    <row r="2857" spans="13:23">
      <c r="M2857" s="9"/>
      <c r="W2857" s="6"/>
    </row>
    <row r="2858" spans="13:23">
      <c r="M2858" s="9"/>
      <c r="W2858" s="6"/>
    </row>
    <row r="2859" spans="13:23">
      <c r="M2859" s="9"/>
      <c r="W2859" s="6"/>
    </row>
    <row r="2860" spans="13:23">
      <c r="M2860" s="9"/>
      <c r="W2860" s="6"/>
    </row>
    <row r="2861" spans="13:23">
      <c r="M2861" s="9"/>
      <c r="W2861" s="6"/>
    </row>
    <row r="2862" spans="13:23">
      <c r="M2862" s="9"/>
      <c r="W2862" s="6"/>
    </row>
    <row r="2863" spans="13:23">
      <c r="M2863" s="9"/>
      <c r="W2863" s="6"/>
    </row>
    <row r="2864" spans="13:23">
      <c r="M2864" s="9"/>
      <c r="W2864" s="6"/>
    </row>
    <row r="2865" spans="13:23">
      <c r="M2865" s="9"/>
      <c r="W2865" s="6"/>
    </row>
    <row r="2866" spans="13:23">
      <c r="M2866" s="9"/>
      <c r="W2866" s="6"/>
    </row>
    <row r="2867" spans="13:23">
      <c r="M2867" s="9"/>
      <c r="W2867" s="6"/>
    </row>
    <row r="2868" spans="13:23">
      <c r="M2868" s="9"/>
      <c r="W2868" s="6"/>
    </row>
    <row r="2869" spans="13:23">
      <c r="M2869" s="9"/>
      <c r="W2869" s="6"/>
    </row>
    <row r="2870" spans="13:23">
      <c r="M2870" s="9"/>
      <c r="W2870" s="6"/>
    </row>
    <row r="2871" spans="13:23">
      <c r="M2871" s="9"/>
      <c r="W2871" s="6"/>
    </row>
    <row r="2872" spans="13:23">
      <c r="M2872" s="9"/>
      <c r="W2872" s="6"/>
    </row>
    <row r="2873" spans="13:23">
      <c r="M2873" s="9"/>
      <c r="W2873" s="6"/>
    </row>
    <row r="2874" spans="13:23">
      <c r="M2874" s="9"/>
      <c r="W2874" s="6"/>
    </row>
    <row r="2875" spans="13:23">
      <c r="M2875" s="9"/>
      <c r="W2875" s="6"/>
    </row>
    <row r="2876" spans="13:23">
      <c r="M2876" s="9"/>
      <c r="W2876" s="6"/>
    </row>
    <row r="2877" spans="13:23">
      <c r="M2877" s="9"/>
      <c r="W2877" s="6"/>
    </row>
    <row r="2878" spans="13:23">
      <c r="M2878" s="9"/>
      <c r="W2878" s="6"/>
    </row>
    <row r="2879" spans="13:23">
      <c r="M2879" s="9"/>
      <c r="W2879" s="6"/>
    </row>
    <row r="2880" spans="13:23">
      <c r="M2880" s="9"/>
      <c r="W2880" s="6"/>
    </row>
    <row r="2881" spans="13:23">
      <c r="M2881" s="9"/>
      <c r="W2881" s="6"/>
    </row>
    <row r="2882" spans="13:23">
      <c r="M2882" s="9"/>
      <c r="W2882" s="6"/>
    </row>
    <row r="2883" spans="13:23">
      <c r="M2883" s="9"/>
      <c r="W2883" s="6"/>
    </row>
    <row r="2884" spans="13:23">
      <c r="M2884" s="9"/>
      <c r="W2884" s="6"/>
    </row>
    <row r="2885" spans="13:23">
      <c r="M2885" s="9"/>
      <c r="W2885" s="6"/>
    </row>
    <row r="2886" spans="13:23">
      <c r="M2886" s="9"/>
      <c r="W2886" s="6"/>
    </row>
    <row r="2887" spans="13:23">
      <c r="M2887" s="9"/>
      <c r="W2887" s="6"/>
    </row>
    <row r="2888" spans="13:23">
      <c r="M2888" s="9"/>
      <c r="W2888" s="6"/>
    </row>
    <row r="2889" spans="13:23">
      <c r="M2889" s="9"/>
      <c r="W2889" s="6"/>
    </row>
    <row r="2890" spans="13:23">
      <c r="M2890" s="9"/>
      <c r="W2890" s="6"/>
    </row>
    <row r="2891" spans="13:23">
      <c r="M2891" s="9"/>
      <c r="W2891" s="6"/>
    </row>
    <row r="2892" spans="13:23">
      <c r="M2892" s="9"/>
      <c r="W2892" s="6"/>
    </row>
    <row r="2893" spans="13:23">
      <c r="M2893" s="9"/>
      <c r="W2893" s="6"/>
    </row>
    <row r="2894" spans="13:23">
      <c r="M2894" s="9"/>
      <c r="W2894" s="6"/>
    </row>
    <row r="2895" spans="13:23">
      <c r="M2895" s="9"/>
      <c r="W2895" s="6"/>
    </row>
    <row r="2896" spans="13:23">
      <c r="M2896" s="9"/>
      <c r="W2896" s="6"/>
    </row>
    <row r="2897" spans="13:23">
      <c r="M2897" s="9"/>
      <c r="W2897" s="6"/>
    </row>
    <row r="2898" spans="13:23">
      <c r="M2898" s="9"/>
      <c r="W2898" s="6"/>
    </row>
    <row r="2899" spans="13:23">
      <c r="M2899" s="9"/>
      <c r="W2899" s="6"/>
    </row>
    <row r="2900" spans="13:23">
      <c r="M2900" s="9"/>
      <c r="W2900" s="6"/>
    </row>
    <row r="2901" spans="13:23">
      <c r="M2901" s="9"/>
      <c r="W2901" s="6"/>
    </row>
    <row r="2902" spans="13:23">
      <c r="M2902" s="9"/>
      <c r="W2902" s="6"/>
    </row>
    <row r="2903" spans="13:23">
      <c r="M2903" s="9"/>
      <c r="W2903" s="6"/>
    </row>
    <row r="2904" spans="13:23">
      <c r="M2904" s="9"/>
      <c r="W2904" s="6"/>
    </row>
    <row r="2905" spans="13:23">
      <c r="M2905" s="9"/>
      <c r="W2905" s="6"/>
    </row>
    <row r="2906" spans="13:23">
      <c r="M2906" s="9"/>
      <c r="W2906" s="6"/>
    </row>
    <row r="2907" spans="13:23">
      <c r="M2907" s="9"/>
      <c r="W2907" s="6"/>
    </row>
    <row r="2908" spans="13:23">
      <c r="M2908" s="9"/>
      <c r="W2908" s="6"/>
    </row>
    <row r="2909" spans="13:23">
      <c r="M2909" s="9"/>
      <c r="W2909" s="6"/>
    </row>
    <row r="2910" spans="13:23">
      <c r="M2910" s="9"/>
      <c r="W2910" s="6"/>
    </row>
    <row r="2911" spans="13:23">
      <c r="M2911" s="9"/>
      <c r="W2911" s="6"/>
    </row>
    <row r="2912" spans="13:23">
      <c r="M2912" s="9"/>
      <c r="W2912" s="6"/>
    </row>
    <row r="2913" spans="13:23">
      <c r="M2913" s="9"/>
      <c r="W2913" s="6"/>
    </row>
    <row r="2914" spans="13:23">
      <c r="M2914" s="9"/>
      <c r="W2914" s="6"/>
    </row>
    <row r="2915" spans="13:23">
      <c r="M2915" s="9"/>
      <c r="W2915" s="6"/>
    </row>
    <row r="2916" spans="13:23">
      <c r="M2916" s="9"/>
      <c r="W2916" s="6"/>
    </row>
    <row r="2917" spans="13:23">
      <c r="M2917" s="9"/>
      <c r="W2917" s="6"/>
    </row>
    <row r="2918" spans="13:23">
      <c r="M2918" s="9"/>
      <c r="W2918" s="6"/>
    </row>
    <row r="2919" spans="13:23">
      <c r="M2919" s="9"/>
      <c r="W2919" s="6"/>
    </row>
    <row r="2920" spans="13:23">
      <c r="M2920" s="9"/>
      <c r="W2920" s="6"/>
    </row>
    <row r="2921" spans="13:23">
      <c r="M2921" s="9"/>
      <c r="W2921" s="6"/>
    </row>
    <row r="2922" spans="13:23">
      <c r="M2922" s="9"/>
      <c r="W2922" s="6"/>
    </row>
    <row r="2923" spans="13:23">
      <c r="M2923" s="9"/>
      <c r="W2923" s="6"/>
    </row>
    <row r="2924" spans="13:23">
      <c r="M2924" s="9"/>
      <c r="W2924" s="6"/>
    </row>
    <row r="2925" spans="13:23">
      <c r="M2925" s="9"/>
      <c r="W2925" s="6"/>
    </row>
    <row r="2926" spans="13:23">
      <c r="M2926" s="9"/>
      <c r="W2926" s="6"/>
    </row>
    <row r="2927" spans="13:23">
      <c r="M2927" s="9"/>
      <c r="W2927" s="6"/>
    </row>
    <row r="2928" spans="13:23">
      <c r="M2928" s="9"/>
      <c r="W2928" s="6"/>
    </row>
    <row r="2929" spans="13:23">
      <c r="M2929" s="9"/>
      <c r="W2929" s="6"/>
    </row>
    <row r="2930" spans="13:23">
      <c r="M2930" s="9"/>
      <c r="W2930" s="6"/>
    </row>
    <row r="2931" spans="13:23">
      <c r="M2931" s="9"/>
      <c r="W2931" s="6"/>
    </row>
    <row r="2932" spans="13:23">
      <c r="M2932" s="9"/>
      <c r="W2932" s="6"/>
    </row>
    <row r="2933" spans="13:23">
      <c r="M2933" s="9"/>
      <c r="W2933" s="6"/>
    </row>
    <row r="2934" spans="13:23">
      <c r="M2934" s="9"/>
      <c r="W2934" s="6"/>
    </row>
    <row r="2935" spans="13:23">
      <c r="M2935" s="9"/>
      <c r="W2935" s="6"/>
    </row>
    <row r="2936" spans="13:23">
      <c r="M2936" s="9"/>
      <c r="W2936" s="6"/>
    </row>
    <row r="2937" spans="13:23">
      <c r="M2937" s="9"/>
      <c r="W2937" s="6"/>
    </row>
    <row r="2938" spans="13:23">
      <c r="M2938" s="9"/>
      <c r="W2938" s="6"/>
    </row>
    <row r="2939" spans="13:23">
      <c r="M2939" s="9"/>
      <c r="W2939" s="6"/>
    </row>
    <row r="2940" spans="13:23">
      <c r="M2940" s="9"/>
      <c r="W2940" s="6"/>
    </row>
    <row r="2941" spans="13:23">
      <c r="M2941" s="9"/>
      <c r="W2941" s="6"/>
    </row>
    <row r="2942" spans="13:23">
      <c r="M2942" s="9"/>
      <c r="W2942" s="6"/>
    </row>
    <row r="2943" spans="13:23">
      <c r="M2943" s="9"/>
      <c r="W2943" s="6"/>
    </row>
    <row r="2944" spans="13:23">
      <c r="M2944" s="9"/>
      <c r="W2944" s="6"/>
    </row>
    <row r="2945" spans="13:23">
      <c r="M2945" s="9"/>
      <c r="W2945" s="6"/>
    </row>
    <row r="2946" spans="13:23">
      <c r="M2946" s="9"/>
      <c r="W2946" s="6"/>
    </row>
    <row r="2947" spans="13:23">
      <c r="M2947" s="9"/>
      <c r="W2947" s="6"/>
    </row>
    <row r="2948" spans="13:23">
      <c r="M2948" s="9"/>
      <c r="W2948" s="6"/>
    </row>
    <row r="2949" spans="13:23">
      <c r="M2949" s="9"/>
      <c r="W2949" s="6"/>
    </row>
    <row r="2950" spans="13:23">
      <c r="M2950" s="9"/>
      <c r="W2950" s="6"/>
    </row>
    <row r="2951" spans="13:23">
      <c r="M2951" s="9"/>
      <c r="W2951" s="6"/>
    </row>
    <row r="2952" spans="13:23">
      <c r="M2952" s="9"/>
      <c r="W2952" s="6"/>
    </row>
    <row r="2953" spans="13:23">
      <c r="M2953" s="9"/>
      <c r="W2953" s="6"/>
    </row>
    <row r="2954" spans="13:23">
      <c r="M2954" s="9"/>
      <c r="W2954" s="6"/>
    </row>
    <row r="2955" spans="13:23">
      <c r="M2955" s="9"/>
      <c r="W2955" s="6"/>
    </row>
    <row r="2956" spans="13:23">
      <c r="M2956" s="9"/>
      <c r="W2956" s="6"/>
    </row>
    <row r="2957" spans="13:23">
      <c r="M2957" s="9"/>
      <c r="W2957" s="6"/>
    </row>
    <row r="2958" spans="13:23">
      <c r="M2958" s="9"/>
      <c r="W2958" s="6"/>
    </row>
    <row r="2959" spans="13:23">
      <c r="M2959" s="9"/>
      <c r="W2959" s="6"/>
    </row>
    <row r="2960" spans="13:23">
      <c r="M2960" s="9"/>
      <c r="W2960" s="6"/>
    </row>
    <row r="2961" spans="13:23">
      <c r="M2961" s="9"/>
      <c r="W2961" s="6"/>
    </row>
    <row r="2962" spans="13:23">
      <c r="M2962" s="9"/>
      <c r="W2962" s="6"/>
    </row>
    <row r="2963" spans="13:23">
      <c r="M2963" s="9"/>
      <c r="W2963" s="6"/>
    </row>
    <row r="2964" spans="13:23">
      <c r="M2964" s="9"/>
      <c r="W2964" s="6"/>
    </row>
    <row r="2965" spans="13:23">
      <c r="M2965" s="9"/>
      <c r="W2965" s="6"/>
    </row>
    <row r="2966" spans="13:23">
      <c r="M2966" s="9"/>
      <c r="W2966" s="6"/>
    </row>
    <row r="2967" spans="13:23">
      <c r="M2967" s="9"/>
      <c r="W2967" s="6"/>
    </row>
    <row r="2968" spans="13:23">
      <c r="M2968" s="9"/>
      <c r="W2968" s="6"/>
    </row>
    <row r="2969" spans="13:23">
      <c r="M2969" s="9"/>
      <c r="W2969" s="6"/>
    </row>
    <row r="2970" spans="13:23">
      <c r="M2970" s="9"/>
      <c r="W2970" s="6"/>
    </row>
    <row r="2971" spans="13:23">
      <c r="M2971" s="9"/>
      <c r="W2971" s="6"/>
    </row>
    <row r="2972" spans="13:23">
      <c r="M2972" s="9"/>
      <c r="W2972" s="6"/>
    </row>
    <row r="2973" spans="13:23">
      <c r="M2973" s="9"/>
      <c r="W2973" s="6"/>
    </row>
    <row r="2974" spans="13:23">
      <c r="M2974" s="9"/>
      <c r="W2974" s="6"/>
    </row>
    <row r="2975" spans="13:23">
      <c r="M2975" s="9"/>
      <c r="W2975" s="6"/>
    </row>
    <row r="2976" spans="13:23">
      <c r="M2976" s="9"/>
      <c r="W2976" s="6"/>
    </row>
    <row r="2977" spans="13:23">
      <c r="M2977" s="9"/>
      <c r="W2977" s="6"/>
    </row>
    <row r="2978" spans="13:23">
      <c r="M2978" s="9"/>
      <c r="W2978" s="6"/>
    </row>
    <row r="2979" spans="13:23">
      <c r="M2979" s="9"/>
      <c r="W2979" s="6"/>
    </row>
    <row r="2980" spans="13:23">
      <c r="M2980" s="9"/>
      <c r="W2980" s="6"/>
    </row>
    <row r="2981" spans="13:23">
      <c r="M2981" s="9"/>
      <c r="W2981" s="6"/>
    </row>
    <row r="2982" spans="13:23">
      <c r="M2982" s="9"/>
      <c r="W2982" s="6"/>
    </row>
    <row r="2983" spans="13:23">
      <c r="M2983" s="9"/>
      <c r="W2983" s="6"/>
    </row>
    <row r="2984" spans="13:23">
      <c r="M2984" s="9"/>
      <c r="W2984" s="6"/>
    </row>
    <row r="2985" spans="13:23">
      <c r="M2985" s="9"/>
      <c r="W2985" s="6"/>
    </row>
    <row r="2986" spans="13:23">
      <c r="M2986" s="9"/>
      <c r="W2986" s="6"/>
    </row>
    <row r="2987" spans="13:23">
      <c r="M2987" s="9"/>
      <c r="W2987" s="6"/>
    </row>
    <row r="2988" spans="13:23">
      <c r="M2988" s="9"/>
      <c r="W2988" s="6"/>
    </row>
    <row r="2989" spans="13:23">
      <c r="M2989" s="9"/>
      <c r="W2989" s="6"/>
    </row>
    <row r="2990" spans="13:23">
      <c r="M2990" s="9"/>
      <c r="W2990" s="6"/>
    </row>
    <row r="2991" spans="13:23">
      <c r="M2991" s="9"/>
      <c r="W2991" s="6"/>
    </row>
    <row r="2992" spans="13:23">
      <c r="M2992" s="9"/>
      <c r="W2992" s="6"/>
    </row>
    <row r="2993" spans="13:23">
      <c r="M2993" s="9"/>
      <c r="W2993" s="6"/>
    </row>
    <row r="2994" spans="13:23">
      <c r="M2994" s="9"/>
      <c r="W2994" s="6"/>
    </row>
    <row r="2995" spans="13:23">
      <c r="M2995" s="9"/>
      <c r="W2995" s="6"/>
    </row>
    <row r="2996" spans="13:23">
      <c r="M2996" s="9"/>
      <c r="W2996" s="6"/>
    </row>
    <row r="2997" spans="13:23">
      <c r="M2997" s="9"/>
      <c r="W2997" s="6"/>
    </row>
    <row r="2998" spans="13:23">
      <c r="M2998" s="9"/>
      <c r="W2998" s="6"/>
    </row>
    <row r="2999" spans="13:23">
      <c r="M2999" s="9"/>
      <c r="W2999" s="6"/>
    </row>
    <row r="3000" spans="13:23">
      <c r="M3000" s="9"/>
      <c r="W3000" s="6"/>
    </row>
    <row r="3001" spans="13:23">
      <c r="M3001" s="9"/>
      <c r="W3001" s="6"/>
    </row>
    <row r="3002" spans="13:23">
      <c r="M3002" s="9"/>
      <c r="W3002" s="6"/>
    </row>
    <row r="3003" spans="13:23">
      <c r="M3003" s="9"/>
      <c r="W3003" s="6"/>
    </row>
    <row r="3004" spans="13:23">
      <c r="M3004" s="9"/>
      <c r="W3004" s="6"/>
    </row>
    <row r="3005" spans="13:23">
      <c r="M3005" s="9"/>
      <c r="W3005" s="6"/>
    </row>
    <row r="3006" spans="13:23">
      <c r="M3006" s="9"/>
      <c r="W3006" s="6"/>
    </row>
    <row r="3007" spans="13:23">
      <c r="M3007" s="9"/>
      <c r="W3007" s="6"/>
    </row>
    <row r="3008" spans="13:23">
      <c r="M3008" s="9"/>
      <c r="W3008" s="6"/>
    </row>
    <row r="3009" spans="13:23">
      <c r="M3009" s="9"/>
      <c r="W3009" s="6"/>
    </row>
    <row r="3010" spans="13:23">
      <c r="M3010" s="9"/>
      <c r="W3010" s="6"/>
    </row>
    <row r="3011" spans="13:23">
      <c r="M3011" s="9"/>
      <c r="W3011" s="6"/>
    </row>
    <row r="3012" spans="13:23">
      <c r="M3012" s="9"/>
      <c r="W3012" s="6"/>
    </row>
    <row r="3013" spans="13:23">
      <c r="M3013" s="9"/>
      <c r="W3013" s="6"/>
    </row>
    <row r="3014" spans="13:23">
      <c r="M3014" s="9"/>
      <c r="W3014" s="6"/>
    </row>
    <row r="3015" spans="13:23">
      <c r="M3015" s="9"/>
      <c r="W3015" s="6"/>
    </row>
    <row r="3016" spans="13:23">
      <c r="M3016" s="9"/>
      <c r="W3016" s="6"/>
    </row>
    <row r="3017" spans="13:23">
      <c r="M3017" s="9"/>
      <c r="W3017" s="6"/>
    </row>
    <row r="3018" spans="13:23">
      <c r="M3018" s="9"/>
      <c r="W3018" s="6"/>
    </row>
    <row r="3019" spans="13:23">
      <c r="M3019" s="9"/>
      <c r="W3019" s="6"/>
    </row>
    <row r="3020" spans="13:23">
      <c r="M3020" s="9"/>
      <c r="W3020" s="6"/>
    </row>
    <row r="3021" spans="13:23">
      <c r="M3021" s="9"/>
      <c r="W3021" s="6"/>
    </row>
    <row r="3022" spans="13:23">
      <c r="M3022" s="9"/>
      <c r="W3022" s="6"/>
    </row>
    <row r="3023" spans="13:23">
      <c r="M3023" s="9"/>
      <c r="W3023" s="6"/>
    </row>
    <row r="3024" spans="13:23">
      <c r="M3024" s="9"/>
      <c r="W3024" s="6"/>
    </row>
    <row r="3025" spans="13:23">
      <c r="M3025" s="9"/>
      <c r="W3025" s="6"/>
    </row>
    <row r="3026" spans="13:23">
      <c r="M3026" s="9"/>
      <c r="W3026" s="6"/>
    </row>
    <row r="3027" spans="13:23">
      <c r="M3027" s="9"/>
      <c r="W3027" s="6"/>
    </row>
    <row r="3028" spans="13:23">
      <c r="M3028" s="9"/>
      <c r="W3028" s="6"/>
    </row>
    <row r="3029" spans="13:23">
      <c r="M3029" s="9"/>
      <c r="W3029" s="6"/>
    </row>
    <row r="3030" spans="13:23">
      <c r="M3030" s="9"/>
      <c r="W3030" s="6"/>
    </row>
    <row r="3031" spans="13:23">
      <c r="M3031" s="9"/>
      <c r="W3031" s="6"/>
    </row>
    <row r="3032" spans="13:23">
      <c r="M3032" s="9"/>
      <c r="W3032" s="6"/>
    </row>
    <row r="3033" spans="13:23">
      <c r="M3033" s="9"/>
      <c r="W3033" s="6"/>
    </row>
    <row r="3034" spans="13:23">
      <c r="M3034" s="9"/>
      <c r="W3034" s="6"/>
    </row>
    <row r="3035" spans="13:23">
      <c r="M3035" s="9"/>
      <c r="W3035" s="6"/>
    </row>
    <row r="3036" spans="13:23">
      <c r="M3036" s="9"/>
      <c r="W3036" s="6"/>
    </row>
    <row r="3037" spans="13:23">
      <c r="M3037" s="9"/>
      <c r="W3037" s="6"/>
    </row>
    <row r="3038" spans="13:23">
      <c r="M3038" s="9"/>
      <c r="W3038" s="6"/>
    </row>
    <row r="3039" spans="13:23">
      <c r="M3039" s="9"/>
      <c r="W3039" s="6"/>
    </row>
    <row r="3040" spans="13:23">
      <c r="M3040" s="9"/>
      <c r="W3040" s="6"/>
    </row>
    <row r="3041" spans="13:23">
      <c r="M3041" s="9"/>
      <c r="W3041" s="6"/>
    </row>
    <row r="3042" spans="13:23">
      <c r="M3042" s="9"/>
      <c r="W3042" s="6"/>
    </row>
    <row r="3043" spans="13:23">
      <c r="M3043" s="9"/>
      <c r="W3043" s="6"/>
    </row>
    <row r="3044" spans="13:23">
      <c r="M3044" s="9"/>
      <c r="W3044" s="6"/>
    </row>
    <row r="3045" spans="13:23">
      <c r="M3045" s="9"/>
      <c r="W3045" s="6"/>
    </row>
    <row r="3046" spans="13:23">
      <c r="M3046" s="9"/>
      <c r="W3046" s="6"/>
    </row>
    <row r="3047" spans="13:23">
      <c r="M3047" s="9"/>
      <c r="W3047" s="6"/>
    </row>
    <row r="3048" spans="13:23">
      <c r="M3048" s="9"/>
      <c r="W3048" s="6"/>
    </row>
    <row r="3049" spans="13:23">
      <c r="M3049" s="9"/>
      <c r="W3049" s="6"/>
    </row>
    <row r="3050" spans="13:23">
      <c r="M3050" s="9"/>
      <c r="W3050" s="6"/>
    </row>
    <row r="3051" spans="13:23">
      <c r="M3051" s="9"/>
      <c r="W3051" s="6"/>
    </row>
    <row r="3052" spans="13:23">
      <c r="M3052" s="9"/>
      <c r="W3052" s="6"/>
    </row>
    <row r="3053" spans="13:23">
      <c r="M3053" s="9"/>
      <c r="W3053" s="6"/>
    </row>
    <row r="3054" spans="13:23">
      <c r="M3054" s="9"/>
      <c r="W3054" s="6"/>
    </row>
    <row r="3055" spans="13:23">
      <c r="M3055" s="9"/>
      <c r="W3055" s="6"/>
    </row>
    <row r="3056" spans="13:23">
      <c r="M3056" s="9"/>
      <c r="W3056" s="6"/>
    </row>
    <row r="3057" spans="13:23">
      <c r="M3057" s="9"/>
      <c r="W3057" s="6"/>
    </row>
    <row r="3058" spans="13:23">
      <c r="M3058" s="9"/>
      <c r="W3058" s="6"/>
    </row>
    <row r="3059" spans="13:23">
      <c r="M3059" s="9"/>
      <c r="W3059" s="6"/>
    </row>
    <row r="3060" spans="13:23">
      <c r="M3060" s="9"/>
      <c r="W3060" s="6"/>
    </row>
    <row r="3061" spans="13:23">
      <c r="M3061" s="9"/>
      <c r="W3061" s="6"/>
    </row>
    <row r="3062" spans="13:23">
      <c r="M3062" s="9"/>
      <c r="W3062" s="6"/>
    </row>
    <row r="3063" spans="13:23">
      <c r="M3063" s="9"/>
      <c r="W3063" s="6"/>
    </row>
    <row r="3064" spans="13:23">
      <c r="M3064" s="9"/>
      <c r="W3064" s="6"/>
    </row>
    <row r="3065" spans="13:23">
      <c r="M3065" s="9"/>
      <c r="W3065" s="6"/>
    </row>
    <row r="3066" spans="13:23">
      <c r="M3066" s="9"/>
      <c r="W3066" s="6"/>
    </row>
    <row r="3067" spans="13:23">
      <c r="M3067" s="9"/>
      <c r="W3067" s="6"/>
    </row>
    <row r="3068" spans="13:23">
      <c r="M3068" s="9"/>
      <c r="W3068" s="6"/>
    </row>
    <row r="3069" spans="13:23">
      <c r="M3069" s="9"/>
      <c r="W3069" s="6"/>
    </row>
    <row r="3070" spans="13:23">
      <c r="M3070" s="9"/>
      <c r="W3070" s="6"/>
    </row>
    <row r="3071" spans="13:23">
      <c r="M3071" s="9"/>
      <c r="W3071" s="6"/>
    </row>
    <row r="3072" spans="13:23">
      <c r="M3072" s="9"/>
      <c r="W3072" s="6"/>
    </row>
    <row r="3073" spans="13:23">
      <c r="M3073" s="9"/>
      <c r="W3073" s="6"/>
    </row>
    <row r="3074" spans="13:23">
      <c r="M3074" s="9"/>
      <c r="W3074" s="6"/>
    </row>
    <row r="3075" spans="13:23">
      <c r="M3075" s="9"/>
      <c r="W3075" s="6"/>
    </row>
    <row r="3076" spans="13:23">
      <c r="M3076" s="9"/>
      <c r="W3076" s="6"/>
    </row>
    <row r="3077" spans="13:23">
      <c r="M3077" s="9"/>
      <c r="W3077" s="6"/>
    </row>
    <row r="3078" spans="13:23">
      <c r="M3078" s="9"/>
      <c r="W3078" s="6"/>
    </row>
    <row r="3079" spans="13:23">
      <c r="M3079" s="9"/>
      <c r="W3079" s="6"/>
    </row>
    <row r="3080" spans="13:23">
      <c r="M3080" s="9"/>
      <c r="W3080" s="6"/>
    </row>
    <row r="3081" spans="13:23">
      <c r="M3081" s="9"/>
      <c r="W3081" s="6"/>
    </row>
    <row r="3082" spans="13:23">
      <c r="M3082" s="9"/>
      <c r="W3082" s="6"/>
    </row>
    <row r="3083" spans="13:23">
      <c r="M3083" s="9"/>
      <c r="W3083" s="6"/>
    </row>
    <row r="3084" spans="13:23">
      <c r="M3084" s="9"/>
      <c r="W3084" s="6"/>
    </row>
    <row r="3085" spans="13:23">
      <c r="M3085" s="9"/>
      <c r="W3085" s="6"/>
    </row>
    <row r="3086" spans="13:23">
      <c r="M3086" s="9"/>
      <c r="W3086" s="6"/>
    </row>
    <row r="3087" spans="13:23">
      <c r="M3087" s="9"/>
      <c r="W3087" s="6"/>
    </row>
    <row r="3088" spans="13:23">
      <c r="M3088" s="9"/>
      <c r="W3088" s="6"/>
    </row>
    <row r="3089" spans="13:23">
      <c r="M3089" s="9"/>
      <c r="W3089" s="6"/>
    </row>
    <row r="3090" spans="13:23">
      <c r="M3090" s="9"/>
      <c r="W3090" s="6"/>
    </row>
    <row r="3091" spans="13:23">
      <c r="M3091" s="9"/>
      <c r="W3091" s="6"/>
    </row>
    <row r="3092" spans="13:23">
      <c r="M3092" s="9"/>
      <c r="W3092" s="6"/>
    </row>
    <row r="3093" spans="13:23">
      <c r="M3093" s="9"/>
      <c r="W3093" s="6"/>
    </row>
    <row r="3094" spans="13:23">
      <c r="M3094" s="9"/>
      <c r="W3094" s="6"/>
    </row>
    <row r="3095" spans="13:23">
      <c r="M3095" s="9"/>
      <c r="W3095" s="6"/>
    </row>
    <row r="3096" spans="13:23">
      <c r="M3096" s="9"/>
      <c r="W3096" s="6"/>
    </row>
    <row r="3097" spans="13:23">
      <c r="M3097" s="9"/>
      <c r="W3097" s="6"/>
    </row>
    <row r="3098" spans="13:23">
      <c r="M3098" s="9"/>
      <c r="W3098" s="6"/>
    </row>
    <row r="3099" spans="13:23">
      <c r="M3099" s="9"/>
      <c r="W3099" s="6"/>
    </row>
    <row r="3100" spans="13:23">
      <c r="M3100" s="9"/>
      <c r="W3100" s="6"/>
    </row>
    <row r="3101" spans="13:23">
      <c r="M3101" s="9"/>
      <c r="W3101" s="6"/>
    </row>
    <row r="3102" spans="13:23">
      <c r="M3102" s="9"/>
      <c r="W3102" s="6"/>
    </row>
    <row r="3103" spans="13:23">
      <c r="M3103" s="9"/>
      <c r="W3103" s="6"/>
    </row>
    <row r="3104" spans="13:23">
      <c r="M3104" s="9"/>
      <c r="W3104" s="6"/>
    </row>
    <row r="3105" spans="13:23">
      <c r="M3105" s="9"/>
      <c r="W3105" s="6"/>
    </row>
    <row r="3106" spans="13:23">
      <c r="M3106" s="9"/>
      <c r="W3106" s="6"/>
    </row>
    <row r="3107" spans="13:23">
      <c r="M3107" s="9"/>
      <c r="W3107" s="6"/>
    </row>
    <row r="3108" spans="13:23">
      <c r="M3108" s="9"/>
      <c r="W3108" s="6"/>
    </row>
    <row r="3109" spans="13:23">
      <c r="M3109" s="9"/>
      <c r="W3109" s="6"/>
    </row>
    <row r="3110" spans="13:23">
      <c r="M3110" s="9"/>
      <c r="W3110" s="6"/>
    </row>
    <row r="3111" spans="13:23">
      <c r="M3111" s="9"/>
      <c r="W3111" s="6"/>
    </row>
    <row r="3112" spans="13:23">
      <c r="M3112" s="9"/>
      <c r="W3112" s="6"/>
    </row>
    <row r="3113" spans="13:23">
      <c r="M3113" s="9"/>
      <c r="W3113" s="6"/>
    </row>
    <row r="3114" spans="13:23">
      <c r="M3114" s="9"/>
      <c r="W3114" s="6"/>
    </row>
    <row r="3115" spans="13:23">
      <c r="M3115" s="9"/>
      <c r="W3115" s="6"/>
    </row>
    <row r="3116" spans="13:23">
      <c r="M3116" s="9"/>
      <c r="W3116" s="6"/>
    </row>
    <row r="3117" spans="13:23">
      <c r="M3117" s="9"/>
      <c r="W3117" s="6"/>
    </row>
    <row r="3118" spans="13:23">
      <c r="M3118" s="9"/>
      <c r="W3118" s="6"/>
    </row>
    <row r="3119" spans="13:23">
      <c r="M3119" s="9"/>
      <c r="W3119" s="6"/>
    </row>
    <row r="3120" spans="13:23">
      <c r="M3120" s="9"/>
      <c r="W3120" s="6"/>
    </row>
    <row r="3121" spans="9:23">
      <c r="M3121" s="9"/>
      <c r="W3121" s="6"/>
    </row>
    <row r="3122" spans="9:23">
      <c r="M3122" s="9"/>
      <c r="W3122" s="6"/>
    </row>
    <row r="3123" spans="9:23">
      <c r="M3123" s="9"/>
      <c r="W3123" s="6"/>
    </row>
    <row r="3124" spans="9:23">
      <c r="I3124" s="7"/>
      <c r="M3124" s="9"/>
      <c r="O3124" s="7"/>
      <c r="W3124" s="6"/>
    </row>
    <row r="3125" spans="9:23">
      <c r="M3125" s="9"/>
      <c r="W3125" s="6"/>
    </row>
    <row r="3126" spans="9:23">
      <c r="M3126" s="9"/>
      <c r="W3126" s="6"/>
    </row>
    <row r="3127" spans="9:23">
      <c r="M3127" s="9"/>
      <c r="W3127" s="6"/>
    </row>
    <row r="3128" spans="9:23">
      <c r="M3128" s="9"/>
      <c r="W3128" s="6"/>
    </row>
    <row r="3129" spans="9:23">
      <c r="M3129" s="9"/>
      <c r="W3129" s="6"/>
    </row>
    <row r="3130" spans="9:23">
      <c r="M3130" s="9"/>
      <c r="W3130" s="6"/>
    </row>
    <row r="3131" spans="9:23">
      <c r="M3131" s="9"/>
      <c r="W3131" s="6"/>
    </row>
    <row r="3132" spans="9:23">
      <c r="M3132" s="9"/>
      <c r="W3132" s="6"/>
    </row>
    <row r="3133" spans="9:23">
      <c r="M3133" s="9"/>
      <c r="N3133" s="8"/>
      <c r="O3133" s="8"/>
      <c r="W3133" s="6"/>
    </row>
    <row r="3134" spans="9:23">
      <c r="M3134" s="9"/>
      <c r="W3134" s="6"/>
    </row>
    <row r="3135" spans="9:23">
      <c r="M3135" s="9"/>
      <c r="W3135" s="6"/>
    </row>
    <row r="3136" spans="9:23">
      <c r="M3136" s="9"/>
      <c r="W3136" s="6"/>
    </row>
    <row r="3137" spans="9:23">
      <c r="M3137" s="9"/>
      <c r="W3137" s="6"/>
    </row>
    <row r="3138" spans="9:23">
      <c r="M3138" s="9"/>
      <c r="W3138" s="6"/>
    </row>
    <row r="3139" spans="9:23">
      <c r="I3139" s="7"/>
      <c r="M3139" s="9"/>
      <c r="O3139" s="7"/>
      <c r="W3139" s="6"/>
    </row>
    <row r="3140" spans="9:23">
      <c r="M3140" s="9"/>
      <c r="W3140" s="6"/>
    </row>
    <row r="3141" spans="9:23">
      <c r="M3141" s="9"/>
      <c r="W3141" s="6"/>
    </row>
    <row r="3142" spans="9:23">
      <c r="M3142" s="9"/>
      <c r="W3142" s="6"/>
    </row>
    <row r="3143" spans="9:23">
      <c r="M3143" s="9"/>
      <c r="W3143" s="6"/>
    </row>
    <row r="3144" spans="9:23">
      <c r="M3144" s="9"/>
      <c r="W3144" s="6"/>
    </row>
    <row r="3145" spans="9:23">
      <c r="M3145" s="9"/>
      <c r="W3145" s="6"/>
    </row>
    <row r="3146" spans="9:23">
      <c r="M3146" s="9"/>
      <c r="W3146" s="6"/>
    </row>
    <row r="3147" spans="9:23">
      <c r="M3147" s="9"/>
      <c r="W3147" s="6"/>
    </row>
    <row r="3148" spans="9:23">
      <c r="M3148" s="9"/>
      <c r="W3148" s="6"/>
    </row>
    <row r="3149" spans="9:23">
      <c r="M3149" s="9"/>
      <c r="W3149" s="6"/>
    </row>
    <row r="3150" spans="9:23">
      <c r="M3150" s="9"/>
      <c r="W3150" s="6"/>
    </row>
    <row r="3151" spans="9:23">
      <c r="M3151" s="9"/>
      <c r="W3151" s="6"/>
    </row>
    <row r="3152" spans="9:23">
      <c r="M3152" s="9"/>
      <c r="W3152" s="6"/>
    </row>
    <row r="3153" spans="13:23">
      <c r="M3153" s="9"/>
      <c r="W3153" s="6"/>
    </row>
    <row r="3154" spans="13:23">
      <c r="M3154" s="9"/>
      <c r="W3154" s="6"/>
    </row>
    <row r="3155" spans="13:23">
      <c r="M3155" s="9"/>
      <c r="W3155" s="6"/>
    </row>
    <row r="3156" spans="13:23">
      <c r="M3156" s="9"/>
      <c r="W3156" s="6"/>
    </row>
    <row r="3157" spans="13:23">
      <c r="M3157" s="9"/>
      <c r="W3157" s="6"/>
    </row>
    <row r="3158" spans="13:23">
      <c r="M3158" s="9"/>
      <c r="W3158" s="6"/>
    </row>
    <row r="3159" spans="13:23">
      <c r="M3159" s="9"/>
      <c r="W3159" s="6"/>
    </row>
    <row r="3160" spans="13:23">
      <c r="M3160" s="9"/>
      <c r="W3160" s="6"/>
    </row>
    <row r="3161" spans="13:23">
      <c r="M3161" s="9"/>
      <c r="W3161" s="6"/>
    </row>
    <row r="3162" spans="13:23">
      <c r="M3162" s="9"/>
      <c r="W3162" s="6"/>
    </row>
    <row r="3163" spans="13:23">
      <c r="M3163" s="9"/>
      <c r="W3163" s="6"/>
    </row>
    <row r="3164" spans="13:23">
      <c r="M3164" s="9"/>
      <c r="W3164" s="6"/>
    </row>
    <row r="3165" spans="13:23">
      <c r="M3165" s="9"/>
      <c r="W3165" s="6"/>
    </row>
    <row r="3166" spans="13:23">
      <c r="M3166" s="9"/>
      <c r="W3166" s="6"/>
    </row>
    <row r="3167" spans="13:23">
      <c r="M3167" s="9"/>
      <c r="W3167" s="6"/>
    </row>
    <row r="3168" spans="13:23">
      <c r="M3168" s="9"/>
      <c r="W3168" s="6"/>
    </row>
    <row r="3169" spans="13:23">
      <c r="M3169" s="9"/>
      <c r="W3169" s="6"/>
    </row>
    <row r="3170" spans="13:23">
      <c r="M3170" s="9"/>
      <c r="W3170" s="6"/>
    </row>
    <row r="3171" spans="13:23">
      <c r="M3171" s="9"/>
      <c r="W3171" s="6"/>
    </row>
    <row r="3172" spans="13:23">
      <c r="M3172" s="9"/>
      <c r="W3172" s="6"/>
    </row>
    <row r="3173" spans="13:23">
      <c r="M3173" s="9"/>
      <c r="W3173" s="6"/>
    </row>
    <row r="3174" spans="13:23">
      <c r="M3174" s="9"/>
      <c r="W3174" s="6"/>
    </row>
    <row r="3175" spans="13:23">
      <c r="M3175" s="9"/>
      <c r="W3175" s="6"/>
    </row>
    <row r="3176" spans="13:23">
      <c r="M3176" s="9"/>
      <c r="W3176" s="6"/>
    </row>
    <row r="3177" spans="13:23">
      <c r="M3177" s="9"/>
      <c r="W3177" s="6"/>
    </row>
    <row r="3178" spans="13:23">
      <c r="M3178" s="9"/>
      <c r="W3178" s="6"/>
    </row>
    <row r="3179" spans="13:23">
      <c r="M3179" s="9"/>
      <c r="W3179" s="6"/>
    </row>
    <row r="3180" spans="13:23">
      <c r="M3180" s="9"/>
      <c r="W3180" s="6"/>
    </row>
    <row r="3181" spans="13:23">
      <c r="M3181" s="9"/>
      <c r="W3181" s="6"/>
    </row>
    <row r="3182" spans="13:23">
      <c r="M3182" s="9"/>
      <c r="W3182" s="6"/>
    </row>
    <row r="3183" spans="13:23">
      <c r="M3183" s="9"/>
      <c r="W3183" s="6"/>
    </row>
    <row r="3184" spans="13:23">
      <c r="M3184" s="9"/>
      <c r="W3184" s="6"/>
    </row>
    <row r="3185" spans="13:23">
      <c r="M3185" s="9"/>
      <c r="W3185" s="6"/>
    </row>
    <row r="3186" spans="13:23">
      <c r="M3186" s="9"/>
      <c r="W3186" s="6"/>
    </row>
    <row r="3187" spans="13:23">
      <c r="M3187" s="9"/>
      <c r="W3187" s="6"/>
    </row>
    <row r="3188" spans="13:23">
      <c r="M3188" s="9"/>
      <c r="W3188" s="6"/>
    </row>
    <row r="3189" spans="13:23">
      <c r="M3189" s="9"/>
      <c r="W3189" s="6"/>
    </row>
    <row r="3190" spans="13:23">
      <c r="M3190" s="9"/>
      <c r="W3190" s="6"/>
    </row>
    <row r="3191" spans="13:23">
      <c r="M3191" s="9"/>
      <c r="W3191" s="6"/>
    </row>
    <row r="3192" spans="13:23">
      <c r="M3192" s="9"/>
      <c r="W3192" s="6"/>
    </row>
    <row r="3193" spans="13:23">
      <c r="M3193" s="9"/>
      <c r="W3193" s="6"/>
    </row>
    <row r="3194" spans="13:23">
      <c r="M3194" s="9"/>
      <c r="W3194" s="6"/>
    </row>
    <row r="3195" spans="13:23">
      <c r="M3195" s="9"/>
      <c r="W3195" s="6"/>
    </row>
    <row r="3196" spans="13:23">
      <c r="M3196" s="9"/>
      <c r="W3196" s="6"/>
    </row>
    <row r="3197" spans="13:23">
      <c r="M3197" s="9"/>
      <c r="W3197" s="6"/>
    </row>
    <row r="3198" spans="13:23">
      <c r="M3198" s="9"/>
      <c r="W3198" s="6"/>
    </row>
    <row r="3199" spans="13:23">
      <c r="M3199" s="9"/>
      <c r="W3199" s="6"/>
    </row>
    <row r="3200" spans="13:23">
      <c r="M3200" s="9"/>
      <c r="W3200" s="6"/>
    </row>
    <row r="3201" spans="13:23">
      <c r="M3201" s="9"/>
      <c r="W3201" s="6"/>
    </row>
    <row r="3202" spans="13:23">
      <c r="M3202" s="9"/>
      <c r="W3202" s="6"/>
    </row>
    <row r="3203" spans="13:23">
      <c r="M3203" s="9"/>
      <c r="W3203" s="6"/>
    </row>
    <row r="3204" spans="13:23">
      <c r="M3204" s="9"/>
      <c r="W3204" s="6"/>
    </row>
    <row r="3205" spans="13:23">
      <c r="M3205" s="9"/>
      <c r="W3205" s="6"/>
    </row>
    <row r="3206" spans="13:23">
      <c r="M3206" s="9"/>
      <c r="W3206" s="6"/>
    </row>
    <row r="3207" spans="13:23">
      <c r="M3207" s="9"/>
      <c r="W3207" s="6"/>
    </row>
    <row r="3208" spans="13:23">
      <c r="M3208" s="9"/>
      <c r="W3208" s="6"/>
    </row>
    <row r="3209" spans="13:23">
      <c r="M3209" s="9"/>
      <c r="W3209" s="6"/>
    </row>
    <row r="3210" spans="13:23">
      <c r="M3210" s="9"/>
      <c r="W3210" s="6"/>
    </row>
    <row r="3211" spans="13:23">
      <c r="M3211" s="9"/>
      <c r="W3211" s="6"/>
    </row>
    <row r="3212" spans="13:23">
      <c r="M3212" s="9"/>
      <c r="W3212" s="6"/>
    </row>
    <row r="3213" spans="13:23">
      <c r="M3213" s="9"/>
      <c r="W3213" s="6"/>
    </row>
    <row r="3214" spans="13:23">
      <c r="M3214" s="9"/>
      <c r="W3214" s="6"/>
    </row>
    <row r="3215" spans="13:23">
      <c r="M3215" s="9"/>
      <c r="W3215" s="6"/>
    </row>
    <row r="3216" spans="13:23">
      <c r="M3216" s="9"/>
      <c r="W3216" s="6"/>
    </row>
    <row r="3217" spans="13:23">
      <c r="M3217" s="9"/>
      <c r="W3217" s="6"/>
    </row>
    <row r="3250" spans="25:27" s="5" customFormat="1">
      <c r="Y3250" s="1"/>
      <c r="Z3250" s="1"/>
      <c r="AA3250" s="1"/>
    </row>
    <row r="3257" spans="25:27" s="5" customFormat="1">
      <c r="Y3257" s="1"/>
      <c r="Z3257" s="1"/>
      <c r="AA3257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57"/>
  <sheetViews>
    <sheetView topLeftCell="Q1" workbookViewId="0">
      <selection activeCell="H2" sqref="H2"/>
    </sheetView>
  </sheetViews>
  <sheetFormatPr defaultRowHeight="16.5"/>
  <cols>
    <col min="1" max="1" width="9.25" style="1" bestFit="1" customWidth="1"/>
    <col min="2" max="3" width="17.875" style="1" customWidth="1"/>
    <col min="4" max="4" width="18.875" style="1" customWidth="1"/>
    <col min="5" max="5" width="34.625" style="1" bestFit="1" customWidth="1"/>
    <col min="6" max="6" width="23.875" style="1" bestFit="1" customWidth="1"/>
    <col min="7" max="7" width="17.125" style="1" customWidth="1"/>
    <col min="8" max="9" width="15" style="1" customWidth="1"/>
    <col min="10" max="10" width="16.5" style="1" customWidth="1"/>
    <col min="11" max="11" width="20.625" style="1" customWidth="1"/>
    <col min="12" max="13" width="15.875" style="1" customWidth="1"/>
    <col min="14" max="15" width="10.75" style="1" customWidth="1"/>
    <col min="16" max="16" width="12.375" style="1" customWidth="1"/>
    <col min="17" max="17" width="15.125" style="1" customWidth="1"/>
    <col min="18" max="18" width="13.125" style="1" customWidth="1"/>
    <col min="19" max="19" width="16.625" style="1" bestFit="1" customWidth="1"/>
    <col min="20" max="20" width="16.625" style="1" customWidth="1"/>
    <col min="21" max="21" width="16.5" style="1" customWidth="1"/>
    <col min="22" max="22" width="14.875" style="1" customWidth="1"/>
    <col min="23" max="23" width="15.125" style="1" customWidth="1"/>
    <col min="24" max="24" width="19.375" style="1" customWidth="1"/>
    <col min="25" max="27" width="19.75" style="1" customWidth="1"/>
    <col min="28" max="28" width="19.375" style="1" bestFit="1" customWidth="1"/>
    <col min="29" max="29" width="17.75" style="1" customWidth="1"/>
    <col min="30" max="16384" width="9" style="1"/>
  </cols>
  <sheetData>
    <row r="1" spans="1:27" ht="57" customHeight="1">
      <c r="A1" s="2" t="s">
        <v>0</v>
      </c>
      <c r="B1" s="2" t="s">
        <v>1</v>
      </c>
      <c r="C1" s="2" t="s">
        <v>22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23</v>
      </c>
      <c r="K1" s="2" t="s">
        <v>7</v>
      </c>
      <c r="L1" s="2" t="s">
        <v>8</v>
      </c>
      <c r="M1" s="2" t="s">
        <v>9</v>
      </c>
      <c r="N1" s="2" t="s">
        <v>21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24</v>
      </c>
      <c r="AA1" s="3" t="s">
        <v>25</v>
      </c>
    </row>
    <row r="2" spans="1:27">
      <c r="B2" s="11">
        <v>73000</v>
      </c>
      <c r="D2" s="4" t="s">
        <v>26</v>
      </c>
      <c r="E2" s="4" t="s">
        <v>116</v>
      </c>
      <c r="F2" s="11"/>
      <c r="M2" s="9"/>
      <c r="W2" s="12">
        <v>177907.52</v>
      </c>
      <c r="AA2" s="11">
        <v>11010000</v>
      </c>
    </row>
    <row r="3" spans="1:27">
      <c r="B3" s="11">
        <v>73000</v>
      </c>
      <c r="D3" s="4" t="s">
        <v>26</v>
      </c>
      <c r="E3" s="4" t="s">
        <v>117</v>
      </c>
      <c r="F3" s="11"/>
      <c r="M3" s="9"/>
      <c r="W3" s="12">
        <v>3495495.09</v>
      </c>
      <c r="AA3" s="11">
        <v>11010000</v>
      </c>
    </row>
    <row r="4" spans="1:27">
      <c r="B4" s="11">
        <v>73000</v>
      </c>
      <c r="D4" s="4" t="s">
        <v>26</v>
      </c>
      <c r="E4" s="4" t="s">
        <v>118</v>
      </c>
      <c r="F4" s="11"/>
      <c r="M4" s="9"/>
      <c r="W4" s="12">
        <v>128000</v>
      </c>
      <c r="AA4" s="11">
        <v>11010000</v>
      </c>
    </row>
    <row r="5" spans="1:27">
      <c r="B5" s="11">
        <v>73000</v>
      </c>
      <c r="D5" s="4" t="s">
        <v>26</v>
      </c>
      <c r="E5" s="4" t="s">
        <v>119</v>
      </c>
      <c r="F5" s="11"/>
      <c r="M5" s="9"/>
      <c r="W5" s="12">
        <v>241781.97999999998</v>
      </c>
      <c r="AA5" s="11">
        <v>11010000</v>
      </c>
    </row>
    <row r="6" spans="1:27">
      <c r="B6" s="11">
        <v>73000</v>
      </c>
      <c r="D6" s="4" t="s">
        <v>26</v>
      </c>
      <c r="E6" s="4" t="s">
        <v>120</v>
      </c>
      <c r="F6" s="11"/>
      <c r="M6" s="9"/>
      <c r="W6" s="12">
        <v>93950.58</v>
      </c>
      <c r="AA6" s="11">
        <v>11010000</v>
      </c>
    </row>
    <row r="7" spans="1:27">
      <c r="B7" s="11">
        <v>73000</v>
      </c>
      <c r="D7" s="4" t="s">
        <v>26</v>
      </c>
      <c r="E7" s="4" t="s">
        <v>121</v>
      </c>
      <c r="F7" s="11"/>
      <c r="M7" s="9"/>
      <c r="W7" s="12">
        <v>3957642.86</v>
      </c>
      <c r="AA7" s="11">
        <v>11010000</v>
      </c>
    </row>
    <row r="8" spans="1:27">
      <c r="B8" s="11">
        <v>73000</v>
      </c>
      <c r="D8" s="4" t="s">
        <v>26</v>
      </c>
      <c r="E8" s="4" t="s">
        <v>122</v>
      </c>
      <c r="F8" s="11"/>
      <c r="M8" s="9"/>
      <c r="W8" s="12">
        <v>-987.74</v>
      </c>
      <c r="AA8" s="11">
        <v>11010000</v>
      </c>
    </row>
    <row r="9" spans="1:27">
      <c r="B9" s="11">
        <v>73000</v>
      </c>
      <c r="D9" s="4" t="s">
        <v>78</v>
      </c>
      <c r="E9" s="4" t="s">
        <v>123</v>
      </c>
      <c r="F9" s="11"/>
      <c r="M9" s="9"/>
      <c r="W9" s="12">
        <v>-34044.599999999511</v>
      </c>
      <c r="AA9" s="11">
        <v>12010000</v>
      </c>
    </row>
    <row r="10" spans="1:27">
      <c r="B10" s="11">
        <v>73000</v>
      </c>
      <c r="D10" s="4" t="s">
        <v>78</v>
      </c>
      <c r="E10" s="4" t="s">
        <v>124</v>
      </c>
      <c r="F10" s="11"/>
      <c r="M10" s="9"/>
      <c r="W10" s="12">
        <v>1908234.15</v>
      </c>
      <c r="AA10" s="11">
        <v>12010000</v>
      </c>
    </row>
    <row r="11" spans="1:27">
      <c r="B11" s="11">
        <v>73000</v>
      </c>
      <c r="D11" s="4" t="s">
        <v>83</v>
      </c>
      <c r="E11" s="4" t="s">
        <v>125</v>
      </c>
      <c r="F11" s="11"/>
      <c r="M11" s="9"/>
      <c r="W11" s="12">
        <v>557400.05000000005</v>
      </c>
      <c r="AA11" s="11">
        <v>14060000</v>
      </c>
    </row>
    <row r="12" spans="1:27">
      <c r="B12" s="11">
        <v>73000</v>
      </c>
      <c r="D12" s="4" t="s">
        <v>83</v>
      </c>
      <c r="E12" s="4" t="s">
        <v>126</v>
      </c>
      <c r="F12" s="11"/>
      <c r="M12" s="9"/>
      <c r="W12" s="12">
        <v>784362.97</v>
      </c>
      <c r="AA12" s="11">
        <v>14020000</v>
      </c>
    </row>
    <row r="13" spans="1:27">
      <c r="B13" s="11">
        <v>73000</v>
      </c>
      <c r="D13" s="4" t="s">
        <v>83</v>
      </c>
      <c r="E13" s="4" t="s">
        <v>127</v>
      </c>
      <c r="F13" s="11"/>
      <c r="M13" s="9"/>
      <c r="W13" s="12">
        <v>385456.98</v>
      </c>
      <c r="AA13" s="11">
        <v>14090000</v>
      </c>
    </row>
    <row r="14" spans="1:27">
      <c r="B14" s="11">
        <v>73000</v>
      </c>
      <c r="D14" s="4" t="s">
        <v>83</v>
      </c>
      <c r="E14" s="4" t="s">
        <v>128</v>
      </c>
      <c r="F14" s="11"/>
      <c r="M14" s="9"/>
      <c r="W14" s="12">
        <v>263947.59999999998</v>
      </c>
      <c r="AA14" s="11">
        <v>14090000</v>
      </c>
    </row>
    <row r="15" spans="1:27">
      <c r="B15" s="11">
        <v>73000</v>
      </c>
      <c r="D15" s="4" t="s">
        <v>83</v>
      </c>
      <c r="E15" s="4" t="s">
        <v>129</v>
      </c>
      <c r="F15" s="11"/>
      <c r="M15" s="9"/>
      <c r="W15" s="12">
        <v>8259056.8499999996</v>
      </c>
      <c r="AA15" s="11">
        <v>14020000</v>
      </c>
    </row>
    <row r="16" spans="1:27">
      <c r="B16" s="11">
        <v>73000</v>
      </c>
      <c r="D16" s="4" t="s">
        <v>83</v>
      </c>
      <c r="E16" s="4" t="s">
        <v>130</v>
      </c>
      <c r="F16" s="11"/>
      <c r="M16" s="9"/>
      <c r="W16" s="12">
        <v>1207934.57</v>
      </c>
      <c r="AA16" s="11">
        <v>14020000</v>
      </c>
    </row>
    <row r="17" spans="2:27">
      <c r="B17" s="11">
        <v>73000</v>
      </c>
      <c r="D17" s="4" t="s">
        <v>83</v>
      </c>
      <c r="E17" s="4" t="s">
        <v>131</v>
      </c>
      <c r="F17" s="11"/>
      <c r="M17" s="9"/>
      <c r="W17" s="12">
        <v>13465</v>
      </c>
      <c r="AA17" s="11">
        <v>14090000</v>
      </c>
    </row>
    <row r="18" spans="2:27">
      <c r="B18" s="11">
        <v>73000</v>
      </c>
      <c r="D18" s="4" t="s">
        <v>83</v>
      </c>
      <c r="E18" s="4" t="s">
        <v>132</v>
      </c>
      <c r="F18" s="11"/>
      <c r="M18" s="9"/>
      <c r="W18" s="12">
        <v>13652.5</v>
      </c>
      <c r="AA18" s="11">
        <v>14090000</v>
      </c>
    </row>
    <row r="19" spans="2:27">
      <c r="B19" s="11">
        <v>73000</v>
      </c>
      <c r="D19" s="4" t="s">
        <v>83</v>
      </c>
      <c r="E19" s="4" t="s">
        <v>133</v>
      </c>
      <c r="F19" s="11"/>
      <c r="M19" s="9"/>
      <c r="W19" s="12">
        <v>2500</v>
      </c>
      <c r="AA19" s="11">
        <v>14040000</v>
      </c>
    </row>
    <row r="20" spans="2:27">
      <c r="B20" s="11">
        <v>73000</v>
      </c>
      <c r="D20" s="4" t="s">
        <v>83</v>
      </c>
      <c r="E20" s="4" t="s">
        <v>134</v>
      </c>
      <c r="F20" s="11"/>
      <c r="M20" s="9"/>
      <c r="W20" s="12">
        <v>72633.75</v>
      </c>
      <c r="AA20" s="11">
        <v>14020000</v>
      </c>
    </row>
    <row r="21" spans="2:27">
      <c r="B21" s="11">
        <v>73000</v>
      </c>
      <c r="D21" s="4" t="s">
        <v>83</v>
      </c>
      <c r="E21" s="4" t="s">
        <v>135</v>
      </c>
      <c r="F21" s="11"/>
      <c r="M21" s="9"/>
      <c r="W21" s="12">
        <v>12905.35</v>
      </c>
      <c r="AA21" s="11">
        <v>14020000</v>
      </c>
    </row>
    <row r="22" spans="2:27">
      <c r="B22" s="11">
        <v>73000</v>
      </c>
      <c r="D22" s="4" t="s">
        <v>83</v>
      </c>
      <c r="E22" s="4" t="s">
        <v>136</v>
      </c>
      <c r="F22" s="11"/>
      <c r="M22" s="9"/>
      <c r="W22" s="12">
        <v>25791.200000000001</v>
      </c>
      <c r="AA22" s="11">
        <v>14020000</v>
      </c>
    </row>
    <row r="23" spans="2:27">
      <c r="B23" s="11">
        <v>73000</v>
      </c>
      <c r="D23" s="4" t="s">
        <v>83</v>
      </c>
      <c r="E23" s="4" t="s">
        <v>137</v>
      </c>
      <c r="F23" s="11"/>
      <c r="M23" s="9"/>
      <c r="W23" s="12">
        <v>21411</v>
      </c>
      <c r="AA23" s="11">
        <v>14060000</v>
      </c>
    </row>
    <row r="24" spans="2:27">
      <c r="B24" s="11">
        <v>73000</v>
      </c>
      <c r="D24" s="4" t="s">
        <v>83</v>
      </c>
      <c r="E24" s="4" t="s">
        <v>138</v>
      </c>
      <c r="F24" s="11"/>
      <c r="M24" s="9"/>
      <c r="W24" s="12">
        <v>-39326.049999998882</v>
      </c>
      <c r="AA24" s="11">
        <v>14020000</v>
      </c>
    </row>
    <row r="25" spans="2:27">
      <c r="B25" s="11">
        <v>73000</v>
      </c>
      <c r="D25" s="4" t="s">
        <v>83</v>
      </c>
      <c r="E25" s="4" t="s">
        <v>138</v>
      </c>
      <c r="F25" s="11"/>
      <c r="M25" s="9"/>
      <c r="W25" s="12">
        <v>39326.04999999993</v>
      </c>
      <c r="AA25" s="11">
        <v>14060000</v>
      </c>
    </row>
    <row r="26" spans="2:27">
      <c r="B26" s="11">
        <v>73000</v>
      </c>
      <c r="D26" s="4" t="s">
        <v>83</v>
      </c>
      <c r="E26" s="4" t="s">
        <v>139</v>
      </c>
      <c r="F26" s="11"/>
      <c r="M26" s="9"/>
      <c r="W26" s="12">
        <v>554660.06000000006</v>
      </c>
      <c r="AA26" s="11">
        <v>14030000</v>
      </c>
    </row>
    <row r="27" spans="2:27">
      <c r="B27" s="11">
        <v>73000</v>
      </c>
      <c r="D27" s="4" t="s">
        <v>83</v>
      </c>
      <c r="E27" s="4" t="s">
        <v>140</v>
      </c>
      <c r="F27" s="11"/>
      <c r="M27" s="9"/>
      <c r="W27" s="12">
        <v>575731.70000000007</v>
      </c>
      <c r="AA27" s="11">
        <v>14030000</v>
      </c>
    </row>
    <row r="28" spans="2:27">
      <c r="B28" s="11">
        <v>73000</v>
      </c>
      <c r="D28" s="4" t="s">
        <v>83</v>
      </c>
      <c r="E28" s="4" t="s">
        <v>141</v>
      </c>
      <c r="F28" s="11"/>
      <c r="M28" s="9"/>
      <c r="W28" s="12">
        <v>186</v>
      </c>
      <c r="AA28" s="11">
        <v>14030000</v>
      </c>
    </row>
    <row r="29" spans="2:27">
      <c r="B29" s="11">
        <v>73000</v>
      </c>
      <c r="D29" s="4" t="s">
        <v>83</v>
      </c>
      <c r="E29" s="4" t="s">
        <v>142</v>
      </c>
      <c r="F29" s="11"/>
      <c r="M29" s="9"/>
      <c r="W29" s="12">
        <v>13687.2</v>
      </c>
      <c r="AA29" s="11">
        <v>14030000</v>
      </c>
    </row>
    <row r="30" spans="2:27">
      <c r="B30" s="11">
        <v>73000</v>
      </c>
      <c r="D30" s="4" t="s">
        <v>95</v>
      </c>
      <c r="E30" s="4" t="s">
        <v>143</v>
      </c>
      <c r="F30" s="11"/>
      <c r="M30" s="9"/>
      <c r="W30" s="12">
        <v>8226.9</v>
      </c>
      <c r="AA30" s="11">
        <v>17010000</v>
      </c>
    </row>
    <row r="31" spans="2:27">
      <c r="B31" s="11">
        <v>73000</v>
      </c>
      <c r="D31" s="4" t="s">
        <v>95</v>
      </c>
      <c r="E31" s="4" t="s">
        <v>144</v>
      </c>
      <c r="F31" s="11"/>
      <c r="M31" s="9"/>
      <c r="W31" s="12">
        <v>-5724.79</v>
      </c>
      <c r="AA31" s="11">
        <v>17010000</v>
      </c>
    </row>
    <row r="32" spans="2:27">
      <c r="B32" s="11">
        <v>73000</v>
      </c>
      <c r="D32" s="4" t="s">
        <v>95</v>
      </c>
      <c r="E32" s="4" t="s">
        <v>145</v>
      </c>
      <c r="F32" s="11"/>
      <c r="M32" s="9"/>
      <c r="W32" s="12">
        <v>-11411.8</v>
      </c>
      <c r="AA32" s="11">
        <v>17010000</v>
      </c>
    </row>
    <row r="33" spans="2:27">
      <c r="B33" s="11">
        <v>73000</v>
      </c>
      <c r="D33" s="4" t="s">
        <v>95</v>
      </c>
      <c r="E33" s="4" t="s">
        <v>145</v>
      </c>
      <c r="F33" s="11"/>
      <c r="M33" s="9"/>
      <c r="W33" s="12">
        <v>-10087.120000000001</v>
      </c>
      <c r="AA33" s="11">
        <v>17010000</v>
      </c>
    </row>
    <row r="34" spans="2:27">
      <c r="B34" s="11">
        <v>73000</v>
      </c>
      <c r="D34" s="4" t="s">
        <v>95</v>
      </c>
      <c r="E34" s="4" t="s">
        <v>146</v>
      </c>
      <c r="F34" s="11"/>
      <c r="M34" s="9"/>
      <c r="W34" s="12">
        <v>-7658.23</v>
      </c>
      <c r="AA34" s="11">
        <v>17010000</v>
      </c>
    </row>
    <row r="35" spans="2:27">
      <c r="B35" s="11">
        <v>73000</v>
      </c>
      <c r="D35" s="4" t="s">
        <v>95</v>
      </c>
      <c r="E35" s="4" t="s">
        <v>146</v>
      </c>
      <c r="M35" s="9"/>
      <c r="W35" s="12">
        <v>-704.37</v>
      </c>
      <c r="AA35" s="11">
        <v>17010000</v>
      </c>
    </row>
    <row r="36" spans="2:27">
      <c r="B36" s="11">
        <v>73000</v>
      </c>
      <c r="D36" s="4" t="s">
        <v>95</v>
      </c>
      <c r="E36" s="4" t="s">
        <v>147</v>
      </c>
      <c r="M36" s="9"/>
      <c r="W36" s="12">
        <v>-4424.3599999999997</v>
      </c>
      <c r="AA36" s="11">
        <v>17010000</v>
      </c>
    </row>
    <row r="37" spans="2:27">
      <c r="B37" s="11">
        <v>73000</v>
      </c>
      <c r="D37" s="4" t="s">
        <v>95</v>
      </c>
      <c r="E37" s="4" t="s">
        <v>148</v>
      </c>
      <c r="M37" s="9"/>
      <c r="W37" s="12">
        <v>7080</v>
      </c>
      <c r="AA37" s="11">
        <v>17010000</v>
      </c>
    </row>
    <row r="38" spans="2:27">
      <c r="B38" s="11">
        <v>73000</v>
      </c>
      <c r="D38" s="4" t="s">
        <v>95</v>
      </c>
      <c r="E38" s="4" t="s">
        <v>149</v>
      </c>
      <c r="M38" s="9"/>
      <c r="W38" s="12">
        <v>5002.28</v>
      </c>
      <c r="AA38" s="11">
        <v>17010000</v>
      </c>
    </row>
    <row r="39" spans="2:27">
      <c r="B39" s="11">
        <v>73000</v>
      </c>
      <c r="D39" s="4" t="s">
        <v>95</v>
      </c>
      <c r="E39" s="4" t="s">
        <v>150</v>
      </c>
      <c r="M39" s="9"/>
      <c r="W39" s="12">
        <v>-202.84</v>
      </c>
      <c r="AA39" s="11">
        <v>17010000</v>
      </c>
    </row>
    <row r="40" spans="2:27">
      <c r="B40" s="11">
        <v>73000</v>
      </c>
      <c r="D40" s="4" t="s">
        <v>95</v>
      </c>
      <c r="E40" s="4" t="s">
        <v>151</v>
      </c>
      <c r="M40" s="9"/>
      <c r="W40" s="12">
        <v>2500</v>
      </c>
      <c r="AA40" s="11">
        <v>17010000</v>
      </c>
    </row>
    <row r="41" spans="2:27">
      <c r="B41" s="11">
        <v>73000</v>
      </c>
      <c r="D41" s="4" t="s">
        <v>106</v>
      </c>
      <c r="E41" s="4" t="s">
        <v>152</v>
      </c>
      <c r="M41" s="9"/>
      <c r="W41" s="12">
        <v>-1140159.5</v>
      </c>
      <c r="AA41" s="11">
        <v>13030000</v>
      </c>
    </row>
    <row r="42" spans="2:27">
      <c r="B42" s="11">
        <v>73000</v>
      </c>
      <c r="D42" s="4" t="s">
        <v>106</v>
      </c>
      <c r="E42" s="4" t="s">
        <v>152</v>
      </c>
      <c r="M42" s="9"/>
      <c r="W42" s="12">
        <v>514464</v>
      </c>
      <c r="AA42" s="11">
        <v>13070000</v>
      </c>
    </row>
    <row r="43" spans="2:27">
      <c r="B43" s="11">
        <v>73000</v>
      </c>
      <c r="D43" s="4" t="s">
        <v>106</v>
      </c>
      <c r="E43" s="4" t="s">
        <v>152</v>
      </c>
      <c r="M43" s="9"/>
      <c r="W43" s="12">
        <v>625695.5</v>
      </c>
      <c r="AA43" s="11">
        <v>13010000</v>
      </c>
    </row>
    <row r="44" spans="2:27">
      <c r="B44" s="11">
        <v>73000</v>
      </c>
      <c r="D44" s="4" t="s">
        <v>106</v>
      </c>
      <c r="E44" s="4" t="s">
        <v>153</v>
      </c>
      <c r="M44" s="9"/>
      <c r="W44" s="12">
        <v>2048247.4000000001</v>
      </c>
      <c r="AA44" s="11">
        <v>13020000</v>
      </c>
    </row>
    <row r="45" spans="2:27">
      <c r="B45" s="11">
        <v>73000</v>
      </c>
      <c r="D45" s="4" t="s">
        <v>106</v>
      </c>
      <c r="E45" s="4" t="s">
        <v>154</v>
      </c>
      <c r="M45" s="9"/>
      <c r="W45" s="12">
        <v>1852820.25</v>
      </c>
      <c r="AA45" s="11">
        <v>13090000</v>
      </c>
    </row>
    <row r="46" spans="2:27">
      <c r="B46" s="11">
        <v>73000</v>
      </c>
      <c r="D46" s="4" t="s">
        <v>106</v>
      </c>
      <c r="E46" s="4" t="s">
        <v>155</v>
      </c>
      <c r="M46" s="9"/>
      <c r="W46" s="12">
        <v>51048.45</v>
      </c>
      <c r="AA46" s="11">
        <v>13030000</v>
      </c>
    </row>
    <row r="47" spans="2:27">
      <c r="B47" s="11">
        <v>73000</v>
      </c>
      <c r="D47" s="4" t="s">
        <v>106</v>
      </c>
      <c r="E47" s="4" t="s">
        <v>156</v>
      </c>
      <c r="M47" s="9"/>
      <c r="W47" s="12">
        <v>-45976.989999999991</v>
      </c>
      <c r="AA47" s="11">
        <v>13100000</v>
      </c>
    </row>
    <row r="48" spans="2:27">
      <c r="B48" s="11">
        <v>73000</v>
      </c>
      <c r="D48" s="4" t="s">
        <v>106</v>
      </c>
      <c r="E48" s="4" t="s">
        <v>157</v>
      </c>
      <c r="M48" s="9"/>
      <c r="W48" s="12">
        <v>-15558</v>
      </c>
      <c r="AA48" s="11">
        <v>13080000</v>
      </c>
    </row>
    <row r="49" spans="2:27">
      <c r="B49" s="11">
        <v>73000</v>
      </c>
      <c r="D49" s="4" t="s">
        <v>106</v>
      </c>
      <c r="E49" s="4" t="s">
        <v>158</v>
      </c>
      <c r="M49" s="9"/>
      <c r="W49" s="12">
        <v>-4300</v>
      </c>
      <c r="AA49" s="11">
        <v>13080000</v>
      </c>
    </row>
    <row r="50" spans="2:27">
      <c r="B50" s="11">
        <v>73000</v>
      </c>
      <c r="D50" s="4" t="s">
        <v>106</v>
      </c>
      <c r="E50" s="4" t="s">
        <v>159</v>
      </c>
      <c r="M50" s="9"/>
      <c r="W50" s="12">
        <v>-262250.5</v>
      </c>
      <c r="AA50" s="11">
        <v>13030000</v>
      </c>
    </row>
    <row r="51" spans="2:27">
      <c r="B51" s="11">
        <v>73000</v>
      </c>
      <c r="D51" s="4" t="s">
        <v>106</v>
      </c>
      <c r="E51" s="4" t="s">
        <v>160</v>
      </c>
      <c r="M51" s="9"/>
      <c r="W51" s="12">
        <v>146410.32999999999</v>
      </c>
      <c r="AA51" s="11">
        <v>13030000</v>
      </c>
    </row>
    <row r="52" spans="2:27">
      <c r="B52" s="11">
        <v>73000</v>
      </c>
      <c r="D52" s="4" t="s">
        <v>106</v>
      </c>
      <c r="E52" s="4" t="s">
        <v>161</v>
      </c>
      <c r="M52" s="9"/>
      <c r="W52" s="12">
        <v>1581585.98</v>
      </c>
      <c r="AA52" s="11">
        <v>13040000</v>
      </c>
    </row>
    <row r="53" spans="2:27">
      <c r="B53" s="11">
        <v>73000</v>
      </c>
      <c r="D53" s="4" t="s">
        <v>106</v>
      </c>
      <c r="E53" s="4" t="s">
        <v>162</v>
      </c>
      <c r="M53" s="9"/>
      <c r="W53" s="12">
        <v>-74323.2984</v>
      </c>
      <c r="AA53" s="11">
        <v>13030000</v>
      </c>
    </row>
    <row r="54" spans="2:27">
      <c r="B54" s="11">
        <v>73000</v>
      </c>
      <c r="D54" s="4" t="s">
        <v>106</v>
      </c>
      <c r="E54" s="4" t="s">
        <v>163</v>
      </c>
      <c r="M54" s="9"/>
      <c r="W54" s="12">
        <v>118210.53</v>
      </c>
      <c r="AA54" s="11">
        <v>13030000</v>
      </c>
    </row>
    <row r="55" spans="2:27">
      <c r="B55" s="11">
        <v>73000</v>
      </c>
      <c r="D55" s="4" t="s">
        <v>106</v>
      </c>
      <c r="E55" s="4" t="s">
        <v>164</v>
      </c>
      <c r="M55" s="9"/>
      <c r="W55" s="12">
        <v>-389660.80000000022</v>
      </c>
      <c r="AA55" s="11">
        <v>13030000</v>
      </c>
    </row>
    <row r="56" spans="2:27">
      <c r="B56" s="11">
        <v>73000</v>
      </c>
      <c r="D56" s="4" t="s">
        <v>106</v>
      </c>
      <c r="E56" s="4" t="s">
        <v>165</v>
      </c>
      <c r="M56" s="9"/>
      <c r="W56" s="12">
        <v>889632.89999999991</v>
      </c>
      <c r="AA56" s="11">
        <v>13090000</v>
      </c>
    </row>
    <row r="57" spans="2:27">
      <c r="B57" s="11">
        <v>73000</v>
      </c>
      <c r="D57" s="4" t="s">
        <v>106</v>
      </c>
      <c r="E57" s="4" t="s">
        <v>166</v>
      </c>
      <c r="M57" s="9"/>
      <c r="W57" s="12">
        <v>4821173.5999999996</v>
      </c>
      <c r="AA57" s="11">
        <v>13030000</v>
      </c>
    </row>
    <row r="58" spans="2:27">
      <c r="B58" s="11">
        <v>73000</v>
      </c>
      <c r="D58" s="4" t="s">
        <v>106</v>
      </c>
      <c r="E58" s="4" t="s">
        <v>167</v>
      </c>
      <c r="M58" s="9"/>
      <c r="W58" s="12">
        <v>303837.05</v>
      </c>
      <c r="AA58" s="11">
        <v>13030000</v>
      </c>
    </row>
    <row r="59" spans="2:27">
      <c r="B59" s="11">
        <v>73000</v>
      </c>
      <c r="D59" s="4" t="s">
        <v>106</v>
      </c>
      <c r="E59" s="4" t="s">
        <v>168</v>
      </c>
      <c r="M59" s="9"/>
      <c r="W59" s="12">
        <v>580221</v>
      </c>
      <c r="AA59" s="11">
        <v>13070000</v>
      </c>
    </row>
    <row r="60" spans="2:27">
      <c r="B60" s="11">
        <v>73000</v>
      </c>
      <c r="D60" s="4" t="s">
        <v>106</v>
      </c>
      <c r="E60" s="4" t="s">
        <v>169</v>
      </c>
      <c r="M60" s="9"/>
      <c r="W60" s="12">
        <v>901001.69</v>
      </c>
      <c r="AA60" s="11">
        <v>13080000</v>
      </c>
    </row>
    <row r="61" spans="2:27">
      <c r="B61" s="11">
        <v>73000</v>
      </c>
      <c r="D61" s="4" t="s">
        <v>106</v>
      </c>
      <c r="E61" s="4" t="s">
        <v>170</v>
      </c>
      <c r="M61" s="9"/>
      <c r="W61" s="12">
        <v>803919.77</v>
      </c>
      <c r="AA61" s="11">
        <v>13050000</v>
      </c>
    </row>
    <row r="62" spans="2:27">
      <c r="B62" s="11">
        <v>73000</v>
      </c>
      <c r="D62" s="4" t="s">
        <v>106</v>
      </c>
      <c r="E62" s="4" t="s">
        <v>171</v>
      </c>
      <c r="M62" s="9"/>
      <c r="W62" s="12">
        <v>198590</v>
      </c>
      <c r="AA62" s="11">
        <v>13050000</v>
      </c>
    </row>
    <row r="63" spans="2:27">
      <c r="B63" s="11">
        <v>73000</v>
      </c>
      <c r="D63" s="4" t="s">
        <v>106</v>
      </c>
      <c r="E63" s="4" t="s">
        <v>172</v>
      </c>
      <c r="M63" s="9"/>
      <c r="W63" s="12">
        <v>118049.4</v>
      </c>
      <c r="AA63" s="11">
        <v>13050000</v>
      </c>
    </row>
    <row r="64" spans="2:27">
      <c r="B64" s="11">
        <v>73000</v>
      </c>
      <c r="D64" s="4" t="s">
        <v>106</v>
      </c>
      <c r="E64" s="4" t="s">
        <v>173</v>
      </c>
      <c r="M64" s="9"/>
      <c r="W64" s="12">
        <v>47335</v>
      </c>
      <c r="AA64" s="11">
        <v>13060000</v>
      </c>
    </row>
    <row r="65" spans="2:27">
      <c r="B65" s="11">
        <v>73000</v>
      </c>
      <c r="D65" s="4" t="s">
        <v>106</v>
      </c>
      <c r="E65" s="4" t="s">
        <v>174</v>
      </c>
      <c r="M65" s="9"/>
      <c r="W65" s="12">
        <v>17215.75</v>
      </c>
      <c r="AA65" s="11">
        <v>13060000</v>
      </c>
    </row>
    <row r="66" spans="2:27">
      <c r="B66" s="11">
        <v>73000</v>
      </c>
      <c r="D66" s="4" t="s">
        <v>106</v>
      </c>
      <c r="E66" s="4" t="s">
        <v>175</v>
      </c>
      <c r="M66" s="9"/>
      <c r="W66" s="12">
        <v>8600</v>
      </c>
      <c r="AA66" s="11">
        <v>13110000</v>
      </c>
    </row>
    <row r="67" spans="2:27">
      <c r="B67" s="11">
        <v>73000</v>
      </c>
      <c r="D67" s="4" t="s">
        <v>106</v>
      </c>
      <c r="E67" s="4" t="s">
        <v>176</v>
      </c>
      <c r="M67" s="9"/>
      <c r="W67" s="12">
        <v>538117.05000000005</v>
      </c>
      <c r="AA67" s="11">
        <v>13020000</v>
      </c>
    </row>
    <row r="68" spans="2:27">
      <c r="B68" s="11">
        <v>73000</v>
      </c>
      <c r="D68" s="4" t="s">
        <v>106</v>
      </c>
      <c r="E68" s="4" t="s">
        <v>177</v>
      </c>
      <c r="M68" s="9"/>
      <c r="W68" s="12">
        <v>25050</v>
      </c>
      <c r="AA68" s="11">
        <v>13020000</v>
      </c>
    </row>
    <row r="69" spans="2:27">
      <c r="B69" s="11">
        <v>73000</v>
      </c>
      <c r="D69" s="4" t="s">
        <v>106</v>
      </c>
      <c r="E69" s="4" t="s">
        <v>178</v>
      </c>
      <c r="M69" s="9"/>
      <c r="W69" s="12">
        <v>74380</v>
      </c>
      <c r="AA69" s="11">
        <v>13060000</v>
      </c>
    </row>
    <row r="70" spans="2:27">
      <c r="B70" s="11">
        <v>73000</v>
      </c>
      <c r="D70" s="4" t="s">
        <v>106</v>
      </c>
      <c r="E70" s="4" t="s">
        <v>179</v>
      </c>
      <c r="M70" s="9"/>
      <c r="W70" s="12">
        <v>85518</v>
      </c>
      <c r="AA70" s="11">
        <v>13050000</v>
      </c>
    </row>
    <row r="71" spans="2:27">
      <c r="B71" s="11">
        <v>73000</v>
      </c>
      <c r="D71" s="4" t="s">
        <v>106</v>
      </c>
      <c r="E71" s="4" t="s">
        <v>180</v>
      </c>
      <c r="M71" s="9"/>
      <c r="W71" s="12">
        <v>29103</v>
      </c>
      <c r="AA71" s="11">
        <v>13090000</v>
      </c>
    </row>
    <row r="72" spans="2:27">
      <c r="B72" s="11">
        <v>73000</v>
      </c>
      <c r="D72" s="4" t="s">
        <v>106</v>
      </c>
      <c r="E72" s="4" t="s">
        <v>152</v>
      </c>
      <c r="M72" s="9"/>
      <c r="W72" s="12">
        <v>-10151</v>
      </c>
      <c r="AA72" s="11">
        <v>13030000</v>
      </c>
    </row>
    <row r="73" spans="2:27">
      <c r="B73" s="11"/>
      <c r="D73" s="4"/>
      <c r="E73" s="4"/>
      <c r="M73" s="9"/>
      <c r="W73" s="12"/>
      <c r="AA73" s="11"/>
    </row>
    <row r="74" spans="2:27">
      <c r="B74" s="11"/>
      <c r="D74" s="4"/>
      <c r="E74" s="4"/>
      <c r="M74" s="9"/>
      <c r="W74" s="12"/>
      <c r="AA74" s="11"/>
    </row>
    <row r="75" spans="2:27">
      <c r="B75" s="11"/>
      <c r="D75" s="4"/>
      <c r="E75" s="4"/>
      <c r="M75" s="9"/>
      <c r="W75" s="12"/>
      <c r="AA75" s="11"/>
    </row>
    <row r="76" spans="2:27">
      <c r="B76" s="11"/>
      <c r="D76" s="4"/>
      <c r="E76" s="4"/>
      <c r="M76" s="9"/>
      <c r="W76" s="12"/>
      <c r="AA76" s="11"/>
    </row>
    <row r="77" spans="2:27">
      <c r="B77" s="11"/>
      <c r="D77" s="4"/>
      <c r="E77" s="4"/>
      <c r="M77" s="9"/>
      <c r="W77" s="12"/>
      <c r="AA77" s="11"/>
    </row>
    <row r="78" spans="2:27">
      <c r="B78" s="11"/>
      <c r="D78" s="4"/>
      <c r="E78" s="4"/>
      <c r="M78" s="9"/>
      <c r="W78" s="12"/>
      <c r="AA78" s="11"/>
    </row>
    <row r="79" spans="2:27">
      <c r="B79" s="11"/>
      <c r="D79" s="4"/>
      <c r="E79" s="4"/>
      <c r="M79" s="9"/>
      <c r="W79" s="12"/>
      <c r="AA79" s="11"/>
    </row>
    <row r="80" spans="2:27">
      <c r="B80" s="11"/>
      <c r="D80" s="4"/>
      <c r="E80" s="4"/>
      <c r="M80" s="9"/>
      <c r="W80" s="12"/>
      <c r="AA80" s="11"/>
    </row>
    <row r="81" spans="2:27">
      <c r="B81" s="11"/>
      <c r="D81" s="4"/>
      <c r="E81" s="4"/>
      <c r="M81" s="9"/>
      <c r="W81" s="12"/>
      <c r="AA81" s="11"/>
    </row>
    <row r="82" spans="2:27">
      <c r="B82" s="11"/>
      <c r="D82" s="4"/>
      <c r="E82" s="4"/>
      <c r="M82" s="9"/>
      <c r="W82" s="12"/>
      <c r="AA82" s="11"/>
    </row>
    <row r="83" spans="2:27">
      <c r="B83" s="11"/>
      <c r="D83" s="4"/>
      <c r="E83" s="4"/>
      <c r="M83" s="9"/>
      <c r="W83" s="12"/>
      <c r="AA83" s="11"/>
    </row>
    <row r="84" spans="2:27">
      <c r="B84" s="11"/>
      <c r="D84" s="4"/>
      <c r="E84" s="4"/>
      <c r="M84" s="9"/>
      <c r="W84" s="12"/>
      <c r="AA84" s="11"/>
    </row>
    <row r="85" spans="2:27">
      <c r="B85" s="11"/>
      <c r="D85" s="4"/>
      <c r="E85" s="4"/>
      <c r="M85" s="9"/>
      <c r="W85" s="12"/>
      <c r="AA85" s="11"/>
    </row>
    <row r="86" spans="2:27">
      <c r="B86" s="11"/>
      <c r="D86" s="4"/>
      <c r="E86" s="4"/>
      <c r="M86" s="9"/>
      <c r="W86" s="12"/>
      <c r="AA86" s="11"/>
    </row>
    <row r="87" spans="2:27">
      <c r="B87" s="11"/>
      <c r="D87" s="4"/>
      <c r="E87" s="4"/>
      <c r="M87" s="9"/>
      <c r="W87" s="12"/>
      <c r="AA87" s="11"/>
    </row>
    <row r="88" spans="2:27">
      <c r="B88" s="11"/>
      <c r="D88" s="4"/>
      <c r="E88" s="4"/>
      <c r="M88" s="9"/>
      <c r="W88" s="12"/>
      <c r="AA88" s="11"/>
    </row>
    <row r="89" spans="2:27">
      <c r="B89" s="11"/>
      <c r="D89" s="4"/>
      <c r="E89" s="4"/>
      <c r="M89" s="9"/>
      <c r="W89" s="12"/>
      <c r="AA89" s="11"/>
    </row>
    <row r="90" spans="2:27">
      <c r="B90" s="11"/>
      <c r="D90" s="4"/>
      <c r="E90" s="4"/>
      <c r="M90" s="9"/>
      <c r="W90" s="12"/>
      <c r="AA90" s="11"/>
    </row>
    <row r="91" spans="2:27">
      <c r="B91" s="11"/>
      <c r="D91" s="4"/>
      <c r="E91" s="4"/>
      <c r="M91" s="9"/>
      <c r="W91" s="12"/>
      <c r="AA91" s="11"/>
    </row>
    <row r="92" spans="2:27">
      <c r="B92" s="11"/>
      <c r="D92" s="4"/>
      <c r="E92" s="4"/>
      <c r="M92" s="9"/>
      <c r="W92" s="12"/>
      <c r="AA92" s="11"/>
    </row>
    <row r="93" spans="2:27">
      <c r="B93" s="11"/>
      <c r="D93" s="4"/>
      <c r="E93" s="4"/>
      <c r="M93" s="9"/>
      <c r="W93" s="12"/>
      <c r="AA93" s="11"/>
    </row>
    <row r="94" spans="2:27">
      <c r="B94" s="11"/>
      <c r="D94" s="4"/>
      <c r="E94" s="4"/>
      <c r="M94" s="9"/>
      <c r="W94" s="12"/>
      <c r="AA94" s="11"/>
    </row>
    <row r="95" spans="2:27">
      <c r="B95" s="11"/>
      <c r="D95" s="4"/>
      <c r="E95" s="4"/>
      <c r="M95" s="9"/>
      <c r="W95" s="12"/>
      <c r="AA95" s="11"/>
    </row>
    <row r="96" spans="2:27">
      <c r="B96" s="11"/>
      <c r="D96" s="4"/>
      <c r="E96" s="4"/>
      <c r="M96" s="9"/>
      <c r="W96" s="12"/>
      <c r="AA96" s="11"/>
    </row>
    <row r="97" spans="2:27">
      <c r="B97" s="11"/>
      <c r="D97" s="4"/>
      <c r="E97" s="4"/>
      <c r="M97" s="9"/>
      <c r="W97" s="12"/>
      <c r="AA97" s="11"/>
    </row>
    <row r="98" spans="2:27">
      <c r="B98" s="11"/>
      <c r="D98" s="4"/>
      <c r="E98" s="4"/>
      <c r="M98" s="9"/>
      <c r="W98" s="12"/>
      <c r="AA98" s="11"/>
    </row>
    <row r="99" spans="2:27">
      <c r="B99" s="11"/>
      <c r="D99" s="4"/>
      <c r="E99" s="4"/>
      <c r="M99" s="9"/>
      <c r="W99" s="12"/>
      <c r="AA99" s="11"/>
    </row>
    <row r="100" spans="2:27">
      <c r="B100" s="11"/>
      <c r="D100" s="4"/>
      <c r="E100" s="4"/>
      <c r="M100" s="9"/>
      <c r="W100" s="12"/>
      <c r="AA100" s="11"/>
    </row>
    <row r="101" spans="2:27">
      <c r="B101" s="11"/>
      <c r="D101" s="4"/>
      <c r="E101" s="4"/>
      <c r="M101" s="9"/>
      <c r="W101" s="12"/>
      <c r="AA101" s="11"/>
    </row>
    <row r="102" spans="2:27">
      <c r="B102" s="11"/>
      <c r="D102" s="4"/>
      <c r="E102" s="4"/>
      <c r="M102" s="9"/>
      <c r="W102" s="12"/>
      <c r="AA102" s="11"/>
    </row>
    <row r="103" spans="2:27">
      <c r="M103" s="9"/>
      <c r="W103" s="6"/>
    </row>
    <row r="104" spans="2:27">
      <c r="M104" s="9"/>
      <c r="W104" s="6"/>
    </row>
    <row r="105" spans="2:27">
      <c r="M105" s="9"/>
      <c r="W105" s="6"/>
    </row>
    <row r="106" spans="2:27">
      <c r="M106" s="9"/>
      <c r="W106" s="6"/>
    </row>
    <row r="107" spans="2:27">
      <c r="M107" s="9"/>
      <c r="W107" s="6"/>
    </row>
    <row r="108" spans="2:27">
      <c r="M108" s="9"/>
      <c r="W108" s="6"/>
    </row>
    <row r="109" spans="2:27">
      <c r="M109" s="9"/>
      <c r="W109" s="6"/>
    </row>
    <row r="110" spans="2:27">
      <c r="M110" s="9"/>
      <c r="W110" s="6"/>
    </row>
    <row r="111" spans="2:27">
      <c r="M111" s="9"/>
      <c r="W111" s="6"/>
    </row>
    <row r="112" spans="2:27">
      <c r="M112" s="9"/>
      <c r="W112" s="6"/>
    </row>
    <row r="113" spans="13:23">
      <c r="M113" s="9"/>
      <c r="W113" s="6"/>
    </row>
    <row r="114" spans="13:23">
      <c r="M114" s="9"/>
      <c r="W114" s="6"/>
    </row>
    <row r="115" spans="13:23">
      <c r="M115" s="9"/>
      <c r="W115" s="6"/>
    </row>
    <row r="116" spans="13:23">
      <c r="M116" s="9"/>
      <c r="W116" s="6"/>
    </row>
    <row r="117" spans="13:23">
      <c r="M117" s="9"/>
      <c r="W117" s="6"/>
    </row>
    <row r="118" spans="13:23">
      <c r="M118" s="9"/>
      <c r="W118" s="6"/>
    </row>
    <row r="119" spans="13:23">
      <c r="M119" s="9"/>
      <c r="W119" s="6"/>
    </row>
    <row r="120" spans="13:23">
      <c r="M120" s="9"/>
      <c r="W120" s="6"/>
    </row>
    <row r="121" spans="13:23">
      <c r="M121" s="9"/>
      <c r="W121" s="6"/>
    </row>
    <row r="122" spans="13:23">
      <c r="M122" s="9"/>
      <c r="W122" s="6"/>
    </row>
    <row r="123" spans="13:23">
      <c r="M123" s="9"/>
      <c r="W123" s="6"/>
    </row>
    <row r="124" spans="13:23">
      <c r="M124" s="9"/>
      <c r="W124" s="6"/>
    </row>
    <row r="125" spans="13:23">
      <c r="M125" s="9"/>
      <c r="W125" s="6"/>
    </row>
    <row r="126" spans="13:23">
      <c r="M126" s="9"/>
      <c r="W126" s="6"/>
    </row>
    <row r="127" spans="13:23">
      <c r="M127" s="9"/>
      <c r="W127" s="6"/>
    </row>
    <row r="128" spans="13:23">
      <c r="M128" s="9"/>
      <c r="W128" s="6"/>
    </row>
    <row r="129" spans="13:23">
      <c r="M129" s="9"/>
      <c r="W129" s="6"/>
    </row>
    <row r="130" spans="13:23">
      <c r="M130" s="9"/>
      <c r="W130" s="6"/>
    </row>
    <row r="131" spans="13:23">
      <c r="M131" s="9"/>
      <c r="W131" s="6"/>
    </row>
    <row r="132" spans="13:23">
      <c r="M132" s="9"/>
      <c r="W132" s="6"/>
    </row>
    <row r="133" spans="13:23">
      <c r="M133" s="9"/>
      <c r="W133" s="6"/>
    </row>
    <row r="134" spans="13:23">
      <c r="M134" s="9"/>
      <c r="W134" s="6"/>
    </row>
    <row r="135" spans="13:23">
      <c r="M135" s="9"/>
      <c r="W135" s="6"/>
    </row>
    <row r="136" spans="13:23">
      <c r="M136" s="9"/>
      <c r="W136" s="6"/>
    </row>
    <row r="137" spans="13:23">
      <c r="M137" s="9"/>
      <c r="W137" s="6"/>
    </row>
    <row r="138" spans="13:23">
      <c r="M138" s="9"/>
      <c r="W138" s="6"/>
    </row>
    <row r="139" spans="13:23">
      <c r="M139" s="9"/>
      <c r="W139" s="6"/>
    </row>
    <row r="140" spans="13:23">
      <c r="M140" s="9"/>
      <c r="W140" s="6"/>
    </row>
    <row r="141" spans="13:23">
      <c r="M141" s="9"/>
      <c r="W141" s="6"/>
    </row>
    <row r="142" spans="13:23">
      <c r="M142" s="9"/>
      <c r="W142" s="6"/>
    </row>
    <row r="143" spans="13:23">
      <c r="M143" s="9"/>
      <c r="W143" s="6"/>
    </row>
    <row r="144" spans="13:23">
      <c r="M144" s="9"/>
      <c r="W144" s="6"/>
    </row>
    <row r="145" spans="13:23">
      <c r="M145" s="9"/>
      <c r="W145" s="6"/>
    </row>
    <row r="146" spans="13:23">
      <c r="M146" s="9"/>
      <c r="W146" s="6"/>
    </row>
    <row r="147" spans="13:23">
      <c r="M147" s="9"/>
      <c r="W147" s="6"/>
    </row>
    <row r="148" spans="13:23">
      <c r="M148" s="9"/>
      <c r="W148" s="6"/>
    </row>
    <row r="149" spans="13:23">
      <c r="M149" s="9"/>
      <c r="W149" s="6"/>
    </row>
    <row r="150" spans="13:23">
      <c r="M150" s="9"/>
      <c r="W150" s="6"/>
    </row>
    <row r="151" spans="13:23">
      <c r="M151" s="9"/>
      <c r="W151" s="6"/>
    </row>
    <row r="152" spans="13:23">
      <c r="M152" s="9"/>
      <c r="W152" s="6"/>
    </row>
    <row r="153" spans="13:23">
      <c r="M153" s="9"/>
      <c r="W153" s="6"/>
    </row>
    <row r="154" spans="13:23">
      <c r="M154" s="9"/>
      <c r="W154" s="6"/>
    </row>
    <row r="155" spans="13:23">
      <c r="M155" s="9"/>
      <c r="W155" s="6"/>
    </row>
    <row r="156" spans="13:23">
      <c r="M156" s="9"/>
      <c r="W156" s="6"/>
    </row>
    <row r="157" spans="13:23">
      <c r="M157" s="9"/>
      <c r="W157" s="6"/>
    </row>
    <row r="158" spans="13:23">
      <c r="M158" s="9"/>
      <c r="W158" s="6"/>
    </row>
    <row r="159" spans="13:23">
      <c r="M159" s="9"/>
      <c r="W159" s="6"/>
    </row>
    <row r="160" spans="13:23">
      <c r="M160" s="9"/>
      <c r="W160" s="6"/>
    </row>
    <row r="161" spans="13:23">
      <c r="M161" s="9"/>
      <c r="W161" s="6"/>
    </row>
    <row r="162" spans="13:23">
      <c r="M162" s="9"/>
      <c r="W162" s="6"/>
    </row>
    <row r="163" spans="13:23">
      <c r="M163" s="9"/>
      <c r="W163" s="6"/>
    </row>
    <row r="164" spans="13:23">
      <c r="M164" s="9"/>
      <c r="W164" s="6"/>
    </row>
    <row r="165" spans="13:23">
      <c r="M165" s="9"/>
      <c r="W165" s="6"/>
    </row>
    <row r="166" spans="13:23">
      <c r="M166" s="9"/>
      <c r="W166" s="6"/>
    </row>
    <row r="167" spans="13:23">
      <c r="M167" s="9"/>
      <c r="W167" s="6"/>
    </row>
    <row r="168" spans="13:23">
      <c r="M168" s="9"/>
      <c r="W168" s="6"/>
    </row>
    <row r="169" spans="13:23">
      <c r="M169" s="9"/>
      <c r="W169" s="6"/>
    </row>
    <row r="170" spans="13:23">
      <c r="M170" s="9"/>
      <c r="W170" s="6"/>
    </row>
    <row r="171" spans="13:23">
      <c r="M171" s="9"/>
      <c r="W171" s="6"/>
    </row>
    <row r="172" spans="13:23">
      <c r="M172" s="9"/>
      <c r="W172" s="6"/>
    </row>
    <row r="173" spans="13:23">
      <c r="M173" s="9"/>
      <c r="W173" s="6"/>
    </row>
    <row r="174" spans="13:23">
      <c r="M174" s="9"/>
      <c r="W174" s="6"/>
    </row>
    <row r="175" spans="13:23">
      <c r="M175" s="9"/>
      <c r="W175" s="6"/>
    </row>
    <row r="176" spans="13:23">
      <c r="M176" s="9"/>
      <c r="W176" s="6"/>
    </row>
    <row r="177" spans="13:23">
      <c r="M177" s="9"/>
      <c r="W177" s="6"/>
    </row>
    <row r="178" spans="13:23">
      <c r="M178" s="9"/>
      <c r="W178" s="6"/>
    </row>
    <row r="179" spans="13:23">
      <c r="M179" s="9"/>
      <c r="W179" s="6"/>
    </row>
    <row r="180" spans="13:23">
      <c r="M180" s="9"/>
      <c r="W180" s="6"/>
    </row>
    <row r="181" spans="13:23">
      <c r="M181" s="9"/>
      <c r="W181" s="6"/>
    </row>
    <row r="182" spans="13:23">
      <c r="M182" s="9"/>
      <c r="W182" s="6"/>
    </row>
    <row r="183" spans="13:23">
      <c r="M183" s="9"/>
      <c r="W183" s="6"/>
    </row>
    <row r="184" spans="13:23">
      <c r="M184" s="9"/>
      <c r="W184" s="6"/>
    </row>
    <row r="185" spans="13:23">
      <c r="M185" s="9"/>
      <c r="W185" s="6"/>
    </row>
    <row r="186" spans="13:23">
      <c r="M186" s="9"/>
      <c r="W186" s="6"/>
    </row>
    <row r="187" spans="13:23">
      <c r="M187" s="9"/>
      <c r="W187" s="6"/>
    </row>
    <row r="188" spans="13:23">
      <c r="M188" s="9"/>
      <c r="W188" s="6"/>
    </row>
    <row r="189" spans="13:23">
      <c r="M189" s="9"/>
      <c r="W189" s="6"/>
    </row>
    <row r="190" spans="13:23">
      <c r="M190" s="9"/>
      <c r="W190" s="6"/>
    </row>
    <row r="191" spans="13:23">
      <c r="M191" s="9"/>
      <c r="W191" s="6"/>
    </row>
    <row r="192" spans="13:23">
      <c r="M192" s="9"/>
      <c r="W192" s="6"/>
    </row>
    <row r="193" spans="13:23">
      <c r="M193" s="9"/>
      <c r="W193" s="6"/>
    </row>
    <row r="194" spans="13:23">
      <c r="M194" s="9"/>
      <c r="W194" s="6"/>
    </row>
    <row r="195" spans="13:23">
      <c r="M195" s="9"/>
      <c r="W195" s="6"/>
    </row>
    <row r="196" spans="13:23">
      <c r="M196" s="9"/>
      <c r="W196" s="6"/>
    </row>
    <row r="197" spans="13:23">
      <c r="M197" s="9"/>
      <c r="W197" s="6"/>
    </row>
    <row r="198" spans="13:23">
      <c r="M198" s="9"/>
      <c r="W198" s="6"/>
    </row>
    <row r="199" spans="13:23">
      <c r="M199" s="9"/>
      <c r="W199" s="6"/>
    </row>
    <row r="200" spans="13:23">
      <c r="M200" s="9"/>
      <c r="W200" s="6"/>
    </row>
    <row r="201" spans="13:23">
      <c r="M201" s="9"/>
      <c r="W201" s="6"/>
    </row>
    <row r="202" spans="13:23">
      <c r="M202" s="9"/>
      <c r="W202" s="6"/>
    </row>
    <row r="203" spans="13:23">
      <c r="M203" s="9"/>
      <c r="W203" s="6"/>
    </row>
    <row r="204" spans="13:23">
      <c r="M204" s="9"/>
      <c r="W204" s="6"/>
    </row>
    <row r="205" spans="13:23">
      <c r="M205" s="9"/>
      <c r="W205" s="6"/>
    </row>
    <row r="206" spans="13:23">
      <c r="M206" s="9"/>
      <c r="W206" s="6"/>
    </row>
    <row r="207" spans="13:23">
      <c r="M207" s="9"/>
      <c r="W207" s="6"/>
    </row>
    <row r="208" spans="13:23">
      <c r="M208" s="9"/>
      <c r="W208" s="6"/>
    </row>
    <row r="209" spans="13:23">
      <c r="M209" s="9"/>
      <c r="W209" s="6"/>
    </row>
    <row r="210" spans="13:23">
      <c r="M210" s="9"/>
      <c r="W210" s="6"/>
    </row>
    <row r="211" spans="13:23">
      <c r="M211" s="9"/>
      <c r="W211" s="6"/>
    </row>
    <row r="212" spans="13:23">
      <c r="M212" s="9"/>
      <c r="W212" s="6"/>
    </row>
    <row r="213" spans="13:23">
      <c r="M213" s="9"/>
      <c r="W213" s="6"/>
    </row>
    <row r="214" spans="13:23">
      <c r="M214" s="9"/>
      <c r="W214" s="6"/>
    </row>
    <row r="215" spans="13:23">
      <c r="M215" s="9"/>
      <c r="W215" s="6"/>
    </row>
    <row r="216" spans="13:23">
      <c r="M216" s="9"/>
      <c r="W216" s="6"/>
    </row>
    <row r="217" spans="13:23">
      <c r="M217" s="9"/>
      <c r="W217" s="6"/>
    </row>
    <row r="218" spans="13:23">
      <c r="M218" s="9"/>
      <c r="W218" s="6"/>
    </row>
    <row r="219" spans="13:23">
      <c r="M219" s="9"/>
      <c r="W219" s="6"/>
    </row>
    <row r="220" spans="13:23">
      <c r="M220" s="9"/>
      <c r="W220" s="6"/>
    </row>
    <row r="221" spans="13:23">
      <c r="M221" s="9"/>
      <c r="W221" s="6"/>
    </row>
    <row r="222" spans="13:23">
      <c r="M222" s="9"/>
      <c r="W222" s="6"/>
    </row>
    <row r="223" spans="13:23">
      <c r="M223" s="9"/>
      <c r="W223" s="6"/>
    </row>
    <row r="224" spans="13:23">
      <c r="M224" s="9"/>
      <c r="W224" s="6"/>
    </row>
    <row r="225" spans="13:23">
      <c r="M225" s="9"/>
      <c r="W225" s="6"/>
    </row>
    <row r="226" spans="13:23">
      <c r="M226" s="9"/>
      <c r="W226" s="6"/>
    </row>
    <row r="227" spans="13:23">
      <c r="M227" s="9"/>
      <c r="W227" s="6"/>
    </row>
    <row r="228" spans="13:23">
      <c r="M228" s="9"/>
      <c r="W228" s="6"/>
    </row>
    <row r="229" spans="13:23">
      <c r="M229" s="9"/>
      <c r="W229" s="6"/>
    </row>
    <row r="230" spans="13:23">
      <c r="M230" s="9"/>
      <c r="W230" s="6"/>
    </row>
    <row r="231" spans="13:23">
      <c r="M231" s="9"/>
      <c r="W231" s="6"/>
    </row>
    <row r="232" spans="13:23">
      <c r="M232" s="9"/>
      <c r="W232" s="6"/>
    </row>
    <row r="233" spans="13:23">
      <c r="M233" s="9"/>
      <c r="W233" s="6"/>
    </row>
    <row r="234" spans="13:23">
      <c r="M234" s="9"/>
      <c r="W234" s="6"/>
    </row>
    <row r="235" spans="13:23">
      <c r="M235" s="9"/>
      <c r="W235" s="6"/>
    </row>
    <row r="236" spans="13:23">
      <c r="M236" s="9"/>
      <c r="W236" s="6"/>
    </row>
    <row r="237" spans="13:23">
      <c r="M237" s="9"/>
      <c r="W237" s="6"/>
    </row>
    <row r="238" spans="13:23">
      <c r="M238" s="9"/>
      <c r="W238" s="6"/>
    </row>
    <row r="239" spans="13:23">
      <c r="M239" s="9"/>
      <c r="W239" s="6"/>
    </row>
    <row r="240" spans="13:23">
      <c r="M240" s="9"/>
      <c r="W240" s="6"/>
    </row>
    <row r="241" spans="13:23">
      <c r="M241" s="9"/>
      <c r="W241" s="6"/>
    </row>
    <row r="242" spans="13:23">
      <c r="M242" s="9"/>
      <c r="W242" s="6"/>
    </row>
    <row r="243" spans="13:23">
      <c r="M243" s="9"/>
      <c r="W243" s="6"/>
    </row>
    <row r="244" spans="13:23">
      <c r="M244" s="9"/>
      <c r="W244" s="6"/>
    </row>
    <row r="245" spans="13:23">
      <c r="M245" s="9"/>
      <c r="W245" s="6"/>
    </row>
    <row r="246" spans="13:23">
      <c r="M246" s="9"/>
      <c r="W246" s="6"/>
    </row>
    <row r="247" spans="13:23">
      <c r="M247" s="9"/>
      <c r="W247" s="6"/>
    </row>
    <row r="248" spans="13:23">
      <c r="M248" s="9"/>
      <c r="W248" s="6"/>
    </row>
    <row r="249" spans="13:23">
      <c r="M249" s="9"/>
      <c r="W249" s="6"/>
    </row>
    <row r="250" spans="13:23">
      <c r="M250" s="9"/>
      <c r="W250" s="6"/>
    </row>
    <row r="251" spans="13:23">
      <c r="M251" s="9"/>
      <c r="W251" s="6"/>
    </row>
    <row r="252" spans="13:23">
      <c r="M252" s="9"/>
      <c r="W252" s="6"/>
    </row>
    <row r="253" spans="13:23">
      <c r="M253" s="9"/>
      <c r="W253" s="6"/>
    </row>
    <row r="254" spans="13:23">
      <c r="M254" s="9"/>
      <c r="W254" s="6"/>
    </row>
    <row r="255" spans="13:23">
      <c r="M255" s="9"/>
      <c r="W255" s="6"/>
    </row>
    <row r="256" spans="13:23">
      <c r="M256" s="9"/>
      <c r="W256" s="6"/>
    </row>
    <row r="257" spans="13:23">
      <c r="M257" s="9"/>
      <c r="W257" s="6"/>
    </row>
    <row r="258" spans="13:23">
      <c r="M258" s="9"/>
      <c r="W258" s="6"/>
    </row>
    <row r="259" spans="13:23">
      <c r="M259" s="9"/>
      <c r="W259" s="6"/>
    </row>
    <row r="260" spans="13:23">
      <c r="M260" s="9"/>
      <c r="W260" s="6"/>
    </row>
    <row r="261" spans="13:23">
      <c r="M261" s="9"/>
      <c r="W261" s="6"/>
    </row>
    <row r="262" spans="13:23">
      <c r="M262" s="9"/>
      <c r="W262" s="6"/>
    </row>
    <row r="263" spans="13:23">
      <c r="M263" s="9"/>
      <c r="W263" s="6"/>
    </row>
    <row r="264" spans="13:23">
      <c r="M264" s="9"/>
      <c r="W264" s="6"/>
    </row>
    <row r="265" spans="13:23">
      <c r="M265" s="9"/>
      <c r="W265" s="6"/>
    </row>
    <row r="266" spans="13:23">
      <c r="M266" s="9"/>
      <c r="W266" s="6"/>
    </row>
    <row r="267" spans="13:23">
      <c r="M267" s="9"/>
      <c r="W267" s="6"/>
    </row>
    <row r="268" spans="13:23">
      <c r="M268" s="9"/>
      <c r="W268" s="6"/>
    </row>
    <row r="269" spans="13:23">
      <c r="M269" s="9"/>
      <c r="W269" s="6"/>
    </row>
    <row r="270" spans="13:23">
      <c r="M270" s="9"/>
      <c r="W270" s="6"/>
    </row>
    <row r="271" spans="13:23">
      <c r="M271" s="9"/>
      <c r="W271" s="6"/>
    </row>
    <row r="272" spans="13:23">
      <c r="M272" s="9"/>
      <c r="W272" s="6"/>
    </row>
    <row r="273" spans="13:23">
      <c r="M273" s="9"/>
      <c r="W273" s="6"/>
    </row>
    <row r="274" spans="13:23">
      <c r="M274" s="9"/>
      <c r="W274" s="6"/>
    </row>
    <row r="275" spans="13:23">
      <c r="M275" s="9"/>
      <c r="W275" s="6"/>
    </row>
    <row r="276" spans="13:23">
      <c r="M276" s="9"/>
      <c r="W276" s="6"/>
    </row>
    <row r="277" spans="13:23">
      <c r="M277" s="9"/>
      <c r="W277" s="6"/>
    </row>
    <row r="278" spans="13:23">
      <c r="M278" s="9"/>
      <c r="W278" s="6"/>
    </row>
    <row r="279" spans="13:23">
      <c r="M279" s="9"/>
      <c r="W279" s="6"/>
    </row>
    <row r="280" spans="13:23">
      <c r="M280" s="9"/>
      <c r="W280" s="6"/>
    </row>
    <row r="281" spans="13:23">
      <c r="M281" s="9"/>
      <c r="W281" s="6"/>
    </row>
    <row r="282" spans="13:23">
      <c r="M282" s="9"/>
      <c r="W282" s="6"/>
    </row>
    <row r="283" spans="13:23">
      <c r="M283" s="9"/>
      <c r="W283" s="6"/>
    </row>
    <row r="284" spans="13:23">
      <c r="M284" s="9"/>
      <c r="W284" s="6"/>
    </row>
    <row r="285" spans="13:23">
      <c r="M285" s="9"/>
      <c r="W285" s="6"/>
    </row>
    <row r="286" spans="13:23">
      <c r="M286" s="9"/>
      <c r="W286" s="6"/>
    </row>
    <row r="287" spans="13:23">
      <c r="M287" s="9"/>
      <c r="W287" s="6"/>
    </row>
    <row r="288" spans="13:23">
      <c r="M288" s="9"/>
      <c r="W288" s="6"/>
    </row>
    <row r="289" spans="13:23">
      <c r="M289" s="9"/>
      <c r="W289" s="6"/>
    </row>
    <row r="290" spans="13:23">
      <c r="M290" s="9"/>
      <c r="W290" s="6"/>
    </row>
    <row r="291" spans="13:23">
      <c r="M291" s="9"/>
      <c r="W291" s="6"/>
    </row>
    <row r="292" spans="13:23">
      <c r="M292" s="9"/>
      <c r="W292" s="6"/>
    </row>
    <row r="293" spans="13:23">
      <c r="M293" s="9"/>
      <c r="W293" s="6"/>
    </row>
    <row r="294" spans="13:23">
      <c r="M294" s="9"/>
      <c r="W294" s="6"/>
    </row>
    <row r="295" spans="13:23">
      <c r="M295" s="9"/>
      <c r="W295" s="6"/>
    </row>
    <row r="296" spans="13:23">
      <c r="M296" s="9"/>
      <c r="W296" s="6"/>
    </row>
    <row r="297" spans="13:23">
      <c r="M297" s="9"/>
      <c r="W297" s="6"/>
    </row>
    <row r="298" spans="13:23">
      <c r="M298" s="9"/>
      <c r="W298" s="6"/>
    </row>
    <row r="299" spans="13:23">
      <c r="M299" s="9"/>
      <c r="W299" s="6"/>
    </row>
    <row r="300" spans="13:23">
      <c r="M300" s="9"/>
      <c r="W300" s="6"/>
    </row>
    <row r="301" spans="13:23">
      <c r="M301" s="9"/>
      <c r="W301" s="6"/>
    </row>
    <row r="302" spans="13:23">
      <c r="M302" s="9"/>
      <c r="W302" s="6"/>
    </row>
    <row r="303" spans="13:23">
      <c r="M303" s="9"/>
      <c r="W303" s="6"/>
    </row>
    <row r="304" spans="13:23">
      <c r="M304" s="9"/>
      <c r="W304" s="6"/>
    </row>
    <row r="305" spans="13:23">
      <c r="M305" s="9"/>
      <c r="W305" s="6"/>
    </row>
    <row r="306" spans="13:23">
      <c r="M306" s="9"/>
      <c r="W306" s="6"/>
    </row>
    <row r="307" spans="13:23">
      <c r="M307" s="9"/>
      <c r="W307" s="6"/>
    </row>
    <row r="308" spans="13:23">
      <c r="M308" s="9"/>
      <c r="W308" s="6"/>
    </row>
    <row r="309" spans="13:23">
      <c r="M309" s="9"/>
      <c r="W309" s="6"/>
    </row>
    <row r="310" spans="13:23">
      <c r="M310" s="9"/>
      <c r="W310" s="6"/>
    </row>
    <row r="311" spans="13:23">
      <c r="M311" s="9"/>
      <c r="W311" s="6"/>
    </row>
    <row r="312" spans="13:23">
      <c r="M312" s="9"/>
      <c r="W312" s="6"/>
    </row>
    <row r="313" spans="13:23">
      <c r="M313" s="9"/>
      <c r="W313" s="6"/>
    </row>
    <row r="314" spans="13:23">
      <c r="M314" s="9"/>
      <c r="W314" s="6"/>
    </row>
    <row r="315" spans="13:23">
      <c r="M315" s="9"/>
      <c r="W315" s="6"/>
    </row>
    <row r="316" spans="13:23">
      <c r="M316" s="9"/>
      <c r="W316" s="6"/>
    </row>
    <row r="317" spans="13:23">
      <c r="M317" s="9"/>
      <c r="W317" s="6"/>
    </row>
    <row r="318" spans="13:23">
      <c r="M318" s="9"/>
      <c r="W318" s="6"/>
    </row>
    <row r="319" spans="13:23">
      <c r="M319" s="9"/>
      <c r="W319" s="6"/>
    </row>
    <row r="320" spans="13:23">
      <c r="M320" s="9"/>
      <c r="W320" s="6"/>
    </row>
    <row r="321" spans="13:23">
      <c r="M321" s="9"/>
      <c r="W321" s="6"/>
    </row>
    <row r="322" spans="13:23">
      <c r="M322" s="9"/>
      <c r="W322" s="6"/>
    </row>
    <row r="323" spans="13:23">
      <c r="M323" s="9"/>
      <c r="W323" s="6"/>
    </row>
    <row r="324" spans="13:23">
      <c r="M324" s="9"/>
      <c r="W324" s="6"/>
    </row>
    <row r="325" spans="13:23">
      <c r="M325" s="9"/>
      <c r="W325" s="6"/>
    </row>
    <row r="326" spans="13:23">
      <c r="M326" s="9"/>
      <c r="W326" s="6"/>
    </row>
    <row r="327" spans="13:23">
      <c r="M327" s="9"/>
      <c r="W327" s="6"/>
    </row>
    <row r="328" spans="13:23">
      <c r="M328" s="9"/>
      <c r="W328" s="6"/>
    </row>
    <row r="329" spans="13:23">
      <c r="M329" s="9"/>
      <c r="W329" s="6"/>
    </row>
    <row r="330" spans="13:23">
      <c r="M330" s="9"/>
      <c r="W330" s="6"/>
    </row>
    <row r="331" spans="13:23">
      <c r="M331" s="9"/>
      <c r="W331" s="6"/>
    </row>
    <row r="332" spans="13:23">
      <c r="M332" s="9"/>
      <c r="W332" s="6"/>
    </row>
    <row r="333" spans="13:23">
      <c r="M333" s="9"/>
      <c r="W333" s="6"/>
    </row>
    <row r="334" spans="13:23">
      <c r="M334" s="9"/>
      <c r="W334" s="6"/>
    </row>
    <row r="335" spans="13:23">
      <c r="M335" s="9"/>
      <c r="W335" s="6"/>
    </row>
    <row r="336" spans="13:23">
      <c r="M336" s="9"/>
      <c r="W336" s="6"/>
    </row>
    <row r="337" spans="13:23">
      <c r="M337" s="9"/>
      <c r="W337" s="6"/>
    </row>
    <row r="338" spans="13:23">
      <c r="M338" s="9"/>
      <c r="W338" s="6"/>
    </row>
    <row r="339" spans="13:23">
      <c r="M339" s="9"/>
      <c r="W339" s="6"/>
    </row>
    <row r="340" spans="13:23">
      <c r="M340" s="9"/>
      <c r="W340" s="6"/>
    </row>
    <row r="341" spans="13:23">
      <c r="M341" s="9"/>
      <c r="W341" s="6"/>
    </row>
    <row r="342" spans="13:23">
      <c r="M342" s="9"/>
      <c r="W342" s="6"/>
    </row>
    <row r="343" spans="13:23">
      <c r="M343" s="9"/>
      <c r="W343" s="6"/>
    </row>
    <row r="344" spans="13:23">
      <c r="M344" s="9"/>
      <c r="W344" s="6"/>
    </row>
    <row r="345" spans="13:23">
      <c r="M345" s="9"/>
      <c r="W345" s="6"/>
    </row>
    <row r="346" spans="13:23">
      <c r="M346" s="9"/>
      <c r="W346" s="6"/>
    </row>
    <row r="347" spans="13:23">
      <c r="M347" s="9"/>
      <c r="W347" s="6"/>
    </row>
    <row r="348" spans="13:23">
      <c r="M348" s="9"/>
      <c r="W348" s="6"/>
    </row>
    <row r="349" spans="13:23">
      <c r="M349" s="9"/>
      <c r="W349" s="6"/>
    </row>
    <row r="350" spans="13:23">
      <c r="M350" s="9"/>
      <c r="W350" s="6"/>
    </row>
    <row r="351" spans="13:23">
      <c r="M351" s="9"/>
      <c r="W351" s="6"/>
    </row>
    <row r="352" spans="13:23">
      <c r="M352" s="9"/>
      <c r="W352" s="6"/>
    </row>
    <row r="353" spans="13:23">
      <c r="M353" s="9"/>
      <c r="W353" s="6"/>
    </row>
    <row r="354" spans="13:23">
      <c r="M354" s="9"/>
      <c r="W354" s="6"/>
    </row>
    <row r="355" spans="13:23">
      <c r="M355" s="9"/>
      <c r="W355" s="6"/>
    </row>
    <row r="356" spans="13:23">
      <c r="M356" s="9"/>
      <c r="W356" s="6"/>
    </row>
    <row r="357" spans="13:23">
      <c r="M357" s="9"/>
      <c r="W357" s="6"/>
    </row>
    <row r="358" spans="13:23">
      <c r="M358" s="9"/>
      <c r="W358" s="6"/>
    </row>
    <row r="359" spans="13:23">
      <c r="M359" s="9"/>
      <c r="W359" s="6"/>
    </row>
    <row r="360" spans="13:23">
      <c r="M360" s="9"/>
      <c r="W360" s="6"/>
    </row>
    <row r="361" spans="13:23">
      <c r="M361" s="9"/>
      <c r="W361" s="6"/>
    </row>
    <row r="362" spans="13:23">
      <c r="M362" s="9"/>
      <c r="W362" s="6"/>
    </row>
    <row r="363" spans="13:23">
      <c r="M363" s="9"/>
      <c r="W363" s="6"/>
    </row>
    <row r="364" spans="13:23">
      <c r="M364" s="9"/>
      <c r="W364" s="6"/>
    </row>
    <row r="365" spans="13:23">
      <c r="M365" s="9"/>
      <c r="W365" s="6"/>
    </row>
    <row r="366" spans="13:23">
      <c r="M366" s="9"/>
      <c r="W366" s="6"/>
    </row>
    <row r="367" spans="13:23">
      <c r="M367" s="9"/>
      <c r="W367" s="6"/>
    </row>
    <row r="368" spans="13:23">
      <c r="M368" s="9"/>
      <c r="W368" s="6"/>
    </row>
    <row r="369" spans="13:23">
      <c r="M369" s="9"/>
      <c r="W369" s="6"/>
    </row>
    <row r="370" spans="13:23">
      <c r="M370" s="9"/>
      <c r="W370" s="6"/>
    </row>
    <row r="371" spans="13:23">
      <c r="M371" s="9"/>
      <c r="W371" s="6"/>
    </row>
    <row r="372" spans="13:23">
      <c r="M372" s="9"/>
      <c r="W372" s="6"/>
    </row>
    <row r="373" spans="13:23">
      <c r="M373" s="9"/>
      <c r="W373" s="6"/>
    </row>
    <row r="374" spans="13:23">
      <c r="M374" s="9"/>
      <c r="W374" s="6"/>
    </row>
    <row r="375" spans="13:23">
      <c r="M375" s="9"/>
      <c r="W375" s="6"/>
    </row>
    <row r="376" spans="13:23">
      <c r="M376" s="9"/>
      <c r="W376" s="6"/>
    </row>
    <row r="377" spans="13:23">
      <c r="M377" s="9"/>
      <c r="W377" s="6"/>
    </row>
    <row r="378" spans="13:23">
      <c r="M378" s="9"/>
      <c r="W378" s="6"/>
    </row>
    <row r="379" spans="13:23">
      <c r="M379" s="9"/>
      <c r="W379" s="6"/>
    </row>
    <row r="380" spans="13:23">
      <c r="M380" s="9"/>
      <c r="W380" s="6"/>
    </row>
    <row r="381" spans="13:23">
      <c r="M381" s="9"/>
      <c r="W381" s="6"/>
    </row>
    <row r="382" spans="13:23">
      <c r="M382" s="9"/>
      <c r="W382" s="6"/>
    </row>
    <row r="383" spans="13:23">
      <c r="M383" s="9"/>
      <c r="W383" s="6"/>
    </row>
    <row r="384" spans="13:23">
      <c r="M384" s="9"/>
      <c r="W384" s="6"/>
    </row>
    <row r="385" spans="13:23">
      <c r="M385" s="9"/>
      <c r="W385" s="6"/>
    </row>
    <row r="386" spans="13:23">
      <c r="M386" s="9"/>
      <c r="W386" s="6"/>
    </row>
    <row r="387" spans="13:23">
      <c r="M387" s="9"/>
      <c r="W387" s="6"/>
    </row>
    <row r="388" spans="13:23">
      <c r="M388" s="9"/>
      <c r="W388" s="6"/>
    </row>
    <row r="389" spans="13:23">
      <c r="M389" s="9"/>
      <c r="W389" s="6"/>
    </row>
    <row r="390" spans="13:23">
      <c r="M390" s="9"/>
      <c r="W390" s="6"/>
    </row>
    <row r="391" spans="13:23">
      <c r="M391" s="9"/>
      <c r="W391" s="6"/>
    </row>
    <row r="392" spans="13:23">
      <c r="M392" s="9"/>
      <c r="W392" s="6"/>
    </row>
    <row r="393" spans="13:23">
      <c r="M393" s="9"/>
      <c r="W393" s="6"/>
    </row>
    <row r="394" spans="13:23">
      <c r="M394" s="9"/>
      <c r="W394" s="6"/>
    </row>
    <row r="395" spans="13:23">
      <c r="M395" s="9"/>
      <c r="W395" s="6"/>
    </row>
    <row r="396" spans="13:23">
      <c r="M396" s="9"/>
      <c r="W396" s="6"/>
    </row>
    <row r="397" spans="13:23">
      <c r="M397" s="9"/>
      <c r="W397" s="6"/>
    </row>
    <row r="398" spans="13:23">
      <c r="M398" s="9"/>
      <c r="W398" s="6"/>
    </row>
    <row r="399" spans="13:23">
      <c r="M399" s="9"/>
      <c r="W399" s="6"/>
    </row>
    <row r="400" spans="13:23">
      <c r="M400" s="9"/>
      <c r="W400" s="6"/>
    </row>
    <row r="401" spans="13:23">
      <c r="M401" s="9"/>
      <c r="W401" s="6"/>
    </row>
    <row r="402" spans="13:23">
      <c r="M402" s="9"/>
      <c r="W402" s="6"/>
    </row>
    <row r="403" spans="13:23">
      <c r="M403" s="9"/>
      <c r="W403" s="6"/>
    </row>
    <row r="404" spans="13:23">
      <c r="M404" s="9"/>
      <c r="W404" s="6"/>
    </row>
    <row r="405" spans="13:23">
      <c r="M405" s="9"/>
      <c r="W405" s="6"/>
    </row>
    <row r="406" spans="13:23">
      <c r="M406" s="9"/>
      <c r="W406" s="6"/>
    </row>
    <row r="407" spans="13:23">
      <c r="M407" s="9"/>
      <c r="W407" s="6"/>
    </row>
    <row r="408" spans="13:23">
      <c r="M408" s="9"/>
      <c r="W408" s="6"/>
    </row>
    <row r="409" spans="13:23">
      <c r="M409" s="9"/>
      <c r="W409" s="6"/>
    </row>
    <row r="410" spans="13:23">
      <c r="M410" s="9"/>
      <c r="W410" s="6"/>
    </row>
    <row r="411" spans="13:23">
      <c r="M411" s="9"/>
      <c r="W411" s="6"/>
    </row>
    <row r="412" spans="13:23">
      <c r="M412" s="9"/>
      <c r="W412" s="6"/>
    </row>
    <row r="413" spans="13:23">
      <c r="M413" s="9"/>
      <c r="W413" s="6"/>
    </row>
    <row r="414" spans="13:23">
      <c r="M414" s="9"/>
      <c r="W414" s="6"/>
    </row>
    <row r="415" spans="13:23">
      <c r="M415" s="9"/>
      <c r="W415" s="6"/>
    </row>
    <row r="416" spans="13:23">
      <c r="M416" s="9"/>
      <c r="W416" s="6"/>
    </row>
    <row r="417" spans="13:23">
      <c r="M417" s="9"/>
      <c r="W417" s="6"/>
    </row>
    <row r="418" spans="13:23">
      <c r="M418" s="9"/>
      <c r="W418" s="6"/>
    </row>
    <row r="419" spans="13:23">
      <c r="M419" s="9"/>
      <c r="W419" s="6"/>
    </row>
    <row r="420" spans="13:23">
      <c r="M420" s="9"/>
      <c r="W420" s="6"/>
    </row>
    <row r="421" spans="13:23">
      <c r="M421" s="9"/>
      <c r="W421" s="6"/>
    </row>
    <row r="422" spans="13:23">
      <c r="M422" s="9"/>
      <c r="W422" s="6"/>
    </row>
    <row r="423" spans="13:23">
      <c r="M423" s="9"/>
      <c r="W423" s="6"/>
    </row>
    <row r="424" spans="13:23">
      <c r="M424" s="9"/>
      <c r="W424" s="6"/>
    </row>
    <row r="425" spans="13:23">
      <c r="M425" s="9"/>
      <c r="W425" s="6"/>
    </row>
    <row r="426" spans="13:23">
      <c r="M426" s="9"/>
      <c r="W426" s="6"/>
    </row>
    <row r="427" spans="13:23">
      <c r="M427" s="9"/>
      <c r="W427" s="6"/>
    </row>
    <row r="428" spans="13:23">
      <c r="M428" s="9"/>
      <c r="W428" s="6"/>
    </row>
    <row r="429" spans="13:23">
      <c r="M429" s="9"/>
      <c r="W429" s="6"/>
    </row>
    <row r="430" spans="13:23">
      <c r="M430" s="9"/>
      <c r="W430" s="6"/>
    </row>
    <row r="431" spans="13:23">
      <c r="M431" s="9"/>
      <c r="W431" s="6"/>
    </row>
    <row r="432" spans="13:23">
      <c r="M432" s="9"/>
      <c r="W432" s="6"/>
    </row>
    <row r="433" spans="13:23">
      <c r="M433" s="9"/>
      <c r="W433" s="6"/>
    </row>
    <row r="434" spans="13:23">
      <c r="M434" s="9"/>
      <c r="W434" s="6"/>
    </row>
    <row r="435" spans="13:23">
      <c r="M435" s="9"/>
      <c r="W435" s="6"/>
    </row>
    <row r="436" spans="13:23">
      <c r="M436" s="9"/>
      <c r="W436" s="6"/>
    </row>
    <row r="437" spans="13:23">
      <c r="M437" s="9"/>
      <c r="W437" s="6"/>
    </row>
    <row r="438" spans="13:23">
      <c r="M438" s="9"/>
      <c r="W438" s="6"/>
    </row>
    <row r="439" spans="13:23">
      <c r="M439" s="9"/>
      <c r="W439" s="6"/>
    </row>
    <row r="440" spans="13:23">
      <c r="M440" s="9"/>
      <c r="W440" s="6"/>
    </row>
    <row r="441" spans="13:23">
      <c r="M441" s="9"/>
      <c r="W441" s="6"/>
    </row>
    <row r="442" spans="13:23">
      <c r="M442" s="9"/>
      <c r="W442" s="6"/>
    </row>
    <row r="443" spans="13:23">
      <c r="M443" s="9"/>
      <c r="W443" s="6"/>
    </row>
    <row r="444" spans="13:23">
      <c r="M444" s="9"/>
      <c r="W444" s="6"/>
    </row>
    <row r="445" spans="13:23">
      <c r="M445" s="9"/>
      <c r="W445" s="6"/>
    </row>
    <row r="446" spans="13:23">
      <c r="M446" s="9"/>
      <c r="W446" s="6"/>
    </row>
    <row r="447" spans="13:23">
      <c r="M447" s="9"/>
      <c r="W447" s="6"/>
    </row>
    <row r="448" spans="13:23">
      <c r="M448" s="9"/>
      <c r="W448" s="6"/>
    </row>
    <row r="449" spans="13:23">
      <c r="M449" s="9"/>
      <c r="W449" s="6"/>
    </row>
    <row r="450" spans="13:23">
      <c r="M450" s="9"/>
      <c r="W450" s="6"/>
    </row>
    <row r="451" spans="13:23">
      <c r="M451" s="9"/>
      <c r="W451" s="6"/>
    </row>
    <row r="452" spans="13:23">
      <c r="M452" s="9"/>
      <c r="W452" s="6"/>
    </row>
    <row r="453" spans="13:23">
      <c r="M453" s="9"/>
      <c r="W453" s="6"/>
    </row>
    <row r="454" spans="13:23">
      <c r="M454" s="9"/>
      <c r="W454" s="6"/>
    </row>
    <row r="455" spans="13:23">
      <c r="M455" s="9"/>
      <c r="W455" s="6"/>
    </row>
    <row r="456" spans="13:23">
      <c r="M456" s="9"/>
      <c r="W456" s="6"/>
    </row>
    <row r="457" spans="13:23">
      <c r="M457" s="9"/>
      <c r="W457" s="6"/>
    </row>
    <row r="458" spans="13:23">
      <c r="M458" s="9"/>
      <c r="W458" s="6"/>
    </row>
    <row r="459" spans="13:23">
      <c r="M459" s="9"/>
      <c r="W459" s="6"/>
    </row>
    <row r="460" spans="13:23">
      <c r="M460" s="9"/>
      <c r="W460" s="6"/>
    </row>
    <row r="461" spans="13:23">
      <c r="M461" s="9"/>
      <c r="W461" s="6"/>
    </row>
    <row r="462" spans="13:23">
      <c r="M462" s="9"/>
      <c r="W462" s="6"/>
    </row>
    <row r="463" spans="13:23">
      <c r="M463" s="9"/>
      <c r="W463" s="6"/>
    </row>
    <row r="464" spans="13:23">
      <c r="M464" s="9"/>
      <c r="W464" s="6"/>
    </row>
    <row r="465" spans="13:23">
      <c r="M465" s="9"/>
      <c r="W465" s="6"/>
    </row>
    <row r="466" spans="13:23">
      <c r="M466" s="9"/>
      <c r="W466" s="6"/>
    </row>
    <row r="467" spans="13:23">
      <c r="M467" s="9"/>
      <c r="W467" s="6"/>
    </row>
    <row r="468" spans="13:23">
      <c r="M468" s="9"/>
      <c r="W468" s="6"/>
    </row>
    <row r="469" spans="13:23">
      <c r="M469" s="9"/>
      <c r="W469" s="6"/>
    </row>
    <row r="470" spans="13:23">
      <c r="M470" s="9"/>
      <c r="W470" s="6"/>
    </row>
    <row r="471" spans="13:23">
      <c r="M471" s="9"/>
      <c r="W471" s="6"/>
    </row>
    <row r="472" spans="13:23">
      <c r="M472" s="9"/>
      <c r="W472" s="6"/>
    </row>
    <row r="473" spans="13:23">
      <c r="M473" s="9"/>
      <c r="W473" s="6"/>
    </row>
    <row r="474" spans="13:23">
      <c r="M474" s="9"/>
      <c r="W474" s="6"/>
    </row>
    <row r="475" spans="13:23">
      <c r="M475" s="9"/>
      <c r="W475" s="6"/>
    </row>
    <row r="476" spans="13:23">
      <c r="M476" s="9"/>
      <c r="W476" s="6"/>
    </row>
    <row r="477" spans="13:23">
      <c r="M477" s="9"/>
      <c r="W477" s="6"/>
    </row>
    <row r="478" spans="13:23">
      <c r="M478" s="9"/>
      <c r="W478" s="6"/>
    </row>
    <row r="479" spans="13:23">
      <c r="M479" s="9"/>
      <c r="W479" s="6"/>
    </row>
    <row r="480" spans="13:23">
      <c r="M480" s="9"/>
      <c r="W480" s="6"/>
    </row>
    <row r="481" spans="13:23">
      <c r="M481" s="9"/>
      <c r="W481" s="6"/>
    </row>
    <row r="482" spans="13:23">
      <c r="M482" s="9"/>
      <c r="W482" s="6"/>
    </row>
    <row r="483" spans="13:23">
      <c r="M483" s="9"/>
      <c r="W483" s="6"/>
    </row>
    <row r="484" spans="13:23">
      <c r="M484" s="9"/>
      <c r="W484" s="6"/>
    </row>
    <row r="485" spans="13:23">
      <c r="M485" s="9"/>
      <c r="W485" s="6"/>
    </row>
    <row r="486" spans="13:23">
      <c r="M486" s="9"/>
      <c r="W486" s="6"/>
    </row>
    <row r="487" spans="13:23">
      <c r="M487" s="9"/>
      <c r="W487" s="6"/>
    </row>
    <row r="488" spans="13:23">
      <c r="M488" s="9"/>
      <c r="W488" s="6"/>
    </row>
    <row r="489" spans="13:23">
      <c r="M489" s="9"/>
      <c r="W489" s="6"/>
    </row>
    <row r="490" spans="13:23">
      <c r="M490" s="9"/>
      <c r="W490" s="6"/>
    </row>
    <row r="491" spans="13:23">
      <c r="M491" s="9"/>
      <c r="W491" s="6"/>
    </row>
    <row r="492" spans="13:23">
      <c r="M492" s="9"/>
      <c r="W492" s="6"/>
    </row>
    <row r="493" spans="13:23">
      <c r="M493" s="9"/>
      <c r="W493" s="6"/>
    </row>
    <row r="494" spans="13:23">
      <c r="M494" s="9"/>
      <c r="W494" s="6"/>
    </row>
    <row r="495" spans="13:23">
      <c r="M495" s="9"/>
      <c r="W495" s="6"/>
    </row>
    <row r="496" spans="13:23">
      <c r="M496" s="9"/>
      <c r="W496" s="6"/>
    </row>
    <row r="497" spans="13:23">
      <c r="M497" s="9"/>
      <c r="W497" s="6"/>
    </row>
    <row r="498" spans="13:23">
      <c r="M498" s="9"/>
      <c r="W498" s="6"/>
    </row>
    <row r="499" spans="13:23">
      <c r="M499" s="9"/>
      <c r="W499" s="6"/>
    </row>
    <row r="500" spans="13:23">
      <c r="M500" s="9"/>
      <c r="W500" s="6"/>
    </row>
    <row r="501" spans="13:23">
      <c r="M501" s="9"/>
      <c r="W501" s="6"/>
    </row>
    <row r="502" spans="13:23">
      <c r="M502" s="9"/>
      <c r="W502" s="6"/>
    </row>
    <row r="503" spans="13:23">
      <c r="M503" s="9"/>
      <c r="W503" s="6"/>
    </row>
    <row r="504" spans="13:23">
      <c r="M504" s="9"/>
      <c r="W504" s="6"/>
    </row>
    <row r="505" spans="13:23">
      <c r="M505" s="9"/>
      <c r="W505" s="6"/>
    </row>
    <row r="506" spans="13:23">
      <c r="M506" s="9"/>
      <c r="W506" s="6"/>
    </row>
    <row r="507" spans="13:23">
      <c r="M507" s="9"/>
      <c r="W507" s="6"/>
    </row>
    <row r="508" spans="13:23">
      <c r="M508" s="9"/>
      <c r="W508" s="6"/>
    </row>
    <row r="509" spans="13:23">
      <c r="M509" s="9"/>
      <c r="W509" s="6"/>
    </row>
    <row r="510" spans="13:23">
      <c r="M510" s="9"/>
      <c r="W510" s="6"/>
    </row>
    <row r="511" spans="13:23">
      <c r="M511" s="9"/>
      <c r="W511" s="6"/>
    </row>
    <row r="512" spans="13:23">
      <c r="M512" s="9"/>
      <c r="W512" s="6"/>
    </row>
    <row r="513" spans="13:23">
      <c r="M513" s="9"/>
      <c r="W513" s="6"/>
    </row>
    <row r="514" spans="13:23">
      <c r="M514" s="9"/>
      <c r="W514" s="6"/>
    </row>
    <row r="515" spans="13:23">
      <c r="M515" s="9"/>
      <c r="W515" s="6"/>
    </row>
    <row r="516" spans="13:23">
      <c r="M516" s="9"/>
      <c r="W516" s="6"/>
    </row>
    <row r="517" spans="13:23">
      <c r="M517" s="9"/>
      <c r="W517" s="6"/>
    </row>
    <row r="518" spans="13:23">
      <c r="M518" s="9"/>
      <c r="W518" s="6"/>
    </row>
    <row r="519" spans="13:23">
      <c r="M519" s="9"/>
      <c r="W519" s="6"/>
    </row>
    <row r="520" spans="13:23">
      <c r="M520" s="9"/>
      <c r="W520" s="6"/>
    </row>
    <row r="521" spans="13:23">
      <c r="M521" s="9"/>
      <c r="W521" s="6"/>
    </row>
    <row r="522" spans="13:23">
      <c r="M522" s="9"/>
      <c r="W522" s="6"/>
    </row>
    <row r="523" spans="13:23">
      <c r="M523" s="9"/>
      <c r="W523" s="6"/>
    </row>
    <row r="524" spans="13:23">
      <c r="M524" s="9"/>
      <c r="W524" s="6"/>
    </row>
    <row r="525" spans="13:23">
      <c r="M525" s="9"/>
      <c r="W525" s="6"/>
    </row>
    <row r="526" spans="13:23">
      <c r="M526" s="9"/>
      <c r="W526" s="6"/>
    </row>
    <row r="527" spans="13:23">
      <c r="M527" s="9"/>
      <c r="W527" s="6"/>
    </row>
    <row r="528" spans="13:23">
      <c r="M528" s="9"/>
      <c r="W528" s="6"/>
    </row>
    <row r="529" spans="13:23">
      <c r="M529" s="9"/>
      <c r="W529" s="6"/>
    </row>
    <row r="530" spans="13:23">
      <c r="M530" s="9"/>
      <c r="W530" s="6"/>
    </row>
    <row r="531" spans="13:23">
      <c r="M531" s="9"/>
      <c r="W531" s="6"/>
    </row>
    <row r="532" spans="13:23">
      <c r="M532" s="9"/>
      <c r="W532" s="6"/>
    </row>
    <row r="533" spans="13:23">
      <c r="M533" s="9"/>
      <c r="W533" s="6"/>
    </row>
    <row r="534" spans="13:23">
      <c r="M534" s="9"/>
      <c r="W534" s="6"/>
    </row>
    <row r="535" spans="13:23">
      <c r="M535" s="9"/>
      <c r="W535" s="6"/>
    </row>
    <row r="536" spans="13:23">
      <c r="M536" s="9"/>
      <c r="W536" s="6"/>
    </row>
    <row r="537" spans="13:23">
      <c r="M537" s="9"/>
      <c r="W537" s="6"/>
    </row>
    <row r="538" spans="13:23">
      <c r="M538" s="9"/>
      <c r="W538" s="6"/>
    </row>
    <row r="539" spans="13:23">
      <c r="M539" s="9"/>
      <c r="W539" s="6"/>
    </row>
    <row r="540" spans="13:23">
      <c r="M540" s="9"/>
      <c r="W540" s="6"/>
    </row>
    <row r="541" spans="13:23">
      <c r="M541" s="9"/>
      <c r="W541" s="6"/>
    </row>
    <row r="542" spans="13:23">
      <c r="M542" s="9"/>
      <c r="W542" s="6"/>
    </row>
    <row r="543" spans="13:23">
      <c r="M543" s="9"/>
      <c r="W543" s="6"/>
    </row>
    <row r="544" spans="13:23">
      <c r="M544" s="9"/>
      <c r="W544" s="6"/>
    </row>
    <row r="545" spans="13:23">
      <c r="M545" s="9"/>
      <c r="W545" s="6"/>
    </row>
    <row r="546" spans="13:23">
      <c r="M546" s="9"/>
      <c r="W546" s="6"/>
    </row>
    <row r="547" spans="13:23">
      <c r="M547" s="9"/>
      <c r="W547" s="6"/>
    </row>
    <row r="548" spans="13:23">
      <c r="M548" s="9"/>
      <c r="W548" s="6"/>
    </row>
    <row r="549" spans="13:23">
      <c r="M549" s="9"/>
      <c r="W549" s="6"/>
    </row>
    <row r="550" spans="13:23">
      <c r="M550" s="9"/>
      <c r="W550" s="6"/>
    </row>
    <row r="551" spans="13:23">
      <c r="M551" s="9"/>
      <c r="W551" s="6"/>
    </row>
    <row r="552" spans="13:23">
      <c r="M552" s="9"/>
      <c r="W552" s="6"/>
    </row>
    <row r="553" spans="13:23">
      <c r="M553" s="9"/>
      <c r="W553" s="6"/>
    </row>
    <row r="554" spans="13:23">
      <c r="M554" s="9"/>
      <c r="W554" s="6"/>
    </row>
    <row r="555" spans="13:23">
      <c r="M555" s="9"/>
      <c r="W555" s="6"/>
    </row>
    <row r="556" spans="13:23">
      <c r="M556" s="9"/>
      <c r="W556" s="6"/>
    </row>
    <row r="557" spans="13:23">
      <c r="M557" s="9"/>
      <c r="W557" s="6"/>
    </row>
    <row r="558" spans="13:23">
      <c r="M558" s="9"/>
      <c r="W558" s="6"/>
    </row>
    <row r="559" spans="13:23">
      <c r="M559" s="9"/>
      <c r="W559" s="6"/>
    </row>
    <row r="560" spans="13:23">
      <c r="M560" s="9"/>
      <c r="W560" s="6"/>
    </row>
    <row r="561" spans="13:23">
      <c r="M561" s="9"/>
      <c r="W561" s="6"/>
    </row>
    <row r="562" spans="13:23">
      <c r="M562" s="9"/>
      <c r="W562" s="6"/>
    </row>
    <row r="563" spans="13:23">
      <c r="M563" s="9"/>
      <c r="W563" s="6"/>
    </row>
    <row r="564" spans="13:23">
      <c r="M564" s="9"/>
      <c r="W564" s="6"/>
    </row>
    <row r="565" spans="13:23">
      <c r="M565" s="9"/>
      <c r="W565" s="6"/>
    </row>
    <row r="566" spans="13:23">
      <c r="M566" s="9"/>
      <c r="W566" s="6"/>
    </row>
    <row r="567" spans="13:23">
      <c r="M567" s="9"/>
      <c r="W567" s="6"/>
    </row>
    <row r="568" spans="13:23">
      <c r="M568" s="9"/>
      <c r="W568" s="6"/>
    </row>
    <row r="569" spans="13:23">
      <c r="M569" s="9"/>
      <c r="W569" s="6"/>
    </row>
    <row r="570" spans="13:23">
      <c r="M570" s="9"/>
      <c r="W570" s="6"/>
    </row>
    <row r="571" spans="13:23">
      <c r="M571" s="9"/>
      <c r="W571" s="6"/>
    </row>
    <row r="572" spans="13:23">
      <c r="M572" s="9"/>
      <c r="W572" s="6"/>
    </row>
    <row r="573" spans="13:23">
      <c r="M573" s="9"/>
      <c r="W573" s="6"/>
    </row>
    <row r="574" spans="13:23">
      <c r="M574" s="9"/>
      <c r="W574" s="6"/>
    </row>
    <row r="575" spans="13:23">
      <c r="M575" s="9"/>
      <c r="W575" s="6"/>
    </row>
    <row r="576" spans="13:23">
      <c r="M576" s="9"/>
      <c r="W576" s="6"/>
    </row>
    <row r="577" spans="13:23">
      <c r="M577" s="9"/>
      <c r="W577" s="6"/>
    </row>
    <row r="578" spans="13:23">
      <c r="M578" s="9"/>
      <c r="W578" s="6"/>
    </row>
    <row r="579" spans="13:23">
      <c r="M579" s="9"/>
      <c r="W579" s="6"/>
    </row>
    <row r="580" spans="13:23">
      <c r="M580" s="9"/>
      <c r="W580" s="6"/>
    </row>
    <row r="581" spans="13:23">
      <c r="M581" s="9"/>
      <c r="W581" s="6"/>
    </row>
    <row r="582" spans="13:23">
      <c r="M582" s="9"/>
      <c r="W582" s="6"/>
    </row>
    <row r="583" spans="13:23">
      <c r="M583" s="9"/>
      <c r="W583" s="6"/>
    </row>
    <row r="584" spans="13:23">
      <c r="M584" s="9"/>
      <c r="W584" s="6"/>
    </row>
    <row r="585" spans="13:23">
      <c r="M585" s="9"/>
      <c r="W585" s="6"/>
    </row>
    <row r="586" spans="13:23">
      <c r="M586" s="9"/>
      <c r="W586" s="6"/>
    </row>
    <row r="587" spans="13:23">
      <c r="M587" s="9"/>
      <c r="W587" s="6"/>
    </row>
    <row r="588" spans="13:23">
      <c r="M588" s="9"/>
      <c r="W588" s="6"/>
    </row>
    <row r="589" spans="13:23">
      <c r="M589" s="9"/>
      <c r="W589" s="6"/>
    </row>
    <row r="590" spans="13:23">
      <c r="M590" s="9"/>
      <c r="W590" s="6"/>
    </row>
    <row r="591" spans="13:23">
      <c r="M591" s="9"/>
      <c r="W591" s="6"/>
    </row>
    <row r="592" spans="13:23">
      <c r="M592" s="9"/>
      <c r="W592" s="6"/>
    </row>
    <row r="593" spans="13:23">
      <c r="M593" s="9"/>
      <c r="W593" s="6"/>
    </row>
    <row r="594" spans="13:23">
      <c r="M594" s="9"/>
      <c r="W594" s="6"/>
    </row>
    <row r="595" spans="13:23">
      <c r="M595" s="9"/>
      <c r="W595" s="6"/>
    </row>
    <row r="596" spans="13:23">
      <c r="M596" s="9"/>
      <c r="W596" s="6"/>
    </row>
    <row r="597" spans="13:23">
      <c r="M597" s="9"/>
      <c r="W597" s="6"/>
    </row>
    <row r="598" spans="13:23">
      <c r="M598" s="9"/>
      <c r="W598" s="6"/>
    </row>
    <row r="599" spans="13:23">
      <c r="M599" s="9"/>
      <c r="W599" s="6"/>
    </row>
    <row r="600" spans="13:23">
      <c r="M600" s="9"/>
      <c r="W600" s="6"/>
    </row>
    <row r="601" spans="13:23">
      <c r="M601" s="9"/>
      <c r="W601" s="6"/>
    </row>
    <row r="602" spans="13:23">
      <c r="M602" s="9"/>
      <c r="W602" s="6"/>
    </row>
    <row r="603" spans="13:23">
      <c r="M603" s="9"/>
      <c r="W603" s="6"/>
    </row>
    <row r="604" spans="13:23">
      <c r="M604" s="9"/>
      <c r="W604" s="6"/>
    </row>
    <row r="605" spans="13:23">
      <c r="M605" s="9"/>
      <c r="W605" s="6"/>
    </row>
    <row r="606" spans="13:23">
      <c r="M606" s="9"/>
      <c r="W606" s="6"/>
    </row>
    <row r="607" spans="13:23">
      <c r="M607" s="9"/>
      <c r="W607" s="6"/>
    </row>
    <row r="608" spans="13:23">
      <c r="M608" s="9"/>
      <c r="W608" s="6"/>
    </row>
    <row r="609" spans="13:23">
      <c r="M609" s="9"/>
      <c r="W609" s="6"/>
    </row>
    <row r="610" spans="13:23">
      <c r="M610" s="9"/>
      <c r="W610" s="6"/>
    </row>
    <row r="611" spans="13:23">
      <c r="M611" s="9"/>
      <c r="W611" s="6"/>
    </row>
    <row r="612" spans="13:23">
      <c r="M612" s="9"/>
      <c r="W612" s="6"/>
    </row>
    <row r="613" spans="13:23">
      <c r="M613" s="9"/>
      <c r="W613" s="6"/>
    </row>
    <row r="614" spans="13:23">
      <c r="M614" s="9"/>
      <c r="W614" s="6"/>
    </row>
    <row r="615" spans="13:23">
      <c r="M615" s="9"/>
      <c r="W615" s="6"/>
    </row>
    <row r="616" spans="13:23">
      <c r="M616" s="9"/>
      <c r="W616" s="6"/>
    </row>
    <row r="617" spans="13:23">
      <c r="M617" s="9"/>
      <c r="W617" s="6"/>
    </row>
    <row r="618" spans="13:23">
      <c r="M618" s="9"/>
      <c r="W618" s="6"/>
    </row>
    <row r="619" spans="13:23">
      <c r="M619" s="9"/>
      <c r="W619" s="6"/>
    </row>
    <row r="620" spans="13:23">
      <c r="M620" s="9"/>
      <c r="W620" s="6"/>
    </row>
    <row r="621" spans="13:23">
      <c r="M621" s="9"/>
      <c r="W621" s="6"/>
    </row>
    <row r="622" spans="13:23">
      <c r="M622" s="9"/>
      <c r="W622" s="6"/>
    </row>
    <row r="623" spans="13:23">
      <c r="M623" s="9"/>
      <c r="W623" s="6"/>
    </row>
    <row r="624" spans="13:23">
      <c r="M624" s="9"/>
      <c r="W624" s="6"/>
    </row>
    <row r="625" spans="13:23">
      <c r="M625" s="9"/>
      <c r="W625" s="6"/>
    </row>
    <row r="626" spans="13:23">
      <c r="M626" s="9"/>
      <c r="W626" s="6"/>
    </row>
    <row r="627" spans="13:23">
      <c r="M627" s="9"/>
      <c r="W627" s="6"/>
    </row>
    <row r="628" spans="13:23">
      <c r="M628" s="9"/>
      <c r="W628" s="6"/>
    </row>
    <row r="629" spans="13:23">
      <c r="M629" s="9"/>
      <c r="W629" s="6"/>
    </row>
    <row r="630" spans="13:23">
      <c r="M630" s="9"/>
      <c r="W630" s="6"/>
    </row>
    <row r="631" spans="13:23">
      <c r="M631" s="9"/>
      <c r="W631" s="6"/>
    </row>
    <row r="632" spans="13:23">
      <c r="M632" s="9"/>
      <c r="W632" s="6"/>
    </row>
    <row r="633" spans="13:23">
      <c r="M633" s="9"/>
      <c r="W633" s="6"/>
    </row>
    <row r="634" spans="13:23">
      <c r="M634" s="9"/>
      <c r="W634" s="6"/>
    </row>
    <row r="635" spans="13:23">
      <c r="M635" s="9"/>
      <c r="W635" s="6"/>
    </row>
    <row r="636" spans="13:23">
      <c r="M636" s="9"/>
      <c r="W636" s="6"/>
    </row>
    <row r="637" spans="13:23">
      <c r="M637" s="9"/>
      <c r="W637" s="6"/>
    </row>
    <row r="638" spans="13:23">
      <c r="M638" s="9"/>
      <c r="W638" s="6"/>
    </row>
    <row r="639" spans="13:23">
      <c r="M639" s="9"/>
      <c r="W639" s="6"/>
    </row>
    <row r="640" spans="13:23">
      <c r="M640" s="9"/>
      <c r="W640" s="6"/>
    </row>
    <row r="641" spans="13:23">
      <c r="M641" s="9"/>
      <c r="W641" s="6"/>
    </row>
    <row r="642" spans="13:23">
      <c r="M642" s="9"/>
      <c r="W642" s="6"/>
    </row>
    <row r="643" spans="13:23">
      <c r="M643" s="9"/>
      <c r="W643" s="6"/>
    </row>
    <row r="644" spans="13:23">
      <c r="M644" s="9"/>
      <c r="W644" s="6"/>
    </row>
    <row r="645" spans="13:23">
      <c r="M645" s="9"/>
      <c r="W645" s="6"/>
    </row>
    <row r="646" spans="13:23">
      <c r="M646" s="9"/>
      <c r="W646" s="6"/>
    </row>
    <row r="647" spans="13:23">
      <c r="M647" s="9"/>
      <c r="W647" s="6"/>
    </row>
    <row r="648" spans="13:23">
      <c r="M648" s="9"/>
      <c r="W648" s="6"/>
    </row>
    <row r="649" spans="13:23">
      <c r="M649" s="9"/>
      <c r="W649" s="6"/>
    </row>
    <row r="650" spans="13:23">
      <c r="M650" s="9"/>
      <c r="W650" s="6"/>
    </row>
    <row r="651" spans="13:23">
      <c r="M651" s="9"/>
      <c r="W651" s="6"/>
    </row>
    <row r="652" spans="13:23">
      <c r="M652" s="9"/>
      <c r="W652" s="6"/>
    </row>
    <row r="653" spans="13:23">
      <c r="M653" s="9"/>
      <c r="W653" s="6"/>
    </row>
    <row r="654" spans="13:23">
      <c r="M654" s="9"/>
      <c r="W654" s="6"/>
    </row>
    <row r="655" spans="13:23">
      <c r="M655" s="9"/>
      <c r="W655" s="6"/>
    </row>
    <row r="656" spans="13:23">
      <c r="M656" s="9"/>
      <c r="W656" s="6"/>
    </row>
    <row r="657" spans="13:23">
      <c r="M657" s="9"/>
      <c r="W657" s="6"/>
    </row>
    <row r="658" spans="13:23">
      <c r="M658" s="9"/>
      <c r="W658" s="6"/>
    </row>
    <row r="659" spans="13:23">
      <c r="M659" s="9"/>
      <c r="W659" s="6"/>
    </row>
    <row r="660" spans="13:23">
      <c r="M660" s="9"/>
      <c r="W660" s="6"/>
    </row>
    <row r="661" spans="13:23">
      <c r="M661" s="9"/>
      <c r="W661" s="6"/>
    </row>
    <row r="662" spans="13:23">
      <c r="M662" s="9"/>
      <c r="W662" s="6"/>
    </row>
    <row r="663" spans="13:23">
      <c r="M663" s="9"/>
      <c r="W663" s="6"/>
    </row>
    <row r="664" spans="13:23">
      <c r="M664" s="9"/>
      <c r="W664" s="6"/>
    </row>
    <row r="665" spans="13:23">
      <c r="M665" s="9"/>
      <c r="W665" s="6"/>
    </row>
    <row r="666" spans="13:23">
      <c r="M666" s="9"/>
      <c r="W666" s="6"/>
    </row>
    <row r="667" spans="13:23">
      <c r="M667" s="9"/>
      <c r="W667" s="6"/>
    </row>
    <row r="668" spans="13:23">
      <c r="M668" s="9"/>
      <c r="W668" s="6"/>
    </row>
    <row r="669" spans="13:23">
      <c r="M669" s="9"/>
      <c r="W669" s="6"/>
    </row>
    <row r="670" spans="13:23">
      <c r="M670" s="9"/>
      <c r="W670" s="6"/>
    </row>
    <row r="671" spans="13:23">
      <c r="M671" s="9"/>
      <c r="W671" s="6"/>
    </row>
    <row r="672" spans="13:23">
      <c r="M672" s="9"/>
      <c r="W672" s="6"/>
    </row>
    <row r="673" spans="13:23">
      <c r="M673" s="9"/>
      <c r="W673" s="6"/>
    </row>
    <row r="674" spans="13:23">
      <c r="M674" s="9"/>
      <c r="W674" s="6"/>
    </row>
    <row r="675" spans="13:23">
      <c r="M675" s="9"/>
      <c r="W675" s="6"/>
    </row>
    <row r="676" spans="13:23">
      <c r="M676" s="9"/>
      <c r="W676" s="6"/>
    </row>
    <row r="677" spans="13:23">
      <c r="M677" s="9"/>
      <c r="W677" s="6"/>
    </row>
    <row r="678" spans="13:23">
      <c r="M678" s="9"/>
      <c r="W678" s="6"/>
    </row>
    <row r="679" spans="13:23">
      <c r="M679" s="9"/>
      <c r="W679" s="6"/>
    </row>
    <row r="680" spans="13:23">
      <c r="M680" s="9"/>
      <c r="W680" s="6"/>
    </row>
    <row r="681" spans="13:23">
      <c r="M681" s="9"/>
      <c r="W681" s="6"/>
    </row>
    <row r="682" spans="13:23">
      <c r="M682" s="9"/>
      <c r="W682" s="6"/>
    </row>
    <row r="683" spans="13:23">
      <c r="M683" s="9"/>
      <c r="W683" s="6"/>
    </row>
    <row r="684" spans="13:23">
      <c r="M684" s="9"/>
      <c r="W684" s="6"/>
    </row>
    <row r="685" spans="13:23">
      <c r="M685" s="9"/>
      <c r="W685" s="6"/>
    </row>
    <row r="686" spans="13:23">
      <c r="M686" s="9"/>
      <c r="W686" s="6"/>
    </row>
    <row r="687" spans="13:23">
      <c r="M687" s="9"/>
      <c r="W687" s="6"/>
    </row>
    <row r="688" spans="13:23">
      <c r="M688" s="9"/>
      <c r="W688" s="6"/>
    </row>
    <row r="689" spans="13:23">
      <c r="M689" s="9"/>
      <c r="W689" s="6"/>
    </row>
    <row r="690" spans="13:23">
      <c r="M690" s="9"/>
      <c r="W690" s="6"/>
    </row>
    <row r="691" spans="13:23">
      <c r="M691" s="9"/>
      <c r="W691" s="6"/>
    </row>
    <row r="692" spans="13:23">
      <c r="M692" s="9"/>
      <c r="W692" s="6"/>
    </row>
    <row r="693" spans="13:23">
      <c r="M693" s="9"/>
      <c r="W693" s="6"/>
    </row>
    <row r="694" spans="13:23">
      <c r="M694" s="9"/>
      <c r="W694" s="6"/>
    </row>
    <row r="695" spans="13:23">
      <c r="M695" s="9"/>
      <c r="W695" s="6"/>
    </row>
    <row r="696" spans="13:23">
      <c r="M696" s="9"/>
      <c r="W696" s="6"/>
    </row>
    <row r="697" spans="13:23">
      <c r="M697" s="9"/>
      <c r="W697" s="6"/>
    </row>
    <row r="698" spans="13:23">
      <c r="M698" s="9"/>
      <c r="W698" s="6"/>
    </row>
    <row r="699" spans="13:23">
      <c r="M699" s="9"/>
      <c r="W699" s="6"/>
    </row>
    <row r="700" spans="13:23">
      <c r="M700" s="9"/>
      <c r="W700" s="6"/>
    </row>
    <row r="701" spans="13:23">
      <c r="M701" s="9"/>
      <c r="W701" s="6"/>
    </row>
    <row r="702" spans="13:23">
      <c r="M702" s="9"/>
      <c r="W702" s="6"/>
    </row>
    <row r="703" spans="13:23">
      <c r="M703" s="9"/>
      <c r="W703" s="6"/>
    </row>
    <row r="704" spans="13:23">
      <c r="M704" s="9"/>
      <c r="W704" s="6"/>
    </row>
    <row r="705" spans="13:23">
      <c r="M705" s="9"/>
      <c r="W705" s="6"/>
    </row>
    <row r="706" spans="13:23">
      <c r="M706" s="9"/>
      <c r="W706" s="6"/>
    </row>
    <row r="707" spans="13:23">
      <c r="M707" s="9"/>
      <c r="W707" s="6"/>
    </row>
    <row r="708" spans="13:23">
      <c r="M708" s="9"/>
      <c r="W708" s="6"/>
    </row>
    <row r="709" spans="13:23">
      <c r="M709" s="9"/>
      <c r="W709" s="6"/>
    </row>
    <row r="710" spans="13:23">
      <c r="M710" s="9"/>
      <c r="W710" s="6"/>
    </row>
    <row r="711" spans="13:23">
      <c r="M711" s="9"/>
      <c r="W711" s="6"/>
    </row>
    <row r="712" spans="13:23">
      <c r="M712" s="9"/>
      <c r="W712" s="6"/>
    </row>
    <row r="713" spans="13:23">
      <c r="M713" s="9"/>
      <c r="W713" s="6"/>
    </row>
    <row r="714" spans="13:23">
      <c r="M714" s="9"/>
      <c r="W714" s="6"/>
    </row>
    <row r="715" spans="13:23">
      <c r="M715" s="9"/>
      <c r="W715" s="6"/>
    </row>
    <row r="716" spans="13:23">
      <c r="M716" s="9"/>
      <c r="W716" s="6"/>
    </row>
    <row r="717" spans="13:23">
      <c r="M717" s="9"/>
      <c r="W717" s="6"/>
    </row>
    <row r="718" spans="13:23">
      <c r="M718" s="9"/>
      <c r="W718" s="6"/>
    </row>
    <row r="719" spans="13:23">
      <c r="M719" s="9"/>
      <c r="W719" s="6"/>
    </row>
    <row r="720" spans="13:23">
      <c r="M720" s="9"/>
      <c r="W720" s="6"/>
    </row>
    <row r="721" spans="13:23">
      <c r="M721" s="9"/>
      <c r="W721" s="6"/>
    </row>
    <row r="722" spans="13:23">
      <c r="M722" s="9"/>
      <c r="W722" s="6"/>
    </row>
    <row r="723" spans="13:23">
      <c r="M723" s="9"/>
      <c r="W723" s="6"/>
    </row>
    <row r="724" spans="13:23">
      <c r="M724" s="9"/>
      <c r="W724" s="6"/>
    </row>
    <row r="725" spans="13:23">
      <c r="M725" s="9"/>
      <c r="W725" s="6"/>
    </row>
    <row r="726" spans="13:23">
      <c r="M726" s="9"/>
      <c r="W726" s="6"/>
    </row>
    <row r="727" spans="13:23">
      <c r="M727" s="9"/>
      <c r="W727" s="6"/>
    </row>
    <row r="728" spans="13:23">
      <c r="M728" s="9"/>
      <c r="W728" s="6"/>
    </row>
    <row r="729" spans="13:23">
      <c r="M729" s="9"/>
      <c r="W729" s="6"/>
    </row>
    <row r="730" spans="13:23">
      <c r="M730" s="9"/>
      <c r="W730" s="6"/>
    </row>
    <row r="731" spans="13:23">
      <c r="M731" s="9"/>
      <c r="W731" s="6"/>
    </row>
    <row r="732" spans="13:23">
      <c r="M732" s="9"/>
      <c r="W732" s="6"/>
    </row>
    <row r="733" spans="13:23">
      <c r="M733" s="9"/>
      <c r="W733" s="6"/>
    </row>
    <row r="734" spans="13:23">
      <c r="M734" s="9"/>
      <c r="W734" s="6"/>
    </row>
    <row r="735" spans="13:23">
      <c r="M735" s="9"/>
      <c r="W735" s="6"/>
    </row>
    <row r="736" spans="13:23">
      <c r="M736" s="9"/>
      <c r="W736" s="6"/>
    </row>
    <row r="737" spans="13:23">
      <c r="M737" s="9"/>
      <c r="W737" s="6"/>
    </row>
    <row r="738" spans="13:23">
      <c r="M738" s="9"/>
      <c r="W738" s="6"/>
    </row>
    <row r="739" spans="13:23">
      <c r="M739" s="9"/>
      <c r="W739" s="6"/>
    </row>
    <row r="740" spans="13:23">
      <c r="M740" s="9"/>
      <c r="W740" s="6"/>
    </row>
    <row r="741" spans="13:23">
      <c r="M741" s="9"/>
      <c r="W741" s="6"/>
    </row>
    <row r="742" spans="13:23">
      <c r="M742" s="9"/>
      <c r="W742" s="6"/>
    </row>
    <row r="743" spans="13:23">
      <c r="M743" s="9"/>
      <c r="W743" s="6"/>
    </row>
    <row r="744" spans="13:23">
      <c r="M744" s="9"/>
      <c r="W744" s="6"/>
    </row>
    <row r="745" spans="13:23">
      <c r="M745" s="9"/>
      <c r="W745" s="6"/>
    </row>
    <row r="746" spans="13:23">
      <c r="M746" s="9"/>
      <c r="W746" s="6"/>
    </row>
    <row r="747" spans="13:23">
      <c r="M747" s="9"/>
      <c r="W747" s="6"/>
    </row>
    <row r="748" spans="13:23">
      <c r="M748" s="9"/>
      <c r="W748" s="6"/>
    </row>
    <row r="749" spans="13:23">
      <c r="M749" s="9"/>
      <c r="W749" s="6"/>
    </row>
    <row r="750" spans="13:23">
      <c r="M750" s="9"/>
      <c r="W750" s="6"/>
    </row>
    <row r="751" spans="13:23">
      <c r="M751" s="9"/>
      <c r="W751" s="6"/>
    </row>
    <row r="752" spans="13:23">
      <c r="M752" s="9"/>
      <c r="W752" s="6"/>
    </row>
    <row r="753" spans="13:23">
      <c r="M753" s="9"/>
      <c r="W753" s="6"/>
    </row>
    <row r="754" spans="13:23">
      <c r="M754" s="9"/>
      <c r="W754" s="6"/>
    </row>
    <row r="755" spans="13:23">
      <c r="M755" s="9"/>
      <c r="W755" s="6"/>
    </row>
    <row r="756" spans="13:23">
      <c r="M756" s="9"/>
      <c r="W756" s="6"/>
    </row>
    <row r="757" spans="13:23">
      <c r="M757" s="9"/>
      <c r="W757" s="6"/>
    </row>
    <row r="758" spans="13:23">
      <c r="M758" s="9"/>
      <c r="W758" s="6"/>
    </row>
    <row r="759" spans="13:23">
      <c r="M759" s="9"/>
      <c r="W759" s="6"/>
    </row>
    <row r="760" spans="13:23">
      <c r="M760" s="9"/>
      <c r="W760" s="6"/>
    </row>
    <row r="761" spans="13:23">
      <c r="M761" s="9"/>
      <c r="W761" s="6"/>
    </row>
    <row r="762" spans="13:23">
      <c r="M762" s="9"/>
      <c r="W762" s="6"/>
    </row>
    <row r="763" spans="13:23">
      <c r="M763" s="9"/>
      <c r="W763" s="6"/>
    </row>
    <row r="764" spans="13:23">
      <c r="M764" s="9"/>
      <c r="W764" s="6"/>
    </row>
    <row r="765" spans="13:23">
      <c r="M765" s="9"/>
      <c r="W765" s="6"/>
    </row>
    <row r="766" spans="13:23">
      <c r="M766" s="9"/>
      <c r="W766" s="6"/>
    </row>
    <row r="767" spans="13:23">
      <c r="M767" s="9"/>
      <c r="W767" s="6"/>
    </row>
    <row r="768" spans="13:23">
      <c r="M768" s="9"/>
      <c r="W768" s="6"/>
    </row>
    <row r="769" spans="13:23">
      <c r="M769" s="9"/>
      <c r="W769" s="6"/>
    </row>
    <row r="770" spans="13:23">
      <c r="M770" s="9"/>
      <c r="W770" s="6"/>
    </row>
    <row r="771" spans="13:23">
      <c r="M771" s="9"/>
      <c r="W771" s="6"/>
    </row>
    <row r="772" spans="13:23">
      <c r="M772" s="9"/>
      <c r="W772" s="6"/>
    </row>
    <row r="773" spans="13:23">
      <c r="M773" s="9"/>
      <c r="W773" s="6"/>
    </row>
    <row r="774" spans="13:23">
      <c r="M774" s="9"/>
      <c r="W774" s="6"/>
    </row>
    <row r="775" spans="13:23">
      <c r="M775" s="9"/>
      <c r="W775" s="6"/>
    </row>
    <row r="776" spans="13:23">
      <c r="M776" s="9"/>
      <c r="W776" s="6"/>
    </row>
    <row r="777" spans="13:23">
      <c r="M777" s="9"/>
      <c r="W777" s="6"/>
    </row>
    <row r="778" spans="13:23">
      <c r="M778" s="9"/>
      <c r="W778" s="6"/>
    </row>
    <row r="779" spans="13:23">
      <c r="M779" s="9"/>
      <c r="W779" s="6"/>
    </row>
    <row r="780" spans="13:23">
      <c r="M780" s="9"/>
      <c r="W780" s="6"/>
    </row>
    <row r="781" spans="13:23">
      <c r="M781" s="9"/>
      <c r="W781" s="6"/>
    </row>
    <row r="782" spans="13:23">
      <c r="M782" s="9"/>
      <c r="W782" s="6"/>
    </row>
    <row r="783" spans="13:23">
      <c r="M783" s="9"/>
      <c r="W783" s="6"/>
    </row>
    <row r="784" spans="13:23">
      <c r="M784" s="9"/>
      <c r="W784" s="6"/>
    </row>
    <row r="785" spans="13:23">
      <c r="M785" s="9"/>
      <c r="W785" s="6"/>
    </row>
    <row r="786" spans="13:23">
      <c r="M786" s="9"/>
      <c r="W786" s="6"/>
    </row>
    <row r="787" spans="13:23">
      <c r="M787" s="9"/>
      <c r="W787" s="6"/>
    </row>
    <row r="788" spans="13:23">
      <c r="M788" s="9"/>
      <c r="W788" s="6"/>
    </row>
    <row r="789" spans="13:23">
      <c r="M789" s="9"/>
      <c r="W789" s="6"/>
    </row>
    <row r="790" spans="13:23">
      <c r="M790" s="9"/>
      <c r="W790" s="6"/>
    </row>
    <row r="791" spans="13:23">
      <c r="M791" s="9"/>
      <c r="W791" s="6"/>
    </row>
    <row r="792" spans="13:23">
      <c r="M792" s="9"/>
      <c r="W792" s="6"/>
    </row>
    <row r="793" spans="13:23">
      <c r="M793" s="9"/>
      <c r="W793" s="6"/>
    </row>
    <row r="794" spans="13:23">
      <c r="M794" s="9"/>
      <c r="W794" s="6"/>
    </row>
    <row r="795" spans="13:23">
      <c r="M795" s="9"/>
      <c r="W795" s="6"/>
    </row>
    <row r="796" spans="13:23">
      <c r="M796" s="9"/>
      <c r="W796" s="6"/>
    </row>
    <row r="797" spans="13:23">
      <c r="M797" s="9"/>
      <c r="W797" s="6"/>
    </row>
    <row r="798" spans="13:23">
      <c r="M798" s="9"/>
      <c r="W798" s="6"/>
    </row>
    <row r="799" spans="13:23">
      <c r="M799" s="9"/>
      <c r="W799" s="6"/>
    </row>
    <row r="800" spans="13:23">
      <c r="M800" s="9"/>
      <c r="W800" s="6"/>
    </row>
    <row r="801" spans="13:23">
      <c r="M801" s="9"/>
      <c r="W801" s="6"/>
    </row>
    <row r="802" spans="13:23">
      <c r="M802" s="9"/>
      <c r="W802" s="6"/>
    </row>
    <row r="803" spans="13:23">
      <c r="M803" s="9"/>
      <c r="W803" s="6"/>
    </row>
    <row r="804" spans="13:23">
      <c r="M804" s="9"/>
      <c r="W804" s="6"/>
    </row>
    <row r="805" spans="13:23">
      <c r="M805" s="9"/>
      <c r="W805" s="6"/>
    </row>
    <row r="806" spans="13:23">
      <c r="M806" s="9"/>
      <c r="W806" s="6"/>
    </row>
    <row r="807" spans="13:23">
      <c r="M807" s="9"/>
      <c r="W807" s="6"/>
    </row>
    <row r="808" spans="13:23">
      <c r="M808" s="9"/>
      <c r="W808" s="6"/>
    </row>
    <row r="809" spans="13:23">
      <c r="M809" s="9"/>
      <c r="W809" s="6"/>
    </row>
    <row r="810" spans="13:23">
      <c r="M810" s="9"/>
      <c r="W810" s="6"/>
    </row>
    <row r="811" spans="13:23">
      <c r="M811" s="9"/>
      <c r="W811" s="6"/>
    </row>
    <row r="812" spans="13:23">
      <c r="M812" s="9"/>
      <c r="W812" s="6"/>
    </row>
    <row r="813" spans="13:23">
      <c r="M813" s="9"/>
      <c r="W813" s="6"/>
    </row>
    <row r="814" spans="13:23">
      <c r="M814" s="9"/>
      <c r="W814" s="6"/>
    </row>
    <row r="815" spans="13:23">
      <c r="M815" s="9"/>
      <c r="W815" s="6"/>
    </row>
    <row r="816" spans="13:23">
      <c r="M816" s="9"/>
      <c r="W816" s="6"/>
    </row>
    <row r="817" spans="9:23">
      <c r="I817" s="7"/>
      <c r="M817" s="9"/>
      <c r="O817" s="7"/>
      <c r="W817" s="6"/>
    </row>
    <row r="818" spans="9:23">
      <c r="I818" s="7"/>
      <c r="M818" s="9"/>
      <c r="O818" s="7"/>
      <c r="W818" s="6"/>
    </row>
    <row r="819" spans="9:23">
      <c r="M819" s="9"/>
      <c r="W819" s="6"/>
    </row>
    <row r="820" spans="9:23">
      <c r="M820" s="9"/>
      <c r="W820" s="6"/>
    </row>
    <row r="821" spans="9:23">
      <c r="M821" s="9"/>
      <c r="W821" s="6"/>
    </row>
    <row r="822" spans="9:23">
      <c r="M822" s="9"/>
      <c r="W822" s="6"/>
    </row>
    <row r="823" spans="9:23">
      <c r="M823" s="9"/>
      <c r="W823" s="6"/>
    </row>
    <row r="824" spans="9:23">
      <c r="M824" s="9"/>
      <c r="W824" s="6"/>
    </row>
    <row r="825" spans="9:23">
      <c r="M825" s="9"/>
      <c r="W825" s="6"/>
    </row>
    <row r="826" spans="9:23">
      <c r="M826" s="9"/>
      <c r="W826" s="6"/>
    </row>
    <row r="827" spans="9:23">
      <c r="M827" s="9"/>
      <c r="W827" s="6"/>
    </row>
    <row r="828" spans="9:23">
      <c r="M828" s="9"/>
      <c r="W828" s="6"/>
    </row>
    <row r="829" spans="9:23">
      <c r="M829" s="9"/>
      <c r="W829" s="6"/>
    </row>
    <row r="830" spans="9:23">
      <c r="M830" s="9"/>
      <c r="W830" s="6"/>
    </row>
    <row r="831" spans="9:23">
      <c r="M831" s="9"/>
      <c r="W831" s="6"/>
    </row>
    <row r="832" spans="9:23">
      <c r="M832" s="9"/>
      <c r="W832" s="6"/>
    </row>
    <row r="833" spans="13:23">
      <c r="M833" s="9"/>
      <c r="W833" s="6"/>
    </row>
    <row r="834" spans="13:23">
      <c r="M834" s="9"/>
      <c r="W834" s="6"/>
    </row>
    <row r="835" spans="13:23">
      <c r="M835" s="9"/>
      <c r="W835" s="6"/>
    </row>
    <row r="836" spans="13:23">
      <c r="M836" s="9"/>
      <c r="W836" s="6"/>
    </row>
    <row r="837" spans="13:23">
      <c r="M837" s="9"/>
      <c r="W837" s="6"/>
    </row>
    <row r="838" spans="13:23">
      <c r="M838" s="9"/>
      <c r="W838" s="6"/>
    </row>
    <row r="839" spans="13:23">
      <c r="M839" s="9"/>
      <c r="W839" s="6"/>
    </row>
    <row r="840" spans="13:23">
      <c r="M840" s="9"/>
      <c r="W840" s="6"/>
    </row>
    <row r="841" spans="13:23">
      <c r="M841" s="9"/>
      <c r="W841" s="6"/>
    </row>
    <row r="842" spans="13:23">
      <c r="M842" s="9"/>
      <c r="W842" s="6"/>
    </row>
    <row r="843" spans="13:23">
      <c r="M843" s="9"/>
      <c r="W843" s="6"/>
    </row>
    <row r="844" spans="13:23">
      <c r="M844" s="9"/>
      <c r="W844" s="6"/>
    </row>
    <row r="845" spans="13:23">
      <c r="M845" s="9"/>
      <c r="W845" s="6"/>
    </row>
    <row r="846" spans="13:23">
      <c r="M846" s="9"/>
      <c r="W846" s="6"/>
    </row>
    <row r="847" spans="13:23">
      <c r="M847" s="9"/>
      <c r="W847" s="6"/>
    </row>
    <row r="848" spans="13:23">
      <c r="M848" s="9"/>
      <c r="W848" s="6"/>
    </row>
    <row r="849" spans="13:23">
      <c r="M849" s="9"/>
      <c r="W849" s="6"/>
    </row>
    <row r="850" spans="13:23">
      <c r="M850" s="9"/>
      <c r="W850" s="6"/>
    </row>
    <row r="851" spans="13:23">
      <c r="M851" s="9"/>
      <c r="W851" s="6"/>
    </row>
    <row r="852" spans="13:23">
      <c r="M852" s="9"/>
      <c r="W852" s="6"/>
    </row>
    <row r="853" spans="13:23">
      <c r="M853" s="9"/>
      <c r="W853" s="6"/>
    </row>
    <row r="854" spans="13:23">
      <c r="M854" s="9"/>
      <c r="W854" s="6"/>
    </row>
    <row r="855" spans="13:23">
      <c r="M855" s="9"/>
      <c r="W855" s="6"/>
    </row>
    <row r="856" spans="13:23">
      <c r="M856" s="9"/>
      <c r="W856" s="6"/>
    </row>
    <row r="857" spans="13:23">
      <c r="M857" s="9"/>
      <c r="W857" s="6"/>
    </row>
    <row r="858" spans="13:23">
      <c r="M858" s="9"/>
      <c r="W858" s="6"/>
    </row>
    <row r="859" spans="13:23">
      <c r="M859" s="9"/>
      <c r="W859" s="6"/>
    </row>
    <row r="860" spans="13:23">
      <c r="M860" s="9"/>
      <c r="W860" s="6"/>
    </row>
    <row r="861" spans="13:23">
      <c r="M861" s="9"/>
      <c r="W861" s="6"/>
    </row>
    <row r="862" spans="13:23">
      <c r="M862" s="9"/>
      <c r="W862" s="6"/>
    </row>
    <row r="863" spans="13:23">
      <c r="M863" s="9"/>
      <c r="W863" s="6"/>
    </row>
    <row r="864" spans="13:23">
      <c r="M864" s="9"/>
      <c r="W864" s="6"/>
    </row>
    <row r="865" spans="13:23">
      <c r="M865" s="9"/>
      <c r="W865" s="6"/>
    </row>
    <row r="866" spans="13:23">
      <c r="M866" s="9"/>
      <c r="W866" s="6"/>
    </row>
    <row r="867" spans="13:23">
      <c r="M867" s="9"/>
      <c r="W867" s="6"/>
    </row>
    <row r="868" spans="13:23">
      <c r="M868" s="9"/>
      <c r="W868" s="6"/>
    </row>
    <row r="869" spans="13:23">
      <c r="M869" s="9"/>
      <c r="W869" s="6"/>
    </row>
    <row r="870" spans="13:23">
      <c r="M870" s="9"/>
      <c r="W870" s="6"/>
    </row>
    <row r="871" spans="13:23">
      <c r="M871" s="9"/>
      <c r="W871" s="6"/>
    </row>
    <row r="872" spans="13:23">
      <c r="M872" s="9"/>
      <c r="W872" s="6"/>
    </row>
    <row r="873" spans="13:23">
      <c r="M873" s="9"/>
      <c r="W873" s="6"/>
    </row>
    <row r="874" spans="13:23">
      <c r="M874" s="9"/>
      <c r="W874" s="6"/>
    </row>
    <row r="875" spans="13:23">
      <c r="M875" s="9"/>
      <c r="W875" s="6"/>
    </row>
    <row r="876" spans="13:23">
      <c r="M876" s="9"/>
      <c r="W876" s="6"/>
    </row>
    <row r="877" spans="13:23">
      <c r="M877" s="9"/>
      <c r="W877" s="6"/>
    </row>
    <row r="878" spans="13:23">
      <c r="M878" s="9"/>
      <c r="W878" s="6"/>
    </row>
    <row r="879" spans="13:23">
      <c r="M879" s="9"/>
      <c r="W879" s="6"/>
    </row>
    <row r="880" spans="13:23">
      <c r="M880" s="9"/>
      <c r="W880" s="6"/>
    </row>
    <row r="881" spans="13:23">
      <c r="M881" s="9"/>
      <c r="W881" s="6"/>
    </row>
    <row r="882" spans="13:23">
      <c r="M882" s="9"/>
      <c r="W882" s="6"/>
    </row>
    <row r="883" spans="13:23">
      <c r="M883" s="9"/>
      <c r="W883" s="6"/>
    </row>
    <row r="884" spans="13:23">
      <c r="M884" s="9"/>
      <c r="W884" s="6"/>
    </row>
    <row r="885" spans="13:23">
      <c r="M885" s="9"/>
      <c r="W885" s="6"/>
    </row>
    <row r="886" spans="13:23">
      <c r="M886" s="9"/>
      <c r="W886" s="6"/>
    </row>
    <row r="887" spans="13:23">
      <c r="M887" s="9"/>
      <c r="W887" s="6"/>
    </row>
    <row r="888" spans="13:23">
      <c r="M888" s="9"/>
      <c r="W888" s="6"/>
    </row>
    <row r="889" spans="13:23">
      <c r="M889" s="9"/>
      <c r="W889" s="6"/>
    </row>
    <row r="890" spans="13:23">
      <c r="M890" s="9"/>
      <c r="W890" s="6"/>
    </row>
    <row r="891" spans="13:23">
      <c r="M891" s="9"/>
      <c r="W891" s="6"/>
    </row>
    <row r="892" spans="13:23">
      <c r="M892" s="9"/>
      <c r="W892" s="6"/>
    </row>
    <row r="893" spans="13:23">
      <c r="M893" s="9"/>
      <c r="W893" s="6"/>
    </row>
    <row r="894" spans="13:23">
      <c r="M894" s="9"/>
      <c r="W894" s="6"/>
    </row>
    <row r="895" spans="13:23">
      <c r="M895" s="9"/>
      <c r="W895" s="6"/>
    </row>
    <row r="896" spans="13:23">
      <c r="M896" s="9"/>
      <c r="W896" s="6"/>
    </row>
    <row r="897" spans="13:23">
      <c r="M897" s="9"/>
      <c r="W897" s="6"/>
    </row>
    <row r="898" spans="13:23">
      <c r="M898" s="9"/>
      <c r="W898" s="6"/>
    </row>
    <row r="899" spans="13:23">
      <c r="M899" s="9"/>
      <c r="W899" s="6"/>
    </row>
    <row r="900" spans="13:23">
      <c r="M900" s="9"/>
      <c r="W900" s="6"/>
    </row>
    <row r="901" spans="13:23">
      <c r="M901" s="9"/>
      <c r="W901" s="6"/>
    </row>
    <row r="902" spans="13:23">
      <c r="M902" s="9"/>
      <c r="W902" s="6"/>
    </row>
    <row r="903" spans="13:23">
      <c r="M903" s="9"/>
      <c r="W903" s="6"/>
    </row>
    <row r="904" spans="13:23">
      <c r="M904" s="9"/>
      <c r="W904" s="6"/>
    </row>
    <row r="905" spans="13:23">
      <c r="M905" s="9"/>
      <c r="W905" s="6"/>
    </row>
    <row r="906" spans="13:23">
      <c r="M906" s="9"/>
      <c r="W906" s="6"/>
    </row>
    <row r="907" spans="13:23">
      <c r="M907" s="9"/>
      <c r="W907" s="6"/>
    </row>
    <row r="908" spans="13:23">
      <c r="M908" s="9"/>
      <c r="W908" s="6"/>
    </row>
    <row r="909" spans="13:23">
      <c r="M909" s="9"/>
      <c r="W909" s="6"/>
    </row>
    <row r="910" spans="13:23">
      <c r="M910" s="9"/>
      <c r="W910" s="6"/>
    </row>
    <row r="911" spans="13:23">
      <c r="M911" s="9"/>
      <c r="W911" s="6"/>
    </row>
    <row r="912" spans="13:23">
      <c r="M912" s="9"/>
      <c r="W912" s="6"/>
    </row>
    <row r="913" spans="13:23">
      <c r="M913" s="9"/>
      <c r="W913" s="6"/>
    </row>
    <row r="914" spans="13:23">
      <c r="M914" s="9"/>
      <c r="W914" s="6"/>
    </row>
    <row r="915" spans="13:23">
      <c r="M915" s="9"/>
      <c r="W915" s="6"/>
    </row>
    <row r="916" spans="13:23">
      <c r="M916" s="9"/>
      <c r="W916" s="6"/>
    </row>
    <row r="917" spans="13:23">
      <c r="M917" s="9"/>
      <c r="W917" s="6"/>
    </row>
    <row r="918" spans="13:23">
      <c r="M918" s="9"/>
      <c r="W918" s="6"/>
    </row>
    <row r="919" spans="13:23">
      <c r="M919" s="9"/>
      <c r="W919" s="6"/>
    </row>
    <row r="920" spans="13:23">
      <c r="M920" s="9"/>
      <c r="W920" s="6"/>
    </row>
    <row r="921" spans="13:23">
      <c r="M921" s="9"/>
      <c r="W921" s="6"/>
    </row>
    <row r="922" spans="13:23">
      <c r="M922" s="9"/>
      <c r="W922" s="6"/>
    </row>
    <row r="923" spans="13:23">
      <c r="M923" s="9"/>
      <c r="W923" s="6"/>
    </row>
    <row r="924" spans="13:23">
      <c r="M924" s="9"/>
      <c r="W924" s="6"/>
    </row>
    <row r="925" spans="13:23">
      <c r="M925" s="9"/>
      <c r="W925" s="6"/>
    </row>
    <row r="926" spans="13:23">
      <c r="M926" s="9"/>
      <c r="W926" s="6"/>
    </row>
    <row r="927" spans="13:23">
      <c r="M927" s="9"/>
      <c r="W927" s="6"/>
    </row>
    <row r="928" spans="13:23">
      <c r="M928" s="9"/>
      <c r="W928" s="6"/>
    </row>
    <row r="929" spans="13:23">
      <c r="M929" s="9"/>
      <c r="W929" s="6"/>
    </row>
    <row r="930" spans="13:23">
      <c r="M930" s="9"/>
      <c r="W930" s="6"/>
    </row>
    <row r="931" spans="13:23">
      <c r="M931" s="9"/>
      <c r="W931" s="6"/>
    </row>
    <row r="932" spans="13:23">
      <c r="M932" s="9"/>
      <c r="W932" s="6"/>
    </row>
    <row r="933" spans="13:23">
      <c r="M933" s="9"/>
      <c r="W933" s="6"/>
    </row>
    <row r="934" spans="13:23">
      <c r="M934" s="9"/>
      <c r="W934" s="6"/>
    </row>
    <row r="935" spans="13:23">
      <c r="M935" s="9"/>
      <c r="W935" s="6"/>
    </row>
    <row r="936" spans="13:23">
      <c r="M936" s="9"/>
      <c r="W936" s="6"/>
    </row>
    <row r="937" spans="13:23">
      <c r="M937" s="9"/>
      <c r="W937" s="6"/>
    </row>
    <row r="938" spans="13:23">
      <c r="M938" s="9"/>
      <c r="W938" s="6"/>
    </row>
    <row r="939" spans="13:23">
      <c r="M939" s="9"/>
      <c r="W939" s="6"/>
    </row>
    <row r="940" spans="13:23">
      <c r="M940" s="9"/>
      <c r="W940" s="6"/>
    </row>
    <row r="941" spans="13:23">
      <c r="M941" s="9"/>
      <c r="W941" s="6"/>
    </row>
    <row r="942" spans="13:23">
      <c r="M942" s="9"/>
      <c r="W942" s="6"/>
    </row>
    <row r="943" spans="13:23">
      <c r="M943" s="9"/>
      <c r="W943" s="6"/>
    </row>
    <row r="944" spans="13:23">
      <c r="M944" s="9"/>
      <c r="W944" s="6"/>
    </row>
    <row r="945" spans="13:23">
      <c r="M945" s="9"/>
      <c r="W945" s="6"/>
    </row>
    <row r="946" spans="13:23">
      <c r="M946" s="9"/>
      <c r="W946" s="6"/>
    </row>
    <row r="947" spans="13:23">
      <c r="M947" s="9"/>
      <c r="W947" s="6"/>
    </row>
    <row r="948" spans="13:23">
      <c r="M948" s="9"/>
      <c r="W948" s="6"/>
    </row>
    <row r="949" spans="13:23">
      <c r="M949" s="9"/>
      <c r="W949" s="6"/>
    </row>
    <row r="950" spans="13:23">
      <c r="M950" s="9"/>
      <c r="W950" s="6"/>
    </row>
    <row r="951" spans="13:23">
      <c r="M951" s="9"/>
      <c r="W951" s="6"/>
    </row>
    <row r="952" spans="13:23">
      <c r="M952" s="9"/>
      <c r="W952" s="6"/>
    </row>
    <row r="953" spans="13:23">
      <c r="M953" s="9"/>
      <c r="W953" s="6"/>
    </row>
    <row r="954" spans="13:23">
      <c r="M954" s="9"/>
      <c r="W954" s="6"/>
    </row>
    <row r="955" spans="13:23">
      <c r="M955" s="9"/>
      <c r="W955" s="6"/>
    </row>
    <row r="956" spans="13:23">
      <c r="M956" s="9"/>
      <c r="W956" s="6"/>
    </row>
    <row r="957" spans="13:23">
      <c r="M957" s="9"/>
      <c r="W957" s="6"/>
    </row>
    <row r="958" spans="13:23">
      <c r="M958" s="9"/>
      <c r="W958" s="6"/>
    </row>
    <row r="959" spans="13:23">
      <c r="M959" s="9"/>
      <c r="W959" s="6"/>
    </row>
    <row r="960" spans="13:23">
      <c r="M960" s="9"/>
      <c r="W960" s="6"/>
    </row>
    <row r="961" spans="13:23">
      <c r="M961" s="9"/>
      <c r="W961" s="6"/>
    </row>
    <row r="962" spans="13:23">
      <c r="M962" s="9"/>
      <c r="W962" s="6"/>
    </row>
    <row r="963" spans="13:23">
      <c r="M963" s="9"/>
      <c r="W963" s="6"/>
    </row>
    <row r="964" spans="13:23">
      <c r="M964" s="9"/>
      <c r="W964" s="6"/>
    </row>
    <row r="965" spans="13:23">
      <c r="M965" s="9"/>
      <c r="W965" s="6"/>
    </row>
    <row r="966" spans="13:23">
      <c r="M966" s="9"/>
      <c r="W966" s="6"/>
    </row>
    <row r="967" spans="13:23">
      <c r="M967" s="9"/>
      <c r="W967" s="6"/>
    </row>
    <row r="968" spans="13:23">
      <c r="M968" s="9"/>
      <c r="W968" s="6"/>
    </row>
    <row r="969" spans="13:23">
      <c r="M969" s="9"/>
      <c r="W969" s="6"/>
    </row>
    <row r="970" spans="13:23">
      <c r="M970" s="9"/>
      <c r="W970" s="6"/>
    </row>
    <row r="971" spans="13:23">
      <c r="M971" s="9"/>
      <c r="W971" s="6"/>
    </row>
    <row r="972" spans="13:23">
      <c r="M972" s="9"/>
      <c r="W972" s="6"/>
    </row>
    <row r="973" spans="13:23">
      <c r="M973" s="9"/>
      <c r="W973" s="6"/>
    </row>
    <row r="974" spans="13:23">
      <c r="M974" s="9"/>
      <c r="W974" s="6"/>
    </row>
    <row r="975" spans="13:23">
      <c r="M975" s="9"/>
      <c r="W975" s="6"/>
    </row>
    <row r="976" spans="13:23">
      <c r="M976" s="9"/>
      <c r="W976" s="6"/>
    </row>
    <row r="977" spans="13:23">
      <c r="M977" s="9"/>
      <c r="W977" s="6"/>
    </row>
    <row r="978" spans="13:23">
      <c r="M978" s="9"/>
      <c r="W978" s="6"/>
    </row>
    <row r="979" spans="13:23">
      <c r="M979" s="9"/>
      <c r="W979" s="6"/>
    </row>
    <row r="980" spans="13:23">
      <c r="M980" s="9"/>
      <c r="W980" s="6"/>
    </row>
    <row r="981" spans="13:23">
      <c r="M981" s="9"/>
      <c r="W981" s="6"/>
    </row>
    <row r="982" spans="13:23">
      <c r="M982" s="9"/>
      <c r="W982" s="6"/>
    </row>
    <row r="983" spans="13:23">
      <c r="M983" s="9"/>
      <c r="W983" s="6"/>
    </row>
    <row r="984" spans="13:23">
      <c r="M984" s="9"/>
      <c r="W984" s="6"/>
    </row>
    <row r="985" spans="13:23">
      <c r="M985" s="9"/>
      <c r="W985" s="6"/>
    </row>
    <row r="986" spans="13:23">
      <c r="M986" s="9"/>
      <c r="W986" s="6"/>
    </row>
    <row r="987" spans="13:23">
      <c r="M987" s="9"/>
      <c r="W987" s="6"/>
    </row>
    <row r="988" spans="13:23">
      <c r="M988" s="9"/>
      <c r="W988" s="6"/>
    </row>
    <row r="989" spans="13:23">
      <c r="M989" s="9"/>
      <c r="W989" s="6"/>
    </row>
    <row r="990" spans="13:23">
      <c r="M990" s="9"/>
      <c r="W990" s="6"/>
    </row>
    <row r="991" spans="13:23">
      <c r="M991" s="9"/>
      <c r="W991" s="6"/>
    </row>
    <row r="992" spans="13:23">
      <c r="M992" s="9"/>
      <c r="W992" s="6"/>
    </row>
    <row r="993" spans="13:23">
      <c r="M993" s="9"/>
      <c r="W993" s="6"/>
    </row>
    <row r="994" spans="13:23">
      <c r="M994" s="9"/>
      <c r="W994" s="6"/>
    </row>
    <row r="995" spans="13:23">
      <c r="M995" s="9"/>
      <c r="W995" s="6"/>
    </row>
    <row r="996" spans="13:23">
      <c r="M996" s="9"/>
      <c r="W996" s="6"/>
    </row>
    <row r="997" spans="13:23">
      <c r="M997" s="9"/>
      <c r="W997" s="6"/>
    </row>
    <row r="998" spans="13:23">
      <c r="M998" s="9"/>
      <c r="W998" s="6"/>
    </row>
    <row r="999" spans="13:23">
      <c r="M999" s="9"/>
      <c r="W999" s="6"/>
    </row>
    <row r="1000" spans="13:23">
      <c r="M1000" s="9"/>
      <c r="W1000" s="6"/>
    </row>
    <row r="1001" spans="13:23">
      <c r="M1001" s="9"/>
      <c r="W1001" s="6"/>
    </row>
    <row r="1002" spans="13:23">
      <c r="M1002" s="9"/>
      <c r="W1002" s="6"/>
    </row>
    <row r="1003" spans="13:23">
      <c r="M1003" s="9"/>
      <c r="W1003" s="6"/>
    </row>
    <row r="1004" spans="13:23">
      <c r="M1004" s="9"/>
      <c r="W1004" s="6"/>
    </row>
    <row r="1005" spans="13:23">
      <c r="M1005" s="9"/>
      <c r="W1005" s="6"/>
    </row>
    <row r="1006" spans="13:23">
      <c r="M1006" s="9"/>
      <c r="W1006" s="6"/>
    </row>
    <row r="1007" spans="13:23">
      <c r="M1007" s="9"/>
      <c r="W1007" s="6"/>
    </row>
    <row r="1008" spans="13:23">
      <c r="M1008" s="9"/>
      <c r="W1008" s="6"/>
    </row>
    <row r="1009" spans="13:23">
      <c r="M1009" s="9"/>
      <c r="W1009" s="6"/>
    </row>
    <row r="1010" spans="13:23">
      <c r="M1010" s="9"/>
      <c r="W1010" s="6"/>
    </row>
    <row r="1011" spans="13:23">
      <c r="M1011" s="9"/>
      <c r="W1011" s="6"/>
    </row>
    <row r="1012" spans="13:23">
      <c r="M1012" s="9"/>
      <c r="W1012" s="6"/>
    </row>
    <row r="1013" spans="13:23">
      <c r="M1013" s="9"/>
      <c r="W1013" s="6"/>
    </row>
    <row r="1014" spans="13:23">
      <c r="M1014" s="9"/>
      <c r="W1014" s="6"/>
    </row>
    <row r="1015" spans="13:23">
      <c r="M1015" s="9"/>
      <c r="W1015" s="6"/>
    </row>
    <row r="1016" spans="13:23">
      <c r="M1016" s="9"/>
      <c r="W1016" s="6"/>
    </row>
    <row r="1017" spans="13:23">
      <c r="M1017" s="9"/>
      <c r="W1017" s="6"/>
    </row>
    <row r="1018" spans="13:23">
      <c r="M1018" s="9"/>
      <c r="W1018" s="6"/>
    </row>
    <row r="1019" spans="13:23">
      <c r="M1019" s="9"/>
      <c r="W1019" s="6"/>
    </row>
    <row r="1020" spans="13:23">
      <c r="M1020" s="9"/>
      <c r="W1020" s="6"/>
    </row>
    <row r="1021" spans="13:23">
      <c r="M1021" s="9"/>
      <c r="W1021" s="6"/>
    </row>
    <row r="1022" spans="13:23">
      <c r="M1022" s="9"/>
      <c r="W1022" s="6"/>
    </row>
    <row r="1023" spans="13:23">
      <c r="M1023" s="9"/>
      <c r="W1023" s="6"/>
    </row>
    <row r="1024" spans="13:23">
      <c r="M1024" s="9"/>
      <c r="W1024" s="6"/>
    </row>
    <row r="1025" spans="13:23">
      <c r="M1025" s="9"/>
      <c r="W1025" s="6"/>
    </row>
    <row r="1026" spans="13:23">
      <c r="M1026" s="9"/>
      <c r="W1026" s="6"/>
    </row>
    <row r="1027" spans="13:23">
      <c r="M1027" s="9"/>
      <c r="W1027" s="6"/>
    </row>
    <row r="1028" spans="13:23">
      <c r="M1028" s="9"/>
      <c r="W1028" s="6"/>
    </row>
    <row r="1029" spans="13:23">
      <c r="M1029" s="9"/>
      <c r="W1029" s="6"/>
    </row>
    <row r="1030" spans="13:23">
      <c r="M1030" s="9"/>
      <c r="W1030" s="6"/>
    </row>
    <row r="1031" spans="13:23">
      <c r="M1031" s="9"/>
      <c r="W1031" s="6"/>
    </row>
    <row r="1032" spans="13:23">
      <c r="M1032" s="9"/>
      <c r="W1032" s="6"/>
    </row>
    <row r="1033" spans="13:23">
      <c r="M1033" s="9"/>
      <c r="W1033" s="6"/>
    </row>
    <row r="1034" spans="13:23">
      <c r="M1034" s="9"/>
      <c r="W1034" s="6"/>
    </row>
    <row r="1035" spans="13:23">
      <c r="M1035" s="9"/>
      <c r="W1035" s="6"/>
    </row>
    <row r="1036" spans="13:23">
      <c r="M1036" s="9"/>
      <c r="W1036" s="6"/>
    </row>
    <row r="1037" spans="13:23">
      <c r="M1037" s="9"/>
      <c r="W1037" s="6"/>
    </row>
    <row r="1038" spans="13:23">
      <c r="M1038" s="9"/>
      <c r="W1038" s="6"/>
    </row>
    <row r="1039" spans="13:23">
      <c r="M1039" s="9"/>
      <c r="W1039" s="6"/>
    </row>
    <row r="1040" spans="13:23">
      <c r="M1040" s="9"/>
      <c r="W1040" s="6"/>
    </row>
    <row r="1041" spans="13:23">
      <c r="M1041" s="9"/>
      <c r="W1041" s="6"/>
    </row>
    <row r="1042" spans="13:23">
      <c r="M1042" s="9"/>
      <c r="W1042" s="6"/>
    </row>
    <row r="1043" spans="13:23">
      <c r="M1043" s="9"/>
      <c r="W1043" s="6"/>
    </row>
    <row r="1044" spans="13:23">
      <c r="M1044" s="9"/>
      <c r="W1044" s="6"/>
    </row>
    <row r="1045" spans="13:23">
      <c r="M1045" s="9"/>
      <c r="W1045" s="6"/>
    </row>
    <row r="1046" spans="13:23">
      <c r="M1046" s="9"/>
      <c r="W1046" s="6"/>
    </row>
    <row r="1047" spans="13:23">
      <c r="M1047" s="9"/>
      <c r="W1047" s="6"/>
    </row>
    <row r="1048" spans="13:23">
      <c r="M1048" s="9"/>
      <c r="W1048" s="6"/>
    </row>
    <row r="1049" spans="13:23">
      <c r="M1049" s="9"/>
      <c r="W1049" s="6"/>
    </row>
    <row r="1050" spans="13:23">
      <c r="M1050" s="9"/>
      <c r="W1050" s="6"/>
    </row>
    <row r="1051" spans="13:23">
      <c r="M1051" s="9"/>
      <c r="W1051" s="6"/>
    </row>
    <row r="1052" spans="13:23">
      <c r="M1052" s="9"/>
      <c r="W1052" s="6"/>
    </row>
    <row r="1053" spans="13:23">
      <c r="M1053" s="9"/>
      <c r="W1053" s="6"/>
    </row>
    <row r="1054" spans="13:23">
      <c r="M1054" s="9"/>
      <c r="W1054" s="6"/>
    </row>
    <row r="1055" spans="13:23">
      <c r="M1055" s="9"/>
      <c r="W1055" s="6"/>
    </row>
    <row r="1056" spans="13:23">
      <c r="M1056" s="9"/>
      <c r="W1056" s="6"/>
    </row>
    <row r="1057" spans="13:23">
      <c r="M1057" s="9"/>
      <c r="W1057" s="6"/>
    </row>
    <row r="1058" spans="13:23">
      <c r="M1058" s="9"/>
      <c r="W1058" s="6"/>
    </row>
    <row r="1059" spans="13:23">
      <c r="M1059" s="9"/>
      <c r="W1059" s="6"/>
    </row>
    <row r="1060" spans="13:23">
      <c r="M1060" s="9"/>
      <c r="W1060" s="6"/>
    </row>
    <row r="1061" spans="13:23">
      <c r="M1061" s="9"/>
      <c r="W1061" s="6"/>
    </row>
    <row r="1062" spans="13:23">
      <c r="M1062" s="9"/>
      <c r="W1062" s="6"/>
    </row>
    <row r="1063" spans="13:23">
      <c r="M1063" s="9"/>
      <c r="W1063" s="6"/>
    </row>
    <row r="1064" spans="13:23">
      <c r="M1064" s="9"/>
      <c r="W1064" s="6"/>
    </row>
    <row r="1065" spans="13:23">
      <c r="M1065" s="9"/>
      <c r="W1065" s="6"/>
    </row>
    <row r="1066" spans="13:23">
      <c r="M1066" s="9"/>
      <c r="W1066" s="6"/>
    </row>
    <row r="1067" spans="13:23">
      <c r="M1067" s="9"/>
      <c r="W1067" s="6"/>
    </row>
    <row r="1068" spans="13:23">
      <c r="M1068" s="9"/>
      <c r="W1068" s="6"/>
    </row>
    <row r="1069" spans="13:23">
      <c r="M1069" s="9"/>
      <c r="W1069" s="6"/>
    </row>
    <row r="1070" spans="13:23">
      <c r="M1070" s="9"/>
      <c r="W1070" s="6"/>
    </row>
    <row r="1071" spans="13:23">
      <c r="M1071" s="9"/>
      <c r="W1071" s="6"/>
    </row>
    <row r="1072" spans="13:23">
      <c r="M1072" s="9"/>
      <c r="W1072" s="6"/>
    </row>
    <row r="1073" spans="13:23">
      <c r="M1073" s="9"/>
      <c r="W1073" s="6"/>
    </row>
    <row r="1074" spans="13:23">
      <c r="M1074" s="9"/>
      <c r="W1074" s="6"/>
    </row>
    <row r="1075" spans="13:23">
      <c r="M1075" s="9"/>
      <c r="W1075" s="6"/>
    </row>
    <row r="1076" spans="13:23">
      <c r="M1076" s="9"/>
      <c r="W1076" s="6"/>
    </row>
    <row r="1077" spans="13:23">
      <c r="M1077" s="9"/>
      <c r="W1077" s="6"/>
    </row>
    <row r="1078" spans="13:23">
      <c r="M1078" s="9"/>
      <c r="W1078" s="6"/>
    </row>
    <row r="1079" spans="13:23">
      <c r="M1079" s="9"/>
      <c r="W1079" s="6"/>
    </row>
    <row r="1080" spans="13:23">
      <c r="M1080" s="9"/>
      <c r="W1080" s="6"/>
    </row>
    <row r="1081" spans="13:23">
      <c r="M1081" s="9"/>
      <c r="W1081" s="6"/>
    </row>
    <row r="1082" spans="13:23">
      <c r="M1082" s="9"/>
      <c r="W1082" s="6"/>
    </row>
    <row r="1083" spans="13:23">
      <c r="M1083" s="9"/>
      <c r="W1083" s="6"/>
    </row>
    <row r="1084" spans="13:23">
      <c r="M1084" s="9"/>
      <c r="W1084" s="6"/>
    </row>
    <row r="1085" spans="13:23">
      <c r="M1085" s="9"/>
      <c r="W1085" s="6"/>
    </row>
    <row r="1086" spans="13:23">
      <c r="M1086" s="9"/>
      <c r="W1086" s="6"/>
    </row>
    <row r="1087" spans="13:23">
      <c r="M1087" s="9"/>
      <c r="W1087" s="6"/>
    </row>
    <row r="1088" spans="13:23">
      <c r="M1088" s="9"/>
      <c r="W1088" s="6"/>
    </row>
    <row r="1089" spans="13:23">
      <c r="M1089" s="9"/>
      <c r="W1089" s="6"/>
    </row>
    <row r="1090" spans="13:23">
      <c r="M1090" s="9"/>
      <c r="W1090" s="6"/>
    </row>
    <row r="1091" spans="13:23">
      <c r="M1091" s="9"/>
      <c r="W1091" s="6"/>
    </row>
    <row r="1092" spans="13:23">
      <c r="M1092" s="9"/>
      <c r="W1092" s="6"/>
    </row>
    <row r="1093" spans="13:23">
      <c r="M1093" s="9"/>
      <c r="W1093" s="6"/>
    </row>
    <row r="1094" spans="13:23">
      <c r="M1094" s="9"/>
      <c r="W1094" s="6"/>
    </row>
    <row r="1095" spans="13:23">
      <c r="M1095" s="9"/>
      <c r="W1095" s="6"/>
    </row>
    <row r="1096" spans="13:23">
      <c r="M1096" s="9"/>
      <c r="W1096" s="6"/>
    </row>
    <row r="1097" spans="13:23">
      <c r="M1097" s="9"/>
      <c r="W1097" s="6"/>
    </row>
    <row r="1098" spans="13:23">
      <c r="M1098" s="9"/>
      <c r="W1098" s="6"/>
    </row>
    <row r="1099" spans="13:23">
      <c r="M1099" s="9"/>
      <c r="W1099" s="6"/>
    </row>
    <row r="1100" spans="13:23">
      <c r="M1100" s="9"/>
      <c r="W1100" s="6"/>
    </row>
    <row r="1101" spans="13:23">
      <c r="M1101" s="9"/>
      <c r="W1101" s="6"/>
    </row>
    <row r="1102" spans="13:23">
      <c r="M1102" s="9"/>
      <c r="W1102" s="6"/>
    </row>
    <row r="1103" spans="13:23">
      <c r="M1103" s="9"/>
      <c r="W1103" s="6"/>
    </row>
    <row r="1104" spans="13:23">
      <c r="M1104" s="9"/>
      <c r="W1104" s="6"/>
    </row>
    <row r="1105" spans="13:23">
      <c r="M1105" s="9"/>
      <c r="W1105" s="6"/>
    </row>
    <row r="1106" spans="13:23">
      <c r="M1106" s="9"/>
      <c r="W1106" s="6"/>
    </row>
    <row r="1107" spans="13:23">
      <c r="M1107" s="9"/>
      <c r="W1107" s="6"/>
    </row>
    <row r="1108" spans="13:23">
      <c r="M1108" s="9"/>
      <c r="W1108" s="6"/>
    </row>
    <row r="1109" spans="13:23">
      <c r="M1109" s="9"/>
      <c r="W1109" s="6"/>
    </row>
    <row r="1110" spans="13:23">
      <c r="M1110" s="9"/>
      <c r="W1110" s="6"/>
    </row>
    <row r="1111" spans="13:23">
      <c r="M1111" s="9"/>
      <c r="W1111" s="6"/>
    </row>
    <row r="1112" spans="13:23">
      <c r="M1112" s="9"/>
      <c r="W1112" s="6"/>
    </row>
    <row r="1113" spans="13:23">
      <c r="M1113" s="9"/>
      <c r="W1113" s="6"/>
    </row>
    <row r="1114" spans="13:23">
      <c r="M1114" s="9"/>
      <c r="W1114" s="6"/>
    </row>
    <row r="1115" spans="13:23">
      <c r="M1115" s="9"/>
      <c r="W1115" s="6"/>
    </row>
    <row r="1116" spans="13:23">
      <c r="M1116" s="9"/>
      <c r="W1116" s="6"/>
    </row>
    <row r="1117" spans="13:23">
      <c r="M1117" s="9"/>
      <c r="W1117" s="6"/>
    </row>
    <row r="1118" spans="13:23">
      <c r="M1118" s="9"/>
      <c r="W1118" s="6"/>
    </row>
    <row r="1119" spans="13:23">
      <c r="M1119" s="9"/>
      <c r="W1119" s="6"/>
    </row>
    <row r="1120" spans="13:23">
      <c r="M1120" s="9"/>
      <c r="W1120" s="6"/>
    </row>
    <row r="1121" spans="13:23">
      <c r="M1121" s="9"/>
      <c r="W1121" s="6"/>
    </row>
    <row r="1122" spans="13:23">
      <c r="M1122" s="9"/>
      <c r="W1122" s="6"/>
    </row>
    <row r="1123" spans="13:23">
      <c r="M1123" s="9"/>
      <c r="W1123" s="6"/>
    </row>
    <row r="1124" spans="13:23">
      <c r="M1124" s="9"/>
      <c r="W1124" s="6"/>
    </row>
    <row r="1125" spans="13:23">
      <c r="M1125" s="9"/>
      <c r="W1125" s="6"/>
    </row>
    <row r="1126" spans="13:23">
      <c r="M1126" s="9"/>
      <c r="W1126" s="6"/>
    </row>
    <row r="1127" spans="13:23">
      <c r="M1127" s="9"/>
      <c r="W1127" s="6"/>
    </row>
    <row r="1128" spans="13:23">
      <c r="M1128" s="9"/>
      <c r="W1128" s="6"/>
    </row>
    <row r="1129" spans="13:23">
      <c r="M1129" s="9"/>
      <c r="W1129" s="6"/>
    </row>
    <row r="1130" spans="13:23">
      <c r="M1130" s="9"/>
      <c r="W1130" s="6"/>
    </row>
    <row r="1131" spans="13:23">
      <c r="M1131" s="9"/>
      <c r="W1131" s="6"/>
    </row>
    <row r="1132" spans="13:23">
      <c r="M1132" s="9"/>
      <c r="W1132" s="6"/>
    </row>
    <row r="1133" spans="13:23">
      <c r="M1133" s="9"/>
      <c r="W1133" s="6"/>
    </row>
    <row r="1134" spans="13:23">
      <c r="M1134" s="9"/>
      <c r="W1134" s="6"/>
    </row>
    <row r="1135" spans="13:23">
      <c r="M1135" s="9"/>
      <c r="W1135" s="6"/>
    </row>
    <row r="1136" spans="13:23">
      <c r="M1136" s="9"/>
      <c r="W1136" s="6"/>
    </row>
    <row r="1137" spans="13:23">
      <c r="M1137" s="9"/>
      <c r="W1137" s="6"/>
    </row>
    <row r="1138" spans="13:23">
      <c r="M1138" s="9"/>
      <c r="W1138" s="6"/>
    </row>
    <row r="1139" spans="13:23">
      <c r="M1139" s="9"/>
      <c r="W1139" s="6"/>
    </row>
    <row r="1140" spans="13:23">
      <c r="M1140" s="9"/>
      <c r="W1140" s="6"/>
    </row>
    <row r="1141" spans="13:23">
      <c r="M1141" s="9"/>
      <c r="W1141" s="6"/>
    </row>
    <row r="1142" spans="13:23">
      <c r="M1142" s="9"/>
      <c r="W1142" s="6"/>
    </row>
    <row r="1143" spans="13:23">
      <c r="M1143" s="9"/>
      <c r="W1143" s="6"/>
    </row>
    <row r="1144" spans="13:23">
      <c r="M1144" s="9"/>
      <c r="W1144" s="6"/>
    </row>
    <row r="1145" spans="13:23">
      <c r="M1145" s="9"/>
      <c r="W1145" s="6"/>
    </row>
    <row r="1146" spans="13:23">
      <c r="M1146" s="9"/>
      <c r="W1146" s="6"/>
    </row>
    <row r="1147" spans="13:23">
      <c r="M1147" s="9"/>
      <c r="W1147" s="6"/>
    </row>
    <row r="1148" spans="13:23">
      <c r="M1148" s="9"/>
      <c r="W1148" s="6"/>
    </row>
    <row r="1149" spans="13:23">
      <c r="M1149" s="9"/>
      <c r="W1149" s="6"/>
    </row>
    <row r="1150" spans="13:23">
      <c r="M1150" s="9"/>
      <c r="W1150" s="6"/>
    </row>
    <row r="1151" spans="13:23">
      <c r="M1151" s="9"/>
      <c r="W1151" s="6"/>
    </row>
    <row r="1152" spans="13:23">
      <c r="M1152" s="9"/>
      <c r="W1152" s="6"/>
    </row>
    <row r="1153" spans="13:23">
      <c r="M1153" s="9"/>
      <c r="W1153" s="6"/>
    </row>
    <row r="1154" spans="13:23">
      <c r="M1154" s="9"/>
      <c r="W1154" s="6"/>
    </row>
    <row r="1155" spans="13:23">
      <c r="M1155" s="9"/>
      <c r="W1155" s="6"/>
    </row>
    <row r="1156" spans="13:23">
      <c r="M1156" s="9"/>
      <c r="W1156" s="6"/>
    </row>
    <row r="1157" spans="13:23">
      <c r="M1157" s="9"/>
      <c r="W1157" s="6"/>
    </row>
    <row r="1158" spans="13:23">
      <c r="M1158" s="9"/>
      <c r="W1158" s="6"/>
    </row>
    <row r="1159" spans="13:23">
      <c r="M1159" s="9"/>
      <c r="W1159" s="6"/>
    </row>
    <row r="1160" spans="13:23">
      <c r="M1160" s="9"/>
      <c r="W1160" s="6"/>
    </row>
    <row r="1161" spans="13:23">
      <c r="M1161" s="9"/>
      <c r="W1161" s="6"/>
    </row>
    <row r="1162" spans="13:23">
      <c r="M1162" s="9"/>
      <c r="W1162" s="6"/>
    </row>
    <row r="1163" spans="13:23">
      <c r="M1163" s="9"/>
      <c r="W1163" s="6"/>
    </row>
    <row r="1164" spans="13:23">
      <c r="M1164" s="9"/>
      <c r="W1164" s="6"/>
    </row>
    <row r="1165" spans="13:23">
      <c r="M1165" s="9"/>
      <c r="W1165" s="6"/>
    </row>
    <row r="1166" spans="13:23">
      <c r="M1166" s="9"/>
      <c r="W1166" s="6"/>
    </row>
    <row r="1167" spans="13:23">
      <c r="M1167" s="9"/>
      <c r="W1167" s="6"/>
    </row>
    <row r="1168" spans="13:23">
      <c r="M1168" s="9"/>
      <c r="W1168" s="6"/>
    </row>
    <row r="1169" spans="13:23">
      <c r="M1169" s="9"/>
      <c r="W1169" s="6"/>
    </row>
    <row r="1170" spans="13:23">
      <c r="M1170" s="9"/>
      <c r="W1170" s="6"/>
    </row>
    <row r="1171" spans="13:23">
      <c r="M1171" s="9"/>
      <c r="W1171" s="6"/>
    </row>
    <row r="1172" spans="13:23">
      <c r="M1172" s="9"/>
      <c r="W1172" s="6"/>
    </row>
    <row r="1173" spans="13:23">
      <c r="M1173" s="9"/>
      <c r="W1173" s="6"/>
    </row>
    <row r="1174" spans="13:23">
      <c r="M1174" s="9"/>
      <c r="W1174" s="6"/>
    </row>
    <row r="1175" spans="13:23">
      <c r="M1175" s="9"/>
      <c r="W1175" s="6"/>
    </row>
    <row r="1176" spans="13:23">
      <c r="M1176" s="9"/>
      <c r="W1176" s="6"/>
    </row>
    <row r="1177" spans="13:23">
      <c r="M1177" s="9"/>
      <c r="W1177" s="6"/>
    </row>
    <row r="1178" spans="13:23">
      <c r="M1178" s="9"/>
      <c r="W1178" s="6"/>
    </row>
    <row r="1179" spans="13:23">
      <c r="M1179" s="9"/>
      <c r="W1179" s="6"/>
    </row>
    <row r="1180" spans="13:23">
      <c r="M1180" s="9"/>
      <c r="W1180" s="6"/>
    </row>
    <row r="1181" spans="13:23">
      <c r="M1181" s="9"/>
      <c r="W1181" s="6"/>
    </row>
    <row r="1182" spans="13:23">
      <c r="M1182" s="9"/>
      <c r="W1182" s="6"/>
    </row>
    <row r="1183" spans="13:23">
      <c r="M1183" s="9"/>
      <c r="W1183" s="6"/>
    </row>
    <row r="1184" spans="13:23">
      <c r="M1184" s="9"/>
      <c r="W1184" s="6"/>
    </row>
    <row r="1185" spans="13:23">
      <c r="M1185" s="9"/>
      <c r="W1185" s="6"/>
    </row>
    <row r="1186" spans="13:23">
      <c r="M1186" s="9"/>
      <c r="W1186" s="6"/>
    </row>
    <row r="1187" spans="13:23">
      <c r="M1187" s="9"/>
      <c r="W1187" s="6"/>
    </row>
    <row r="1188" spans="13:23">
      <c r="M1188" s="9"/>
      <c r="W1188" s="6"/>
    </row>
    <row r="1189" spans="13:23">
      <c r="M1189" s="9"/>
      <c r="W1189" s="6"/>
    </row>
    <row r="1190" spans="13:23">
      <c r="M1190" s="9"/>
      <c r="W1190" s="6"/>
    </row>
    <row r="1191" spans="13:23">
      <c r="M1191" s="9"/>
      <c r="W1191" s="6"/>
    </row>
    <row r="1192" spans="13:23">
      <c r="M1192" s="9"/>
      <c r="W1192" s="6"/>
    </row>
    <row r="1193" spans="13:23">
      <c r="M1193" s="9"/>
      <c r="W1193" s="6"/>
    </row>
    <row r="1194" spans="13:23">
      <c r="M1194" s="9"/>
      <c r="W1194" s="6"/>
    </row>
    <row r="1195" spans="13:23">
      <c r="M1195" s="9"/>
      <c r="W1195" s="6"/>
    </row>
    <row r="1196" spans="13:23">
      <c r="M1196" s="9"/>
      <c r="W1196" s="6"/>
    </row>
    <row r="1197" spans="13:23">
      <c r="M1197" s="9"/>
      <c r="W1197" s="6"/>
    </row>
    <row r="1198" spans="13:23">
      <c r="M1198" s="9"/>
      <c r="W1198" s="6"/>
    </row>
    <row r="1199" spans="13:23">
      <c r="M1199" s="9"/>
      <c r="W1199" s="6"/>
    </row>
    <row r="1200" spans="13:23">
      <c r="M1200" s="9"/>
      <c r="W1200" s="6"/>
    </row>
    <row r="1201" spans="13:23">
      <c r="M1201" s="9"/>
      <c r="W1201" s="6"/>
    </row>
    <row r="1202" spans="13:23">
      <c r="M1202" s="9"/>
      <c r="W1202" s="6"/>
    </row>
    <row r="1203" spans="13:23">
      <c r="M1203" s="9"/>
      <c r="W1203" s="6"/>
    </row>
    <row r="1204" spans="13:23">
      <c r="M1204" s="9"/>
      <c r="W1204" s="6"/>
    </row>
    <row r="1205" spans="13:23">
      <c r="M1205" s="9"/>
      <c r="W1205" s="6"/>
    </row>
    <row r="1206" spans="13:23">
      <c r="M1206" s="9"/>
      <c r="W1206" s="6"/>
    </row>
    <row r="1207" spans="13:23">
      <c r="M1207" s="9"/>
      <c r="W1207" s="6"/>
    </row>
    <row r="1208" spans="13:23">
      <c r="M1208" s="9"/>
      <c r="W1208" s="6"/>
    </row>
    <row r="1209" spans="13:23">
      <c r="M1209" s="9"/>
      <c r="W1209" s="6"/>
    </row>
    <row r="1210" spans="13:23">
      <c r="M1210" s="9"/>
      <c r="W1210" s="6"/>
    </row>
    <row r="1211" spans="13:23">
      <c r="M1211" s="9"/>
      <c r="W1211" s="6"/>
    </row>
    <row r="1212" spans="13:23">
      <c r="M1212" s="9"/>
      <c r="W1212" s="6"/>
    </row>
    <row r="1213" spans="13:23">
      <c r="M1213" s="9"/>
      <c r="W1213" s="6"/>
    </row>
    <row r="1214" spans="13:23">
      <c r="M1214" s="9"/>
      <c r="W1214" s="6"/>
    </row>
    <row r="1215" spans="13:23">
      <c r="M1215" s="9"/>
      <c r="W1215" s="6"/>
    </row>
    <row r="1216" spans="13:23">
      <c r="M1216" s="9"/>
      <c r="W1216" s="6"/>
    </row>
    <row r="1217" spans="13:23">
      <c r="M1217" s="9"/>
      <c r="W1217" s="6"/>
    </row>
    <row r="1218" spans="13:23">
      <c r="M1218" s="9"/>
      <c r="W1218" s="6"/>
    </row>
    <row r="1219" spans="13:23">
      <c r="M1219" s="9"/>
      <c r="W1219" s="6"/>
    </row>
    <row r="1220" spans="13:23">
      <c r="M1220" s="9"/>
      <c r="W1220" s="6"/>
    </row>
    <row r="1221" spans="13:23">
      <c r="M1221" s="9"/>
      <c r="W1221" s="6"/>
    </row>
    <row r="1222" spans="13:23">
      <c r="M1222" s="9"/>
      <c r="W1222" s="6"/>
    </row>
    <row r="1223" spans="13:23">
      <c r="M1223" s="9"/>
      <c r="W1223" s="6"/>
    </row>
    <row r="1224" spans="13:23">
      <c r="M1224" s="9"/>
      <c r="W1224" s="6"/>
    </row>
    <row r="1225" spans="13:23">
      <c r="M1225" s="9"/>
      <c r="W1225" s="6"/>
    </row>
    <row r="1226" spans="13:23">
      <c r="M1226" s="9"/>
      <c r="W1226" s="6"/>
    </row>
    <row r="1227" spans="13:23">
      <c r="M1227" s="9"/>
      <c r="W1227" s="6"/>
    </row>
    <row r="1228" spans="13:23">
      <c r="M1228" s="9"/>
      <c r="W1228" s="6"/>
    </row>
    <row r="1229" spans="13:23">
      <c r="M1229" s="9"/>
      <c r="W1229" s="6"/>
    </row>
    <row r="1230" spans="13:23">
      <c r="M1230" s="9"/>
      <c r="W1230" s="6"/>
    </row>
    <row r="1231" spans="13:23">
      <c r="M1231" s="9"/>
      <c r="W1231" s="6"/>
    </row>
    <row r="1232" spans="13:23">
      <c r="M1232" s="9"/>
      <c r="W1232" s="6"/>
    </row>
    <row r="1233" spans="13:23">
      <c r="M1233" s="9"/>
      <c r="W1233" s="6"/>
    </row>
    <row r="1234" spans="13:23">
      <c r="M1234" s="9"/>
      <c r="W1234" s="6"/>
    </row>
    <row r="1235" spans="13:23">
      <c r="M1235" s="9"/>
      <c r="W1235" s="6"/>
    </row>
    <row r="1236" spans="13:23">
      <c r="M1236" s="9"/>
      <c r="W1236" s="6"/>
    </row>
    <row r="1237" spans="13:23">
      <c r="M1237" s="9"/>
      <c r="W1237" s="6"/>
    </row>
    <row r="1238" spans="13:23">
      <c r="M1238" s="9"/>
      <c r="W1238" s="6"/>
    </row>
    <row r="1239" spans="13:23">
      <c r="M1239" s="9"/>
      <c r="W1239" s="6"/>
    </row>
    <row r="1240" spans="13:23">
      <c r="M1240" s="9"/>
      <c r="W1240" s="6"/>
    </row>
    <row r="1241" spans="13:23">
      <c r="M1241" s="9"/>
      <c r="W1241" s="6"/>
    </row>
    <row r="1242" spans="13:23">
      <c r="M1242" s="9"/>
      <c r="W1242" s="6"/>
    </row>
    <row r="1243" spans="13:23">
      <c r="M1243" s="9"/>
      <c r="W1243" s="6"/>
    </row>
    <row r="1244" spans="13:23">
      <c r="M1244" s="9"/>
      <c r="W1244" s="6"/>
    </row>
    <row r="1245" spans="13:23">
      <c r="M1245" s="9"/>
      <c r="W1245" s="6"/>
    </row>
    <row r="1246" spans="13:23">
      <c r="M1246" s="9"/>
      <c r="W1246" s="6"/>
    </row>
    <row r="1247" spans="13:23">
      <c r="M1247" s="9"/>
      <c r="W1247" s="6"/>
    </row>
    <row r="1248" spans="13:23">
      <c r="M1248" s="9"/>
      <c r="W1248" s="6"/>
    </row>
    <row r="1249" spans="13:23">
      <c r="M1249" s="9"/>
      <c r="W1249" s="6"/>
    </row>
    <row r="1250" spans="13:23">
      <c r="M1250" s="9"/>
      <c r="W1250" s="6"/>
    </row>
    <row r="1251" spans="13:23">
      <c r="M1251" s="9"/>
      <c r="W1251" s="6"/>
    </row>
    <row r="1252" spans="13:23">
      <c r="M1252" s="9"/>
      <c r="W1252" s="6"/>
    </row>
    <row r="1253" spans="13:23">
      <c r="M1253" s="9"/>
      <c r="W1253" s="6"/>
    </row>
    <row r="1254" spans="13:23">
      <c r="M1254" s="9"/>
      <c r="W1254" s="6"/>
    </row>
    <row r="1255" spans="13:23">
      <c r="M1255" s="9"/>
      <c r="W1255" s="6"/>
    </row>
    <row r="1256" spans="13:23">
      <c r="M1256" s="9"/>
      <c r="W1256" s="6"/>
    </row>
    <row r="1257" spans="13:23">
      <c r="M1257" s="9"/>
      <c r="W1257" s="6"/>
    </row>
    <row r="1258" spans="13:23">
      <c r="M1258" s="9"/>
      <c r="W1258" s="6"/>
    </row>
    <row r="1259" spans="13:23">
      <c r="M1259" s="9"/>
      <c r="W1259" s="6"/>
    </row>
    <row r="1260" spans="13:23">
      <c r="M1260" s="9"/>
      <c r="W1260" s="6"/>
    </row>
    <row r="1261" spans="13:23">
      <c r="M1261" s="9"/>
      <c r="W1261" s="6"/>
    </row>
    <row r="1262" spans="13:23">
      <c r="M1262" s="9"/>
      <c r="W1262" s="6"/>
    </row>
    <row r="1263" spans="13:23">
      <c r="M1263" s="9"/>
      <c r="W1263" s="6"/>
    </row>
    <row r="1264" spans="13:23">
      <c r="M1264" s="9"/>
      <c r="W1264" s="6"/>
    </row>
    <row r="1265" spans="13:23">
      <c r="M1265" s="9"/>
      <c r="W1265" s="6"/>
    </row>
    <row r="1266" spans="13:23">
      <c r="M1266" s="9"/>
      <c r="W1266" s="6"/>
    </row>
    <row r="1267" spans="13:23">
      <c r="M1267" s="9"/>
      <c r="W1267" s="6"/>
    </row>
    <row r="1268" spans="13:23">
      <c r="M1268" s="9"/>
      <c r="W1268" s="6"/>
    </row>
    <row r="1269" spans="13:23">
      <c r="M1269" s="9"/>
      <c r="W1269" s="6"/>
    </row>
    <row r="1270" spans="13:23">
      <c r="M1270" s="9"/>
      <c r="W1270" s="6"/>
    </row>
    <row r="1271" spans="13:23">
      <c r="M1271" s="9"/>
      <c r="W1271" s="6"/>
    </row>
    <row r="1272" spans="13:23">
      <c r="M1272" s="9"/>
      <c r="W1272" s="6"/>
    </row>
    <row r="1273" spans="13:23">
      <c r="M1273" s="9"/>
      <c r="W1273" s="6"/>
    </row>
    <row r="1274" spans="13:23">
      <c r="M1274" s="9"/>
      <c r="W1274" s="6"/>
    </row>
    <row r="1275" spans="13:23">
      <c r="M1275" s="9"/>
      <c r="W1275" s="6"/>
    </row>
    <row r="1276" spans="13:23">
      <c r="M1276" s="9"/>
      <c r="W1276" s="6"/>
    </row>
    <row r="1277" spans="13:23">
      <c r="M1277" s="9"/>
      <c r="W1277" s="6"/>
    </row>
    <row r="1278" spans="13:23">
      <c r="M1278" s="9"/>
      <c r="W1278" s="6"/>
    </row>
    <row r="1279" spans="13:23">
      <c r="M1279" s="9"/>
      <c r="W1279" s="6"/>
    </row>
    <row r="1280" spans="13:23">
      <c r="M1280" s="9"/>
      <c r="W1280" s="6"/>
    </row>
    <row r="1281" spans="13:23">
      <c r="M1281" s="9"/>
      <c r="W1281" s="6"/>
    </row>
    <row r="1282" spans="13:23">
      <c r="M1282" s="9"/>
      <c r="W1282" s="6"/>
    </row>
    <row r="1283" spans="13:23">
      <c r="M1283" s="9"/>
      <c r="W1283" s="6"/>
    </row>
    <row r="1284" spans="13:23">
      <c r="M1284" s="9"/>
      <c r="W1284" s="6"/>
    </row>
    <row r="1285" spans="13:23">
      <c r="M1285" s="9"/>
      <c r="W1285" s="6"/>
    </row>
    <row r="1286" spans="13:23">
      <c r="M1286" s="9"/>
      <c r="W1286" s="6"/>
    </row>
    <row r="1287" spans="13:23">
      <c r="M1287" s="9"/>
      <c r="W1287" s="6"/>
    </row>
    <row r="1288" spans="13:23">
      <c r="M1288" s="9"/>
      <c r="W1288" s="6"/>
    </row>
    <row r="1289" spans="13:23">
      <c r="M1289" s="9"/>
      <c r="W1289" s="6"/>
    </row>
    <row r="1290" spans="13:23">
      <c r="M1290" s="9"/>
      <c r="W1290" s="6"/>
    </row>
    <row r="1291" spans="13:23">
      <c r="M1291" s="9"/>
      <c r="W1291" s="6"/>
    </row>
    <row r="1292" spans="13:23">
      <c r="M1292" s="9"/>
      <c r="W1292" s="6"/>
    </row>
    <row r="1293" spans="13:23">
      <c r="M1293" s="9"/>
      <c r="W1293" s="6"/>
    </row>
    <row r="1294" spans="13:23">
      <c r="M1294" s="9"/>
      <c r="W1294" s="6"/>
    </row>
    <row r="1295" spans="13:23">
      <c r="M1295" s="9"/>
      <c r="W1295" s="6"/>
    </row>
    <row r="1296" spans="13:23">
      <c r="M1296" s="9"/>
      <c r="W1296" s="6"/>
    </row>
    <row r="1297" spans="13:23">
      <c r="M1297" s="9"/>
      <c r="W1297" s="6"/>
    </row>
    <row r="1298" spans="13:23">
      <c r="M1298" s="9"/>
      <c r="W1298" s="6"/>
    </row>
    <row r="1299" spans="13:23">
      <c r="M1299" s="9"/>
      <c r="W1299" s="6"/>
    </row>
    <row r="1300" spans="13:23">
      <c r="M1300" s="9"/>
      <c r="W1300" s="6"/>
    </row>
    <row r="1301" spans="13:23">
      <c r="M1301" s="9"/>
      <c r="W1301" s="6"/>
    </row>
    <row r="1302" spans="13:23">
      <c r="M1302" s="9"/>
      <c r="W1302" s="6"/>
    </row>
    <row r="1303" spans="13:23">
      <c r="M1303" s="9"/>
      <c r="W1303" s="6"/>
    </row>
    <row r="1304" spans="13:23">
      <c r="M1304" s="9"/>
      <c r="W1304" s="6"/>
    </row>
    <row r="1305" spans="13:23">
      <c r="M1305" s="9"/>
      <c r="W1305" s="6"/>
    </row>
    <row r="1306" spans="13:23">
      <c r="M1306" s="9"/>
      <c r="W1306" s="6"/>
    </row>
    <row r="1307" spans="13:23">
      <c r="M1307" s="9"/>
      <c r="W1307" s="6"/>
    </row>
    <row r="1308" spans="13:23">
      <c r="M1308" s="9"/>
      <c r="W1308" s="6"/>
    </row>
    <row r="1309" spans="13:23">
      <c r="M1309" s="9"/>
      <c r="W1309" s="6"/>
    </row>
    <row r="1310" spans="13:23">
      <c r="M1310" s="9"/>
      <c r="W1310" s="6"/>
    </row>
    <row r="1311" spans="13:23">
      <c r="M1311" s="9"/>
      <c r="W1311" s="6"/>
    </row>
    <row r="1312" spans="13:23">
      <c r="M1312" s="9"/>
      <c r="W1312" s="6"/>
    </row>
    <row r="1313" spans="13:23">
      <c r="M1313" s="9"/>
      <c r="W1313" s="6"/>
    </row>
    <row r="1314" spans="13:23">
      <c r="M1314" s="9"/>
      <c r="W1314" s="6"/>
    </row>
    <row r="1315" spans="13:23">
      <c r="M1315" s="9"/>
      <c r="W1315" s="6"/>
    </row>
    <row r="1316" spans="13:23">
      <c r="M1316" s="9"/>
      <c r="W1316" s="6"/>
    </row>
    <row r="1317" spans="13:23">
      <c r="M1317" s="9"/>
      <c r="W1317" s="6"/>
    </row>
    <row r="1318" spans="13:23">
      <c r="M1318" s="9"/>
      <c r="W1318" s="6"/>
    </row>
    <row r="1319" spans="13:23">
      <c r="M1319" s="9"/>
      <c r="W1319" s="6"/>
    </row>
    <row r="1320" spans="13:23">
      <c r="M1320" s="9"/>
      <c r="W1320" s="6"/>
    </row>
    <row r="1321" spans="13:23">
      <c r="M1321" s="9"/>
      <c r="W1321" s="6"/>
    </row>
    <row r="1322" spans="13:23">
      <c r="M1322" s="9"/>
      <c r="W1322" s="6"/>
    </row>
    <row r="1323" spans="13:23">
      <c r="M1323" s="9"/>
      <c r="W1323" s="6"/>
    </row>
    <row r="1324" spans="13:23">
      <c r="M1324" s="9"/>
      <c r="W1324" s="6"/>
    </row>
    <row r="1325" spans="13:23">
      <c r="M1325" s="9"/>
      <c r="W1325" s="6"/>
    </row>
    <row r="1326" spans="13:23">
      <c r="M1326" s="9"/>
      <c r="W1326" s="6"/>
    </row>
    <row r="1327" spans="13:23">
      <c r="M1327" s="9"/>
      <c r="W1327" s="6"/>
    </row>
    <row r="1328" spans="13:23">
      <c r="M1328" s="9"/>
      <c r="W1328" s="6"/>
    </row>
    <row r="1329" spans="13:23">
      <c r="M1329" s="9"/>
      <c r="W1329" s="6"/>
    </row>
    <row r="1330" spans="13:23">
      <c r="M1330" s="9"/>
      <c r="W1330" s="6"/>
    </row>
    <row r="1331" spans="13:23">
      <c r="M1331" s="9"/>
      <c r="W1331" s="6"/>
    </row>
    <row r="1332" spans="13:23">
      <c r="M1332" s="9"/>
      <c r="W1332" s="6"/>
    </row>
    <row r="1333" spans="13:23">
      <c r="M1333" s="9"/>
      <c r="W1333" s="6"/>
    </row>
    <row r="1334" spans="13:23">
      <c r="M1334" s="9"/>
      <c r="W1334" s="6"/>
    </row>
    <row r="1335" spans="13:23">
      <c r="M1335" s="9"/>
      <c r="W1335" s="6"/>
    </row>
    <row r="1336" spans="13:23">
      <c r="M1336" s="9"/>
      <c r="W1336" s="6"/>
    </row>
    <row r="1337" spans="13:23">
      <c r="M1337" s="9"/>
      <c r="W1337" s="6"/>
    </row>
    <row r="1338" spans="13:23">
      <c r="M1338" s="9"/>
      <c r="W1338" s="6"/>
    </row>
    <row r="1339" spans="13:23">
      <c r="M1339" s="9"/>
      <c r="W1339" s="6"/>
    </row>
    <row r="1340" spans="13:23">
      <c r="M1340" s="9"/>
      <c r="W1340" s="6"/>
    </row>
    <row r="1341" spans="13:23">
      <c r="M1341" s="9"/>
      <c r="W1341" s="6"/>
    </row>
    <row r="1342" spans="13:23">
      <c r="M1342" s="9"/>
      <c r="W1342" s="6"/>
    </row>
    <row r="1343" spans="13:23">
      <c r="M1343" s="9"/>
      <c r="W1343" s="6"/>
    </row>
    <row r="1344" spans="13:23">
      <c r="M1344" s="9"/>
      <c r="W1344" s="6"/>
    </row>
    <row r="1345" spans="13:23">
      <c r="M1345" s="9"/>
      <c r="W1345" s="6"/>
    </row>
    <row r="1346" spans="13:23">
      <c r="M1346" s="9"/>
      <c r="W1346" s="6"/>
    </row>
    <row r="1347" spans="13:23">
      <c r="M1347" s="9"/>
      <c r="W1347" s="6"/>
    </row>
    <row r="1348" spans="13:23">
      <c r="M1348" s="9"/>
      <c r="W1348" s="6"/>
    </row>
    <row r="1349" spans="13:23">
      <c r="M1349" s="9"/>
      <c r="W1349" s="6"/>
    </row>
    <row r="1350" spans="13:23">
      <c r="M1350" s="9"/>
      <c r="W1350" s="6"/>
    </row>
    <row r="1351" spans="13:23">
      <c r="M1351" s="9"/>
      <c r="W1351" s="6"/>
    </row>
    <row r="1352" spans="13:23">
      <c r="M1352" s="9"/>
      <c r="W1352" s="6"/>
    </row>
    <row r="1353" spans="13:23">
      <c r="M1353" s="9"/>
      <c r="W1353" s="6"/>
    </row>
    <row r="1354" spans="13:23">
      <c r="M1354" s="9"/>
      <c r="W1354" s="6"/>
    </row>
    <row r="1355" spans="13:23">
      <c r="M1355" s="9"/>
      <c r="W1355" s="6"/>
    </row>
    <row r="1356" spans="13:23">
      <c r="M1356" s="9"/>
      <c r="W1356" s="6"/>
    </row>
    <row r="1357" spans="13:23">
      <c r="M1357" s="9"/>
      <c r="W1357" s="6"/>
    </row>
    <row r="1358" spans="13:23">
      <c r="M1358" s="9"/>
      <c r="W1358" s="6"/>
    </row>
    <row r="1359" spans="13:23">
      <c r="M1359" s="9"/>
      <c r="W1359" s="6"/>
    </row>
    <row r="1360" spans="13:23">
      <c r="M1360" s="9"/>
      <c r="W1360" s="6"/>
    </row>
    <row r="1361" spans="13:23">
      <c r="M1361" s="9"/>
      <c r="W1361" s="6"/>
    </row>
    <row r="1362" spans="13:23">
      <c r="M1362" s="9"/>
      <c r="W1362" s="6"/>
    </row>
    <row r="1363" spans="13:23">
      <c r="M1363" s="9"/>
      <c r="W1363" s="6"/>
    </row>
    <row r="1364" spans="13:23">
      <c r="M1364" s="9"/>
      <c r="W1364" s="6"/>
    </row>
    <row r="1365" spans="13:23">
      <c r="M1365" s="9"/>
      <c r="W1365" s="6"/>
    </row>
    <row r="1366" spans="13:23">
      <c r="M1366" s="9"/>
      <c r="W1366" s="6"/>
    </row>
    <row r="1367" spans="13:23">
      <c r="M1367" s="9"/>
      <c r="W1367" s="6"/>
    </row>
    <row r="1368" spans="13:23">
      <c r="M1368" s="9"/>
      <c r="W1368" s="6"/>
    </row>
    <row r="1369" spans="13:23">
      <c r="M1369" s="9"/>
      <c r="W1369" s="6"/>
    </row>
    <row r="1370" spans="13:23">
      <c r="M1370" s="9"/>
      <c r="W1370" s="6"/>
    </row>
    <row r="1371" spans="13:23">
      <c r="M1371" s="9"/>
      <c r="W1371" s="6"/>
    </row>
    <row r="1372" spans="13:23">
      <c r="M1372" s="9"/>
      <c r="W1372" s="6"/>
    </row>
    <row r="1373" spans="13:23">
      <c r="M1373" s="9"/>
      <c r="W1373" s="6"/>
    </row>
    <row r="1374" spans="13:23">
      <c r="M1374" s="9"/>
      <c r="W1374" s="6"/>
    </row>
    <row r="1375" spans="13:23">
      <c r="M1375" s="9"/>
      <c r="W1375" s="6"/>
    </row>
    <row r="1376" spans="13:23">
      <c r="M1376" s="9"/>
      <c r="W1376" s="6"/>
    </row>
    <row r="1377" spans="13:23">
      <c r="M1377" s="9"/>
      <c r="W1377" s="6"/>
    </row>
    <row r="1378" spans="13:23">
      <c r="M1378" s="9"/>
      <c r="W1378" s="6"/>
    </row>
    <row r="1379" spans="13:23">
      <c r="M1379" s="9"/>
      <c r="W1379" s="6"/>
    </row>
    <row r="1380" spans="13:23">
      <c r="M1380" s="9"/>
      <c r="W1380" s="6"/>
    </row>
    <row r="1381" spans="13:23">
      <c r="M1381" s="9"/>
      <c r="W1381" s="6"/>
    </row>
    <row r="1382" spans="13:23">
      <c r="M1382" s="9"/>
      <c r="W1382" s="6"/>
    </row>
    <row r="1383" spans="13:23">
      <c r="M1383" s="9"/>
      <c r="W1383" s="6"/>
    </row>
    <row r="1384" spans="13:23">
      <c r="M1384" s="9"/>
      <c r="W1384" s="6"/>
    </row>
    <row r="1385" spans="13:23">
      <c r="M1385" s="9"/>
      <c r="W1385" s="6"/>
    </row>
    <row r="1386" spans="13:23">
      <c r="M1386" s="9"/>
      <c r="W1386" s="6"/>
    </row>
    <row r="1387" spans="13:23">
      <c r="M1387" s="9"/>
      <c r="W1387" s="6"/>
    </row>
    <row r="1388" spans="13:23">
      <c r="M1388" s="9"/>
      <c r="W1388" s="6"/>
    </row>
    <row r="1389" spans="13:23">
      <c r="M1389" s="9"/>
      <c r="W1389" s="6"/>
    </row>
    <row r="1390" spans="13:23">
      <c r="M1390" s="9"/>
      <c r="W1390" s="6"/>
    </row>
    <row r="1391" spans="13:23">
      <c r="M1391" s="9"/>
      <c r="W1391" s="6"/>
    </row>
    <row r="1392" spans="13:23">
      <c r="M1392" s="9"/>
      <c r="W1392" s="6"/>
    </row>
    <row r="1393" spans="13:23">
      <c r="M1393" s="9"/>
      <c r="W1393" s="6"/>
    </row>
    <row r="1394" spans="13:23">
      <c r="M1394" s="9"/>
      <c r="W1394" s="6"/>
    </row>
    <row r="1395" spans="13:23">
      <c r="M1395" s="9"/>
      <c r="W1395" s="6"/>
    </row>
    <row r="1396" spans="13:23">
      <c r="M1396" s="9"/>
      <c r="W1396" s="6"/>
    </row>
    <row r="1397" spans="13:23">
      <c r="M1397" s="9"/>
      <c r="W1397" s="6"/>
    </row>
    <row r="1398" spans="13:23">
      <c r="M1398" s="9"/>
      <c r="W1398" s="6"/>
    </row>
    <row r="1399" spans="13:23">
      <c r="M1399" s="9"/>
      <c r="W1399" s="6"/>
    </row>
    <row r="1400" spans="13:23">
      <c r="M1400" s="9"/>
      <c r="W1400" s="6"/>
    </row>
    <row r="1401" spans="13:23">
      <c r="M1401" s="9"/>
      <c r="W1401" s="6"/>
    </row>
    <row r="1402" spans="13:23">
      <c r="M1402" s="9"/>
      <c r="W1402" s="6"/>
    </row>
    <row r="1403" spans="13:23">
      <c r="M1403" s="9"/>
      <c r="W1403" s="6"/>
    </row>
    <row r="1404" spans="13:23">
      <c r="M1404" s="9"/>
      <c r="W1404" s="6"/>
    </row>
    <row r="1405" spans="13:23">
      <c r="M1405" s="9"/>
      <c r="W1405" s="6"/>
    </row>
    <row r="1406" spans="13:23">
      <c r="M1406" s="9"/>
      <c r="W1406" s="6"/>
    </row>
    <row r="1407" spans="13:23">
      <c r="M1407" s="9"/>
      <c r="W1407" s="6"/>
    </row>
    <row r="1408" spans="13:23">
      <c r="M1408" s="9"/>
      <c r="W1408" s="6"/>
    </row>
    <row r="1409" spans="13:23">
      <c r="M1409" s="9"/>
      <c r="W1409" s="6"/>
    </row>
    <row r="1410" spans="13:23">
      <c r="M1410" s="9"/>
      <c r="W1410" s="6"/>
    </row>
    <row r="1411" spans="13:23">
      <c r="M1411" s="9"/>
      <c r="W1411" s="6"/>
    </row>
    <row r="1412" spans="13:23">
      <c r="M1412" s="9"/>
      <c r="W1412" s="6"/>
    </row>
    <row r="1413" spans="13:23">
      <c r="M1413" s="9"/>
      <c r="W1413" s="6"/>
    </row>
    <row r="1414" spans="13:23">
      <c r="M1414" s="9"/>
      <c r="W1414" s="6"/>
    </row>
    <row r="1415" spans="13:23">
      <c r="M1415" s="9"/>
      <c r="W1415" s="6"/>
    </row>
    <row r="1416" spans="13:23">
      <c r="M1416" s="9"/>
      <c r="W1416" s="6"/>
    </row>
    <row r="1417" spans="13:23">
      <c r="M1417" s="9"/>
      <c r="W1417" s="6"/>
    </row>
    <row r="1418" spans="13:23">
      <c r="M1418" s="9"/>
      <c r="W1418" s="6"/>
    </row>
    <row r="1419" spans="13:23">
      <c r="M1419" s="9"/>
      <c r="W1419" s="6"/>
    </row>
    <row r="1420" spans="13:23">
      <c r="M1420" s="9"/>
      <c r="W1420" s="6"/>
    </row>
    <row r="1421" spans="13:23">
      <c r="M1421" s="9"/>
      <c r="W1421" s="6"/>
    </row>
    <row r="1422" spans="13:23">
      <c r="M1422" s="9"/>
      <c r="W1422" s="6"/>
    </row>
    <row r="1423" spans="13:23">
      <c r="M1423" s="9"/>
      <c r="W1423" s="6"/>
    </row>
    <row r="1424" spans="13:23">
      <c r="M1424" s="9"/>
      <c r="W1424" s="6"/>
    </row>
    <row r="1425" spans="13:23">
      <c r="M1425" s="9"/>
      <c r="W1425" s="6"/>
    </row>
    <row r="1426" spans="13:23">
      <c r="M1426" s="9"/>
      <c r="W1426" s="6"/>
    </row>
    <row r="1427" spans="13:23">
      <c r="M1427" s="9"/>
      <c r="W1427" s="6"/>
    </row>
    <row r="1428" spans="13:23">
      <c r="M1428" s="9"/>
      <c r="W1428" s="6"/>
    </row>
    <row r="1429" spans="13:23">
      <c r="M1429" s="9"/>
      <c r="W1429" s="6"/>
    </row>
    <row r="1430" spans="13:23">
      <c r="M1430" s="9"/>
      <c r="W1430" s="6"/>
    </row>
    <row r="1431" spans="13:23">
      <c r="M1431" s="9"/>
      <c r="W1431" s="6"/>
    </row>
    <row r="1432" spans="13:23">
      <c r="M1432" s="9"/>
      <c r="W1432" s="6"/>
    </row>
    <row r="1433" spans="13:23">
      <c r="M1433" s="9"/>
      <c r="W1433" s="6"/>
    </row>
    <row r="1434" spans="13:23">
      <c r="M1434" s="9"/>
      <c r="W1434" s="6"/>
    </row>
    <row r="1435" spans="13:23">
      <c r="M1435" s="9"/>
      <c r="W1435" s="6"/>
    </row>
    <row r="1436" spans="13:23">
      <c r="M1436" s="9"/>
      <c r="W1436" s="6"/>
    </row>
    <row r="1437" spans="13:23">
      <c r="M1437" s="9"/>
      <c r="W1437" s="6"/>
    </row>
    <row r="1438" spans="13:23">
      <c r="M1438" s="9"/>
      <c r="W1438" s="6"/>
    </row>
    <row r="1439" spans="13:23">
      <c r="M1439" s="9"/>
      <c r="W1439" s="6"/>
    </row>
    <row r="1440" spans="13:23">
      <c r="M1440" s="9"/>
      <c r="W1440" s="6"/>
    </row>
    <row r="1441" spans="13:23">
      <c r="M1441" s="9"/>
      <c r="W1441" s="6"/>
    </row>
    <row r="1442" spans="13:23">
      <c r="M1442" s="9"/>
      <c r="W1442" s="6"/>
    </row>
    <row r="1443" spans="13:23">
      <c r="M1443" s="9"/>
      <c r="W1443" s="6"/>
    </row>
    <row r="1444" spans="13:23">
      <c r="M1444" s="9"/>
      <c r="W1444" s="6"/>
    </row>
    <row r="1445" spans="13:23">
      <c r="M1445" s="9"/>
      <c r="W1445" s="6"/>
    </row>
    <row r="1446" spans="13:23">
      <c r="M1446" s="9"/>
      <c r="W1446" s="6"/>
    </row>
    <row r="1447" spans="13:23">
      <c r="M1447" s="9"/>
      <c r="W1447" s="6"/>
    </row>
    <row r="1448" spans="13:23">
      <c r="M1448" s="9"/>
      <c r="W1448" s="6"/>
    </row>
    <row r="1449" spans="13:23">
      <c r="M1449" s="9"/>
      <c r="W1449" s="6"/>
    </row>
    <row r="1450" spans="13:23">
      <c r="M1450" s="9"/>
      <c r="W1450" s="6"/>
    </row>
    <row r="1451" spans="13:23">
      <c r="M1451" s="9"/>
      <c r="W1451" s="6"/>
    </row>
    <row r="1452" spans="13:23">
      <c r="M1452" s="9"/>
      <c r="W1452" s="6"/>
    </row>
    <row r="1453" spans="13:23">
      <c r="M1453" s="9"/>
      <c r="W1453" s="6"/>
    </row>
    <row r="1454" spans="13:23">
      <c r="M1454" s="9"/>
      <c r="W1454" s="6"/>
    </row>
    <row r="1455" spans="13:23">
      <c r="M1455" s="9"/>
      <c r="W1455" s="6"/>
    </row>
    <row r="1456" spans="13:23">
      <c r="M1456" s="9"/>
      <c r="W1456" s="6"/>
    </row>
    <row r="1457" spans="13:23">
      <c r="M1457" s="9"/>
      <c r="W1457" s="6"/>
    </row>
    <row r="1458" spans="13:23">
      <c r="M1458" s="9"/>
      <c r="W1458" s="6"/>
    </row>
    <row r="1459" spans="13:23">
      <c r="M1459" s="9"/>
      <c r="W1459" s="6"/>
    </row>
    <row r="1460" spans="13:23">
      <c r="M1460" s="9"/>
      <c r="W1460" s="6"/>
    </row>
    <row r="1461" spans="13:23">
      <c r="M1461" s="9"/>
      <c r="W1461" s="6"/>
    </row>
    <row r="1462" spans="13:23">
      <c r="M1462" s="9"/>
      <c r="W1462" s="6"/>
    </row>
    <row r="1463" spans="13:23">
      <c r="M1463" s="9"/>
      <c r="W1463" s="6"/>
    </row>
    <row r="1464" spans="13:23">
      <c r="M1464" s="9"/>
      <c r="W1464" s="6"/>
    </row>
    <row r="1465" spans="13:23">
      <c r="M1465" s="9"/>
      <c r="W1465" s="6"/>
    </row>
    <row r="1466" spans="13:23">
      <c r="M1466" s="9"/>
      <c r="W1466" s="6"/>
    </row>
    <row r="1467" spans="13:23">
      <c r="M1467" s="9"/>
      <c r="W1467" s="6"/>
    </row>
    <row r="1468" spans="13:23">
      <c r="M1468" s="9"/>
      <c r="W1468" s="6"/>
    </row>
    <row r="1469" spans="13:23">
      <c r="M1469" s="9"/>
      <c r="W1469" s="6"/>
    </row>
    <row r="1470" spans="13:23">
      <c r="M1470" s="9"/>
      <c r="W1470" s="6"/>
    </row>
    <row r="1471" spans="13:23">
      <c r="M1471" s="9"/>
      <c r="W1471" s="6"/>
    </row>
    <row r="1472" spans="13:23">
      <c r="M1472" s="9"/>
      <c r="W1472" s="6"/>
    </row>
    <row r="1473" spans="13:23">
      <c r="M1473" s="9"/>
      <c r="W1473" s="6"/>
    </row>
    <row r="1474" spans="13:23">
      <c r="M1474" s="9"/>
      <c r="W1474" s="6"/>
    </row>
    <row r="1475" spans="13:23">
      <c r="M1475" s="9"/>
      <c r="W1475" s="6"/>
    </row>
    <row r="1476" spans="13:23">
      <c r="M1476" s="9"/>
      <c r="W1476" s="6"/>
    </row>
    <row r="1477" spans="13:23">
      <c r="M1477" s="9"/>
      <c r="W1477" s="6"/>
    </row>
    <row r="1478" spans="13:23">
      <c r="M1478" s="9"/>
      <c r="W1478" s="6"/>
    </row>
    <row r="1479" spans="13:23">
      <c r="M1479" s="9"/>
      <c r="W1479" s="6"/>
    </row>
    <row r="1480" spans="13:23">
      <c r="M1480" s="9"/>
      <c r="W1480" s="6"/>
    </row>
    <row r="1481" spans="13:23">
      <c r="M1481" s="9"/>
      <c r="W1481" s="6"/>
    </row>
    <row r="1482" spans="13:23">
      <c r="M1482" s="9"/>
      <c r="W1482" s="6"/>
    </row>
    <row r="1483" spans="13:23">
      <c r="M1483" s="9"/>
      <c r="W1483" s="6"/>
    </row>
    <row r="1484" spans="13:23">
      <c r="M1484" s="9"/>
      <c r="W1484" s="6"/>
    </row>
    <row r="1485" spans="13:23">
      <c r="M1485" s="9"/>
      <c r="W1485" s="6"/>
    </row>
    <row r="1486" spans="13:23">
      <c r="M1486" s="9"/>
      <c r="W1486" s="6"/>
    </row>
    <row r="1487" spans="13:23">
      <c r="M1487" s="9"/>
      <c r="W1487" s="6"/>
    </row>
    <row r="1488" spans="13:23">
      <c r="M1488" s="9"/>
      <c r="W1488" s="6"/>
    </row>
    <row r="1489" spans="13:23">
      <c r="M1489" s="9"/>
      <c r="W1489" s="6"/>
    </row>
    <row r="1490" spans="13:23">
      <c r="M1490" s="9"/>
      <c r="W1490" s="6"/>
    </row>
    <row r="1491" spans="13:23">
      <c r="M1491" s="9"/>
      <c r="W1491" s="6"/>
    </row>
    <row r="1492" spans="13:23">
      <c r="M1492" s="9"/>
      <c r="W1492" s="6"/>
    </row>
    <row r="1493" spans="13:23">
      <c r="M1493" s="9"/>
      <c r="W1493" s="6"/>
    </row>
    <row r="1494" spans="13:23">
      <c r="M1494" s="9"/>
      <c r="W1494" s="6"/>
    </row>
    <row r="1495" spans="13:23">
      <c r="M1495" s="9"/>
      <c r="W1495" s="6"/>
    </row>
    <row r="1496" spans="13:23">
      <c r="M1496" s="9"/>
      <c r="W1496" s="6"/>
    </row>
    <row r="1497" spans="13:23">
      <c r="M1497" s="9"/>
      <c r="W1497" s="6"/>
    </row>
    <row r="1498" spans="13:23">
      <c r="M1498" s="9"/>
      <c r="W1498" s="6"/>
    </row>
    <row r="1499" spans="13:23">
      <c r="M1499" s="9"/>
      <c r="W1499" s="6"/>
    </row>
    <row r="1500" spans="13:23">
      <c r="M1500" s="9"/>
      <c r="W1500" s="6"/>
    </row>
    <row r="1501" spans="13:23">
      <c r="M1501" s="9"/>
      <c r="W1501" s="6"/>
    </row>
    <row r="1502" spans="13:23">
      <c r="M1502" s="9"/>
      <c r="W1502" s="6"/>
    </row>
    <row r="1503" spans="13:23">
      <c r="M1503" s="9"/>
      <c r="W1503" s="6"/>
    </row>
    <row r="1504" spans="13:23">
      <c r="M1504" s="9"/>
      <c r="W1504" s="6"/>
    </row>
    <row r="1505" spans="13:23">
      <c r="M1505" s="9"/>
      <c r="W1505" s="6"/>
    </row>
    <row r="1506" spans="13:23">
      <c r="M1506" s="9"/>
      <c r="W1506" s="6"/>
    </row>
    <row r="1507" spans="13:23">
      <c r="M1507" s="9"/>
      <c r="W1507" s="6"/>
    </row>
    <row r="1508" spans="13:23">
      <c r="M1508" s="9"/>
      <c r="W1508" s="6"/>
    </row>
    <row r="1509" spans="13:23">
      <c r="M1509" s="9"/>
      <c r="W1509" s="6"/>
    </row>
    <row r="1510" spans="13:23">
      <c r="M1510" s="9"/>
      <c r="W1510" s="6"/>
    </row>
    <row r="1511" spans="13:23">
      <c r="M1511" s="9"/>
      <c r="W1511" s="6"/>
    </row>
    <row r="1512" spans="13:23">
      <c r="M1512" s="9"/>
      <c r="W1512" s="6"/>
    </row>
    <row r="1513" spans="13:23">
      <c r="M1513" s="9"/>
      <c r="W1513" s="6"/>
    </row>
    <row r="1514" spans="13:23">
      <c r="M1514" s="9"/>
      <c r="W1514" s="6"/>
    </row>
    <row r="1515" spans="13:23">
      <c r="M1515" s="9"/>
      <c r="W1515" s="6"/>
    </row>
    <row r="1516" spans="13:23">
      <c r="M1516" s="9"/>
      <c r="W1516" s="6"/>
    </row>
    <row r="1517" spans="13:23">
      <c r="M1517" s="9"/>
      <c r="W1517" s="6"/>
    </row>
    <row r="1518" spans="13:23">
      <c r="M1518" s="9"/>
      <c r="W1518" s="6"/>
    </row>
    <row r="1519" spans="13:23">
      <c r="M1519" s="9"/>
      <c r="W1519" s="6"/>
    </row>
    <row r="1520" spans="13:23">
      <c r="M1520" s="9"/>
      <c r="W1520" s="6"/>
    </row>
    <row r="1521" spans="13:23">
      <c r="M1521" s="9"/>
      <c r="W1521" s="6"/>
    </row>
    <row r="1522" spans="13:23">
      <c r="M1522" s="9"/>
      <c r="W1522" s="6"/>
    </row>
    <row r="1523" spans="13:23">
      <c r="M1523" s="9"/>
      <c r="W1523" s="6"/>
    </row>
    <row r="1524" spans="13:23">
      <c r="M1524" s="9"/>
      <c r="W1524" s="6"/>
    </row>
    <row r="1525" spans="13:23">
      <c r="M1525" s="9"/>
      <c r="W1525" s="6"/>
    </row>
    <row r="1526" spans="13:23">
      <c r="M1526" s="9"/>
      <c r="W1526" s="6"/>
    </row>
    <row r="1527" spans="13:23">
      <c r="M1527" s="9"/>
      <c r="W1527" s="6"/>
    </row>
    <row r="1528" spans="13:23">
      <c r="M1528" s="9"/>
      <c r="W1528" s="6"/>
    </row>
    <row r="1529" spans="13:23">
      <c r="M1529" s="9"/>
      <c r="W1529" s="6"/>
    </row>
    <row r="1530" spans="13:23">
      <c r="M1530" s="9"/>
      <c r="W1530" s="6"/>
    </row>
    <row r="1531" spans="13:23">
      <c r="M1531" s="9"/>
      <c r="W1531" s="6"/>
    </row>
    <row r="1532" spans="13:23">
      <c r="M1532" s="9"/>
      <c r="W1532" s="6"/>
    </row>
    <row r="1533" spans="13:23">
      <c r="M1533" s="9"/>
      <c r="W1533" s="6"/>
    </row>
    <row r="1534" spans="13:23">
      <c r="M1534" s="9"/>
      <c r="W1534" s="6"/>
    </row>
    <row r="1535" spans="13:23">
      <c r="M1535" s="9"/>
      <c r="W1535" s="6"/>
    </row>
    <row r="1536" spans="13:23">
      <c r="M1536" s="9"/>
      <c r="W1536" s="6"/>
    </row>
    <row r="1537" spans="13:23">
      <c r="M1537" s="9"/>
      <c r="W1537" s="6"/>
    </row>
    <row r="1538" spans="13:23">
      <c r="M1538" s="9"/>
      <c r="W1538" s="6"/>
    </row>
    <row r="1539" spans="13:23">
      <c r="M1539" s="9"/>
      <c r="W1539" s="6"/>
    </row>
    <row r="1540" spans="13:23">
      <c r="M1540" s="9"/>
      <c r="W1540" s="6"/>
    </row>
    <row r="1541" spans="13:23">
      <c r="M1541" s="9"/>
      <c r="W1541" s="6"/>
    </row>
    <row r="1542" spans="13:23">
      <c r="M1542" s="9"/>
      <c r="W1542" s="6"/>
    </row>
    <row r="1543" spans="13:23">
      <c r="M1543" s="9"/>
      <c r="W1543" s="6"/>
    </row>
    <row r="1544" spans="13:23">
      <c r="M1544" s="9"/>
      <c r="W1544" s="6"/>
    </row>
    <row r="1545" spans="13:23">
      <c r="M1545" s="9"/>
      <c r="W1545" s="6"/>
    </row>
    <row r="1546" spans="13:23">
      <c r="M1546" s="9"/>
      <c r="W1546" s="6"/>
    </row>
    <row r="1547" spans="13:23">
      <c r="M1547" s="9"/>
      <c r="W1547" s="6"/>
    </row>
    <row r="1548" spans="13:23">
      <c r="M1548" s="9"/>
      <c r="W1548" s="6"/>
    </row>
    <row r="1549" spans="13:23">
      <c r="M1549" s="9"/>
      <c r="W1549" s="6"/>
    </row>
    <row r="1550" spans="13:23">
      <c r="M1550" s="9"/>
      <c r="W1550" s="6"/>
    </row>
    <row r="1551" spans="13:23">
      <c r="M1551" s="9"/>
      <c r="W1551" s="6"/>
    </row>
    <row r="1552" spans="13:23">
      <c r="M1552" s="9"/>
      <c r="W1552" s="6"/>
    </row>
    <row r="1553" spans="13:23">
      <c r="M1553" s="9"/>
      <c r="W1553" s="6"/>
    </row>
    <row r="1554" spans="13:23">
      <c r="M1554" s="9"/>
      <c r="W1554" s="6"/>
    </row>
    <row r="1555" spans="13:23">
      <c r="M1555" s="9"/>
      <c r="W1555" s="6"/>
    </row>
    <row r="1556" spans="13:23">
      <c r="M1556" s="9"/>
      <c r="W1556" s="6"/>
    </row>
    <row r="1557" spans="13:23">
      <c r="M1557" s="9"/>
      <c r="W1557" s="6"/>
    </row>
    <row r="1558" spans="13:23">
      <c r="M1558" s="9"/>
      <c r="W1558" s="6"/>
    </row>
    <row r="1559" spans="13:23">
      <c r="M1559" s="9"/>
      <c r="W1559" s="6"/>
    </row>
    <row r="1560" spans="13:23">
      <c r="M1560" s="9"/>
      <c r="W1560" s="6"/>
    </row>
    <row r="1561" spans="13:23">
      <c r="M1561" s="9"/>
      <c r="W1561" s="6"/>
    </row>
    <row r="1562" spans="13:23">
      <c r="M1562" s="9"/>
      <c r="W1562" s="6"/>
    </row>
    <row r="1563" spans="13:23">
      <c r="M1563" s="9"/>
      <c r="W1563" s="6"/>
    </row>
    <row r="1564" spans="13:23">
      <c r="M1564" s="9"/>
      <c r="W1564" s="6"/>
    </row>
    <row r="1565" spans="13:23">
      <c r="M1565" s="9"/>
      <c r="W1565" s="6"/>
    </row>
    <row r="1566" spans="13:23">
      <c r="M1566" s="9"/>
      <c r="W1566" s="6"/>
    </row>
    <row r="1567" spans="13:23">
      <c r="M1567" s="9"/>
      <c r="W1567" s="6"/>
    </row>
    <row r="1568" spans="13:23">
      <c r="M1568" s="9"/>
      <c r="W1568" s="6"/>
    </row>
    <row r="1569" spans="13:23">
      <c r="M1569" s="9"/>
      <c r="W1569" s="6"/>
    </row>
    <row r="1570" spans="13:23">
      <c r="M1570" s="9"/>
      <c r="W1570" s="6"/>
    </row>
    <row r="1571" spans="13:23">
      <c r="M1571" s="9"/>
      <c r="W1571" s="6"/>
    </row>
    <row r="1572" spans="13:23">
      <c r="M1572" s="9"/>
      <c r="W1572" s="6"/>
    </row>
    <row r="1573" spans="13:23">
      <c r="M1573" s="9"/>
      <c r="W1573" s="6"/>
    </row>
    <row r="1574" spans="13:23">
      <c r="M1574" s="9"/>
      <c r="W1574" s="6"/>
    </row>
    <row r="1575" spans="13:23">
      <c r="M1575" s="9"/>
      <c r="W1575" s="6"/>
    </row>
    <row r="1576" spans="13:23">
      <c r="M1576" s="9"/>
      <c r="W1576" s="6"/>
    </row>
    <row r="1577" spans="13:23">
      <c r="M1577" s="9"/>
      <c r="W1577" s="6"/>
    </row>
    <row r="1578" spans="13:23">
      <c r="M1578" s="9"/>
      <c r="W1578" s="6"/>
    </row>
    <row r="1579" spans="13:23">
      <c r="M1579" s="9"/>
      <c r="W1579" s="6"/>
    </row>
    <row r="1580" spans="13:23">
      <c r="M1580" s="9"/>
      <c r="W1580" s="6"/>
    </row>
    <row r="1581" spans="13:23">
      <c r="M1581" s="9"/>
      <c r="W1581" s="6"/>
    </row>
    <row r="1582" spans="13:23">
      <c r="M1582" s="9"/>
      <c r="W1582" s="6"/>
    </row>
    <row r="1583" spans="13:23">
      <c r="M1583" s="9"/>
      <c r="W1583" s="6"/>
    </row>
    <row r="1584" spans="13:23">
      <c r="M1584" s="9"/>
      <c r="W1584" s="6"/>
    </row>
    <row r="1585" spans="13:23">
      <c r="M1585" s="9"/>
      <c r="W1585" s="6"/>
    </row>
    <row r="1586" spans="13:23">
      <c r="M1586" s="9"/>
      <c r="W1586" s="6"/>
    </row>
    <row r="1587" spans="13:23">
      <c r="M1587" s="9"/>
      <c r="W1587" s="6"/>
    </row>
    <row r="1588" spans="13:23">
      <c r="M1588" s="9"/>
      <c r="W1588" s="6"/>
    </row>
    <row r="1589" spans="13:23">
      <c r="M1589" s="9"/>
      <c r="W1589" s="6"/>
    </row>
    <row r="1590" spans="13:23">
      <c r="M1590" s="9"/>
      <c r="W1590" s="6"/>
    </row>
    <row r="1591" spans="13:23">
      <c r="M1591" s="9"/>
      <c r="W1591" s="6"/>
    </row>
    <row r="1592" spans="13:23">
      <c r="M1592" s="9"/>
      <c r="W1592" s="6"/>
    </row>
    <row r="1593" spans="13:23">
      <c r="M1593" s="9"/>
      <c r="W1593" s="6"/>
    </row>
    <row r="1594" spans="13:23">
      <c r="M1594" s="9"/>
      <c r="W1594" s="6"/>
    </row>
    <row r="1595" spans="13:23">
      <c r="M1595" s="9"/>
      <c r="W1595" s="6"/>
    </row>
    <row r="1596" spans="13:23">
      <c r="M1596" s="9"/>
      <c r="W1596" s="6"/>
    </row>
    <row r="1597" spans="13:23">
      <c r="M1597" s="9"/>
      <c r="W1597" s="6"/>
    </row>
    <row r="1598" spans="13:23">
      <c r="M1598" s="9"/>
      <c r="W1598" s="6"/>
    </row>
    <row r="1599" spans="13:23">
      <c r="M1599" s="9"/>
      <c r="W1599" s="6"/>
    </row>
    <row r="1600" spans="13:23">
      <c r="M1600" s="9"/>
      <c r="W1600" s="6"/>
    </row>
    <row r="1601" spans="13:23">
      <c r="M1601" s="9"/>
      <c r="W1601" s="6"/>
    </row>
    <row r="1602" spans="13:23">
      <c r="M1602" s="9"/>
      <c r="W1602" s="6"/>
    </row>
    <row r="1603" spans="13:23">
      <c r="M1603" s="9"/>
      <c r="W1603" s="6"/>
    </row>
    <row r="1604" spans="13:23">
      <c r="M1604" s="9"/>
      <c r="W1604" s="6"/>
    </row>
    <row r="1605" spans="13:23">
      <c r="M1605" s="9"/>
      <c r="W1605" s="6"/>
    </row>
    <row r="1606" spans="13:23">
      <c r="M1606" s="9"/>
      <c r="W1606" s="6"/>
    </row>
    <row r="1607" spans="13:23">
      <c r="M1607" s="9"/>
      <c r="W1607" s="6"/>
    </row>
    <row r="1608" spans="13:23">
      <c r="M1608" s="9"/>
      <c r="W1608" s="6"/>
    </row>
    <row r="1609" spans="13:23">
      <c r="M1609" s="9"/>
      <c r="W1609" s="6"/>
    </row>
    <row r="1610" spans="13:23">
      <c r="M1610" s="9"/>
      <c r="W1610" s="6"/>
    </row>
    <row r="1611" spans="13:23">
      <c r="M1611" s="9"/>
      <c r="W1611" s="6"/>
    </row>
    <row r="1612" spans="13:23">
      <c r="M1612" s="9"/>
      <c r="W1612" s="6"/>
    </row>
    <row r="1613" spans="13:23">
      <c r="M1613" s="9"/>
      <c r="W1613" s="6"/>
    </row>
    <row r="1614" spans="13:23">
      <c r="M1614" s="9"/>
      <c r="W1614" s="6"/>
    </row>
    <row r="1615" spans="13:23">
      <c r="M1615" s="9"/>
      <c r="W1615" s="6"/>
    </row>
    <row r="1616" spans="13:23">
      <c r="M1616" s="9"/>
      <c r="W1616" s="6"/>
    </row>
    <row r="1617" spans="13:23">
      <c r="M1617" s="9"/>
      <c r="W1617" s="6"/>
    </row>
    <row r="1618" spans="13:23">
      <c r="M1618" s="9"/>
      <c r="W1618" s="6"/>
    </row>
    <row r="1619" spans="13:23">
      <c r="M1619" s="9"/>
      <c r="W1619" s="6"/>
    </row>
    <row r="1620" spans="13:23">
      <c r="M1620" s="9"/>
      <c r="W1620" s="6"/>
    </row>
    <row r="1621" spans="13:23">
      <c r="M1621" s="9"/>
      <c r="W1621" s="6"/>
    </row>
    <row r="1622" spans="13:23">
      <c r="M1622" s="9"/>
      <c r="W1622" s="6"/>
    </row>
    <row r="1623" spans="13:23">
      <c r="M1623" s="9"/>
      <c r="W1623" s="6"/>
    </row>
    <row r="1624" spans="13:23">
      <c r="M1624" s="9"/>
      <c r="W1624" s="6"/>
    </row>
    <row r="1625" spans="13:23">
      <c r="M1625" s="9"/>
      <c r="W1625" s="6"/>
    </row>
    <row r="1626" spans="13:23">
      <c r="M1626" s="9"/>
      <c r="W1626" s="6"/>
    </row>
    <row r="1627" spans="13:23">
      <c r="M1627" s="9"/>
      <c r="W1627" s="6"/>
    </row>
    <row r="1628" spans="13:23">
      <c r="M1628" s="9"/>
      <c r="W1628" s="6"/>
    </row>
    <row r="1629" spans="13:23">
      <c r="M1629" s="9"/>
      <c r="W1629" s="6"/>
    </row>
    <row r="1630" spans="13:23">
      <c r="M1630" s="9"/>
      <c r="W1630" s="6"/>
    </row>
    <row r="1631" spans="13:23">
      <c r="M1631" s="9"/>
      <c r="W1631" s="6"/>
    </row>
    <row r="1632" spans="13:23">
      <c r="M1632" s="9"/>
      <c r="W1632" s="6"/>
    </row>
    <row r="1633" spans="13:23">
      <c r="M1633" s="9"/>
      <c r="W1633" s="6"/>
    </row>
    <row r="1634" spans="13:23">
      <c r="M1634" s="9"/>
      <c r="W1634" s="6"/>
    </row>
    <row r="1635" spans="13:23">
      <c r="M1635" s="9"/>
      <c r="W1635" s="6"/>
    </row>
    <row r="1636" spans="13:23">
      <c r="M1636" s="9"/>
      <c r="W1636" s="6"/>
    </row>
    <row r="1637" spans="13:23">
      <c r="M1637" s="9"/>
      <c r="W1637" s="6"/>
    </row>
    <row r="1638" spans="13:23">
      <c r="M1638" s="9"/>
      <c r="W1638" s="6"/>
    </row>
    <row r="1639" spans="13:23">
      <c r="M1639" s="9"/>
      <c r="W1639" s="6"/>
    </row>
    <row r="1640" spans="13:23">
      <c r="M1640" s="9"/>
      <c r="W1640" s="6"/>
    </row>
    <row r="1641" spans="13:23">
      <c r="M1641" s="9"/>
      <c r="W1641" s="6"/>
    </row>
    <row r="1642" spans="13:23">
      <c r="M1642" s="9"/>
      <c r="W1642" s="6"/>
    </row>
    <row r="1643" spans="13:23">
      <c r="M1643" s="9"/>
      <c r="W1643" s="6"/>
    </row>
    <row r="1644" spans="13:23">
      <c r="M1644" s="9"/>
      <c r="W1644" s="6"/>
    </row>
    <row r="1645" spans="13:23">
      <c r="M1645" s="9"/>
      <c r="W1645" s="6"/>
    </row>
    <row r="1646" spans="13:23">
      <c r="M1646" s="9"/>
      <c r="W1646" s="6"/>
    </row>
    <row r="1647" spans="13:23">
      <c r="M1647" s="9"/>
      <c r="W1647" s="6"/>
    </row>
    <row r="1648" spans="13:23">
      <c r="M1648" s="9"/>
      <c r="W1648" s="6"/>
    </row>
    <row r="1649" spans="13:23">
      <c r="M1649" s="9"/>
      <c r="W1649" s="6"/>
    </row>
    <row r="1650" spans="13:23">
      <c r="M1650" s="9"/>
      <c r="W1650" s="6"/>
    </row>
    <row r="1651" spans="13:23">
      <c r="M1651" s="9"/>
      <c r="W1651" s="6"/>
    </row>
    <row r="1652" spans="13:23">
      <c r="M1652" s="9"/>
      <c r="W1652" s="6"/>
    </row>
    <row r="1653" spans="13:23">
      <c r="M1653" s="9"/>
      <c r="W1653" s="6"/>
    </row>
    <row r="1654" spans="13:23">
      <c r="M1654" s="9"/>
      <c r="W1654" s="6"/>
    </row>
    <row r="1655" spans="13:23">
      <c r="M1655" s="9"/>
      <c r="W1655" s="6"/>
    </row>
    <row r="1656" spans="13:23">
      <c r="M1656" s="9"/>
      <c r="W1656" s="6"/>
    </row>
    <row r="1657" spans="13:23">
      <c r="M1657" s="9"/>
      <c r="W1657" s="6"/>
    </row>
    <row r="1658" spans="13:23">
      <c r="M1658" s="9"/>
      <c r="W1658" s="6"/>
    </row>
    <row r="1659" spans="13:23">
      <c r="M1659" s="9"/>
      <c r="W1659" s="6"/>
    </row>
    <row r="1660" spans="13:23">
      <c r="M1660" s="9"/>
      <c r="W1660" s="6"/>
    </row>
    <row r="1661" spans="13:23">
      <c r="M1661" s="9"/>
      <c r="W1661" s="6"/>
    </row>
    <row r="1662" spans="13:23">
      <c r="M1662" s="9"/>
      <c r="W1662" s="6"/>
    </row>
    <row r="1663" spans="13:23">
      <c r="M1663" s="9"/>
      <c r="W1663" s="6"/>
    </row>
    <row r="1664" spans="13:23">
      <c r="M1664" s="9"/>
      <c r="W1664" s="6"/>
    </row>
    <row r="1665" spans="13:23">
      <c r="M1665" s="9"/>
      <c r="W1665" s="6"/>
    </row>
    <row r="1666" spans="13:23">
      <c r="M1666" s="9"/>
      <c r="W1666" s="6"/>
    </row>
    <row r="1667" spans="13:23">
      <c r="M1667" s="9"/>
      <c r="W1667" s="6"/>
    </row>
    <row r="1668" spans="13:23">
      <c r="M1668" s="9"/>
      <c r="W1668" s="6"/>
    </row>
    <row r="1669" spans="13:23">
      <c r="M1669" s="9"/>
      <c r="W1669" s="6"/>
    </row>
    <row r="1670" spans="13:23">
      <c r="M1670" s="9"/>
      <c r="W1670" s="6"/>
    </row>
    <row r="1671" spans="13:23">
      <c r="M1671" s="9"/>
      <c r="W1671" s="6"/>
    </row>
    <row r="1672" spans="13:23">
      <c r="M1672" s="9"/>
      <c r="W1672" s="6"/>
    </row>
    <row r="1673" spans="13:23">
      <c r="M1673" s="9"/>
      <c r="W1673" s="6"/>
    </row>
    <row r="1674" spans="13:23">
      <c r="M1674" s="9"/>
      <c r="W1674" s="6"/>
    </row>
    <row r="1675" spans="13:23">
      <c r="M1675" s="9"/>
      <c r="W1675" s="6"/>
    </row>
    <row r="1676" spans="13:23">
      <c r="M1676" s="9"/>
      <c r="W1676" s="6"/>
    </row>
    <row r="1677" spans="13:23">
      <c r="M1677" s="9"/>
      <c r="W1677" s="6"/>
    </row>
    <row r="1678" spans="13:23">
      <c r="M1678" s="9"/>
      <c r="W1678" s="6"/>
    </row>
    <row r="1679" spans="13:23">
      <c r="M1679" s="9"/>
      <c r="W1679" s="6"/>
    </row>
    <row r="1680" spans="13:23">
      <c r="M1680" s="9"/>
      <c r="W1680" s="6"/>
    </row>
    <row r="1681" spans="13:23">
      <c r="M1681" s="9"/>
      <c r="W1681" s="6"/>
    </row>
    <row r="1682" spans="13:23">
      <c r="M1682" s="9"/>
      <c r="W1682" s="6"/>
    </row>
    <row r="1683" spans="13:23">
      <c r="M1683" s="9"/>
      <c r="W1683" s="6"/>
    </row>
    <row r="1684" spans="13:23">
      <c r="M1684" s="9"/>
      <c r="W1684" s="6"/>
    </row>
    <row r="1685" spans="13:23">
      <c r="M1685" s="9"/>
      <c r="W1685" s="6"/>
    </row>
    <row r="1686" spans="13:23">
      <c r="M1686" s="9"/>
      <c r="W1686" s="6"/>
    </row>
    <row r="1687" spans="13:23">
      <c r="M1687" s="9"/>
      <c r="W1687" s="6"/>
    </row>
    <row r="1688" spans="13:23">
      <c r="M1688" s="9"/>
      <c r="W1688" s="6"/>
    </row>
    <row r="1689" spans="13:23">
      <c r="M1689" s="9"/>
      <c r="W1689" s="6"/>
    </row>
    <row r="1690" spans="13:23">
      <c r="M1690" s="9"/>
      <c r="W1690" s="6"/>
    </row>
    <row r="1691" spans="13:23">
      <c r="M1691" s="9"/>
      <c r="W1691" s="6"/>
    </row>
    <row r="1692" spans="13:23">
      <c r="M1692" s="9"/>
      <c r="W1692" s="6"/>
    </row>
    <row r="1693" spans="13:23">
      <c r="M1693" s="9"/>
      <c r="W1693" s="6"/>
    </row>
    <row r="1694" spans="13:23">
      <c r="M1694" s="9"/>
      <c r="W1694" s="6"/>
    </row>
    <row r="1695" spans="13:23">
      <c r="M1695" s="9"/>
      <c r="W1695" s="6"/>
    </row>
    <row r="1696" spans="13:23">
      <c r="M1696" s="9"/>
      <c r="W1696" s="6"/>
    </row>
    <row r="1697" spans="13:23">
      <c r="M1697" s="9"/>
      <c r="W1697" s="6"/>
    </row>
    <row r="1698" spans="13:23">
      <c r="M1698" s="9"/>
      <c r="W1698" s="6"/>
    </row>
    <row r="1699" spans="13:23">
      <c r="M1699" s="9"/>
      <c r="W1699" s="6"/>
    </row>
    <row r="1700" spans="13:23">
      <c r="M1700" s="9"/>
      <c r="W1700" s="6"/>
    </row>
    <row r="1701" spans="13:23">
      <c r="M1701" s="9"/>
      <c r="W1701" s="6"/>
    </row>
    <row r="1702" spans="13:23">
      <c r="M1702" s="9"/>
      <c r="W1702" s="6"/>
    </row>
    <row r="1703" spans="13:23">
      <c r="M1703" s="9"/>
      <c r="W1703" s="6"/>
    </row>
    <row r="1704" spans="13:23">
      <c r="M1704" s="9"/>
      <c r="W1704" s="6"/>
    </row>
    <row r="1705" spans="13:23">
      <c r="M1705" s="9"/>
      <c r="W1705" s="6"/>
    </row>
    <row r="1706" spans="13:23">
      <c r="M1706" s="9"/>
      <c r="W1706" s="6"/>
    </row>
    <row r="1707" spans="13:23">
      <c r="M1707" s="9"/>
      <c r="W1707" s="6"/>
    </row>
    <row r="1708" spans="13:23">
      <c r="M1708" s="9"/>
      <c r="W1708" s="6"/>
    </row>
    <row r="1709" spans="13:23">
      <c r="M1709" s="9"/>
      <c r="W1709" s="6"/>
    </row>
    <row r="1710" spans="13:23">
      <c r="M1710" s="9"/>
      <c r="W1710" s="6"/>
    </row>
    <row r="1711" spans="13:23">
      <c r="M1711" s="9"/>
      <c r="W1711" s="6"/>
    </row>
    <row r="1712" spans="13:23">
      <c r="M1712" s="9"/>
      <c r="W1712" s="6"/>
    </row>
    <row r="1713" spans="13:23">
      <c r="M1713" s="9"/>
      <c r="W1713" s="6"/>
    </row>
    <row r="1714" spans="13:23">
      <c r="M1714" s="9"/>
      <c r="W1714" s="6"/>
    </row>
    <row r="1715" spans="13:23">
      <c r="M1715" s="9"/>
      <c r="W1715" s="6"/>
    </row>
    <row r="1716" spans="13:23">
      <c r="M1716" s="9"/>
      <c r="W1716" s="6"/>
    </row>
    <row r="1717" spans="13:23">
      <c r="M1717" s="9"/>
      <c r="W1717" s="6"/>
    </row>
    <row r="1718" spans="13:23">
      <c r="M1718" s="9"/>
      <c r="W1718" s="6"/>
    </row>
    <row r="1719" spans="13:23">
      <c r="M1719" s="9"/>
      <c r="W1719" s="6"/>
    </row>
    <row r="1720" spans="13:23">
      <c r="M1720" s="9"/>
      <c r="W1720" s="6"/>
    </row>
    <row r="1721" spans="13:23">
      <c r="M1721" s="9"/>
      <c r="W1721" s="6"/>
    </row>
    <row r="1722" spans="13:23">
      <c r="M1722" s="9"/>
      <c r="W1722" s="6"/>
    </row>
    <row r="1723" spans="13:23">
      <c r="M1723" s="9"/>
      <c r="W1723" s="6"/>
    </row>
    <row r="1724" spans="13:23">
      <c r="M1724" s="9"/>
      <c r="W1724" s="6"/>
    </row>
    <row r="1725" spans="13:23">
      <c r="M1725" s="9"/>
      <c r="W1725" s="6"/>
    </row>
    <row r="1726" spans="13:23">
      <c r="M1726" s="9"/>
      <c r="W1726" s="6"/>
    </row>
    <row r="1727" spans="13:23">
      <c r="M1727" s="9"/>
      <c r="W1727" s="6"/>
    </row>
    <row r="1728" spans="13:23">
      <c r="M1728" s="9"/>
      <c r="W1728" s="6"/>
    </row>
    <row r="1729" spans="13:23">
      <c r="M1729" s="9"/>
      <c r="W1729" s="6"/>
    </row>
    <row r="1730" spans="13:23">
      <c r="M1730" s="9"/>
      <c r="W1730" s="6"/>
    </row>
    <row r="1731" spans="13:23">
      <c r="M1731" s="9"/>
      <c r="W1731" s="6"/>
    </row>
    <row r="1732" spans="13:23">
      <c r="M1732" s="9"/>
      <c r="W1732" s="6"/>
    </row>
    <row r="1733" spans="13:23">
      <c r="M1733" s="9"/>
      <c r="W1733" s="6"/>
    </row>
    <row r="1734" spans="13:23">
      <c r="M1734" s="9"/>
      <c r="W1734" s="6"/>
    </row>
    <row r="1735" spans="13:23">
      <c r="M1735" s="9"/>
      <c r="W1735" s="6"/>
    </row>
    <row r="1736" spans="13:23">
      <c r="M1736" s="9"/>
      <c r="W1736" s="6"/>
    </row>
    <row r="1737" spans="13:23">
      <c r="M1737" s="9"/>
      <c r="W1737" s="6"/>
    </row>
    <row r="1738" spans="13:23">
      <c r="M1738" s="9"/>
      <c r="W1738" s="6"/>
    </row>
    <row r="1739" spans="13:23">
      <c r="M1739" s="9"/>
      <c r="W1739" s="6"/>
    </row>
    <row r="1740" spans="13:23">
      <c r="M1740" s="9"/>
      <c r="W1740" s="6"/>
    </row>
    <row r="1741" spans="13:23">
      <c r="M1741" s="9"/>
      <c r="W1741" s="6"/>
    </row>
    <row r="1742" spans="13:23">
      <c r="M1742" s="9"/>
      <c r="W1742" s="6"/>
    </row>
    <row r="1743" spans="13:23">
      <c r="M1743" s="9"/>
      <c r="W1743" s="6"/>
    </row>
    <row r="1744" spans="13:23">
      <c r="M1744" s="9"/>
      <c r="W1744" s="6"/>
    </row>
    <row r="1745" spans="13:23">
      <c r="M1745" s="9"/>
      <c r="W1745" s="6"/>
    </row>
    <row r="1746" spans="13:23">
      <c r="M1746" s="9"/>
      <c r="W1746" s="6"/>
    </row>
    <row r="1747" spans="13:23">
      <c r="M1747" s="9"/>
      <c r="W1747" s="6"/>
    </row>
    <row r="1748" spans="13:23">
      <c r="M1748" s="9"/>
      <c r="W1748" s="6"/>
    </row>
    <row r="1749" spans="13:23">
      <c r="M1749" s="9"/>
      <c r="W1749" s="6"/>
    </row>
    <row r="1750" spans="13:23">
      <c r="M1750" s="9"/>
      <c r="W1750" s="6"/>
    </row>
    <row r="1751" spans="13:23">
      <c r="M1751" s="9"/>
      <c r="W1751" s="6"/>
    </row>
    <row r="1752" spans="13:23">
      <c r="M1752" s="9"/>
      <c r="W1752" s="6"/>
    </row>
    <row r="1753" spans="13:23">
      <c r="M1753" s="9"/>
      <c r="W1753" s="6"/>
    </row>
    <row r="1754" spans="13:23">
      <c r="M1754" s="9"/>
      <c r="W1754" s="6"/>
    </row>
    <row r="1755" spans="13:23">
      <c r="M1755" s="9"/>
      <c r="W1755" s="6"/>
    </row>
    <row r="1756" spans="13:23">
      <c r="M1756" s="9"/>
      <c r="W1756" s="6"/>
    </row>
    <row r="1757" spans="13:23">
      <c r="M1757" s="9"/>
      <c r="W1757" s="6"/>
    </row>
    <row r="1758" spans="13:23">
      <c r="M1758" s="9"/>
      <c r="W1758" s="6"/>
    </row>
    <row r="1759" spans="13:23">
      <c r="M1759" s="9"/>
      <c r="W1759" s="6"/>
    </row>
    <row r="1760" spans="13:23">
      <c r="M1760" s="9"/>
      <c r="W1760" s="6"/>
    </row>
    <row r="1761" spans="13:23">
      <c r="M1761" s="9"/>
      <c r="W1761" s="6"/>
    </row>
    <row r="1762" spans="13:23">
      <c r="M1762" s="9"/>
      <c r="W1762" s="6"/>
    </row>
    <row r="1763" spans="13:23">
      <c r="M1763" s="9"/>
      <c r="W1763" s="6"/>
    </row>
    <row r="1764" spans="13:23">
      <c r="M1764" s="9"/>
      <c r="W1764" s="6"/>
    </row>
    <row r="1765" spans="13:23">
      <c r="M1765" s="9"/>
      <c r="W1765" s="6"/>
    </row>
    <row r="1766" spans="13:23">
      <c r="M1766" s="9"/>
      <c r="W1766" s="6"/>
    </row>
    <row r="1767" spans="13:23">
      <c r="M1767" s="9"/>
      <c r="W1767" s="6"/>
    </row>
    <row r="1768" spans="13:23">
      <c r="M1768" s="9"/>
      <c r="W1768" s="6"/>
    </row>
    <row r="1769" spans="13:23">
      <c r="M1769" s="9"/>
      <c r="W1769" s="6"/>
    </row>
    <row r="1770" spans="13:23">
      <c r="M1770" s="9"/>
      <c r="W1770" s="6"/>
    </row>
    <row r="1771" spans="13:23">
      <c r="M1771" s="9"/>
      <c r="W1771" s="6"/>
    </row>
    <row r="1772" spans="13:23">
      <c r="M1772" s="9"/>
      <c r="W1772" s="6"/>
    </row>
    <row r="1773" spans="13:23">
      <c r="M1773" s="9"/>
      <c r="W1773" s="6"/>
    </row>
    <row r="1774" spans="13:23">
      <c r="M1774" s="9"/>
      <c r="W1774" s="6"/>
    </row>
    <row r="1775" spans="13:23">
      <c r="M1775" s="9"/>
      <c r="W1775" s="6"/>
    </row>
    <row r="1776" spans="13:23">
      <c r="M1776" s="9"/>
      <c r="W1776" s="6"/>
    </row>
    <row r="1777" spans="13:23">
      <c r="M1777" s="9"/>
      <c r="W1777" s="6"/>
    </row>
    <row r="1778" spans="13:23">
      <c r="M1778" s="9"/>
      <c r="W1778" s="6"/>
    </row>
    <row r="1779" spans="13:23">
      <c r="M1779" s="9"/>
      <c r="W1779" s="6"/>
    </row>
    <row r="1780" spans="13:23">
      <c r="M1780" s="9"/>
      <c r="W1780" s="6"/>
    </row>
    <row r="1781" spans="13:23">
      <c r="M1781" s="9"/>
      <c r="W1781" s="6"/>
    </row>
    <row r="1782" spans="13:23">
      <c r="M1782" s="9"/>
      <c r="W1782" s="6"/>
    </row>
    <row r="1783" spans="13:23">
      <c r="M1783" s="9"/>
      <c r="W1783" s="6"/>
    </row>
    <row r="1784" spans="13:23">
      <c r="M1784" s="9"/>
      <c r="W1784" s="6"/>
    </row>
    <row r="1785" spans="13:23">
      <c r="M1785" s="9"/>
      <c r="W1785" s="6"/>
    </row>
    <row r="1786" spans="13:23">
      <c r="M1786" s="9"/>
      <c r="W1786" s="6"/>
    </row>
    <row r="1787" spans="13:23">
      <c r="M1787" s="9"/>
      <c r="W1787" s="6"/>
    </row>
    <row r="1788" spans="13:23">
      <c r="M1788" s="9"/>
      <c r="W1788" s="6"/>
    </row>
    <row r="1789" spans="13:23">
      <c r="M1789" s="9"/>
      <c r="W1789" s="6"/>
    </row>
    <row r="1790" spans="13:23">
      <c r="M1790" s="9"/>
      <c r="W1790" s="6"/>
    </row>
    <row r="1791" spans="13:23">
      <c r="M1791" s="9"/>
      <c r="W1791" s="6"/>
    </row>
    <row r="1792" spans="13:23">
      <c r="M1792" s="9"/>
      <c r="W1792" s="6"/>
    </row>
    <row r="1793" spans="13:23">
      <c r="M1793" s="9"/>
      <c r="W1793" s="6"/>
    </row>
    <row r="1794" spans="13:23">
      <c r="M1794" s="9"/>
      <c r="W1794" s="6"/>
    </row>
    <row r="1795" spans="13:23">
      <c r="M1795" s="9"/>
      <c r="W1795" s="6"/>
    </row>
    <row r="1796" spans="13:23">
      <c r="M1796" s="9"/>
      <c r="W1796" s="6"/>
    </row>
    <row r="1797" spans="13:23">
      <c r="M1797" s="9"/>
      <c r="W1797" s="6"/>
    </row>
    <row r="1798" spans="13:23">
      <c r="M1798" s="9"/>
      <c r="W1798" s="6"/>
    </row>
    <row r="1799" spans="13:23">
      <c r="M1799" s="9"/>
      <c r="W1799" s="6"/>
    </row>
    <row r="1800" spans="13:23">
      <c r="M1800" s="9"/>
      <c r="W1800" s="6"/>
    </row>
    <row r="1801" spans="13:23">
      <c r="M1801" s="9"/>
      <c r="W1801" s="6"/>
    </row>
    <row r="1802" spans="13:23">
      <c r="M1802" s="9"/>
      <c r="W1802" s="6"/>
    </row>
    <row r="1803" spans="13:23">
      <c r="M1803" s="9"/>
      <c r="W1803" s="6"/>
    </row>
    <row r="1804" spans="13:23">
      <c r="M1804" s="9"/>
      <c r="W1804" s="6"/>
    </row>
    <row r="1805" spans="13:23">
      <c r="M1805" s="9"/>
      <c r="W1805" s="6"/>
    </row>
    <row r="1806" spans="13:23">
      <c r="M1806" s="9"/>
      <c r="W1806" s="6"/>
    </row>
    <row r="1807" spans="13:23">
      <c r="M1807" s="9"/>
      <c r="W1807" s="6"/>
    </row>
    <row r="1808" spans="13:23">
      <c r="M1808" s="9"/>
      <c r="W1808" s="6"/>
    </row>
    <row r="1809" spans="13:23">
      <c r="M1809" s="9"/>
      <c r="W1809" s="6"/>
    </row>
    <row r="1810" spans="13:23">
      <c r="M1810" s="9"/>
      <c r="W1810" s="6"/>
    </row>
    <row r="1811" spans="13:23">
      <c r="M1811" s="9"/>
      <c r="W1811" s="6"/>
    </row>
    <row r="1812" spans="13:23">
      <c r="M1812" s="9"/>
      <c r="W1812" s="6"/>
    </row>
    <row r="1813" spans="13:23">
      <c r="M1813" s="9"/>
      <c r="W1813" s="6"/>
    </row>
    <row r="1814" spans="13:23">
      <c r="M1814" s="9"/>
      <c r="W1814" s="6"/>
    </row>
    <row r="1815" spans="13:23">
      <c r="M1815" s="9"/>
      <c r="W1815" s="6"/>
    </row>
    <row r="1816" spans="13:23">
      <c r="M1816" s="9"/>
      <c r="W1816" s="6"/>
    </row>
    <row r="1817" spans="13:23">
      <c r="M1817" s="9"/>
      <c r="W1817" s="6"/>
    </row>
    <row r="1818" spans="13:23">
      <c r="M1818" s="9"/>
      <c r="W1818" s="6"/>
    </row>
    <row r="1819" spans="13:23">
      <c r="M1819" s="9"/>
      <c r="W1819" s="6"/>
    </row>
    <row r="1820" spans="13:23">
      <c r="M1820" s="9"/>
      <c r="W1820" s="6"/>
    </row>
    <row r="1821" spans="13:23">
      <c r="M1821" s="9"/>
      <c r="W1821" s="6"/>
    </row>
    <row r="1822" spans="13:23">
      <c r="M1822" s="9"/>
      <c r="W1822" s="6"/>
    </row>
    <row r="1823" spans="13:23">
      <c r="M1823" s="9"/>
      <c r="W1823" s="6"/>
    </row>
    <row r="1824" spans="13:23">
      <c r="M1824" s="9"/>
      <c r="W1824" s="6"/>
    </row>
    <row r="1825" spans="13:23">
      <c r="M1825" s="9"/>
      <c r="W1825" s="6"/>
    </row>
    <row r="1826" spans="13:23">
      <c r="M1826" s="9"/>
      <c r="W1826" s="6"/>
    </row>
    <row r="1827" spans="13:23">
      <c r="M1827" s="9"/>
      <c r="W1827" s="6"/>
    </row>
    <row r="1828" spans="13:23">
      <c r="M1828" s="9"/>
      <c r="W1828" s="6"/>
    </row>
    <row r="1829" spans="13:23">
      <c r="M1829" s="9"/>
      <c r="W1829" s="6"/>
    </row>
    <row r="1830" spans="13:23">
      <c r="M1830" s="9"/>
      <c r="W1830" s="6"/>
    </row>
    <row r="1831" spans="13:23">
      <c r="M1831" s="9"/>
      <c r="W1831" s="6"/>
    </row>
    <row r="1832" spans="13:23">
      <c r="M1832" s="9"/>
      <c r="W1832" s="6"/>
    </row>
    <row r="1833" spans="13:23">
      <c r="M1833" s="9"/>
      <c r="W1833" s="6"/>
    </row>
    <row r="1834" spans="13:23">
      <c r="M1834" s="9"/>
      <c r="W1834" s="6"/>
    </row>
    <row r="1835" spans="13:23">
      <c r="M1835" s="9"/>
      <c r="W1835" s="6"/>
    </row>
    <row r="1836" spans="13:23">
      <c r="M1836" s="9"/>
      <c r="W1836" s="6"/>
    </row>
    <row r="1837" spans="13:23">
      <c r="M1837" s="9"/>
      <c r="W1837" s="6"/>
    </row>
    <row r="1838" spans="13:23">
      <c r="M1838" s="9"/>
      <c r="W1838" s="6"/>
    </row>
    <row r="1839" spans="13:23">
      <c r="M1839" s="9"/>
      <c r="W1839" s="6"/>
    </row>
    <row r="1840" spans="13:23">
      <c r="M1840" s="9"/>
      <c r="W1840" s="6"/>
    </row>
    <row r="1841" spans="13:23">
      <c r="M1841" s="9"/>
      <c r="W1841" s="6"/>
    </row>
    <row r="1842" spans="13:23">
      <c r="M1842" s="9"/>
      <c r="W1842" s="6"/>
    </row>
    <row r="1843" spans="13:23">
      <c r="M1843" s="9"/>
      <c r="W1843" s="6"/>
    </row>
    <row r="1844" spans="13:23">
      <c r="M1844" s="9"/>
      <c r="W1844" s="6"/>
    </row>
    <row r="1845" spans="13:23">
      <c r="M1845" s="9"/>
      <c r="W1845" s="6"/>
    </row>
    <row r="1846" spans="13:23">
      <c r="M1846" s="9"/>
      <c r="W1846" s="6"/>
    </row>
    <row r="1847" spans="13:23">
      <c r="M1847" s="9"/>
      <c r="W1847" s="6"/>
    </row>
    <row r="1848" spans="13:23">
      <c r="M1848" s="9"/>
      <c r="W1848" s="6"/>
    </row>
    <row r="1849" spans="13:23">
      <c r="M1849" s="9"/>
      <c r="W1849" s="6"/>
    </row>
    <row r="1850" spans="13:23">
      <c r="M1850" s="9"/>
      <c r="W1850" s="6"/>
    </row>
    <row r="1851" spans="13:23">
      <c r="M1851" s="9"/>
      <c r="W1851" s="6"/>
    </row>
    <row r="1852" spans="13:23">
      <c r="M1852" s="9"/>
      <c r="W1852" s="6"/>
    </row>
    <row r="1853" spans="13:23">
      <c r="M1853" s="9"/>
      <c r="W1853" s="6"/>
    </row>
    <row r="1854" spans="13:23">
      <c r="M1854" s="9"/>
      <c r="W1854" s="6"/>
    </row>
    <row r="1855" spans="13:23">
      <c r="M1855" s="9"/>
      <c r="W1855" s="6"/>
    </row>
    <row r="1856" spans="13:23">
      <c r="M1856" s="9"/>
      <c r="W1856" s="6"/>
    </row>
    <row r="1857" spans="13:23">
      <c r="M1857" s="9"/>
      <c r="W1857" s="6"/>
    </row>
    <row r="1858" spans="13:23">
      <c r="M1858" s="9"/>
      <c r="W1858" s="6"/>
    </row>
    <row r="1859" spans="13:23">
      <c r="M1859" s="9"/>
      <c r="W1859" s="6"/>
    </row>
    <row r="1860" spans="13:23">
      <c r="M1860" s="9"/>
      <c r="W1860" s="6"/>
    </row>
    <row r="1861" spans="13:23">
      <c r="M1861" s="9"/>
      <c r="W1861" s="6"/>
    </row>
    <row r="1862" spans="13:23">
      <c r="M1862" s="9"/>
      <c r="W1862" s="6"/>
    </row>
    <row r="1863" spans="13:23">
      <c r="M1863" s="9"/>
      <c r="W1863" s="6"/>
    </row>
    <row r="1864" spans="13:23">
      <c r="M1864" s="9"/>
      <c r="W1864" s="6"/>
    </row>
    <row r="1865" spans="13:23">
      <c r="M1865" s="9"/>
      <c r="W1865" s="6"/>
    </row>
    <row r="1866" spans="13:23">
      <c r="M1866" s="9"/>
      <c r="W1866" s="6"/>
    </row>
    <row r="1867" spans="13:23">
      <c r="M1867" s="9"/>
      <c r="W1867" s="6"/>
    </row>
    <row r="1868" spans="13:23">
      <c r="M1868" s="9"/>
      <c r="W1868" s="6"/>
    </row>
    <row r="1869" spans="13:23">
      <c r="M1869" s="9"/>
      <c r="W1869" s="6"/>
    </row>
    <row r="1870" spans="13:23">
      <c r="M1870" s="9"/>
      <c r="W1870" s="6"/>
    </row>
    <row r="1871" spans="13:23">
      <c r="M1871" s="9"/>
      <c r="W1871" s="6"/>
    </row>
    <row r="1872" spans="13:23">
      <c r="M1872" s="9"/>
      <c r="W1872" s="6"/>
    </row>
    <row r="1873" spans="13:23">
      <c r="M1873" s="9"/>
      <c r="W1873" s="6"/>
    </row>
    <row r="1874" spans="13:23">
      <c r="M1874" s="9"/>
      <c r="W1874" s="6"/>
    </row>
    <row r="1875" spans="13:23">
      <c r="M1875" s="9"/>
      <c r="W1875" s="6"/>
    </row>
    <row r="1876" spans="13:23">
      <c r="M1876" s="9"/>
      <c r="W1876" s="6"/>
    </row>
    <row r="1877" spans="13:23">
      <c r="M1877" s="9"/>
      <c r="W1877" s="6"/>
    </row>
    <row r="1878" spans="13:23">
      <c r="M1878" s="9"/>
      <c r="W1878" s="6"/>
    </row>
    <row r="1879" spans="13:23">
      <c r="M1879" s="9"/>
      <c r="W1879" s="6"/>
    </row>
    <row r="1880" spans="13:23">
      <c r="M1880" s="9"/>
      <c r="W1880" s="6"/>
    </row>
    <row r="1881" spans="13:23">
      <c r="M1881" s="9"/>
      <c r="W1881" s="6"/>
    </row>
    <row r="1882" spans="13:23">
      <c r="M1882" s="9"/>
      <c r="W1882" s="6"/>
    </row>
    <row r="1883" spans="13:23">
      <c r="M1883" s="9"/>
      <c r="W1883" s="6"/>
    </row>
    <row r="1884" spans="13:23">
      <c r="M1884" s="9"/>
      <c r="W1884" s="6"/>
    </row>
    <row r="1885" spans="13:23">
      <c r="M1885" s="9"/>
      <c r="W1885" s="6"/>
    </row>
    <row r="1886" spans="13:23">
      <c r="M1886" s="9"/>
      <c r="W1886" s="6"/>
    </row>
    <row r="1887" spans="13:23">
      <c r="M1887" s="9"/>
      <c r="W1887" s="6"/>
    </row>
    <row r="1888" spans="13:23">
      <c r="M1888" s="9"/>
      <c r="W1888" s="6"/>
    </row>
    <row r="1889" spans="13:23">
      <c r="M1889" s="9"/>
      <c r="W1889" s="6"/>
    </row>
    <row r="1890" spans="13:23">
      <c r="M1890" s="9"/>
      <c r="W1890" s="6"/>
    </row>
    <row r="1891" spans="13:23">
      <c r="M1891" s="9"/>
      <c r="W1891" s="6"/>
    </row>
    <row r="1892" spans="13:23">
      <c r="M1892" s="9"/>
      <c r="W1892" s="6"/>
    </row>
    <row r="1893" spans="13:23">
      <c r="M1893" s="9"/>
      <c r="W1893" s="6"/>
    </row>
    <row r="1894" spans="13:23">
      <c r="M1894" s="9"/>
      <c r="W1894" s="6"/>
    </row>
    <row r="1895" spans="13:23">
      <c r="M1895" s="9"/>
      <c r="W1895" s="6"/>
    </row>
    <row r="1896" spans="13:23">
      <c r="M1896" s="9"/>
      <c r="W1896" s="6"/>
    </row>
    <row r="1897" spans="13:23">
      <c r="M1897" s="9"/>
      <c r="W1897" s="6"/>
    </row>
    <row r="1898" spans="13:23">
      <c r="M1898" s="9"/>
      <c r="W1898" s="6"/>
    </row>
    <row r="1899" spans="13:23">
      <c r="M1899" s="9"/>
      <c r="W1899" s="6"/>
    </row>
    <row r="1900" spans="13:23">
      <c r="M1900" s="9"/>
      <c r="W1900" s="6"/>
    </row>
    <row r="1901" spans="13:23">
      <c r="M1901" s="9"/>
      <c r="W1901" s="6"/>
    </row>
    <row r="1902" spans="13:23">
      <c r="M1902" s="9"/>
      <c r="W1902" s="6"/>
    </row>
    <row r="1903" spans="13:23">
      <c r="M1903" s="9"/>
      <c r="W1903" s="6"/>
    </row>
    <row r="1904" spans="13:23">
      <c r="M1904" s="9"/>
      <c r="W1904" s="6"/>
    </row>
    <row r="1905" spans="13:23">
      <c r="M1905" s="9"/>
      <c r="W1905" s="6"/>
    </row>
    <row r="1906" spans="13:23">
      <c r="M1906" s="9"/>
      <c r="W1906" s="6"/>
    </row>
    <row r="1907" spans="13:23">
      <c r="M1907" s="9"/>
      <c r="W1907" s="6"/>
    </row>
    <row r="1908" spans="13:23">
      <c r="M1908" s="9"/>
      <c r="W1908" s="6"/>
    </row>
    <row r="1909" spans="13:23">
      <c r="M1909" s="9"/>
      <c r="W1909" s="6"/>
    </row>
    <row r="1910" spans="13:23">
      <c r="M1910" s="9"/>
      <c r="W1910" s="6"/>
    </row>
    <row r="1911" spans="13:23">
      <c r="M1911" s="9"/>
      <c r="W1911" s="6"/>
    </row>
    <row r="1912" spans="13:23">
      <c r="M1912" s="9"/>
      <c r="W1912" s="6"/>
    </row>
    <row r="1913" spans="13:23">
      <c r="M1913" s="9"/>
      <c r="W1913" s="6"/>
    </row>
    <row r="1914" spans="13:23">
      <c r="M1914" s="9"/>
      <c r="W1914" s="6"/>
    </row>
    <row r="1915" spans="13:23">
      <c r="M1915" s="9"/>
      <c r="W1915" s="6"/>
    </row>
    <row r="1916" spans="13:23">
      <c r="M1916" s="9"/>
      <c r="W1916" s="6"/>
    </row>
    <row r="1917" spans="13:23">
      <c r="M1917" s="9"/>
      <c r="W1917" s="6"/>
    </row>
    <row r="1918" spans="13:23">
      <c r="M1918" s="9"/>
      <c r="W1918" s="6"/>
    </row>
    <row r="1919" spans="13:23">
      <c r="M1919" s="9"/>
      <c r="W1919" s="6"/>
    </row>
    <row r="1920" spans="13:23">
      <c r="M1920" s="9"/>
      <c r="W1920" s="6"/>
    </row>
    <row r="1921" spans="13:23">
      <c r="M1921" s="9"/>
      <c r="W1921" s="6"/>
    </row>
    <row r="1922" spans="13:23">
      <c r="M1922" s="9"/>
      <c r="W1922" s="6"/>
    </row>
    <row r="1923" spans="13:23">
      <c r="M1923" s="9"/>
      <c r="W1923" s="6"/>
    </row>
    <row r="1924" spans="13:23">
      <c r="M1924" s="9"/>
      <c r="W1924" s="6"/>
    </row>
    <row r="1925" spans="13:23">
      <c r="M1925" s="9"/>
      <c r="W1925" s="6"/>
    </row>
    <row r="1926" spans="13:23">
      <c r="M1926" s="9"/>
      <c r="W1926" s="6"/>
    </row>
    <row r="1927" spans="13:23">
      <c r="M1927" s="9"/>
      <c r="W1927" s="6"/>
    </row>
    <row r="1928" spans="13:23">
      <c r="M1928" s="9"/>
      <c r="W1928" s="6"/>
    </row>
    <row r="1929" spans="13:23">
      <c r="M1929" s="9"/>
      <c r="W1929" s="6"/>
    </row>
    <row r="1930" spans="13:23">
      <c r="M1930" s="9"/>
      <c r="W1930" s="6"/>
    </row>
    <row r="1931" spans="13:23">
      <c r="M1931" s="9"/>
      <c r="W1931" s="6"/>
    </row>
    <row r="1932" spans="13:23">
      <c r="M1932" s="9"/>
      <c r="W1932" s="6"/>
    </row>
    <row r="1933" spans="13:23">
      <c r="M1933" s="9"/>
      <c r="W1933" s="6"/>
    </row>
    <row r="1934" spans="13:23">
      <c r="M1934" s="9"/>
      <c r="W1934" s="6"/>
    </row>
    <row r="1935" spans="13:23">
      <c r="M1935" s="9"/>
      <c r="W1935" s="6"/>
    </row>
    <row r="1936" spans="13:23">
      <c r="M1936" s="9"/>
      <c r="W1936" s="6"/>
    </row>
    <row r="1937" spans="13:23">
      <c r="M1937" s="9"/>
      <c r="W1937" s="6"/>
    </row>
    <row r="1938" spans="13:23">
      <c r="M1938" s="9"/>
      <c r="W1938" s="6"/>
    </row>
    <row r="1939" spans="13:23">
      <c r="M1939" s="9"/>
      <c r="W1939" s="6"/>
    </row>
    <row r="1940" spans="13:23">
      <c r="M1940" s="9"/>
      <c r="W1940" s="6"/>
    </row>
    <row r="1941" spans="13:23">
      <c r="M1941" s="9"/>
      <c r="W1941" s="6"/>
    </row>
    <row r="1942" spans="13:23">
      <c r="M1942" s="9"/>
      <c r="W1942" s="6"/>
    </row>
    <row r="1943" spans="13:23">
      <c r="M1943" s="9"/>
      <c r="W1943" s="6"/>
    </row>
    <row r="1944" spans="13:23">
      <c r="M1944" s="9"/>
      <c r="W1944" s="6"/>
    </row>
    <row r="1945" spans="13:23">
      <c r="M1945" s="9"/>
      <c r="W1945" s="6"/>
    </row>
    <row r="1946" spans="13:23">
      <c r="M1946" s="9"/>
      <c r="W1946" s="6"/>
    </row>
    <row r="1947" spans="13:23">
      <c r="M1947" s="9"/>
      <c r="W1947" s="6"/>
    </row>
    <row r="1948" spans="13:23">
      <c r="M1948" s="9"/>
      <c r="W1948" s="6"/>
    </row>
    <row r="1949" spans="13:23">
      <c r="M1949" s="9"/>
      <c r="W1949" s="6"/>
    </row>
    <row r="1950" spans="13:23">
      <c r="M1950" s="9"/>
      <c r="W1950" s="6"/>
    </row>
    <row r="1951" spans="13:23">
      <c r="M1951" s="9"/>
      <c r="W1951" s="6"/>
    </row>
    <row r="1952" spans="13:23">
      <c r="M1952" s="9"/>
      <c r="W1952" s="6"/>
    </row>
    <row r="1953" spans="13:23">
      <c r="M1953" s="9"/>
      <c r="W1953" s="6"/>
    </row>
    <row r="1954" spans="13:23">
      <c r="M1954" s="9"/>
      <c r="W1954" s="6"/>
    </row>
    <row r="1955" spans="13:23">
      <c r="M1955" s="9"/>
      <c r="W1955" s="6"/>
    </row>
    <row r="1956" spans="13:23">
      <c r="M1956" s="9"/>
      <c r="W1956" s="6"/>
    </row>
    <row r="1957" spans="13:23">
      <c r="M1957" s="9"/>
      <c r="W1957" s="6"/>
    </row>
    <row r="1958" spans="13:23">
      <c r="M1958" s="9"/>
      <c r="W1958" s="6"/>
    </row>
    <row r="1959" spans="13:23">
      <c r="M1959" s="9"/>
      <c r="W1959" s="6"/>
    </row>
    <row r="1960" spans="13:23">
      <c r="M1960" s="9"/>
      <c r="W1960" s="6"/>
    </row>
    <row r="1961" spans="13:23">
      <c r="M1961" s="9"/>
      <c r="W1961" s="6"/>
    </row>
    <row r="1962" spans="13:23">
      <c r="M1962" s="9"/>
      <c r="W1962" s="6"/>
    </row>
    <row r="1963" spans="13:23">
      <c r="M1963" s="9"/>
      <c r="W1963" s="6"/>
    </row>
    <row r="1964" spans="13:23">
      <c r="M1964" s="9"/>
      <c r="W1964" s="6"/>
    </row>
    <row r="1965" spans="13:23">
      <c r="M1965" s="9"/>
      <c r="W1965" s="6"/>
    </row>
    <row r="1966" spans="13:23">
      <c r="M1966" s="9"/>
      <c r="W1966" s="6"/>
    </row>
    <row r="1967" spans="13:23">
      <c r="M1967" s="9"/>
      <c r="W1967" s="6"/>
    </row>
    <row r="1968" spans="13:23">
      <c r="M1968" s="9"/>
      <c r="W1968" s="6"/>
    </row>
    <row r="1969" spans="13:23">
      <c r="M1969" s="9"/>
      <c r="W1969" s="6"/>
    </row>
    <row r="1970" spans="13:23">
      <c r="M1970" s="9"/>
      <c r="W1970" s="6"/>
    </row>
    <row r="1971" spans="13:23">
      <c r="M1971" s="9"/>
      <c r="W1971" s="6"/>
    </row>
    <row r="1972" spans="13:23">
      <c r="M1972" s="9"/>
      <c r="W1972" s="6"/>
    </row>
    <row r="1973" spans="13:23">
      <c r="M1973" s="9"/>
      <c r="W1973" s="6"/>
    </row>
    <row r="1974" spans="13:23">
      <c r="M1974" s="9"/>
      <c r="W1974" s="6"/>
    </row>
    <row r="1975" spans="13:23">
      <c r="M1975" s="9"/>
      <c r="W1975" s="6"/>
    </row>
    <row r="1976" spans="13:23">
      <c r="M1976" s="9"/>
      <c r="W1976" s="6"/>
    </row>
    <row r="1977" spans="13:23">
      <c r="M1977" s="9"/>
      <c r="W1977" s="6"/>
    </row>
    <row r="1978" spans="13:23">
      <c r="M1978" s="9"/>
      <c r="W1978" s="6"/>
    </row>
    <row r="1979" spans="13:23">
      <c r="M1979" s="9"/>
      <c r="W1979" s="6"/>
    </row>
    <row r="1980" spans="13:23">
      <c r="M1980" s="9"/>
      <c r="W1980" s="6"/>
    </row>
    <row r="1981" spans="13:23">
      <c r="M1981" s="9"/>
      <c r="W1981" s="6"/>
    </row>
    <row r="1982" spans="13:23">
      <c r="M1982" s="9"/>
      <c r="W1982" s="6"/>
    </row>
    <row r="1983" spans="13:23">
      <c r="M1983" s="9"/>
      <c r="W1983" s="6"/>
    </row>
    <row r="1984" spans="13:23">
      <c r="M1984" s="9"/>
      <c r="W1984" s="6"/>
    </row>
    <row r="1985" spans="13:23">
      <c r="M1985" s="9"/>
      <c r="W1985" s="6"/>
    </row>
    <row r="1986" spans="13:23">
      <c r="M1986" s="9"/>
      <c r="W1986" s="6"/>
    </row>
    <row r="1987" spans="13:23">
      <c r="M1987" s="9"/>
      <c r="W1987" s="6"/>
    </row>
    <row r="1988" spans="13:23">
      <c r="M1988" s="9"/>
      <c r="W1988" s="6"/>
    </row>
    <row r="1989" spans="13:23">
      <c r="M1989" s="9"/>
      <c r="W1989" s="6"/>
    </row>
    <row r="1990" spans="13:23">
      <c r="M1990" s="9"/>
      <c r="W1990" s="6"/>
    </row>
    <row r="1991" spans="13:23">
      <c r="M1991" s="9"/>
      <c r="W1991" s="6"/>
    </row>
    <row r="1992" spans="13:23">
      <c r="M1992" s="9"/>
      <c r="W1992" s="6"/>
    </row>
    <row r="1993" spans="13:23">
      <c r="M1993" s="9"/>
      <c r="W1993" s="6"/>
    </row>
    <row r="1994" spans="13:23">
      <c r="M1994" s="9"/>
      <c r="W1994" s="6"/>
    </row>
    <row r="1995" spans="13:23">
      <c r="M1995" s="9"/>
      <c r="W1995" s="6"/>
    </row>
    <row r="1996" spans="13:23">
      <c r="M1996" s="9"/>
      <c r="W1996" s="6"/>
    </row>
    <row r="1997" spans="13:23">
      <c r="M1997" s="9"/>
      <c r="W1997" s="6"/>
    </row>
    <row r="1998" spans="13:23">
      <c r="M1998" s="9"/>
      <c r="W1998" s="6"/>
    </row>
    <row r="1999" spans="13:23">
      <c r="M1999" s="9"/>
      <c r="W1999" s="6"/>
    </row>
    <row r="2000" spans="13:23">
      <c r="M2000" s="9"/>
      <c r="W2000" s="6"/>
    </row>
    <row r="2001" spans="13:23">
      <c r="M2001" s="9"/>
      <c r="W2001" s="6"/>
    </row>
    <row r="2002" spans="13:23">
      <c r="M2002" s="9"/>
      <c r="W2002" s="6"/>
    </row>
    <row r="2003" spans="13:23">
      <c r="M2003" s="9"/>
      <c r="W2003" s="6"/>
    </row>
    <row r="2004" spans="13:23">
      <c r="M2004" s="9"/>
      <c r="W2004" s="6"/>
    </row>
    <row r="2005" spans="13:23">
      <c r="M2005" s="9"/>
      <c r="W2005" s="6"/>
    </row>
    <row r="2006" spans="13:23">
      <c r="M2006" s="9"/>
      <c r="W2006" s="6"/>
    </row>
    <row r="2007" spans="13:23">
      <c r="M2007" s="9"/>
      <c r="W2007" s="6"/>
    </row>
    <row r="2008" spans="13:23">
      <c r="M2008" s="9"/>
      <c r="W2008" s="6"/>
    </row>
    <row r="2009" spans="13:23">
      <c r="M2009" s="9"/>
      <c r="W2009" s="6"/>
    </row>
    <row r="2010" spans="13:23">
      <c r="M2010" s="9"/>
      <c r="W2010" s="6"/>
    </row>
    <row r="2011" spans="13:23">
      <c r="M2011" s="9"/>
      <c r="W2011" s="6"/>
    </row>
    <row r="2012" spans="13:23">
      <c r="M2012" s="9"/>
      <c r="W2012" s="6"/>
    </row>
    <row r="2013" spans="13:23">
      <c r="M2013" s="9"/>
      <c r="W2013" s="6"/>
    </row>
    <row r="2014" spans="13:23">
      <c r="M2014" s="9"/>
      <c r="W2014" s="6"/>
    </row>
    <row r="2015" spans="13:23">
      <c r="M2015" s="9"/>
      <c r="W2015" s="6"/>
    </row>
    <row r="2016" spans="13:23">
      <c r="M2016" s="9"/>
      <c r="W2016" s="6"/>
    </row>
    <row r="2017" spans="13:23">
      <c r="M2017" s="9"/>
      <c r="W2017" s="6"/>
    </row>
    <row r="2018" spans="13:23">
      <c r="M2018" s="9"/>
      <c r="W2018" s="6"/>
    </row>
    <row r="2019" spans="13:23">
      <c r="M2019" s="9"/>
      <c r="W2019" s="6"/>
    </row>
    <row r="2020" spans="13:23">
      <c r="M2020" s="9"/>
      <c r="W2020" s="6"/>
    </row>
    <row r="2021" spans="13:23">
      <c r="M2021" s="9"/>
      <c r="W2021" s="6"/>
    </row>
    <row r="2022" spans="13:23">
      <c r="M2022" s="9"/>
      <c r="W2022" s="6"/>
    </row>
    <row r="2023" spans="13:23">
      <c r="M2023" s="9"/>
      <c r="W2023" s="6"/>
    </row>
    <row r="2024" spans="13:23">
      <c r="M2024" s="9"/>
      <c r="W2024" s="6"/>
    </row>
    <row r="2025" spans="13:23">
      <c r="M2025" s="9"/>
      <c r="W2025" s="6"/>
    </row>
    <row r="2026" spans="13:23">
      <c r="M2026" s="9"/>
      <c r="W2026" s="6"/>
    </row>
    <row r="2027" spans="13:23">
      <c r="M2027" s="9"/>
      <c r="W2027" s="6"/>
    </row>
    <row r="2028" spans="13:23">
      <c r="M2028" s="9"/>
      <c r="W2028" s="6"/>
    </row>
    <row r="2029" spans="13:23">
      <c r="M2029" s="9"/>
      <c r="W2029" s="6"/>
    </row>
    <row r="2030" spans="13:23">
      <c r="M2030" s="9"/>
      <c r="W2030" s="6"/>
    </row>
    <row r="2031" spans="13:23">
      <c r="M2031" s="9"/>
      <c r="W2031" s="6"/>
    </row>
    <row r="2032" spans="13:23">
      <c r="M2032" s="9"/>
      <c r="W2032" s="6"/>
    </row>
    <row r="2033" spans="13:23">
      <c r="M2033" s="9"/>
      <c r="W2033" s="6"/>
    </row>
    <row r="2034" spans="13:23">
      <c r="M2034" s="9"/>
      <c r="W2034" s="6"/>
    </row>
    <row r="2035" spans="13:23">
      <c r="M2035" s="9"/>
      <c r="W2035" s="6"/>
    </row>
    <row r="2036" spans="13:23">
      <c r="M2036" s="9"/>
      <c r="W2036" s="6"/>
    </row>
    <row r="2037" spans="13:23">
      <c r="M2037" s="9"/>
      <c r="W2037" s="6"/>
    </row>
    <row r="2038" spans="13:23">
      <c r="M2038" s="9"/>
      <c r="W2038" s="6"/>
    </row>
    <row r="2039" spans="13:23">
      <c r="M2039" s="9"/>
      <c r="W2039" s="6"/>
    </row>
    <row r="2040" spans="13:23">
      <c r="M2040" s="9"/>
      <c r="W2040" s="6"/>
    </row>
    <row r="2041" spans="13:23">
      <c r="M2041" s="9"/>
      <c r="W2041" s="6"/>
    </row>
    <row r="2042" spans="13:23">
      <c r="M2042" s="9"/>
      <c r="W2042" s="6"/>
    </row>
    <row r="2043" spans="13:23">
      <c r="M2043" s="9"/>
      <c r="W2043" s="6"/>
    </row>
    <row r="2044" spans="13:23">
      <c r="M2044" s="9"/>
      <c r="W2044" s="6"/>
    </row>
    <row r="2045" spans="13:23">
      <c r="M2045" s="9"/>
      <c r="W2045" s="6"/>
    </row>
    <row r="2046" spans="13:23">
      <c r="M2046" s="9"/>
      <c r="W2046" s="6"/>
    </row>
    <row r="2047" spans="13:23">
      <c r="M2047" s="9"/>
      <c r="W2047" s="6"/>
    </row>
    <row r="2048" spans="13:23">
      <c r="M2048" s="9"/>
      <c r="W2048" s="6"/>
    </row>
    <row r="2049" spans="13:23">
      <c r="M2049" s="9"/>
      <c r="W2049" s="6"/>
    </row>
    <row r="2050" spans="13:23">
      <c r="M2050" s="9"/>
      <c r="W2050" s="6"/>
    </row>
    <row r="2051" spans="13:23">
      <c r="M2051" s="9"/>
      <c r="W2051" s="6"/>
    </row>
    <row r="2052" spans="13:23">
      <c r="M2052" s="9"/>
      <c r="W2052" s="6"/>
    </row>
    <row r="2053" spans="13:23">
      <c r="M2053" s="9"/>
      <c r="W2053" s="6"/>
    </row>
    <row r="2054" spans="13:23">
      <c r="M2054" s="9"/>
      <c r="W2054" s="6"/>
    </row>
    <row r="2055" spans="13:23">
      <c r="M2055" s="9"/>
      <c r="W2055" s="6"/>
    </row>
    <row r="2056" spans="13:23">
      <c r="M2056" s="9"/>
      <c r="W2056" s="6"/>
    </row>
    <row r="2057" spans="13:23">
      <c r="M2057" s="9"/>
      <c r="W2057" s="6"/>
    </row>
    <row r="2058" spans="13:23">
      <c r="M2058" s="9"/>
      <c r="W2058" s="6"/>
    </row>
    <row r="2059" spans="13:23">
      <c r="M2059" s="9"/>
      <c r="W2059" s="6"/>
    </row>
    <row r="2060" spans="13:23">
      <c r="M2060" s="9"/>
      <c r="W2060" s="6"/>
    </row>
    <row r="2061" spans="13:23">
      <c r="M2061" s="9"/>
      <c r="W2061" s="6"/>
    </row>
    <row r="2062" spans="13:23">
      <c r="M2062" s="9"/>
      <c r="W2062" s="6"/>
    </row>
    <row r="2063" spans="13:23">
      <c r="M2063" s="9"/>
      <c r="W2063" s="6"/>
    </row>
    <row r="2064" spans="13:23">
      <c r="M2064" s="9"/>
      <c r="W2064" s="6"/>
    </row>
    <row r="2065" spans="13:23">
      <c r="M2065" s="9"/>
      <c r="W2065" s="6"/>
    </row>
    <row r="2066" spans="13:23">
      <c r="M2066" s="9"/>
      <c r="W2066" s="6"/>
    </row>
    <row r="2067" spans="13:23">
      <c r="M2067" s="9"/>
      <c r="W2067" s="6"/>
    </row>
    <row r="2068" spans="13:23">
      <c r="M2068" s="9"/>
      <c r="W2068" s="6"/>
    </row>
    <row r="2069" spans="13:23">
      <c r="M2069" s="9"/>
      <c r="W2069" s="6"/>
    </row>
    <row r="2070" spans="13:23">
      <c r="M2070" s="9"/>
      <c r="W2070" s="6"/>
    </row>
    <row r="2071" spans="13:23">
      <c r="M2071" s="9"/>
      <c r="W2071" s="6"/>
    </row>
    <row r="2072" spans="13:23">
      <c r="M2072" s="9"/>
      <c r="W2072" s="6"/>
    </row>
    <row r="2073" spans="13:23">
      <c r="M2073" s="9"/>
      <c r="W2073" s="6"/>
    </row>
    <row r="2074" spans="13:23">
      <c r="M2074" s="9"/>
      <c r="W2074" s="6"/>
    </row>
    <row r="2075" spans="13:23">
      <c r="M2075" s="9"/>
      <c r="W2075" s="6"/>
    </row>
    <row r="2076" spans="13:23">
      <c r="M2076" s="9"/>
      <c r="W2076" s="6"/>
    </row>
    <row r="2077" spans="13:23">
      <c r="M2077" s="9"/>
      <c r="W2077" s="6"/>
    </row>
    <row r="2078" spans="13:23">
      <c r="M2078" s="9"/>
      <c r="W2078" s="6"/>
    </row>
    <row r="2079" spans="13:23">
      <c r="M2079" s="9"/>
      <c r="W2079" s="6"/>
    </row>
    <row r="2080" spans="13:23">
      <c r="M2080" s="9"/>
      <c r="W2080" s="6"/>
    </row>
    <row r="2081" spans="13:23">
      <c r="M2081" s="9"/>
      <c r="W2081" s="6"/>
    </row>
    <row r="2082" spans="13:23">
      <c r="M2082" s="9"/>
      <c r="W2082" s="6"/>
    </row>
    <row r="2083" spans="13:23">
      <c r="M2083" s="9"/>
      <c r="W2083" s="6"/>
    </row>
    <row r="2084" spans="13:23">
      <c r="M2084" s="9"/>
      <c r="W2084" s="6"/>
    </row>
    <row r="2085" spans="13:23">
      <c r="M2085" s="9"/>
      <c r="W2085" s="6"/>
    </row>
    <row r="2086" spans="13:23">
      <c r="M2086" s="9"/>
      <c r="W2086" s="6"/>
    </row>
    <row r="2087" spans="13:23">
      <c r="M2087" s="9"/>
      <c r="W2087" s="6"/>
    </row>
    <row r="2088" spans="13:23">
      <c r="M2088" s="9"/>
      <c r="W2088" s="6"/>
    </row>
    <row r="2089" spans="13:23">
      <c r="M2089" s="9"/>
      <c r="W2089" s="6"/>
    </row>
    <row r="2090" spans="13:23">
      <c r="M2090" s="9"/>
      <c r="W2090" s="6"/>
    </row>
    <row r="2091" spans="13:23">
      <c r="M2091" s="9"/>
      <c r="W2091" s="6"/>
    </row>
    <row r="2092" spans="13:23">
      <c r="M2092" s="9"/>
      <c r="W2092" s="6"/>
    </row>
    <row r="2093" spans="13:23">
      <c r="M2093" s="9"/>
      <c r="W2093" s="6"/>
    </row>
    <row r="2094" spans="13:23">
      <c r="M2094" s="9"/>
      <c r="W2094" s="6"/>
    </row>
    <row r="2095" spans="13:23">
      <c r="M2095" s="9"/>
      <c r="W2095" s="6"/>
    </row>
    <row r="2096" spans="13:23">
      <c r="M2096" s="9"/>
      <c r="W2096" s="6"/>
    </row>
    <row r="2097" spans="13:23">
      <c r="M2097" s="9"/>
      <c r="W2097" s="6"/>
    </row>
    <row r="2098" spans="13:23">
      <c r="M2098" s="9"/>
      <c r="W2098" s="6"/>
    </row>
    <row r="2099" spans="13:23">
      <c r="M2099" s="9"/>
      <c r="W2099" s="6"/>
    </row>
    <row r="2100" spans="13:23">
      <c r="M2100" s="9"/>
      <c r="W2100" s="6"/>
    </row>
    <row r="2101" spans="13:23">
      <c r="M2101" s="9"/>
      <c r="W2101" s="6"/>
    </row>
    <row r="2102" spans="13:23">
      <c r="M2102" s="9"/>
      <c r="W2102" s="6"/>
    </row>
    <row r="2103" spans="13:23">
      <c r="M2103" s="9"/>
      <c r="W2103" s="6"/>
    </row>
    <row r="2104" spans="13:23">
      <c r="M2104" s="9"/>
      <c r="W2104" s="6"/>
    </row>
    <row r="2105" spans="13:23">
      <c r="M2105" s="9"/>
      <c r="W2105" s="6"/>
    </row>
    <row r="2106" spans="13:23">
      <c r="M2106" s="9"/>
      <c r="W2106" s="6"/>
    </row>
    <row r="2107" spans="13:23">
      <c r="M2107" s="9"/>
      <c r="W2107" s="6"/>
    </row>
    <row r="2108" spans="13:23">
      <c r="M2108" s="9"/>
      <c r="W2108" s="6"/>
    </row>
    <row r="2109" spans="13:23">
      <c r="M2109" s="9"/>
      <c r="W2109" s="6"/>
    </row>
    <row r="2110" spans="13:23">
      <c r="M2110" s="9"/>
      <c r="W2110" s="6"/>
    </row>
    <row r="2111" spans="13:23">
      <c r="M2111" s="9"/>
      <c r="W2111" s="6"/>
    </row>
    <row r="2112" spans="13:23">
      <c r="M2112" s="9"/>
      <c r="W2112" s="6"/>
    </row>
    <row r="2113" spans="13:23">
      <c r="M2113" s="9"/>
      <c r="W2113" s="6"/>
    </row>
    <row r="2114" spans="13:23">
      <c r="M2114" s="9"/>
      <c r="W2114" s="6"/>
    </row>
    <row r="2115" spans="13:23">
      <c r="M2115" s="9"/>
      <c r="W2115" s="6"/>
    </row>
    <row r="2116" spans="13:23">
      <c r="M2116" s="9"/>
      <c r="W2116" s="6"/>
    </row>
    <row r="2117" spans="13:23">
      <c r="M2117" s="9"/>
      <c r="W2117" s="6"/>
    </row>
    <row r="2118" spans="13:23">
      <c r="M2118" s="9"/>
      <c r="W2118" s="6"/>
    </row>
    <row r="2119" spans="13:23">
      <c r="M2119" s="9"/>
      <c r="W2119" s="6"/>
    </row>
    <row r="2120" spans="13:23">
      <c r="M2120" s="9"/>
      <c r="W2120" s="6"/>
    </row>
    <row r="2121" spans="13:23">
      <c r="M2121" s="9"/>
      <c r="W2121" s="6"/>
    </row>
    <row r="2122" spans="13:23">
      <c r="M2122" s="9"/>
      <c r="W2122" s="6"/>
    </row>
    <row r="2123" spans="13:23">
      <c r="M2123" s="9"/>
      <c r="W2123" s="6"/>
    </row>
    <row r="2124" spans="13:23">
      <c r="M2124" s="9"/>
      <c r="W2124" s="6"/>
    </row>
    <row r="2125" spans="13:23">
      <c r="M2125" s="9"/>
      <c r="W2125" s="6"/>
    </row>
    <row r="2126" spans="13:23">
      <c r="M2126" s="9"/>
      <c r="W2126" s="6"/>
    </row>
    <row r="2127" spans="13:23">
      <c r="M2127" s="9"/>
      <c r="W2127" s="6"/>
    </row>
    <row r="2128" spans="13:23">
      <c r="M2128" s="9"/>
      <c r="W2128" s="6"/>
    </row>
    <row r="2129" spans="13:23">
      <c r="M2129" s="9"/>
      <c r="W2129" s="6"/>
    </row>
    <row r="2130" spans="13:23">
      <c r="M2130" s="9"/>
      <c r="W2130" s="6"/>
    </row>
    <row r="2131" spans="13:23">
      <c r="M2131" s="9"/>
      <c r="W2131" s="6"/>
    </row>
    <row r="2132" spans="13:23">
      <c r="M2132" s="9"/>
      <c r="W2132" s="6"/>
    </row>
    <row r="2133" spans="13:23">
      <c r="M2133" s="9"/>
      <c r="W2133" s="6"/>
    </row>
    <row r="2134" spans="13:23">
      <c r="M2134" s="9"/>
      <c r="W2134" s="6"/>
    </row>
    <row r="2135" spans="13:23">
      <c r="M2135" s="9"/>
      <c r="W2135" s="6"/>
    </row>
    <row r="2136" spans="13:23">
      <c r="M2136" s="9"/>
      <c r="W2136" s="6"/>
    </row>
    <row r="2137" spans="13:23">
      <c r="M2137" s="9"/>
      <c r="W2137" s="6"/>
    </row>
    <row r="2138" spans="13:23">
      <c r="M2138" s="9"/>
      <c r="W2138" s="6"/>
    </row>
    <row r="2139" spans="13:23">
      <c r="M2139" s="9"/>
      <c r="W2139" s="6"/>
    </row>
    <row r="2140" spans="13:23">
      <c r="M2140" s="9"/>
      <c r="W2140" s="6"/>
    </row>
    <row r="2141" spans="13:23">
      <c r="M2141" s="9"/>
      <c r="W2141" s="6"/>
    </row>
    <row r="2142" spans="13:23">
      <c r="M2142" s="9"/>
      <c r="W2142" s="6"/>
    </row>
    <row r="2143" spans="13:23">
      <c r="M2143" s="9"/>
      <c r="W2143" s="6"/>
    </row>
    <row r="2144" spans="13:23">
      <c r="M2144" s="9"/>
      <c r="W2144" s="6"/>
    </row>
    <row r="2145" spans="13:23">
      <c r="M2145" s="9"/>
      <c r="W2145" s="6"/>
    </row>
    <row r="2146" spans="13:23">
      <c r="M2146" s="9"/>
      <c r="W2146" s="6"/>
    </row>
    <row r="2147" spans="13:23">
      <c r="M2147" s="9"/>
      <c r="W2147" s="6"/>
    </row>
    <row r="2148" spans="13:23">
      <c r="M2148" s="9"/>
      <c r="W2148" s="6"/>
    </row>
    <row r="2149" spans="13:23">
      <c r="M2149" s="9"/>
      <c r="W2149" s="6"/>
    </row>
    <row r="2150" spans="13:23">
      <c r="M2150" s="9"/>
      <c r="W2150" s="6"/>
    </row>
    <row r="2151" spans="13:23">
      <c r="M2151" s="9"/>
      <c r="W2151" s="6"/>
    </row>
    <row r="2152" spans="13:23">
      <c r="M2152" s="9"/>
      <c r="W2152" s="6"/>
    </row>
    <row r="2153" spans="13:23">
      <c r="M2153" s="9"/>
      <c r="W2153" s="6"/>
    </row>
    <row r="2154" spans="13:23">
      <c r="M2154" s="9"/>
      <c r="W2154" s="6"/>
    </row>
    <row r="2155" spans="13:23">
      <c r="M2155" s="9"/>
      <c r="W2155" s="6"/>
    </row>
    <row r="2156" spans="13:23">
      <c r="M2156" s="9"/>
      <c r="W2156" s="6"/>
    </row>
    <row r="2157" spans="13:23">
      <c r="M2157" s="9"/>
      <c r="W2157" s="6"/>
    </row>
    <row r="2158" spans="13:23">
      <c r="M2158" s="9"/>
      <c r="W2158" s="6"/>
    </row>
    <row r="2159" spans="13:23">
      <c r="M2159" s="9"/>
      <c r="W2159" s="6"/>
    </row>
    <row r="2160" spans="13:23">
      <c r="M2160" s="9"/>
      <c r="W2160" s="6"/>
    </row>
    <row r="2161" spans="13:23">
      <c r="M2161" s="9"/>
      <c r="W2161" s="6"/>
    </row>
    <row r="2162" spans="13:23">
      <c r="M2162" s="9"/>
      <c r="W2162" s="6"/>
    </row>
    <row r="2163" spans="13:23">
      <c r="M2163" s="9"/>
      <c r="W2163" s="6"/>
    </row>
    <row r="2164" spans="13:23">
      <c r="M2164" s="9"/>
      <c r="W2164" s="6"/>
    </row>
    <row r="2165" spans="13:23">
      <c r="M2165" s="9"/>
      <c r="W2165" s="6"/>
    </row>
    <row r="2166" spans="13:23">
      <c r="M2166" s="9"/>
      <c r="W2166" s="6"/>
    </row>
    <row r="2167" spans="13:23">
      <c r="M2167" s="9"/>
      <c r="W2167" s="6"/>
    </row>
    <row r="2168" spans="13:23">
      <c r="M2168" s="9"/>
      <c r="W2168" s="6"/>
    </row>
    <row r="2169" spans="13:23">
      <c r="M2169" s="9"/>
      <c r="W2169" s="6"/>
    </row>
    <row r="2170" spans="13:23">
      <c r="M2170" s="9"/>
      <c r="W2170" s="6"/>
    </row>
    <row r="2171" spans="13:23">
      <c r="M2171" s="9"/>
      <c r="W2171" s="6"/>
    </row>
    <row r="2172" spans="13:23">
      <c r="M2172" s="9"/>
      <c r="W2172" s="6"/>
    </row>
    <row r="2173" spans="13:23">
      <c r="M2173" s="9"/>
      <c r="W2173" s="6"/>
    </row>
    <row r="2174" spans="13:23">
      <c r="M2174" s="9"/>
      <c r="W2174" s="6"/>
    </row>
    <row r="2175" spans="13:23">
      <c r="M2175" s="9"/>
      <c r="W2175" s="6"/>
    </row>
    <row r="2176" spans="13:23">
      <c r="M2176" s="9"/>
      <c r="W2176" s="6"/>
    </row>
    <row r="2177" spans="13:23">
      <c r="M2177" s="9"/>
      <c r="W2177" s="6"/>
    </row>
    <row r="2178" spans="13:23">
      <c r="M2178" s="9"/>
      <c r="W2178" s="6"/>
    </row>
    <row r="2179" spans="13:23">
      <c r="M2179" s="9"/>
      <c r="W2179" s="6"/>
    </row>
    <row r="2180" spans="13:23">
      <c r="M2180" s="9"/>
      <c r="W2180" s="6"/>
    </row>
    <row r="2181" spans="13:23">
      <c r="M2181" s="9"/>
      <c r="W2181" s="6"/>
    </row>
    <row r="2182" spans="13:23">
      <c r="M2182" s="9"/>
      <c r="W2182" s="6"/>
    </row>
    <row r="2183" spans="13:23">
      <c r="M2183" s="9"/>
      <c r="W2183" s="6"/>
    </row>
    <row r="2184" spans="13:23">
      <c r="M2184" s="9"/>
      <c r="W2184" s="6"/>
    </row>
    <row r="2185" spans="13:23">
      <c r="M2185" s="9"/>
      <c r="W2185" s="6"/>
    </row>
    <row r="2186" spans="13:23">
      <c r="M2186" s="9"/>
      <c r="W2186" s="6"/>
    </row>
    <row r="2187" spans="13:23">
      <c r="M2187" s="9"/>
      <c r="W2187" s="6"/>
    </row>
    <row r="2188" spans="13:23">
      <c r="M2188" s="9"/>
      <c r="W2188" s="6"/>
    </row>
    <row r="2189" spans="13:23">
      <c r="M2189" s="9"/>
      <c r="W2189" s="6"/>
    </row>
    <row r="2190" spans="13:23">
      <c r="M2190" s="9"/>
      <c r="W2190" s="6"/>
    </row>
    <row r="2191" spans="13:23">
      <c r="M2191" s="9"/>
      <c r="W2191" s="6"/>
    </row>
    <row r="2192" spans="13:23">
      <c r="M2192" s="9"/>
      <c r="W2192" s="6"/>
    </row>
    <row r="2193" spans="13:23">
      <c r="M2193" s="9"/>
      <c r="W2193" s="6"/>
    </row>
    <row r="2194" spans="13:23">
      <c r="M2194" s="9"/>
      <c r="W2194" s="6"/>
    </row>
    <row r="2195" spans="13:23">
      <c r="M2195" s="9"/>
      <c r="W2195" s="6"/>
    </row>
    <row r="2196" spans="13:23">
      <c r="M2196" s="9"/>
      <c r="W2196" s="6"/>
    </row>
    <row r="2197" spans="13:23">
      <c r="M2197" s="9"/>
      <c r="W2197" s="6"/>
    </row>
    <row r="2198" spans="13:23">
      <c r="M2198" s="9"/>
      <c r="W2198" s="6"/>
    </row>
    <row r="2199" spans="13:23">
      <c r="M2199" s="9"/>
      <c r="W2199" s="6"/>
    </row>
    <row r="2200" spans="13:23">
      <c r="M2200" s="9"/>
      <c r="W2200" s="6"/>
    </row>
    <row r="2201" spans="13:23">
      <c r="M2201" s="9"/>
      <c r="W2201" s="6"/>
    </row>
    <row r="2202" spans="13:23">
      <c r="M2202" s="9"/>
      <c r="W2202" s="6"/>
    </row>
    <row r="2203" spans="13:23">
      <c r="M2203" s="9"/>
      <c r="W2203" s="6"/>
    </row>
    <row r="2204" spans="13:23">
      <c r="M2204" s="9"/>
      <c r="W2204" s="6"/>
    </row>
    <row r="2205" spans="13:23">
      <c r="M2205" s="9"/>
      <c r="W2205" s="6"/>
    </row>
    <row r="2206" spans="13:23">
      <c r="M2206" s="9"/>
      <c r="W2206" s="6"/>
    </row>
    <row r="2207" spans="13:23">
      <c r="M2207" s="9"/>
      <c r="W2207" s="6"/>
    </row>
    <row r="2208" spans="13:23">
      <c r="M2208" s="9"/>
      <c r="W2208" s="6"/>
    </row>
    <row r="2209" spans="13:23">
      <c r="M2209" s="9"/>
      <c r="W2209" s="6"/>
    </row>
    <row r="2210" spans="13:23">
      <c r="M2210" s="9"/>
      <c r="W2210" s="6"/>
    </row>
    <row r="2211" spans="13:23">
      <c r="M2211" s="9"/>
      <c r="W2211" s="6"/>
    </row>
    <row r="2212" spans="13:23">
      <c r="M2212" s="9"/>
      <c r="W2212" s="6"/>
    </row>
    <row r="2213" spans="13:23">
      <c r="M2213" s="9"/>
      <c r="W2213" s="6"/>
    </row>
    <row r="2214" spans="13:23">
      <c r="M2214" s="9"/>
      <c r="W2214" s="6"/>
    </row>
    <row r="2215" spans="13:23">
      <c r="M2215" s="9"/>
      <c r="W2215" s="6"/>
    </row>
    <row r="2216" spans="13:23">
      <c r="M2216" s="9"/>
      <c r="W2216" s="6"/>
    </row>
    <row r="2217" spans="13:23">
      <c r="M2217" s="9"/>
      <c r="W2217" s="6"/>
    </row>
    <row r="2218" spans="13:23">
      <c r="M2218" s="9"/>
      <c r="W2218" s="6"/>
    </row>
    <row r="2219" spans="13:23">
      <c r="M2219" s="9"/>
      <c r="W2219" s="6"/>
    </row>
    <row r="2220" spans="13:23">
      <c r="M2220" s="9"/>
      <c r="W2220" s="6"/>
    </row>
    <row r="2221" spans="13:23">
      <c r="M2221" s="9"/>
      <c r="W2221" s="6"/>
    </row>
    <row r="2222" spans="13:23">
      <c r="M2222" s="9"/>
      <c r="W2222" s="6"/>
    </row>
    <row r="2223" spans="13:23">
      <c r="M2223" s="9"/>
      <c r="W2223" s="6"/>
    </row>
    <row r="2224" spans="13:23">
      <c r="M2224" s="9"/>
      <c r="W2224" s="6"/>
    </row>
    <row r="2225" spans="13:23">
      <c r="M2225" s="9"/>
      <c r="W2225" s="6"/>
    </row>
    <row r="2226" spans="13:23">
      <c r="M2226" s="9"/>
      <c r="W2226" s="6"/>
    </row>
    <row r="2227" spans="13:23">
      <c r="M2227" s="9"/>
      <c r="W2227" s="6"/>
    </row>
    <row r="2228" spans="13:23">
      <c r="M2228" s="9"/>
      <c r="W2228" s="6"/>
    </row>
    <row r="2229" spans="13:23">
      <c r="M2229" s="9"/>
      <c r="W2229" s="6"/>
    </row>
    <row r="2230" spans="13:23">
      <c r="M2230" s="9"/>
      <c r="W2230" s="6"/>
    </row>
    <row r="2231" spans="13:23">
      <c r="M2231" s="9"/>
      <c r="W2231" s="6"/>
    </row>
    <row r="2232" spans="13:23">
      <c r="M2232" s="9"/>
      <c r="W2232" s="6"/>
    </row>
    <row r="2233" spans="13:23">
      <c r="M2233" s="9"/>
      <c r="W2233" s="6"/>
    </row>
    <row r="2234" spans="13:23">
      <c r="M2234" s="9"/>
      <c r="W2234" s="6"/>
    </row>
    <row r="2235" spans="13:23">
      <c r="M2235" s="9"/>
      <c r="W2235" s="6"/>
    </row>
    <row r="2236" spans="13:23">
      <c r="M2236" s="9"/>
      <c r="W2236" s="6"/>
    </row>
    <row r="2237" spans="13:23">
      <c r="M2237" s="9"/>
      <c r="W2237" s="6"/>
    </row>
    <row r="2238" spans="13:23">
      <c r="M2238" s="9"/>
      <c r="W2238" s="6"/>
    </row>
    <row r="2239" spans="13:23">
      <c r="M2239" s="9"/>
      <c r="W2239" s="6"/>
    </row>
    <row r="2240" spans="13:23">
      <c r="M2240" s="9"/>
      <c r="W2240" s="6"/>
    </row>
    <row r="2241" spans="13:23">
      <c r="M2241" s="9"/>
      <c r="W2241" s="6"/>
    </row>
    <row r="2242" spans="13:23">
      <c r="M2242" s="9"/>
      <c r="W2242" s="6"/>
    </row>
    <row r="2243" spans="13:23">
      <c r="M2243" s="9"/>
      <c r="W2243" s="6"/>
    </row>
    <row r="2244" spans="13:23">
      <c r="M2244" s="9"/>
      <c r="W2244" s="6"/>
    </row>
    <row r="2245" spans="13:23">
      <c r="M2245" s="9"/>
      <c r="W2245" s="6"/>
    </row>
    <row r="2246" spans="13:23">
      <c r="M2246" s="9"/>
      <c r="W2246" s="6"/>
    </row>
    <row r="2247" spans="13:23">
      <c r="M2247" s="9"/>
      <c r="W2247" s="6"/>
    </row>
    <row r="2248" spans="13:23">
      <c r="M2248" s="9"/>
      <c r="W2248" s="6"/>
    </row>
    <row r="2249" spans="13:23">
      <c r="M2249" s="9"/>
      <c r="W2249" s="6"/>
    </row>
    <row r="2250" spans="13:23">
      <c r="M2250" s="9"/>
      <c r="W2250" s="6"/>
    </row>
    <row r="2251" spans="13:23">
      <c r="M2251" s="9"/>
      <c r="W2251" s="6"/>
    </row>
    <row r="2252" spans="13:23">
      <c r="M2252" s="9"/>
      <c r="W2252" s="6"/>
    </row>
    <row r="2253" spans="13:23">
      <c r="M2253" s="9"/>
      <c r="W2253" s="6"/>
    </row>
    <row r="2254" spans="13:23">
      <c r="M2254" s="9"/>
      <c r="W2254" s="6"/>
    </row>
    <row r="2255" spans="13:23">
      <c r="M2255" s="9"/>
      <c r="W2255" s="6"/>
    </row>
    <row r="2256" spans="13:23">
      <c r="M2256" s="9"/>
      <c r="W2256" s="6"/>
    </row>
    <row r="2257" spans="13:23">
      <c r="M2257" s="9"/>
      <c r="W2257" s="6"/>
    </row>
    <row r="2258" spans="13:23">
      <c r="M2258" s="9"/>
      <c r="W2258" s="6"/>
    </row>
    <row r="2259" spans="13:23">
      <c r="M2259" s="9"/>
      <c r="W2259" s="6"/>
    </row>
    <row r="2260" spans="13:23">
      <c r="M2260" s="9"/>
      <c r="W2260" s="6"/>
    </row>
    <row r="2261" spans="13:23">
      <c r="M2261" s="9"/>
      <c r="W2261" s="6"/>
    </row>
    <row r="2262" spans="13:23">
      <c r="M2262" s="9"/>
      <c r="W2262" s="6"/>
    </row>
    <row r="2263" spans="13:23">
      <c r="M2263" s="9"/>
      <c r="W2263" s="6"/>
    </row>
    <row r="2264" spans="13:23">
      <c r="M2264" s="9"/>
      <c r="W2264" s="6"/>
    </row>
    <row r="2265" spans="13:23">
      <c r="M2265" s="9"/>
      <c r="W2265" s="6"/>
    </row>
    <row r="2266" spans="13:23">
      <c r="M2266" s="9"/>
      <c r="W2266" s="6"/>
    </row>
    <row r="2267" spans="13:23">
      <c r="M2267" s="9"/>
      <c r="W2267" s="6"/>
    </row>
    <row r="2268" spans="13:23">
      <c r="M2268" s="9"/>
      <c r="W2268" s="6"/>
    </row>
    <row r="2269" spans="13:23">
      <c r="M2269" s="9"/>
      <c r="W2269" s="6"/>
    </row>
    <row r="2270" spans="13:23">
      <c r="M2270" s="9"/>
      <c r="W2270" s="6"/>
    </row>
    <row r="2271" spans="13:23">
      <c r="M2271" s="9"/>
      <c r="W2271" s="6"/>
    </row>
    <row r="2272" spans="13:23">
      <c r="M2272" s="9"/>
      <c r="W2272" s="6"/>
    </row>
    <row r="2273" spans="13:23">
      <c r="M2273" s="9"/>
      <c r="W2273" s="6"/>
    </row>
    <row r="2274" spans="13:23">
      <c r="M2274" s="9"/>
      <c r="W2274" s="6"/>
    </row>
    <row r="2275" spans="13:23">
      <c r="M2275" s="9"/>
      <c r="W2275" s="6"/>
    </row>
    <row r="2276" spans="13:23">
      <c r="M2276" s="9"/>
      <c r="W2276" s="6"/>
    </row>
    <row r="2277" spans="13:23">
      <c r="M2277" s="9"/>
      <c r="W2277" s="6"/>
    </row>
    <row r="2278" spans="13:23">
      <c r="M2278" s="9"/>
      <c r="W2278" s="6"/>
    </row>
    <row r="2279" spans="13:23">
      <c r="M2279" s="9"/>
      <c r="W2279" s="6"/>
    </row>
    <row r="2280" spans="13:23">
      <c r="M2280" s="9"/>
      <c r="W2280" s="6"/>
    </row>
    <row r="2281" spans="13:23">
      <c r="M2281" s="9"/>
      <c r="W2281" s="6"/>
    </row>
    <row r="2282" spans="13:23">
      <c r="M2282" s="9"/>
      <c r="W2282" s="6"/>
    </row>
    <row r="2283" spans="13:23">
      <c r="M2283" s="9"/>
      <c r="W2283" s="6"/>
    </row>
    <row r="2284" spans="13:23">
      <c r="M2284" s="9"/>
      <c r="W2284" s="6"/>
    </row>
    <row r="2285" spans="13:23">
      <c r="M2285" s="9"/>
      <c r="W2285" s="6"/>
    </row>
    <row r="2286" spans="13:23">
      <c r="M2286" s="9"/>
      <c r="W2286" s="6"/>
    </row>
    <row r="2287" spans="13:23">
      <c r="M2287" s="9"/>
      <c r="W2287" s="6"/>
    </row>
    <row r="2288" spans="13:23">
      <c r="M2288" s="9"/>
      <c r="W2288" s="6"/>
    </row>
    <row r="2289" spans="13:23">
      <c r="M2289" s="9"/>
      <c r="W2289" s="6"/>
    </row>
    <row r="2290" spans="13:23">
      <c r="M2290" s="9"/>
      <c r="W2290" s="6"/>
    </row>
    <row r="2291" spans="13:23">
      <c r="M2291" s="9"/>
      <c r="W2291" s="6"/>
    </row>
    <row r="2292" spans="13:23">
      <c r="M2292" s="9"/>
      <c r="W2292" s="6"/>
    </row>
    <row r="2293" spans="13:23">
      <c r="M2293" s="9"/>
      <c r="W2293" s="6"/>
    </row>
    <row r="2294" spans="13:23">
      <c r="M2294" s="9"/>
      <c r="W2294" s="6"/>
    </row>
    <row r="2295" spans="13:23">
      <c r="M2295" s="9"/>
      <c r="W2295" s="6"/>
    </row>
    <row r="2296" spans="13:23">
      <c r="M2296" s="9"/>
      <c r="W2296" s="6"/>
    </row>
    <row r="2297" spans="13:23">
      <c r="M2297" s="9"/>
      <c r="W2297" s="6"/>
    </row>
    <row r="2298" spans="13:23">
      <c r="M2298" s="9"/>
      <c r="W2298" s="6"/>
    </row>
    <row r="2299" spans="13:23">
      <c r="M2299" s="9"/>
      <c r="W2299" s="6"/>
    </row>
    <row r="2300" spans="13:23">
      <c r="M2300" s="9"/>
      <c r="W2300" s="6"/>
    </row>
    <row r="2301" spans="13:23">
      <c r="M2301" s="9"/>
      <c r="W2301" s="6"/>
    </row>
    <row r="2302" spans="13:23">
      <c r="M2302" s="9"/>
      <c r="W2302" s="6"/>
    </row>
    <row r="2303" spans="13:23">
      <c r="M2303" s="9"/>
      <c r="W2303" s="6"/>
    </row>
    <row r="2304" spans="13:23">
      <c r="M2304" s="9"/>
      <c r="W2304" s="6"/>
    </row>
    <row r="2305" spans="13:23">
      <c r="M2305" s="9"/>
      <c r="W2305" s="6"/>
    </row>
    <row r="2306" spans="13:23">
      <c r="M2306" s="9"/>
      <c r="W2306" s="6"/>
    </row>
    <row r="2307" spans="13:23">
      <c r="M2307" s="9"/>
      <c r="W2307" s="6"/>
    </row>
    <row r="2308" spans="13:23">
      <c r="M2308" s="9"/>
      <c r="W2308" s="6"/>
    </row>
    <row r="2309" spans="13:23">
      <c r="M2309" s="9"/>
      <c r="W2309" s="6"/>
    </row>
    <row r="2310" spans="13:23">
      <c r="M2310" s="9"/>
      <c r="W2310" s="6"/>
    </row>
    <row r="2311" spans="13:23">
      <c r="M2311" s="9"/>
      <c r="W2311" s="6"/>
    </row>
    <row r="2312" spans="13:23">
      <c r="M2312" s="9"/>
      <c r="W2312" s="6"/>
    </row>
    <row r="2313" spans="13:23">
      <c r="M2313" s="9"/>
      <c r="W2313" s="6"/>
    </row>
    <row r="2314" spans="13:23">
      <c r="M2314" s="9"/>
      <c r="W2314" s="6"/>
    </row>
    <row r="2315" spans="13:23">
      <c r="M2315" s="9"/>
      <c r="W2315" s="6"/>
    </row>
    <row r="2316" spans="13:23">
      <c r="M2316" s="9"/>
      <c r="W2316" s="6"/>
    </row>
    <row r="2317" spans="13:23">
      <c r="M2317" s="9"/>
      <c r="W2317" s="6"/>
    </row>
    <row r="2318" spans="13:23">
      <c r="M2318" s="9"/>
      <c r="W2318" s="6"/>
    </row>
    <row r="2319" spans="13:23">
      <c r="M2319" s="9"/>
      <c r="W2319" s="6"/>
    </row>
    <row r="2320" spans="13:23">
      <c r="M2320" s="9"/>
      <c r="W2320" s="6"/>
    </row>
    <row r="2321" spans="13:23">
      <c r="M2321" s="9"/>
      <c r="W2321" s="6"/>
    </row>
    <row r="2322" spans="13:23">
      <c r="M2322" s="9"/>
      <c r="W2322" s="6"/>
    </row>
    <row r="2323" spans="13:23">
      <c r="M2323" s="9"/>
      <c r="W2323" s="6"/>
    </row>
    <row r="2324" spans="13:23">
      <c r="M2324" s="9"/>
      <c r="W2324" s="6"/>
    </row>
    <row r="2325" spans="13:23">
      <c r="M2325" s="9"/>
      <c r="W2325" s="6"/>
    </row>
    <row r="2326" spans="13:23">
      <c r="M2326" s="9"/>
      <c r="W2326" s="6"/>
    </row>
    <row r="2327" spans="13:23">
      <c r="M2327" s="9"/>
      <c r="W2327" s="6"/>
    </row>
    <row r="2328" spans="13:23">
      <c r="M2328" s="9"/>
      <c r="W2328" s="6"/>
    </row>
    <row r="2329" spans="13:23">
      <c r="M2329" s="9"/>
      <c r="W2329" s="6"/>
    </row>
    <row r="2330" spans="13:23">
      <c r="M2330" s="9"/>
      <c r="W2330" s="6"/>
    </row>
    <row r="2331" spans="13:23">
      <c r="M2331" s="9"/>
      <c r="W2331" s="6"/>
    </row>
    <row r="2332" spans="13:23">
      <c r="M2332" s="9"/>
      <c r="W2332" s="6"/>
    </row>
    <row r="2333" spans="13:23">
      <c r="M2333" s="9"/>
      <c r="W2333" s="6"/>
    </row>
    <row r="2334" spans="13:23">
      <c r="M2334" s="9"/>
      <c r="W2334" s="6"/>
    </row>
    <row r="2335" spans="13:23">
      <c r="M2335" s="9"/>
      <c r="W2335" s="6"/>
    </row>
    <row r="2336" spans="13:23">
      <c r="M2336" s="9"/>
      <c r="W2336" s="6"/>
    </row>
    <row r="2337" spans="13:23">
      <c r="M2337" s="9"/>
      <c r="W2337" s="6"/>
    </row>
    <row r="2338" spans="13:23">
      <c r="M2338" s="9"/>
      <c r="W2338" s="6"/>
    </row>
    <row r="2339" spans="13:23">
      <c r="M2339" s="9"/>
      <c r="W2339" s="6"/>
    </row>
    <row r="2340" spans="13:23">
      <c r="M2340" s="9"/>
      <c r="W2340" s="6"/>
    </row>
    <row r="2341" spans="13:23">
      <c r="M2341" s="9"/>
      <c r="W2341" s="6"/>
    </row>
    <row r="2342" spans="13:23">
      <c r="M2342" s="9"/>
      <c r="W2342" s="6"/>
    </row>
    <row r="2343" spans="13:23">
      <c r="M2343" s="9"/>
      <c r="W2343" s="6"/>
    </row>
    <row r="2344" spans="13:23">
      <c r="M2344" s="9"/>
      <c r="W2344" s="6"/>
    </row>
    <row r="2345" spans="13:23">
      <c r="M2345" s="9"/>
      <c r="W2345" s="6"/>
    </row>
    <row r="2346" spans="13:23">
      <c r="M2346" s="9"/>
      <c r="W2346" s="6"/>
    </row>
    <row r="2347" spans="13:23">
      <c r="M2347" s="9"/>
      <c r="W2347" s="6"/>
    </row>
    <row r="2348" spans="13:23">
      <c r="M2348" s="9"/>
      <c r="W2348" s="6"/>
    </row>
    <row r="2349" spans="13:23">
      <c r="M2349" s="9"/>
      <c r="W2349" s="6"/>
    </row>
    <row r="2350" spans="13:23">
      <c r="M2350" s="9"/>
      <c r="W2350" s="6"/>
    </row>
    <row r="2351" spans="13:23">
      <c r="M2351" s="9"/>
      <c r="W2351" s="6"/>
    </row>
    <row r="2352" spans="13:23">
      <c r="M2352" s="9"/>
      <c r="W2352" s="6"/>
    </row>
    <row r="2353" spans="13:23">
      <c r="M2353" s="9"/>
      <c r="W2353" s="6"/>
    </row>
    <row r="2354" spans="13:23">
      <c r="M2354" s="9"/>
      <c r="W2354" s="6"/>
    </row>
    <row r="2355" spans="13:23">
      <c r="M2355" s="9"/>
      <c r="W2355" s="6"/>
    </row>
    <row r="2356" spans="13:23">
      <c r="M2356" s="9"/>
      <c r="W2356" s="6"/>
    </row>
    <row r="2357" spans="13:23">
      <c r="M2357" s="9"/>
      <c r="W2357" s="6"/>
    </row>
    <row r="2358" spans="13:23">
      <c r="M2358" s="9"/>
      <c r="W2358" s="6"/>
    </row>
    <row r="2359" spans="13:23">
      <c r="M2359" s="9"/>
      <c r="W2359" s="6"/>
    </row>
    <row r="2360" spans="13:23">
      <c r="M2360" s="9"/>
      <c r="W2360" s="6"/>
    </row>
    <row r="2361" spans="13:23">
      <c r="M2361" s="9"/>
      <c r="W2361" s="6"/>
    </row>
    <row r="2362" spans="13:23">
      <c r="M2362" s="9"/>
      <c r="W2362" s="6"/>
    </row>
    <row r="2363" spans="13:23">
      <c r="M2363" s="9"/>
      <c r="W2363" s="6"/>
    </row>
    <row r="2364" spans="13:23">
      <c r="M2364" s="9"/>
      <c r="W2364" s="6"/>
    </row>
    <row r="2365" spans="13:23">
      <c r="M2365" s="9"/>
      <c r="W2365" s="6"/>
    </row>
    <row r="2366" spans="13:23">
      <c r="M2366" s="9"/>
      <c r="W2366" s="6"/>
    </row>
    <row r="2367" spans="13:23">
      <c r="M2367" s="9"/>
      <c r="W2367" s="6"/>
    </row>
    <row r="2368" spans="13:23">
      <c r="M2368" s="9"/>
      <c r="W2368" s="6"/>
    </row>
    <row r="2369" spans="13:23">
      <c r="M2369" s="9"/>
      <c r="W2369" s="6"/>
    </row>
    <row r="2370" spans="13:23">
      <c r="M2370" s="9"/>
      <c r="W2370" s="6"/>
    </row>
    <row r="2371" spans="13:23">
      <c r="M2371" s="9"/>
      <c r="W2371" s="6"/>
    </row>
    <row r="2372" spans="13:23">
      <c r="M2372" s="9"/>
      <c r="W2372" s="6"/>
    </row>
    <row r="2373" spans="13:23">
      <c r="M2373" s="9"/>
      <c r="W2373" s="6"/>
    </row>
    <row r="2374" spans="13:23">
      <c r="M2374" s="9"/>
      <c r="W2374" s="6"/>
    </row>
    <row r="2375" spans="13:23">
      <c r="M2375" s="9"/>
      <c r="W2375" s="6"/>
    </row>
    <row r="2376" spans="13:23">
      <c r="M2376" s="9"/>
      <c r="W2376" s="6"/>
    </row>
    <row r="2377" spans="13:23">
      <c r="M2377" s="9"/>
      <c r="W2377" s="6"/>
    </row>
    <row r="2378" spans="13:23">
      <c r="M2378" s="9"/>
      <c r="W2378" s="6"/>
    </row>
    <row r="2379" spans="13:23">
      <c r="M2379" s="9"/>
      <c r="W2379" s="6"/>
    </row>
    <row r="2380" spans="13:23">
      <c r="M2380" s="9"/>
      <c r="W2380" s="6"/>
    </row>
    <row r="2381" spans="13:23">
      <c r="M2381" s="9"/>
      <c r="W2381" s="6"/>
    </row>
    <row r="2382" spans="13:23">
      <c r="M2382" s="9"/>
      <c r="W2382" s="6"/>
    </row>
    <row r="2383" spans="13:23">
      <c r="M2383" s="9"/>
      <c r="W2383" s="6"/>
    </row>
    <row r="2384" spans="13:23">
      <c r="M2384" s="9"/>
      <c r="W2384" s="6"/>
    </row>
    <row r="2385" spans="13:23">
      <c r="M2385" s="9"/>
      <c r="W2385" s="6"/>
    </row>
    <row r="2386" spans="13:23">
      <c r="M2386" s="9"/>
      <c r="W2386" s="6"/>
    </row>
    <row r="2387" spans="13:23">
      <c r="M2387" s="9"/>
      <c r="W2387" s="6"/>
    </row>
    <row r="2388" spans="13:23">
      <c r="M2388" s="9"/>
      <c r="W2388" s="6"/>
    </row>
    <row r="2389" spans="13:23">
      <c r="M2389" s="9"/>
      <c r="W2389" s="6"/>
    </row>
    <row r="2390" spans="13:23">
      <c r="M2390" s="9"/>
      <c r="W2390" s="6"/>
    </row>
    <row r="2391" spans="13:23">
      <c r="M2391" s="9"/>
      <c r="W2391" s="6"/>
    </row>
    <row r="2392" spans="13:23">
      <c r="M2392" s="9"/>
      <c r="W2392" s="6"/>
    </row>
    <row r="2393" spans="13:23">
      <c r="M2393" s="9"/>
      <c r="W2393" s="6"/>
    </row>
    <row r="2394" spans="13:23">
      <c r="M2394" s="9"/>
      <c r="W2394" s="6"/>
    </row>
    <row r="2395" spans="13:23">
      <c r="M2395" s="9"/>
      <c r="W2395" s="6"/>
    </row>
    <row r="2396" spans="13:23">
      <c r="M2396" s="9"/>
      <c r="W2396" s="6"/>
    </row>
    <row r="2397" spans="13:23">
      <c r="M2397" s="9"/>
      <c r="W2397" s="6"/>
    </row>
    <row r="2398" spans="13:23">
      <c r="M2398" s="9"/>
      <c r="W2398" s="6"/>
    </row>
    <row r="2399" spans="13:23">
      <c r="M2399" s="9"/>
      <c r="W2399" s="6"/>
    </row>
    <row r="2400" spans="13:23">
      <c r="M2400" s="9"/>
      <c r="W2400" s="6"/>
    </row>
    <row r="2401" spans="13:23">
      <c r="M2401" s="9"/>
      <c r="W2401" s="6"/>
    </row>
    <row r="2402" spans="13:23">
      <c r="M2402" s="9"/>
      <c r="W2402" s="6"/>
    </row>
    <row r="2403" spans="13:23">
      <c r="M2403" s="9"/>
      <c r="W2403" s="6"/>
    </row>
    <row r="2404" spans="13:23">
      <c r="M2404" s="9"/>
      <c r="W2404" s="6"/>
    </row>
    <row r="2405" spans="13:23">
      <c r="M2405" s="9"/>
      <c r="W2405" s="6"/>
    </row>
    <row r="2406" spans="13:23">
      <c r="M2406" s="9"/>
      <c r="W2406" s="6"/>
    </row>
    <row r="2407" spans="13:23">
      <c r="M2407" s="9"/>
      <c r="W2407" s="6"/>
    </row>
    <row r="2408" spans="13:23">
      <c r="M2408" s="9"/>
      <c r="W2408" s="6"/>
    </row>
    <row r="2409" spans="13:23">
      <c r="M2409" s="9"/>
      <c r="W2409" s="6"/>
    </row>
    <row r="2410" spans="13:23">
      <c r="M2410" s="9"/>
      <c r="W2410" s="6"/>
    </row>
    <row r="2411" spans="13:23">
      <c r="M2411" s="9"/>
      <c r="W2411" s="6"/>
    </row>
    <row r="2412" spans="13:23">
      <c r="M2412" s="9"/>
      <c r="W2412" s="6"/>
    </row>
    <row r="2413" spans="13:23">
      <c r="M2413" s="9"/>
      <c r="W2413" s="6"/>
    </row>
    <row r="2414" spans="13:23">
      <c r="M2414" s="9"/>
      <c r="W2414" s="6"/>
    </row>
    <row r="2415" spans="13:23">
      <c r="M2415" s="9"/>
      <c r="W2415" s="6"/>
    </row>
    <row r="2416" spans="13:23">
      <c r="M2416" s="9"/>
      <c r="W2416" s="6"/>
    </row>
    <row r="2417" spans="13:23">
      <c r="M2417" s="9"/>
      <c r="W2417" s="6"/>
    </row>
    <row r="2418" spans="13:23">
      <c r="M2418" s="9"/>
      <c r="W2418" s="6"/>
    </row>
    <row r="2419" spans="13:23">
      <c r="M2419" s="9"/>
      <c r="W2419" s="6"/>
    </row>
    <row r="2420" spans="13:23">
      <c r="M2420" s="9"/>
      <c r="W2420" s="6"/>
    </row>
    <row r="2421" spans="13:23">
      <c r="M2421" s="9"/>
      <c r="W2421" s="6"/>
    </row>
    <row r="2422" spans="13:23">
      <c r="M2422" s="9"/>
      <c r="W2422" s="6"/>
    </row>
    <row r="2423" spans="13:23">
      <c r="M2423" s="9"/>
      <c r="W2423" s="6"/>
    </row>
    <row r="2424" spans="13:23">
      <c r="M2424" s="9"/>
      <c r="W2424" s="6"/>
    </row>
    <row r="2425" spans="13:23">
      <c r="M2425" s="9"/>
      <c r="W2425" s="6"/>
    </row>
    <row r="2426" spans="13:23">
      <c r="M2426" s="9"/>
      <c r="W2426" s="6"/>
    </row>
    <row r="2427" spans="13:23">
      <c r="M2427" s="9"/>
      <c r="W2427" s="6"/>
    </row>
    <row r="2428" spans="13:23">
      <c r="M2428" s="9"/>
      <c r="W2428" s="6"/>
    </row>
    <row r="2429" spans="13:23">
      <c r="M2429" s="9"/>
      <c r="W2429" s="6"/>
    </row>
    <row r="2430" spans="13:23">
      <c r="M2430" s="9"/>
      <c r="W2430" s="6"/>
    </row>
    <row r="2431" spans="13:23">
      <c r="M2431" s="9"/>
      <c r="W2431" s="6"/>
    </row>
    <row r="2432" spans="13:23">
      <c r="M2432" s="9"/>
      <c r="W2432" s="6"/>
    </row>
    <row r="2433" spans="13:23">
      <c r="M2433" s="9"/>
      <c r="W2433" s="6"/>
    </row>
    <row r="2434" spans="13:23">
      <c r="M2434" s="9"/>
      <c r="W2434" s="6"/>
    </row>
    <row r="2435" spans="13:23">
      <c r="M2435" s="9"/>
      <c r="W2435" s="6"/>
    </row>
    <row r="2436" spans="13:23">
      <c r="M2436" s="9"/>
      <c r="W2436" s="6"/>
    </row>
    <row r="2437" spans="13:23">
      <c r="M2437" s="9"/>
      <c r="W2437" s="6"/>
    </row>
    <row r="2438" spans="13:23">
      <c r="M2438" s="9"/>
      <c r="W2438" s="6"/>
    </row>
    <row r="2439" spans="13:23">
      <c r="M2439" s="9"/>
      <c r="W2439" s="6"/>
    </row>
    <row r="2440" spans="13:23">
      <c r="M2440" s="9"/>
      <c r="W2440" s="6"/>
    </row>
    <row r="2441" spans="13:23">
      <c r="M2441" s="9"/>
      <c r="W2441" s="6"/>
    </row>
    <row r="2442" spans="13:23">
      <c r="M2442" s="9"/>
      <c r="W2442" s="6"/>
    </row>
    <row r="2443" spans="13:23">
      <c r="M2443" s="9"/>
      <c r="W2443" s="6"/>
    </row>
    <row r="2444" spans="13:23">
      <c r="M2444" s="9"/>
      <c r="W2444" s="6"/>
    </row>
    <row r="2445" spans="13:23">
      <c r="M2445" s="9"/>
      <c r="W2445" s="6"/>
    </row>
    <row r="2446" spans="13:23">
      <c r="M2446" s="9"/>
      <c r="W2446" s="6"/>
    </row>
    <row r="2447" spans="13:23">
      <c r="M2447" s="9"/>
      <c r="W2447" s="6"/>
    </row>
    <row r="2448" spans="13:23">
      <c r="M2448" s="9"/>
      <c r="W2448" s="6"/>
    </row>
    <row r="2449" spans="13:23">
      <c r="M2449" s="9"/>
      <c r="W2449" s="6"/>
    </row>
    <row r="2450" spans="13:23">
      <c r="M2450" s="9"/>
      <c r="W2450" s="6"/>
    </row>
    <row r="2451" spans="13:23">
      <c r="M2451" s="9"/>
      <c r="W2451" s="6"/>
    </row>
    <row r="2452" spans="13:23">
      <c r="M2452" s="9"/>
      <c r="W2452" s="6"/>
    </row>
    <row r="2453" spans="13:23">
      <c r="M2453" s="9"/>
      <c r="W2453" s="6"/>
    </row>
    <row r="2454" spans="13:23">
      <c r="M2454" s="9"/>
      <c r="W2454" s="6"/>
    </row>
    <row r="2455" spans="13:23">
      <c r="M2455" s="9"/>
      <c r="W2455" s="6"/>
    </row>
    <row r="2456" spans="13:23">
      <c r="M2456" s="9"/>
      <c r="W2456" s="6"/>
    </row>
    <row r="2457" spans="13:23">
      <c r="M2457" s="9"/>
      <c r="W2457" s="6"/>
    </row>
    <row r="2458" spans="13:23">
      <c r="M2458" s="9"/>
      <c r="W2458" s="6"/>
    </row>
    <row r="2459" spans="13:23">
      <c r="M2459" s="9"/>
      <c r="W2459" s="6"/>
    </row>
    <row r="2460" spans="13:23">
      <c r="M2460" s="9"/>
      <c r="W2460" s="6"/>
    </row>
    <row r="2461" spans="13:23">
      <c r="M2461" s="9"/>
      <c r="W2461" s="6"/>
    </row>
    <row r="2462" spans="13:23">
      <c r="M2462" s="9"/>
      <c r="W2462" s="6"/>
    </row>
    <row r="2463" spans="13:23">
      <c r="M2463" s="9"/>
      <c r="N2463" s="8"/>
      <c r="O2463" s="10"/>
      <c r="W2463" s="6"/>
    </row>
    <row r="2464" spans="13:23">
      <c r="M2464" s="9"/>
      <c r="N2464" s="8"/>
      <c r="O2464" s="10"/>
      <c r="W2464" s="6"/>
    </row>
    <row r="2465" spans="13:23">
      <c r="M2465" s="9"/>
      <c r="W2465" s="6"/>
    </row>
    <row r="2466" spans="13:23">
      <c r="M2466" s="9"/>
      <c r="W2466" s="6"/>
    </row>
    <row r="2467" spans="13:23">
      <c r="M2467" s="9"/>
      <c r="W2467" s="6"/>
    </row>
    <row r="2468" spans="13:23">
      <c r="M2468" s="9"/>
      <c r="W2468" s="6"/>
    </row>
    <row r="2469" spans="13:23">
      <c r="M2469" s="9"/>
      <c r="W2469" s="6"/>
    </row>
    <row r="2470" spans="13:23">
      <c r="M2470" s="9"/>
      <c r="W2470" s="6"/>
    </row>
    <row r="2471" spans="13:23">
      <c r="M2471" s="9"/>
      <c r="W2471" s="6"/>
    </row>
    <row r="2472" spans="13:23">
      <c r="M2472" s="9"/>
      <c r="W2472" s="6"/>
    </row>
    <row r="2473" spans="13:23">
      <c r="M2473" s="9"/>
      <c r="W2473" s="6"/>
    </row>
    <row r="2474" spans="13:23">
      <c r="M2474" s="9"/>
      <c r="W2474" s="6"/>
    </row>
    <row r="2475" spans="13:23">
      <c r="M2475" s="9"/>
      <c r="W2475" s="6"/>
    </row>
    <row r="2476" spans="13:23">
      <c r="M2476" s="9"/>
      <c r="W2476" s="6"/>
    </row>
    <row r="2477" spans="13:23">
      <c r="M2477" s="9"/>
      <c r="W2477" s="6"/>
    </row>
    <row r="2478" spans="13:23">
      <c r="M2478" s="9"/>
      <c r="W2478" s="6"/>
    </row>
    <row r="2479" spans="13:23">
      <c r="M2479" s="9"/>
      <c r="W2479" s="6"/>
    </row>
    <row r="2480" spans="13:23">
      <c r="M2480" s="9"/>
      <c r="W2480" s="6"/>
    </row>
    <row r="2481" spans="13:23">
      <c r="M2481" s="9"/>
      <c r="W2481" s="6"/>
    </row>
    <row r="2482" spans="13:23">
      <c r="M2482" s="9"/>
      <c r="W2482" s="6"/>
    </row>
    <row r="2483" spans="13:23">
      <c r="M2483" s="9"/>
      <c r="W2483" s="6"/>
    </row>
    <row r="2484" spans="13:23">
      <c r="M2484" s="9"/>
      <c r="W2484" s="6"/>
    </row>
    <row r="2485" spans="13:23">
      <c r="M2485" s="9"/>
      <c r="W2485" s="6"/>
    </row>
    <row r="2486" spans="13:23">
      <c r="M2486" s="9"/>
      <c r="W2486" s="6"/>
    </row>
    <row r="2487" spans="13:23">
      <c r="M2487" s="9"/>
      <c r="W2487" s="6"/>
    </row>
    <row r="2488" spans="13:23">
      <c r="M2488" s="9"/>
      <c r="W2488" s="6"/>
    </row>
    <row r="2489" spans="13:23">
      <c r="M2489" s="9"/>
      <c r="W2489" s="6"/>
    </row>
    <row r="2490" spans="13:23">
      <c r="M2490" s="9"/>
      <c r="W2490" s="6"/>
    </row>
    <row r="2491" spans="13:23">
      <c r="M2491" s="9"/>
      <c r="W2491" s="6"/>
    </row>
    <row r="2492" spans="13:23">
      <c r="M2492" s="9"/>
      <c r="W2492" s="6"/>
    </row>
    <row r="2493" spans="13:23">
      <c r="M2493" s="9"/>
      <c r="W2493" s="6"/>
    </row>
    <row r="2494" spans="13:23">
      <c r="M2494" s="9"/>
      <c r="W2494" s="6"/>
    </row>
    <row r="2495" spans="13:23">
      <c r="M2495" s="9"/>
      <c r="W2495" s="6"/>
    </row>
    <row r="2496" spans="13:23">
      <c r="M2496" s="9"/>
      <c r="W2496" s="6"/>
    </row>
    <row r="2497" spans="13:23">
      <c r="M2497" s="9"/>
      <c r="W2497" s="6"/>
    </row>
    <row r="2498" spans="13:23">
      <c r="M2498" s="9"/>
      <c r="W2498" s="6"/>
    </row>
    <row r="2499" spans="13:23">
      <c r="M2499" s="9"/>
      <c r="W2499" s="6"/>
    </row>
    <row r="2500" spans="13:23">
      <c r="M2500" s="9"/>
      <c r="W2500" s="6"/>
    </row>
    <row r="2501" spans="13:23">
      <c r="M2501" s="9"/>
      <c r="W2501" s="6"/>
    </row>
    <row r="2502" spans="13:23">
      <c r="M2502" s="9"/>
      <c r="W2502" s="6"/>
    </row>
    <row r="2503" spans="13:23">
      <c r="M2503" s="9"/>
      <c r="W2503" s="6"/>
    </row>
    <row r="2504" spans="13:23">
      <c r="M2504" s="9"/>
      <c r="W2504" s="6"/>
    </row>
    <row r="2505" spans="13:23">
      <c r="M2505" s="9"/>
      <c r="W2505" s="6"/>
    </row>
    <row r="2506" spans="13:23">
      <c r="M2506" s="9"/>
      <c r="W2506" s="6"/>
    </row>
    <row r="2507" spans="13:23">
      <c r="M2507" s="9"/>
      <c r="W2507" s="6"/>
    </row>
    <row r="2508" spans="13:23">
      <c r="M2508" s="9"/>
      <c r="W2508" s="6"/>
    </row>
    <row r="2509" spans="13:23">
      <c r="M2509" s="9"/>
      <c r="W2509" s="6"/>
    </row>
    <row r="2510" spans="13:23">
      <c r="M2510" s="9"/>
      <c r="W2510" s="6"/>
    </row>
    <row r="2511" spans="13:23">
      <c r="M2511" s="9"/>
      <c r="W2511" s="6"/>
    </row>
    <row r="2512" spans="13:23">
      <c r="M2512" s="9"/>
      <c r="W2512" s="6"/>
    </row>
    <row r="2513" spans="13:23">
      <c r="M2513" s="9"/>
      <c r="W2513" s="6"/>
    </row>
    <row r="2514" spans="13:23">
      <c r="M2514" s="9"/>
      <c r="W2514" s="6"/>
    </row>
    <row r="2515" spans="13:23">
      <c r="M2515" s="9"/>
      <c r="W2515" s="6"/>
    </row>
    <row r="2516" spans="13:23">
      <c r="M2516" s="9"/>
      <c r="W2516" s="6"/>
    </row>
    <row r="2517" spans="13:23">
      <c r="M2517" s="9"/>
      <c r="W2517" s="6"/>
    </row>
    <row r="2518" spans="13:23">
      <c r="M2518" s="9"/>
      <c r="W2518" s="6"/>
    </row>
    <row r="2519" spans="13:23">
      <c r="M2519" s="9"/>
      <c r="W2519" s="6"/>
    </row>
    <row r="2520" spans="13:23">
      <c r="M2520" s="9"/>
      <c r="W2520" s="6"/>
    </row>
    <row r="2521" spans="13:23">
      <c r="M2521" s="9"/>
      <c r="W2521" s="6"/>
    </row>
    <row r="2522" spans="13:23">
      <c r="M2522" s="9"/>
      <c r="W2522" s="6"/>
    </row>
    <row r="2523" spans="13:23">
      <c r="M2523" s="9"/>
      <c r="W2523" s="6"/>
    </row>
    <row r="2524" spans="13:23">
      <c r="M2524" s="9"/>
      <c r="W2524" s="6"/>
    </row>
    <row r="2525" spans="13:23">
      <c r="M2525" s="9"/>
      <c r="W2525" s="6"/>
    </row>
    <row r="2526" spans="13:23">
      <c r="M2526" s="9"/>
      <c r="W2526" s="6"/>
    </row>
    <row r="2527" spans="13:23">
      <c r="M2527" s="9"/>
      <c r="W2527" s="6"/>
    </row>
    <row r="2528" spans="13:23">
      <c r="M2528" s="9"/>
      <c r="W2528" s="6"/>
    </row>
    <row r="2529" spans="13:23">
      <c r="M2529" s="9"/>
      <c r="W2529" s="6"/>
    </row>
    <row r="2530" spans="13:23">
      <c r="M2530" s="9"/>
      <c r="W2530" s="6"/>
    </row>
    <row r="2531" spans="13:23">
      <c r="M2531" s="9"/>
      <c r="W2531" s="6"/>
    </row>
    <row r="2532" spans="13:23">
      <c r="M2532" s="9"/>
      <c r="W2532" s="6"/>
    </row>
    <row r="2533" spans="13:23">
      <c r="M2533" s="9"/>
      <c r="W2533" s="6"/>
    </row>
    <row r="2534" spans="13:23">
      <c r="M2534" s="9"/>
      <c r="W2534" s="6"/>
    </row>
    <row r="2535" spans="13:23">
      <c r="M2535" s="9"/>
      <c r="W2535" s="6"/>
    </row>
    <row r="2536" spans="13:23">
      <c r="M2536" s="9"/>
      <c r="W2536" s="6"/>
    </row>
    <row r="2537" spans="13:23">
      <c r="M2537" s="9"/>
      <c r="W2537" s="6"/>
    </row>
    <row r="2538" spans="13:23">
      <c r="M2538" s="9"/>
      <c r="W2538" s="6"/>
    </row>
    <row r="2539" spans="13:23">
      <c r="M2539" s="9"/>
      <c r="W2539" s="6"/>
    </row>
    <row r="2540" spans="13:23">
      <c r="M2540" s="9"/>
      <c r="W2540" s="6"/>
    </row>
    <row r="2541" spans="13:23">
      <c r="M2541" s="9"/>
      <c r="W2541" s="6"/>
    </row>
    <row r="2542" spans="13:23">
      <c r="M2542" s="9"/>
      <c r="W2542" s="6"/>
    </row>
    <row r="2543" spans="13:23">
      <c r="M2543" s="9"/>
      <c r="W2543" s="6"/>
    </row>
    <row r="2544" spans="13:23">
      <c r="M2544" s="9"/>
      <c r="W2544" s="6"/>
    </row>
    <row r="2545" spans="13:23">
      <c r="M2545" s="9"/>
      <c r="W2545" s="6"/>
    </row>
    <row r="2546" spans="13:23">
      <c r="M2546" s="9"/>
      <c r="W2546" s="6"/>
    </row>
    <row r="2547" spans="13:23">
      <c r="M2547" s="9"/>
      <c r="W2547" s="6"/>
    </row>
    <row r="2548" spans="13:23">
      <c r="M2548" s="9"/>
      <c r="W2548" s="6"/>
    </row>
    <row r="2549" spans="13:23">
      <c r="M2549" s="9"/>
      <c r="W2549" s="6"/>
    </row>
    <row r="2550" spans="13:23">
      <c r="M2550" s="9"/>
      <c r="W2550" s="6"/>
    </row>
    <row r="2551" spans="13:23">
      <c r="M2551" s="9"/>
      <c r="W2551" s="6"/>
    </row>
    <row r="2552" spans="13:23">
      <c r="M2552" s="9"/>
      <c r="W2552" s="6"/>
    </row>
    <row r="2553" spans="13:23">
      <c r="M2553" s="9"/>
      <c r="W2553" s="6"/>
    </row>
    <row r="2554" spans="13:23">
      <c r="M2554" s="9"/>
      <c r="W2554" s="6"/>
    </row>
    <row r="2555" spans="13:23">
      <c r="M2555" s="9"/>
      <c r="W2555" s="6"/>
    </row>
    <row r="2556" spans="13:23">
      <c r="M2556" s="9"/>
      <c r="W2556" s="6"/>
    </row>
    <row r="2557" spans="13:23">
      <c r="M2557" s="9"/>
      <c r="W2557" s="6"/>
    </row>
    <row r="2558" spans="13:23">
      <c r="M2558" s="9"/>
      <c r="W2558" s="6"/>
    </row>
    <row r="2559" spans="13:23">
      <c r="M2559" s="9"/>
      <c r="W2559" s="6"/>
    </row>
    <row r="2560" spans="13:23">
      <c r="M2560" s="9"/>
      <c r="W2560" s="6"/>
    </row>
    <row r="2561" spans="13:23">
      <c r="M2561" s="9"/>
      <c r="W2561" s="6"/>
    </row>
    <row r="2562" spans="13:23">
      <c r="M2562" s="9"/>
      <c r="W2562" s="6"/>
    </row>
    <row r="2563" spans="13:23">
      <c r="M2563" s="9"/>
      <c r="W2563" s="6"/>
    </row>
    <row r="2564" spans="13:23">
      <c r="M2564" s="9"/>
      <c r="W2564" s="6"/>
    </row>
    <row r="2565" spans="13:23">
      <c r="M2565" s="9"/>
      <c r="W2565" s="6"/>
    </row>
    <row r="2566" spans="13:23">
      <c r="M2566" s="9"/>
      <c r="W2566" s="6"/>
    </row>
    <row r="2567" spans="13:23">
      <c r="M2567" s="9"/>
      <c r="W2567" s="6"/>
    </row>
    <row r="2568" spans="13:23">
      <c r="M2568" s="9"/>
      <c r="W2568" s="6"/>
    </row>
    <row r="2569" spans="13:23">
      <c r="M2569" s="9"/>
      <c r="W2569" s="6"/>
    </row>
    <row r="2570" spans="13:23">
      <c r="M2570" s="9"/>
      <c r="W2570" s="6"/>
    </row>
    <row r="2571" spans="13:23">
      <c r="M2571" s="9"/>
      <c r="W2571" s="6"/>
    </row>
    <row r="2572" spans="13:23">
      <c r="M2572" s="9"/>
      <c r="W2572" s="6"/>
    </row>
    <row r="2573" spans="13:23">
      <c r="M2573" s="9"/>
      <c r="W2573" s="6"/>
    </row>
    <row r="2574" spans="13:23">
      <c r="M2574" s="9"/>
      <c r="W2574" s="6"/>
    </row>
    <row r="2575" spans="13:23">
      <c r="M2575" s="9"/>
      <c r="W2575" s="6"/>
    </row>
    <row r="2576" spans="13:23">
      <c r="M2576" s="9"/>
      <c r="W2576" s="6"/>
    </row>
    <row r="2577" spans="13:23">
      <c r="M2577" s="9"/>
      <c r="W2577" s="6"/>
    </row>
    <row r="2578" spans="13:23">
      <c r="M2578" s="9"/>
      <c r="W2578" s="6"/>
    </row>
    <row r="2579" spans="13:23">
      <c r="M2579" s="9"/>
      <c r="W2579" s="6"/>
    </row>
    <row r="2580" spans="13:23">
      <c r="M2580" s="9"/>
      <c r="W2580" s="6"/>
    </row>
    <row r="2581" spans="13:23">
      <c r="M2581" s="9"/>
      <c r="W2581" s="6"/>
    </row>
    <row r="2582" spans="13:23">
      <c r="M2582" s="9"/>
      <c r="W2582" s="6"/>
    </row>
    <row r="2583" spans="13:23">
      <c r="M2583" s="9"/>
      <c r="W2583" s="6"/>
    </row>
    <row r="2584" spans="13:23">
      <c r="M2584" s="9"/>
      <c r="W2584" s="6"/>
    </row>
    <row r="2585" spans="13:23">
      <c r="M2585" s="9"/>
      <c r="W2585" s="6"/>
    </row>
    <row r="2586" spans="13:23">
      <c r="M2586" s="9"/>
      <c r="W2586" s="6"/>
    </row>
    <row r="2587" spans="13:23">
      <c r="M2587" s="9"/>
      <c r="W2587" s="6"/>
    </row>
    <row r="2588" spans="13:23">
      <c r="M2588" s="9"/>
      <c r="W2588" s="6"/>
    </row>
    <row r="2589" spans="13:23">
      <c r="M2589" s="9"/>
      <c r="W2589" s="6"/>
    </row>
    <row r="2590" spans="13:23">
      <c r="M2590" s="9"/>
      <c r="W2590" s="6"/>
    </row>
    <row r="2591" spans="13:23">
      <c r="M2591" s="9"/>
      <c r="W2591" s="6"/>
    </row>
    <row r="2592" spans="13:23">
      <c r="M2592" s="9"/>
      <c r="W2592" s="6"/>
    </row>
    <row r="2593" spans="13:23">
      <c r="M2593" s="9"/>
      <c r="W2593" s="6"/>
    </row>
    <row r="2594" spans="13:23">
      <c r="M2594" s="9"/>
      <c r="W2594" s="6"/>
    </row>
    <row r="2595" spans="13:23">
      <c r="M2595" s="9"/>
      <c r="W2595" s="6"/>
    </row>
    <row r="2596" spans="13:23">
      <c r="M2596" s="9"/>
      <c r="W2596" s="6"/>
    </row>
    <row r="2597" spans="13:23">
      <c r="M2597" s="9"/>
      <c r="W2597" s="6"/>
    </row>
    <row r="2598" spans="13:23">
      <c r="M2598" s="9"/>
      <c r="W2598" s="6"/>
    </row>
    <row r="2599" spans="13:23">
      <c r="M2599" s="9"/>
      <c r="W2599" s="6"/>
    </row>
    <row r="2600" spans="13:23">
      <c r="M2600" s="9"/>
      <c r="W2600" s="6"/>
    </row>
    <row r="2601" spans="13:23">
      <c r="M2601" s="9"/>
      <c r="W2601" s="6"/>
    </row>
    <row r="2602" spans="13:23">
      <c r="M2602" s="9"/>
      <c r="W2602" s="6"/>
    </row>
    <row r="2603" spans="13:23">
      <c r="M2603" s="9"/>
      <c r="W2603" s="6"/>
    </row>
    <row r="2604" spans="13:23">
      <c r="M2604" s="9"/>
      <c r="W2604" s="6"/>
    </row>
    <row r="2605" spans="13:23">
      <c r="M2605" s="9"/>
      <c r="W2605" s="6"/>
    </row>
    <row r="2606" spans="13:23">
      <c r="M2606" s="9"/>
      <c r="W2606" s="6"/>
    </row>
    <row r="2607" spans="13:23">
      <c r="M2607" s="9"/>
      <c r="W2607" s="6"/>
    </row>
    <row r="2608" spans="13:23">
      <c r="M2608" s="9"/>
      <c r="W2608" s="6"/>
    </row>
    <row r="2609" spans="13:23">
      <c r="M2609" s="9"/>
      <c r="W2609" s="6"/>
    </row>
    <row r="2610" spans="13:23">
      <c r="M2610" s="9"/>
      <c r="W2610" s="6"/>
    </row>
    <row r="2611" spans="13:23">
      <c r="M2611" s="9"/>
      <c r="W2611" s="6"/>
    </row>
    <row r="2612" spans="13:23">
      <c r="M2612" s="9"/>
      <c r="W2612" s="6"/>
    </row>
    <row r="2613" spans="13:23">
      <c r="M2613" s="9"/>
      <c r="W2613" s="6"/>
    </row>
    <row r="2614" spans="13:23">
      <c r="M2614" s="9"/>
      <c r="W2614" s="6"/>
    </row>
    <row r="2615" spans="13:23">
      <c r="M2615" s="9"/>
      <c r="W2615" s="6"/>
    </row>
    <row r="2616" spans="13:23">
      <c r="M2616" s="9"/>
      <c r="W2616" s="6"/>
    </row>
    <row r="2617" spans="13:23">
      <c r="M2617" s="9"/>
      <c r="W2617" s="6"/>
    </row>
    <row r="2618" spans="13:23">
      <c r="M2618" s="9"/>
      <c r="W2618" s="6"/>
    </row>
    <row r="2619" spans="13:23">
      <c r="M2619" s="9"/>
      <c r="W2619" s="6"/>
    </row>
    <row r="2620" spans="13:23">
      <c r="M2620" s="9"/>
      <c r="W2620" s="6"/>
    </row>
    <row r="2621" spans="13:23">
      <c r="M2621" s="9"/>
      <c r="W2621" s="6"/>
    </row>
    <row r="2622" spans="13:23">
      <c r="M2622" s="9"/>
      <c r="W2622" s="6"/>
    </row>
    <row r="2623" spans="13:23">
      <c r="M2623" s="9"/>
      <c r="W2623" s="6"/>
    </row>
    <row r="2624" spans="13:23">
      <c r="M2624" s="9"/>
      <c r="W2624" s="6"/>
    </row>
    <row r="2625" spans="13:23">
      <c r="M2625" s="9"/>
      <c r="W2625" s="6"/>
    </row>
    <row r="2626" spans="13:23">
      <c r="M2626" s="9"/>
      <c r="W2626" s="6"/>
    </row>
    <row r="2627" spans="13:23">
      <c r="M2627" s="9"/>
      <c r="W2627" s="6"/>
    </row>
    <row r="2628" spans="13:23">
      <c r="M2628" s="9"/>
      <c r="W2628" s="6"/>
    </row>
    <row r="2629" spans="13:23">
      <c r="M2629" s="9"/>
      <c r="W2629" s="6"/>
    </row>
    <row r="2630" spans="13:23">
      <c r="M2630" s="9"/>
      <c r="W2630" s="6"/>
    </row>
    <row r="2631" spans="13:23">
      <c r="M2631" s="9"/>
      <c r="W2631" s="6"/>
    </row>
    <row r="2632" spans="13:23">
      <c r="M2632" s="9"/>
      <c r="W2632" s="6"/>
    </row>
    <row r="2633" spans="13:23">
      <c r="M2633" s="9"/>
      <c r="W2633" s="6"/>
    </row>
    <row r="2634" spans="13:23">
      <c r="M2634" s="9"/>
      <c r="W2634" s="6"/>
    </row>
    <row r="2635" spans="13:23">
      <c r="M2635" s="9"/>
      <c r="W2635" s="6"/>
    </row>
    <row r="2636" spans="13:23">
      <c r="M2636" s="9"/>
      <c r="W2636" s="6"/>
    </row>
    <row r="2637" spans="13:23">
      <c r="M2637" s="9"/>
      <c r="W2637" s="6"/>
    </row>
    <row r="2638" spans="13:23">
      <c r="M2638" s="9"/>
      <c r="W2638" s="6"/>
    </row>
    <row r="2639" spans="13:23">
      <c r="M2639" s="9"/>
      <c r="W2639" s="6"/>
    </row>
    <row r="2640" spans="13:23">
      <c r="M2640" s="9"/>
      <c r="W2640" s="6"/>
    </row>
    <row r="2641" spans="13:23">
      <c r="M2641" s="9"/>
      <c r="W2641" s="6"/>
    </row>
    <row r="2642" spans="13:23">
      <c r="M2642" s="9"/>
      <c r="W2642" s="6"/>
    </row>
    <row r="2643" spans="13:23">
      <c r="M2643" s="9"/>
      <c r="W2643" s="6"/>
    </row>
    <row r="2644" spans="13:23">
      <c r="M2644" s="9"/>
      <c r="W2644" s="6"/>
    </row>
    <row r="2645" spans="13:23">
      <c r="M2645" s="9"/>
      <c r="W2645" s="6"/>
    </row>
    <row r="2646" spans="13:23">
      <c r="M2646" s="9"/>
      <c r="W2646" s="6"/>
    </row>
    <row r="2647" spans="13:23">
      <c r="M2647" s="9"/>
      <c r="W2647" s="6"/>
    </row>
    <row r="2648" spans="13:23">
      <c r="M2648" s="9"/>
      <c r="W2648" s="6"/>
    </row>
    <row r="2649" spans="13:23">
      <c r="M2649" s="9"/>
      <c r="W2649" s="6"/>
    </row>
    <row r="2650" spans="13:23">
      <c r="M2650" s="9"/>
      <c r="W2650" s="6"/>
    </row>
    <row r="2651" spans="13:23">
      <c r="M2651" s="9"/>
      <c r="W2651" s="6"/>
    </row>
    <row r="2652" spans="13:23">
      <c r="M2652" s="9"/>
      <c r="W2652" s="6"/>
    </row>
    <row r="2653" spans="13:23">
      <c r="M2653" s="9"/>
      <c r="W2653" s="6"/>
    </row>
    <row r="2654" spans="13:23">
      <c r="M2654" s="9"/>
      <c r="W2654" s="6"/>
    </row>
    <row r="2655" spans="13:23">
      <c r="M2655" s="9"/>
      <c r="W2655" s="6"/>
    </row>
    <row r="2656" spans="13:23">
      <c r="M2656" s="9"/>
      <c r="W2656" s="6"/>
    </row>
    <row r="2657" spans="13:23">
      <c r="M2657" s="9"/>
      <c r="W2657" s="6"/>
    </row>
    <row r="2658" spans="13:23">
      <c r="M2658" s="9"/>
      <c r="W2658" s="6"/>
    </row>
    <row r="2659" spans="13:23">
      <c r="M2659" s="9"/>
      <c r="W2659" s="6"/>
    </row>
    <row r="2660" spans="13:23">
      <c r="M2660" s="9"/>
      <c r="W2660" s="6"/>
    </row>
    <row r="2661" spans="13:23">
      <c r="M2661" s="9"/>
      <c r="W2661" s="6"/>
    </row>
    <row r="2662" spans="13:23">
      <c r="M2662" s="9"/>
      <c r="W2662" s="6"/>
    </row>
    <row r="2663" spans="13:23">
      <c r="M2663" s="9"/>
      <c r="W2663" s="6"/>
    </row>
    <row r="2664" spans="13:23">
      <c r="M2664" s="9"/>
      <c r="W2664" s="6"/>
    </row>
    <row r="2665" spans="13:23">
      <c r="M2665" s="9"/>
      <c r="W2665" s="6"/>
    </row>
    <row r="2666" spans="13:23">
      <c r="M2666" s="9"/>
      <c r="W2666" s="6"/>
    </row>
    <row r="2667" spans="13:23">
      <c r="M2667" s="9"/>
      <c r="W2667" s="6"/>
    </row>
    <row r="2668" spans="13:23">
      <c r="M2668" s="9"/>
      <c r="W2668" s="6"/>
    </row>
    <row r="2669" spans="13:23">
      <c r="M2669" s="9"/>
      <c r="W2669" s="6"/>
    </row>
    <row r="2670" spans="13:23">
      <c r="M2670" s="9"/>
      <c r="W2670" s="6"/>
    </row>
    <row r="2671" spans="13:23">
      <c r="M2671" s="9"/>
      <c r="W2671" s="6"/>
    </row>
    <row r="2672" spans="13:23">
      <c r="M2672" s="9"/>
      <c r="W2672" s="6"/>
    </row>
    <row r="2673" spans="13:23">
      <c r="M2673" s="9"/>
      <c r="W2673" s="6"/>
    </row>
    <row r="2674" spans="13:23">
      <c r="M2674" s="9"/>
      <c r="W2674" s="6"/>
    </row>
    <row r="2675" spans="13:23">
      <c r="M2675" s="9"/>
      <c r="W2675" s="6"/>
    </row>
    <row r="2676" spans="13:23">
      <c r="M2676" s="9"/>
      <c r="W2676" s="6"/>
    </row>
    <row r="2677" spans="13:23">
      <c r="M2677" s="9"/>
      <c r="W2677" s="6"/>
    </row>
    <row r="2678" spans="13:23">
      <c r="M2678" s="9"/>
      <c r="W2678" s="6"/>
    </row>
    <row r="2679" spans="13:23">
      <c r="M2679" s="9"/>
      <c r="W2679" s="6"/>
    </row>
    <row r="2680" spans="13:23">
      <c r="M2680" s="9"/>
      <c r="W2680" s="6"/>
    </row>
    <row r="2681" spans="13:23">
      <c r="M2681" s="9"/>
      <c r="W2681" s="6"/>
    </row>
    <row r="2682" spans="13:23">
      <c r="M2682" s="9"/>
      <c r="W2682" s="6"/>
    </row>
    <row r="2683" spans="13:23">
      <c r="M2683" s="9"/>
      <c r="W2683" s="6"/>
    </row>
    <row r="2684" spans="13:23">
      <c r="M2684" s="9"/>
      <c r="W2684" s="6"/>
    </row>
    <row r="2685" spans="13:23">
      <c r="M2685" s="9"/>
      <c r="W2685" s="6"/>
    </row>
    <row r="2686" spans="13:23">
      <c r="M2686" s="9"/>
      <c r="W2686" s="6"/>
    </row>
    <row r="2687" spans="13:23">
      <c r="M2687" s="9"/>
      <c r="W2687" s="6"/>
    </row>
    <row r="2688" spans="13:23">
      <c r="M2688" s="9"/>
      <c r="W2688" s="6"/>
    </row>
    <row r="2689" spans="13:23">
      <c r="M2689" s="9"/>
      <c r="W2689" s="6"/>
    </row>
    <row r="2690" spans="13:23">
      <c r="M2690" s="9"/>
      <c r="W2690" s="6"/>
    </row>
    <row r="2691" spans="13:23">
      <c r="M2691" s="9"/>
      <c r="W2691" s="6"/>
    </row>
    <row r="2692" spans="13:23">
      <c r="M2692" s="9"/>
      <c r="W2692" s="6"/>
    </row>
    <row r="2693" spans="13:23">
      <c r="M2693" s="9"/>
      <c r="W2693" s="6"/>
    </row>
    <row r="2694" spans="13:23">
      <c r="M2694" s="9"/>
      <c r="W2694" s="6"/>
    </row>
    <row r="2695" spans="13:23">
      <c r="M2695" s="9"/>
      <c r="W2695" s="6"/>
    </row>
    <row r="2696" spans="13:23">
      <c r="M2696" s="9"/>
      <c r="W2696" s="6"/>
    </row>
    <row r="2697" spans="13:23">
      <c r="M2697" s="9"/>
      <c r="W2697" s="6"/>
    </row>
    <row r="2698" spans="13:23">
      <c r="M2698" s="9"/>
      <c r="W2698" s="6"/>
    </row>
    <row r="2699" spans="13:23">
      <c r="M2699" s="9"/>
      <c r="W2699" s="6"/>
    </row>
    <row r="2700" spans="13:23">
      <c r="M2700" s="9"/>
      <c r="W2700" s="6"/>
    </row>
    <row r="2701" spans="13:23">
      <c r="M2701" s="9"/>
      <c r="W2701" s="6"/>
    </row>
    <row r="2702" spans="13:23">
      <c r="M2702" s="9"/>
      <c r="W2702" s="6"/>
    </row>
    <row r="2703" spans="13:23">
      <c r="M2703" s="9"/>
      <c r="W2703" s="6"/>
    </row>
    <row r="2704" spans="13:23">
      <c r="M2704" s="9"/>
      <c r="W2704" s="6"/>
    </row>
    <row r="2705" spans="13:23">
      <c r="M2705" s="9"/>
      <c r="W2705" s="6"/>
    </row>
    <row r="2706" spans="13:23">
      <c r="M2706" s="9"/>
      <c r="W2706" s="6"/>
    </row>
    <row r="2707" spans="13:23">
      <c r="M2707" s="9"/>
      <c r="W2707" s="6"/>
    </row>
    <row r="2708" spans="13:23">
      <c r="M2708" s="9"/>
      <c r="W2708" s="6"/>
    </row>
    <row r="2709" spans="13:23">
      <c r="M2709" s="9"/>
      <c r="W2709" s="6"/>
    </row>
    <row r="2710" spans="13:23">
      <c r="M2710" s="9"/>
      <c r="W2710" s="6"/>
    </row>
    <row r="2711" spans="13:23">
      <c r="M2711" s="9"/>
      <c r="W2711" s="6"/>
    </row>
    <row r="2712" spans="13:23">
      <c r="M2712" s="9"/>
      <c r="W2712" s="6"/>
    </row>
    <row r="2713" spans="13:23">
      <c r="M2713" s="9"/>
      <c r="W2713" s="6"/>
    </row>
    <row r="2714" spans="13:23">
      <c r="M2714" s="9"/>
      <c r="W2714" s="6"/>
    </row>
    <row r="2715" spans="13:23">
      <c r="M2715" s="9"/>
      <c r="W2715" s="6"/>
    </row>
    <row r="2716" spans="13:23">
      <c r="M2716" s="9"/>
      <c r="W2716" s="6"/>
    </row>
    <row r="2717" spans="13:23">
      <c r="M2717" s="9"/>
      <c r="W2717" s="6"/>
    </row>
    <row r="2718" spans="13:23">
      <c r="M2718" s="9"/>
      <c r="W2718" s="6"/>
    </row>
    <row r="2719" spans="13:23">
      <c r="M2719" s="9"/>
      <c r="W2719" s="6"/>
    </row>
    <row r="2720" spans="13:23">
      <c r="M2720" s="9"/>
      <c r="W2720" s="6"/>
    </row>
    <row r="2721" spans="13:23">
      <c r="M2721" s="9"/>
      <c r="W2721" s="6"/>
    </row>
    <row r="2722" spans="13:23">
      <c r="M2722" s="9"/>
      <c r="W2722" s="6"/>
    </row>
    <row r="2723" spans="13:23">
      <c r="M2723" s="9"/>
      <c r="W2723" s="6"/>
    </row>
    <row r="2724" spans="13:23">
      <c r="M2724" s="9"/>
      <c r="W2724" s="6"/>
    </row>
    <row r="2725" spans="13:23">
      <c r="M2725" s="9"/>
      <c r="W2725" s="6"/>
    </row>
    <row r="2726" spans="13:23">
      <c r="M2726" s="9"/>
      <c r="W2726" s="6"/>
    </row>
    <row r="2727" spans="13:23">
      <c r="M2727" s="9"/>
      <c r="W2727" s="6"/>
    </row>
    <row r="2728" spans="13:23">
      <c r="M2728" s="9"/>
      <c r="W2728" s="6"/>
    </row>
    <row r="2729" spans="13:23">
      <c r="M2729" s="9"/>
      <c r="W2729" s="6"/>
    </row>
    <row r="2730" spans="13:23">
      <c r="M2730" s="9"/>
      <c r="W2730" s="6"/>
    </row>
    <row r="2731" spans="13:23">
      <c r="M2731" s="9"/>
      <c r="W2731" s="6"/>
    </row>
    <row r="2732" spans="13:23">
      <c r="M2732" s="9"/>
      <c r="W2732" s="6"/>
    </row>
    <row r="2733" spans="13:23">
      <c r="M2733" s="9"/>
      <c r="W2733" s="6"/>
    </row>
    <row r="2734" spans="13:23">
      <c r="M2734" s="9"/>
      <c r="W2734" s="6"/>
    </row>
    <row r="2735" spans="13:23">
      <c r="M2735" s="9"/>
      <c r="W2735" s="6"/>
    </row>
    <row r="2736" spans="13:23">
      <c r="M2736" s="9"/>
      <c r="W2736" s="6"/>
    </row>
    <row r="2737" spans="13:23">
      <c r="M2737" s="9"/>
      <c r="W2737" s="6"/>
    </row>
    <row r="2738" spans="13:23">
      <c r="M2738" s="9"/>
      <c r="W2738" s="6"/>
    </row>
    <row r="2739" spans="13:23">
      <c r="M2739" s="9"/>
      <c r="W2739" s="6"/>
    </row>
    <row r="2740" spans="13:23">
      <c r="M2740" s="9"/>
      <c r="W2740" s="6"/>
    </row>
    <row r="2741" spans="13:23">
      <c r="M2741" s="9"/>
      <c r="W2741" s="6"/>
    </row>
    <row r="2742" spans="13:23">
      <c r="M2742" s="9"/>
      <c r="W2742" s="6"/>
    </row>
    <row r="2743" spans="13:23">
      <c r="M2743" s="9"/>
      <c r="W2743" s="6"/>
    </row>
    <row r="2744" spans="13:23">
      <c r="M2744" s="9"/>
      <c r="W2744" s="6"/>
    </row>
    <row r="2745" spans="13:23">
      <c r="M2745" s="9"/>
      <c r="W2745" s="6"/>
    </row>
    <row r="2746" spans="13:23">
      <c r="M2746" s="9"/>
      <c r="W2746" s="6"/>
    </row>
    <row r="2747" spans="13:23">
      <c r="M2747" s="9"/>
      <c r="W2747" s="6"/>
    </row>
    <row r="2748" spans="13:23">
      <c r="M2748" s="9"/>
      <c r="W2748" s="6"/>
    </row>
    <row r="2749" spans="13:23">
      <c r="M2749" s="9"/>
      <c r="W2749" s="6"/>
    </row>
    <row r="2750" spans="13:23">
      <c r="M2750" s="9"/>
      <c r="W2750" s="6"/>
    </row>
    <row r="2751" spans="13:23">
      <c r="M2751" s="9"/>
      <c r="W2751" s="6"/>
    </row>
    <row r="2752" spans="13:23">
      <c r="M2752" s="9"/>
      <c r="W2752" s="6"/>
    </row>
    <row r="2753" spans="13:23">
      <c r="M2753" s="9"/>
      <c r="W2753" s="6"/>
    </row>
    <row r="2754" spans="13:23">
      <c r="M2754" s="9"/>
      <c r="W2754" s="6"/>
    </row>
    <row r="2755" spans="13:23">
      <c r="M2755" s="9"/>
      <c r="W2755" s="6"/>
    </row>
    <row r="2756" spans="13:23">
      <c r="M2756" s="9"/>
      <c r="W2756" s="6"/>
    </row>
    <row r="2757" spans="13:23">
      <c r="M2757" s="9"/>
      <c r="W2757" s="6"/>
    </row>
    <row r="2758" spans="13:23">
      <c r="M2758" s="9"/>
      <c r="W2758" s="6"/>
    </row>
    <row r="2759" spans="13:23">
      <c r="M2759" s="9"/>
      <c r="W2759" s="6"/>
    </row>
    <row r="2760" spans="13:23">
      <c r="M2760" s="9"/>
      <c r="W2760" s="6"/>
    </row>
    <row r="2761" spans="13:23">
      <c r="M2761" s="9"/>
      <c r="W2761" s="6"/>
    </row>
    <row r="2762" spans="13:23">
      <c r="M2762" s="9"/>
      <c r="W2762" s="6"/>
    </row>
    <row r="2763" spans="13:23">
      <c r="M2763" s="9"/>
      <c r="W2763" s="6"/>
    </row>
    <row r="2764" spans="13:23">
      <c r="M2764" s="9"/>
      <c r="W2764" s="6"/>
    </row>
    <row r="2765" spans="13:23">
      <c r="M2765" s="9"/>
      <c r="W2765" s="6"/>
    </row>
    <row r="2766" spans="13:23">
      <c r="M2766" s="9"/>
      <c r="W2766" s="6"/>
    </row>
    <row r="2767" spans="13:23">
      <c r="M2767" s="9"/>
      <c r="W2767" s="6"/>
    </row>
    <row r="2768" spans="13:23">
      <c r="M2768" s="9"/>
      <c r="W2768" s="6"/>
    </row>
    <row r="2769" spans="13:23">
      <c r="M2769" s="9"/>
      <c r="W2769" s="6"/>
    </row>
    <row r="2770" spans="13:23">
      <c r="M2770" s="9"/>
      <c r="W2770" s="6"/>
    </row>
    <row r="2771" spans="13:23">
      <c r="M2771" s="9"/>
      <c r="W2771" s="6"/>
    </row>
    <row r="2772" spans="13:23">
      <c r="M2772" s="9"/>
      <c r="W2772" s="6"/>
    </row>
    <row r="2773" spans="13:23">
      <c r="M2773" s="9"/>
      <c r="W2773" s="6"/>
    </row>
    <row r="2774" spans="13:23">
      <c r="M2774" s="9"/>
      <c r="W2774" s="6"/>
    </row>
    <row r="2775" spans="13:23">
      <c r="M2775" s="9"/>
      <c r="W2775" s="6"/>
    </row>
    <row r="2776" spans="13:23">
      <c r="M2776" s="9"/>
      <c r="W2776" s="6"/>
    </row>
    <row r="2777" spans="13:23">
      <c r="M2777" s="9"/>
      <c r="W2777" s="6"/>
    </row>
    <row r="2778" spans="13:23">
      <c r="M2778" s="9"/>
      <c r="W2778" s="6"/>
    </row>
    <row r="2779" spans="13:23">
      <c r="M2779" s="9"/>
      <c r="W2779" s="6"/>
    </row>
    <row r="2780" spans="13:23">
      <c r="M2780" s="9"/>
      <c r="W2780" s="6"/>
    </row>
    <row r="2781" spans="13:23">
      <c r="M2781" s="9"/>
      <c r="W2781" s="6"/>
    </row>
    <row r="2782" spans="13:23">
      <c r="M2782" s="9"/>
      <c r="W2782" s="6"/>
    </row>
    <row r="2783" spans="13:23">
      <c r="M2783" s="9"/>
      <c r="W2783" s="6"/>
    </row>
    <row r="2784" spans="13:23">
      <c r="M2784" s="9"/>
      <c r="W2784" s="6"/>
    </row>
    <row r="2785" spans="13:23">
      <c r="M2785" s="9"/>
      <c r="W2785" s="6"/>
    </row>
    <row r="2786" spans="13:23">
      <c r="M2786" s="9"/>
      <c r="W2786" s="6"/>
    </row>
    <row r="2787" spans="13:23">
      <c r="M2787" s="9"/>
      <c r="W2787" s="6"/>
    </row>
    <row r="2788" spans="13:23">
      <c r="M2788" s="9"/>
      <c r="W2788" s="6"/>
    </row>
    <row r="2789" spans="13:23">
      <c r="M2789" s="9"/>
      <c r="W2789" s="6"/>
    </row>
    <row r="2790" spans="13:23">
      <c r="M2790" s="9"/>
      <c r="W2790" s="6"/>
    </row>
    <row r="2791" spans="13:23">
      <c r="M2791" s="9"/>
      <c r="W2791" s="6"/>
    </row>
    <row r="2792" spans="13:23">
      <c r="M2792" s="9"/>
      <c r="W2792" s="6"/>
    </row>
    <row r="2793" spans="13:23">
      <c r="M2793" s="9"/>
      <c r="W2793" s="6"/>
    </row>
    <row r="2794" spans="13:23">
      <c r="M2794" s="9"/>
      <c r="W2794" s="6"/>
    </row>
    <row r="2795" spans="13:23">
      <c r="M2795" s="9"/>
      <c r="W2795" s="6"/>
    </row>
    <row r="2796" spans="13:23">
      <c r="M2796" s="9"/>
      <c r="W2796" s="6"/>
    </row>
    <row r="2797" spans="13:23">
      <c r="M2797" s="9"/>
      <c r="W2797" s="6"/>
    </row>
    <row r="2798" spans="13:23">
      <c r="M2798" s="9"/>
      <c r="W2798" s="6"/>
    </row>
    <row r="2799" spans="13:23">
      <c r="M2799" s="9"/>
      <c r="W2799" s="6"/>
    </row>
    <row r="2800" spans="13:23">
      <c r="M2800" s="9"/>
      <c r="W2800" s="6"/>
    </row>
    <row r="2801" spans="13:23">
      <c r="M2801" s="9"/>
      <c r="W2801" s="6"/>
    </row>
    <row r="2802" spans="13:23">
      <c r="M2802" s="9"/>
      <c r="W2802" s="6"/>
    </row>
    <row r="2803" spans="13:23">
      <c r="M2803" s="9"/>
      <c r="W2803" s="6"/>
    </row>
    <row r="2804" spans="13:23">
      <c r="M2804" s="9"/>
      <c r="W2804" s="6"/>
    </row>
    <row r="2805" spans="13:23">
      <c r="M2805" s="9"/>
      <c r="W2805" s="6"/>
    </row>
    <row r="2806" spans="13:23">
      <c r="M2806" s="9"/>
      <c r="W2806" s="6"/>
    </row>
    <row r="2807" spans="13:23">
      <c r="M2807" s="9"/>
      <c r="W2807" s="6"/>
    </row>
    <row r="2808" spans="13:23">
      <c r="M2808" s="9"/>
      <c r="W2808" s="6"/>
    </row>
    <row r="2809" spans="13:23">
      <c r="M2809" s="9"/>
      <c r="W2809" s="6"/>
    </row>
    <row r="2810" spans="13:23">
      <c r="M2810" s="9"/>
      <c r="W2810" s="6"/>
    </row>
    <row r="2811" spans="13:23">
      <c r="M2811" s="9"/>
      <c r="W2811" s="6"/>
    </row>
    <row r="2812" spans="13:23">
      <c r="M2812" s="9"/>
      <c r="W2812" s="6"/>
    </row>
    <row r="2813" spans="13:23">
      <c r="M2813" s="9"/>
      <c r="W2813" s="6"/>
    </row>
    <row r="2814" spans="13:23">
      <c r="M2814" s="9"/>
      <c r="W2814" s="6"/>
    </row>
    <row r="2815" spans="13:23">
      <c r="M2815" s="9"/>
      <c r="W2815" s="6"/>
    </row>
    <row r="2816" spans="13:23">
      <c r="M2816" s="9"/>
      <c r="W2816" s="6"/>
    </row>
    <row r="2817" spans="13:23">
      <c r="M2817" s="9"/>
      <c r="W2817" s="6"/>
    </row>
    <row r="2818" spans="13:23">
      <c r="M2818" s="9"/>
      <c r="W2818" s="6"/>
    </row>
    <row r="2819" spans="13:23">
      <c r="M2819" s="9"/>
      <c r="W2819" s="6"/>
    </row>
    <row r="2820" spans="13:23">
      <c r="M2820" s="9"/>
      <c r="W2820" s="6"/>
    </row>
    <row r="2821" spans="13:23">
      <c r="M2821" s="9"/>
      <c r="W2821" s="6"/>
    </row>
    <row r="2822" spans="13:23">
      <c r="M2822" s="9"/>
      <c r="W2822" s="6"/>
    </row>
    <row r="2823" spans="13:23">
      <c r="M2823" s="9"/>
      <c r="W2823" s="6"/>
    </row>
    <row r="2824" spans="13:23">
      <c r="M2824" s="9"/>
      <c r="W2824" s="6"/>
    </row>
    <row r="2825" spans="13:23">
      <c r="M2825" s="9"/>
      <c r="W2825" s="6"/>
    </row>
    <row r="2826" spans="13:23">
      <c r="M2826" s="9"/>
      <c r="W2826" s="6"/>
    </row>
    <row r="2827" spans="13:23">
      <c r="M2827" s="9"/>
      <c r="W2827" s="6"/>
    </row>
    <row r="2828" spans="13:23">
      <c r="M2828" s="9"/>
      <c r="W2828" s="6"/>
    </row>
    <row r="2829" spans="13:23">
      <c r="M2829" s="9"/>
      <c r="W2829" s="6"/>
    </row>
    <row r="2830" spans="13:23">
      <c r="M2830" s="9"/>
      <c r="W2830" s="6"/>
    </row>
    <row r="2831" spans="13:23">
      <c r="M2831" s="9"/>
      <c r="W2831" s="6"/>
    </row>
    <row r="2832" spans="13:23">
      <c r="M2832" s="9"/>
      <c r="W2832" s="6"/>
    </row>
    <row r="2833" spans="13:23">
      <c r="M2833" s="9"/>
      <c r="W2833" s="6"/>
    </row>
    <row r="2834" spans="13:23">
      <c r="M2834" s="9"/>
      <c r="W2834" s="6"/>
    </row>
    <row r="2835" spans="13:23">
      <c r="M2835" s="9"/>
      <c r="W2835" s="6"/>
    </row>
    <row r="2836" spans="13:23">
      <c r="M2836" s="9"/>
      <c r="W2836" s="6"/>
    </row>
    <row r="2837" spans="13:23">
      <c r="M2837" s="9"/>
      <c r="W2837" s="6"/>
    </row>
    <row r="2838" spans="13:23">
      <c r="M2838" s="9"/>
      <c r="W2838" s="6"/>
    </row>
    <row r="2839" spans="13:23">
      <c r="M2839" s="9"/>
      <c r="W2839" s="6"/>
    </row>
    <row r="2840" spans="13:23">
      <c r="M2840" s="9"/>
      <c r="W2840" s="6"/>
    </row>
    <row r="2841" spans="13:23">
      <c r="M2841" s="9"/>
      <c r="W2841" s="6"/>
    </row>
    <row r="2842" spans="13:23">
      <c r="M2842" s="9"/>
      <c r="W2842" s="6"/>
    </row>
    <row r="2843" spans="13:23">
      <c r="M2843" s="9"/>
      <c r="W2843" s="6"/>
    </row>
    <row r="2844" spans="13:23">
      <c r="M2844" s="9"/>
      <c r="W2844" s="6"/>
    </row>
    <row r="2845" spans="13:23">
      <c r="M2845" s="9"/>
      <c r="W2845" s="6"/>
    </row>
    <row r="2846" spans="13:23">
      <c r="M2846" s="9"/>
      <c r="W2846" s="6"/>
    </row>
    <row r="2847" spans="13:23">
      <c r="M2847" s="9"/>
      <c r="W2847" s="6"/>
    </row>
    <row r="2848" spans="13:23">
      <c r="M2848" s="9"/>
      <c r="W2848" s="6"/>
    </row>
    <row r="2849" spans="13:23">
      <c r="M2849" s="9"/>
      <c r="W2849" s="6"/>
    </row>
    <row r="2850" spans="13:23">
      <c r="M2850" s="9"/>
      <c r="W2850" s="6"/>
    </row>
    <row r="2851" spans="13:23">
      <c r="M2851" s="9"/>
      <c r="W2851" s="6"/>
    </row>
    <row r="2852" spans="13:23">
      <c r="M2852" s="9"/>
      <c r="W2852" s="6"/>
    </row>
    <row r="2853" spans="13:23">
      <c r="M2853" s="9"/>
      <c r="W2853" s="6"/>
    </row>
    <row r="2854" spans="13:23">
      <c r="M2854" s="9"/>
      <c r="W2854" s="6"/>
    </row>
    <row r="2855" spans="13:23">
      <c r="M2855" s="9"/>
      <c r="W2855" s="6"/>
    </row>
    <row r="2856" spans="13:23">
      <c r="M2856" s="9"/>
      <c r="W2856" s="6"/>
    </row>
    <row r="2857" spans="13:23">
      <c r="M2857" s="9"/>
      <c r="W2857" s="6"/>
    </row>
    <row r="2858" spans="13:23">
      <c r="M2858" s="9"/>
      <c r="W2858" s="6"/>
    </row>
    <row r="2859" spans="13:23">
      <c r="M2859" s="9"/>
      <c r="W2859" s="6"/>
    </row>
    <row r="2860" spans="13:23">
      <c r="M2860" s="9"/>
      <c r="W2860" s="6"/>
    </row>
    <row r="2861" spans="13:23">
      <c r="M2861" s="9"/>
      <c r="W2861" s="6"/>
    </row>
    <row r="2862" spans="13:23">
      <c r="M2862" s="9"/>
      <c r="W2862" s="6"/>
    </row>
    <row r="2863" spans="13:23">
      <c r="M2863" s="9"/>
      <c r="W2863" s="6"/>
    </row>
    <row r="2864" spans="13:23">
      <c r="M2864" s="9"/>
      <c r="W2864" s="6"/>
    </row>
    <row r="2865" spans="13:23">
      <c r="M2865" s="9"/>
      <c r="W2865" s="6"/>
    </row>
    <row r="2866" spans="13:23">
      <c r="M2866" s="9"/>
      <c r="W2866" s="6"/>
    </row>
    <row r="2867" spans="13:23">
      <c r="M2867" s="9"/>
      <c r="W2867" s="6"/>
    </row>
    <row r="2868" spans="13:23">
      <c r="M2868" s="9"/>
      <c r="W2868" s="6"/>
    </row>
    <row r="2869" spans="13:23">
      <c r="M2869" s="9"/>
      <c r="W2869" s="6"/>
    </row>
    <row r="2870" spans="13:23">
      <c r="M2870" s="9"/>
      <c r="W2870" s="6"/>
    </row>
    <row r="2871" spans="13:23">
      <c r="M2871" s="9"/>
      <c r="W2871" s="6"/>
    </row>
    <row r="2872" spans="13:23">
      <c r="M2872" s="9"/>
      <c r="W2872" s="6"/>
    </row>
    <row r="2873" spans="13:23">
      <c r="M2873" s="9"/>
      <c r="W2873" s="6"/>
    </row>
    <row r="2874" spans="13:23">
      <c r="M2874" s="9"/>
      <c r="W2874" s="6"/>
    </row>
    <row r="2875" spans="13:23">
      <c r="M2875" s="9"/>
      <c r="W2875" s="6"/>
    </row>
    <row r="2876" spans="13:23">
      <c r="M2876" s="9"/>
      <c r="W2876" s="6"/>
    </row>
    <row r="2877" spans="13:23">
      <c r="M2877" s="9"/>
      <c r="W2877" s="6"/>
    </row>
    <row r="2878" spans="13:23">
      <c r="M2878" s="9"/>
      <c r="W2878" s="6"/>
    </row>
    <row r="2879" spans="13:23">
      <c r="M2879" s="9"/>
      <c r="W2879" s="6"/>
    </row>
    <row r="2880" spans="13:23">
      <c r="M2880" s="9"/>
      <c r="W2880" s="6"/>
    </row>
    <row r="2881" spans="13:23">
      <c r="M2881" s="9"/>
      <c r="W2881" s="6"/>
    </row>
    <row r="2882" spans="13:23">
      <c r="M2882" s="9"/>
      <c r="W2882" s="6"/>
    </row>
    <row r="2883" spans="13:23">
      <c r="M2883" s="9"/>
      <c r="W2883" s="6"/>
    </row>
    <row r="2884" spans="13:23">
      <c r="M2884" s="9"/>
      <c r="W2884" s="6"/>
    </row>
    <row r="2885" spans="13:23">
      <c r="M2885" s="9"/>
      <c r="W2885" s="6"/>
    </row>
    <row r="2886" spans="13:23">
      <c r="M2886" s="9"/>
      <c r="W2886" s="6"/>
    </row>
    <row r="2887" spans="13:23">
      <c r="M2887" s="9"/>
      <c r="W2887" s="6"/>
    </row>
    <row r="2888" spans="13:23">
      <c r="M2888" s="9"/>
      <c r="W2888" s="6"/>
    </row>
    <row r="2889" spans="13:23">
      <c r="M2889" s="9"/>
      <c r="W2889" s="6"/>
    </row>
    <row r="2890" spans="13:23">
      <c r="M2890" s="9"/>
      <c r="W2890" s="6"/>
    </row>
    <row r="2891" spans="13:23">
      <c r="M2891" s="9"/>
      <c r="W2891" s="6"/>
    </row>
    <row r="2892" spans="13:23">
      <c r="M2892" s="9"/>
      <c r="W2892" s="6"/>
    </row>
    <row r="2893" spans="13:23">
      <c r="M2893" s="9"/>
      <c r="W2893" s="6"/>
    </row>
    <row r="2894" spans="13:23">
      <c r="M2894" s="9"/>
      <c r="W2894" s="6"/>
    </row>
    <row r="2895" spans="13:23">
      <c r="M2895" s="9"/>
      <c r="W2895" s="6"/>
    </row>
    <row r="2896" spans="13:23">
      <c r="M2896" s="9"/>
      <c r="W2896" s="6"/>
    </row>
    <row r="2897" spans="13:23">
      <c r="M2897" s="9"/>
      <c r="W2897" s="6"/>
    </row>
    <row r="2898" spans="13:23">
      <c r="M2898" s="9"/>
      <c r="W2898" s="6"/>
    </row>
    <row r="2899" spans="13:23">
      <c r="M2899" s="9"/>
      <c r="W2899" s="6"/>
    </row>
    <row r="2900" spans="13:23">
      <c r="M2900" s="9"/>
      <c r="W2900" s="6"/>
    </row>
    <row r="2901" spans="13:23">
      <c r="M2901" s="9"/>
      <c r="W2901" s="6"/>
    </row>
    <row r="2902" spans="13:23">
      <c r="M2902" s="9"/>
      <c r="W2902" s="6"/>
    </row>
    <row r="2903" spans="13:23">
      <c r="M2903" s="9"/>
      <c r="W2903" s="6"/>
    </row>
    <row r="2904" spans="13:23">
      <c r="M2904" s="9"/>
      <c r="W2904" s="6"/>
    </row>
    <row r="2905" spans="13:23">
      <c r="M2905" s="9"/>
      <c r="W2905" s="6"/>
    </row>
    <row r="2906" spans="13:23">
      <c r="M2906" s="9"/>
      <c r="W2906" s="6"/>
    </row>
    <row r="2907" spans="13:23">
      <c r="M2907" s="9"/>
      <c r="W2907" s="6"/>
    </row>
    <row r="2908" spans="13:23">
      <c r="M2908" s="9"/>
      <c r="W2908" s="6"/>
    </row>
    <row r="2909" spans="13:23">
      <c r="M2909" s="9"/>
      <c r="W2909" s="6"/>
    </row>
    <row r="2910" spans="13:23">
      <c r="M2910" s="9"/>
      <c r="W2910" s="6"/>
    </row>
    <row r="2911" spans="13:23">
      <c r="M2911" s="9"/>
      <c r="W2911" s="6"/>
    </row>
    <row r="2912" spans="13:23">
      <c r="M2912" s="9"/>
      <c r="W2912" s="6"/>
    </row>
    <row r="2913" spans="13:23">
      <c r="M2913" s="9"/>
      <c r="W2913" s="6"/>
    </row>
    <row r="2914" spans="13:23">
      <c r="M2914" s="9"/>
      <c r="W2914" s="6"/>
    </row>
    <row r="2915" spans="13:23">
      <c r="M2915" s="9"/>
      <c r="W2915" s="6"/>
    </row>
    <row r="2916" spans="13:23">
      <c r="M2916" s="9"/>
      <c r="W2916" s="6"/>
    </row>
    <row r="2917" spans="13:23">
      <c r="M2917" s="9"/>
      <c r="W2917" s="6"/>
    </row>
    <row r="2918" spans="13:23">
      <c r="M2918" s="9"/>
      <c r="W2918" s="6"/>
    </row>
    <row r="2919" spans="13:23">
      <c r="M2919" s="9"/>
      <c r="W2919" s="6"/>
    </row>
    <row r="2920" spans="13:23">
      <c r="M2920" s="9"/>
      <c r="W2920" s="6"/>
    </row>
    <row r="2921" spans="13:23">
      <c r="M2921" s="9"/>
      <c r="W2921" s="6"/>
    </row>
    <row r="2922" spans="13:23">
      <c r="M2922" s="9"/>
      <c r="W2922" s="6"/>
    </row>
    <row r="2923" spans="13:23">
      <c r="M2923" s="9"/>
      <c r="W2923" s="6"/>
    </row>
    <row r="2924" spans="13:23">
      <c r="M2924" s="9"/>
      <c r="W2924" s="6"/>
    </row>
    <row r="2925" spans="13:23">
      <c r="M2925" s="9"/>
      <c r="W2925" s="6"/>
    </row>
    <row r="2926" spans="13:23">
      <c r="M2926" s="9"/>
      <c r="W2926" s="6"/>
    </row>
    <row r="2927" spans="13:23">
      <c r="M2927" s="9"/>
      <c r="W2927" s="6"/>
    </row>
    <row r="2928" spans="13:23">
      <c r="M2928" s="9"/>
      <c r="W2928" s="6"/>
    </row>
    <row r="2929" spans="13:23">
      <c r="M2929" s="9"/>
      <c r="W2929" s="6"/>
    </row>
    <row r="2930" spans="13:23">
      <c r="M2930" s="9"/>
      <c r="W2930" s="6"/>
    </row>
    <row r="2931" spans="13:23">
      <c r="M2931" s="9"/>
      <c r="W2931" s="6"/>
    </row>
    <row r="2932" spans="13:23">
      <c r="M2932" s="9"/>
      <c r="W2932" s="6"/>
    </row>
    <row r="2933" spans="13:23">
      <c r="M2933" s="9"/>
      <c r="W2933" s="6"/>
    </row>
    <row r="2934" spans="13:23">
      <c r="M2934" s="9"/>
      <c r="W2934" s="6"/>
    </row>
    <row r="2935" spans="13:23">
      <c r="M2935" s="9"/>
      <c r="W2935" s="6"/>
    </row>
    <row r="2936" spans="13:23">
      <c r="M2936" s="9"/>
      <c r="W2936" s="6"/>
    </row>
    <row r="2937" spans="13:23">
      <c r="M2937" s="9"/>
      <c r="W2937" s="6"/>
    </row>
    <row r="2938" spans="13:23">
      <c r="M2938" s="9"/>
      <c r="W2938" s="6"/>
    </row>
    <row r="2939" spans="13:23">
      <c r="M2939" s="9"/>
      <c r="W2939" s="6"/>
    </row>
    <row r="2940" spans="13:23">
      <c r="M2940" s="9"/>
      <c r="W2940" s="6"/>
    </row>
    <row r="2941" spans="13:23">
      <c r="M2941" s="9"/>
      <c r="W2941" s="6"/>
    </row>
    <row r="2942" spans="13:23">
      <c r="M2942" s="9"/>
      <c r="W2942" s="6"/>
    </row>
    <row r="2943" spans="13:23">
      <c r="M2943" s="9"/>
      <c r="W2943" s="6"/>
    </row>
    <row r="2944" spans="13:23">
      <c r="M2944" s="9"/>
      <c r="W2944" s="6"/>
    </row>
    <row r="2945" spans="13:23">
      <c r="M2945" s="9"/>
      <c r="W2945" s="6"/>
    </row>
    <row r="2946" spans="13:23">
      <c r="M2946" s="9"/>
      <c r="W2946" s="6"/>
    </row>
    <row r="2947" spans="13:23">
      <c r="M2947" s="9"/>
      <c r="W2947" s="6"/>
    </row>
    <row r="2948" spans="13:23">
      <c r="M2948" s="9"/>
      <c r="W2948" s="6"/>
    </row>
    <row r="2949" spans="13:23">
      <c r="M2949" s="9"/>
      <c r="W2949" s="6"/>
    </row>
    <row r="2950" spans="13:23">
      <c r="M2950" s="9"/>
      <c r="W2950" s="6"/>
    </row>
    <row r="2951" spans="13:23">
      <c r="M2951" s="9"/>
      <c r="W2951" s="6"/>
    </row>
    <row r="2952" spans="13:23">
      <c r="M2952" s="9"/>
      <c r="W2952" s="6"/>
    </row>
    <row r="2953" spans="13:23">
      <c r="M2953" s="9"/>
      <c r="W2953" s="6"/>
    </row>
    <row r="2954" spans="13:23">
      <c r="M2954" s="9"/>
      <c r="W2954" s="6"/>
    </row>
    <row r="2955" spans="13:23">
      <c r="M2955" s="9"/>
      <c r="W2955" s="6"/>
    </row>
    <row r="2956" spans="13:23">
      <c r="M2956" s="9"/>
      <c r="W2956" s="6"/>
    </row>
    <row r="2957" spans="13:23">
      <c r="M2957" s="9"/>
      <c r="W2957" s="6"/>
    </row>
    <row r="2958" spans="13:23">
      <c r="M2958" s="9"/>
      <c r="W2958" s="6"/>
    </row>
    <row r="2959" spans="13:23">
      <c r="M2959" s="9"/>
      <c r="W2959" s="6"/>
    </row>
    <row r="2960" spans="13:23">
      <c r="M2960" s="9"/>
      <c r="W2960" s="6"/>
    </row>
    <row r="2961" spans="13:23">
      <c r="M2961" s="9"/>
      <c r="W2961" s="6"/>
    </row>
    <row r="2962" spans="13:23">
      <c r="M2962" s="9"/>
      <c r="W2962" s="6"/>
    </row>
    <row r="2963" spans="13:23">
      <c r="M2963" s="9"/>
      <c r="W2963" s="6"/>
    </row>
    <row r="2964" spans="13:23">
      <c r="M2964" s="9"/>
      <c r="W2964" s="6"/>
    </row>
    <row r="2965" spans="13:23">
      <c r="M2965" s="9"/>
      <c r="W2965" s="6"/>
    </row>
    <row r="2966" spans="13:23">
      <c r="M2966" s="9"/>
      <c r="W2966" s="6"/>
    </row>
    <row r="2967" spans="13:23">
      <c r="M2967" s="9"/>
      <c r="W2967" s="6"/>
    </row>
    <row r="2968" spans="13:23">
      <c r="M2968" s="9"/>
      <c r="W2968" s="6"/>
    </row>
    <row r="2969" spans="13:23">
      <c r="M2969" s="9"/>
      <c r="W2969" s="6"/>
    </row>
    <row r="2970" spans="13:23">
      <c r="M2970" s="9"/>
      <c r="W2970" s="6"/>
    </row>
    <row r="2971" spans="13:23">
      <c r="M2971" s="9"/>
      <c r="W2971" s="6"/>
    </row>
    <row r="2972" spans="13:23">
      <c r="M2972" s="9"/>
      <c r="W2972" s="6"/>
    </row>
    <row r="2973" spans="13:23">
      <c r="M2973" s="9"/>
      <c r="W2973" s="6"/>
    </row>
    <row r="2974" spans="13:23">
      <c r="M2974" s="9"/>
      <c r="W2974" s="6"/>
    </row>
    <row r="2975" spans="13:23">
      <c r="M2975" s="9"/>
      <c r="W2975" s="6"/>
    </row>
    <row r="2976" spans="13:23">
      <c r="M2976" s="9"/>
      <c r="W2976" s="6"/>
    </row>
    <row r="2977" spans="13:23">
      <c r="M2977" s="9"/>
      <c r="W2977" s="6"/>
    </row>
    <row r="2978" spans="13:23">
      <c r="M2978" s="9"/>
      <c r="W2978" s="6"/>
    </row>
    <row r="2979" spans="13:23">
      <c r="M2979" s="9"/>
      <c r="W2979" s="6"/>
    </row>
    <row r="2980" spans="13:23">
      <c r="M2980" s="9"/>
      <c r="W2980" s="6"/>
    </row>
    <row r="2981" spans="13:23">
      <c r="M2981" s="9"/>
      <c r="W2981" s="6"/>
    </row>
    <row r="2982" spans="13:23">
      <c r="M2982" s="9"/>
      <c r="W2982" s="6"/>
    </row>
    <row r="2983" spans="13:23">
      <c r="M2983" s="9"/>
      <c r="W2983" s="6"/>
    </row>
    <row r="2984" spans="13:23">
      <c r="M2984" s="9"/>
      <c r="W2984" s="6"/>
    </row>
    <row r="2985" spans="13:23">
      <c r="M2985" s="9"/>
      <c r="W2985" s="6"/>
    </row>
    <row r="2986" spans="13:23">
      <c r="M2986" s="9"/>
      <c r="W2986" s="6"/>
    </row>
    <row r="2987" spans="13:23">
      <c r="M2987" s="9"/>
      <c r="W2987" s="6"/>
    </row>
    <row r="2988" spans="13:23">
      <c r="M2988" s="9"/>
      <c r="W2988" s="6"/>
    </row>
    <row r="2989" spans="13:23">
      <c r="M2989" s="9"/>
      <c r="W2989" s="6"/>
    </row>
    <row r="2990" spans="13:23">
      <c r="M2990" s="9"/>
      <c r="W2990" s="6"/>
    </row>
    <row r="2991" spans="13:23">
      <c r="M2991" s="9"/>
      <c r="W2991" s="6"/>
    </row>
    <row r="2992" spans="13:23">
      <c r="M2992" s="9"/>
      <c r="W2992" s="6"/>
    </row>
    <row r="2993" spans="13:23">
      <c r="M2993" s="9"/>
      <c r="W2993" s="6"/>
    </row>
    <row r="2994" spans="13:23">
      <c r="M2994" s="9"/>
      <c r="W2994" s="6"/>
    </row>
    <row r="2995" spans="13:23">
      <c r="M2995" s="9"/>
      <c r="W2995" s="6"/>
    </row>
    <row r="2996" spans="13:23">
      <c r="M2996" s="9"/>
      <c r="W2996" s="6"/>
    </row>
    <row r="2997" spans="13:23">
      <c r="M2997" s="9"/>
      <c r="W2997" s="6"/>
    </row>
    <row r="2998" spans="13:23">
      <c r="M2998" s="9"/>
      <c r="W2998" s="6"/>
    </row>
    <row r="2999" spans="13:23">
      <c r="M2999" s="9"/>
      <c r="W2999" s="6"/>
    </row>
    <row r="3000" spans="13:23">
      <c r="M3000" s="9"/>
      <c r="W3000" s="6"/>
    </row>
    <row r="3001" spans="13:23">
      <c r="M3001" s="9"/>
      <c r="W3001" s="6"/>
    </row>
    <row r="3002" spans="13:23">
      <c r="M3002" s="9"/>
      <c r="W3002" s="6"/>
    </row>
    <row r="3003" spans="13:23">
      <c r="M3003" s="9"/>
      <c r="W3003" s="6"/>
    </row>
    <row r="3004" spans="13:23">
      <c r="M3004" s="9"/>
      <c r="W3004" s="6"/>
    </row>
    <row r="3005" spans="13:23">
      <c r="M3005" s="9"/>
      <c r="W3005" s="6"/>
    </row>
    <row r="3006" spans="13:23">
      <c r="M3006" s="9"/>
      <c r="W3006" s="6"/>
    </row>
    <row r="3007" spans="13:23">
      <c r="M3007" s="9"/>
      <c r="W3007" s="6"/>
    </row>
    <row r="3008" spans="13:23">
      <c r="M3008" s="9"/>
      <c r="W3008" s="6"/>
    </row>
    <row r="3009" spans="13:23">
      <c r="M3009" s="9"/>
      <c r="W3009" s="6"/>
    </row>
    <row r="3010" spans="13:23">
      <c r="M3010" s="9"/>
      <c r="W3010" s="6"/>
    </row>
    <row r="3011" spans="13:23">
      <c r="M3011" s="9"/>
      <c r="W3011" s="6"/>
    </row>
    <row r="3012" spans="13:23">
      <c r="M3012" s="9"/>
      <c r="W3012" s="6"/>
    </row>
    <row r="3013" spans="13:23">
      <c r="M3013" s="9"/>
      <c r="W3013" s="6"/>
    </row>
    <row r="3014" spans="13:23">
      <c r="M3014" s="9"/>
      <c r="W3014" s="6"/>
    </row>
    <row r="3015" spans="13:23">
      <c r="M3015" s="9"/>
      <c r="W3015" s="6"/>
    </row>
    <row r="3016" spans="13:23">
      <c r="M3016" s="9"/>
      <c r="W3016" s="6"/>
    </row>
    <row r="3017" spans="13:23">
      <c r="M3017" s="9"/>
      <c r="W3017" s="6"/>
    </row>
    <row r="3018" spans="13:23">
      <c r="M3018" s="9"/>
      <c r="W3018" s="6"/>
    </row>
    <row r="3019" spans="13:23">
      <c r="M3019" s="9"/>
      <c r="W3019" s="6"/>
    </row>
    <row r="3020" spans="13:23">
      <c r="M3020" s="9"/>
      <c r="W3020" s="6"/>
    </row>
    <row r="3021" spans="13:23">
      <c r="M3021" s="9"/>
      <c r="W3021" s="6"/>
    </row>
    <row r="3022" spans="13:23">
      <c r="M3022" s="9"/>
      <c r="W3022" s="6"/>
    </row>
    <row r="3023" spans="13:23">
      <c r="M3023" s="9"/>
      <c r="W3023" s="6"/>
    </row>
    <row r="3024" spans="13:23">
      <c r="M3024" s="9"/>
      <c r="W3024" s="6"/>
    </row>
    <row r="3025" spans="13:23">
      <c r="M3025" s="9"/>
      <c r="W3025" s="6"/>
    </row>
    <row r="3026" spans="13:23">
      <c r="M3026" s="9"/>
      <c r="W3026" s="6"/>
    </row>
    <row r="3027" spans="13:23">
      <c r="M3027" s="9"/>
      <c r="W3027" s="6"/>
    </row>
    <row r="3028" spans="13:23">
      <c r="M3028" s="9"/>
      <c r="W3028" s="6"/>
    </row>
    <row r="3029" spans="13:23">
      <c r="M3029" s="9"/>
      <c r="W3029" s="6"/>
    </row>
    <row r="3030" spans="13:23">
      <c r="M3030" s="9"/>
      <c r="W3030" s="6"/>
    </row>
    <row r="3031" spans="13:23">
      <c r="M3031" s="9"/>
      <c r="W3031" s="6"/>
    </row>
    <row r="3032" spans="13:23">
      <c r="M3032" s="9"/>
      <c r="W3032" s="6"/>
    </row>
    <row r="3033" spans="13:23">
      <c r="M3033" s="9"/>
      <c r="W3033" s="6"/>
    </row>
    <row r="3034" spans="13:23">
      <c r="M3034" s="9"/>
      <c r="W3034" s="6"/>
    </row>
    <row r="3035" spans="13:23">
      <c r="M3035" s="9"/>
      <c r="W3035" s="6"/>
    </row>
    <row r="3036" spans="13:23">
      <c r="M3036" s="9"/>
      <c r="W3036" s="6"/>
    </row>
    <row r="3037" spans="13:23">
      <c r="M3037" s="9"/>
      <c r="W3037" s="6"/>
    </row>
    <row r="3038" spans="13:23">
      <c r="M3038" s="9"/>
      <c r="W3038" s="6"/>
    </row>
    <row r="3039" spans="13:23">
      <c r="M3039" s="9"/>
      <c r="W3039" s="6"/>
    </row>
    <row r="3040" spans="13:23">
      <c r="M3040" s="9"/>
      <c r="W3040" s="6"/>
    </row>
    <row r="3041" spans="13:23">
      <c r="M3041" s="9"/>
      <c r="W3041" s="6"/>
    </row>
    <row r="3042" spans="13:23">
      <c r="M3042" s="9"/>
      <c r="W3042" s="6"/>
    </row>
    <row r="3043" spans="13:23">
      <c r="M3043" s="9"/>
      <c r="W3043" s="6"/>
    </row>
    <row r="3044" spans="13:23">
      <c r="M3044" s="9"/>
      <c r="W3044" s="6"/>
    </row>
    <row r="3045" spans="13:23">
      <c r="M3045" s="9"/>
      <c r="W3045" s="6"/>
    </row>
    <row r="3046" spans="13:23">
      <c r="M3046" s="9"/>
      <c r="W3046" s="6"/>
    </row>
    <row r="3047" spans="13:23">
      <c r="M3047" s="9"/>
      <c r="W3047" s="6"/>
    </row>
    <row r="3048" spans="13:23">
      <c r="M3048" s="9"/>
      <c r="W3048" s="6"/>
    </row>
    <row r="3049" spans="13:23">
      <c r="M3049" s="9"/>
      <c r="W3049" s="6"/>
    </row>
    <row r="3050" spans="13:23">
      <c r="M3050" s="9"/>
      <c r="W3050" s="6"/>
    </row>
    <row r="3051" spans="13:23">
      <c r="M3051" s="9"/>
      <c r="W3051" s="6"/>
    </row>
    <row r="3052" spans="13:23">
      <c r="M3052" s="9"/>
      <c r="W3052" s="6"/>
    </row>
    <row r="3053" spans="13:23">
      <c r="M3053" s="9"/>
      <c r="W3053" s="6"/>
    </row>
    <row r="3054" spans="13:23">
      <c r="M3054" s="9"/>
      <c r="W3054" s="6"/>
    </row>
    <row r="3055" spans="13:23">
      <c r="M3055" s="9"/>
      <c r="W3055" s="6"/>
    </row>
    <row r="3056" spans="13:23">
      <c r="M3056" s="9"/>
      <c r="W3056" s="6"/>
    </row>
    <row r="3057" spans="13:23">
      <c r="M3057" s="9"/>
      <c r="W3057" s="6"/>
    </row>
    <row r="3058" spans="13:23">
      <c r="M3058" s="9"/>
      <c r="W3058" s="6"/>
    </row>
    <row r="3059" spans="13:23">
      <c r="M3059" s="9"/>
      <c r="W3059" s="6"/>
    </row>
    <row r="3060" spans="13:23">
      <c r="M3060" s="9"/>
      <c r="W3060" s="6"/>
    </row>
    <row r="3061" spans="13:23">
      <c r="M3061" s="9"/>
      <c r="W3061" s="6"/>
    </row>
    <row r="3062" spans="13:23">
      <c r="M3062" s="9"/>
      <c r="W3062" s="6"/>
    </row>
    <row r="3063" spans="13:23">
      <c r="M3063" s="9"/>
      <c r="W3063" s="6"/>
    </row>
    <row r="3064" spans="13:23">
      <c r="M3064" s="9"/>
      <c r="W3064" s="6"/>
    </row>
    <row r="3065" spans="13:23">
      <c r="M3065" s="9"/>
      <c r="W3065" s="6"/>
    </row>
    <row r="3066" spans="13:23">
      <c r="M3066" s="9"/>
      <c r="W3066" s="6"/>
    </row>
    <row r="3067" spans="13:23">
      <c r="M3067" s="9"/>
      <c r="W3067" s="6"/>
    </row>
    <row r="3068" spans="13:23">
      <c r="M3068" s="9"/>
      <c r="W3068" s="6"/>
    </row>
    <row r="3069" spans="13:23">
      <c r="M3069" s="9"/>
      <c r="W3069" s="6"/>
    </row>
    <row r="3070" spans="13:23">
      <c r="M3070" s="9"/>
      <c r="W3070" s="6"/>
    </row>
    <row r="3071" spans="13:23">
      <c r="M3071" s="9"/>
      <c r="W3071" s="6"/>
    </row>
    <row r="3072" spans="13:23">
      <c r="M3072" s="9"/>
      <c r="W3072" s="6"/>
    </row>
    <row r="3073" spans="13:23">
      <c r="M3073" s="9"/>
      <c r="W3073" s="6"/>
    </row>
    <row r="3074" spans="13:23">
      <c r="M3074" s="9"/>
      <c r="W3074" s="6"/>
    </row>
    <row r="3075" spans="13:23">
      <c r="M3075" s="9"/>
      <c r="W3075" s="6"/>
    </row>
    <row r="3076" spans="13:23">
      <c r="M3076" s="9"/>
      <c r="W3076" s="6"/>
    </row>
    <row r="3077" spans="13:23">
      <c r="M3077" s="9"/>
      <c r="W3077" s="6"/>
    </row>
    <row r="3078" spans="13:23">
      <c r="M3078" s="9"/>
      <c r="W3078" s="6"/>
    </row>
    <row r="3079" spans="13:23">
      <c r="M3079" s="9"/>
      <c r="W3079" s="6"/>
    </row>
    <row r="3080" spans="13:23">
      <c r="M3080" s="9"/>
      <c r="W3080" s="6"/>
    </row>
    <row r="3081" spans="13:23">
      <c r="M3081" s="9"/>
      <c r="W3081" s="6"/>
    </row>
    <row r="3082" spans="13:23">
      <c r="M3082" s="9"/>
      <c r="W3082" s="6"/>
    </row>
    <row r="3083" spans="13:23">
      <c r="M3083" s="9"/>
      <c r="W3083" s="6"/>
    </row>
    <row r="3084" spans="13:23">
      <c r="M3084" s="9"/>
      <c r="W3084" s="6"/>
    </row>
    <row r="3085" spans="13:23">
      <c r="M3085" s="9"/>
      <c r="W3085" s="6"/>
    </row>
    <row r="3086" spans="13:23">
      <c r="M3086" s="9"/>
      <c r="W3086" s="6"/>
    </row>
    <row r="3087" spans="13:23">
      <c r="M3087" s="9"/>
      <c r="W3087" s="6"/>
    </row>
    <row r="3088" spans="13:23">
      <c r="M3088" s="9"/>
      <c r="W3088" s="6"/>
    </row>
    <row r="3089" spans="13:23">
      <c r="M3089" s="9"/>
      <c r="W3089" s="6"/>
    </row>
    <row r="3090" spans="13:23">
      <c r="M3090" s="9"/>
      <c r="W3090" s="6"/>
    </row>
    <row r="3091" spans="13:23">
      <c r="M3091" s="9"/>
      <c r="W3091" s="6"/>
    </row>
    <row r="3092" spans="13:23">
      <c r="M3092" s="9"/>
      <c r="W3092" s="6"/>
    </row>
    <row r="3093" spans="13:23">
      <c r="M3093" s="9"/>
      <c r="W3093" s="6"/>
    </row>
    <row r="3094" spans="13:23">
      <c r="M3094" s="9"/>
      <c r="W3094" s="6"/>
    </row>
    <row r="3095" spans="13:23">
      <c r="M3095" s="9"/>
      <c r="W3095" s="6"/>
    </row>
    <row r="3096" spans="13:23">
      <c r="M3096" s="9"/>
      <c r="W3096" s="6"/>
    </row>
    <row r="3097" spans="13:23">
      <c r="M3097" s="9"/>
      <c r="W3097" s="6"/>
    </row>
    <row r="3098" spans="13:23">
      <c r="M3098" s="9"/>
      <c r="W3098" s="6"/>
    </row>
    <row r="3099" spans="13:23">
      <c r="M3099" s="9"/>
      <c r="W3099" s="6"/>
    </row>
    <row r="3100" spans="13:23">
      <c r="M3100" s="9"/>
      <c r="W3100" s="6"/>
    </row>
    <row r="3101" spans="13:23">
      <c r="M3101" s="9"/>
      <c r="W3101" s="6"/>
    </row>
    <row r="3102" spans="13:23">
      <c r="M3102" s="9"/>
      <c r="W3102" s="6"/>
    </row>
    <row r="3103" spans="13:23">
      <c r="M3103" s="9"/>
      <c r="W3103" s="6"/>
    </row>
    <row r="3104" spans="13:23">
      <c r="M3104" s="9"/>
      <c r="W3104" s="6"/>
    </row>
    <row r="3105" spans="13:23">
      <c r="M3105" s="9"/>
      <c r="W3105" s="6"/>
    </row>
    <row r="3106" spans="13:23">
      <c r="M3106" s="9"/>
      <c r="W3106" s="6"/>
    </row>
    <row r="3107" spans="13:23">
      <c r="M3107" s="9"/>
      <c r="W3107" s="6"/>
    </row>
    <row r="3108" spans="13:23">
      <c r="M3108" s="9"/>
      <c r="W3108" s="6"/>
    </row>
    <row r="3109" spans="13:23">
      <c r="M3109" s="9"/>
      <c r="W3109" s="6"/>
    </row>
    <row r="3110" spans="13:23">
      <c r="M3110" s="9"/>
      <c r="W3110" s="6"/>
    </row>
    <row r="3111" spans="13:23">
      <c r="M3111" s="9"/>
      <c r="W3111" s="6"/>
    </row>
    <row r="3112" spans="13:23">
      <c r="M3112" s="9"/>
      <c r="W3112" s="6"/>
    </row>
    <row r="3113" spans="13:23">
      <c r="M3113" s="9"/>
      <c r="W3113" s="6"/>
    </row>
    <row r="3114" spans="13:23">
      <c r="M3114" s="9"/>
      <c r="W3114" s="6"/>
    </row>
    <row r="3115" spans="13:23">
      <c r="M3115" s="9"/>
      <c r="W3115" s="6"/>
    </row>
    <row r="3116" spans="13:23">
      <c r="M3116" s="9"/>
      <c r="W3116" s="6"/>
    </row>
    <row r="3117" spans="13:23">
      <c r="M3117" s="9"/>
      <c r="W3117" s="6"/>
    </row>
    <row r="3118" spans="13:23">
      <c r="M3118" s="9"/>
      <c r="W3118" s="6"/>
    </row>
    <row r="3119" spans="13:23">
      <c r="M3119" s="9"/>
      <c r="W3119" s="6"/>
    </row>
    <row r="3120" spans="13:23">
      <c r="M3120" s="9"/>
      <c r="W3120" s="6"/>
    </row>
    <row r="3121" spans="9:23">
      <c r="M3121" s="9"/>
      <c r="W3121" s="6"/>
    </row>
    <row r="3122" spans="9:23">
      <c r="M3122" s="9"/>
      <c r="W3122" s="6"/>
    </row>
    <row r="3123" spans="9:23">
      <c r="M3123" s="9"/>
      <c r="W3123" s="6"/>
    </row>
    <row r="3124" spans="9:23">
      <c r="I3124" s="7"/>
      <c r="M3124" s="9"/>
      <c r="O3124" s="7"/>
      <c r="W3124" s="6"/>
    </row>
    <row r="3125" spans="9:23">
      <c r="M3125" s="9"/>
      <c r="W3125" s="6"/>
    </row>
    <row r="3126" spans="9:23">
      <c r="M3126" s="9"/>
      <c r="W3126" s="6"/>
    </row>
    <row r="3127" spans="9:23">
      <c r="M3127" s="9"/>
      <c r="W3127" s="6"/>
    </row>
    <row r="3128" spans="9:23">
      <c r="M3128" s="9"/>
      <c r="W3128" s="6"/>
    </row>
    <row r="3129" spans="9:23">
      <c r="M3129" s="9"/>
      <c r="W3129" s="6"/>
    </row>
    <row r="3130" spans="9:23">
      <c r="M3130" s="9"/>
      <c r="W3130" s="6"/>
    </row>
    <row r="3131" spans="9:23">
      <c r="M3131" s="9"/>
      <c r="W3131" s="6"/>
    </row>
    <row r="3132" spans="9:23">
      <c r="M3132" s="9"/>
      <c r="W3132" s="6"/>
    </row>
    <row r="3133" spans="9:23">
      <c r="M3133" s="9"/>
      <c r="N3133" s="8"/>
      <c r="O3133" s="8"/>
      <c r="W3133" s="6"/>
    </row>
    <row r="3134" spans="9:23">
      <c r="M3134" s="9"/>
      <c r="W3134" s="6"/>
    </row>
    <row r="3135" spans="9:23">
      <c r="M3135" s="9"/>
      <c r="W3135" s="6"/>
    </row>
    <row r="3136" spans="9:23">
      <c r="M3136" s="9"/>
      <c r="W3136" s="6"/>
    </row>
    <row r="3137" spans="9:23">
      <c r="M3137" s="9"/>
      <c r="W3137" s="6"/>
    </row>
    <row r="3138" spans="9:23">
      <c r="M3138" s="9"/>
      <c r="W3138" s="6"/>
    </row>
    <row r="3139" spans="9:23">
      <c r="I3139" s="7"/>
      <c r="M3139" s="9"/>
      <c r="O3139" s="7"/>
      <c r="W3139" s="6"/>
    </row>
    <row r="3140" spans="9:23">
      <c r="M3140" s="9"/>
      <c r="W3140" s="6"/>
    </row>
    <row r="3141" spans="9:23">
      <c r="M3141" s="9"/>
      <c r="W3141" s="6"/>
    </row>
    <row r="3142" spans="9:23">
      <c r="M3142" s="9"/>
      <c r="W3142" s="6"/>
    </row>
    <row r="3143" spans="9:23">
      <c r="M3143" s="9"/>
      <c r="W3143" s="6"/>
    </row>
    <row r="3144" spans="9:23">
      <c r="M3144" s="9"/>
      <c r="W3144" s="6"/>
    </row>
    <row r="3145" spans="9:23">
      <c r="M3145" s="9"/>
      <c r="W3145" s="6"/>
    </row>
    <row r="3146" spans="9:23">
      <c r="M3146" s="9"/>
      <c r="W3146" s="6"/>
    </row>
    <row r="3147" spans="9:23">
      <c r="M3147" s="9"/>
      <c r="W3147" s="6"/>
    </row>
    <row r="3148" spans="9:23">
      <c r="M3148" s="9"/>
      <c r="W3148" s="6"/>
    </row>
    <row r="3149" spans="9:23">
      <c r="M3149" s="9"/>
      <c r="W3149" s="6"/>
    </row>
    <row r="3150" spans="9:23">
      <c r="M3150" s="9"/>
      <c r="W3150" s="6"/>
    </row>
    <row r="3151" spans="9:23">
      <c r="M3151" s="9"/>
      <c r="W3151" s="6"/>
    </row>
    <row r="3152" spans="9:23">
      <c r="M3152" s="9"/>
      <c r="W3152" s="6"/>
    </row>
    <row r="3153" spans="13:23">
      <c r="M3153" s="9"/>
      <c r="W3153" s="6"/>
    </row>
    <row r="3154" spans="13:23">
      <c r="M3154" s="9"/>
      <c r="W3154" s="6"/>
    </row>
    <row r="3155" spans="13:23">
      <c r="M3155" s="9"/>
      <c r="W3155" s="6"/>
    </row>
    <row r="3156" spans="13:23">
      <c r="M3156" s="9"/>
      <c r="W3156" s="6"/>
    </row>
    <row r="3157" spans="13:23">
      <c r="M3157" s="9"/>
      <c r="W3157" s="6"/>
    </row>
    <row r="3158" spans="13:23">
      <c r="M3158" s="9"/>
      <c r="W3158" s="6"/>
    </row>
    <row r="3159" spans="13:23">
      <c r="M3159" s="9"/>
      <c r="W3159" s="6"/>
    </row>
    <row r="3160" spans="13:23">
      <c r="M3160" s="9"/>
      <c r="W3160" s="6"/>
    </row>
    <row r="3161" spans="13:23">
      <c r="M3161" s="9"/>
      <c r="W3161" s="6"/>
    </row>
    <row r="3162" spans="13:23">
      <c r="M3162" s="9"/>
      <c r="W3162" s="6"/>
    </row>
    <row r="3163" spans="13:23">
      <c r="M3163" s="9"/>
      <c r="W3163" s="6"/>
    </row>
    <row r="3164" spans="13:23">
      <c r="M3164" s="9"/>
      <c r="W3164" s="6"/>
    </row>
    <row r="3165" spans="13:23">
      <c r="M3165" s="9"/>
      <c r="W3165" s="6"/>
    </row>
    <row r="3166" spans="13:23">
      <c r="M3166" s="9"/>
      <c r="W3166" s="6"/>
    </row>
    <row r="3167" spans="13:23">
      <c r="M3167" s="9"/>
      <c r="W3167" s="6"/>
    </row>
    <row r="3168" spans="13:23">
      <c r="M3168" s="9"/>
      <c r="W3168" s="6"/>
    </row>
    <row r="3169" spans="13:23">
      <c r="M3169" s="9"/>
      <c r="W3169" s="6"/>
    </row>
    <row r="3170" spans="13:23">
      <c r="M3170" s="9"/>
      <c r="W3170" s="6"/>
    </row>
    <row r="3171" spans="13:23">
      <c r="M3171" s="9"/>
      <c r="W3171" s="6"/>
    </row>
    <row r="3172" spans="13:23">
      <c r="M3172" s="9"/>
      <c r="W3172" s="6"/>
    </row>
    <row r="3173" spans="13:23">
      <c r="M3173" s="9"/>
      <c r="W3173" s="6"/>
    </row>
    <row r="3174" spans="13:23">
      <c r="M3174" s="9"/>
      <c r="W3174" s="6"/>
    </row>
    <row r="3175" spans="13:23">
      <c r="M3175" s="9"/>
      <c r="W3175" s="6"/>
    </row>
    <row r="3176" spans="13:23">
      <c r="M3176" s="9"/>
      <c r="W3176" s="6"/>
    </row>
    <row r="3177" spans="13:23">
      <c r="M3177" s="9"/>
      <c r="W3177" s="6"/>
    </row>
    <row r="3178" spans="13:23">
      <c r="M3178" s="9"/>
      <c r="W3178" s="6"/>
    </row>
    <row r="3179" spans="13:23">
      <c r="M3179" s="9"/>
      <c r="W3179" s="6"/>
    </row>
    <row r="3180" spans="13:23">
      <c r="M3180" s="9"/>
      <c r="W3180" s="6"/>
    </row>
    <row r="3181" spans="13:23">
      <c r="M3181" s="9"/>
      <c r="W3181" s="6"/>
    </row>
    <row r="3182" spans="13:23">
      <c r="M3182" s="9"/>
      <c r="W3182" s="6"/>
    </row>
    <row r="3183" spans="13:23">
      <c r="M3183" s="9"/>
      <c r="W3183" s="6"/>
    </row>
    <row r="3184" spans="13:23">
      <c r="M3184" s="9"/>
      <c r="W3184" s="6"/>
    </row>
    <row r="3185" spans="13:23">
      <c r="M3185" s="9"/>
      <c r="W3185" s="6"/>
    </row>
    <row r="3186" spans="13:23">
      <c r="M3186" s="9"/>
      <c r="W3186" s="6"/>
    </row>
    <row r="3187" spans="13:23">
      <c r="M3187" s="9"/>
      <c r="W3187" s="6"/>
    </row>
    <row r="3188" spans="13:23">
      <c r="M3188" s="9"/>
      <c r="W3188" s="6"/>
    </row>
    <row r="3189" spans="13:23">
      <c r="M3189" s="9"/>
      <c r="W3189" s="6"/>
    </row>
    <row r="3190" spans="13:23">
      <c r="M3190" s="9"/>
      <c r="W3190" s="6"/>
    </row>
    <row r="3191" spans="13:23">
      <c r="M3191" s="9"/>
      <c r="W3191" s="6"/>
    </row>
    <row r="3192" spans="13:23">
      <c r="M3192" s="9"/>
      <c r="W3192" s="6"/>
    </row>
    <row r="3193" spans="13:23">
      <c r="M3193" s="9"/>
      <c r="W3193" s="6"/>
    </row>
    <row r="3194" spans="13:23">
      <c r="M3194" s="9"/>
      <c r="W3194" s="6"/>
    </row>
    <row r="3195" spans="13:23">
      <c r="M3195" s="9"/>
      <c r="W3195" s="6"/>
    </row>
    <row r="3196" spans="13:23">
      <c r="M3196" s="9"/>
      <c r="W3196" s="6"/>
    </row>
    <row r="3197" spans="13:23">
      <c r="M3197" s="9"/>
      <c r="W3197" s="6"/>
    </row>
    <row r="3198" spans="13:23">
      <c r="M3198" s="9"/>
      <c r="W3198" s="6"/>
    </row>
    <row r="3199" spans="13:23">
      <c r="M3199" s="9"/>
      <c r="W3199" s="6"/>
    </row>
    <row r="3200" spans="13:23">
      <c r="M3200" s="9"/>
      <c r="W3200" s="6"/>
    </row>
    <row r="3201" spans="13:23">
      <c r="M3201" s="9"/>
      <c r="W3201" s="6"/>
    </row>
    <row r="3202" spans="13:23">
      <c r="M3202" s="9"/>
      <c r="W3202" s="6"/>
    </row>
    <row r="3203" spans="13:23">
      <c r="M3203" s="9"/>
      <c r="W3203" s="6"/>
    </row>
    <row r="3204" spans="13:23">
      <c r="M3204" s="9"/>
      <c r="W3204" s="6"/>
    </row>
    <row r="3205" spans="13:23">
      <c r="M3205" s="9"/>
      <c r="W3205" s="6"/>
    </row>
    <row r="3206" spans="13:23">
      <c r="M3206" s="9"/>
      <c r="W3206" s="6"/>
    </row>
    <row r="3207" spans="13:23">
      <c r="M3207" s="9"/>
      <c r="W3207" s="6"/>
    </row>
    <row r="3208" spans="13:23">
      <c r="M3208" s="9"/>
      <c r="W3208" s="6"/>
    </row>
    <row r="3209" spans="13:23">
      <c r="M3209" s="9"/>
      <c r="W3209" s="6"/>
    </row>
    <row r="3210" spans="13:23">
      <c r="M3210" s="9"/>
      <c r="W3210" s="6"/>
    </row>
    <row r="3211" spans="13:23">
      <c r="M3211" s="9"/>
      <c r="W3211" s="6"/>
    </row>
    <row r="3212" spans="13:23">
      <c r="M3212" s="9"/>
      <c r="W3212" s="6"/>
    </row>
    <row r="3213" spans="13:23">
      <c r="M3213" s="9"/>
      <c r="W3213" s="6"/>
    </row>
    <row r="3214" spans="13:23">
      <c r="M3214" s="9"/>
      <c r="W3214" s="6"/>
    </row>
    <row r="3215" spans="13:23">
      <c r="M3215" s="9"/>
      <c r="W3215" s="6"/>
    </row>
    <row r="3216" spans="13:23">
      <c r="M3216" s="9"/>
      <c r="W3216" s="6"/>
    </row>
    <row r="3217" spans="13:23">
      <c r="M3217" s="9"/>
      <c r="W3217" s="6"/>
    </row>
    <row r="3250" spans="25:27" s="5" customFormat="1">
      <c r="Y3250" s="1"/>
      <c r="Z3250" s="1"/>
      <c r="AA3250" s="1"/>
    </row>
    <row r="3257" spans="25:27" s="5" customFormat="1">
      <c r="Y3257" s="1"/>
      <c r="Z3257" s="1"/>
      <c r="AA325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16040401</vt:lpstr>
      <vt:lpstr>13070201</vt:lpstr>
      <vt:lpstr>16030101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2018-08-08T07:02:55Z</dcterms:modified>
</cp:coreProperties>
</file>