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filterPrivacy="1" defaultThemeVersion="124226"/>
  <xr:revisionPtr revIDLastSave="0" documentId="10_ncr:8100000_{0C60D29F-7EC2-4C7B-8C2E-540E50A3F4C1}" xr6:coauthVersionLast="33" xr6:coauthVersionMax="33" xr10:uidLastSave="{00000000-0000-0000-0000-000000000000}"/>
  <bookViews>
    <workbookView xWindow="240" yWindow="105" windowWidth="14805" windowHeight="8010" tabRatio="740" firstSheet="1" activeTab="1" xr2:uid="{00000000-000D-0000-FFFF-FFFF00000000}"/>
  </bookViews>
  <sheets>
    <sheet name="上海预提明细" sheetId="1" r:id="rId1"/>
    <sheet name="北京预提明细 " sheetId="17" r:id="rId2"/>
    <sheet name="深圳预提明细 " sheetId="18" r:id="rId3"/>
    <sheet name="广东预提明细" sheetId="19" r:id="rId4"/>
    <sheet name="佛山预提明细" sheetId="20" r:id="rId5"/>
    <sheet name="东莞预提明细 " sheetId="21" r:id="rId6"/>
    <sheet name="江门预提明细  " sheetId="22" r:id="rId7"/>
    <sheet name="江苏预提明细 " sheetId="23" r:id="rId8"/>
  </sheets>
  <definedNames>
    <definedName name="_xlnm.Print_Area" localSheetId="1">'北京预提明细 '!$A$1:$L$24</definedName>
    <definedName name="_xlnm.Print_Area" localSheetId="5">'东莞预提明细 '!$A$1:$L$24</definedName>
    <definedName name="_xlnm.Print_Area" localSheetId="4">佛山预提明细!$A$1:$L$24</definedName>
    <definedName name="_xlnm.Print_Area" localSheetId="3">广东预提明细!$A$1:$L$24</definedName>
    <definedName name="_xlnm.Print_Area" localSheetId="6">'江门预提明细  '!$A$1:$L$24</definedName>
    <definedName name="_xlnm.Print_Area" localSheetId="7">'江苏预提明细 '!$A$1:$L$24</definedName>
    <definedName name="_xlnm.Print_Area" localSheetId="0">上海预提明细!$A$1:$L$24</definedName>
    <definedName name="_xlnm.Print_Area" localSheetId="2">'深圳预提明细 '!$A$1:$L$24</definedName>
  </definedNames>
  <calcPr calcId="162913" calcOnSave="0"/>
</workbook>
</file>

<file path=xl/calcChain.xml><?xml version="1.0" encoding="utf-8"?>
<calcChain xmlns="http://schemas.openxmlformats.org/spreadsheetml/2006/main">
  <c r="J11" i="19" l="1"/>
  <c r="J12" i="19" s="1"/>
  <c r="F11" i="23"/>
  <c r="F11" i="22"/>
  <c r="F11" i="21"/>
  <c r="F12" i="21" s="1"/>
  <c r="F24" i="22"/>
  <c r="F11" i="20"/>
  <c r="F12" i="20" s="1"/>
  <c r="F11" i="19"/>
  <c r="F12" i="19" s="1"/>
  <c r="F11" i="18"/>
  <c r="F11" i="17"/>
  <c r="F12" i="1"/>
  <c r="G12" i="1"/>
  <c r="F11" i="1"/>
  <c r="G11" i="1"/>
  <c r="G11" i="17"/>
  <c r="G12" i="17" s="1"/>
  <c r="G13" i="17" s="1"/>
  <c r="J11" i="23"/>
  <c r="I11" i="23"/>
  <c r="H11" i="23"/>
  <c r="H12" i="23"/>
  <c r="G11" i="23"/>
  <c r="E20" i="23"/>
  <c r="E21" i="23"/>
  <c r="E22" i="23"/>
  <c r="D20" i="23"/>
  <c r="D21" i="23"/>
  <c r="D22" i="23"/>
  <c r="C20" i="23"/>
  <c r="C22" i="23" s="1"/>
  <c r="C21" i="23"/>
  <c r="B20" i="23"/>
  <c r="B21" i="23"/>
  <c r="E17" i="23"/>
  <c r="E18" i="23"/>
  <c r="E19" i="23"/>
  <c r="D17" i="23"/>
  <c r="D18" i="23"/>
  <c r="D19" i="23"/>
  <c r="C17" i="23"/>
  <c r="C19" i="23" s="1"/>
  <c r="C18" i="23"/>
  <c r="B17" i="23"/>
  <c r="B18" i="23"/>
  <c r="E14" i="23"/>
  <c r="E15" i="23"/>
  <c r="E16" i="23"/>
  <c r="D14" i="23"/>
  <c r="D15" i="23"/>
  <c r="D16" i="23"/>
  <c r="C14" i="23"/>
  <c r="C16" i="23" s="1"/>
  <c r="C15" i="23"/>
  <c r="B14" i="23"/>
  <c r="B15" i="23"/>
  <c r="E11" i="23"/>
  <c r="E12" i="23"/>
  <c r="E13" i="23"/>
  <c r="D11" i="23"/>
  <c r="D12" i="23"/>
  <c r="D13" i="23"/>
  <c r="C11" i="23"/>
  <c r="C13" i="23" s="1"/>
  <c r="C12" i="23"/>
  <c r="B11" i="23"/>
  <c r="B13" i="23"/>
  <c r="B12" i="23"/>
  <c r="J11" i="22"/>
  <c r="J12" i="22"/>
  <c r="I11" i="22"/>
  <c r="H11" i="22"/>
  <c r="H12" i="22"/>
  <c r="G11" i="22"/>
  <c r="E20" i="22"/>
  <c r="E22" i="22" s="1"/>
  <c r="E21" i="22"/>
  <c r="D20" i="22"/>
  <c r="D22" i="22" s="1"/>
  <c r="D21" i="22"/>
  <c r="C20" i="22"/>
  <c r="C21" i="22"/>
  <c r="C22" i="22"/>
  <c r="B20" i="22"/>
  <c r="B21" i="22"/>
  <c r="B22" i="22"/>
  <c r="E17" i="22"/>
  <c r="E19" i="22" s="1"/>
  <c r="E18" i="22"/>
  <c r="D17" i="22"/>
  <c r="D19" i="22" s="1"/>
  <c r="D18" i="22"/>
  <c r="C17" i="22"/>
  <c r="C18" i="22"/>
  <c r="C19" i="22"/>
  <c r="B17" i="22"/>
  <c r="B18" i="22"/>
  <c r="B19" i="22"/>
  <c r="E14" i="22"/>
  <c r="E16" i="22" s="1"/>
  <c r="E15" i="22"/>
  <c r="D14" i="22"/>
  <c r="D16" i="22" s="1"/>
  <c r="D15" i="22"/>
  <c r="C14" i="22"/>
  <c r="C15" i="22"/>
  <c r="C16" i="22"/>
  <c r="B14" i="22"/>
  <c r="B15" i="22"/>
  <c r="B16" i="22"/>
  <c r="E11" i="22"/>
  <c r="E13" i="22" s="1"/>
  <c r="E12" i="22"/>
  <c r="D11" i="22"/>
  <c r="D13" i="22" s="1"/>
  <c r="D12" i="22"/>
  <c r="C11" i="22"/>
  <c r="C12" i="22"/>
  <c r="C13" i="22"/>
  <c r="B11" i="22"/>
  <c r="B12" i="22"/>
  <c r="B13" i="22" s="1"/>
  <c r="J11" i="21"/>
  <c r="I11" i="21"/>
  <c r="I13" i="21" s="1"/>
  <c r="I12" i="21"/>
  <c r="H11" i="21"/>
  <c r="H12" i="21"/>
  <c r="G11" i="21"/>
  <c r="G12" i="21"/>
  <c r="G13" i="21"/>
  <c r="E20" i="21"/>
  <c r="E22" i="21" s="1"/>
  <c r="E21" i="21"/>
  <c r="D20" i="21"/>
  <c r="D21" i="21"/>
  <c r="C20" i="21"/>
  <c r="C21" i="21"/>
  <c r="C22" i="21"/>
  <c r="B20" i="21"/>
  <c r="B21" i="21"/>
  <c r="B22" i="21"/>
  <c r="E17" i="21"/>
  <c r="E19" i="21" s="1"/>
  <c r="E18" i="21"/>
  <c r="D17" i="21"/>
  <c r="D18" i="21"/>
  <c r="C17" i="21"/>
  <c r="C18" i="21"/>
  <c r="C19" i="21"/>
  <c r="B17" i="21"/>
  <c r="B18" i="21"/>
  <c r="B19" i="21"/>
  <c r="E14" i="21"/>
  <c r="E16" i="21" s="1"/>
  <c r="E15" i="21"/>
  <c r="D14" i="21"/>
  <c r="D15" i="21"/>
  <c r="C14" i="21"/>
  <c r="C15" i="21"/>
  <c r="C16" i="21"/>
  <c r="B14" i="21"/>
  <c r="B15" i="21"/>
  <c r="B16" i="21"/>
  <c r="E11" i="21"/>
  <c r="E13" i="21" s="1"/>
  <c r="E12" i="21"/>
  <c r="D11" i="21"/>
  <c r="D13" i="21"/>
  <c r="D12" i="21"/>
  <c r="C11" i="21"/>
  <c r="C12" i="21"/>
  <c r="C13" i="21"/>
  <c r="B11" i="21"/>
  <c r="B12" i="21"/>
  <c r="B13" i="21"/>
  <c r="J11" i="20"/>
  <c r="I11" i="20"/>
  <c r="I12" i="20"/>
  <c r="H11" i="20"/>
  <c r="H12" i="20"/>
  <c r="G11" i="20"/>
  <c r="G12" i="20"/>
  <c r="G13" i="20"/>
  <c r="E20" i="20"/>
  <c r="E22" i="20" s="1"/>
  <c r="E21" i="20"/>
  <c r="D20" i="20"/>
  <c r="D22" i="20" s="1"/>
  <c r="D21" i="20"/>
  <c r="C20" i="20"/>
  <c r="C21" i="20"/>
  <c r="C22" i="20"/>
  <c r="B20" i="20"/>
  <c r="B21" i="20"/>
  <c r="B22" i="20"/>
  <c r="E17" i="20"/>
  <c r="E19" i="20" s="1"/>
  <c r="E18" i="20"/>
  <c r="D17" i="20"/>
  <c r="D19" i="20" s="1"/>
  <c r="D18" i="20"/>
  <c r="C17" i="20"/>
  <c r="C18" i="20"/>
  <c r="C19" i="20"/>
  <c r="B17" i="20"/>
  <c r="B18" i="20"/>
  <c r="B19" i="20"/>
  <c r="E14" i="20"/>
  <c r="E16" i="20" s="1"/>
  <c r="E15" i="20"/>
  <c r="D14" i="20"/>
  <c r="D16" i="20" s="1"/>
  <c r="D15" i="20"/>
  <c r="C14" i="20"/>
  <c r="C15" i="20"/>
  <c r="C16" i="20"/>
  <c r="B14" i="20"/>
  <c r="B15" i="20"/>
  <c r="B16" i="20"/>
  <c r="E11" i="20"/>
  <c r="E13" i="20" s="1"/>
  <c r="E12" i="20"/>
  <c r="D11" i="20"/>
  <c r="D13" i="20"/>
  <c r="D12" i="20"/>
  <c r="C11" i="20"/>
  <c r="C12" i="20"/>
  <c r="C13" i="20"/>
  <c r="B11" i="20"/>
  <c r="B12" i="20"/>
  <c r="B13" i="20"/>
  <c r="I11" i="19"/>
  <c r="H11" i="19"/>
  <c r="H12" i="19"/>
  <c r="G11" i="19"/>
  <c r="G12" i="19"/>
  <c r="G13" i="19"/>
  <c r="E20" i="19"/>
  <c r="E22" i="19" s="1"/>
  <c r="E21" i="19"/>
  <c r="D20" i="19"/>
  <c r="D21" i="19"/>
  <c r="C20" i="19"/>
  <c r="C21" i="19"/>
  <c r="C22" i="19"/>
  <c r="B20" i="19"/>
  <c r="B21" i="19"/>
  <c r="B22" i="19"/>
  <c r="E17" i="19"/>
  <c r="E19" i="19" s="1"/>
  <c r="E18" i="19"/>
  <c r="D17" i="19"/>
  <c r="D18" i="19"/>
  <c r="C17" i="19"/>
  <c r="C18" i="19"/>
  <c r="C19" i="19"/>
  <c r="B17" i="19"/>
  <c r="B18" i="19"/>
  <c r="B19" i="19"/>
  <c r="E14" i="19"/>
  <c r="E16" i="19" s="1"/>
  <c r="E15" i="19"/>
  <c r="D14" i="19"/>
  <c r="D15" i="19"/>
  <c r="C14" i="19"/>
  <c r="C15" i="19"/>
  <c r="C16" i="19"/>
  <c r="B14" i="19"/>
  <c r="B15" i="19"/>
  <c r="B16" i="19"/>
  <c r="E11" i="19"/>
  <c r="E12" i="19"/>
  <c r="D11" i="19"/>
  <c r="D12" i="19"/>
  <c r="C11" i="19"/>
  <c r="C13" i="19" s="1"/>
  <c r="C12" i="19"/>
  <c r="B11" i="19"/>
  <c r="B12" i="19"/>
  <c r="J11" i="18"/>
  <c r="I11" i="18"/>
  <c r="H11" i="18"/>
  <c r="H12" i="18"/>
  <c r="G11" i="18"/>
  <c r="G12" i="18" s="1"/>
  <c r="E20" i="18"/>
  <c r="E22" i="18" s="1"/>
  <c r="E21" i="18"/>
  <c r="D20" i="18"/>
  <c r="D22" i="18" s="1"/>
  <c r="D21" i="18"/>
  <c r="C20" i="18"/>
  <c r="C22" i="18" s="1"/>
  <c r="C21" i="18"/>
  <c r="B20" i="18"/>
  <c r="B21" i="18"/>
  <c r="B22" i="18" s="1"/>
  <c r="E17" i="18"/>
  <c r="E18" i="18"/>
  <c r="E19" i="18"/>
  <c r="D17" i="18"/>
  <c r="D19" i="18" s="1"/>
  <c r="D18" i="18"/>
  <c r="C17" i="18"/>
  <c r="C19" i="18"/>
  <c r="C18" i="18"/>
  <c r="B17" i="18"/>
  <c r="B18" i="18"/>
  <c r="B19" i="18" s="1"/>
  <c r="E14" i="18"/>
  <c r="E15" i="18"/>
  <c r="E16" i="18"/>
  <c r="D14" i="18"/>
  <c r="D16" i="18" s="1"/>
  <c r="D15" i="18"/>
  <c r="C14" i="18"/>
  <c r="C15" i="18"/>
  <c r="C16" i="18"/>
  <c r="B14" i="18"/>
  <c r="B15" i="18"/>
  <c r="B16" i="18"/>
  <c r="E11" i="18"/>
  <c r="E13" i="18" s="1"/>
  <c r="E12" i="18"/>
  <c r="D11" i="18"/>
  <c r="D12" i="18"/>
  <c r="D13" i="18" s="1"/>
  <c r="C11" i="18"/>
  <c r="C12" i="18"/>
  <c r="B11" i="18"/>
  <c r="B12" i="18"/>
  <c r="B13" i="18" s="1"/>
  <c r="J11" i="17"/>
  <c r="I11" i="17"/>
  <c r="I12" i="17"/>
  <c r="H11" i="17"/>
  <c r="E20" i="17"/>
  <c r="E21" i="17"/>
  <c r="D20" i="17"/>
  <c r="D22" i="17" s="1"/>
  <c r="D21" i="17"/>
  <c r="C20" i="17"/>
  <c r="C21" i="17"/>
  <c r="B20" i="17"/>
  <c r="B21" i="17"/>
  <c r="E17" i="17"/>
  <c r="E18" i="17"/>
  <c r="E19" i="17" s="1"/>
  <c r="D17" i="17"/>
  <c r="D18" i="17"/>
  <c r="D19" i="17"/>
  <c r="C17" i="17"/>
  <c r="C19" i="17" s="1"/>
  <c r="C18" i="17"/>
  <c r="B17" i="17"/>
  <c r="B18" i="17"/>
  <c r="E14" i="17"/>
  <c r="E16" i="17" s="1"/>
  <c r="E15" i="17"/>
  <c r="D14" i="17"/>
  <c r="D15" i="17"/>
  <c r="C14" i="17"/>
  <c r="C16" i="17" s="1"/>
  <c r="C15" i="17"/>
  <c r="B14" i="17"/>
  <c r="B15" i="17"/>
  <c r="E11" i="17"/>
  <c r="E12" i="17"/>
  <c r="D11" i="17"/>
  <c r="D12" i="17"/>
  <c r="D13" i="17" s="1"/>
  <c r="C11" i="17"/>
  <c r="C12" i="17"/>
  <c r="B11" i="17"/>
  <c r="B12" i="17"/>
  <c r="B13" i="17" s="1"/>
  <c r="B11" i="1"/>
  <c r="I11" i="1"/>
  <c r="I15" i="1"/>
  <c r="H11" i="1"/>
  <c r="H12" i="1" s="1"/>
  <c r="H13" i="1" s="1"/>
  <c r="D12" i="1"/>
  <c r="D11" i="1"/>
  <c r="D13" i="1" s="1"/>
  <c r="J11" i="1"/>
  <c r="J12" i="1"/>
  <c r="E14" i="1"/>
  <c r="E16" i="1" s="1"/>
  <c r="E15" i="1"/>
  <c r="E12" i="1"/>
  <c r="E21" i="1"/>
  <c r="D21" i="1"/>
  <c r="D22" i="1" s="1"/>
  <c r="C21" i="1"/>
  <c r="B21" i="1"/>
  <c r="E20" i="1"/>
  <c r="E22" i="1" s="1"/>
  <c r="D20" i="1"/>
  <c r="C20" i="1"/>
  <c r="C22" i="1" s="1"/>
  <c r="B20" i="1"/>
  <c r="B22" i="1" s="1"/>
  <c r="E18" i="1"/>
  <c r="D18" i="1"/>
  <c r="C18" i="1"/>
  <c r="B18" i="1"/>
  <c r="E17" i="1"/>
  <c r="D17" i="1"/>
  <c r="D19" i="1"/>
  <c r="C17" i="1"/>
  <c r="B17" i="1"/>
  <c r="B19" i="1"/>
  <c r="D15" i="1"/>
  <c r="C15" i="1"/>
  <c r="B15" i="1"/>
  <c r="D14" i="1"/>
  <c r="D16" i="1" s="1"/>
  <c r="C14" i="1"/>
  <c r="C16" i="1" s="1"/>
  <c r="B14" i="1"/>
  <c r="C12" i="1"/>
  <c r="B12" i="1"/>
  <c r="B13" i="1" s="1"/>
  <c r="E11" i="1"/>
  <c r="E13" i="1"/>
  <c r="C11" i="1"/>
  <c r="C13" i="1" s="1"/>
  <c r="E19" i="1"/>
  <c r="C19" i="1"/>
  <c r="I12" i="1"/>
  <c r="I13" i="1"/>
  <c r="I14" i="1" s="1"/>
  <c r="C22" i="17"/>
  <c r="E22" i="17"/>
  <c r="C13" i="17"/>
  <c r="B16" i="1"/>
  <c r="D16" i="17"/>
  <c r="B16" i="17"/>
  <c r="B19" i="17"/>
  <c r="E13" i="17"/>
  <c r="B22" i="17"/>
  <c r="J12" i="17"/>
  <c r="J12" i="18"/>
  <c r="C13" i="18"/>
  <c r="H13" i="18"/>
  <c r="H14" i="18" s="1"/>
  <c r="H15" i="18" s="1"/>
  <c r="B13" i="19"/>
  <c r="D13" i="19"/>
  <c r="G12" i="23"/>
  <c r="I12" i="23"/>
  <c r="H13" i="22"/>
  <c r="J13" i="22"/>
  <c r="G14" i="21"/>
  <c r="G14" i="20"/>
  <c r="E13" i="19"/>
  <c r="J13" i="19"/>
  <c r="G14" i="19"/>
  <c r="G15" i="19"/>
  <c r="G16" i="19"/>
  <c r="G17" i="19" s="1"/>
  <c r="I12" i="18"/>
  <c r="I14" i="18" s="1"/>
  <c r="I13" i="18"/>
  <c r="I13" i="17"/>
  <c r="I15" i="17" s="1"/>
  <c r="I14" i="17"/>
  <c r="J13" i="1"/>
  <c r="J13" i="17"/>
  <c r="G13" i="23"/>
  <c r="H14" i="22"/>
  <c r="J14" i="22"/>
  <c r="G15" i="21"/>
  <c r="G15" i="20"/>
  <c r="G18" i="19"/>
  <c r="G13" i="18"/>
  <c r="I15" i="18"/>
  <c r="G14" i="17"/>
  <c r="J14" i="1"/>
  <c r="H14" i="1"/>
  <c r="J14" i="17"/>
  <c r="G14" i="23"/>
  <c r="G15" i="23"/>
  <c r="G19" i="19"/>
  <c r="G20" i="19" s="1"/>
  <c r="I16" i="18"/>
  <c r="I18" i="18" s="1"/>
  <c r="I17" i="18"/>
  <c r="G14" i="18"/>
  <c r="H15" i="1"/>
  <c r="H16" i="1" s="1"/>
  <c r="J15" i="1"/>
  <c r="J16" i="1"/>
  <c r="J15" i="17"/>
  <c r="J17" i="1"/>
  <c r="J18" i="1"/>
  <c r="H17" i="1"/>
  <c r="J16" i="17"/>
  <c r="J19" i="1"/>
  <c r="H18" i="1"/>
  <c r="J17" i="17"/>
  <c r="H19" i="1"/>
  <c r="H20" i="1" s="1"/>
  <c r="J18" i="17"/>
  <c r="J19" i="17" s="1"/>
  <c r="J20" i="17" l="1"/>
  <c r="J21" i="17" s="1"/>
  <c r="G22" i="19"/>
  <c r="G23" i="19" s="1"/>
  <c r="G24" i="19" s="1"/>
  <c r="F12" i="22"/>
  <c r="F13" i="22"/>
  <c r="G16" i="23"/>
  <c r="G18" i="23"/>
  <c r="G19" i="23"/>
  <c r="G20" i="23" s="1"/>
  <c r="G21" i="23" s="1"/>
  <c r="G17" i="23"/>
  <c r="G16" i="20"/>
  <c r="G17" i="20"/>
  <c r="G18" i="20" s="1"/>
  <c r="F13" i="20"/>
  <c r="F15" i="20" s="1"/>
  <c r="F14" i="20"/>
  <c r="I19" i="18"/>
  <c r="G15" i="17"/>
  <c r="G16" i="17"/>
  <c r="H16" i="18"/>
  <c r="H17" i="18"/>
  <c r="H21" i="1"/>
  <c r="I20" i="18"/>
  <c r="I21" i="18" s="1"/>
  <c r="I22" i="18" s="1"/>
  <c r="G15" i="18"/>
  <c r="G16" i="18"/>
  <c r="G17" i="21"/>
  <c r="G16" i="21"/>
  <c r="G18" i="21"/>
  <c r="J14" i="18"/>
  <c r="F12" i="17"/>
  <c r="I13" i="23"/>
  <c r="G21" i="19"/>
  <c r="H15" i="22"/>
  <c r="H16" i="22" s="1"/>
  <c r="H18" i="18"/>
  <c r="I16" i="17"/>
  <c r="I17" i="17"/>
  <c r="I17" i="1"/>
  <c r="H12" i="17"/>
  <c r="H13" i="17" s="1"/>
  <c r="F14" i="21"/>
  <c r="J20" i="1"/>
  <c r="J15" i="22"/>
  <c r="J13" i="18"/>
  <c r="D16" i="19"/>
  <c r="D22" i="19"/>
  <c r="I12" i="19"/>
  <c r="I14" i="19" s="1"/>
  <c r="I13" i="19"/>
  <c r="I13" i="20"/>
  <c r="D16" i="21"/>
  <c r="D22" i="21"/>
  <c r="I14" i="21"/>
  <c r="B16" i="23"/>
  <c r="B22" i="23"/>
  <c r="F13" i="18"/>
  <c r="F12" i="18"/>
  <c r="H13" i="20"/>
  <c r="J13" i="20"/>
  <c r="J15" i="20" s="1"/>
  <c r="J14" i="20"/>
  <c r="J12" i="20"/>
  <c r="I12" i="22"/>
  <c r="J12" i="23"/>
  <c r="F14" i="19"/>
  <c r="F13" i="19"/>
  <c r="I16" i="1"/>
  <c r="D19" i="19"/>
  <c r="H13" i="19"/>
  <c r="H14" i="19" s="1"/>
  <c r="D19" i="21"/>
  <c r="H14" i="21"/>
  <c r="H13" i="21"/>
  <c r="J12" i="21"/>
  <c r="G12" i="22"/>
  <c r="G13" i="22" s="1"/>
  <c r="G14" i="22" s="1"/>
  <c r="B19" i="23"/>
  <c r="H13" i="23"/>
  <c r="H14" i="23"/>
  <c r="F13" i="21"/>
  <c r="J14" i="19"/>
  <c r="F12" i="23"/>
  <c r="G13" i="1"/>
  <c r="G14" i="1" s="1"/>
  <c r="F14" i="1"/>
  <c r="F13" i="1"/>
  <c r="F13" i="23"/>
  <c r="H15" i="21" l="1"/>
  <c r="H16" i="21"/>
  <c r="J16" i="20"/>
  <c r="F14" i="18"/>
  <c r="I14" i="20"/>
  <c r="I15" i="20"/>
  <c r="F15" i="21"/>
  <c r="H16" i="17"/>
  <c r="H14" i="17"/>
  <c r="H23" i="1"/>
  <c r="H24" i="1" s="1"/>
  <c r="I13" i="22"/>
  <c r="I14" i="22"/>
  <c r="I14" i="23"/>
  <c r="I15" i="23"/>
  <c r="J13" i="23"/>
  <c r="I15" i="21"/>
  <c r="J15" i="18"/>
  <c r="H19" i="18"/>
  <c r="F13" i="17"/>
  <c r="F14" i="17"/>
  <c r="I23" i="18"/>
  <c r="I24" i="18" s="1"/>
  <c r="J23" i="17"/>
  <c r="J24" i="17" s="1"/>
  <c r="F15" i="23"/>
  <c r="F15" i="19"/>
  <c r="J16" i="22"/>
  <c r="J17" i="22"/>
  <c r="F14" i="22"/>
  <c r="F14" i="23"/>
  <c r="H15" i="23"/>
  <c r="H16" i="23" s="1"/>
  <c r="J13" i="21"/>
  <c r="J17" i="20"/>
  <c r="J18" i="20"/>
  <c r="J19" i="20" s="1"/>
  <c r="H14" i="20"/>
  <c r="H15" i="20" s="1"/>
  <c r="F15" i="18"/>
  <c r="F17" i="18" s="1"/>
  <c r="J18" i="22"/>
  <c r="J19" i="22" s="1"/>
  <c r="H15" i="17"/>
  <c r="H17" i="22"/>
  <c r="G19" i="21"/>
  <c r="G22" i="23"/>
  <c r="G23" i="23" s="1"/>
  <c r="G24" i="23" s="1"/>
  <c r="J22" i="17"/>
  <c r="H22" i="1"/>
  <c r="G19" i="20"/>
  <c r="F15" i="22"/>
  <c r="F16" i="1"/>
  <c r="J15" i="19"/>
  <c r="F15" i="1"/>
  <c r="G15" i="22"/>
  <c r="G16" i="22" s="1"/>
  <c r="H15" i="19"/>
  <c r="F16" i="18"/>
  <c r="I15" i="19"/>
  <c r="J23" i="1"/>
  <c r="J24" i="1" s="1"/>
  <c r="J21" i="1"/>
  <c r="J22" i="1" s="1"/>
  <c r="I18" i="1"/>
  <c r="I19" i="1" s="1"/>
  <c r="I18" i="17"/>
  <c r="I19" i="17" s="1"/>
  <c r="G16" i="1"/>
  <c r="G17" i="18"/>
  <c r="G18" i="18" s="1"/>
  <c r="G17" i="17"/>
  <c r="F16" i="20"/>
  <c r="G20" i="20"/>
  <c r="G15" i="1"/>
  <c r="G22" i="20" l="1"/>
  <c r="J20" i="22"/>
  <c r="G19" i="18"/>
  <c r="G20" i="18" s="1"/>
  <c r="J15" i="23"/>
  <c r="I20" i="1"/>
  <c r="I21" i="1"/>
  <c r="I23" i="1"/>
  <c r="I24" i="1" s="1"/>
  <c r="F19" i="18"/>
  <c r="G22" i="21"/>
  <c r="I18" i="19"/>
  <c r="J17" i="19"/>
  <c r="H20" i="18"/>
  <c r="H21" i="18" s="1"/>
  <c r="H22" i="18" s="1"/>
  <c r="J15" i="21"/>
  <c r="J14" i="21"/>
  <c r="G21" i="20"/>
  <c r="G20" i="21"/>
  <c r="G23" i="21" s="1"/>
  <c r="G24" i="21" s="1"/>
  <c r="I16" i="19"/>
  <c r="F16" i="19"/>
  <c r="G18" i="22"/>
  <c r="H18" i="22"/>
  <c r="H19" i="22" s="1"/>
  <c r="I20" i="17"/>
  <c r="I21" i="17" s="1"/>
  <c r="H17" i="23"/>
  <c r="F17" i="21"/>
  <c r="F16" i="22"/>
  <c r="F15" i="17"/>
  <c r="F16" i="17" s="1"/>
  <c r="J16" i="18"/>
  <c r="I22" i="1"/>
  <c r="F17" i="1"/>
  <c r="F18" i="18"/>
  <c r="F20" i="18" s="1"/>
  <c r="I15" i="22"/>
  <c r="I16" i="22" s="1"/>
  <c r="I16" i="20"/>
  <c r="G18" i="17"/>
  <c r="G21" i="17" s="1"/>
  <c r="G19" i="17"/>
  <c r="G20" i="17" s="1"/>
  <c r="I17" i="19"/>
  <c r="H16" i="19"/>
  <c r="J16" i="19"/>
  <c r="F16" i="21"/>
  <c r="I16" i="21"/>
  <c r="G17" i="1"/>
  <c r="I16" i="23"/>
  <c r="G17" i="22"/>
  <c r="G19" i="22" s="1"/>
  <c r="F17" i="20"/>
  <c r="G21" i="21"/>
  <c r="H16" i="20"/>
  <c r="J20" i="20"/>
  <c r="F16" i="23"/>
  <c r="F17" i="23" s="1"/>
  <c r="J17" i="18"/>
  <c r="J14" i="23"/>
  <c r="H17" i="17"/>
  <c r="H18" i="17" s="1"/>
  <c r="H19" i="17"/>
  <c r="H17" i="21"/>
  <c r="H19" i="21" l="1"/>
  <c r="H21" i="21" s="1"/>
  <c r="F18" i="23"/>
  <c r="F19" i="23" s="1"/>
  <c r="J18" i="23"/>
  <c r="G20" i="22"/>
  <c r="G23" i="22" s="1"/>
  <c r="G24" i="22" s="1"/>
  <c r="G22" i="22"/>
  <c r="F22" i="18"/>
  <c r="F20" i="20"/>
  <c r="F21" i="20" s="1"/>
  <c r="F18" i="20"/>
  <c r="I18" i="20"/>
  <c r="I20" i="20" s="1"/>
  <c r="I17" i="20"/>
  <c r="F21" i="18"/>
  <c r="F23" i="18" s="1"/>
  <c r="F24" i="18" s="1"/>
  <c r="J21" i="22"/>
  <c r="F19" i="20"/>
  <c r="F17" i="19"/>
  <c r="J16" i="23"/>
  <c r="G22" i="17"/>
  <c r="G23" i="17" s="1"/>
  <c r="G24" i="17" s="1"/>
  <c r="I20" i="19"/>
  <c r="J17" i="23"/>
  <c r="H20" i="21"/>
  <c r="I17" i="23"/>
  <c r="F17" i="22"/>
  <c r="F18" i="22" s="1"/>
  <c r="G21" i="22"/>
  <c r="G23" i="20"/>
  <c r="G24" i="20" s="1"/>
  <c r="H18" i="23"/>
  <c r="J16" i="21"/>
  <c r="G21" i="18"/>
  <c r="H18" i="21"/>
  <c r="H22" i="21" s="1"/>
  <c r="F19" i="21"/>
  <c r="J18" i="18"/>
  <c r="J19" i="18" s="1"/>
  <c r="F18" i="1"/>
  <c r="H20" i="17"/>
  <c r="I17" i="22"/>
  <c r="I19" i="20"/>
  <c r="H23" i="18"/>
  <c r="H24" i="18" s="1"/>
  <c r="F18" i="21"/>
  <c r="I18" i="23"/>
  <c r="H20" i="22"/>
  <c r="H21" i="22" s="1"/>
  <c r="I17" i="21"/>
  <c r="G18" i="1"/>
  <c r="I19" i="23"/>
  <c r="I21" i="23" s="1"/>
  <c r="I22" i="23" s="1"/>
  <c r="F17" i="17"/>
  <c r="H17" i="20"/>
  <c r="I22" i="17"/>
  <c r="I23" i="17" s="1"/>
  <c r="I24" i="17" s="1"/>
  <c r="I19" i="19"/>
  <c r="I20" i="23"/>
  <c r="J18" i="19"/>
  <c r="H17" i="19"/>
  <c r="J21" i="20"/>
  <c r="J22" i="20" s="1"/>
  <c r="J23" i="20" s="1"/>
  <c r="J24" i="20" s="1"/>
  <c r="H23" i="17" l="1"/>
  <c r="H24" i="17" s="1"/>
  <c r="G23" i="18"/>
  <c r="G24" i="18" s="1"/>
  <c r="F22" i="23"/>
  <c r="F20" i="23"/>
  <c r="F21" i="23" s="1"/>
  <c r="I23" i="23"/>
  <c r="I24" i="23" s="1"/>
  <c r="F19" i="22"/>
  <c r="F20" i="22" s="1"/>
  <c r="F21" i="22" s="1"/>
  <c r="F22" i="22"/>
  <c r="F22" i="20"/>
  <c r="F23" i="20" s="1"/>
  <c r="F24" i="20" s="1"/>
  <c r="H19" i="23"/>
  <c r="H21" i="23" s="1"/>
  <c r="H22" i="23" s="1"/>
  <c r="H23" i="23" s="1"/>
  <c r="H24" i="23" s="1"/>
  <c r="J23" i="22"/>
  <c r="J24" i="22" s="1"/>
  <c r="J22" i="22"/>
  <c r="J20" i="18"/>
  <c r="J21" i="18" s="1"/>
  <c r="J17" i="21"/>
  <c r="J18" i="21"/>
  <c r="I18" i="22"/>
  <c r="H18" i="19"/>
  <c r="F18" i="17"/>
  <c r="H23" i="21"/>
  <c r="H24" i="21" s="1"/>
  <c r="F19" i="1"/>
  <c r="F22" i="1" s="1"/>
  <c r="F23" i="1" s="1"/>
  <c r="F24" i="1" s="1"/>
  <c r="F20" i="21"/>
  <c r="F21" i="21" s="1"/>
  <c r="J22" i="18"/>
  <c r="J23" i="18" s="1"/>
  <c r="J24" i="18" s="1"/>
  <c r="I20" i="22"/>
  <c r="I21" i="22" s="1"/>
  <c r="H20" i="23"/>
  <c r="H21" i="17"/>
  <c r="H22" i="17" s="1"/>
  <c r="I21" i="20"/>
  <c r="I22" i="20" s="1"/>
  <c r="I23" i="20" s="1"/>
  <c r="I24" i="20" s="1"/>
  <c r="J19" i="21"/>
  <c r="J20" i="21" s="1"/>
  <c r="G22" i="18"/>
  <c r="G19" i="1"/>
  <c r="G20" i="1" s="1"/>
  <c r="G21" i="1" s="1"/>
  <c r="G22" i="1" s="1"/>
  <c r="G23" i="1" s="1"/>
  <c r="G24" i="1" s="1"/>
  <c r="H22" i="22"/>
  <c r="I21" i="19"/>
  <c r="I22" i="19" s="1"/>
  <c r="J21" i="19"/>
  <c r="J20" i="19"/>
  <c r="H23" i="22"/>
  <c r="H24" i="22" s="1"/>
  <c r="I19" i="22"/>
  <c r="I22" i="22" s="1"/>
  <c r="I23" i="22" s="1"/>
  <c r="I24" i="22" s="1"/>
  <c r="H18" i="20"/>
  <c r="F20" i="1"/>
  <c r="F21" i="1" s="1"/>
  <c r="I18" i="21"/>
  <c r="J19" i="19"/>
  <c r="J19" i="23"/>
  <c r="J20" i="23"/>
  <c r="J21" i="23" s="1"/>
  <c r="J22" i="23" s="1"/>
  <c r="F19" i="19"/>
  <c r="F18" i="19"/>
  <c r="J21" i="21" l="1"/>
  <c r="J23" i="21"/>
  <c r="J24" i="21" s="1"/>
  <c r="J23" i="23"/>
  <c r="J24" i="23" s="1"/>
  <c r="F20" i="19"/>
  <c r="F21" i="19" s="1"/>
  <c r="J22" i="19"/>
  <c r="J23" i="19" s="1"/>
  <c r="J24" i="19" s="1"/>
  <c r="H19" i="19"/>
  <c r="H20" i="19" s="1"/>
  <c r="J22" i="21"/>
  <c r="I19" i="21"/>
  <c r="I23" i="19"/>
  <c r="I24" i="19" s="1"/>
  <c r="H19" i="20"/>
  <c r="H20" i="20" s="1"/>
  <c r="H21" i="20" s="1"/>
  <c r="H22" i="20" s="1"/>
  <c r="H23" i="20" s="1"/>
  <c r="H24" i="20" s="1"/>
  <c r="F22" i="21"/>
  <c r="F23" i="21" s="1"/>
  <c r="F24" i="21" s="1"/>
  <c r="F19" i="17"/>
  <c r="F20" i="17" s="1"/>
  <c r="F23" i="23"/>
  <c r="F24" i="23" s="1"/>
  <c r="I20" i="21" l="1"/>
  <c r="I21" i="21" s="1"/>
  <c r="F22" i="19"/>
  <c r="F23" i="19" s="1"/>
  <c r="F24" i="19" s="1"/>
  <c r="H21" i="19"/>
  <c r="H22" i="19"/>
  <c r="H23" i="19" s="1"/>
  <c r="H24" i="19" s="1"/>
  <c r="F21" i="17"/>
  <c r="F22" i="17" s="1"/>
  <c r="F23" i="17" s="1"/>
  <c r="F24" i="17" s="1"/>
  <c r="I22" i="21" l="1"/>
  <c r="I23" i="21"/>
  <c r="I24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3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6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9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  <comment ref="A22" authorId="0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3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6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9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  <comment ref="A22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3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6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9" authorId="0" shapeId="0" xr:uid="{00000000-0006-0000-02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  <comment ref="A22" authorId="0" shapeId="0" xr:uid="{00000000-0006-0000-02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3" authorId="0" shapeId="0" xr:uid="{00000000-0006-0000-03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6" authorId="0" shapeId="0" xr:uid="{00000000-0006-0000-03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9" authorId="0" shapeId="0" xr:uid="{00000000-0006-0000-03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  <comment ref="A22" authorId="0" shapeId="0" xr:uid="{00000000-0006-0000-03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3" authorId="0" shapeId="0" xr:uid="{00000000-0006-0000-04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6" authorId="0" shapeId="0" xr:uid="{00000000-0006-0000-04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9" authorId="0" shapeId="0" xr:uid="{00000000-0006-0000-04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  <comment ref="A22" authorId="0" shapeId="0" xr:uid="{00000000-0006-0000-04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3" authorId="0" shapeId="0" xr:uid="{00000000-0006-0000-05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6" authorId="0" shapeId="0" xr:uid="{00000000-0006-0000-05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9" authorId="0" shapeId="0" xr:uid="{00000000-0006-0000-05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  <comment ref="A22" authorId="0" shapeId="0" xr:uid="{00000000-0006-0000-05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3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6" authorId="0" shapeId="0" xr:uid="{00000000-0006-0000-06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9" authorId="0" shapeId="0" xr:uid="{00000000-0006-0000-06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  <comment ref="A22" authorId="0" shapeId="0" xr:uid="{00000000-0006-0000-06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3" authorId="0" shapeId="0" xr:uid="{00000000-0006-0000-07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6" authorId="0" shapeId="0" xr:uid="{00000000-0006-0000-07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
</t>
        </r>
      </text>
    </comment>
    <comment ref="A19" authorId="0" shapeId="0" xr:uid="{00000000-0006-0000-07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  <comment ref="A22" authorId="0" shapeId="0" xr:uid="{00000000-0006-0000-07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季末冲回季度奖金预提</t>
        </r>
      </text>
    </comment>
  </commentList>
</comments>
</file>

<file path=xl/sharedStrings.xml><?xml version="1.0" encoding="utf-8"?>
<sst xmlns="http://schemas.openxmlformats.org/spreadsheetml/2006/main" count="312" uniqueCount="46">
  <si>
    <t>上海（010）</t>
  </si>
  <si>
    <t>Total</t>
  </si>
  <si>
    <t>营销员季度奖-QPB</t>
  </si>
  <si>
    <t>LC季度奖-QPB-LC</t>
  </si>
  <si>
    <t>营销员季度续保奖-KPB</t>
  </si>
  <si>
    <t>LC季度续保奖-KPB-LC</t>
  </si>
  <si>
    <t>直辖组年度管理奖-YPS</t>
  </si>
  <si>
    <t>营业部业绩增长奖-OPG</t>
  </si>
  <si>
    <t>营业部人力增长奖-OMG</t>
  </si>
  <si>
    <t>MDRT特别奖-MDRT</t>
  </si>
  <si>
    <t>Sun 科目代码</t>
  </si>
  <si>
    <t>当月FYC</t>
  </si>
  <si>
    <t>Check</t>
  </si>
  <si>
    <t>上海分公司营销员奖金预提表</t>
  </si>
  <si>
    <t>当月RYC</t>
    <phoneticPr fontId="6" type="noConversion"/>
  </si>
  <si>
    <t>北京分公司营销员奖金预提表</t>
    <phoneticPr fontId="6" type="noConversion"/>
  </si>
  <si>
    <t>北京</t>
    <phoneticPr fontId="6" type="noConversion"/>
  </si>
  <si>
    <t>深圳</t>
    <phoneticPr fontId="6" type="noConversion"/>
  </si>
  <si>
    <t>深圳分公司营销员奖金预提表</t>
    <phoneticPr fontId="6" type="noConversion"/>
  </si>
  <si>
    <t>广东分公司营销员奖金预提表</t>
    <phoneticPr fontId="6" type="noConversion"/>
  </si>
  <si>
    <t>佛山</t>
    <phoneticPr fontId="6" type="noConversion"/>
  </si>
  <si>
    <t>佛山支公司营销员奖金预提表</t>
    <phoneticPr fontId="6" type="noConversion"/>
  </si>
  <si>
    <t>东莞</t>
    <phoneticPr fontId="6" type="noConversion"/>
  </si>
  <si>
    <t>江门</t>
    <phoneticPr fontId="6" type="noConversion"/>
  </si>
  <si>
    <t>江苏</t>
    <phoneticPr fontId="6" type="noConversion"/>
  </si>
  <si>
    <t>2018年度</t>
  </si>
  <si>
    <t>Quarterly</t>
  </si>
  <si>
    <t>Yearly</t>
  </si>
  <si>
    <t>Quarterly</t>
    <phoneticPr fontId="6" type="noConversion"/>
  </si>
  <si>
    <t>费用科目</t>
    <phoneticPr fontId="6" type="noConversion"/>
  </si>
  <si>
    <t>应付科目</t>
    <phoneticPr fontId="6" type="noConversion"/>
  </si>
  <si>
    <t>DOM年度激励奖金-DOM</t>
  </si>
  <si>
    <t>北京（020）</t>
    <phoneticPr fontId="6" type="noConversion"/>
  </si>
  <si>
    <t>深圳（031）</t>
    <phoneticPr fontId="6" type="noConversion"/>
  </si>
  <si>
    <t>广东</t>
    <phoneticPr fontId="6" type="noConversion"/>
  </si>
  <si>
    <t>广东（030）</t>
    <phoneticPr fontId="6" type="noConversion"/>
  </si>
  <si>
    <t>佛山（034）</t>
    <phoneticPr fontId="6" type="noConversion"/>
  </si>
  <si>
    <t>东莞公司营销员奖金预提表</t>
    <phoneticPr fontId="6" type="noConversion"/>
  </si>
  <si>
    <t>东莞（032）</t>
    <phoneticPr fontId="6" type="noConversion"/>
  </si>
  <si>
    <t>江门（033）</t>
    <phoneticPr fontId="6" type="noConversion"/>
  </si>
  <si>
    <t>江门公司营销员奖金预提表</t>
    <phoneticPr fontId="6" type="noConversion"/>
  </si>
  <si>
    <t>江苏（041）</t>
    <phoneticPr fontId="6" type="noConversion"/>
  </si>
  <si>
    <t>江苏公司营销员奖金预提表</t>
    <phoneticPr fontId="6" type="noConversion"/>
  </si>
  <si>
    <t>预提周期</t>
    <phoneticPr fontId="6" type="noConversion"/>
  </si>
  <si>
    <t>上海</t>
    <phoneticPr fontId="6" type="noConversion"/>
  </si>
  <si>
    <t>Quarterly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</si>
</sst>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¥&quot;* #,##0.00_ ;_ &quot;¥&quot;* \-#,##0.00_ ;_ &quot;¥&quot;* &quot;-&quot;??_ ;_ @_ "/>
    <numFmt numFmtId="176" formatCode="_(* #,##0.00_);_(* \(#,##0.00\);_(* &quot;-&quot;??_);_(@_)"/>
    <numFmt numFmtId="177" formatCode="0.00_);[Red]\(0.00\)"/>
    <numFmt numFmtId="178" formatCode="0.00;[Red]0.00"/>
    <numFmt numFmtId="179" formatCode="#,##0.00_);\(#,##0.00\)"/>
    <numFmt numFmtId="180" formatCode="yyyy/mm"/>
  </numFmts>
  <fonts count="13" x14ac:knownFonts="1">
    <font>
      <sz val="11"/>
      <color theme="1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4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4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2"/>
      <scheme val="minor"/>
    </font>
    <font>
      <b/>
      <sz val="2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trike/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5" borderId="0" xfId="0" applyFill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178" fontId="3" fillId="0" borderId="1" xfId="0" applyNumberFormat="1" applyFont="1" applyBorder="1" applyAlignment="1">
      <alignment horizontal="left"/>
    </xf>
    <xf numFmtId="177" fontId="3" fillId="2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 applyAlignment="1">
      <alignment horizontal="left"/>
    </xf>
    <xf numFmtId="17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180" fontId="3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horizontal="left"/>
    </xf>
    <xf numFmtId="10" fontId="0" fillId="0" borderId="0" xfId="0" applyNumberFormat="1" applyFill="1" applyAlignment="1">
      <alignment horizontal="left"/>
    </xf>
    <xf numFmtId="176" fontId="3" fillId="4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10" fontId="9" fillId="0" borderId="0" xfId="0" applyNumberFormat="1" applyFont="1" applyAlignment="1">
      <alignment horizontal="left"/>
    </xf>
    <xf numFmtId="0" fontId="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0" fontId="12" fillId="0" borderId="0" xfId="0" applyNumberFormat="1" applyFont="1" applyAlignment="1">
      <alignment horizontal="left"/>
    </xf>
    <xf numFmtId="44" fontId="3" fillId="0" borderId="0" xfId="0" applyNumberFormat="1" applyFont="1" applyAlignment="1">
      <alignment horizontal="left"/>
    </xf>
    <xf numFmtId="178" fontId="10" fillId="0" borderId="1" xfId="0" applyNumberFormat="1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178" fontId="10" fillId="4" borderId="1" xfId="0" applyNumberFormat="1" applyFont="1" applyFill="1" applyBorder="1" applyAlignment="1">
      <alignment horizontal="left"/>
    </xf>
    <xf numFmtId="0" fontId="0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178" fontId="3" fillId="7" borderId="1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8" fillId="6" borderId="3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8"/>
  <sheetViews>
    <sheetView zoomScale="60" zoomScaleNormal="60" workbookViewId="0">
      <selection activeCell="B11" sqref="B11"/>
    </sheetView>
  </sheetViews>
  <sheetFormatPr defaultColWidth="9.125" defaultRowHeight="13.5" x14ac:dyDescent="0.15"/>
  <cols>
    <col min="1" max="1" width="23.75" style="5" bestFit="1" customWidth="1"/>
    <col min="2" max="2" width="18.75" style="5" bestFit="1" customWidth="1"/>
    <col min="3" max="3" width="16.75" style="5" bestFit="1" customWidth="1"/>
    <col min="4" max="4" width="22.75" style="5" bestFit="1" customWidth="1"/>
    <col min="5" max="5" width="20.875" style="5" bestFit="1" customWidth="1"/>
    <col min="6" max="6" width="22.625" style="5" bestFit="1" customWidth="1"/>
    <col min="7" max="7" width="22.5" style="5" bestFit="1" customWidth="1"/>
    <col min="8" max="8" width="23.25" style="5" bestFit="1" customWidth="1"/>
    <col min="9" max="9" width="23.875" style="5" bestFit="1" customWidth="1"/>
    <col min="10" max="10" width="20.25" style="5" bestFit="1" customWidth="1"/>
    <col min="11" max="11" width="16.125" style="5" bestFit="1" customWidth="1"/>
    <col min="12" max="12" width="15" style="5" bestFit="1" customWidth="1"/>
    <col min="13" max="16384" width="9.125" style="5"/>
  </cols>
  <sheetData>
    <row r="1" spans="1:12" x14ac:dyDescent="0.15">
      <c r="A1" s="1" t="s">
        <v>25</v>
      </c>
      <c r="B1" s="2" t="s">
        <v>2</v>
      </c>
      <c r="C1" s="3" t="s">
        <v>3</v>
      </c>
      <c r="D1" s="3" t="s">
        <v>4</v>
      </c>
      <c r="E1" s="3" t="s">
        <v>5</v>
      </c>
      <c r="F1" s="38" t="s">
        <v>31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2" x14ac:dyDescent="0.15">
      <c r="A2" s="1" t="s">
        <v>10</v>
      </c>
      <c r="B2" s="2">
        <v>5106050102</v>
      </c>
      <c r="C2" s="3">
        <v>5106050106</v>
      </c>
      <c r="D2" s="3">
        <v>5106050104</v>
      </c>
      <c r="E2" s="3">
        <v>5106050108</v>
      </c>
      <c r="F2" s="39">
        <v>5106050258</v>
      </c>
      <c r="G2" s="4">
        <v>5106050225</v>
      </c>
      <c r="H2" s="4">
        <v>5106050221</v>
      </c>
      <c r="I2" s="4">
        <v>5106050222</v>
      </c>
      <c r="J2" s="4">
        <v>5106050204</v>
      </c>
    </row>
    <row r="3" spans="1:12" x14ac:dyDescent="0.15">
      <c r="A3" s="6" t="s">
        <v>0</v>
      </c>
      <c r="B3" s="7">
        <v>0.12520000000000001</v>
      </c>
      <c r="C3" s="7">
        <v>3.8199999999999998E-2</v>
      </c>
      <c r="D3" s="7">
        <v>3.5499999999999997E-2</v>
      </c>
      <c r="E3" s="7">
        <v>1.7500000000000002E-2</v>
      </c>
      <c r="F3" s="26">
        <v>0</v>
      </c>
      <c r="G3" s="7">
        <v>4.8000000000000001E-2</v>
      </c>
      <c r="H3" s="7">
        <v>2.4899999999999999E-2</v>
      </c>
      <c r="I3" s="7">
        <v>1.6000000000000001E-3</v>
      </c>
      <c r="J3" s="7">
        <v>9.1000000000000004E-3</v>
      </c>
    </row>
    <row r="4" spans="1:12" x14ac:dyDescent="0.15">
      <c r="C4" s="7"/>
      <c r="D4" s="7"/>
      <c r="E4" s="7"/>
      <c r="F4" s="7"/>
      <c r="G4" s="7"/>
      <c r="H4" s="7"/>
      <c r="I4" s="7"/>
      <c r="J4" s="7"/>
    </row>
    <row r="6" spans="1:12" x14ac:dyDescent="0.15">
      <c r="A6" s="44" t="s">
        <v>13</v>
      </c>
      <c r="B6" s="44"/>
      <c r="C6" s="44"/>
      <c r="D6" s="44"/>
      <c r="E6" s="44"/>
      <c r="F6" s="44"/>
      <c r="G6" s="44"/>
      <c r="H6" s="44"/>
      <c r="I6" s="44"/>
      <c r="J6" s="45"/>
    </row>
    <row r="7" spans="1:12" ht="19.5" customHeight="1" x14ac:dyDescent="0.15">
      <c r="A7" s="41" t="s">
        <v>44</v>
      </c>
      <c r="B7" s="8" t="s">
        <v>2</v>
      </c>
      <c r="C7" s="8" t="s">
        <v>3</v>
      </c>
      <c r="D7" s="8" t="s">
        <v>4</v>
      </c>
      <c r="E7" s="8" t="s">
        <v>5</v>
      </c>
      <c r="F7" s="27" t="s">
        <v>31</v>
      </c>
      <c r="G7" s="8" t="s">
        <v>6</v>
      </c>
      <c r="H7" s="8" t="s">
        <v>7</v>
      </c>
      <c r="I7" s="8" t="s">
        <v>8</v>
      </c>
      <c r="J7" s="8" t="s">
        <v>9</v>
      </c>
    </row>
    <row r="8" spans="1:12" ht="19.5" customHeight="1" x14ac:dyDescent="0.25">
      <c r="A8" s="23" t="s">
        <v>29</v>
      </c>
      <c r="B8" s="42">
        <v>5106050102</v>
      </c>
      <c r="C8" s="9">
        <v>5106050106</v>
      </c>
      <c r="D8" s="9">
        <v>5106050104</v>
      </c>
      <c r="E8" s="9">
        <v>5106050108</v>
      </c>
      <c r="F8" s="28">
        <v>5106050258</v>
      </c>
      <c r="G8" s="9">
        <v>5106050225</v>
      </c>
      <c r="H8" s="9">
        <v>5106050221</v>
      </c>
      <c r="I8" s="9">
        <v>5106050222</v>
      </c>
      <c r="J8" s="9">
        <v>5106050204</v>
      </c>
      <c r="K8" s="46" t="s">
        <v>11</v>
      </c>
      <c r="L8" s="47" t="s">
        <v>14</v>
      </c>
    </row>
    <row r="9" spans="1:12" ht="20.25" x14ac:dyDescent="0.25">
      <c r="A9" s="22" t="s">
        <v>30</v>
      </c>
      <c r="B9" s="43">
        <v>23020202</v>
      </c>
      <c r="C9" s="19">
        <v>23020202</v>
      </c>
      <c r="D9" s="19">
        <v>23020202</v>
      </c>
      <c r="E9" s="19">
        <v>23020202</v>
      </c>
      <c r="F9" s="19">
        <v>23020203</v>
      </c>
      <c r="G9" s="19">
        <v>23020203</v>
      </c>
      <c r="H9" s="19">
        <v>23020203</v>
      </c>
      <c r="I9" s="19">
        <v>23020203</v>
      </c>
      <c r="J9" s="19">
        <v>23020203</v>
      </c>
      <c r="K9" s="46"/>
      <c r="L9" s="47"/>
    </row>
    <row r="10" spans="1:12" ht="20.25" x14ac:dyDescent="0.25">
      <c r="A10" s="22" t="s">
        <v>43</v>
      </c>
      <c r="B10" s="43" t="s">
        <v>45</v>
      </c>
      <c r="C10" s="19" t="s">
        <v>26</v>
      </c>
      <c r="D10" s="19" t="s">
        <v>26</v>
      </c>
      <c r="E10" s="19" t="s">
        <v>26</v>
      </c>
      <c r="F10" s="19" t="s">
        <v>27</v>
      </c>
      <c r="G10" s="19" t="s">
        <v>27</v>
      </c>
      <c r="H10" s="19" t="s">
        <v>27</v>
      </c>
      <c r="I10" s="19" t="s">
        <v>27</v>
      </c>
      <c r="J10" s="19" t="s">
        <v>27</v>
      </c>
      <c r="K10" s="46"/>
      <c r="L10" s="47"/>
    </row>
    <row r="11" spans="1:12" ht="19.5" customHeight="1" x14ac:dyDescent="0.25">
      <c r="A11" s="18">
        <v>43101</v>
      </c>
      <c r="B11" s="10">
        <f>ROUND($K$11*B3,0)</f>
        <v>3947590</v>
      </c>
      <c r="C11" s="10">
        <f>ROUND($K$11*C3,0)</f>
        <v>1204456</v>
      </c>
      <c r="D11" s="10">
        <f>ROUND($L$11*D3,0)</f>
        <v>331196</v>
      </c>
      <c r="E11" s="10">
        <f>ROUND($L$11*E3,0)</f>
        <v>163266</v>
      </c>
      <c r="F11" s="10">
        <f>ROUND($K$11*F3,0)</f>
        <v>0</v>
      </c>
      <c r="G11" s="10">
        <f>ROUND($K$11*G3,0)</f>
        <v>1513453</v>
      </c>
      <c r="H11" s="10">
        <f>ROUND($K$11*H3,0)</f>
        <v>785104</v>
      </c>
      <c r="I11" s="10">
        <f>ROUND($K$11*I3,0)</f>
        <v>50448</v>
      </c>
      <c r="J11" s="10">
        <f>ROUND($K$11*J3,0)</f>
        <v>286925</v>
      </c>
      <c r="K11" s="17">
        <v>31530273.190000001</v>
      </c>
      <c r="L11" s="17">
        <v>9329464.9900000021</v>
      </c>
    </row>
    <row r="12" spans="1:12" ht="19.5" customHeight="1" x14ac:dyDescent="0.25">
      <c r="A12" s="18">
        <v>43132</v>
      </c>
      <c r="B12" s="10">
        <f>ROUND($K$12*B3,0)</f>
        <v>2225719</v>
      </c>
      <c r="C12" s="10">
        <f>ROUND($K$12*C3,0)</f>
        <v>679093</v>
      </c>
      <c r="D12" s="10">
        <f>ROUND($L$12*D3,0)</f>
        <v>316451</v>
      </c>
      <c r="E12" s="10">
        <f>ROUND($L$12*E3,0)</f>
        <v>155997</v>
      </c>
      <c r="F12" s="10">
        <f>ROUND(SUM(K$11:$K12)*$F$3,0)-SUM(F$11:$F11)</f>
        <v>0</v>
      </c>
      <c r="G12" s="10">
        <f>ROUND(SUM($K$11:K12)*$G$3,0)-SUM($G$11:G11)</f>
        <v>853311</v>
      </c>
      <c r="H12" s="10">
        <f>ROUND(SUM($K$11:K12)*$H$3,0)-SUM($H$11:H11)</f>
        <v>442655</v>
      </c>
      <c r="I12" s="10">
        <f>ROUND(SUM($K$11:K12)*$I$3,0)-SUM($I$11:I11)</f>
        <v>28444</v>
      </c>
      <c r="J12" s="10">
        <f>ROUND(SUM($K$11:K12)*$J$3,0)-SUM($J$11:J11)</f>
        <v>161774</v>
      </c>
      <c r="K12" s="16">
        <v>17777309.120000001</v>
      </c>
      <c r="L12" s="16">
        <v>8914110.6600000001</v>
      </c>
    </row>
    <row r="13" spans="1:12" ht="19.5" customHeight="1" x14ac:dyDescent="0.25">
      <c r="A13" s="18">
        <v>43160</v>
      </c>
      <c r="B13" s="11">
        <f>SUM(B11:B12)</f>
        <v>6173309</v>
      </c>
      <c r="C13" s="11">
        <f>SUM(C11:C12)</f>
        <v>1883549</v>
      </c>
      <c r="D13" s="11">
        <f t="shared" ref="D13:E13" si="0">SUM(D11:D12)</f>
        <v>647647</v>
      </c>
      <c r="E13" s="11">
        <f t="shared" si="0"/>
        <v>319263</v>
      </c>
      <c r="F13" s="10">
        <f>ROUND(SUM(K$11:$K13)*$F$3,0)-SUM(F$11:$F12)</f>
        <v>0</v>
      </c>
      <c r="G13" s="10">
        <f>ROUND(SUM($K$11:K13)*$G$3,0)-SUM($G$11:G12)</f>
        <v>1191408</v>
      </c>
      <c r="H13" s="10">
        <f>ROUND(SUM($K$11:K13)*$H$3,0)-SUM($H$11:H12)</f>
        <v>618043</v>
      </c>
      <c r="I13" s="10">
        <f>ROUND(SUM($K$11:K13)*$I$3,0)-SUM($I$11:I12)</f>
        <v>39714</v>
      </c>
      <c r="J13" s="10">
        <f>ROUND(SUM($K$11:K13)*$J$3,0)-SUM($J$11:J12)</f>
        <v>225871</v>
      </c>
      <c r="K13" s="16">
        <v>24821001.25</v>
      </c>
      <c r="L13" s="16"/>
    </row>
    <row r="14" spans="1:12" ht="19.5" customHeight="1" x14ac:dyDescent="0.25">
      <c r="A14" s="18">
        <v>43191</v>
      </c>
      <c r="B14" s="10">
        <f>ROUND($K$14*B3,0)</f>
        <v>1788370</v>
      </c>
      <c r="C14" s="10">
        <f>ROUND($K$14*C3,0)</f>
        <v>545653</v>
      </c>
      <c r="D14" s="10">
        <f>ROUND($L$14*D3,0)</f>
        <v>303893</v>
      </c>
      <c r="E14" s="10">
        <f>ROUND($L$14*E3,0)</f>
        <v>149806</v>
      </c>
      <c r="F14" s="10">
        <f>ROUND(SUM(K$11:$K14)*$F$3,0)-SUM(F$11:$F13)</f>
        <v>0</v>
      </c>
      <c r="G14" s="10">
        <f>ROUND(SUM($K$11:K14)*$G$3,0)-SUM($G$11:G13)</f>
        <v>685637</v>
      </c>
      <c r="H14" s="10">
        <f>ROUND(SUM($K$11:K14)*$H$3,0)-SUM($H$11:H13)</f>
        <v>355674</v>
      </c>
      <c r="I14" s="10">
        <f>ROUND(SUM($K$11:K14)*$I$3,0)-SUM($I$11:I13)</f>
        <v>22854</v>
      </c>
      <c r="J14" s="10">
        <f>ROUND(SUM($K$11:K14)*$J$3,0)-SUM($J$11:J13)</f>
        <v>129985</v>
      </c>
      <c r="K14" s="16">
        <v>14284101.66</v>
      </c>
      <c r="L14" s="16">
        <v>8560358.3499999996</v>
      </c>
    </row>
    <row r="15" spans="1:12" ht="19.5" customHeight="1" x14ac:dyDescent="0.25">
      <c r="A15" s="18">
        <v>43221</v>
      </c>
      <c r="B15" s="10">
        <f>ROUND($K$15*B3,0)</f>
        <v>2106658</v>
      </c>
      <c r="C15" s="10">
        <f>ROUND($K$15*C3,0)</f>
        <v>642766</v>
      </c>
      <c r="D15" s="10">
        <f>ROUND($L$15*D3,0)</f>
        <v>335332</v>
      </c>
      <c r="E15" s="10">
        <f>ROUND($L$15*E3,0)</f>
        <v>165305</v>
      </c>
      <c r="F15" s="10">
        <f>ROUND(SUM(K$11:$K15)*$F$3,0)-SUM(F$11:$F14)</f>
        <v>0</v>
      </c>
      <c r="G15" s="10">
        <f>ROUND(SUM($K$11:K15)*$G$3,0)-SUM($G$11:G14)</f>
        <v>807664</v>
      </c>
      <c r="H15" s="10">
        <f>ROUND(SUM($K$11:K15)*$H$3,0)-SUM($H$11:H14)</f>
        <v>418976</v>
      </c>
      <c r="I15" s="10">
        <f>ROUND(SUM($K$11:K15)*$I$3,0)-SUM($I$11:I14)</f>
        <v>26922</v>
      </c>
      <c r="J15" s="10">
        <f>ROUND(SUM($K$11:K15)*$J$3,0)-SUM($J$11:J14)</f>
        <v>153120</v>
      </c>
      <c r="K15" s="16">
        <v>16826337.91</v>
      </c>
      <c r="L15" s="16">
        <v>9445983.5099999998</v>
      </c>
    </row>
    <row r="16" spans="1:12" ht="19.5" customHeight="1" x14ac:dyDescent="0.25">
      <c r="A16" s="18">
        <v>43252</v>
      </c>
      <c r="B16" s="11">
        <f>SUM(B14:B15)</f>
        <v>3895028</v>
      </c>
      <c r="C16" s="11">
        <f t="shared" ref="C16:E16" si="1">SUM(C14:C15)</f>
        <v>1188419</v>
      </c>
      <c r="D16" s="11">
        <f t="shared" si="1"/>
        <v>639225</v>
      </c>
      <c r="E16" s="11">
        <f t="shared" si="1"/>
        <v>315111</v>
      </c>
      <c r="F16" s="10">
        <f>ROUND(SUM(K$11:$K16)*$F$3,0)-SUM(F$11:$F15)</f>
        <v>0</v>
      </c>
      <c r="G16" s="10">
        <f>ROUND(SUM($K$11:K16)*$G$3,0)-SUM($G$11:G15)</f>
        <v>0</v>
      </c>
      <c r="H16" s="10">
        <f>ROUND(SUM($K$11:K16)*$H$3,0)-SUM($H$11:H15)</f>
        <v>0</v>
      </c>
      <c r="I16" s="10">
        <f>ROUND(SUM($K$11:K16)*$I$3,0)-SUM($I$11:I15)</f>
        <v>0</v>
      </c>
      <c r="J16" s="10">
        <f>ROUND(SUM($K$11:K16)*$J$3,0)-SUM($J$11:J15)</f>
        <v>0</v>
      </c>
      <c r="K16" s="16"/>
      <c r="L16" s="16"/>
    </row>
    <row r="17" spans="1:12" ht="19.5" customHeight="1" x14ac:dyDescent="0.25">
      <c r="A17" s="18">
        <v>43282</v>
      </c>
      <c r="B17" s="10">
        <f>ROUND($K$17*B3,0)</f>
        <v>0</v>
      </c>
      <c r="C17" s="10">
        <f>ROUND($K$17*C3,0)</f>
        <v>0</v>
      </c>
      <c r="D17" s="10">
        <f>ROUND($L$17*D3,0)</f>
        <v>0</v>
      </c>
      <c r="E17" s="10">
        <f>ROUND($L$17*E3,0)</f>
        <v>0</v>
      </c>
      <c r="F17" s="10">
        <f>ROUND(SUM(K$11:$K17)*$F$3,0)-SUM(F$11:$F16)</f>
        <v>0</v>
      </c>
      <c r="G17" s="10">
        <f>ROUND(SUM($K$11:K17)*$G$3,0)-SUM($G$11:G16)</f>
        <v>0</v>
      </c>
      <c r="H17" s="10">
        <f>ROUND(SUM($K$11:K17)*$H$3,0)-SUM($H$11:H16)</f>
        <v>0</v>
      </c>
      <c r="I17" s="10">
        <f>ROUND(SUM($K$11:K17)*$I$3,0)-SUM($I$11:I16)</f>
        <v>0</v>
      </c>
      <c r="J17" s="10">
        <f>ROUND(SUM($K$11:K17)*$J$3,0)-SUM($J$11:J16)</f>
        <v>0</v>
      </c>
      <c r="K17" s="16"/>
      <c r="L17" s="16"/>
    </row>
    <row r="18" spans="1:12" ht="19.5" customHeight="1" x14ac:dyDescent="0.25">
      <c r="A18" s="18">
        <v>43313</v>
      </c>
      <c r="B18" s="10">
        <f>ROUND($K$18*B3,0)</f>
        <v>0</v>
      </c>
      <c r="C18" s="10">
        <f>ROUND($K$18*C3,0)</f>
        <v>0</v>
      </c>
      <c r="D18" s="10">
        <f>ROUND($L$18*D3,0)</f>
        <v>0</v>
      </c>
      <c r="E18" s="10">
        <f>ROUND($L$18*E3,0)</f>
        <v>0</v>
      </c>
      <c r="F18" s="10">
        <f>ROUND(SUM(K$11:$K18)*$F$3,0)-SUM(F$11:$F17)</f>
        <v>0</v>
      </c>
      <c r="G18" s="10">
        <f>ROUND(SUM($K$11:K18)*$G$3,0)-SUM($G$11:G17)</f>
        <v>0</v>
      </c>
      <c r="H18" s="10">
        <f>ROUND(SUM($K$11:K18)*$H$3,0)-SUM($H$11:H17)</f>
        <v>0</v>
      </c>
      <c r="I18" s="10">
        <f>ROUND(SUM($K$11:K18)*$I$3,0)-SUM($I$11:I17)</f>
        <v>0</v>
      </c>
      <c r="J18" s="10">
        <f>ROUND(SUM($K$11:K18)*$J$3,0)-SUM($J$11:J17)</f>
        <v>0</v>
      </c>
      <c r="K18" s="16"/>
      <c r="L18" s="16"/>
    </row>
    <row r="19" spans="1:12" ht="19.5" customHeight="1" x14ac:dyDescent="0.25">
      <c r="A19" s="18">
        <v>43344</v>
      </c>
      <c r="B19" s="11">
        <f>SUM(B17:B18)</f>
        <v>0</v>
      </c>
      <c r="C19" s="11">
        <f t="shared" ref="C19:E19" si="2">SUM(C17:C18)</f>
        <v>0</v>
      </c>
      <c r="D19" s="11">
        <f t="shared" si="2"/>
        <v>0</v>
      </c>
      <c r="E19" s="11">
        <f t="shared" si="2"/>
        <v>0</v>
      </c>
      <c r="F19" s="10">
        <f>ROUND(SUM(K$11:$K19)*$F$3,0)-SUM(F$11:$F18)</f>
        <v>0</v>
      </c>
      <c r="G19" s="10">
        <f>ROUND(SUM($K$11:K19)*$G$3,0)-SUM($G$11:G18)</f>
        <v>0</v>
      </c>
      <c r="H19" s="10">
        <f>ROUND(SUM($K$11:K19)*$H$3,0)-SUM($H$11:H18)</f>
        <v>0</v>
      </c>
      <c r="I19" s="10">
        <f>ROUND(SUM($K$11:K19)*$I$3,0)-SUM($I$11:I18)</f>
        <v>0</v>
      </c>
      <c r="J19" s="10">
        <f>ROUND(SUM($K$11:K19)*$J$3,0)-SUM($J$11:J18)</f>
        <v>0</v>
      </c>
      <c r="K19" s="16"/>
      <c r="L19" s="16"/>
    </row>
    <row r="20" spans="1:12" ht="19.5" customHeight="1" x14ac:dyDescent="0.25">
      <c r="A20" s="18">
        <v>43374</v>
      </c>
      <c r="B20" s="10">
        <f>ROUND($K$20*B3,0)</f>
        <v>0</v>
      </c>
      <c r="C20" s="10">
        <f>ROUND($K$20*C3,0)</f>
        <v>0</v>
      </c>
      <c r="D20" s="10">
        <f>ROUND($L$20*D3,0)</f>
        <v>0</v>
      </c>
      <c r="E20" s="10">
        <f>ROUND($L$20*E3,0)</f>
        <v>0</v>
      </c>
      <c r="F20" s="10">
        <f>ROUND(SUM(K$11:$K20)*$F$3,0)-SUM(F$11:$F19)</f>
        <v>0</v>
      </c>
      <c r="G20" s="10">
        <f>ROUND(SUM($K$11:K20)*$G$3,0)-SUM($G$11:G19)</f>
        <v>0</v>
      </c>
      <c r="H20" s="10">
        <f>ROUND(SUM($K$11:K20)*$H$3,0)-SUM($H$11:H19)</f>
        <v>0</v>
      </c>
      <c r="I20" s="10">
        <f>ROUND(SUM($K$11:K20)*$I$3,0)-SUM($I$11:I19)</f>
        <v>0</v>
      </c>
      <c r="J20" s="10">
        <f>ROUND(SUM($K$11:K20)*$J$3,0)-SUM($J$11:J19)</f>
        <v>0</v>
      </c>
      <c r="K20" s="16"/>
      <c r="L20" s="16"/>
    </row>
    <row r="21" spans="1:12" ht="19.5" customHeight="1" x14ac:dyDescent="0.25">
      <c r="A21" s="18">
        <v>43405</v>
      </c>
      <c r="B21" s="10">
        <f>ROUND($K$21*B3,0)</f>
        <v>0</v>
      </c>
      <c r="C21" s="10">
        <f>ROUND($K$21*C3,0)</f>
        <v>0</v>
      </c>
      <c r="D21" s="10">
        <f>ROUND($L$21*D3,0)</f>
        <v>0</v>
      </c>
      <c r="E21" s="10">
        <f>ROUND($L$21*E3,0)</f>
        <v>0</v>
      </c>
      <c r="F21" s="10">
        <f>ROUND(SUM(K$11:$K21)*$F$3,0)-SUM(F$11:$F20)</f>
        <v>0</v>
      </c>
      <c r="G21" s="10">
        <f>ROUND(SUM($K$11:K21)*$G$3,0)-SUM($G$11:G20)</f>
        <v>0</v>
      </c>
      <c r="H21" s="10">
        <f>ROUND(SUM($K$11:K21)*$H$3,0)-SUM($H$11:H20)</f>
        <v>0</v>
      </c>
      <c r="I21" s="10">
        <f>ROUND(SUM($K$11:K21)*$I$3,0)-SUM($I$11:I20)</f>
        <v>0</v>
      </c>
      <c r="J21" s="10">
        <f>ROUND(SUM($K$11:K21)*$J$3,0)-SUM($J$11:J20)</f>
        <v>0</v>
      </c>
      <c r="K21" s="16"/>
      <c r="L21" s="16"/>
    </row>
    <row r="22" spans="1:12" ht="19.5" customHeight="1" x14ac:dyDescent="0.25">
      <c r="A22" s="18">
        <v>43435</v>
      </c>
      <c r="B22" s="11">
        <f>-(B20+B21)</f>
        <v>0</v>
      </c>
      <c r="C22" s="11">
        <f t="shared" ref="C22:E22" si="3">-(C20+C21)</f>
        <v>0</v>
      </c>
      <c r="D22" s="11">
        <f t="shared" si="3"/>
        <v>0</v>
      </c>
      <c r="E22" s="11">
        <f t="shared" si="3"/>
        <v>0</v>
      </c>
      <c r="F22" s="40">
        <f>ROUND(SUM(K$11:$K22)*$F$3,0)-SUM(F$11:$F21)</f>
        <v>0</v>
      </c>
      <c r="G22" s="40">
        <f>ROUND(SUM($K$11:K22)*$G$3,0)-SUM($G$11:G21)</f>
        <v>0</v>
      </c>
      <c r="H22" s="40">
        <f>ROUND(SUM($K$11:K22)*$H$3,0)-SUM($H$11:H21)</f>
        <v>0</v>
      </c>
      <c r="I22" s="40">
        <f>ROUND(SUM($K$11:K22)*$I$3,0)-SUM($I$11:I21)</f>
        <v>0</v>
      </c>
      <c r="J22" s="40">
        <f>ROUND(SUM($K$11:K22)*$J$3,0)-SUM($J$11:J21)</f>
        <v>0</v>
      </c>
      <c r="K22" s="16"/>
      <c r="L22" s="16"/>
    </row>
    <row r="23" spans="1:12" ht="19.5" customHeight="1" x14ac:dyDescent="0.25">
      <c r="A23" s="12" t="s">
        <v>1</v>
      </c>
      <c r="B23" s="9"/>
      <c r="C23" s="9"/>
      <c r="D23" s="9"/>
      <c r="E23" s="9"/>
      <c r="F23" s="21">
        <f>SUM(F11:F22)</f>
        <v>0</v>
      </c>
      <c r="G23" s="21">
        <f>SUM(G11:G22)</f>
        <v>5051473</v>
      </c>
      <c r="H23" s="21">
        <f t="shared" ref="H23:J23" si="4">SUM(H11:H22)</f>
        <v>2620452</v>
      </c>
      <c r="I23" s="21">
        <f t="shared" si="4"/>
        <v>168382</v>
      </c>
      <c r="J23" s="21">
        <f t="shared" si="4"/>
        <v>957675</v>
      </c>
      <c r="K23" s="16"/>
      <c r="L23" s="16"/>
    </row>
    <row r="24" spans="1:12" ht="18.75" x14ac:dyDescent="0.25">
      <c r="E24" s="13" t="s">
        <v>12</v>
      </c>
      <c r="F24" s="34">
        <f>ROUND(SUM($K$11:$K$22)*F3,0)-F23</f>
        <v>0</v>
      </c>
      <c r="G24" s="34">
        <f>ROUND(SUM($K$11:$K$22)*G3,0)-G23</f>
        <v>0</v>
      </c>
      <c r="H24" s="14">
        <f>ROUND(SUM($K$11:$K$22)*H3,0)-H23</f>
        <v>0</v>
      </c>
      <c r="I24" s="14">
        <f>ROUND(SUM($K$11:$K$22)*I3,0)-I23</f>
        <v>0</v>
      </c>
      <c r="J24" s="14">
        <f>ROUND(SUM($K$11:$K$22)*J3,0)-J23</f>
        <v>0</v>
      </c>
    </row>
    <row r="28" spans="1:12" x14ac:dyDescent="0.15">
      <c r="J28" s="15"/>
    </row>
  </sheetData>
  <mergeCells count="3">
    <mergeCell ref="A6:J6"/>
    <mergeCell ref="K8:K10"/>
    <mergeCell ref="L8:L10"/>
  </mergeCells>
  <phoneticPr fontId="6" type="noConversion"/>
  <pageMargins left="0.7" right="0.7" top="0.75" bottom="0.75" header="0.3" footer="0.3"/>
  <pageSetup paperSize="9" scale="5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8"/>
  <sheetViews>
    <sheetView tabSelected="1" zoomScale="85" zoomScaleNormal="85" workbookViewId="0">
      <selection activeCell="B27" sqref="B27:B28"/>
    </sheetView>
  </sheetViews>
  <sheetFormatPr defaultColWidth="9.125" defaultRowHeight="13.5" x14ac:dyDescent="0.15"/>
  <cols>
    <col min="1" max="1" width="23.75" style="5" bestFit="1" customWidth="1"/>
    <col min="2" max="2" width="18.75" style="5" bestFit="1" customWidth="1"/>
    <col min="3" max="3" width="16.75" style="5" bestFit="1" customWidth="1"/>
    <col min="4" max="4" width="22.75" style="5" bestFit="1" customWidth="1"/>
    <col min="5" max="5" width="20.875" style="5" bestFit="1" customWidth="1"/>
    <col min="6" max="6" width="22.625" style="32" bestFit="1" customWidth="1"/>
    <col min="7" max="7" width="22.5" style="5" bestFit="1" customWidth="1"/>
    <col min="8" max="8" width="23.25" style="5" bestFit="1" customWidth="1"/>
    <col min="9" max="9" width="23.875" style="5" bestFit="1" customWidth="1"/>
    <col min="10" max="10" width="20.25" style="5" bestFit="1" customWidth="1"/>
    <col min="11" max="11" width="16.125" style="5" bestFit="1" customWidth="1"/>
    <col min="12" max="12" width="15" style="5" bestFit="1" customWidth="1"/>
    <col min="13" max="16384" width="9.125" style="5"/>
  </cols>
  <sheetData>
    <row r="1" spans="1:12" x14ac:dyDescent="0.15">
      <c r="A1" s="1" t="s">
        <v>25</v>
      </c>
      <c r="B1" s="2" t="s">
        <v>2</v>
      </c>
      <c r="C1" s="3" t="s">
        <v>3</v>
      </c>
      <c r="D1" s="3" t="s">
        <v>4</v>
      </c>
      <c r="E1" s="3" t="s">
        <v>5</v>
      </c>
      <c r="F1" s="38" t="s">
        <v>31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2" x14ac:dyDescent="0.15">
      <c r="A2" s="1" t="s">
        <v>10</v>
      </c>
      <c r="B2" s="2">
        <v>5106050102</v>
      </c>
      <c r="C2" s="3">
        <v>5106050106</v>
      </c>
      <c r="D2" s="3">
        <v>5106050104</v>
      </c>
      <c r="E2" s="3">
        <v>5106050108</v>
      </c>
      <c r="F2" s="39">
        <v>5106050258</v>
      </c>
      <c r="G2" s="4">
        <v>5106050225</v>
      </c>
      <c r="H2" s="4">
        <v>5106050221</v>
      </c>
      <c r="I2" s="4">
        <v>5106050222</v>
      </c>
      <c r="J2" s="4">
        <v>5106050204</v>
      </c>
    </row>
    <row r="3" spans="1:12" x14ac:dyDescent="0.15">
      <c r="A3" s="6" t="s">
        <v>32</v>
      </c>
      <c r="B3" s="7">
        <v>0.13109999999999999</v>
      </c>
      <c r="C3" s="7">
        <v>2.9000000000000001E-2</v>
      </c>
      <c r="D3" s="7">
        <v>4.9200000000000001E-2</v>
      </c>
      <c r="E3" s="7">
        <v>2.1899999999999999E-2</v>
      </c>
      <c r="F3" s="26">
        <v>2E-3</v>
      </c>
      <c r="G3" s="7">
        <v>4.6800000000000001E-2</v>
      </c>
      <c r="H3" s="7">
        <v>3.5700000000000003E-2</v>
      </c>
      <c r="I3" s="7">
        <v>3.5999999999999999E-3</v>
      </c>
      <c r="J3" s="7">
        <v>0.01</v>
      </c>
    </row>
    <row r="4" spans="1:12" x14ac:dyDescent="0.15">
      <c r="C4" s="7"/>
      <c r="D4" s="7"/>
      <c r="E4" s="7"/>
      <c r="F4" s="26"/>
      <c r="G4" s="7"/>
      <c r="H4" s="7"/>
      <c r="I4" s="7"/>
      <c r="J4" s="7"/>
    </row>
    <row r="6" spans="1:12" x14ac:dyDescent="0.15">
      <c r="A6" s="44" t="s">
        <v>15</v>
      </c>
      <c r="B6" s="44"/>
      <c r="C6" s="44"/>
      <c r="D6" s="44"/>
      <c r="E6" s="44"/>
      <c r="F6" s="44"/>
      <c r="G6" s="44"/>
      <c r="H6" s="44"/>
      <c r="I6" s="44"/>
      <c r="J6" s="45"/>
    </row>
    <row r="7" spans="1:12" ht="19.5" customHeight="1" x14ac:dyDescent="0.15">
      <c r="A7" s="23" t="s">
        <v>16</v>
      </c>
      <c r="B7" s="8" t="s">
        <v>2</v>
      </c>
      <c r="C7" s="8" t="s">
        <v>3</v>
      </c>
      <c r="D7" s="8" t="s">
        <v>4</v>
      </c>
      <c r="E7" s="8" t="s">
        <v>5</v>
      </c>
      <c r="F7" s="29" t="s">
        <v>31</v>
      </c>
      <c r="G7" s="8" t="s">
        <v>6</v>
      </c>
      <c r="H7" s="8" t="s">
        <v>7</v>
      </c>
      <c r="I7" s="8" t="s">
        <v>8</v>
      </c>
      <c r="J7" s="8" t="s">
        <v>9</v>
      </c>
    </row>
    <row r="8" spans="1:12" ht="19.5" customHeight="1" x14ac:dyDescent="0.25">
      <c r="A8" s="23" t="s">
        <v>29</v>
      </c>
      <c r="B8" s="9">
        <v>5106050102</v>
      </c>
      <c r="C8" s="9">
        <v>5106050106</v>
      </c>
      <c r="D8" s="9">
        <v>5106050104</v>
      </c>
      <c r="E8" s="9">
        <v>5106050108</v>
      </c>
      <c r="F8" s="28">
        <v>5106050258</v>
      </c>
      <c r="G8" s="9">
        <v>5106050225</v>
      </c>
      <c r="H8" s="9">
        <v>5106050221</v>
      </c>
      <c r="I8" s="9">
        <v>5106050222</v>
      </c>
      <c r="J8" s="9">
        <v>5106050204</v>
      </c>
      <c r="K8" s="46" t="s">
        <v>11</v>
      </c>
      <c r="L8" s="47" t="s">
        <v>14</v>
      </c>
    </row>
    <row r="9" spans="1:12" ht="20.25" x14ac:dyDescent="0.25">
      <c r="A9" s="22" t="s">
        <v>30</v>
      </c>
      <c r="B9" s="19">
        <v>23020202</v>
      </c>
      <c r="C9" s="19">
        <v>23020202</v>
      </c>
      <c r="D9" s="19">
        <v>23020202</v>
      </c>
      <c r="E9" s="19">
        <v>23020202</v>
      </c>
      <c r="F9" s="19">
        <v>23020203</v>
      </c>
      <c r="G9" s="19">
        <v>23020203</v>
      </c>
      <c r="H9" s="19">
        <v>23020203</v>
      </c>
      <c r="I9" s="19">
        <v>23020203</v>
      </c>
      <c r="J9" s="19">
        <v>23020203</v>
      </c>
      <c r="K9" s="46"/>
      <c r="L9" s="47"/>
    </row>
    <row r="10" spans="1:12" ht="20.25" x14ac:dyDescent="0.25">
      <c r="A10" s="22" t="s">
        <v>43</v>
      </c>
      <c r="B10" s="19" t="s">
        <v>28</v>
      </c>
      <c r="C10" s="19" t="s">
        <v>26</v>
      </c>
      <c r="D10" s="19" t="s">
        <v>26</v>
      </c>
      <c r="E10" s="19" t="s">
        <v>26</v>
      </c>
      <c r="F10" s="30" t="s">
        <v>27</v>
      </c>
      <c r="G10" s="19" t="s">
        <v>27</v>
      </c>
      <c r="H10" s="19" t="s">
        <v>27</v>
      </c>
      <c r="I10" s="19" t="s">
        <v>27</v>
      </c>
      <c r="J10" s="19" t="s">
        <v>27</v>
      </c>
      <c r="K10" s="46"/>
      <c r="L10" s="47"/>
    </row>
    <row r="11" spans="1:12" ht="19.5" customHeight="1" x14ac:dyDescent="0.25">
      <c r="A11" s="18">
        <v>43101</v>
      </c>
      <c r="B11" s="10">
        <f>ROUND($K$11*B3,0)</f>
        <v>8007812</v>
      </c>
      <c r="C11" s="10">
        <f>ROUND($K$11*C3,0)</f>
        <v>1771370</v>
      </c>
      <c r="D11" s="10">
        <f>ROUND($L$11*D3,0)</f>
        <v>660999</v>
      </c>
      <c r="E11" s="10">
        <f>ROUND($L$11*E3,0)</f>
        <v>294225</v>
      </c>
      <c r="F11" s="10">
        <f>ROUND($K$11*F3,0)</f>
        <v>122163</v>
      </c>
      <c r="G11" s="10">
        <f>ROUND($K$11*G3,0)</f>
        <v>2858624</v>
      </c>
      <c r="H11" s="10">
        <f>ROUND($K$11*H3,0)</f>
        <v>2180617</v>
      </c>
      <c r="I11" s="10">
        <f>ROUND($K$11*I3,0)</f>
        <v>219894</v>
      </c>
      <c r="J11" s="10">
        <f>ROUND($K$11*J3,0)</f>
        <v>610817</v>
      </c>
      <c r="K11" s="17">
        <v>61081711.860000007</v>
      </c>
      <c r="L11" s="17">
        <v>13434942.01</v>
      </c>
    </row>
    <row r="12" spans="1:12" ht="19.5" customHeight="1" x14ac:dyDescent="0.25">
      <c r="A12" s="18">
        <v>43132</v>
      </c>
      <c r="B12" s="10">
        <f>ROUND($K$12*B3,0)</f>
        <v>4264345</v>
      </c>
      <c r="C12" s="10">
        <f>ROUND($K$12*C3,0)</f>
        <v>943295</v>
      </c>
      <c r="D12" s="10">
        <f>ROUND($L$12*D3,0)</f>
        <v>583970</v>
      </c>
      <c r="E12" s="10">
        <f>ROUND($L$12*E3,0)</f>
        <v>259938</v>
      </c>
      <c r="F12" s="10">
        <f>ROUND(SUM(K$11:$K12)*$F$3,0)-SUM(F$11:$F11)</f>
        <v>65055</v>
      </c>
      <c r="G12" s="10">
        <f>ROUND(SUM($K$11:K12)*$G$3,0)-SUM($G$11:G11)</f>
        <v>1522284</v>
      </c>
      <c r="H12" s="10">
        <f>ROUND(SUM($K$11:K12)*$H$3,0)-SUM($H$11:H11)</f>
        <v>1161229</v>
      </c>
      <c r="I12" s="10">
        <f>ROUND(SUM($K$11:K12)*$I$3,0)-SUM($I$11:I11)</f>
        <v>117099</v>
      </c>
      <c r="J12" s="10">
        <f>ROUND(SUM($K$11:K12)*$J$3,0)-SUM($J$11:J11)</f>
        <v>325274</v>
      </c>
      <c r="K12" s="17">
        <v>32527423.329999994</v>
      </c>
      <c r="L12" s="17">
        <v>11869302.77</v>
      </c>
    </row>
    <row r="13" spans="1:12" ht="19.5" customHeight="1" x14ac:dyDescent="0.25">
      <c r="A13" s="18">
        <v>43160</v>
      </c>
      <c r="B13" s="11">
        <f>SUM(B11:B12)</f>
        <v>12272157</v>
      </c>
      <c r="C13" s="11">
        <f>SUM(C11:C12)</f>
        <v>2714665</v>
      </c>
      <c r="D13" s="11">
        <f t="shared" ref="D13:E13" si="0">SUM(D11:D12)</f>
        <v>1244969</v>
      </c>
      <c r="E13" s="11">
        <f t="shared" si="0"/>
        <v>554163</v>
      </c>
      <c r="F13" s="10">
        <f>ROUND(SUM(K$11:$K13)*$F$3,0)-SUM(F$11:$F12)</f>
        <v>86158</v>
      </c>
      <c r="G13" s="10">
        <f>ROUND(SUM($K$11:K13)*$G$3,0)-SUM($G$11:G12)</f>
        <v>2016082</v>
      </c>
      <c r="H13" s="10">
        <f>ROUND(SUM($K$11:K13)*$H$3,0)-SUM($H$11:H12)</f>
        <v>1537909</v>
      </c>
      <c r="I13" s="10">
        <f>ROUND(SUM($K$11:K13)*$I$3,0)-SUM($I$11:I12)</f>
        <v>155083</v>
      </c>
      <c r="J13" s="10">
        <f>ROUND(SUM($K$11:K13)*$J$3,0)-SUM($J$11:J12)</f>
        <v>430787</v>
      </c>
      <c r="K13" s="17">
        <v>43078680.509999998</v>
      </c>
      <c r="L13" s="17"/>
    </row>
    <row r="14" spans="1:12" ht="19.5" customHeight="1" x14ac:dyDescent="0.25">
      <c r="A14" s="18">
        <v>43191</v>
      </c>
      <c r="B14" s="10">
        <f>ROUND($K$14*B3,0)</f>
        <v>3713285</v>
      </c>
      <c r="C14" s="10">
        <f>ROUND($K$14*C3,0)</f>
        <v>821398</v>
      </c>
      <c r="D14" s="10">
        <f>ROUND($L$14*D3,0)</f>
        <v>545178</v>
      </c>
      <c r="E14" s="10">
        <f>ROUND($L$14*E3,0)</f>
        <v>242671</v>
      </c>
      <c r="F14" s="10">
        <f>ROUND(SUM(K$11:$K14)*$F$3,0)-SUM(F$11:$F13)</f>
        <v>56648</v>
      </c>
      <c r="G14" s="10">
        <f>ROUND(SUM($K$11:K14)*$G$3,0)-SUM($G$11:G13)</f>
        <v>1325566</v>
      </c>
      <c r="H14" s="10">
        <f>ROUND(SUM($K$11:K14)*$H$3,0)-SUM($H$11:H13)</f>
        <v>1011169</v>
      </c>
      <c r="I14" s="10">
        <f>ROUND(SUM($K$11:K14)*$I$3,0)-SUM($I$11:I13)</f>
        <v>101967</v>
      </c>
      <c r="J14" s="10">
        <f>ROUND(SUM($K$11:K14)*$J$3,0)-SUM($J$11:J13)</f>
        <v>283241</v>
      </c>
      <c r="K14" s="17">
        <v>28324066.73</v>
      </c>
      <c r="L14" s="17">
        <v>11080858.209999999</v>
      </c>
    </row>
    <row r="15" spans="1:12" ht="19.5" customHeight="1" x14ac:dyDescent="0.25">
      <c r="A15" s="18">
        <v>43221</v>
      </c>
      <c r="B15" s="10">
        <f>ROUND($K$15*B3,0)</f>
        <v>4369639</v>
      </c>
      <c r="C15" s="10">
        <f>ROUND($K$15*C3,0)</f>
        <v>966587</v>
      </c>
      <c r="D15" s="10">
        <f>ROUND($L$15*D3,0)</f>
        <v>579134</v>
      </c>
      <c r="E15" s="10">
        <f>ROUND($L$15*E3,0)</f>
        <v>257785</v>
      </c>
      <c r="F15" s="10">
        <f>ROUND(SUM(K$11:$K15)*$F$3,0)-SUM(F$11:$F14)</f>
        <v>66661</v>
      </c>
      <c r="G15" s="10">
        <f>ROUND(SUM($K$11:K15)*$G$3,0)-SUM($G$11:G14)</f>
        <v>1559871</v>
      </c>
      <c r="H15" s="10">
        <f>ROUND(SUM($K$11:K15)*$H$3,0)-SUM($H$11:H14)</f>
        <v>1189902</v>
      </c>
      <c r="I15" s="10">
        <f>ROUND(SUM($K$11:K15)*$I$3,0)-SUM($I$11:I14)</f>
        <v>119990</v>
      </c>
      <c r="J15" s="10">
        <f>ROUND(SUM($K$11:K15)*$J$3,0)-SUM($J$11:J14)</f>
        <v>333306</v>
      </c>
      <c r="K15" s="16">
        <v>33330578.350000005</v>
      </c>
      <c r="L15" s="16">
        <v>11771012.629999999</v>
      </c>
    </row>
    <row r="16" spans="1:12" ht="19.5" customHeight="1" x14ac:dyDescent="0.25">
      <c r="A16" s="18">
        <v>43252</v>
      </c>
      <c r="B16" s="11">
        <f>SUM(B14:B15)</f>
        <v>8082924</v>
      </c>
      <c r="C16" s="11">
        <f t="shared" ref="C16:E16" si="1">SUM(C14:C15)</f>
        <v>1787985</v>
      </c>
      <c r="D16" s="11">
        <f t="shared" si="1"/>
        <v>1124312</v>
      </c>
      <c r="E16" s="11">
        <f t="shared" si="1"/>
        <v>500456</v>
      </c>
      <c r="F16" s="10">
        <f>ROUND(SUM(K$11:$K16)*$F$3,0)-SUM(F$11:$F15)</f>
        <v>0</v>
      </c>
      <c r="G16" s="10">
        <f>ROUND(SUM($K$11:K16)*$G$3,0)-SUM($G$11:G15)</f>
        <v>0</v>
      </c>
      <c r="H16" s="10">
        <f>ROUND(SUM($K$11:K16)*$H$3,0)-SUM($H$11:H15)</f>
        <v>0</v>
      </c>
      <c r="I16" s="10">
        <f>ROUND(SUM($K$11:K16)*$I$3,0)-SUM($I$11:I15)</f>
        <v>0</v>
      </c>
      <c r="J16" s="10">
        <f>ROUND(SUM($K$11:K16)*$J$3,0)-SUM($J$11:J15)</f>
        <v>0</v>
      </c>
      <c r="K16" s="16"/>
      <c r="L16" s="16"/>
    </row>
    <row r="17" spans="1:12" ht="19.5" customHeight="1" x14ac:dyDescent="0.25">
      <c r="A17" s="18">
        <v>43282</v>
      </c>
      <c r="B17" s="10">
        <f>ROUND($K$17*B3,0)</f>
        <v>0</v>
      </c>
      <c r="C17" s="10">
        <f>ROUND($K$17*C3,0)</f>
        <v>0</v>
      </c>
      <c r="D17" s="10">
        <f>ROUND($L$17*D3,0)</f>
        <v>0</v>
      </c>
      <c r="E17" s="10">
        <f>ROUND($L$17*E3,0)</f>
        <v>0</v>
      </c>
      <c r="F17" s="10">
        <f>ROUND(SUM(K$11:$K17)*$F$3,0)-SUM(F$11:$F16)</f>
        <v>0</v>
      </c>
      <c r="G17" s="10">
        <f>ROUND(SUM($K$11:K17)*$G$3,0)-SUM($G$11:G16)</f>
        <v>0</v>
      </c>
      <c r="H17" s="10">
        <f>ROUND(SUM($K$11:K17)*$H$3,0)-SUM($H$11:H16)</f>
        <v>0</v>
      </c>
      <c r="I17" s="10">
        <f>ROUND(SUM($K$11:K17)*$I$3,0)-SUM($I$11:I16)</f>
        <v>0</v>
      </c>
      <c r="J17" s="10">
        <f>ROUND(SUM($K$11:K17)*$J$3,0)-SUM($J$11:J16)</f>
        <v>0</v>
      </c>
      <c r="K17" s="16"/>
      <c r="L17" s="16"/>
    </row>
    <row r="18" spans="1:12" ht="19.5" customHeight="1" x14ac:dyDescent="0.25">
      <c r="A18" s="18">
        <v>43313</v>
      </c>
      <c r="B18" s="10">
        <f>ROUND($K$18*B3,0)</f>
        <v>0</v>
      </c>
      <c r="C18" s="10">
        <f>ROUND($K$18*C3,0)</f>
        <v>0</v>
      </c>
      <c r="D18" s="10">
        <f>ROUND($L$18*D3,0)</f>
        <v>0</v>
      </c>
      <c r="E18" s="10">
        <f>ROUND($L$18*E3,0)</f>
        <v>0</v>
      </c>
      <c r="F18" s="10">
        <f>ROUND(SUM(K$11:$K18)*$F$3,0)-SUM(F$11:$F17)</f>
        <v>0</v>
      </c>
      <c r="G18" s="10">
        <f>ROUND(SUM($K$11:K18)*$G$3,0)-SUM($G$11:G17)</f>
        <v>0</v>
      </c>
      <c r="H18" s="10">
        <f>ROUND(SUM($K$11:K18)*$H$3,0)-SUM($H$11:H17)</f>
        <v>0</v>
      </c>
      <c r="I18" s="10">
        <f>ROUND(SUM($K$11:K18)*$I$3,0)-SUM($I$11:I17)</f>
        <v>0</v>
      </c>
      <c r="J18" s="10">
        <f>ROUND(SUM($K$11:K18)*$J$3,0)-SUM($J$11:J17)</f>
        <v>0</v>
      </c>
      <c r="K18" s="16"/>
      <c r="L18" s="16"/>
    </row>
    <row r="19" spans="1:12" ht="19.5" customHeight="1" x14ac:dyDescent="0.25">
      <c r="A19" s="18">
        <v>43344</v>
      </c>
      <c r="B19" s="11">
        <f>SUM(B17:B18)</f>
        <v>0</v>
      </c>
      <c r="C19" s="11">
        <f t="shared" ref="C19:E19" si="2">SUM(C17:C18)</f>
        <v>0</v>
      </c>
      <c r="D19" s="11">
        <f t="shared" si="2"/>
        <v>0</v>
      </c>
      <c r="E19" s="11">
        <f t="shared" si="2"/>
        <v>0</v>
      </c>
      <c r="F19" s="10">
        <f>ROUND(SUM(K$11:$K19)*$F$3,0)-SUM(F$11:$F18)</f>
        <v>0</v>
      </c>
      <c r="G19" s="10">
        <f>ROUND(SUM($K$11:K19)*$G$3,0)-SUM($G$11:G18)</f>
        <v>0</v>
      </c>
      <c r="H19" s="10">
        <f>ROUND(SUM($K$11:K19)*$H$3,0)-SUM($H$11:H18)</f>
        <v>0</v>
      </c>
      <c r="I19" s="10">
        <f>ROUND(SUM($K$11:K19)*$I$3,0)-SUM($I$11:I18)</f>
        <v>0</v>
      </c>
      <c r="J19" s="10">
        <f>ROUND(SUM($K$11:K19)*$J$3,0)-SUM($J$11:J18)</f>
        <v>0</v>
      </c>
      <c r="K19" s="16"/>
      <c r="L19" s="16"/>
    </row>
    <row r="20" spans="1:12" ht="19.5" customHeight="1" x14ac:dyDescent="0.25">
      <c r="A20" s="18">
        <v>43374</v>
      </c>
      <c r="B20" s="10">
        <f>ROUND($K$20*B3,0)</f>
        <v>0</v>
      </c>
      <c r="C20" s="10">
        <f>ROUND($K$20*C3,0)</f>
        <v>0</v>
      </c>
      <c r="D20" s="10">
        <f>ROUND($L$20*D3,0)</f>
        <v>0</v>
      </c>
      <c r="E20" s="10">
        <f>ROUND($L$20*E3,0)</f>
        <v>0</v>
      </c>
      <c r="F20" s="10">
        <f>ROUND(SUM(K$11:$K20)*$F$3,0)-SUM(F$11:$F19)</f>
        <v>0</v>
      </c>
      <c r="G20" s="10">
        <f>ROUND(SUM($K$11:K20)*$G$3,0)-SUM($G$11:G19)</f>
        <v>0</v>
      </c>
      <c r="H20" s="10">
        <f>ROUND(SUM($K$11:K20)*$H$3,0)-SUM($H$11:H19)</f>
        <v>0</v>
      </c>
      <c r="I20" s="10">
        <f>ROUND(SUM($K$11:K20)*$I$3,0)-SUM($I$11:I19)</f>
        <v>0</v>
      </c>
      <c r="J20" s="10">
        <f>ROUND(SUM($K$11:K20)*$J$3,0)-SUM($J$11:J19)</f>
        <v>0</v>
      </c>
      <c r="K20" s="16"/>
      <c r="L20" s="16"/>
    </row>
    <row r="21" spans="1:12" ht="19.5" customHeight="1" x14ac:dyDescent="0.25">
      <c r="A21" s="18">
        <v>43405</v>
      </c>
      <c r="B21" s="10">
        <f>ROUND($K$21*B3,0)</f>
        <v>0</v>
      </c>
      <c r="C21" s="10">
        <f>ROUND($K$21*C3,0)</f>
        <v>0</v>
      </c>
      <c r="D21" s="10">
        <f>ROUND($L$21*D3,0)</f>
        <v>0</v>
      </c>
      <c r="E21" s="10">
        <f>ROUND($L$21*E3,0)</f>
        <v>0</v>
      </c>
      <c r="F21" s="10">
        <f>ROUND(SUM(K$11:$K21)*$F$3,0)-SUM(F$11:$F20)</f>
        <v>0</v>
      </c>
      <c r="G21" s="10">
        <f>ROUND(SUM($K$11:K21)*$G$3,0)-SUM($G$11:G20)</f>
        <v>0</v>
      </c>
      <c r="H21" s="10">
        <f>ROUND(SUM($K$11:K21)*$H$3,0)-SUM($H$11:H20)</f>
        <v>0</v>
      </c>
      <c r="I21" s="10">
        <f>ROUND(SUM($K$11:K21)*$I$3,0)-SUM($I$11:I20)</f>
        <v>0</v>
      </c>
      <c r="J21" s="10">
        <f>ROUND(SUM($K$11:K21)*$J$3,0)-SUM($J$11:J20)</f>
        <v>0</v>
      </c>
      <c r="K21" s="16"/>
      <c r="L21" s="16"/>
    </row>
    <row r="22" spans="1:12" ht="19.5" customHeight="1" x14ac:dyDescent="0.25">
      <c r="A22" s="18">
        <v>43435</v>
      </c>
      <c r="B22" s="11">
        <f>-(B20+B21)</f>
        <v>0</v>
      </c>
      <c r="C22" s="11">
        <f t="shared" ref="C22:E22" si="3">-(C20+C21)</f>
        <v>0</v>
      </c>
      <c r="D22" s="11">
        <f t="shared" si="3"/>
        <v>0</v>
      </c>
      <c r="E22" s="11">
        <f t="shared" si="3"/>
        <v>0</v>
      </c>
      <c r="F22" s="10">
        <f>ROUND(SUM(K$11:$K22)*$F$3,0)-SUM(F$11:$F21)</f>
        <v>0</v>
      </c>
      <c r="G22" s="10">
        <f>ROUND(SUM($K$11:K22)*$G$3,0)-SUM($G$11:G21)</f>
        <v>0</v>
      </c>
      <c r="H22" s="10">
        <f>ROUND(SUM($K$11:K22)*$H$3,0)-SUM($H$11:H21)</f>
        <v>0</v>
      </c>
      <c r="I22" s="10">
        <f>ROUND(SUM($K$11:K22)*$I$3,0)-SUM($I$11:I21)</f>
        <v>0</v>
      </c>
      <c r="J22" s="10">
        <f>ROUND(SUM($K$11:K22)*$J$3,0)-SUM($J$11:J21)</f>
        <v>0</v>
      </c>
      <c r="K22" s="16"/>
      <c r="L22" s="16"/>
    </row>
    <row r="23" spans="1:12" ht="19.5" customHeight="1" x14ac:dyDescent="0.25">
      <c r="A23" s="12" t="s">
        <v>1</v>
      </c>
      <c r="B23" s="9"/>
      <c r="C23" s="9"/>
      <c r="D23" s="9"/>
      <c r="E23" s="9"/>
      <c r="F23" s="37">
        <f>SUM(F11:F22)</f>
        <v>396685</v>
      </c>
      <c r="G23" s="21">
        <f>SUM(G11:G22)</f>
        <v>9282427</v>
      </c>
      <c r="H23" s="21">
        <f t="shared" ref="H23:J23" si="4">SUM(H11:H22)</f>
        <v>7080826</v>
      </c>
      <c r="I23" s="21">
        <f t="shared" si="4"/>
        <v>714033</v>
      </c>
      <c r="J23" s="21">
        <f t="shared" si="4"/>
        <v>1983425</v>
      </c>
      <c r="K23" s="16"/>
      <c r="L23" s="16"/>
    </row>
    <row r="24" spans="1:12" ht="18.75" x14ac:dyDescent="0.25">
      <c r="E24" s="31" t="s">
        <v>12</v>
      </c>
      <c r="F24" s="34">
        <f>ROUND(SUM($K$11:$K$22)*F3,0)-F23</f>
        <v>0</v>
      </c>
      <c r="G24" s="34">
        <f>ROUND(SUM($K$11:$K$22)*G3,0)-G23</f>
        <v>0</v>
      </c>
      <c r="H24" s="14">
        <f>ROUND(SUM($K$11:$K$22)*H3,0)-H23</f>
        <v>0</v>
      </c>
      <c r="I24" s="14">
        <f>ROUND(SUM($K$11:$K$22)*I3,0)-I23</f>
        <v>0</v>
      </c>
      <c r="J24" s="14">
        <f>ROUND(SUM($K$11:$K$22)*J3,0)-J23</f>
        <v>0</v>
      </c>
    </row>
    <row r="28" spans="1:12" x14ac:dyDescent="0.15">
      <c r="J28" s="15"/>
    </row>
  </sheetData>
  <mergeCells count="3">
    <mergeCell ref="A6:J6"/>
    <mergeCell ref="K8:K10"/>
    <mergeCell ref="L8:L10"/>
  </mergeCells>
  <phoneticPr fontId="6" type="noConversion"/>
  <pageMargins left="0.7" right="0.7" top="0.75" bottom="0.75" header="0.3" footer="0.3"/>
  <pageSetup paperSize="9" scale="5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8"/>
  <sheetViews>
    <sheetView zoomScale="85" zoomScaleNormal="85" workbookViewId="0">
      <selection activeCell="F9" sqref="F9"/>
    </sheetView>
  </sheetViews>
  <sheetFormatPr defaultColWidth="9.125" defaultRowHeight="13.5" x14ac:dyDescent="0.15"/>
  <cols>
    <col min="1" max="1" width="23.75" style="5" bestFit="1" customWidth="1"/>
    <col min="2" max="2" width="18.75" style="5" bestFit="1" customWidth="1"/>
    <col min="3" max="3" width="16.75" style="5" bestFit="1" customWidth="1"/>
    <col min="4" max="4" width="22.75" style="5" bestFit="1" customWidth="1"/>
    <col min="5" max="5" width="20.875" style="5" bestFit="1" customWidth="1"/>
    <col min="6" max="6" width="22.625" style="32" bestFit="1" customWidth="1"/>
    <col min="7" max="7" width="22.5" style="5" bestFit="1" customWidth="1"/>
    <col min="8" max="8" width="23.25" style="5" bestFit="1" customWidth="1"/>
    <col min="9" max="9" width="23.875" style="5" bestFit="1" customWidth="1"/>
    <col min="10" max="10" width="20.25" style="5" bestFit="1" customWidth="1"/>
    <col min="11" max="11" width="16.125" style="5" bestFit="1" customWidth="1"/>
    <col min="12" max="12" width="15" style="5" bestFit="1" customWidth="1"/>
    <col min="13" max="16384" width="9.125" style="5"/>
  </cols>
  <sheetData>
    <row r="1" spans="1:12" x14ac:dyDescent="0.15">
      <c r="A1" s="1" t="s">
        <v>25</v>
      </c>
      <c r="B1" s="2" t="s">
        <v>2</v>
      </c>
      <c r="C1" s="3" t="s">
        <v>3</v>
      </c>
      <c r="D1" s="3" t="s">
        <v>4</v>
      </c>
      <c r="E1" s="3" t="s">
        <v>5</v>
      </c>
      <c r="F1" s="38" t="s">
        <v>31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2" x14ac:dyDescent="0.15">
      <c r="A2" s="1" t="s">
        <v>10</v>
      </c>
      <c r="B2" s="2">
        <v>5106050102</v>
      </c>
      <c r="C2" s="3">
        <v>5106050106</v>
      </c>
      <c r="D2" s="3">
        <v>5106050104</v>
      </c>
      <c r="E2" s="3">
        <v>5106050108</v>
      </c>
      <c r="F2" s="39">
        <v>5106050258</v>
      </c>
      <c r="G2" s="4">
        <v>5106050225</v>
      </c>
      <c r="H2" s="4">
        <v>5106050221</v>
      </c>
      <c r="I2" s="4">
        <v>5106050222</v>
      </c>
      <c r="J2" s="4">
        <v>5106050204</v>
      </c>
    </row>
    <row r="3" spans="1:12" x14ac:dyDescent="0.15">
      <c r="A3" s="6" t="s">
        <v>33</v>
      </c>
      <c r="B3" s="7">
        <v>0.13880000000000001</v>
      </c>
      <c r="C3" s="7">
        <v>1.54E-2</v>
      </c>
      <c r="D3" s="7">
        <v>5.4199999999999998E-2</v>
      </c>
      <c r="E3" s="7">
        <v>1.0500000000000001E-2</v>
      </c>
      <c r="F3" s="33">
        <v>0</v>
      </c>
      <c r="G3" s="7">
        <v>4.2200000000000001E-2</v>
      </c>
      <c r="H3" s="7">
        <v>1.01E-2</v>
      </c>
      <c r="I3" s="7">
        <v>1.4E-3</v>
      </c>
      <c r="J3" s="7">
        <v>8.0000000000000002E-3</v>
      </c>
    </row>
    <row r="4" spans="1:12" x14ac:dyDescent="0.15">
      <c r="C4" s="7"/>
      <c r="D4" s="7"/>
      <c r="E4" s="7"/>
      <c r="F4" s="26"/>
      <c r="G4" s="7"/>
      <c r="H4" s="7"/>
      <c r="I4" s="7"/>
      <c r="J4" s="7"/>
    </row>
    <row r="6" spans="1:12" x14ac:dyDescent="0.15">
      <c r="A6" s="44" t="s">
        <v>18</v>
      </c>
      <c r="B6" s="44"/>
      <c r="C6" s="44"/>
      <c r="D6" s="44"/>
      <c r="E6" s="44"/>
      <c r="F6" s="44"/>
      <c r="G6" s="44"/>
      <c r="H6" s="44"/>
      <c r="I6" s="44"/>
      <c r="J6" s="45"/>
    </row>
    <row r="7" spans="1:12" ht="19.5" customHeight="1" x14ac:dyDescent="0.15">
      <c r="A7" s="23" t="s">
        <v>17</v>
      </c>
      <c r="B7" s="8" t="s">
        <v>2</v>
      </c>
      <c r="C7" s="8" t="s">
        <v>3</v>
      </c>
      <c r="D7" s="8" t="s">
        <v>4</v>
      </c>
      <c r="E7" s="8" t="s">
        <v>5</v>
      </c>
      <c r="F7" s="29" t="s">
        <v>31</v>
      </c>
      <c r="G7" s="8" t="s">
        <v>6</v>
      </c>
      <c r="H7" s="8" t="s">
        <v>7</v>
      </c>
      <c r="I7" s="8" t="s">
        <v>8</v>
      </c>
      <c r="J7" s="8" t="s">
        <v>9</v>
      </c>
    </row>
    <row r="8" spans="1:12" ht="19.5" customHeight="1" x14ac:dyDescent="0.25">
      <c r="A8" s="23" t="s">
        <v>29</v>
      </c>
      <c r="B8" s="9">
        <v>5106050102</v>
      </c>
      <c r="C8" s="9">
        <v>5106050106</v>
      </c>
      <c r="D8" s="9">
        <v>5106050104</v>
      </c>
      <c r="E8" s="9">
        <v>5106050108</v>
      </c>
      <c r="F8" s="28">
        <v>5106050258</v>
      </c>
      <c r="G8" s="9">
        <v>5106050225</v>
      </c>
      <c r="H8" s="9">
        <v>5106050221</v>
      </c>
      <c r="I8" s="9">
        <v>5106050222</v>
      </c>
      <c r="J8" s="9">
        <v>5106050204</v>
      </c>
      <c r="K8" s="46" t="s">
        <v>11</v>
      </c>
      <c r="L8" s="47" t="s">
        <v>14</v>
      </c>
    </row>
    <row r="9" spans="1:12" ht="20.25" x14ac:dyDescent="0.25">
      <c r="A9" s="22" t="s">
        <v>30</v>
      </c>
      <c r="B9" s="19">
        <v>23020202</v>
      </c>
      <c r="C9" s="19">
        <v>23020202</v>
      </c>
      <c r="D9" s="19">
        <v>23020202</v>
      </c>
      <c r="E9" s="19">
        <v>23020202</v>
      </c>
      <c r="F9" s="19">
        <v>23020203</v>
      </c>
      <c r="G9" s="19">
        <v>23020203</v>
      </c>
      <c r="H9" s="19">
        <v>23020203</v>
      </c>
      <c r="I9" s="19">
        <v>23020203</v>
      </c>
      <c r="J9" s="19">
        <v>23020203</v>
      </c>
      <c r="K9" s="46"/>
      <c r="L9" s="47"/>
    </row>
    <row r="10" spans="1:12" ht="20.25" x14ac:dyDescent="0.25">
      <c r="A10" s="22" t="s">
        <v>43</v>
      </c>
      <c r="B10" s="19" t="s">
        <v>28</v>
      </c>
      <c r="C10" s="19" t="s">
        <v>26</v>
      </c>
      <c r="D10" s="19" t="s">
        <v>26</v>
      </c>
      <c r="E10" s="19" t="s">
        <v>26</v>
      </c>
      <c r="F10" s="30" t="s">
        <v>27</v>
      </c>
      <c r="G10" s="19" t="s">
        <v>27</v>
      </c>
      <c r="H10" s="19" t="s">
        <v>27</v>
      </c>
      <c r="I10" s="19" t="s">
        <v>27</v>
      </c>
      <c r="J10" s="19" t="s">
        <v>27</v>
      </c>
      <c r="K10" s="46"/>
      <c r="L10" s="47"/>
    </row>
    <row r="11" spans="1:12" ht="19.5" customHeight="1" x14ac:dyDescent="0.25">
      <c r="A11" s="18">
        <v>43101</v>
      </c>
      <c r="B11" s="10">
        <f>ROUND($K$11*B3,0)</f>
        <v>2417036</v>
      </c>
      <c r="C11" s="10">
        <f>ROUND($K$11*C3,0)</f>
        <v>268173</v>
      </c>
      <c r="D11" s="10">
        <f>ROUND($L$11*D3,0)</f>
        <v>303293</v>
      </c>
      <c r="E11" s="10">
        <f>ROUND($L$11*E3,0)</f>
        <v>58756</v>
      </c>
      <c r="F11" s="35">
        <f>ROUND($K$11*F3,0)</f>
        <v>0</v>
      </c>
      <c r="G11" s="10">
        <f>ROUND($K$11*G3,0)</f>
        <v>734862</v>
      </c>
      <c r="H11" s="10">
        <f>ROUND($K$11*H3,0)</f>
        <v>175879</v>
      </c>
      <c r="I11" s="10">
        <f>ROUND($K$11*I3,0)</f>
        <v>24379</v>
      </c>
      <c r="J11" s="10">
        <f>ROUND($K$11*J3,0)</f>
        <v>139310</v>
      </c>
      <c r="K11" s="17">
        <v>17413801.449999999</v>
      </c>
      <c r="L11" s="17">
        <v>5595802.7400000002</v>
      </c>
    </row>
    <row r="12" spans="1:12" ht="19.5" customHeight="1" x14ac:dyDescent="0.25">
      <c r="A12" s="18">
        <v>43132</v>
      </c>
      <c r="B12" s="10">
        <f>ROUND($K$12*B3,0)</f>
        <v>1038657</v>
      </c>
      <c r="C12" s="10">
        <f>ROUND($K$12*C3,0)</f>
        <v>115240</v>
      </c>
      <c r="D12" s="10">
        <f>ROUND($L$12*D3,0)</f>
        <v>230788</v>
      </c>
      <c r="E12" s="10">
        <f>ROUND($L$12*E3,0)</f>
        <v>44710</v>
      </c>
      <c r="F12" s="35">
        <f>ROUND(SUM(K$11:$K12)*$F$3,0)-SUM(F$11:$F11)</f>
        <v>0</v>
      </c>
      <c r="G12" s="10">
        <f>ROUND(SUM($K$11:K12)*$G$3,0)-SUM($G$11:G11)</f>
        <v>315788</v>
      </c>
      <c r="H12" s="10">
        <f>ROUND(SUM($K$11:K12)*$H$3,0)-SUM($H$11:H11)</f>
        <v>75580</v>
      </c>
      <c r="I12" s="10">
        <f>ROUND(SUM($K$11:K12)*$I$3,0)-SUM($I$11:I11)</f>
        <v>10477</v>
      </c>
      <c r="J12" s="10">
        <f>ROUND(SUM($K$11:K12)*$J$3,0)-SUM($J$11:J11)</f>
        <v>59865</v>
      </c>
      <c r="K12" s="17">
        <v>7483119.9299999997</v>
      </c>
      <c r="L12" s="17">
        <v>4258073.26</v>
      </c>
    </row>
    <row r="13" spans="1:12" ht="19.5" customHeight="1" x14ac:dyDescent="0.25">
      <c r="A13" s="18">
        <v>43160</v>
      </c>
      <c r="B13" s="11">
        <f>SUM(B11:B12)</f>
        <v>3455693</v>
      </c>
      <c r="C13" s="11">
        <f>SUM(C11:C12)</f>
        <v>383413</v>
      </c>
      <c r="D13" s="11">
        <f t="shared" ref="D13:E13" si="0">SUM(D11:D12)</f>
        <v>534081</v>
      </c>
      <c r="E13" s="11">
        <f t="shared" si="0"/>
        <v>103466</v>
      </c>
      <c r="F13" s="35">
        <f>ROUND(SUM(K$11:$K13)*$F$3,0)-SUM(F$11:$F12)</f>
        <v>0</v>
      </c>
      <c r="G13" s="10">
        <f>ROUND(SUM($K$11:K13)*$G$3,0)-SUM($G$11:G12)</f>
        <v>477043</v>
      </c>
      <c r="H13" s="10">
        <f>ROUND(SUM($K$11:K13)*$H$3,0)-SUM($H$11:H12)</f>
        <v>114174</v>
      </c>
      <c r="I13" s="10">
        <f>ROUND(SUM($K$11:K13)*$I$3,0)-SUM($I$11:I12)</f>
        <v>15826</v>
      </c>
      <c r="J13" s="10">
        <f>ROUND(SUM($K$11:K13)*$J$3,0)-SUM($J$11:J12)</f>
        <v>90435</v>
      </c>
      <c r="K13" s="17">
        <v>11304340.530000001</v>
      </c>
      <c r="L13" s="17"/>
    </row>
    <row r="14" spans="1:12" ht="19.5" customHeight="1" x14ac:dyDescent="0.25">
      <c r="A14" s="18">
        <v>43191</v>
      </c>
      <c r="B14" s="10">
        <f>ROUND($K$14*B3,0)</f>
        <v>898693</v>
      </c>
      <c r="C14" s="10">
        <f>ROUND($K$14*C3,0)</f>
        <v>99711</v>
      </c>
      <c r="D14" s="10">
        <f>ROUND($L$14*D3,0)</f>
        <v>267449</v>
      </c>
      <c r="E14" s="10">
        <f>ROUND($L$14*E3,0)</f>
        <v>51812</v>
      </c>
      <c r="F14" s="35">
        <f>ROUND(SUM(K$11:$K14)*$F$3,0)-SUM(F$11:$F13)</f>
        <v>0</v>
      </c>
      <c r="G14" s="10">
        <f>ROUND(SUM($K$11:K14)*$G$3,0)-SUM($G$11:G13)</f>
        <v>273234</v>
      </c>
      <c r="H14" s="10">
        <f>ROUND(SUM($K$11:K14)*$H$3,0)-SUM($H$11:H13)</f>
        <v>65395</v>
      </c>
      <c r="I14" s="10">
        <f>ROUND(SUM($K$11:K14)*$I$3,0)-SUM($I$11:I13)</f>
        <v>9064</v>
      </c>
      <c r="J14" s="10">
        <f>ROUND(SUM($K$11:K14)*$J$3,0)-SUM($J$11:J13)</f>
        <v>51798</v>
      </c>
      <c r="K14" s="17">
        <v>6474732.6899999995</v>
      </c>
      <c r="L14" s="17">
        <v>4934476.3000000007</v>
      </c>
    </row>
    <row r="15" spans="1:12" ht="19.5" customHeight="1" x14ac:dyDescent="0.25">
      <c r="A15" s="18">
        <v>43221</v>
      </c>
      <c r="B15" s="10">
        <f>ROUND($K$15*B3,0)</f>
        <v>1249425</v>
      </c>
      <c r="C15" s="10">
        <f>ROUND($K$15*C3,0)</f>
        <v>138625</v>
      </c>
      <c r="D15" s="10">
        <f>ROUND($L$15*D3,0)</f>
        <v>295273</v>
      </c>
      <c r="E15" s="10">
        <f>ROUND($L$15*E3,0)</f>
        <v>57202</v>
      </c>
      <c r="F15" s="35">
        <f>ROUND(SUM(K$11:$K15)*$F$3,0)-SUM(F$11:$F14)</f>
        <v>0</v>
      </c>
      <c r="G15" s="10">
        <f>ROUND(SUM($K$11:K15)*$G$3,0)-SUM($G$11:G14)</f>
        <v>379868</v>
      </c>
      <c r="H15" s="10">
        <f>ROUND(SUM($K$11:K15)*$H$3,0)-SUM($H$11:H14)</f>
        <v>90916</v>
      </c>
      <c r="I15" s="10">
        <f>ROUND(SUM($K$11:K15)*$I$3,0)-SUM($I$11:I14)</f>
        <v>12603</v>
      </c>
      <c r="J15" s="10">
        <f>ROUND(SUM($K$11:K15)*$J$3,0)-SUM($J$11:J14)</f>
        <v>72013</v>
      </c>
      <c r="K15" s="16">
        <v>9001622.7599999979</v>
      </c>
      <c r="L15" s="16">
        <v>5447840.2199999997</v>
      </c>
    </row>
    <row r="16" spans="1:12" ht="19.5" customHeight="1" x14ac:dyDescent="0.25">
      <c r="A16" s="18">
        <v>43252</v>
      </c>
      <c r="B16" s="11">
        <f>SUM(B14:B15)</f>
        <v>2148118</v>
      </c>
      <c r="C16" s="11">
        <f t="shared" ref="C16:E16" si="1">SUM(C14:C15)</f>
        <v>238336</v>
      </c>
      <c r="D16" s="11">
        <f t="shared" si="1"/>
        <v>562722</v>
      </c>
      <c r="E16" s="11">
        <f t="shared" si="1"/>
        <v>109014</v>
      </c>
      <c r="F16" s="35">
        <f>ROUND(SUM(K$11:$K16)*$F$3,0)-SUM(F$11:$F15)</f>
        <v>0</v>
      </c>
      <c r="G16" s="10">
        <f>ROUND(SUM($K$11:K16)*$G$3,0)-SUM($G$11:G15)</f>
        <v>0</v>
      </c>
      <c r="H16" s="10">
        <f>ROUND(SUM($K$11:K16)*$H$3,0)-SUM($H$11:H15)</f>
        <v>0</v>
      </c>
      <c r="I16" s="10">
        <f>ROUND(SUM($K$11:K16)*$I$3,0)-SUM($I$11:I15)</f>
        <v>0</v>
      </c>
      <c r="J16" s="10">
        <f>ROUND(SUM($K$11:K16)*$J$3,0)-SUM($J$11:J15)</f>
        <v>0</v>
      </c>
      <c r="K16" s="16"/>
      <c r="L16" s="16"/>
    </row>
    <row r="17" spans="1:12" ht="19.5" customHeight="1" x14ac:dyDescent="0.25">
      <c r="A17" s="18">
        <v>43282</v>
      </c>
      <c r="B17" s="10">
        <f>ROUND($K$17*B3,0)</f>
        <v>0</v>
      </c>
      <c r="C17" s="10">
        <f>ROUND($K$17*C3,0)</f>
        <v>0</v>
      </c>
      <c r="D17" s="10">
        <f>ROUND($L$17*D3,0)</f>
        <v>0</v>
      </c>
      <c r="E17" s="10">
        <f>ROUND($L$17*E3,0)</f>
        <v>0</v>
      </c>
      <c r="F17" s="35">
        <f>ROUND(SUM(K$11:$K17)*$F$3,0)-SUM(F$11:$F16)</f>
        <v>0</v>
      </c>
      <c r="G17" s="10">
        <f>ROUND(SUM($K$11:K17)*$G$3,0)-SUM($G$11:G16)</f>
        <v>0</v>
      </c>
      <c r="H17" s="10">
        <f>ROUND(SUM($K$11:K17)*$H$3,0)-SUM($H$11:H16)</f>
        <v>0</v>
      </c>
      <c r="I17" s="10">
        <f>ROUND(SUM($K$11:K17)*$I$3,0)-SUM($I$11:I16)</f>
        <v>0</v>
      </c>
      <c r="J17" s="10">
        <f>ROUND(SUM($K$11:K17)*$J$3,0)-SUM($J$11:J16)</f>
        <v>0</v>
      </c>
      <c r="K17" s="16"/>
      <c r="L17" s="16"/>
    </row>
    <row r="18" spans="1:12" ht="19.5" customHeight="1" x14ac:dyDescent="0.25">
      <c r="A18" s="18">
        <v>43313</v>
      </c>
      <c r="B18" s="10">
        <f>ROUND($K$18*B3,0)</f>
        <v>0</v>
      </c>
      <c r="C18" s="10">
        <f>ROUND($K$18*C3,0)</f>
        <v>0</v>
      </c>
      <c r="D18" s="10">
        <f>ROUND($L$18*D3,0)</f>
        <v>0</v>
      </c>
      <c r="E18" s="10">
        <f>ROUND($L$18*E3,0)</f>
        <v>0</v>
      </c>
      <c r="F18" s="35">
        <f>ROUND(SUM(K$11:$K18)*$F$3,0)-SUM(F$11:$F17)</f>
        <v>0</v>
      </c>
      <c r="G18" s="10">
        <f>ROUND(SUM($K$11:K18)*$G$3,0)-SUM($G$11:G17)</f>
        <v>0</v>
      </c>
      <c r="H18" s="10">
        <f>ROUND(SUM($K$11:K18)*$H$3,0)-SUM($H$11:H17)</f>
        <v>0</v>
      </c>
      <c r="I18" s="10">
        <f>ROUND(SUM($K$11:K18)*$I$3,0)-SUM($I$11:I17)</f>
        <v>0</v>
      </c>
      <c r="J18" s="10">
        <f>ROUND(SUM($K$11:K18)*$J$3,0)-SUM($J$11:J17)</f>
        <v>0</v>
      </c>
      <c r="K18" s="16"/>
      <c r="L18" s="16"/>
    </row>
    <row r="19" spans="1:12" ht="19.5" customHeight="1" x14ac:dyDescent="0.25">
      <c r="A19" s="18">
        <v>43344</v>
      </c>
      <c r="B19" s="11">
        <f>SUM(B17:B18)</f>
        <v>0</v>
      </c>
      <c r="C19" s="11">
        <f t="shared" ref="C19:E19" si="2">SUM(C17:C18)</f>
        <v>0</v>
      </c>
      <c r="D19" s="11">
        <f t="shared" si="2"/>
        <v>0</v>
      </c>
      <c r="E19" s="11">
        <f t="shared" si="2"/>
        <v>0</v>
      </c>
      <c r="F19" s="35">
        <f>ROUND(SUM(K$11:$K19)*$F$3,0)-SUM(F$11:$F18)</f>
        <v>0</v>
      </c>
      <c r="G19" s="10">
        <f>ROUND(SUM($K$11:K19)*$G$3,0)-SUM($G$11:G18)</f>
        <v>0</v>
      </c>
      <c r="H19" s="10">
        <f>ROUND(SUM($K$11:K19)*$H$3,0)-SUM($H$11:H18)</f>
        <v>0</v>
      </c>
      <c r="I19" s="10">
        <f>ROUND(SUM($K$11:K19)*$I$3,0)-SUM($I$11:I18)</f>
        <v>0</v>
      </c>
      <c r="J19" s="10">
        <f>ROUND(SUM($K$11:K19)*$J$3,0)-SUM($J$11:J18)</f>
        <v>0</v>
      </c>
      <c r="K19" s="16"/>
      <c r="L19" s="16"/>
    </row>
    <row r="20" spans="1:12" ht="19.5" customHeight="1" x14ac:dyDescent="0.25">
      <c r="A20" s="18">
        <v>43374</v>
      </c>
      <c r="B20" s="10">
        <f>ROUND($K$20*B3,0)</f>
        <v>0</v>
      </c>
      <c r="C20" s="10">
        <f>ROUND($K$20*C3,0)</f>
        <v>0</v>
      </c>
      <c r="D20" s="10">
        <f>ROUND($L$20*D3,0)</f>
        <v>0</v>
      </c>
      <c r="E20" s="10">
        <f>ROUND($L$20*E3,0)</f>
        <v>0</v>
      </c>
      <c r="F20" s="35">
        <f>ROUND(SUM(K$11:$K20)*$F$3,0)-SUM(F$11:$F19)</f>
        <v>0</v>
      </c>
      <c r="G20" s="10">
        <f>ROUND(SUM($K$11:K20)*$G$3,0)-SUM($G$11:G19)</f>
        <v>0</v>
      </c>
      <c r="H20" s="10">
        <f>ROUND(SUM($K$11:K20)*$H$3,0)-SUM($H$11:H19)</f>
        <v>0</v>
      </c>
      <c r="I20" s="10">
        <f>ROUND(SUM($K$11:K20)*$I$3,0)-SUM($I$11:I19)</f>
        <v>0</v>
      </c>
      <c r="J20" s="10">
        <f>ROUND(SUM($K$11:K20)*$J$3,0)-SUM($J$11:J19)</f>
        <v>0</v>
      </c>
      <c r="K20" s="16"/>
      <c r="L20" s="16"/>
    </row>
    <row r="21" spans="1:12" ht="19.5" customHeight="1" x14ac:dyDescent="0.25">
      <c r="A21" s="18">
        <v>43405</v>
      </c>
      <c r="B21" s="10">
        <f>ROUND($K$21*B3,0)</f>
        <v>0</v>
      </c>
      <c r="C21" s="10">
        <f>ROUND($K$21*C3,0)</f>
        <v>0</v>
      </c>
      <c r="D21" s="10">
        <f>ROUND($L$21*D3,0)</f>
        <v>0</v>
      </c>
      <c r="E21" s="10">
        <f>ROUND($L$21*E3,0)</f>
        <v>0</v>
      </c>
      <c r="F21" s="35">
        <f>ROUND(SUM(K$11:$K21)*$F$3,0)-SUM(F$11:$F20)</f>
        <v>0</v>
      </c>
      <c r="G21" s="10">
        <f>ROUND(SUM($K$11:K21)*$G$3,0)-SUM($G$11:G20)</f>
        <v>0</v>
      </c>
      <c r="H21" s="10">
        <f>ROUND(SUM($K$11:K21)*$H$3,0)-SUM($H$11:H20)</f>
        <v>0</v>
      </c>
      <c r="I21" s="10">
        <f>ROUND(SUM($K$11:K21)*$I$3,0)-SUM($I$11:I20)</f>
        <v>0</v>
      </c>
      <c r="J21" s="10">
        <f>ROUND(SUM($K$11:K21)*$J$3,0)-SUM($J$11:J20)</f>
        <v>0</v>
      </c>
      <c r="K21" s="16"/>
      <c r="L21" s="16"/>
    </row>
    <row r="22" spans="1:12" ht="19.5" customHeight="1" x14ac:dyDescent="0.25">
      <c r="A22" s="18">
        <v>43435</v>
      </c>
      <c r="B22" s="11">
        <f>-(B20+B21)</f>
        <v>0</v>
      </c>
      <c r="C22" s="11">
        <f t="shared" ref="C22:E22" si="3">-(C20+C21)</f>
        <v>0</v>
      </c>
      <c r="D22" s="11">
        <f t="shared" si="3"/>
        <v>0</v>
      </c>
      <c r="E22" s="11">
        <f t="shared" si="3"/>
        <v>0</v>
      </c>
      <c r="F22" s="35">
        <f>ROUND(SUM(K$11:$K22)*$F$3,0)-SUM(F$11:$F21)</f>
        <v>0</v>
      </c>
      <c r="G22" s="10">
        <f>ROUND(SUM($K$11:K22)*$G$3,0)-SUM($G$11:G21)</f>
        <v>0</v>
      </c>
      <c r="H22" s="10">
        <f>ROUND(SUM($K$11:K22)*$H$3,0)-SUM($H$11:H21)</f>
        <v>0</v>
      </c>
      <c r="I22" s="10">
        <f>ROUND(SUM($K$11:K22)*$I$3,0)-SUM($I$11:I21)</f>
        <v>0</v>
      </c>
      <c r="J22" s="10">
        <f>ROUND(SUM($K$11:K22)*$J$3,0)-SUM($J$11:J21)</f>
        <v>0</v>
      </c>
      <c r="K22" s="16"/>
      <c r="L22" s="16"/>
    </row>
    <row r="23" spans="1:12" ht="19.5" customHeight="1" x14ac:dyDescent="0.25">
      <c r="A23" s="12" t="s">
        <v>1</v>
      </c>
      <c r="B23" s="9"/>
      <c r="C23" s="9"/>
      <c r="D23" s="9"/>
      <c r="E23" s="9"/>
      <c r="F23" s="37">
        <f>SUM(F11:F22)</f>
        <v>0</v>
      </c>
      <c r="G23" s="21">
        <f>SUM(G11:G22)</f>
        <v>2180795</v>
      </c>
      <c r="H23" s="21">
        <f t="shared" ref="H23:J23" si="4">SUM(H11:H22)</f>
        <v>521944</v>
      </c>
      <c r="I23" s="21">
        <f t="shared" si="4"/>
        <v>72349</v>
      </c>
      <c r="J23" s="21">
        <f t="shared" si="4"/>
        <v>413421</v>
      </c>
      <c r="K23" s="16"/>
      <c r="L23" s="16"/>
    </row>
    <row r="24" spans="1:12" ht="18.75" x14ac:dyDescent="0.25">
      <c r="E24" s="31" t="s">
        <v>12</v>
      </c>
      <c r="F24" s="14">
        <f>ROUND(SUM($K$11:$K$22)*F3,0)-F23</f>
        <v>0</v>
      </c>
      <c r="G24" s="14">
        <f>ROUND(SUM($K$11:$K$22)*G3,0)-G23</f>
        <v>0</v>
      </c>
      <c r="H24" s="14">
        <f>ROUND(SUM($K$11:$K$22)*H3,0)-H23</f>
        <v>0</v>
      </c>
      <c r="I24" s="14">
        <f>ROUND(SUM($K$11:$K$22)*I3,0)-I23</f>
        <v>0</v>
      </c>
      <c r="J24" s="14">
        <f>ROUND(SUM($K$11:$K$22)*J3,0)-J23</f>
        <v>0</v>
      </c>
    </row>
    <row r="28" spans="1:12" x14ac:dyDescent="0.15">
      <c r="J28" s="15"/>
    </row>
  </sheetData>
  <mergeCells count="3">
    <mergeCell ref="A6:J6"/>
    <mergeCell ref="K8:K10"/>
    <mergeCell ref="L8:L10"/>
  </mergeCells>
  <phoneticPr fontId="6" type="noConversion"/>
  <pageMargins left="0.7" right="0.7" top="0.75" bottom="0.75" header="0.3" footer="0.3"/>
  <pageSetup paperSize="9" scale="54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8"/>
  <sheetViews>
    <sheetView topLeftCell="A7" zoomScale="85" zoomScaleNormal="85" workbookViewId="0">
      <selection activeCell="D35" sqref="D35"/>
    </sheetView>
  </sheetViews>
  <sheetFormatPr defaultColWidth="9.125" defaultRowHeight="13.5" x14ac:dyDescent="0.15"/>
  <cols>
    <col min="1" max="1" width="23.75" style="5" bestFit="1" customWidth="1"/>
    <col min="2" max="2" width="18.75" style="5" bestFit="1" customWidth="1"/>
    <col min="3" max="3" width="16.75" style="5" bestFit="1" customWidth="1"/>
    <col min="4" max="4" width="22.75" style="5" bestFit="1" customWidth="1"/>
    <col min="5" max="5" width="20.875" style="5" bestFit="1" customWidth="1"/>
    <col min="6" max="6" width="22.625" style="32" bestFit="1" customWidth="1"/>
    <col min="7" max="7" width="22.5" style="5" bestFit="1" customWidth="1"/>
    <col min="8" max="8" width="23.25" style="5" bestFit="1" customWidth="1"/>
    <col min="9" max="9" width="23.875" style="5" bestFit="1" customWidth="1"/>
    <col min="10" max="10" width="20.25" style="5" bestFit="1" customWidth="1"/>
    <col min="11" max="11" width="16.125" style="5" bestFit="1" customWidth="1"/>
    <col min="12" max="12" width="15" style="5" bestFit="1" customWidth="1"/>
    <col min="13" max="16384" width="9.125" style="5"/>
  </cols>
  <sheetData>
    <row r="1" spans="1:12" x14ac:dyDescent="0.15">
      <c r="A1" s="1" t="s">
        <v>25</v>
      </c>
      <c r="B1" s="2" t="s">
        <v>2</v>
      </c>
      <c r="C1" s="3" t="s">
        <v>3</v>
      </c>
      <c r="D1" s="3" t="s">
        <v>4</v>
      </c>
      <c r="E1" s="3" t="s">
        <v>5</v>
      </c>
      <c r="F1" s="38" t="s">
        <v>31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2" x14ac:dyDescent="0.15">
      <c r="A2" s="1" t="s">
        <v>10</v>
      </c>
      <c r="B2" s="2">
        <v>5106050102</v>
      </c>
      <c r="C2" s="3">
        <v>5106050106</v>
      </c>
      <c r="D2" s="3">
        <v>5106050104</v>
      </c>
      <c r="E2" s="3">
        <v>5106050108</v>
      </c>
      <c r="F2" s="39">
        <v>5106050258</v>
      </c>
      <c r="G2" s="4">
        <v>5106050225</v>
      </c>
      <c r="H2" s="4">
        <v>5106050221</v>
      </c>
      <c r="I2" s="4">
        <v>5106050222</v>
      </c>
      <c r="J2" s="4">
        <v>5106050204</v>
      </c>
    </row>
    <row r="3" spans="1:12" x14ac:dyDescent="0.15">
      <c r="A3" s="6" t="s">
        <v>35</v>
      </c>
      <c r="B3" s="7">
        <v>0.11749999999999999</v>
      </c>
      <c r="C3" s="7">
        <v>2.06E-2</v>
      </c>
      <c r="D3" s="7">
        <v>4.0300000000000002E-2</v>
      </c>
      <c r="E3" s="7">
        <v>9.5999999999999992E-3</v>
      </c>
      <c r="F3" s="26">
        <v>1.2999999999999999E-3</v>
      </c>
      <c r="G3" s="7">
        <v>4.1599999999999998E-2</v>
      </c>
      <c r="H3" s="7">
        <v>2.12E-2</v>
      </c>
      <c r="I3" s="7">
        <v>1.4E-3</v>
      </c>
      <c r="J3" s="7">
        <v>6.4999999999999997E-3</v>
      </c>
    </row>
    <row r="4" spans="1:12" x14ac:dyDescent="0.15">
      <c r="C4" s="7"/>
      <c r="D4" s="7"/>
      <c r="E4" s="7"/>
      <c r="F4" s="26"/>
      <c r="G4" s="7"/>
      <c r="H4" s="7"/>
      <c r="I4" s="7"/>
      <c r="J4" s="7"/>
    </row>
    <row r="6" spans="1:12" x14ac:dyDescent="0.15">
      <c r="A6" s="44" t="s">
        <v>19</v>
      </c>
      <c r="B6" s="44"/>
      <c r="C6" s="44"/>
      <c r="D6" s="44"/>
      <c r="E6" s="44"/>
      <c r="F6" s="44"/>
      <c r="G6" s="44"/>
      <c r="H6" s="44"/>
      <c r="I6" s="44"/>
      <c r="J6" s="45"/>
    </row>
    <row r="7" spans="1:12" ht="19.5" customHeight="1" x14ac:dyDescent="0.15">
      <c r="A7" s="23" t="s">
        <v>34</v>
      </c>
      <c r="B7" s="8" t="s">
        <v>2</v>
      </c>
      <c r="C7" s="8" t="s">
        <v>3</v>
      </c>
      <c r="D7" s="8" t="s">
        <v>4</v>
      </c>
      <c r="E7" s="8" t="s">
        <v>5</v>
      </c>
      <c r="F7" s="29" t="s">
        <v>31</v>
      </c>
      <c r="G7" s="8" t="s">
        <v>6</v>
      </c>
      <c r="H7" s="8" t="s">
        <v>7</v>
      </c>
      <c r="I7" s="8" t="s">
        <v>8</v>
      </c>
      <c r="J7" s="8" t="s">
        <v>9</v>
      </c>
    </row>
    <row r="8" spans="1:12" ht="19.5" customHeight="1" x14ac:dyDescent="0.25">
      <c r="A8" s="23" t="s">
        <v>29</v>
      </c>
      <c r="B8" s="9">
        <v>5106050102</v>
      </c>
      <c r="C8" s="9">
        <v>5106050106</v>
      </c>
      <c r="D8" s="9">
        <v>5106050104</v>
      </c>
      <c r="E8" s="9">
        <v>5106050108</v>
      </c>
      <c r="F8" s="28">
        <v>5106050258</v>
      </c>
      <c r="G8" s="9">
        <v>5106050225</v>
      </c>
      <c r="H8" s="9">
        <v>5106050221</v>
      </c>
      <c r="I8" s="9">
        <v>5106050222</v>
      </c>
      <c r="J8" s="9">
        <v>5106050204</v>
      </c>
      <c r="K8" s="46" t="s">
        <v>11</v>
      </c>
      <c r="L8" s="47" t="s">
        <v>14</v>
      </c>
    </row>
    <row r="9" spans="1:12" ht="20.25" x14ac:dyDescent="0.25">
      <c r="A9" s="22" t="s">
        <v>30</v>
      </c>
      <c r="B9" s="19">
        <v>23020202</v>
      </c>
      <c r="C9" s="19">
        <v>23020202</v>
      </c>
      <c r="D9" s="19">
        <v>23020202</v>
      </c>
      <c r="E9" s="19">
        <v>23020202</v>
      </c>
      <c r="F9" s="19">
        <v>23020203</v>
      </c>
      <c r="G9" s="19">
        <v>23020203</v>
      </c>
      <c r="H9" s="19">
        <v>23020203</v>
      </c>
      <c r="I9" s="19">
        <v>23020203</v>
      </c>
      <c r="J9" s="19">
        <v>23020203</v>
      </c>
      <c r="K9" s="46"/>
      <c r="L9" s="47"/>
    </row>
    <row r="10" spans="1:12" ht="20.25" x14ac:dyDescent="0.25">
      <c r="A10" s="22" t="s">
        <v>43</v>
      </c>
      <c r="B10" s="19" t="s">
        <v>28</v>
      </c>
      <c r="C10" s="19" t="s">
        <v>26</v>
      </c>
      <c r="D10" s="19" t="s">
        <v>26</v>
      </c>
      <c r="E10" s="19" t="s">
        <v>26</v>
      </c>
      <c r="F10" s="30" t="s">
        <v>27</v>
      </c>
      <c r="G10" s="19" t="s">
        <v>27</v>
      </c>
      <c r="H10" s="19" t="s">
        <v>27</v>
      </c>
      <c r="I10" s="19" t="s">
        <v>27</v>
      </c>
      <c r="J10" s="19" t="s">
        <v>27</v>
      </c>
      <c r="K10" s="46"/>
      <c r="L10" s="47"/>
    </row>
    <row r="11" spans="1:12" ht="19.5" customHeight="1" x14ac:dyDescent="0.25">
      <c r="A11" s="18">
        <v>43101</v>
      </c>
      <c r="B11" s="10">
        <f>ROUND($K$11*B3,0)</f>
        <v>7492429</v>
      </c>
      <c r="C11" s="10">
        <f>ROUND($K$11*C3,0)</f>
        <v>1313566</v>
      </c>
      <c r="D11" s="10">
        <f>ROUND($L$11*D3,0)</f>
        <v>802307</v>
      </c>
      <c r="E11" s="10">
        <f>ROUND($L$11*E3,0)</f>
        <v>191120</v>
      </c>
      <c r="F11" s="35">
        <f>ROUND($K$11*F3,0)</f>
        <v>82895</v>
      </c>
      <c r="G11" s="10">
        <f>ROUND($K$11*G3,0)</f>
        <v>2652639</v>
      </c>
      <c r="H11" s="10">
        <f>ROUND($K$11*H3,0)</f>
        <v>1351826</v>
      </c>
      <c r="I11" s="10">
        <f>ROUND($K$11*I3,0)</f>
        <v>89271</v>
      </c>
      <c r="J11" s="10">
        <f>ROUND($K$11*J3,0)</f>
        <v>414475</v>
      </c>
      <c r="K11" s="16">
        <v>63765355.410000071</v>
      </c>
      <c r="L11" s="16">
        <v>19908371.060000014</v>
      </c>
    </row>
    <row r="12" spans="1:12" ht="19.5" customHeight="1" x14ac:dyDescent="0.25">
      <c r="A12" s="18">
        <v>43132</v>
      </c>
      <c r="B12" s="10">
        <f>ROUND($K$12*B3,0)</f>
        <v>2730962</v>
      </c>
      <c r="C12" s="10">
        <f>ROUND($K$12*C3,0)</f>
        <v>478790</v>
      </c>
      <c r="D12" s="10">
        <f>ROUND($L$12*D3,0)</f>
        <v>611162</v>
      </c>
      <c r="E12" s="10">
        <f>ROUND($L$12*E3,0)</f>
        <v>145587</v>
      </c>
      <c r="F12" s="35">
        <f>ROUND(SUM(K$11:$K12)*$F$3,0)-SUM(F$11:$F11)</f>
        <v>30215</v>
      </c>
      <c r="G12" s="10">
        <f>ROUND(SUM($K$11:K12)*$G$3,0)-SUM($G$11:G11)</f>
        <v>966877</v>
      </c>
      <c r="H12" s="10">
        <f>ROUND(SUM($K$11:K12)*$H$3,0)-SUM($H$11:H11)</f>
        <v>492735</v>
      </c>
      <c r="I12" s="10">
        <f>ROUND(SUM($K$11:K12)*$I$3,0)-SUM($I$11:I11)</f>
        <v>32540</v>
      </c>
      <c r="J12" s="10">
        <f>ROUND(SUM($K$11:K12)*$J$3,0)-SUM($J$11:J11)</f>
        <v>151074</v>
      </c>
      <c r="K12" s="16">
        <v>23242233.900000021</v>
      </c>
      <c r="L12" s="16">
        <v>15165321.020000001</v>
      </c>
    </row>
    <row r="13" spans="1:12" ht="19.5" customHeight="1" x14ac:dyDescent="0.25">
      <c r="A13" s="18">
        <v>43160</v>
      </c>
      <c r="B13" s="11">
        <f>SUM(B11:B12)</f>
        <v>10223391</v>
      </c>
      <c r="C13" s="11">
        <f>SUM(C11:C12)</f>
        <v>1792356</v>
      </c>
      <c r="D13" s="11">
        <f t="shared" ref="D13:E13" si="0">SUM(D11:D12)</f>
        <v>1413469</v>
      </c>
      <c r="E13" s="11">
        <f t="shared" si="0"/>
        <v>336707</v>
      </c>
      <c r="F13" s="35">
        <f>ROUND(SUM(K$11:$K13)*$F$3,0)-SUM(F$11:$F12)</f>
        <v>49182</v>
      </c>
      <c r="G13" s="10">
        <f>ROUND(SUM($K$11:K13)*$G$3,0)-SUM($G$11:G12)</f>
        <v>1573833</v>
      </c>
      <c r="H13" s="10">
        <f>ROUND(SUM($K$11:K13)*$H$3,0)-SUM($H$11:H12)</f>
        <v>802050</v>
      </c>
      <c r="I13" s="10">
        <f>ROUND(SUM($K$11:K13)*$I$3,0)-SUM($I$11:I12)</f>
        <v>52965</v>
      </c>
      <c r="J13" s="10">
        <f>ROUND(SUM($K$11:K13)*$J$3,0)-SUM($J$11:J12)</f>
        <v>245912</v>
      </c>
      <c r="K13" s="16">
        <v>37832542.030000024</v>
      </c>
      <c r="L13" s="16"/>
    </row>
    <row r="14" spans="1:12" ht="19.5" customHeight="1" x14ac:dyDescent="0.25">
      <c r="A14" s="18">
        <v>43191</v>
      </c>
      <c r="B14" s="10">
        <f>ROUND($K$14*B3,0)</f>
        <v>2825626</v>
      </c>
      <c r="C14" s="10">
        <f>ROUND($K$14*C3,0)</f>
        <v>495386</v>
      </c>
      <c r="D14" s="10">
        <f>ROUND($L$14*D3,0)</f>
        <v>719790</v>
      </c>
      <c r="E14" s="10">
        <f>ROUND($L$14*E3,0)</f>
        <v>171464</v>
      </c>
      <c r="F14" s="35">
        <f>ROUND(SUM(K$11:$K14)*$F$3,0)-SUM(F$11:$F13)</f>
        <v>31262</v>
      </c>
      <c r="G14" s="10">
        <f>ROUND(SUM($K$11:K14)*$G$3,0)-SUM($G$11:G13)</f>
        <v>1000392</v>
      </c>
      <c r="H14" s="10">
        <f>ROUND(SUM($K$11:K14)*$H$3,0)-SUM($H$11:H13)</f>
        <v>509815</v>
      </c>
      <c r="I14" s="10">
        <f>ROUND(SUM($K$11:K14)*$I$3,0)-SUM($I$11:I13)</f>
        <v>33667</v>
      </c>
      <c r="J14" s="10">
        <f>ROUND(SUM($K$11:K14)*$J$3,0)-SUM($J$11:J13)</f>
        <v>156311</v>
      </c>
      <c r="K14" s="16">
        <v>24047877.019999966</v>
      </c>
      <c r="L14" s="16">
        <v>17860790.75999999</v>
      </c>
    </row>
    <row r="15" spans="1:12" ht="19.5" customHeight="1" x14ac:dyDescent="0.25">
      <c r="A15" s="18">
        <v>43221</v>
      </c>
      <c r="B15" s="10">
        <f>ROUND($K$15*B3,0)</f>
        <v>3274419</v>
      </c>
      <c r="C15" s="10">
        <f>ROUND($K$15*C3,0)</f>
        <v>574068</v>
      </c>
      <c r="D15" s="10">
        <f>ROUND($L$15*D3,0)</f>
        <v>720171</v>
      </c>
      <c r="E15" s="10">
        <f>ROUND($L$15*E3,0)</f>
        <v>171554</v>
      </c>
      <c r="F15" s="35">
        <f>ROUND(SUM(K$11:$K15)*$F$3,0)-SUM(F$11:$F14)</f>
        <v>36228</v>
      </c>
      <c r="G15" s="10">
        <f>ROUND(SUM($K$11:K15)*$G$3,0)-SUM($G$11:G14)</f>
        <v>1159284</v>
      </c>
      <c r="H15" s="10">
        <f>ROUND(SUM($K$11:K15)*$H$3,0)-SUM($H$11:H14)</f>
        <v>590789</v>
      </c>
      <c r="I15" s="10">
        <f>ROUND(SUM($K$11:K15)*$I$3,0)-SUM($I$11:I14)</f>
        <v>39015</v>
      </c>
      <c r="J15" s="10">
        <f>ROUND(SUM($K$11:K15)*$J$3,0)-SUM($J$11:J14)</f>
        <v>181138</v>
      </c>
      <c r="K15" s="16">
        <v>27867394.150000006</v>
      </c>
      <c r="L15" s="16">
        <v>17870256.459999997</v>
      </c>
    </row>
    <row r="16" spans="1:12" ht="19.5" customHeight="1" x14ac:dyDescent="0.25">
      <c r="A16" s="18">
        <v>43252</v>
      </c>
      <c r="B16" s="11">
        <f>SUM(B14:B15)</f>
        <v>6100045</v>
      </c>
      <c r="C16" s="11">
        <f t="shared" ref="C16:E16" si="1">SUM(C14:C15)</f>
        <v>1069454</v>
      </c>
      <c r="D16" s="11">
        <f t="shared" si="1"/>
        <v>1439961</v>
      </c>
      <c r="E16" s="11">
        <f t="shared" si="1"/>
        <v>343018</v>
      </c>
      <c r="F16" s="35">
        <f>ROUND(SUM(K$11:$K16)*$F$3,0)-SUM(F$11:$F15)</f>
        <v>0</v>
      </c>
      <c r="G16" s="10">
        <f>ROUND(SUM($K$11:K16)*$G$3,0)-SUM($G$11:G15)</f>
        <v>0</v>
      </c>
      <c r="H16" s="10">
        <f>ROUND(SUM($K$11:K16)*$H$3,0)-SUM($H$11:H15)</f>
        <v>0</v>
      </c>
      <c r="I16" s="10">
        <f>ROUND(SUM($K$11:K16)*$I$3,0)-SUM($I$11:I15)</f>
        <v>0</v>
      </c>
      <c r="J16" s="10">
        <f>ROUND(SUM($K$11:K16)*$J$3,0)-SUM($J$11:J15)</f>
        <v>0</v>
      </c>
      <c r="K16" s="16"/>
      <c r="L16" s="16"/>
    </row>
    <row r="17" spans="1:12" ht="19.5" customHeight="1" x14ac:dyDescent="0.25">
      <c r="A17" s="18">
        <v>43282</v>
      </c>
      <c r="B17" s="10">
        <f>ROUND($K$17*B3,0)</f>
        <v>0</v>
      </c>
      <c r="C17" s="10">
        <f>ROUND($K$17*C3,0)</f>
        <v>0</v>
      </c>
      <c r="D17" s="10">
        <f>ROUND($L$17*D3,0)</f>
        <v>0</v>
      </c>
      <c r="E17" s="10">
        <f>ROUND($L$17*E3,0)</f>
        <v>0</v>
      </c>
      <c r="F17" s="35">
        <f>ROUND(SUM(K$11:$K17)*$F$3,0)-SUM(F$11:$F16)</f>
        <v>0</v>
      </c>
      <c r="G17" s="10">
        <f>ROUND(SUM($K$11:K17)*$G$3,0)-SUM($G$11:G16)</f>
        <v>0</v>
      </c>
      <c r="H17" s="10">
        <f>ROUND(SUM($K$11:K17)*$H$3,0)-SUM($H$11:H16)</f>
        <v>0</v>
      </c>
      <c r="I17" s="10">
        <f>ROUND(SUM($K$11:K17)*$I$3,0)-SUM($I$11:I16)</f>
        <v>0</v>
      </c>
      <c r="J17" s="10">
        <f>ROUND(SUM($K$11:K17)*$J$3,0)-SUM($J$11:J16)</f>
        <v>0</v>
      </c>
      <c r="K17" s="16"/>
      <c r="L17" s="16"/>
    </row>
    <row r="18" spans="1:12" ht="19.5" customHeight="1" x14ac:dyDescent="0.25">
      <c r="A18" s="18">
        <v>43313</v>
      </c>
      <c r="B18" s="10">
        <f>ROUND($K$18*B3,0)</f>
        <v>0</v>
      </c>
      <c r="C18" s="10">
        <f>ROUND($K$18*C3,0)</f>
        <v>0</v>
      </c>
      <c r="D18" s="10">
        <f>ROUND($L$18*D3,0)</f>
        <v>0</v>
      </c>
      <c r="E18" s="10">
        <f>ROUND($L$18*E3,0)</f>
        <v>0</v>
      </c>
      <c r="F18" s="35">
        <f>ROUND(SUM(K$11:$K18)*$F$3,0)-SUM(F$11:$F17)</f>
        <v>0</v>
      </c>
      <c r="G18" s="10">
        <f>ROUND(SUM($K$11:K18)*$G$3,0)-SUM($G$11:G17)</f>
        <v>0</v>
      </c>
      <c r="H18" s="10">
        <f>ROUND(SUM($K$11:K18)*$H$3,0)-SUM($H$11:H17)</f>
        <v>0</v>
      </c>
      <c r="I18" s="10">
        <f>ROUND(SUM($K$11:K18)*$I$3,0)-SUM($I$11:I17)</f>
        <v>0</v>
      </c>
      <c r="J18" s="10">
        <f>ROUND(SUM($K$11:K18)*$J$3,0)-SUM($J$11:J17)</f>
        <v>0</v>
      </c>
      <c r="K18" s="16"/>
      <c r="L18" s="16"/>
    </row>
    <row r="19" spans="1:12" ht="19.5" customHeight="1" x14ac:dyDescent="0.25">
      <c r="A19" s="18">
        <v>43344</v>
      </c>
      <c r="B19" s="11">
        <f>SUM(B17:B18)</f>
        <v>0</v>
      </c>
      <c r="C19" s="11">
        <f t="shared" ref="C19:E19" si="2">SUM(C17:C18)</f>
        <v>0</v>
      </c>
      <c r="D19" s="11">
        <f t="shared" si="2"/>
        <v>0</v>
      </c>
      <c r="E19" s="11">
        <f t="shared" si="2"/>
        <v>0</v>
      </c>
      <c r="F19" s="35">
        <f>ROUND(SUM(K$11:$K19)*$F$3,0)-SUM(F$11:$F18)</f>
        <v>0</v>
      </c>
      <c r="G19" s="10">
        <f>ROUND(SUM($K$11:K19)*$G$3,0)-SUM($G$11:G18)</f>
        <v>0</v>
      </c>
      <c r="H19" s="10">
        <f>ROUND(SUM($K$11:K19)*$H$3,0)-SUM($H$11:H18)</f>
        <v>0</v>
      </c>
      <c r="I19" s="10">
        <f>ROUND(SUM($K$11:K19)*$I$3,0)-SUM($I$11:I18)</f>
        <v>0</v>
      </c>
      <c r="J19" s="10">
        <f>ROUND(SUM($K$11:K19)*$J$3,0)-SUM($J$11:J18)</f>
        <v>0</v>
      </c>
      <c r="K19" s="16"/>
      <c r="L19" s="16"/>
    </row>
    <row r="20" spans="1:12" ht="19.5" customHeight="1" x14ac:dyDescent="0.25">
      <c r="A20" s="18">
        <v>43374</v>
      </c>
      <c r="B20" s="10">
        <f>ROUND($K$20*B3,0)</f>
        <v>0</v>
      </c>
      <c r="C20" s="10">
        <f>ROUND($K$20*C3,0)</f>
        <v>0</v>
      </c>
      <c r="D20" s="10">
        <f>ROUND($L$20*D3,0)</f>
        <v>0</v>
      </c>
      <c r="E20" s="10">
        <f>ROUND($L$20*E3,0)</f>
        <v>0</v>
      </c>
      <c r="F20" s="35">
        <f>ROUND(SUM(K$11:$K20)*$F$3,0)-SUM(F$11:$F19)</f>
        <v>0</v>
      </c>
      <c r="G20" s="10">
        <f>ROUND(SUM($K$11:K20)*$G$3,0)-SUM($G$11:G19)</f>
        <v>0</v>
      </c>
      <c r="H20" s="10">
        <f>ROUND(SUM($K$11:K20)*$H$3,0)-SUM($H$11:H19)</f>
        <v>0</v>
      </c>
      <c r="I20" s="10">
        <f>ROUND(SUM($K$11:K20)*$I$3,0)-SUM($I$11:I19)</f>
        <v>0</v>
      </c>
      <c r="J20" s="10">
        <f>ROUND(SUM($K$11:K20)*$J$3,0)-SUM($J$11:J19)</f>
        <v>0</v>
      </c>
      <c r="K20" s="16"/>
      <c r="L20" s="16"/>
    </row>
    <row r="21" spans="1:12" ht="19.5" customHeight="1" x14ac:dyDescent="0.25">
      <c r="A21" s="18">
        <v>43405</v>
      </c>
      <c r="B21" s="10">
        <f>ROUND($K$21*B3,0)</f>
        <v>0</v>
      </c>
      <c r="C21" s="10">
        <f>ROUND($K$21*C3,0)</f>
        <v>0</v>
      </c>
      <c r="D21" s="10">
        <f>ROUND($L$21*D3,0)</f>
        <v>0</v>
      </c>
      <c r="E21" s="10">
        <f>ROUND($L$21*E3,0)</f>
        <v>0</v>
      </c>
      <c r="F21" s="35">
        <f>ROUND(SUM(K$11:$K21)*$F$3,0)-SUM(F$11:$F20)</f>
        <v>0</v>
      </c>
      <c r="G21" s="10">
        <f>ROUND(SUM($K$11:K21)*$G$3,0)-SUM($G$11:G20)</f>
        <v>0</v>
      </c>
      <c r="H21" s="10">
        <f>ROUND(SUM($K$11:K21)*$H$3,0)-SUM($H$11:H20)</f>
        <v>0</v>
      </c>
      <c r="I21" s="10">
        <f>ROUND(SUM($K$11:K21)*$I$3,0)-SUM($I$11:I20)</f>
        <v>0</v>
      </c>
      <c r="J21" s="10">
        <f>ROUND(SUM($K$11:K21)*$J$3,0)-SUM($J$11:J20)</f>
        <v>0</v>
      </c>
      <c r="K21" s="16"/>
      <c r="L21" s="16"/>
    </row>
    <row r="22" spans="1:12" ht="19.5" customHeight="1" x14ac:dyDescent="0.25">
      <c r="A22" s="18">
        <v>43435</v>
      </c>
      <c r="B22" s="11">
        <f>-(B20+B21)</f>
        <v>0</v>
      </c>
      <c r="C22" s="11">
        <f t="shared" ref="C22:E22" si="3">-(C20+C21)</f>
        <v>0</v>
      </c>
      <c r="D22" s="11">
        <f t="shared" si="3"/>
        <v>0</v>
      </c>
      <c r="E22" s="11">
        <f t="shared" si="3"/>
        <v>0</v>
      </c>
      <c r="F22" s="35">
        <f>ROUND(SUM(K$11:$K22)*$F$3,0)-SUM(F$11:$F21)</f>
        <v>0</v>
      </c>
      <c r="G22" s="10">
        <f>ROUND(SUM($K$11:K22)*$G$3,0)-SUM($G$11:G21)</f>
        <v>0</v>
      </c>
      <c r="H22" s="10">
        <f>ROUND(SUM($K$11:K22)*$H$3,0)-SUM($H$11:H21)</f>
        <v>0</v>
      </c>
      <c r="I22" s="10">
        <f>ROUND(SUM($K$11:K22)*$I$3,0)-SUM($I$11:I21)</f>
        <v>0</v>
      </c>
      <c r="J22" s="10">
        <f>ROUND(SUM($K$11:K22)*$J$3,0)-SUM($J$11:J21)</f>
        <v>0</v>
      </c>
      <c r="K22" s="16"/>
      <c r="L22" s="16"/>
    </row>
    <row r="23" spans="1:12" ht="19.5" customHeight="1" x14ac:dyDescent="0.25">
      <c r="A23" s="12" t="s">
        <v>1</v>
      </c>
      <c r="B23" s="9"/>
      <c r="C23" s="9"/>
      <c r="D23" s="9"/>
      <c r="E23" s="9"/>
      <c r="F23" s="37">
        <f>SUM(F11:F22)</f>
        <v>229782</v>
      </c>
      <c r="G23" s="21">
        <f>SUM(G11:G22)</f>
        <v>7353025</v>
      </c>
      <c r="H23" s="21">
        <f t="shared" ref="H23:J23" si="4">SUM(H11:H22)</f>
        <v>3747215</v>
      </c>
      <c r="I23" s="21">
        <f t="shared" si="4"/>
        <v>247458</v>
      </c>
      <c r="J23" s="21">
        <f t="shared" si="4"/>
        <v>1148910</v>
      </c>
      <c r="K23" s="16"/>
      <c r="L23" s="16"/>
    </row>
    <row r="24" spans="1:12" ht="18.75" x14ac:dyDescent="0.25">
      <c r="E24" s="31" t="s">
        <v>12</v>
      </c>
      <c r="F24" s="14">
        <f>ROUND(SUM($K$11:$K$22)*F3,0)-F23</f>
        <v>0</v>
      </c>
      <c r="G24" s="14">
        <f>ROUND(SUM($K$11:$K$22)*G3,0)-G23</f>
        <v>0</v>
      </c>
      <c r="H24" s="14">
        <f>ROUND(SUM($K$11:$K$22)*H3,0)-H23</f>
        <v>0</v>
      </c>
      <c r="I24" s="14">
        <f>ROUND(SUM($K$11:$K$22)*I3,0)-I23</f>
        <v>0</v>
      </c>
      <c r="J24" s="14">
        <f>ROUND(SUM($K$11:$K$22)*J3,0)-J23</f>
        <v>0</v>
      </c>
    </row>
    <row r="28" spans="1:12" x14ac:dyDescent="0.15">
      <c r="J28" s="15"/>
    </row>
  </sheetData>
  <mergeCells count="3">
    <mergeCell ref="A6:J6"/>
    <mergeCell ref="K8:K10"/>
    <mergeCell ref="L8:L10"/>
  </mergeCells>
  <phoneticPr fontId="6" type="noConversion"/>
  <pageMargins left="0.7" right="0.7" top="0.75" bottom="0.75" header="0.3" footer="0.3"/>
  <pageSetup paperSize="9" scale="54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28"/>
  <sheetViews>
    <sheetView zoomScale="85" zoomScaleNormal="85" workbookViewId="0">
      <selection activeCell="F9" sqref="F9"/>
    </sheetView>
  </sheetViews>
  <sheetFormatPr defaultColWidth="9.125" defaultRowHeight="13.5" x14ac:dyDescent="0.15"/>
  <cols>
    <col min="1" max="1" width="23.75" style="5" bestFit="1" customWidth="1"/>
    <col min="2" max="2" width="18.75" style="5" bestFit="1" customWidth="1"/>
    <col min="3" max="3" width="16.75" style="5" bestFit="1" customWidth="1"/>
    <col min="4" max="4" width="22.75" style="5" bestFit="1" customWidth="1"/>
    <col min="5" max="5" width="20.875" style="5" bestFit="1" customWidth="1"/>
    <col min="6" max="6" width="22.625" style="32" bestFit="1" customWidth="1"/>
    <col min="7" max="7" width="22.5" style="5" bestFit="1" customWidth="1"/>
    <col min="8" max="8" width="23.25" style="5" bestFit="1" customWidth="1"/>
    <col min="9" max="9" width="23.875" style="5" bestFit="1" customWidth="1"/>
    <col min="10" max="10" width="20.25" style="5" bestFit="1" customWidth="1"/>
    <col min="11" max="11" width="16.125" style="5" bestFit="1" customWidth="1"/>
    <col min="12" max="12" width="15" style="5" bestFit="1" customWidth="1"/>
    <col min="13" max="16384" width="9.125" style="5"/>
  </cols>
  <sheetData>
    <row r="1" spans="1:12" x14ac:dyDescent="0.15">
      <c r="A1" s="1" t="s">
        <v>25</v>
      </c>
      <c r="B1" s="2" t="s">
        <v>2</v>
      </c>
      <c r="C1" s="3" t="s">
        <v>3</v>
      </c>
      <c r="D1" s="3" t="s">
        <v>4</v>
      </c>
      <c r="E1" s="3" t="s">
        <v>5</v>
      </c>
      <c r="F1" s="38" t="s">
        <v>31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2" x14ac:dyDescent="0.15">
      <c r="A2" s="1" t="s">
        <v>10</v>
      </c>
      <c r="B2" s="2">
        <v>5106050102</v>
      </c>
      <c r="C2" s="3">
        <v>5106050106</v>
      </c>
      <c r="D2" s="3">
        <v>5106050104</v>
      </c>
      <c r="E2" s="3">
        <v>5106050108</v>
      </c>
      <c r="F2" s="39">
        <v>5106050258</v>
      </c>
      <c r="G2" s="4">
        <v>5106050225</v>
      </c>
      <c r="H2" s="4">
        <v>5106050221</v>
      </c>
      <c r="I2" s="4">
        <v>5106050222</v>
      </c>
      <c r="J2" s="4">
        <v>5106050204</v>
      </c>
    </row>
    <row r="3" spans="1:12" x14ac:dyDescent="0.15">
      <c r="A3" s="6" t="s">
        <v>36</v>
      </c>
      <c r="B3" s="7">
        <v>0.12920000000000001</v>
      </c>
      <c r="C3" s="7">
        <v>1.15E-2</v>
      </c>
      <c r="D3" s="7">
        <v>4.8099999999999997E-2</v>
      </c>
      <c r="E3" s="7">
        <v>4.8999999999999998E-3</v>
      </c>
      <c r="F3" s="26">
        <v>0</v>
      </c>
      <c r="G3" s="7">
        <v>3.7699999999999997E-2</v>
      </c>
      <c r="H3" s="7">
        <v>1.6899999999999998E-2</v>
      </c>
      <c r="I3" s="7">
        <v>1.5E-3</v>
      </c>
      <c r="J3" s="7">
        <v>4.7000000000000002E-3</v>
      </c>
    </row>
    <row r="4" spans="1:12" x14ac:dyDescent="0.15">
      <c r="C4" s="7"/>
      <c r="D4" s="7"/>
      <c r="E4" s="7"/>
      <c r="F4" s="26"/>
      <c r="G4" s="7"/>
      <c r="H4" s="7"/>
      <c r="I4" s="7"/>
      <c r="J4" s="7"/>
    </row>
    <row r="6" spans="1:12" x14ac:dyDescent="0.15">
      <c r="A6" s="44" t="s">
        <v>21</v>
      </c>
      <c r="B6" s="44"/>
      <c r="C6" s="44"/>
      <c r="D6" s="44"/>
      <c r="E6" s="44"/>
      <c r="F6" s="44"/>
      <c r="G6" s="44"/>
      <c r="H6" s="44"/>
      <c r="I6" s="44"/>
      <c r="J6" s="45"/>
    </row>
    <row r="7" spans="1:12" ht="19.5" customHeight="1" x14ac:dyDescent="0.15">
      <c r="A7" s="23" t="s">
        <v>20</v>
      </c>
      <c r="B7" s="8" t="s">
        <v>2</v>
      </c>
      <c r="C7" s="8" t="s">
        <v>3</v>
      </c>
      <c r="D7" s="8" t="s">
        <v>4</v>
      </c>
      <c r="E7" s="8" t="s">
        <v>5</v>
      </c>
      <c r="F7" s="29" t="s">
        <v>31</v>
      </c>
      <c r="G7" s="8" t="s">
        <v>6</v>
      </c>
      <c r="H7" s="8" t="s">
        <v>7</v>
      </c>
      <c r="I7" s="8" t="s">
        <v>8</v>
      </c>
      <c r="J7" s="8" t="s">
        <v>9</v>
      </c>
    </row>
    <row r="8" spans="1:12" ht="19.5" customHeight="1" x14ac:dyDescent="0.25">
      <c r="A8" s="23" t="s">
        <v>29</v>
      </c>
      <c r="B8" s="9">
        <v>5106050102</v>
      </c>
      <c r="C8" s="9">
        <v>5106050106</v>
      </c>
      <c r="D8" s="9">
        <v>5106050104</v>
      </c>
      <c r="E8" s="9">
        <v>5106050108</v>
      </c>
      <c r="F8" s="28">
        <v>5106050258</v>
      </c>
      <c r="G8" s="9">
        <v>5106050225</v>
      </c>
      <c r="H8" s="9">
        <v>5106050221</v>
      </c>
      <c r="I8" s="9">
        <v>5106050222</v>
      </c>
      <c r="J8" s="9">
        <v>5106050204</v>
      </c>
      <c r="K8" s="46" t="s">
        <v>11</v>
      </c>
      <c r="L8" s="47" t="s">
        <v>14</v>
      </c>
    </row>
    <row r="9" spans="1:12" ht="20.25" x14ac:dyDescent="0.25">
      <c r="A9" s="22" t="s">
        <v>30</v>
      </c>
      <c r="B9" s="19">
        <v>23020202</v>
      </c>
      <c r="C9" s="19">
        <v>23020202</v>
      </c>
      <c r="D9" s="19">
        <v>23020202</v>
      </c>
      <c r="E9" s="19">
        <v>23020202</v>
      </c>
      <c r="F9" s="19">
        <v>23020203</v>
      </c>
      <c r="G9" s="19">
        <v>23020203</v>
      </c>
      <c r="H9" s="19">
        <v>23020203</v>
      </c>
      <c r="I9" s="19">
        <v>23020203</v>
      </c>
      <c r="J9" s="19">
        <v>23020203</v>
      </c>
      <c r="K9" s="46"/>
      <c r="L9" s="47"/>
    </row>
    <row r="10" spans="1:12" ht="20.25" x14ac:dyDescent="0.25">
      <c r="A10" s="22" t="s">
        <v>43</v>
      </c>
      <c r="B10" s="19" t="s">
        <v>28</v>
      </c>
      <c r="C10" s="19" t="s">
        <v>26</v>
      </c>
      <c r="D10" s="19" t="s">
        <v>26</v>
      </c>
      <c r="E10" s="19" t="s">
        <v>26</v>
      </c>
      <c r="F10" s="30" t="s">
        <v>27</v>
      </c>
      <c r="G10" s="19" t="s">
        <v>27</v>
      </c>
      <c r="H10" s="19" t="s">
        <v>27</v>
      </c>
      <c r="I10" s="19" t="s">
        <v>27</v>
      </c>
      <c r="J10" s="19" t="s">
        <v>27</v>
      </c>
      <c r="K10" s="46"/>
      <c r="L10" s="47"/>
    </row>
    <row r="11" spans="1:12" ht="19.5" customHeight="1" x14ac:dyDescent="0.25">
      <c r="A11" s="18">
        <v>43101</v>
      </c>
      <c r="B11" s="10">
        <f>ROUND($K$11*B3,0)</f>
        <v>2979108</v>
      </c>
      <c r="C11" s="10">
        <f>ROUND($K$11*C3,0)</f>
        <v>265168</v>
      </c>
      <c r="D11" s="10">
        <f>ROUND($L$11*D3,0)</f>
        <v>353710</v>
      </c>
      <c r="E11" s="10">
        <f>ROUND($L$11*E3,0)</f>
        <v>36033</v>
      </c>
      <c r="F11" s="35">
        <f>ROUND($K$11*F3,0)</f>
        <v>0</v>
      </c>
      <c r="G11" s="10">
        <f>ROUND($K$11*G3,0)</f>
        <v>869291</v>
      </c>
      <c r="H11" s="10">
        <f>ROUND($K$11*H3,0)</f>
        <v>389682</v>
      </c>
      <c r="I11" s="10">
        <f>ROUND($K$11*I3,0)</f>
        <v>34587</v>
      </c>
      <c r="J11" s="10">
        <f>ROUND($K$11*J3,0)</f>
        <v>108373</v>
      </c>
      <c r="K11" s="17">
        <v>23058111.52</v>
      </c>
      <c r="L11" s="17">
        <v>7353636.8200000003</v>
      </c>
    </row>
    <row r="12" spans="1:12" ht="19.5" customHeight="1" x14ac:dyDescent="0.25">
      <c r="A12" s="18">
        <v>43132</v>
      </c>
      <c r="B12" s="10">
        <f>ROUND($K$12*B3,0)</f>
        <v>1200103</v>
      </c>
      <c r="C12" s="10">
        <f>ROUND($K$12*C3,0)</f>
        <v>106820</v>
      </c>
      <c r="D12" s="10">
        <f>ROUND($L$12*D3,0)</f>
        <v>303147</v>
      </c>
      <c r="E12" s="10">
        <f>ROUND($L$12*E3,0)</f>
        <v>30882</v>
      </c>
      <c r="F12" s="35">
        <f>ROUND(SUM(K$11:$K12)*$F$3,0)-SUM(F$11:$F11)</f>
        <v>0</v>
      </c>
      <c r="G12" s="10">
        <f>ROUND(SUM($K$11:K12)*$G$3,0)-SUM($G$11:G11)</f>
        <v>350185</v>
      </c>
      <c r="H12" s="10">
        <f>ROUND(SUM($K$11:K12)*$H$3,0)-SUM($H$11:H11)</f>
        <v>156979</v>
      </c>
      <c r="I12" s="10">
        <f>ROUND(SUM($K$11:K12)*$I$3,0)-SUM($I$11:I11)</f>
        <v>13933</v>
      </c>
      <c r="J12" s="10">
        <f>ROUND(SUM($K$11:K12)*$J$3,0)-SUM($J$11:J11)</f>
        <v>43657</v>
      </c>
      <c r="K12" s="17">
        <v>9288720.040000001</v>
      </c>
      <c r="L12" s="17">
        <v>6302432.9900000002</v>
      </c>
    </row>
    <row r="13" spans="1:12" ht="19.5" customHeight="1" x14ac:dyDescent="0.25">
      <c r="A13" s="18">
        <v>43160</v>
      </c>
      <c r="B13" s="11">
        <f>SUM(B11:B12)</f>
        <v>4179211</v>
      </c>
      <c r="C13" s="11">
        <f>SUM(C11:C12)</f>
        <v>371988</v>
      </c>
      <c r="D13" s="11">
        <f t="shared" ref="D13:E13" si="0">SUM(D11:D12)</f>
        <v>656857</v>
      </c>
      <c r="E13" s="11">
        <f t="shared" si="0"/>
        <v>66915</v>
      </c>
      <c r="F13" s="35">
        <f>ROUND(SUM(K$11:$K13)*$F$3,0)-SUM(F$11:$F12)</f>
        <v>0</v>
      </c>
      <c r="G13" s="10">
        <f>ROUND(SUM($K$11:K13)*$G$3,0)-SUM($G$11:G12)</f>
        <v>533262</v>
      </c>
      <c r="H13" s="10">
        <f>ROUND(SUM($K$11:K13)*$H$3,0)-SUM($H$11:H12)</f>
        <v>239049</v>
      </c>
      <c r="I13" s="10">
        <f>ROUND(SUM($K$11:K13)*$I$3,0)-SUM($I$11:I12)</f>
        <v>21218</v>
      </c>
      <c r="J13" s="10">
        <f>ROUND(SUM($K$11:K13)*$J$3,0)-SUM($J$11:J12)</f>
        <v>66481</v>
      </c>
      <c r="K13" s="17">
        <v>14144891.65</v>
      </c>
      <c r="L13" s="17"/>
    </row>
    <row r="14" spans="1:12" ht="19.5" customHeight="1" x14ac:dyDescent="0.25">
      <c r="A14" s="18">
        <v>43191</v>
      </c>
      <c r="B14" s="10">
        <f>ROUND($K$14*B3,0)</f>
        <v>1190266</v>
      </c>
      <c r="C14" s="10">
        <f>ROUND($K$14*C3,0)</f>
        <v>105945</v>
      </c>
      <c r="D14" s="10">
        <f>ROUND($L$14*D3,0)</f>
        <v>372851</v>
      </c>
      <c r="E14" s="10">
        <f>ROUND($L$14*E3,0)</f>
        <v>37983</v>
      </c>
      <c r="F14" s="35">
        <f>ROUND(SUM(K$11:$K14)*$F$3,0)-SUM(F$11:$F13)</f>
        <v>0</v>
      </c>
      <c r="G14" s="10">
        <f>ROUND(SUM($K$11:K14)*$G$3,0)-SUM($G$11:G13)</f>
        <v>347315</v>
      </c>
      <c r="H14" s="10">
        <f>ROUND(SUM($K$11:K14)*$H$3,0)-SUM($H$11:H13)</f>
        <v>155693</v>
      </c>
      <c r="I14" s="10">
        <f>ROUND(SUM($K$11:K14)*$I$3,0)-SUM($I$11:I13)</f>
        <v>13818</v>
      </c>
      <c r="J14" s="10">
        <f>ROUND(SUM($K$11:K14)*$J$3,0)-SUM($J$11:J13)</f>
        <v>43299</v>
      </c>
      <c r="K14" s="17">
        <v>9212587.1699999981</v>
      </c>
      <c r="L14" s="17">
        <v>7751576.0999999996</v>
      </c>
    </row>
    <row r="15" spans="1:12" ht="19.5" customHeight="1" x14ac:dyDescent="0.25">
      <c r="A15" s="18">
        <v>43221</v>
      </c>
      <c r="B15" s="10">
        <f>ROUND($K$15*B3,0)</f>
        <v>1315923</v>
      </c>
      <c r="C15" s="10">
        <f>ROUND($K$15*C3,0)</f>
        <v>117129</v>
      </c>
      <c r="D15" s="10">
        <f>ROUND($L$15*D3,0)</f>
        <v>354521</v>
      </c>
      <c r="E15" s="10">
        <f>ROUND($L$15*E3,0)</f>
        <v>36115</v>
      </c>
      <c r="F15" s="35">
        <f>ROUND(SUM(K$11:$K15)*$F$3,0)-SUM(F$11:$F14)</f>
        <v>0</v>
      </c>
      <c r="G15" s="10">
        <f>ROUND(SUM($K$11:K15)*$G$3,0)-SUM($G$11:G14)</f>
        <v>383980</v>
      </c>
      <c r="H15" s="10">
        <f>ROUND(SUM($K$11:K15)*$H$3,0)-SUM($H$11:H14)</f>
        <v>172129</v>
      </c>
      <c r="I15" s="10">
        <f>ROUND(SUM($K$11:K15)*$I$3,0)-SUM($I$11:I14)</f>
        <v>15278</v>
      </c>
      <c r="J15" s="10">
        <f>ROUND(SUM($K$11:K15)*$J$3,0)-SUM($J$11:J14)</f>
        <v>47871</v>
      </c>
      <c r="K15" s="16">
        <v>10185163.74</v>
      </c>
      <c r="L15" s="16">
        <v>7370490.1199999992</v>
      </c>
    </row>
    <row r="16" spans="1:12" ht="19.5" customHeight="1" x14ac:dyDescent="0.25">
      <c r="A16" s="18">
        <v>43252</v>
      </c>
      <c r="B16" s="11">
        <f>SUM(B14:B15)</f>
        <v>2506189</v>
      </c>
      <c r="C16" s="11">
        <f t="shared" ref="C16:E16" si="1">SUM(C14:C15)</f>
        <v>223074</v>
      </c>
      <c r="D16" s="11">
        <f t="shared" si="1"/>
        <v>727372</v>
      </c>
      <c r="E16" s="11">
        <f t="shared" si="1"/>
        <v>74098</v>
      </c>
      <c r="F16" s="35">
        <f>ROUND(SUM(K$11:$K16)*$F$3,0)-SUM(F$11:$F15)</f>
        <v>0</v>
      </c>
      <c r="G16" s="10">
        <f>ROUND(SUM($K$11:K16)*$G$3,0)-SUM($G$11:G15)</f>
        <v>0</v>
      </c>
      <c r="H16" s="10">
        <f>ROUND(SUM($K$11:K16)*$H$3,0)-SUM($H$11:H15)</f>
        <v>0</v>
      </c>
      <c r="I16" s="10">
        <f>ROUND(SUM($K$11:K16)*$I$3,0)-SUM($I$11:I15)</f>
        <v>0</v>
      </c>
      <c r="J16" s="10">
        <f>ROUND(SUM($K$11:K16)*$J$3,0)-SUM($J$11:J15)</f>
        <v>0</v>
      </c>
      <c r="K16" s="16"/>
      <c r="L16" s="16"/>
    </row>
    <row r="17" spans="1:12" ht="19.5" customHeight="1" x14ac:dyDescent="0.25">
      <c r="A17" s="18">
        <v>43282</v>
      </c>
      <c r="B17" s="10">
        <f>ROUND($K$17*B3,0)</f>
        <v>0</v>
      </c>
      <c r="C17" s="10">
        <f>ROUND($K$17*C3,0)</f>
        <v>0</v>
      </c>
      <c r="D17" s="10">
        <f>ROUND($L$17*D3,0)</f>
        <v>0</v>
      </c>
      <c r="E17" s="10">
        <f>ROUND($L$17*E3,0)</f>
        <v>0</v>
      </c>
      <c r="F17" s="35">
        <f>ROUND(SUM(K$11:$K17)*$F$3,0)-SUM(F$11:$F16)</f>
        <v>0</v>
      </c>
      <c r="G17" s="10">
        <f>ROUND(SUM($K$11:K17)*$G$3,0)-SUM($G$11:G16)</f>
        <v>0</v>
      </c>
      <c r="H17" s="10">
        <f>ROUND(SUM($K$11:K17)*$H$3,0)-SUM($H$11:H16)</f>
        <v>0</v>
      </c>
      <c r="I17" s="10">
        <f>ROUND(SUM($K$11:K17)*$I$3,0)-SUM($I$11:I16)</f>
        <v>0</v>
      </c>
      <c r="J17" s="10">
        <f>ROUND(SUM($K$11:K17)*$J$3,0)-SUM($J$11:J16)</f>
        <v>0</v>
      </c>
      <c r="K17" s="16"/>
      <c r="L17" s="16"/>
    </row>
    <row r="18" spans="1:12" ht="19.5" customHeight="1" x14ac:dyDescent="0.25">
      <c r="A18" s="18">
        <v>43313</v>
      </c>
      <c r="B18" s="10">
        <f>ROUND($K$18*B3,0)</f>
        <v>0</v>
      </c>
      <c r="C18" s="10">
        <f>ROUND($K$18*C3,0)</f>
        <v>0</v>
      </c>
      <c r="D18" s="10">
        <f>ROUND($L$18*D3,0)</f>
        <v>0</v>
      </c>
      <c r="E18" s="10">
        <f>ROUND($L$18*E3,0)</f>
        <v>0</v>
      </c>
      <c r="F18" s="35">
        <f>ROUND(SUM(K$11:$K18)*$F$3,0)-SUM(F$11:$F17)</f>
        <v>0</v>
      </c>
      <c r="G18" s="10">
        <f>ROUND(SUM($K$11:K18)*$G$3,0)-SUM($G$11:G17)</f>
        <v>0</v>
      </c>
      <c r="H18" s="10">
        <f>ROUND(SUM($K$11:K18)*$H$3,0)-SUM($H$11:H17)</f>
        <v>0</v>
      </c>
      <c r="I18" s="10">
        <f>ROUND(SUM($K$11:K18)*$I$3,0)-SUM($I$11:I17)</f>
        <v>0</v>
      </c>
      <c r="J18" s="10">
        <f>ROUND(SUM($K$11:K18)*$J$3,0)-SUM($J$11:J17)</f>
        <v>0</v>
      </c>
      <c r="K18" s="16"/>
      <c r="L18" s="16"/>
    </row>
    <row r="19" spans="1:12" ht="19.5" customHeight="1" x14ac:dyDescent="0.25">
      <c r="A19" s="18">
        <v>43344</v>
      </c>
      <c r="B19" s="11">
        <f>SUM(B17:B18)</f>
        <v>0</v>
      </c>
      <c r="C19" s="11">
        <f t="shared" ref="C19:E19" si="2">SUM(C17:C18)</f>
        <v>0</v>
      </c>
      <c r="D19" s="11">
        <f t="shared" si="2"/>
        <v>0</v>
      </c>
      <c r="E19" s="11">
        <f t="shared" si="2"/>
        <v>0</v>
      </c>
      <c r="F19" s="35">
        <f>ROUND(SUM(K$11:$K19)*$F$3,0)-SUM(F$11:$F18)</f>
        <v>0</v>
      </c>
      <c r="G19" s="10">
        <f>ROUND(SUM($K$11:K19)*$G$3,0)-SUM($G$11:G18)</f>
        <v>0</v>
      </c>
      <c r="H19" s="10">
        <f>ROUND(SUM($K$11:K19)*$H$3,0)-SUM($H$11:H18)</f>
        <v>0</v>
      </c>
      <c r="I19" s="10">
        <f>ROUND(SUM($K$11:K19)*$I$3,0)-SUM($I$11:I18)</f>
        <v>0</v>
      </c>
      <c r="J19" s="10">
        <f>ROUND(SUM($K$11:K19)*$J$3,0)-SUM($J$11:J18)</f>
        <v>0</v>
      </c>
      <c r="K19" s="16"/>
      <c r="L19" s="16"/>
    </row>
    <row r="20" spans="1:12" ht="19.5" customHeight="1" x14ac:dyDescent="0.25">
      <c r="A20" s="18">
        <v>43374</v>
      </c>
      <c r="B20" s="10">
        <f>ROUND($K$20*B3,0)</f>
        <v>0</v>
      </c>
      <c r="C20" s="10">
        <f>ROUND($K$20*C3,0)</f>
        <v>0</v>
      </c>
      <c r="D20" s="10">
        <f>ROUND($L$20*D3,0)</f>
        <v>0</v>
      </c>
      <c r="E20" s="10">
        <f>ROUND($L$20*E3,0)</f>
        <v>0</v>
      </c>
      <c r="F20" s="35">
        <f>ROUND(SUM(K$11:$K20)*$F$3,0)-SUM(F$11:$F19)</f>
        <v>0</v>
      </c>
      <c r="G20" s="10">
        <f>ROUND(SUM($K$11:K20)*$G$3,0)-SUM($G$11:G19)</f>
        <v>0</v>
      </c>
      <c r="H20" s="10">
        <f>ROUND(SUM($K$11:K20)*$H$3,0)-SUM($H$11:H19)</f>
        <v>0</v>
      </c>
      <c r="I20" s="10">
        <f>ROUND(SUM($K$11:K20)*$I$3,0)-SUM($I$11:I19)</f>
        <v>0</v>
      </c>
      <c r="J20" s="10">
        <f>ROUND(SUM($K$11:K20)*$J$3,0)-SUM($J$11:J19)</f>
        <v>0</v>
      </c>
      <c r="K20" s="16"/>
      <c r="L20" s="16"/>
    </row>
    <row r="21" spans="1:12" ht="19.5" customHeight="1" x14ac:dyDescent="0.25">
      <c r="A21" s="18">
        <v>43405</v>
      </c>
      <c r="B21" s="10">
        <f>ROUND($K$21*B3,0)</f>
        <v>0</v>
      </c>
      <c r="C21" s="10">
        <f>ROUND($K$21*C3,0)</f>
        <v>0</v>
      </c>
      <c r="D21" s="10">
        <f>ROUND($L$21*D3,0)</f>
        <v>0</v>
      </c>
      <c r="E21" s="10">
        <f>ROUND($L$21*E3,0)</f>
        <v>0</v>
      </c>
      <c r="F21" s="35">
        <f>ROUND(SUM(K$11:$K21)*$F$3,0)-SUM(F$11:$F20)</f>
        <v>0</v>
      </c>
      <c r="G21" s="10">
        <f>ROUND(SUM($K$11:K21)*$G$3,0)-SUM($G$11:G20)</f>
        <v>0</v>
      </c>
      <c r="H21" s="10">
        <f>ROUND(SUM($K$11:K21)*$H$3,0)-SUM($H$11:H20)</f>
        <v>0</v>
      </c>
      <c r="I21" s="10">
        <f>ROUND(SUM($K$11:K21)*$I$3,0)-SUM($I$11:I20)</f>
        <v>0</v>
      </c>
      <c r="J21" s="10">
        <f>ROUND(SUM($K$11:K21)*$J$3,0)-SUM($J$11:J20)</f>
        <v>0</v>
      </c>
      <c r="K21" s="16"/>
      <c r="L21" s="16"/>
    </row>
    <row r="22" spans="1:12" ht="19.5" customHeight="1" x14ac:dyDescent="0.25">
      <c r="A22" s="18">
        <v>43435</v>
      </c>
      <c r="B22" s="11">
        <f>-(B20+B21)</f>
        <v>0</v>
      </c>
      <c r="C22" s="11">
        <f t="shared" ref="C22:E22" si="3">-(C20+C21)</f>
        <v>0</v>
      </c>
      <c r="D22" s="11">
        <f t="shared" si="3"/>
        <v>0</v>
      </c>
      <c r="E22" s="11">
        <f t="shared" si="3"/>
        <v>0</v>
      </c>
      <c r="F22" s="35">
        <f>ROUND(SUM(K$11:$K22)*$F$3,0)-SUM(F$11:$F21)</f>
        <v>0</v>
      </c>
      <c r="G22" s="10">
        <f>ROUND(SUM($K$11:K22)*$G$3,0)-SUM($G$11:G21)</f>
        <v>0</v>
      </c>
      <c r="H22" s="10">
        <f>ROUND(SUM($K$11:K22)*$H$3,0)-SUM($H$11:H21)</f>
        <v>0</v>
      </c>
      <c r="I22" s="10">
        <f>ROUND(SUM($K$11:K22)*$I$3,0)-SUM($I$11:I21)</f>
        <v>0</v>
      </c>
      <c r="J22" s="10">
        <f>ROUND(SUM($K$11:K22)*$J$3,0)-SUM($J$11:J21)</f>
        <v>0</v>
      </c>
      <c r="K22" s="16"/>
      <c r="L22" s="16"/>
    </row>
    <row r="23" spans="1:12" ht="19.5" customHeight="1" x14ac:dyDescent="0.25">
      <c r="A23" s="12" t="s">
        <v>1</v>
      </c>
      <c r="B23" s="9"/>
      <c r="C23" s="9"/>
      <c r="D23" s="9"/>
      <c r="E23" s="9"/>
      <c r="F23" s="37">
        <f>SUM(F11:F22)</f>
        <v>0</v>
      </c>
      <c r="G23" s="21">
        <f>SUM(G11:G22)</f>
        <v>2484033</v>
      </c>
      <c r="H23" s="21">
        <f t="shared" ref="H23:J23" si="4">SUM(H11:H22)</f>
        <v>1113532</v>
      </c>
      <c r="I23" s="21">
        <f t="shared" si="4"/>
        <v>98834</v>
      </c>
      <c r="J23" s="21">
        <f t="shared" si="4"/>
        <v>309681</v>
      </c>
      <c r="K23" s="16"/>
      <c r="L23" s="16"/>
    </row>
    <row r="24" spans="1:12" ht="18.75" x14ac:dyDescent="0.25">
      <c r="E24" s="31" t="s">
        <v>12</v>
      </c>
      <c r="F24" s="14">
        <f>ROUND(SUM($K$11:$K$22)*F3,0)-F23</f>
        <v>0</v>
      </c>
      <c r="G24" s="14">
        <f>ROUND(SUM($K$11:$K$22)*G3,0)-G23</f>
        <v>0</v>
      </c>
      <c r="H24" s="14">
        <f>ROUND(SUM($K$11:$K$22)*H3,0)-H23</f>
        <v>0</v>
      </c>
      <c r="I24" s="14">
        <f>ROUND(SUM($K$11:$K$22)*I3,0)-I23</f>
        <v>0</v>
      </c>
      <c r="J24" s="14">
        <f>ROUND(SUM($K$11:$K$22)*J3,0)-J23</f>
        <v>0</v>
      </c>
    </row>
    <row r="28" spans="1:12" x14ac:dyDescent="0.15">
      <c r="J28" s="15"/>
    </row>
  </sheetData>
  <mergeCells count="3">
    <mergeCell ref="A6:J6"/>
    <mergeCell ref="K8:K10"/>
    <mergeCell ref="L8:L10"/>
  </mergeCells>
  <phoneticPr fontId="6" type="noConversion"/>
  <pageMargins left="0.7" right="0.7" top="0.75" bottom="0.75" header="0.3" footer="0.3"/>
  <pageSetup paperSize="9" scale="54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28"/>
  <sheetViews>
    <sheetView zoomScale="85" zoomScaleNormal="85" workbookViewId="0">
      <selection activeCell="F9" sqref="F9"/>
    </sheetView>
  </sheetViews>
  <sheetFormatPr defaultColWidth="9.125" defaultRowHeight="13.5" x14ac:dyDescent="0.15"/>
  <cols>
    <col min="1" max="1" width="23.75" style="5" bestFit="1" customWidth="1"/>
    <col min="2" max="2" width="18.75" style="5" bestFit="1" customWidth="1"/>
    <col min="3" max="3" width="16.75" style="5" bestFit="1" customWidth="1"/>
    <col min="4" max="4" width="22.75" style="5" bestFit="1" customWidth="1"/>
    <col min="5" max="5" width="20.875" style="5" bestFit="1" customWidth="1"/>
    <col min="6" max="6" width="22.625" style="32" bestFit="1" customWidth="1"/>
    <col min="7" max="7" width="22.5" style="5" bestFit="1" customWidth="1"/>
    <col min="8" max="8" width="23.25" style="5" bestFit="1" customWidth="1"/>
    <col min="9" max="9" width="23.875" style="5" bestFit="1" customWidth="1"/>
    <col min="10" max="10" width="20.25" style="5" bestFit="1" customWidth="1"/>
    <col min="11" max="11" width="16.125" style="5" bestFit="1" customWidth="1"/>
    <col min="12" max="12" width="15" style="5" bestFit="1" customWidth="1"/>
    <col min="13" max="16384" width="9.125" style="5"/>
  </cols>
  <sheetData>
    <row r="1" spans="1:12" x14ac:dyDescent="0.15">
      <c r="A1" s="1" t="s">
        <v>25</v>
      </c>
      <c r="B1" s="2" t="s">
        <v>2</v>
      </c>
      <c r="C1" s="3" t="s">
        <v>3</v>
      </c>
      <c r="D1" s="3" t="s">
        <v>4</v>
      </c>
      <c r="E1" s="3" t="s">
        <v>5</v>
      </c>
      <c r="F1" s="38" t="s">
        <v>31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2" x14ac:dyDescent="0.15">
      <c r="A2" s="1" t="s">
        <v>10</v>
      </c>
      <c r="B2" s="2">
        <v>5106050102</v>
      </c>
      <c r="C2" s="3">
        <v>5106050106</v>
      </c>
      <c r="D2" s="3">
        <v>5106050104</v>
      </c>
      <c r="E2" s="3">
        <v>5106050108</v>
      </c>
      <c r="F2" s="39">
        <v>5106050258</v>
      </c>
      <c r="G2" s="4">
        <v>5106050225</v>
      </c>
      <c r="H2" s="4">
        <v>5106050221</v>
      </c>
      <c r="I2" s="4">
        <v>5106050222</v>
      </c>
      <c r="J2" s="4">
        <v>5106050204</v>
      </c>
    </row>
    <row r="3" spans="1:12" x14ac:dyDescent="0.15">
      <c r="A3" s="6" t="s">
        <v>38</v>
      </c>
      <c r="B3" s="7">
        <v>0.12559999999999999</v>
      </c>
      <c r="C3" s="7">
        <v>1.84E-2</v>
      </c>
      <c r="D3" s="7">
        <v>3.7400000000000003E-2</v>
      </c>
      <c r="E3" s="7">
        <v>1.14E-2</v>
      </c>
      <c r="F3" s="26">
        <v>0</v>
      </c>
      <c r="G3" s="7">
        <v>3.9899999999999998E-2</v>
      </c>
      <c r="H3" s="7">
        <v>6.4000000000000003E-3</v>
      </c>
      <c r="I3" s="7">
        <v>2.0000000000000001E-4</v>
      </c>
      <c r="J3" s="7">
        <v>8.5000000000000006E-3</v>
      </c>
    </row>
    <row r="4" spans="1:12" x14ac:dyDescent="0.15">
      <c r="C4" s="7"/>
      <c r="D4" s="7"/>
      <c r="E4" s="7"/>
      <c r="F4" s="26"/>
      <c r="G4" s="7"/>
      <c r="H4" s="7"/>
      <c r="I4" s="7"/>
      <c r="J4" s="7"/>
    </row>
    <row r="6" spans="1:12" x14ac:dyDescent="0.15">
      <c r="A6" s="44" t="s">
        <v>37</v>
      </c>
      <c r="B6" s="44"/>
      <c r="C6" s="44"/>
      <c r="D6" s="44"/>
      <c r="E6" s="44"/>
      <c r="F6" s="44"/>
      <c r="G6" s="44"/>
      <c r="H6" s="44"/>
      <c r="I6" s="44"/>
      <c r="J6" s="45"/>
    </row>
    <row r="7" spans="1:12" ht="19.5" customHeight="1" x14ac:dyDescent="0.15">
      <c r="A7" s="23" t="s">
        <v>22</v>
      </c>
      <c r="B7" s="8" t="s">
        <v>2</v>
      </c>
      <c r="C7" s="8" t="s">
        <v>3</v>
      </c>
      <c r="D7" s="8" t="s">
        <v>4</v>
      </c>
      <c r="E7" s="8" t="s">
        <v>5</v>
      </c>
      <c r="F7" s="29" t="s">
        <v>31</v>
      </c>
      <c r="G7" s="8" t="s">
        <v>6</v>
      </c>
      <c r="H7" s="8" t="s">
        <v>7</v>
      </c>
      <c r="I7" s="8" t="s">
        <v>8</v>
      </c>
      <c r="J7" s="8" t="s">
        <v>9</v>
      </c>
    </row>
    <row r="8" spans="1:12" ht="19.5" customHeight="1" x14ac:dyDescent="0.25">
      <c r="A8" s="23" t="s">
        <v>29</v>
      </c>
      <c r="B8" s="9">
        <v>5106050102</v>
      </c>
      <c r="C8" s="9">
        <v>5106050106</v>
      </c>
      <c r="D8" s="9">
        <v>5106050104</v>
      </c>
      <c r="E8" s="9">
        <v>5106050108</v>
      </c>
      <c r="F8" s="28">
        <v>5106050258</v>
      </c>
      <c r="G8" s="9">
        <v>5106050225</v>
      </c>
      <c r="H8" s="9">
        <v>5106050221</v>
      </c>
      <c r="I8" s="9">
        <v>5106050222</v>
      </c>
      <c r="J8" s="9">
        <v>5106050204</v>
      </c>
      <c r="K8" s="46" t="s">
        <v>11</v>
      </c>
      <c r="L8" s="47" t="s">
        <v>14</v>
      </c>
    </row>
    <row r="9" spans="1:12" ht="20.25" x14ac:dyDescent="0.25">
      <c r="A9" s="22" t="s">
        <v>30</v>
      </c>
      <c r="B9" s="19">
        <v>23020202</v>
      </c>
      <c r="C9" s="19">
        <v>23020202</v>
      </c>
      <c r="D9" s="19">
        <v>23020202</v>
      </c>
      <c r="E9" s="19">
        <v>23020202</v>
      </c>
      <c r="F9" s="19">
        <v>23020203</v>
      </c>
      <c r="G9" s="19">
        <v>23020203</v>
      </c>
      <c r="H9" s="19">
        <v>23020203</v>
      </c>
      <c r="I9" s="19">
        <v>23020203</v>
      </c>
      <c r="J9" s="19">
        <v>23020203</v>
      </c>
      <c r="K9" s="46"/>
      <c r="L9" s="47"/>
    </row>
    <row r="10" spans="1:12" ht="20.25" x14ac:dyDescent="0.25">
      <c r="A10" s="22" t="s">
        <v>43</v>
      </c>
      <c r="B10" s="19" t="s">
        <v>28</v>
      </c>
      <c r="C10" s="19" t="s">
        <v>26</v>
      </c>
      <c r="D10" s="19" t="s">
        <v>26</v>
      </c>
      <c r="E10" s="19" t="s">
        <v>26</v>
      </c>
      <c r="F10" s="30" t="s">
        <v>27</v>
      </c>
      <c r="G10" s="19" t="s">
        <v>27</v>
      </c>
      <c r="H10" s="19" t="s">
        <v>27</v>
      </c>
      <c r="I10" s="19" t="s">
        <v>27</v>
      </c>
      <c r="J10" s="19" t="s">
        <v>27</v>
      </c>
      <c r="K10" s="46"/>
      <c r="L10" s="47"/>
    </row>
    <row r="11" spans="1:12" ht="19.5" customHeight="1" x14ac:dyDescent="0.25">
      <c r="A11" s="18">
        <v>43101</v>
      </c>
      <c r="B11" s="10">
        <f>ROUND($K$11*B3,0)</f>
        <v>753171</v>
      </c>
      <c r="C11" s="10">
        <f>ROUND($K$11*C3,0)</f>
        <v>110337</v>
      </c>
      <c r="D11" s="10">
        <f>ROUND($L$11*D3,0)</f>
        <v>75897</v>
      </c>
      <c r="E11" s="10">
        <f>ROUND($L$11*E3,0)</f>
        <v>23134</v>
      </c>
      <c r="F11" s="35">
        <f>ROUND($K$11*F3,0)</f>
        <v>0</v>
      </c>
      <c r="G11" s="10">
        <f>ROUND($K$11*G3,0)</f>
        <v>239264</v>
      </c>
      <c r="H11" s="10">
        <f>ROUND($K$11*H3,0)</f>
        <v>38378</v>
      </c>
      <c r="I11" s="10">
        <f>ROUND($K$11*I3,0)</f>
        <v>1199</v>
      </c>
      <c r="J11" s="10">
        <f>ROUND($K$11*J3,0)</f>
        <v>50971</v>
      </c>
      <c r="K11" s="17">
        <v>5996582.4799999995</v>
      </c>
      <c r="L11" s="17">
        <v>2029318.87</v>
      </c>
    </row>
    <row r="12" spans="1:12" ht="19.5" customHeight="1" x14ac:dyDescent="0.25">
      <c r="A12" s="18">
        <v>43132</v>
      </c>
      <c r="B12" s="10">
        <f>ROUND($K$12*B3,0)</f>
        <v>230929</v>
      </c>
      <c r="C12" s="10">
        <f>ROUND($K$12*C3,0)</f>
        <v>33830</v>
      </c>
      <c r="D12" s="10">
        <f>ROUND($L$12*D3,0)</f>
        <v>52851</v>
      </c>
      <c r="E12" s="10">
        <f>ROUND($L$12*E3,0)</f>
        <v>16110</v>
      </c>
      <c r="F12" s="35">
        <f>ROUND(SUM(K$11:$K12)*$F$3,0)-SUM(F$11:$F11)</f>
        <v>0</v>
      </c>
      <c r="G12" s="10">
        <f>ROUND(SUM($K$11:K12)*$G$3,0)-SUM($G$11:G11)</f>
        <v>73360</v>
      </c>
      <c r="H12" s="10">
        <f>ROUND(SUM($K$11:K12)*$H$3,0)-SUM($H$11:H11)</f>
        <v>11767</v>
      </c>
      <c r="I12" s="10">
        <f>ROUND(SUM($K$11:K12)*$I$3,0)-SUM($I$11:I11)</f>
        <v>368</v>
      </c>
      <c r="J12" s="10">
        <f>ROUND(SUM($K$11:K12)*$J$3,0)-SUM($J$11:J11)</f>
        <v>15628</v>
      </c>
      <c r="K12" s="17">
        <v>1838606.2500000002</v>
      </c>
      <c r="L12" s="17">
        <v>1413128.66</v>
      </c>
    </row>
    <row r="13" spans="1:12" ht="19.5" customHeight="1" x14ac:dyDescent="0.25">
      <c r="A13" s="18">
        <v>43160</v>
      </c>
      <c r="B13" s="11">
        <f>SUM(B11:B12)</f>
        <v>984100</v>
      </c>
      <c r="C13" s="11">
        <f>SUM(C11:C12)</f>
        <v>144167</v>
      </c>
      <c r="D13" s="11">
        <f t="shared" ref="D13:E13" si="0">SUM(D11:D12)</f>
        <v>128748</v>
      </c>
      <c r="E13" s="11">
        <f t="shared" si="0"/>
        <v>39244</v>
      </c>
      <c r="F13" s="35">
        <f>ROUND(SUM(K$11:$K13)*$F$3,0)-SUM(F$11:$F12)</f>
        <v>0</v>
      </c>
      <c r="G13" s="10">
        <f>ROUND(SUM($K$11:K13)*$G$3,0)-SUM($G$11:G12)</f>
        <v>129780</v>
      </c>
      <c r="H13" s="10">
        <f>ROUND(SUM($K$11:K13)*$H$3,0)-SUM($H$11:H12)</f>
        <v>20817</v>
      </c>
      <c r="I13" s="10">
        <f>ROUND(SUM($K$11:K13)*$I$3,0)-SUM($I$11:I12)</f>
        <v>651</v>
      </c>
      <c r="J13" s="10">
        <f>ROUND(SUM($K$11:K13)*$J$3,0)-SUM($J$11:J12)</f>
        <v>27647</v>
      </c>
      <c r="K13" s="17">
        <v>3252632.18</v>
      </c>
      <c r="L13" s="17"/>
    </row>
    <row r="14" spans="1:12" ht="19.5" customHeight="1" x14ac:dyDescent="0.25">
      <c r="A14" s="18">
        <v>43191</v>
      </c>
      <c r="B14" s="10">
        <f>ROUND($K$14*B3,0)</f>
        <v>278059</v>
      </c>
      <c r="C14" s="10">
        <f>ROUND($K$14*C3,0)</f>
        <v>40735</v>
      </c>
      <c r="D14" s="10">
        <f>ROUND($L$14*D3,0)</f>
        <v>51744</v>
      </c>
      <c r="E14" s="10">
        <f>ROUND($L$14*E3,0)</f>
        <v>15772</v>
      </c>
      <c r="F14" s="35">
        <f>ROUND(SUM(K$11:$K14)*$F$3,0)-SUM(F$11:$F13)</f>
        <v>0</v>
      </c>
      <c r="G14" s="10">
        <f>ROUND(SUM($K$11:K14)*$G$3,0)-SUM($G$11:G13)</f>
        <v>88333</v>
      </c>
      <c r="H14" s="10">
        <f>ROUND(SUM($K$11:K14)*$H$3,0)-SUM($H$11:H13)</f>
        <v>14169</v>
      </c>
      <c r="I14" s="10">
        <f>ROUND(SUM($K$11:K14)*$I$3,0)-SUM($I$11:I13)</f>
        <v>442</v>
      </c>
      <c r="J14" s="10">
        <f>ROUND(SUM($K$11:K14)*$J$3,0)-SUM($J$11:J13)</f>
        <v>18818</v>
      </c>
      <c r="K14" s="17">
        <v>2213849.21</v>
      </c>
      <c r="L14" s="17">
        <v>1383529.6099999999</v>
      </c>
    </row>
    <row r="15" spans="1:12" ht="19.5" customHeight="1" x14ac:dyDescent="0.25">
      <c r="A15" s="18">
        <v>43221</v>
      </c>
      <c r="B15" s="10">
        <f>ROUND($K$15*B3,0)</f>
        <v>339626</v>
      </c>
      <c r="C15" s="10">
        <f>ROUND($K$15*C3,0)</f>
        <v>49754</v>
      </c>
      <c r="D15" s="10">
        <f>ROUND($L$15*D3,0)</f>
        <v>59950</v>
      </c>
      <c r="E15" s="10">
        <f>ROUND($L$15*E3,0)</f>
        <v>18274</v>
      </c>
      <c r="F15" s="35">
        <f>ROUND(SUM(K$11:$K15)*$F$3,0)-SUM(F$11:$F14)</f>
        <v>0</v>
      </c>
      <c r="G15" s="10">
        <f>ROUND(SUM($K$11:K15)*$G$3,0)-SUM($G$11:G14)</f>
        <v>107891</v>
      </c>
      <c r="H15" s="10">
        <f>ROUND(SUM($K$11:K15)*$H$3,0)-SUM($H$11:H14)</f>
        <v>17305</v>
      </c>
      <c r="I15" s="10">
        <f>ROUND(SUM($K$11:K15)*$I$3,0)-SUM($I$11:I14)</f>
        <v>541</v>
      </c>
      <c r="J15" s="10">
        <f>ROUND(SUM($K$11:K15)*$J$3,0)-SUM($J$11:J14)</f>
        <v>22984</v>
      </c>
      <c r="K15" s="16">
        <v>2704032.2400000007</v>
      </c>
      <c r="L15" s="16">
        <v>1602945.0700000003</v>
      </c>
    </row>
    <row r="16" spans="1:12" ht="19.5" customHeight="1" x14ac:dyDescent="0.25">
      <c r="A16" s="18">
        <v>43252</v>
      </c>
      <c r="B16" s="11">
        <f>SUM(B14:B15)</f>
        <v>617685</v>
      </c>
      <c r="C16" s="11">
        <f t="shared" ref="C16:E16" si="1">SUM(C14:C15)</f>
        <v>90489</v>
      </c>
      <c r="D16" s="11">
        <f t="shared" si="1"/>
        <v>111694</v>
      </c>
      <c r="E16" s="11">
        <f t="shared" si="1"/>
        <v>34046</v>
      </c>
      <c r="F16" s="35">
        <f>ROUND(SUM(K$11:$K16)*$F$3,0)-SUM(F$11:$F15)</f>
        <v>0</v>
      </c>
      <c r="G16" s="10">
        <f>ROUND(SUM($K$11:K16)*$G$3,0)-SUM($G$11:G15)</f>
        <v>0</v>
      </c>
      <c r="H16" s="10">
        <f>ROUND(SUM($K$11:K16)*$H$3,0)-SUM($H$11:H15)</f>
        <v>0</v>
      </c>
      <c r="I16" s="10">
        <f>ROUND(SUM($K$11:K16)*$I$3,0)-SUM($I$11:I15)</f>
        <v>0</v>
      </c>
      <c r="J16" s="10">
        <f>ROUND(SUM($K$11:K16)*$J$3,0)-SUM($J$11:J15)</f>
        <v>0</v>
      </c>
      <c r="K16" s="16"/>
      <c r="L16" s="16"/>
    </row>
    <row r="17" spans="1:12" ht="19.5" customHeight="1" x14ac:dyDescent="0.25">
      <c r="A17" s="18">
        <v>43282</v>
      </c>
      <c r="B17" s="10">
        <f>ROUND($K$17*B3,0)</f>
        <v>0</v>
      </c>
      <c r="C17" s="10">
        <f>ROUND($K$17*C3,0)</f>
        <v>0</v>
      </c>
      <c r="D17" s="10">
        <f>ROUND($L$17*D3,0)</f>
        <v>0</v>
      </c>
      <c r="E17" s="10">
        <f>ROUND($L$17*E3,0)</f>
        <v>0</v>
      </c>
      <c r="F17" s="35">
        <f>ROUND(SUM(K$11:$K17)*$F$3,0)-SUM(F$11:$F16)</f>
        <v>0</v>
      </c>
      <c r="G17" s="10">
        <f>ROUND(SUM($K$11:K17)*$G$3,0)-SUM($G$11:G16)</f>
        <v>0</v>
      </c>
      <c r="H17" s="10">
        <f>ROUND(SUM($K$11:K17)*$H$3,0)-SUM($H$11:H16)</f>
        <v>0</v>
      </c>
      <c r="I17" s="10">
        <f>ROUND(SUM($K$11:K17)*$I$3,0)-SUM($I$11:I16)</f>
        <v>0</v>
      </c>
      <c r="J17" s="10">
        <f>ROUND(SUM($K$11:K17)*$J$3,0)-SUM($J$11:J16)</f>
        <v>0</v>
      </c>
      <c r="K17" s="16"/>
      <c r="L17" s="16"/>
    </row>
    <row r="18" spans="1:12" ht="19.5" customHeight="1" x14ac:dyDescent="0.25">
      <c r="A18" s="18">
        <v>43313</v>
      </c>
      <c r="B18" s="10">
        <f>ROUND($K$18*B3,0)</f>
        <v>0</v>
      </c>
      <c r="C18" s="10">
        <f>ROUND($K$18*C3,0)</f>
        <v>0</v>
      </c>
      <c r="D18" s="10">
        <f>ROUND($L$18*D3,0)</f>
        <v>0</v>
      </c>
      <c r="E18" s="10">
        <f>ROUND($L$18*E3,0)</f>
        <v>0</v>
      </c>
      <c r="F18" s="35">
        <f>ROUND(SUM(K$11:$K18)*$F$3,0)-SUM(F$11:$F17)</f>
        <v>0</v>
      </c>
      <c r="G18" s="10">
        <f>ROUND(SUM($K$11:K18)*$G$3,0)-SUM($G$11:G17)</f>
        <v>0</v>
      </c>
      <c r="H18" s="10">
        <f>ROUND(SUM($K$11:K18)*$H$3,0)-SUM($H$11:H17)</f>
        <v>0</v>
      </c>
      <c r="I18" s="10">
        <f>ROUND(SUM($K$11:K18)*$I$3,0)-SUM($I$11:I17)</f>
        <v>0</v>
      </c>
      <c r="J18" s="10">
        <f>ROUND(SUM($K$11:K18)*$J$3,0)-SUM($J$11:J17)</f>
        <v>0</v>
      </c>
      <c r="K18" s="16"/>
      <c r="L18" s="16"/>
    </row>
    <row r="19" spans="1:12" ht="19.5" customHeight="1" x14ac:dyDescent="0.25">
      <c r="A19" s="18">
        <v>43344</v>
      </c>
      <c r="B19" s="11">
        <f>SUM(B17:B18)</f>
        <v>0</v>
      </c>
      <c r="C19" s="11">
        <f t="shared" ref="C19:E19" si="2">SUM(C17:C18)</f>
        <v>0</v>
      </c>
      <c r="D19" s="11">
        <f t="shared" si="2"/>
        <v>0</v>
      </c>
      <c r="E19" s="11">
        <f t="shared" si="2"/>
        <v>0</v>
      </c>
      <c r="F19" s="35">
        <f>ROUND(SUM(K$11:$K19)*$F$3,0)-SUM(F$11:$F18)</f>
        <v>0</v>
      </c>
      <c r="G19" s="10">
        <f>ROUND(SUM($K$11:K19)*$G$3,0)-SUM($G$11:G18)</f>
        <v>0</v>
      </c>
      <c r="H19" s="10">
        <f>ROUND(SUM($K$11:K19)*$H$3,0)-SUM($H$11:H18)</f>
        <v>0</v>
      </c>
      <c r="I19" s="10">
        <f>ROUND(SUM($K$11:K19)*$I$3,0)-SUM($I$11:I18)</f>
        <v>0</v>
      </c>
      <c r="J19" s="10">
        <f>ROUND(SUM($K$11:K19)*$J$3,0)-SUM($J$11:J18)</f>
        <v>0</v>
      </c>
      <c r="K19" s="16"/>
      <c r="L19" s="16"/>
    </row>
    <row r="20" spans="1:12" ht="19.5" customHeight="1" x14ac:dyDescent="0.25">
      <c r="A20" s="18">
        <v>43374</v>
      </c>
      <c r="B20" s="10">
        <f>ROUND($K$20*B3,0)</f>
        <v>0</v>
      </c>
      <c r="C20" s="10">
        <f>ROUND($K$20*C3,0)</f>
        <v>0</v>
      </c>
      <c r="D20" s="10">
        <f>ROUND($L$20*D3,0)</f>
        <v>0</v>
      </c>
      <c r="E20" s="10">
        <f>ROUND($L$20*E3,0)</f>
        <v>0</v>
      </c>
      <c r="F20" s="35">
        <f>ROUND(SUM(K$11:$K20)*$F$3,0)-SUM(F$11:$F19)</f>
        <v>0</v>
      </c>
      <c r="G20" s="10">
        <f>ROUND(SUM($K$11:K20)*$G$3,0)-SUM($G$11:G19)</f>
        <v>0</v>
      </c>
      <c r="H20" s="10">
        <f>ROUND(SUM($K$11:K20)*$H$3,0)-SUM($H$11:H19)</f>
        <v>0</v>
      </c>
      <c r="I20" s="10">
        <f>ROUND(SUM($K$11:K20)*$I$3,0)-SUM($I$11:I19)</f>
        <v>0</v>
      </c>
      <c r="J20" s="10">
        <f>ROUND(SUM($K$11:K20)*$J$3,0)-SUM($J$11:J19)</f>
        <v>0</v>
      </c>
      <c r="K20" s="16"/>
      <c r="L20" s="16"/>
    </row>
    <row r="21" spans="1:12" ht="19.5" customHeight="1" x14ac:dyDescent="0.25">
      <c r="A21" s="18">
        <v>43405</v>
      </c>
      <c r="B21" s="10">
        <f>ROUND($K$21*B3,0)</f>
        <v>0</v>
      </c>
      <c r="C21" s="10">
        <f>ROUND($K$21*C3,0)</f>
        <v>0</v>
      </c>
      <c r="D21" s="10">
        <f>ROUND($L$21*D3,0)</f>
        <v>0</v>
      </c>
      <c r="E21" s="10">
        <f>ROUND($L$21*E3,0)</f>
        <v>0</v>
      </c>
      <c r="F21" s="35">
        <f>ROUND(SUM(K$11:$K21)*$F$3,0)-SUM(F$11:$F20)</f>
        <v>0</v>
      </c>
      <c r="G21" s="10">
        <f>ROUND(SUM($K$11:K21)*$G$3,0)-SUM($G$11:G20)</f>
        <v>0</v>
      </c>
      <c r="H21" s="10">
        <f>ROUND(SUM($K$11:K21)*$H$3,0)-SUM($H$11:H20)</f>
        <v>0</v>
      </c>
      <c r="I21" s="10">
        <f>ROUND(SUM($K$11:K21)*$I$3,0)-SUM($I$11:I20)</f>
        <v>0</v>
      </c>
      <c r="J21" s="10">
        <f>ROUND(SUM($K$11:K21)*$J$3,0)-SUM($J$11:J20)</f>
        <v>0</v>
      </c>
      <c r="K21" s="16"/>
      <c r="L21" s="16"/>
    </row>
    <row r="22" spans="1:12" ht="19.5" customHeight="1" x14ac:dyDescent="0.25">
      <c r="A22" s="18">
        <v>43435</v>
      </c>
      <c r="B22" s="11">
        <f>-(B20+B21)</f>
        <v>0</v>
      </c>
      <c r="C22" s="11">
        <f t="shared" ref="C22:E22" si="3">-(C20+C21)</f>
        <v>0</v>
      </c>
      <c r="D22" s="11">
        <f t="shared" si="3"/>
        <v>0</v>
      </c>
      <c r="E22" s="11">
        <f t="shared" si="3"/>
        <v>0</v>
      </c>
      <c r="F22" s="35">
        <f>ROUND(SUM(K$11:$K22)*$F$3,0)-SUM(F$11:$F21)</f>
        <v>0</v>
      </c>
      <c r="G22" s="10">
        <f>ROUND(SUM($K$11:K22)*$G$3,0)-SUM($G$11:G21)</f>
        <v>0</v>
      </c>
      <c r="H22" s="10">
        <f>ROUND(SUM($K$11:K22)*$H$3,0)-SUM($H$11:H21)</f>
        <v>0</v>
      </c>
      <c r="I22" s="10">
        <f>ROUND(SUM($K$11:K22)*$I$3,0)-SUM($I$11:I21)</f>
        <v>0</v>
      </c>
      <c r="J22" s="10">
        <f>ROUND(SUM($K$11:K22)*$J$3,0)-SUM($J$11:J21)</f>
        <v>0</v>
      </c>
      <c r="K22" s="16"/>
      <c r="L22" s="16"/>
    </row>
    <row r="23" spans="1:12" ht="19.5" customHeight="1" x14ac:dyDescent="0.25">
      <c r="A23" s="12" t="s">
        <v>1</v>
      </c>
      <c r="B23" s="9"/>
      <c r="C23" s="9"/>
      <c r="D23" s="9"/>
      <c r="E23" s="9"/>
      <c r="F23" s="37">
        <f>SUM(F11:F22)</f>
        <v>0</v>
      </c>
      <c r="G23" s="21">
        <f>SUM(G11:G22)</f>
        <v>638628</v>
      </c>
      <c r="H23" s="21">
        <f t="shared" ref="H23:J23" si="4">SUM(H11:H22)</f>
        <v>102436</v>
      </c>
      <c r="I23" s="21">
        <f t="shared" si="4"/>
        <v>3201</v>
      </c>
      <c r="J23" s="21">
        <f t="shared" si="4"/>
        <v>136048</v>
      </c>
      <c r="K23" s="16"/>
      <c r="L23" s="16"/>
    </row>
    <row r="24" spans="1:12" ht="18.75" x14ac:dyDescent="0.25">
      <c r="E24" s="31" t="s">
        <v>12</v>
      </c>
      <c r="F24" s="14">
        <f>ROUND(SUM($K$11:$K$22)*F3,0)-F23</f>
        <v>0</v>
      </c>
      <c r="G24" s="14">
        <f>ROUND(SUM($K$11:$K$22)*G3,0)-G23</f>
        <v>0</v>
      </c>
      <c r="H24" s="14">
        <f>ROUND(SUM($K$11:$K$22)*H3,0)-H23</f>
        <v>0</v>
      </c>
      <c r="I24" s="14">
        <f>ROUND(SUM($K$11:$K$22)*I3,0)-I23</f>
        <v>0</v>
      </c>
      <c r="J24" s="14">
        <f>ROUND(SUM($K$11:$K$22)*J3,0)-J23</f>
        <v>0</v>
      </c>
    </row>
    <row r="28" spans="1:12" x14ac:dyDescent="0.15">
      <c r="J28" s="15"/>
    </row>
  </sheetData>
  <mergeCells count="3">
    <mergeCell ref="A6:J6"/>
    <mergeCell ref="K8:K10"/>
    <mergeCell ref="L8:L10"/>
  </mergeCells>
  <phoneticPr fontId="6" type="noConversion"/>
  <pageMargins left="0.7" right="0.7" top="0.75" bottom="0.75" header="0.3" footer="0.3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8"/>
  <sheetViews>
    <sheetView zoomScale="85" zoomScaleNormal="85" workbookViewId="0">
      <selection activeCell="F9" sqref="F9"/>
    </sheetView>
  </sheetViews>
  <sheetFormatPr defaultColWidth="9.125" defaultRowHeight="13.5" x14ac:dyDescent="0.15"/>
  <cols>
    <col min="1" max="1" width="23.75" style="5" bestFit="1" customWidth="1"/>
    <col min="2" max="2" width="18.75" style="5" bestFit="1" customWidth="1"/>
    <col min="3" max="3" width="16.75" style="5" bestFit="1" customWidth="1"/>
    <col min="4" max="4" width="22.75" style="5" bestFit="1" customWidth="1"/>
    <col min="5" max="5" width="20.875" style="5" bestFit="1" customWidth="1"/>
    <col min="6" max="6" width="22.625" style="32" bestFit="1" customWidth="1"/>
    <col min="7" max="7" width="22.5" style="5" bestFit="1" customWidth="1"/>
    <col min="8" max="8" width="23.25" style="5" bestFit="1" customWidth="1"/>
    <col min="9" max="9" width="23.875" style="5" bestFit="1" customWidth="1"/>
    <col min="10" max="10" width="20.25" style="5" bestFit="1" customWidth="1"/>
    <col min="11" max="11" width="16.125" style="5" bestFit="1" customWidth="1"/>
    <col min="12" max="12" width="15" style="5" bestFit="1" customWidth="1"/>
    <col min="13" max="16384" width="9.125" style="5"/>
  </cols>
  <sheetData>
    <row r="1" spans="1:12" x14ac:dyDescent="0.15">
      <c r="A1" s="1" t="s">
        <v>25</v>
      </c>
      <c r="B1" s="2" t="s">
        <v>2</v>
      </c>
      <c r="C1" s="3" t="s">
        <v>3</v>
      </c>
      <c r="D1" s="3" t="s">
        <v>4</v>
      </c>
      <c r="E1" s="3" t="s">
        <v>5</v>
      </c>
      <c r="F1" s="24" t="s">
        <v>31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2" x14ac:dyDescent="0.15">
      <c r="A2" s="1" t="s">
        <v>10</v>
      </c>
      <c r="B2" s="2">
        <v>5106050102</v>
      </c>
      <c r="C2" s="3">
        <v>5106050106</v>
      </c>
      <c r="D2" s="3">
        <v>5106050104</v>
      </c>
      <c r="E2" s="3">
        <v>5106050108</v>
      </c>
      <c r="F2" s="25">
        <v>5106050258</v>
      </c>
      <c r="G2" s="4">
        <v>5106050225</v>
      </c>
      <c r="H2" s="4">
        <v>5106050221</v>
      </c>
      <c r="I2" s="4">
        <v>5106050222</v>
      </c>
      <c r="J2" s="4">
        <v>5106050204</v>
      </c>
    </row>
    <row r="3" spans="1:12" x14ac:dyDescent="0.15">
      <c r="A3" s="6" t="s">
        <v>39</v>
      </c>
      <c r="B3" s="7">
        <v>0.1197</v>
      </c>
      <c r="C3" s="7">
        <v>3.5999999999999999E-3</v>
      </c>
      <c r="D3" s="7">
        <v>4.5499999999999999E-2</v>
      </c>
      <c r="E3" s="7">
        <v>1.9E-3</v>
      </c>
      <c r="F3" s="26">
        <v>0</v>
      </c>
      <c r="G3" s="7">
        <v>3.4799999999999998E-2</v>
      </c>
      <c r="H3" s="7">
        <v>4.7000000000000002E-3</v>
      </c>
      <c r="I3" s="20">
        <v>1.2999999999999999E-3</v>
      </c>
      <c r="J3" s="7">
        <v>3.2000000000000002E-3</v>
      </c>
    </row>
    <row r="4" spans="1:12" x14ac:dyDescent="0.15">
      <c r="C4" s="7"/>
      <c r="D4" s="7"/>
      <c r="E4" s="7"/>
      <c r="F4" s="26"/>
      <c r="G4" s="7"/>
      <c r="H4" s="7"/>
      <c r="I4" s="7"/>
      <c r="J4" s="7"/>
    </row>
    <row r="6" spans="1:12" x14ac:dyDescent="0.15">
      <c r="A6" s="44" t="s">
        <v>40</v>
      </c>
      <c r="B6" s="44"/>
      <c r="C6" s="44"/>
      <c r="D6" s="44"/>
      <c r="E6" s="44"/>
      <c r="F6" s="44"/>
      <c r="G6" s="44"/>
      <c r="H6" s="44"/>
      <c r="I6" s="44"/>
      <c r="J6" s="45"/>
    </row>
    <row r="7" spans="1:12" ht="19.5" customHeight="1" x14ac:dyDescent="0.15">
      <c r="A7" s="23" t="s">
        <v>23</v>
      </c>
      <c r="B7" s="8" t="s">
        <v>2</v>
      </c>
      <c r="C7" s="8" t="s">
        <v>3</v>
      </c>
      <c r="D7" s="8" t="s">
        <v>4</v>
      </c>
      <c r="E7" s="8" t="s">
        <v>5</v>
      </c>
      <c r="F7" s="29" t="s">
        <v>31</v>
      </c>
      <c r="G7" s="8" t="s">
        <v>6</v>
      </c>
      <c r="H7" s="8" t="s">
        <v>7</v>
      </c>
      <c r="I7" s="8" t="s">
        <v>8</v>
      </c>
      <c r="J7" s="8" t="s">
        <v>9</v>
      </c>
    </row>
    <row r="8" spans="1:12" ht="19.5" customHeight="1" x14ac:dyDescent="0.25">
      <c r="A8" s="23" t="s">
        <v>29</v>
      </c>
      <c r="B8" s="9">
        <v>5106050102</v>
      </c>
      <c r="C8" s="9">
        <v>5106050106</v>
      </c>
      <c r="D8" s="9">
        <v>5106050104</v>
      </c>
      <c r="E8" s="9">
        <v>5106050108</v>
      </c>
      <c r="F8" s="28">
        <v>5106050258</v>
      </c>
      <c r="G8" s="9">
        <v>5106050225</v>
      </c>
      <c r="H8" s="9">
        <v>5106050221</v>
      </c>
      <c r="I8" s="9">
        <v>5106050222</v>
      </c>
      <c r="J8" s="9">
        <v>5106050204</v>
      </c>
      <c r="K8" s="46" t="s">
        <v>11</v>
      </c>
      <c r="L8" s="47" t="s">
        <v>14</v>
      </c>
    </row>
    <row r="9" spans="1:12" ht="20.25" x14ac:dyDescent="0.25">
      <c r="A9" s="22" t="s">
        <v>30</v>
      </c>
      <c r="B9" s="19">
        <v>23020202</v>
      </c>
      <c r="C9" s="19">
        <v>23020202</v>
      </c>
      <c r="D9" s="19">
        <v>23020202</v>
      </c>
      <c r="E9" s="19">
        <v>23020202</v>
      </c>
      <c r="F9" s="19">
        <v>23020203</v>
      </c>
      <c r="G9" s="19">
        <v>23020203</v>
      </c>
      <c r="H9" s="19">
        <v>23020203</v>
      </c>
      <c r="I9" s="19">
        <v>23020203</v>
      </c>
      <c r="J9" s="19">
        <v>23020203</v>
      </c>
      <c r="K9" s="46"/>
      <c r="L9" s="47"/>
    </row>
    <row r="10" spans="1:12" ht="20.25" x14ac:dyDescent="0.25">
      <c r="A10" s="22" t="s">
        <v>43</v>
      </c>
      <c r="B10" s="19" t="s">
        <v>28</v>
      </c>
      <c r="C10" s="19" t="s">
        <v>26</v>
      </c>
      <c r="D10" s="19" t="s">
        <v>26</v>
      </c>
      <c r="E10" s="19" t="s">
        <v>26</v>
      </c>
      <c r="F10" s="30" t="s">
        <v>27</v>
      </c>
      <c r="G10" s="19" t="s">
        <v>27</v>
      </c>
      <c r="H10" s="19" t="s">
        <v>27</v>
      </c>
      <c r="I10" s="19" t="s">
        <v>27</v>
      </c>
      <c r="J10" s="19" t="s">
        <v>27</v>
      </c>
      <c r="K10" s="46"/>
      <c r="L10" s="47"/>
    </row>
    <row r="11" spans="1:12" ht="19.5" customHeight="1" x14ac:dyDescent="0.25">
      <c r="A11" s="18">
        <v>43101</v>
      </c>
      <c r="B11" s="10">
        <f>ROUND($K$11*B3,0)</f>
        <v>620364</v>
      </c>
      <c r="C11" s="10">
        <f>ROUND($K$11*C3,0)</f>
        <v>18658</v>
      </c>
      <c r="D11" s="10">
        <f>ROUND($L$11*D3,0)</f>
        <v>68271</v>
      </c>
      <c r="E11" s="10">
        <f>ROUND($L$11*E3,0)</f>
        <v>2851</v>
      </c>
      <c r="F11" s="35">
        <f>ROUND($K$11*F3,0)</f>
        <v>0</v>
      </c>
      <c r="G11" s="10">
        <f>ROUND($K$11*G3,0)</f>
        <v>180357</v>
      </c>
      <c r="H11" s="10">
        <f>ROUND($K$11*H3,0)</f>
        <v>24358</v>
      </c>
      <c r="I11" s="10">
        <f>ROUND($K$11*I3,0)</f>
        <v>6737</v>
      </c>
      <c r="J11" s="10">
        <f>ROUND($K$11*J3,0)</f>
        <v>16585</v>
      </c>
      <c r="K11" s="17">
        <v>5182659.3000000007</v>
      </c>
      <c r="L11" s="17">
        <v>1500453.26</v>
      </c>
    </row>
    <row r="12" spans="1:12" ht="19.5" customHeight="1" x14ac:dyDescent="0.25">
      <c r="A12" s="18">
        <v>43132</v>
      </c>
      <c r="B12" s="10">
        <f>ROUND($K$12*B3,0)</f>
        <v>384902</v>
      </c>
      <c r="C12" s="10">
        <f>ROUND($K$12*C3,0)</f>
        <v>11576</v>
      </c>
      <c r="D12" s="10">
        <f>ROUND($L$12*D3,0)</f>
        <v>53169</v>
      </c>
      <c r="E12" s="10">
        <f>ROUND($L$12*E3,0)</f>
        <v>2220</v>
      </c>
      <c r="F12" s="35">
        <f>ROUND(SUM(K$11:$K12)*$F$3,0)-SUM(F$11:$F11)</f>
        <v>0</v>
      </c>
      <c r="G12" s="10">
        <f>ROUND(SUM($K$11:K12)*$G$3,0)-SUM($G$11:G11)</f>
        <v>111901</v>
      </c>
      <c r="H12" s="10">
        <f>ROUND(SUM($K$11:K12)*$H$3,0)-SUM($H$11:H11)</f>
        <v>15114</v>
      </c>
      <c r="I12" s="10">
        <f>ROUND(SUM($K$11:K12)*$I$3,0)-SUM($I$11:I11)</f>
        <v>4181</v>
      </c>
      <c r="J12" s="10">
        <f>ROUND(SUM($K$11:K12)*$J$3,0)-SUM($J$11:J11)</f>
        <v>10289</v>
      </c>
      <c r="K12" s="17">
        <v>3215557.99</v>
      </c>
      <c r="L12" s="17">
        <v>1168551.57</v>
      </c>
    </row>
    <row r="13" spans="1:12" ht="19.5" customHeight="1" x14ac:dyDescent="0.25">
      <c r="A13" s="18">
        <v>43160</v>
      </c>
      <c r="B13" s="11">
        <f>SUM(B11:B12)</f>
        <v>1005266</v>
      </c>
      <c r="C13" s="11">
        <f>SUM(C11:C12)</f>
        <v>30234</v>
      </c>
      <c r="D13" s="11">
        <f t="shared" ref="D13:E13" si="0">SUM(D11:D12)</f>
        <v>121440</v>
      </c>
      <c r="E13" s="11">
        <f t="shared" si="0"/>
        <v>5071</v>
      </c>
      <c r="F13" s="35">
        <f>ROUND(SUM(K$11:$K13)*$F$3,0)-SUM(F$11:$F12)</f>
        <v>0</v>
      </c>
      <c r="G13" s="10">
        <f>ROUND(SUM($K$11:K13)*$G$3,0)-SUM($G$11:G12)</f>
        <v>100456</v>
      </c>
      <c r="H13" s="10">
        <f>ROUND(SUM($K$11:K13)*$H$3,0)-SUM($H$11:H12)</f>
        <v>13567</v>
      </c>
      <c r="I13" s="10">
        <f>ROUND(SUM($K$11:K13)*$I$3,0)-SUM($I$11:I12)</f>
        <v>3752</v>
      </c>
      <c r="J13" s="10">
        <f>ROUND(SUM($K$11:K13)*$J$3,0)-SUM($J$11:J12)</f>
        <v>9238</v>
      </c>
      <c r="K13" s="17">
        <v>2886681.7299999995</v>
      </c>
      <c r="L13" s="17"/>
    </row>
    <row r="14" spans="1:12" ht="19.5" customHeight="1" x14ac:dyDescent="0.25">
      <c r="A14" s="18">
        <v>43191</v>
      </c>
      <c r="B14" s="10">
        <f>ROUND($K$14*B3,0)</f>
        <v>246602</v>
      </c>
      <c r="C14" s="10">
        <f>ROUND($K$14*C3,0)</f>
        <v>7417</v>
      </c>
      <c r="D14" s="10">
        <f>ROUND($L$14*D3,0)</f>
        <v>62813</v>
      </c>
      <c r="E14" s="10">
        <f>ROUND($L$14*E3,0)</f>
        <v>2623</v>
      </c>
      <c r="F14" s="35">
        <f>ROUND(SUM(K$11:$K14)*$F$3,0)-SUM(F$11:$F13)</f>
        <v>0</v>
      </c>
      <c r="G14" s="10">
        <f>ROUND(SUM($K$11:K14)*$G$3,0)-SUM($G$11:G13)</f>
        <v>71694</v>
      </c>
      <c r="H14" s="10">
        <f>ROUND(SUM($K$11:K14)*$H$3,0)-SUM($H$11:H13)</f>
        <v>9683</v>
      </c>
      <c r="I14" s="10">
        <f>ROUND(SUM($K$11:K14)*$I$3,0)-SUM($I$11:I13)</f>
        <v>2679</v>
      </c>
      <c r="J14" s="10">
        <f>ROUND(SUM($K$11:K14)*$J$3,0)-SUM($J$11:J13)</f>
        <v>6592</v>
      </c>
      <c r="K14" s="17">
        <v>2060163.0199999998</v>
      </c>
      <c r="L14" s="17">
        <v>1380499.31</v>
      </c>
    </row>
    <row r="15" spans="1:12" ht="19.5" customHeight="1" x14ac:dyDescent="0.25">
      <c r="A15" s="18">
        <v>43221</v>
      </c>
      <c r="B15" s="10">
        <f>ROUND($K$15*B3,0)</f>
        <v>289625</v>
      </c>
      <c r="C15" s="10">
        <f>ROUND($K$15*C3,0)</f>
        <v>8711</v>
      </c>
      <c r="D15" s="10">
        <f>ROUND($L$15*D3,0)</f>
        <v>65251</v>
      </c>
      <c r="E15" s="10">
        <f>ROUND($L$15*E3,0)</f>
        <v>2725</v>
      </c>
      <c r="F15" s="35">
        <f>ROUND(SUM(K$11:$K15)*$F$3,0)-SUM(F$11:$F14)</f>
        <v>0</v>
      </c>
      <c r="G15" s="10">
        <f>ROUND(SUM($K$11:K15)*$G$3,0)-SUM($G$11:G14)</f>
        <v>84202</v>
      </c>
      <c r="H15" s="10">
        <f>ROUND(SUM($K$11:K15)*$H$3,0)-SUM($H$11:H14)</f>
        <v>11372</v>
      </c>
      <c r="I15" s="10">
        <f>ROUND(SUM($K$11:K15)*$I$3,0)-SUM($I$11:I14)</f>
        <v>3145</v>
      </c>
      <c r="J15" s="10">
        <f>ROUND(SUM($K$11:K15)*$J$3,0)-SUM($J$11:J14)</f>
        <v>7743</v>
      </c>
      <c r="K15" s="16">
        <v>2419587.89</v>
      </c>
      <c r="L15" s="16">
        <v>1434090.34</v>
      </c>
    </row>
    <row r="16" spans="1:12" ht="19.5" customHeight="1" x14ac:dyDescent="0.25">
      <c r="A16" s="18">
        <v>43252</v>
      </c>
      <c r="B16" s="11">
        <f>SUM(B14:B15)</f>
        <v>536227</v>
      </c>
      <c r="C16" s="11">
        <f t="shared" ref="C16:E16" si="1">SUM(C14:C15)</f>
        <v>16128</v>
      </c>
      <c r="D16" s="11">
        <f t="shared" si="1"/>
        <v>128064</v>
      </c>
      <c r="E16" s="11">
        <f t="shared" si="1"/>
        <v>5348</v>
      </c>
      <c r="F16" s="35">
        <f>ROUND(SUM(K$11:$K16)*$F$3,0)-SUM(F$11:$F15)</f>
        <v>0</v>
      </c>
      <c r="G16" s="10">
        <f>ROUND(SUM($K$11:K16)*$G$3,0)-SUM($G$11:G15)</f>
        <v>0</v>
      </c>
      <c r="H16" s="10">
        <f>ROUND(SUM($K$11:K16)*$H$3,0)-SUM($H$11:H15)</f>
        <v>0</v>
      </c>
      <c r="I16" s="10">
        <f>ROUND(SUM($K$11:K16)*$I$3,0)-SUM($I$11:I15)</f>
        <v>0</v>
      </c>
      <c r="J16" s="10">
        <f>ROUND(SUM($K$11:K16)*$J$3,0)-SUM($J$11:J15)</f>
        <v>0</v>
      </c>
      <c r="K16" s="16"/>
      <c r="L16" s="16"/>
    </row>
    <row r="17" spans="1:12" ht="19.5" customHeight="1" x14ac:dyDescent="0.25">
      <c r="A17" s="18">
        <v>43282</v>
      </c>
      <c r="B17" s="10">
        <f>ROUND($K$17*B3,0)</f>
        <v>0</v>
      </c>
      <c r="C17" s="10">
        <f>ROUND($K$17*C3,0)</f>
        <v>0</v>
      </c>
      <c r="D17" s="10">
        <f>ROUND($L$17*D3,0)</f>
        <v>0</v>
      </c>
      <c r="E17" s="10">
        <f>ROUND($L$17*E3,0)</f>
        <v>0</v>
      </c>
      <c r="F17" s="35">
        <f>ROUND(SUM(K$11:$K17)*$F$3,0)-SUM(F$11:$F16)</f>
        <v>0</v>
      </c>
      <c r="G17" s="10">
        <f>ROUND(SUM($K$11:K17)*$G$3,0)-SUM($G$11:G16)</f>
        <v>0</v>
      </c>
      <c r="H17" s="10">
        <f>ROUND(SUM($K$11:K17)*$H$3,0)-SUM($H$11:H16)</f>
        <v>0</v>
      </c>
      <c r="I17" s="10">
        <f>ROUND(SUM($K$11:K17)*$I$3,0)-SUM($I$11:I16)</f>
        <v>0</v>
      </c>
      <c r="J17" s="10">
        <f>ROUND(SUM($K$11:K17)*$J$3,0)-SUM($J$11:J16)</f>
        <v>0</v>
      </c>
      <c r="K17" s="16"/>
      <c r="L17" s="16"/>
    </row>
    <row r="18" spans="1:12" ht="19.5" customHeight="1" x14ac:dyDescent="0.25">
      <c r="A18" s="18">
        <v>43313</v>
      </c>
      <c r="B18" s="10">
        <f>ROUND($K$18*B3,0)</f>
        <v>0</v>
      </c>
      <c r="C18" s="10">
        <f>ROUND($K$18*C3,0)</f>
        <v>0</v>
      </c>
      <c r="D18" s="10">
        <f>ROUND($L$18*D3,0)</f>
        <v>0</v>
      </c>
      <c r="E18" s="10">
        <f>ROUND($L$18*E3,0)</f>
        <v>0</v>
      </c>
      <c r="F18" s="35">
        <f>ROUND(SUM(K$11:$K18)*$F$3,0)-SUM(F$11:$F17)</f>
        <v>0</v>
      </c>
      <c r="G18" s="10">
        <f>ROUND(SUM($K$11:K18)*$G$3,0)-SUM($G$11:G17)</f>
        <v>0</v>
      </c>
      <c r="H18" s="10">
        <f>ROUND(SUM($K$11:K18)*$H$3,0)-SUM($H$11:H17)</f>
        <v>0</v>
      </c>
      <c r="I18" s="10">
        <f>ROUND(SUM($K$11:K18)*$I$3,0)-SUM($I$11:I17)</f>
        <v>0</v>
      </c>
      <c r="J18" s="10">
        <f>ROUND(SUM($K$11:K18)*$J$3,0)-SUM($J$11:J17)</f>
        <v>0</v>
      </c>
      <c r="K18" s="16"/>
      <c r="L18" s="16"/>
    </row>
    <row r="19" spans="1:12" ht="19.5" customHeight="1" x14ac:dyDescent="0.25">
      <c r="A19" s="18">
        <v>43344</v>
      </c>
      <c r="B19" s="11">
        <f>SUM(B17:B18)</f>
        <v>0</v>
      </c>
      <c r="C19" s="11">
        <f t="shared" ref="C19:E19" si="2">SUM(C17:C18)</f>
        <v>0</v>
      </c>
      <c r="D19" s="11">
        <f t="shared" si="2"/>
        <v>0</v>
      </c>
      <c r="E19" s="11">
        <f t="shared" si="2"/>
        <v>0</v>
      </c>
      <c r="F19" s="35">
        <f>ROUND(SUM(K$11:$K19)*$F$3,0)-SUM(F$11:$F18)</f>
        <v>0</v>
      </c>
      <c r="G19" s="10">
        <f>ROUND(SUM($K$11:K19)*$G$3,0)-SUM($G$11:G18)</f>
        <v>0</v>
      </c>
      <c r="H19" s="10">
        <f>ROUND(SUM($K$11:K19)*$H$3,0)-SUM($H$11:H18)</f>
        <v>0</v>
      </c>
      <c r="I19" s="10">
        <f>ROUND(SUM($K$11:K19)*$I$3,0)-SUM($I$11:I18)</f>
        <v>0</v>
      </c>
      <c r="J19" s="10">
        <f>ROUND(SUM($K$11:K19)*$J$3,0)-SUM($J$11:J18)</f>
        <v>0</v>
      </c>
      <c r="K19" s="16"/>
      <c r="L19" s="16"/>
    </row>
    <row r="20" spans="1:12" ht="19.5" customHeight="1" x14ac:dyDescent="0.25">
      <c r="A20" s="18">
        <v>43374</v>
      </c>
      <c r="B20" s="10">
        <f>ROUND($K$20*B3,0)</f>
        <v>0</v>
      </c>
      <c r="C20" s="10">
        <f>ROUND($K$20*C3,0)</f>
        <v>0</v>
      </c>
      <c r="D20" s="10">
        <f>ROUND($L$20*D3,0)</f>
        <v>0</v>
      </c>
      <c r="E20" s="10">
        <f>ROUND($L$20*E3,0)</f>
        <v>0</v>
      </c>
      <c r="F20" s="35">
        <f>ROUND(SUM(K$11:$K20)*$F$3,0)-SUM(F$11:$F19)</f>
        <v>0</v>
      </c>
      <c r="G20" s="10">
        <f>ROUND(SUM($K$11:K20)*$G$3,0)-SUM($G$11:G19)</f>
        <v>0</v>
      </c>
      <c r="H20" s="10">
        <f>ROUND(SUM($K$11:K20)*$H$3,0)-SUM($H$11:H19)</f>
        <v>0</v>
      </c>
      <c r="I20" s="10">
        <f>ROUND(SUM($K$11:K20)*$I$3,0)-SUM($I$11:I19)</f>
        <v>0</v>
      </c>
      <c r="J20" s="10">
        <f>ROUND(SUM($K$11:K20)*$J$3,0)-SUM($J$11:J19)</f>
        <v>0</v>
      </c>
      <c r="K20" s="16"/>
      <c r="L20" s="16"/>
    </row>
    <row r="21" spans="1:12" ht="19.5" customHeight="1" x14ac:dyDescent="0.25">
      <c r="A21" s="18">
        <v>43405</v>
      </c>
      <c r="B21" s="10">
        <f>ROUND($K$21*B3,0)</f>
        <v>0</v>
      </c>
      <c r="C21" s="10">
        <f>ROUND($K$21*C3,0)</f>
        <v>0</v>
      </c>
      <c r="D21" s="10">
        <f>ROUND($L$21*D3,0)</f>
        <v>0</v>
      </c>
      <c r="E21" s="10">
        <f>ROUND($L$21*E3,0)</f>
        <v>0</v>
      </c>
      <c r="F21" s="35">
        <f>ROUND(SUM(K$11:$K21)*$F$3,0)-SUM(F$11:$F20)</f>
        <v>0</v>
      </c>
      <c r="G21" s="10">
        <f>ROUND(SUM($K$11:K21)*$G$3,0)-SUM($G$11:G20)</f>
        <v>0</v>
      </c>
      <c r="H21" s="10">
        <f>ROUND(SUM($K$11:K21)*$H$3,0)-SUM($H$11:H20)</f>
        <v>0</v>
      </c>
      <c r="I21" s="10">
        <f>ROUND(SUM($K$11:K21)*$I$3,0)-SUM($I$11:I20)</f>
        <v>0</v>
      </c>
      <c r="J21" s="10">
        <f>ROUND(SUM($K$11:K21)*$J$3,0)-SUM($J$11:J20)</f>
        <v>0</v>
      </c>
      <c r="K21" s="16"/>
      <c r="L21" s="16"/>
    </row>
    <row r="22" spans="1:12" ht="19.5" customHeight="1" x14ac:dyDescent="0.25">
      <c r="A22" s="18">
        <v>43435</v>
      </c>
      <c r="B22" s="11">
        <f>-(B20+B21)</f>
        <v>0</v>
      </c>
      <c r="C22" s="11">
        <f t="shared" ref="C22:E22" si="3">-(C20+C21)</f>
        <v>0</v>
      </c>
      <c r="D22" s="11">
        <f t="shared" si="3"/>
        <v>0</v>
      </c>
      <c r="E22" s="11">
        <f t="shared" si="3"/>
        <v>0</v>
      </c>
      <c r="F22" s="35">
        <f>ROUND(SUM(K$11:$K22)*$F$3,0)-SUM(F$11:$F21)</f>
        <v>0</v>
      </c>
      <c r="G22" s="10">
        <f>ROUND(SUM($K$11:K22)*$G$3,0)-SUM($G$11:G21)</f>
        <v>0</v>
      </c>
      <c r="H22" s="10">
        <f>ROUND(SUM($K$11:K22)*$H$3,0)-SUM($H$11:H21)</f>
        <v>0</v>
      </c>
      <c r="I22" s="10">
        <f>ROUND(SUM($K$11:K22)*$I$3,0)-SUM($I$11:I21)</f>
        <v>0</v>
      </c>
      <c r="J22" s="10">
        <f>ROUND(SUM($K$11:K22)*$J$3,0)-SUM($J$11:J21)</f>
        <v>0</v>
      </c>
      <c r="K22" s="16"/>
      <c r="L22" s="16"/>
    </row>
    <row r="23" spans="1:12" ht="19.5" customHeight="1" x14ac:dyDescent="0.25">
      <c r="A23" s="12" t="s">
        <v>1</v>
      </c>
      <c r="B23" s="9"/>
      <c r="C23" s="9"/>
      <c r="D23" s="9"/>
      <c r="E23" s="9"/>
      <c r="F23" s="36"/>
      <c r="G23" s="21">
        <f>SUM(G11:G22)</f>
        <v>548610</v>
      </c>
      <c r="H23" s="21">
        <f t="shared" ref="H23:J23" si="4">SUM(H11:H22)</f>
        <v>74094</v>
      </c>
      <c r="I23" s="21">
        <f t="shared" si="4"/>
        <v>20494</v>
      </c>
      <c r="J23" s="21">
        <f t="shared" si="4"/>
        <v>50447</v>
      </c>
      <c r="K23" s="16"/>
      <c r="L23" s="16"/>
    </row>
    <row r="24" spans="1:12" ht="18.75" x14ac:dyDescent="0.25">
      <c r="E24" s="31" t="s">
        <v>12</v>
      </c>
      <c r="F24" s="14">
        <f>ROUND(SUM($K$11:$K$22)*F3,0)-F23</f>
        <v>0</v>
      </c>
      <c r="G24" s="14">
        <f>ROUND(SUM($K$11:$K$22)*G3,0)-G23</f>
        <v>0</v>
      </c>
      <c r="H24" s="14">
        <f>ROUND(SUM($K$11:$K$22)*H3,0)-H23</f>
        <v>0</v>
      </c>
      <c r="I24" s="14">
        <f>ROUND(SUM($K$11:$K$22)*I3,0)-I23</f>
        <v>0</v>
      </c>
      <c r="J24" s="14">
        <f>ROUND(SUM($K$11:$K$22)*J3,0)-J23</f>
        <v>0</v>
      </c>
    </row>
    <row r="28" spans="1:12" x14ac:dyDescent="0.15">
      <c r="J28" s="15"/>
    </row>
  </sheetData>
  <mergeCells count="3">
    <mergeCell ref="A6:J6"/>
    <mergeCell ref="K8:K10"/>
    <mergeCell ref="L8:L10"/>
  </mergeCells>
  <phoneticPr fontId="6" type="noConversion"/>
  <pageMargins left="0.7" right="0.7" top="0.75" bottom="0.75" header="0.3" footer="0.3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28"/>
  <sheetViews>
    <sheetView zoomScale="85" zoomScaleNormal="85" workbookViewId="0">
      <selection activeCell="A7" sqref="A7"/>
    </sheetView>
  </sheetViews>
  <sheetFormatPr defaultColWidth="9.125" defaultRowHeight="13.5" x14ac:dyDescent="0.15"/>
  <cols>
    <col min="1" max="1" width="23.75" style="5" bestFit="1" customWidth="1"/>
    <col min="2" max="2" width="18.75" style="5" bestFit="1" customWidth="1"/>
    <col min="3" max="3" width="16.75" style="5" bestFit="1" customWidth="1"/>
    <col min="4" max="4" width="22.75" style="5" bestFit="1" customWidth="1"/>
    <col min="5" max="5" width="20.875" style="5" bestFit="1" customWidth="1"/>
    <col min="6" max="6" width="22.625" style="32" bestFit="1" customWidth="1"/>
    <col min="7" max="7" width="22.5" style="5" bestFit="1" customWidth="1"/>
    <col min="8" max="8" width="23.25" style="5" bestFit="1" customWidth="1"/>
    <col min="9" max="9" width="23.875" style="5" bestFit="1" customWidth="1"/>
    <col min="10" max="10" width="20.25" style="5" bestFit="1" customWidth="1"/>
    <col min="11" max="11" width="16.125" style="5" bestFit="1" customWidth="1"/>
    <col min="12" max="12" width="15" style="5" bestFit="1" customWidth="1"/>
    <col min="13" max="16384" width="9.125" style="5"/>
  </cols>
  <sheetData>
    <row r="1" spans="1:12" x14ac:dyDescent="0.15">
      <c r="A1" s="1" t="s">
        <v>25</v>
      </c>
      <c r="B1" s="2" t="s">
        <v>2</v>
      </c>
      <c r="C1" s="3" t="s">
        <v>3</v>
      </c>
      <c r="D1" s="3" t="s">
        <v>4</v>
      </c>
      <c r="E1" s="3" t="s">
        <v>5</v>
      </c>
      <c r="F1" s="38" t="s">
        <v>31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2" x14ac:dyDescent="0.15">
      <c r="A2" s="1" t="s">
        <v>10</v>
      </c>
      <c r="B2" s="2">
        <v>5106050102</v>
      </c>
      <c r="C2" s="3">
        <v>5106050106</v>
      </c>
      <c r="D2" s="3">
        <v>5106050104</v>
      </c>
      <c r="E2" s="3">
        <v>5106050108</v>
      </c>
      <c r="F2" s="39">
        <v>5106050258</v>
      </c>
      <c r="G2" s="4">
        <v>5106050225</v>
      </c>
      <c r="H2" s="4">
        <v>5106050221</v>
      </c>
      <c r="I2" s="4">
        <v>5106050222</v>
      </c>
      <c r="J2" s="4">
        <v>5106050204</v>
      </c>
    </row>
    <row r="3" spans="1:12" x14ac:dyDescent="0.15">
      <c r="A3" s="6" t="s">
        <v>41</v>
      </c>
      <c r="B3" s="7">
        <v>0.156</v>
      </c>
      <c r="C3" s="7">
        <v>3.5999999999999999E-3</v>
      </c>
      <c r="D3" s="7">
        <v>6.8900000000000003E-2</v>
      </c>
      <c r="E3" s="7">
        <v>3.5000000000000001E-3</v>
      </c>
      <c r="F3" s="26">
        <v>0</v>
      </c>
      <c r="G3" s="7">
        <v>4.3900000000000002E-2</v>
      </c>
      <c r="H3" s="7">
        <v>1.9E-2</v>
      </c>
      <c r="I3" s="20">
        <v>3.3E-3</v>
      </c>
      <c r="J3" s="7">
        <v>8.8000000000000005E-3</v>
      </c>
    </row>
    <row r="4" spans="1:12" x14ac:dyDescent="0.15">
      <c r="C4" s="7"/>
      <c r="D4" s="7"/>
      <c r="E4" s="7"/>
      <c r="F4" s="26"/>
      <c r="G4" s="7"/>
      <c r="H4" s="7"/>
      <c r="I4" s="7"/>
      <c r="J4" s="7"/>
    </row>
    <row r="6" spans="1:12" x14ac:dyDescent="0.15">
      <c r="A6" s="44" t="s">
        <v>42</v>
      </c>
      <c r="B6" s="44"/>
      <c r="C6" s="44"/>
      <c r="D6" s="44"/>
      <c r="E6" s="44"/>
      <c r="F6" s="44"/>
      <c r="G6" s="44"/>
      <c r="H6" s="44"/>
      <c r="I6" s="44"/>
      <c r="J6" s="45"/>
    </row>
    <row r="7" spans="1:12" ht="19.5" customHeight="1" x14ac:dyDescent="0.15">
      <c r="A7" s="23" t="s">
        <v>24</v>
      </c>
      <c r="B7" s="8" t="s">
        <v>2</v>
      </c>
      <c r="C7" s="8" t="s">
        <v>3</v>
      </c>
      <c r="D7" s="8" t="s">
        <v>4</v>
      </c>
      <c r="E7" s="8" t="s">
        <v>5</v>
      </c>
      <c r="F7" s="29" t="s">
        <v>31</v>
      </c>
      <c r="G7" s="8" t="s">
        <v>6</v>
      </c>
      <c r="H7" s="8" t="s">
        <v>7</v>
      </c>
      <c r="I7" s="8" t="s">
        <v>8</v>
      </c>
      <c r="J7" s="8" t="s">
        <v>9</v>
      </c>
    </row>
    <row r="8" spans="1:12" ht="19.5" customHeight="1" x14ac:dyDescent="0.25">
      <c r="A8" s="23" t="s">
        <v>29</v>
      </c>
      <c r="B8" s="9">
        <v>5106050102</v>
      </c>
      <c r="C8" s="9">
        <v>5106050106</v>
      </c>
      <c r="D8" s="9">
        <v>5106050104</v>
      </c>
      <c r="E8" s="9">
        <v>5106050108</v>
      </c>
      <c r="F8" s="28">
        <v>5106050258</v>
      </c>
      <c r="G8" s="9">
        <v>5106050225</v>
      </c>
      <c r="H8" s="9">
        <v>5106050221</v>
      </c>
      <c r="I8" s="9">
        <v>5106050222</v>
      </c>
      <c r="J8" s="9">
        <v>5106050204</v>
      </c>
      <c r="K8" s="46" t="s">
        <v>11</v>
      </c>
      <c r="L8" s="47" t="s">
        <v>14</v>
      </c>
    </row>
    <row r="9" spans="1:12" ht="20.25" x14ac:dyDescent="0.25">
      <c r="A9" s="22" t="s">
        <v>30</v>
      </c>
      <c r="B9" s="19">
        <v>23020202</v>
      </c>
      <c r="C9" s="19">
        <v>23020202</v>
      </c>
      <c r="D9" s="19">
        <v>23020202</v>
      </c>
      <c r="E9" s="19">
        <v>23020202</v>
      </c>
      <c r="F9" s="19">
        <v>23020203</v>
      </c>
      <c r="G9" s="19">
        <v>23020203</v>
      </c>
      <c r="H9" s="19">
        <v>23020203</v>
      </c>
      <c r="I9" s="19">
        <v>23020203</v>
      </c>
      <c r="J9" s="19">
        <v>23020203</v>
      </c>
      <c r="K9" s="46"/>
      <c r="L9" s="47"/>
    </row>
    <row r="10" spans="1:12" ht="20.25" x14ac:dyDescent="0.25">
      <c r="A10" s="22" t="s">
        <v>43</v>
      </c>
      <c r="B10" s="19" t="s">
        <v>28</v>
      </c>
      <c r="C10" s="19" t="s">
        <v>26</v>
      </c>
      <c r="D10" s="19" t="s">
        <v>26</v>
      </c>
      <c r="E10" s="19" t="s">
        <v>26</v>
      </c>
      <c r="F10" s="30" t="s">
        <v>27</v>
      </c>
      <c r="G10" s="19" t="s">
        <v>27</v>
      </c>
      <c r="H10" s="19" t="s">
        <v>27</v>
      </c>
      <c r="I10" s="19" t="s">
        <v>27</v>
      </c>
      <c r="J10" s="19" t="s">
        <v>27</v>
      </c>
      <c r="K10" s="46"/>
      <c r="L10" s="47"/>
    </row>
    <row r="11" spans="1:12" ht="19.5" customHeight="1" x14ac:dyDescent="0.25">
      <c r="A11" s="18">
        <v>43101</v>
      </c>
      <c r="B11" s="10">
        <f>ROUND($K$11*B3,0)</f>
        <v>10562064</v>
      </c>
      <c r="C11" s="10">
        <f>ROUND($K$11*C3,0)</f>
        <v>243740</v>
      </c>
      <c r="D11" s="10">
        <f>ROUND($L$11*D3,0)</f>
        <v>1055981</v>
      </c>
      <c r="E11" s="10">
        <f>ROUND($L$11*E3,0)</f>
        <v>53642</v>
      </c>
      <c r="F11" s="35">
        <f>ROUND($K$11*F3,0)</f>
        <v>0</v>
      </c>
      <c r="G11" s="10">
        <f>ROUND($K$11*G3,0)</f>
        <v>2972273</v>
      </c>
      <c r="H11" s="10">
        <f>ROUND($K$11*H3,0)</f>
        <v>1286405</v>
      </c>
      <c r="I11" s="10">
        <f>ROUND($K$11*I3,0)</f>
        <v>223428</v>
      </c>
      <c r="J11" s="10">
        <f>ROUND($K$11*J3,0)</f>
        <v>595809</v>
      </c>
      <c r="K11" s="17">
        <v>67705538.960000008</v>
      </c>
      <c r="L11" s="17">
        <v>15326279.640000002</v>
      </c>
    </row>
    <row r="12" spans="1:12" ht="19.5" customHeight="1" x14ac:dyDescent="0.25">
      <c r="A12" s="18">
        <v>43132</v>
      </c>
      <c r="B12" s="10">
        <f>ROUND($K$12*B3,0)</f>
        <v>7235604</v>
      </c>
      <c r="C12" s="10">
        <f>ROUND($K$12*C3,0)</f>
        <v>166975</v>
      </c>
      <c r="D12" s="10">
        <f>ROUND($L$12*D3,0)</f>
        <v>1046274</v>
      </c>
      <c r="E12" s="10">
        <f>ROUND($L$12*E3,0)</f>
        <v>53149</v>
      </c>
      <c r="F12" s="35">
        <f>ROUND(SUM(K$11:$K12)*$F$3,0)-SUM(F$11:$F11)</f>
        <v>0</v>
      </c>
      <c r="G12" s="10">
        <f>ROUND(SUM($K$11:K12)*$G$3,0)-SUM($G$11:G11)</f>
        <v>2036173</v>
      </c>
      <c r="H12" s="10">
        <f>ROUND(SUM($K$11:K12)*$H$3,0)-SUM($H$11:H11)</f>
        <v>881260</v>
      </c>
      <c r="I12" s="10">
        <f>ROUND(SUM($K$11:K12)*$I$3,0)-SUM($I$11:I11)</f>
        <v>153061</v>
      </c>
      <c r="J12" s="10">
        <f>ROUND(SUM($K$11:K12)*$J$3,0)-SUM($J$11:J11)</f>
        <v>408162</v>
      </c>
      <c r="K12" s="17">
        <v>46382079.800000004</v>
      </c>
      <c r="L12" s="17">
        <v>15185395.379999999</v>
      </c>
    </row>
    <row r="13" spans="1:12" ht="19.5" customHeight="1" x14ac:dyDescent="0.25">
      <c r="A13" s="18">
        <v>43160</v>
      </c>
      <c r="B13" s="11">
        <f>SUM(B11:B12)</f>
        <v>17797668</v>
      </c>
      <c r="C13" s="11">
        <f>SUM(C11:C12)</f>
        <v>410715</v>
      </c>
      <c r="D13" s="11">
        <f t="shared" ref="D13:E13" si="0">SUM(D11:D12)</f>
        <v>2102255</v>
      </c>
      <c r="E13" s="11">
        <f t="shared" si="0"/>
        <v>106791</v>
      </c>
      <c r="F13" s="35">
        <f>ROUND(SUM(K$11:$K13)*$F$3,0)-SUM(F$11:$F12)</f>
        <v>0</v>
      </c>
      <c r="G13" s="10">
        <f>ROUND(SUM($K$11:K13)*$G$3,0)-SUM($G$11:G12)</f>
        <v>2034760</v>
      </c>
      <c r="H13" s="10">
        <f>ROUND(SUM($K$11:K13)*$H$3,0)-SUM($H$11:H12)</f>
        <v>880648</v>
      </c>
      <c r="I13" s="10">
        <f>ROUND(SUM($K$11:K13)*$I$3,0)-SUM($I$11:I12)</f>
        <v>152955</v>
      </c>
      <c r="J13" s="10">
        <f>ROUND(SUM($K$11:K13)*$J$3,0)-SUM($J$11:J12)</f>
        <v>407879</v>
      </c>
      <c r="K13" s="17">
        <v>46349884.650000021</v>
      </c>
      <c r="L13" s="17"/>
    </row>
    <row r="14" spans="1:12" ht="19.5" customHeight="1" x14ac:dyDescent="0.25">
      <c r="A14" s="18">
        <v>43191</v>
      </c>
      <c r="B14" s="10">
        <f>ROUND($K$14*B3,0)</f>
        <v>5156510</v>
      </c>
      <c r="C14" s="10">
        <f>ROUND($K$14*C3,0)</f>
        <v>118996</v>
      </c>
      <c r="D14" s="10">
        <f>ROUND($L$14*D3,0)</f>
        <v>927454</v>
      </c>
      <c r="E14" s="10">
        <f>ROUND($L$14*E3,0)</f>
        <v>47113</v>
      </c>
      <c r="F14" s="35">
        <f>ROUND(SUM(K$11:$K14)*$F$3,0)-SUM(F$11:$F13)</f>
        <v>0</v>
      </c>
      <c r="G14" s="10">
        <f>ROUND(SUM($K$11:K14)*$G$3,0)-SUM($G$11:G13)</f>
        <v>1451095</v>
      </c>
      <c r="H14" s="10">
        <f>ROUND(SUM($K$11:K14)*$H$3,0)-SUM($H$11:H13)</f>
        <v>628036</v>
      </c>
      <c r="I14" s="10">
        <f>ROUND(SUM($K$11:K14)*$I$3,0)-SUM($I$11:I13)</f>
        <v>109080</v>
      </c>
      <c r="J14" s="10">
        <f>ROUND(SUM($K$11:K14)*$J$3,0)-SUM($J$11:J13)</f>
        <v>290880</v>
      </c>
      <c r="K14" s="17">
        <v>33054553.48</v>
      </c>
      <c r="L14" s="17">
        <v>13460873.50999999</v>
      </c>
    </row>
    <row r="15" spans="1:12" ht="19.5" customHeight="1" x14ac:dyDescent="0.25">
      <c r="A15" s="18">
        <v>43221</v>
      </c>
      <c r="B15" s="10">
        <f>ROUND($K$15*B3,0)</f>
        <v>4935814</v>
      </c>
      <c r="C15" s="10">
        <f>ROUND($K$15*C3,0)</f>
        <v>113903</v>
      </c>
      <c r="D15" s="10">
        <f>ROUND($L$15*D3,0)</f>
        <v>913671</v>
      </c>
      <c r="E15" s="10">
        <f>ROUND($L$15*E3,0)</f>
        <v>46413</v>
      </c>
      <c r="F15" s="35">
        <f>ROUND(SUM(K$11:$K15)*$F$3,0)-SUM(F$11:$F14)</f>
        <v>0</v>
      </c>
      <c r="G15" s="10">
        <f>ROUND(SUM($K$11:K15)*$G$3,0)-SUM($G$11:G14)</f>
        <v>1388989</v>
      </c>
      <c r="H15" s="10">
        <f>ROUND(SUM($K$11:K15)*$H$3,0)-SUM($H$11:H14)</f>
        <v>601157</v>
      </c>
      <c r="I15" s="10">
        <f>ROUND(SUM($K$11:K15)*$I$3,0)-SUM($I$11:I14)</f>
        <v>104411</v>
      </c>
      <c r="J15" s="10">
        <f>ROUND(SUM($K$11:K15)*$J$3,0)-SUM($J$11:J14)</f>
        <v>278431</v>
      </c>
      <c r="K15" s="16">
        <v>31639834.490000013</v>
      </c>
      <c r="L15" s="16">
        <v>13260824.170000002</v>
      </c>
    </row>
    <row r="16" spans="1:12" ht="19.5" customHeight="1" x14ac:dyDescent="0.25">
      <c r="A16" s="18">
        <v>43252</v>
      </c>
      <c r="B16" s="11">
        <f>SUM(B14:B15)</f>
        <v>10092324</v>
      </c>
      <c r="C16" s="11">
        <f t="shared" ref="C16:E16" si="1">SUM(C14:C15)</f>
        <v>232899</v>
      </c>
      <c r="D16" s="11">
        <f t="shared" si="1"/>
        <v>1841125</v>
      </c>
      <c r="E16" s="11">
        <f t="shared" si="1"/>
        <v>93526</v>
      </c>
      <c r="F16" s="35">
        <f>ROUND(SUM(K$11:$K16)*$F$3,0)-SUM(F$11:$F15)</f>
        <v>0</v>
      </c>
      <c r="G16" s="10">
        <f>ROUND(SUM($K$11:K16)*$G$3,0)-SUM($G$11:G15)</f>
        <v>0</v>
      </c>
      <c r="H16" s="10">
        <f>ROUND(SUM($K$11:K16)*$H$3,0)-SUM($H$11:H15)</f>
        <v>0</v>
      </c>
      <c r="I16" s="10">
        <f>ROUND(SUM($K$11:K16)*$I$3,0)-SUM($I$11:I15)</f>
        <v>0</v>
      </c>
      <c r="J16" s="10">
        <f>ROUND(SUM($K$11:K16)*$J$3,0)-SUM($J$11:J15)</f>
        <v>0</v>
      </c>
      <c r="K16" s="16"/>
      <c r="L16" s="16"/>
    </row>
    <row r="17" spans="1:12" ht="19.5" customHeight="1" x14ac:dyDescent="0.25">
      <c r="A17" s="18">
        <v>43282</v>
      </c>
      <c r="B17" s="10">
        <f>ROUND($K$17*B3,0)</f>
        <v>0</v>
      </c>
      <c r="C17" s="10">
        <f>ROUND($K$17*C3,0)</f>
        <v>0</v>
      </c>
      <c r="D17" s="10">
        <f>ROUND($L$17*D3,0)</f>
        <v>0</v>
      </c>
      <c r="E17" s="10">
        <f>ROUND($L$17*E3,0)</f>
        <v>0</v>
      </c>
      <c r="F17" s="35">
        <f>ROUND(SUM(K$11:$K17)*$F$3,0)-SUM(F$11:$F16)</f>
        <v>0</v>
      </c>
      <c r="G17" s="10">
        <f>ROUND(SUM($K$11:K17)*$G$3,0)-SUM($G$11:G16)</f>
        <v>0</v>
      </c>
      <c r="H17" s="10">
        <f>ROUND(SUM($K$11:K17)*$H$3,0)-SUM($H$11:H16)</f>
        <v>0</v>
      </c>
      <c r="I17" s="10">
        <f>ROUND(SUM($K$11:K17)*$I$3,0)-SUM($I$11:I16)</f>
        <v>0</v>
      </c>
      <c r="J17" s="10">
        <f>ROUND(SUM($K$11:K17)*$J$3,0)-SUM($J$11:J16)</f>
        <v>0</v>
      </c>
      <c r="K17" s="16"/>
      <c r="L17" s="16"/>
    </row>
    <row r="18" spans="1:12" ht="19.5" customHeight="1" x14ac:dyDescent="0.25">
      <c r="A18" s="18">
        <v>43313</v>
      </c>
      <c r="B18" s="10">
        <f>ROUND($K$18*B3,0)</f>
        <v>0</v>
      </c>
      <c r="C18" s="10">
        <f>ROUND($K$18*C3,0)</f>
        <v>0</v>
      </c>
      <c r="D18" s="10">
        <f>ROUND($L$18*D3,0)</f>
        <v>0</v>
      </c>
      <c r="E18" s="10">
        <f>ROUND($L$18*E3,0)</f>
        <v>0</v>
      </c>
      <c r="F18" s="35">
        <f>ROUND(SUM(K$11:$K18)*$F$3,0)-SUM(F$11:$F17)</f>
        <v>0</v>
      </c>
      <c r="G18" s="10">
        <f>ROUND(SUM($K$11:K18)*$G$3,0)-SUM($G$11:G17)</f>
        <v>0</v>
      </c>
      <c r="H18" s="10">
        <f>ROUND(SUM($K$11:K18)*$H$3,0)-SUM($H$11:H17)</f>
        <v>0</v>
      </c>
      <c r="I18" s="10">
        <f>ROUND(SUM($K$11:K18)*$I$3,0)-SUM($I$11:I17)</f>
        <v>0</v>
      </c>
      <c r="J18" s="10">
        <f>ROUND(SUM($K$11:K18)*$J$3,0)-SUM($J$11:J17)</f>
        <v>0</v>
      </c>
      <c r="K18" s="16"/>
      <c r="L18" s="16"/>
    </row>
    <row r="19" spans="1:12" ht="19.5" customHeight="1" x14ac:dyDescent="0.25">
      <c r="A19" s="18">
        <v>43344</v>
      </c>
      <c r="B19" s="11">
        <f>SUM(B17:B18)</f>
        <v>0</v>
      </c>
      <c r="C19" s="11">
        <f t="shared" ref="C19:E19" si="2">SUM(C17:C18)</f>
        <v>0</v>
      </c>
      <c r="D19" s="11">
        <f t="shared" si="2"/>
        <v>0</v>
      </c>
      <c r="E19" s="11">
        <f t="shared" si="2"/>
        <v>0</v>
      </c>
      <c r="F19" s="35">
        <f>ROUND(SUM(K$11:$K19)*$F$3,0)-SUM(F$11:$F18)</f>
        <v>0</v>
      </c>
      <c r="G19" s="10">
        <f>ROUND(SUM($K$11:K19)*$G$3,0)-SUM($G$11:G18)</f>
        <v>0</v>
      </c>
      <c r="H19" s="10">
        <f>ROUND(SUM($K$11:K19)*$H$3,0)-SUM($H$11:H18)</f>
        <v>0</v>
      </c>
      <c r="I19" s="10">
        <f>ROUND(SUM($K$11:K19)*$I$3,0)-SUM($I$11:I18)</f>
        <v>0</v>
      </c>
      <c r="J19" s="10">
        <f>ROUND(SUM($K$11:K19)*$J$3,0)-SUM($J$11:J18)</f>
        <v>0</v>
      </c>
      <c r="K19" s="16"/>
      <c r="L19" s="16"/>
    </row>
    <row r="20" spans="1:12" ht="19.5" customHeight="1" x14ac:dyDescent="0.25">
      <c r="A20" s="18">
        <v>43374</v>
      </c>
      <c r="B20" s="10">
        <f>ROUND($K$20*B3,0)</f>
        <v>0</v>
      </c>
      <c r="C20" s="10">
        <f>ROUND($K$20*C3,0)</f>
        <v>0</v>
      </c>
      <c r="D20" s="10">
        <f>ROUND($L$20*D3,0)</f>
        <v>0</v>
      </c>
      <c r="E20" s="10">
        <f>ROUND($L$20*E3,0)</f>
        <v>0</v>
      </c>
      <c r="F20" s="35">
        <f>ROUND(SUM(K$11:$K20)*$F$3,0)-SUM(F$11:$F19)</f>
        <v>0</v>
      </c>
      <c r="G20" s="10">
        <f>ROUND(SUM($K$11:K20)*$G$3,0)-SUM($G$11:G19)</f>
        <v>0</v>
      </c>
      <c r="H20" s="10">
        <f>ROUND(SUM($K$11:K20)*$H$3,0)-SUM($H$11:H19)</f>
        <v>0</v>
      </c>
      <c r="I20" s="10">
        <f>ROUND(SUM($K$11:K20)*$I$3,0)-SUM($I$11:I19)</f>
        <v>0</v>
      </c>
      <c r="J20" s="10">
        <f>ROUND(SUM($K$11:K20)*$J$3,0)-SUM($J$11:J19)</f>
        <v>0</v>
      </c>
      <c r="K20" s="16"/>
      <c r="L20" s="16"/>
    </row>
    <row r="21" spans="1:12" ht="19.5" customHeight="1" x14ac:dyDescent="0.25">
      <c r="A21" s="18">
        <v>43405</v>
      </c>
      <c r="B21" s="10">
        <f>ROUND($K$21*B3,0)</f>
        <v>0</v>
      </c>
      <c r="C21" s="10">
        <f>ROUND($K$21*C3,0)</f>
        <v>0</v>
      </c>
      <c r="D21" s="10">
        <f>ROUND($L$21*D3,0)</f>
        <v>0</v>
      </c>
      <c r="E21" s="10">
        <f>ROUND($L$21*E3,0)</f>
        <v>0</v>
      </c>
      <c r="F21" s="35">
        <f>ROUND(SUM(K$11:$K21)*$F$3,0)-SUM(F$11:$F20)</f>
        <v>0</v>
      </c>
      <c r="G21" s="10">
        <f>ROUND(SUM($K$11:K21)*$G$3,0)-SUM($G$11:G20)</f>
        <v>0</v>
      </c>
      <c r="H21" s="10">
        <f>ROUND(SUM($K$11:K21)*$H$3,0)-SUM($H$11:H20)</f>
        <v>0</v>
      </c>
      <c r="I21" s="10">
        <f>ROUND(SUM($K$11:K21)*$I$3,0)-SUM($I$11:I20)</f>
        <v>0</v>
      </c>
      <c r="J21" s="10">
        <f>ROUND(SUM($K$11:K21)*$J$3,0)-SUM($J$11:J20)</f>
        <v>0</v>
      </c>
      <c r="K21" s="16"/>
      <c r="L21" s="16"/>
    </row>
    <row r="22" spans="1:12" ht="19.5" customHeight="1" x14ac:dyDescent="0.25">
      <c r="A22" s="18">
        <v>43435</v>
      </c>
      <c r="B22" s="11">
        <f>-(B20+B21)</f>
        <v>0</v>
      </c>
      <c r="C22" s="11">
        <f t="shared" ref="C22:E22" si="3">-(C20+C21)</f>
        <v>0</v>
      </c>
      <c r="D22" s="11">
        <f t="shared" si="3"/>
        <v>0</v>
      </c>
      <c r="E22" s="11">
        <f t="shared" si="3"/>
        <v>0</v>
      </c>
      <c r="F22" s="35">
        <f>ROUND(SUM(K$11:$K22)*$F$3,0)-SUM(F$11:$F21)</f>
        <v>0</v>
      </c>
      <c r="G22" s="10">
        <f>ROUND(SUM($K$11:K22)*$G$3,0)-SUM($G$11:G21)</f>
        <v>0</v>
      </c>
      <c r="H22" s="10">
        <f>ROUND(SUM($K$11:K22)*$H$3,0)-SUM($H$11:H21)</f>
        <v>0</v>
      </c>
      <c r="I22" s="10">
        <f>ROUND(SUM($K$11:K22)*$I$3,0)-SUM($I$11:I21)</f>
        <v>0</v>
      </c>
      <c r="J22" s="10">
        <f>ROUND(SUM($K$11:K22)*$J$3,0)-SUM($J$11:J21)</f>
        <v>0</v>
      </c>
      <c r="K22" s="16"/>
      <c r="L22" s="16"/>
    </row>
    <row r="23" spans="1:12" ht="19.5" customHeight="1" x14ac:dyDescent="0.25">
      <c r="A23" s="12" t="s">
        <v>1</v>
      </c>
      <c r="B23" s="9"/>
      <c r="C23" s="9"/>
      <c r="D23" s="9"/>
      <c r="E23" s="9"/>
      <c r="F23" s="37">
        <f>SUM(F11:F22)</f>
        <v>0</v>
      </c>
      <c r="G23" s="21">
        <f>SUM(G11:G22)</f>
        <v>9883290</v>
      </c>
      <c r="H23" s="21">
        <f t="shared" ref="H23:J23" si="4">SUM(H11:H22)</f>
        <v>4277506</v>
      </c>
      <c r="I23" s="21">
        <f t="shared" si="4"/>
        <v>742935</v>
      </c>
      <c r="J23" s="21">
        <f t="shared" si="4"/>
        <v>1981161</v>
      </c>
      <c r="K23" s="16"/>
      <c r="L23" s="16"/>
    </row>
    <row r="24" spans="1:12" ht="18.75" x14ac:dyDescent="0.25">
      <c r="E24" s="31" t="s">
        <v>12</v>
      </c>
      <c r="F24" s="14">
        <f>ROUND(SUM($K$11:$K$22)*F3,0)-F23</f>
        <v>0</v>
      </c>
      <c r="G24" s="14">
        <f>ROUND(SUM($K$11:$K$22)*G3,0)-G23</f>
        <v>0</v>
      </c>
      <c r="H24" s="14">
        <f>ROUND(SUM($K$11:$K$22)*H3,0)-H23</f>
        <v>0</v>
      </c>
      <c r="I24" s="14">
        <f>ROUND(SUM($K$11:$K$22)*I3,0)-I23</f>
        <v>0</v>
      </c>
      <c r="J24" s="14">
        <f>ROUND(SUM($K$11:$K$22)*J3,0)-J23</f>
        <v>0</v>
      </c>
    </row>
    <row r="28" spans="1:12" x14ac:dyDescent="0.15">
      <c r="J28" s="15"/>
    </row>
  </sheetData>
  <mergeCells count="3">
    <mergeCell ref="A6:J6"/>
    <mergeCell ref="K8:K10"/>
    <mergeCell ref="L8:L10"/>
  </mergeCells>
  <phoneticPr fontId="6" type="noConversion"/>
  <pageMargins left="0.7" right="0.7" top="0.75" bottom="0.75" header="0.3" footer="0.3"/>
  <pageSetup paperSize="9" scale="54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8</vt:i4>
      </vt:variant>
    </vt:vector>
  </HeadingPairs>
  <TitlesOfParts>
    <vt:vector size="16" baseType="lpstr">
      <vt:lpstr>上海预提明细</vt:lpstr>
      <vt:lpstr>北京预提明细 </vt:lpstr>
      <vt:lpstr>深圳预提明细 </vt:lpstr>
      <vt:lpstr>广东预提明细</vt:lpstr>
      <vt:lpstr>佛山预提明细</vt:lpstr>
      <vt:lpstr>东莞预提明细 </vt:lpstr>
      <vt:lpstr>江门预提明细  </vt:lpstr>
      <vt:lpstr>江苏预提明细 </vt:lpstr>
      <vt:lpstr>'北京预提明细 '!Print_Area</vt:lpstr>
      <vt:lpstr>'东莞预提明细 '!Print_Area</vt:lpstr>
      <vt:lpstr>佛山预提明细!Print_Area</vt:lpstr>
      <vt:lpstr>广东预提明细!Print_Area</vt:lpstr>
      <vt:lpstr>'江门预提明细  '!Print_Area</vt:lpstr>
      <vt:lpstr>'江苏预提明细 '!Print_Area</vt:lpstr>
      <vt:lpstr>上海预提明细!Print_Area</vt:lpstr>
      <vt:lpstr>'深圳预提明细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2018-07-03T01:36:58Z</dcterms:modified>
</cp:coreProperties>
</file>