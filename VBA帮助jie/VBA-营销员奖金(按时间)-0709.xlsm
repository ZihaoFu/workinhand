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0_ncr:8100000_{EAE5B793-2560-4400-9FCE-E2EC23E13996}" xr6:coauthVersionLast="34" xr6:coauthVersionMax="34" xr10:uidLastSave="{00000000-0000-0000-0000-000000000000}"/>
  <bookViews>
    <workbookView xWindow="0" yWindow="0" windowWidth="22830" windowHeight="9090" tabRatio="816" activeTab="5" xr2:uid="{00000000-000D-0000-FFFF-FFFF00000000}"/>
  </bookViews>
  <sheets>
    <sheet name="凭证模板" sheetId="1" r:id="rId1"/>
    <sheet name="Sheet2 公司代码与本地分支" sheetId="3" r:id="rId2"/>
    <sheet name="上海" sheetId="2" r:id="rId3"/>
    <sheet name="北京" sheetId="4" r:id="rId4"/>
    <sheet name="深圳" sheetId="5" r:id="rId5"/>
    <sheet name="广东" sheetId="6" r:id="rId6"/>
    <sheet name="佛山" sheetId="7" r:id="rId7"/>
    <sheet name="东莞" sheetId="8" r:id="rId8"/>
    <sheet name="江门" sheetId="9" r:id="rId9"/>
    <sheet name="江苏" sheetId="10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4" l="1"/>
  <c r="J14" i="4"/>
  <c r="J15" i="4"/>
  <c r="G15" i="2"/>
  <c r="G14" i="2"/>
  <c r="G13" i="2"/>
  <c r="J10" i="10"/>
  <c r="J22" i="10" s="1"/>
  <c r="J11" i="10"/>
  <c r="J12" i="10"/>
  <c r="J13" i="10"/>
  <c r="J14" i="10"/>
  <c r="J15" i="10"/>
  <c r="J16" i="10"/>
  <c r="J17" i="10"/>
  <c r="J18" i="10"/>
  <c r="J19" i="10"/>
  <c r="J20" i="10"/>
  <c r="J21" i="10"/>
  <c r="I10" i="10"/>
  <c r="I11" i="10"/>
  <c r="I12" i="10"/>
  <c r="I13" i="10"/>
  <c r="I14" i="10"/>
  <c r="I22" i="10" s="1"/>
  <c r="I15" i="10"/>
  <c r="I16" i="10"/>
  <c r="I17" i="10"/>
  <c r="I18" i="10"/>
  <c r="I19" i="10"/>
  <c r="I20" i="10"/>
  <c r="I21" i="10"/>
  <c r="H10" i="10"/>
  <c r="H11" i="10"/>
  <c r="H12" i="10"/>
  <c r="H22" i="10" s="1"/>
  <c r="H13" i="10"/>
  <c r="H14" i="10"/>
  <c r="H15" i="10"/>
  <c r="H16" i="10"/>
  <c r="H17" i="10"/>
  <c r="H18" i="10"/>
  <c r="H19" i="10"/>
  <c r="H20" i="10"/>
  <c r="H21" i="10"/>
  <c r="G10" i="10"/>
  <c r="G11" i="10"/>
  <c r="G22" i="10" s="1"/>
  <c r="G12" i="10"/>
  <c r="G13" i="10"/>
  <c r="G14" i="10"/>
  <c r="G15" i="10"/>
  <c r="G16" i="10"/>
  <c r="G17" i="10"/>
  <c r="G18" i="10"/>
  <c r="G19" i="10"/>
  <c r="G20" i="10"/>
  <c r="G21" i="10"/>
  <c r="F10" i="10"/>
  <c r="F11" i="10"/>
  <c r="F12" i="10"/>
  <c r="F13" i="10"/>
  <c r="F14" i="10"/>
  <c r="F22" i="10" s="1"/>
  <c r="F15" i="10"/>
  <c r="F16" i="10"/>
  <c r="F17" i="10"/>
  <c r="F18" i="10"/>
  <c r="F19" i="10"/>
  <c r="F20" i="10"/>
  <c r="F21" i="10"/>
  <c r="E19" i="10"/>
  <c r="E21" i="10" s="1"/>
  <c r="E20" i="10"/>
  <c r="D19" i="10"/>
  <c r="D21" i="10" s="1"/>
  <c r="D20" i="10"/>
  <c r="C19" i="10"/>
  <c r="C20" i="10"/>
  <c r="C21" i="10"/>
  <c r="B19" i="10"/>
  <c r="B20" i="10"/>
  <c r="B21" i="10"/>
  <c r="E16" i="10"/>
  <c r="E18" i="10" s="1"/>
  <c r="E17" i="10"/>
  <c r="D16" i="10"/>
  <c r="D18" i="10" s="1"/>
  <c r="D17" i="10"/>
  <c r="C16" i="10"/>
  <c r="C17" i="10"/>
  <c r="C18" i="10"/>
  <c r="B16" i="10"/>
  <c r="B17" i="10"/>
  <c r="B18" i="10"/>
  <c r="E13" i="10"/>
  <c r="E15" i="10" s="1"/>
  <c r="E14" i="10"/>
  <c r="D13" i="10"/>
  <c r="D15" i="10" s="1"/>
  <c r="D14" i="10"/>
  <c r="C13" i="10"/>
  <c r="C14" i="10"/>
  <c r="C15" i="10"/>
  <c r="B13" i="10"/>
  <c r="B14" i="10"/>
  <c r="B15" i="10"/>
  <c r="E10" i="10"/>
  <c r="E12" i="10" s="1"/>
  <c r="E11" i="10"/>
  <c r="D10" i="10"/>
  <c r="D12" i="10" s="1"/>
  <c r="D11" i="10"/>
  <c r="C10" i="10"/>
  <c r="C11" i="10"/>
  <c r="C12" i="10"/>
  <c r="B10" i="10"/>
  <c r="B11" i="10"/>
  <c r="B12" i="10"/>
  <c r="J10" i="9"/>
  <c r="J22" i="9" s="1"/>
  <c r="J11" i="9"/>
  <c r="J12" i="9"/>
  <c r="J13" i="9"/>
  <c r="J14" i="9"/>
  <c r="J15" i="9"/>
  <c r="J16" i="9"/>
  <c r="J17" i="9"/>
  <c r="J18" i="9"/>
  <c r="J19" i="9"/>
  <c r="J20" i="9"/>
  <c r="J21" i="9"/>
  <c r="I10" i="9"/>
  <c r="I11" i="9"/>
  <c r="I12" i="9"/>
  <c r="I22" i="9" s="1"/>
  <c r="I13" i="9"/>
  <c r="I14" i="9"/>
  <c r="I15" i="9"/>
  <c r="I16" i="9"/>
  <c r="I17" i="9"/>
  <c r="I18" i="9"/>
  <c r="I19" i="9"/>
  <c r="I20" i="9"/>
  <c r="I21" i="9"/>
  <c r="H10" i="9"/>
  <c r="H22" i="9" s="1"/>
  <c r="H11" i="9"/>
  <c r="H12" i="9"/>
  <c r="H13" i="9"/>
  <c r="H14" i="9"/>
  <c r="H15" i="9"/>
  <c r="H16" i="9"/>
  <c r="H17" i="9"/>
  <c r="H18" i="9"/>
  <c r="H19" i="9"/>
  <c r="H20" i="9"/>
  <c r="H21" i="9"/>
  <c r="G10" i="9"/>
  <c r="G22" i="9" s="1"/>
  <c r="G11" i="9"/>
  <c r="G12" i="9"/>
  <c r="G13" i="9"/>
  <c r="G14" i="9"/>
  <c r="G15" i="9"/>
  <c r="G16" i="9"/>
  <c r="G17" i="9"/>
  <c r="G18" i="9"/>
  <c r="G19" i="9"/>
  <c r="G20" i="9"/>
  <c r="G21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E19" i="9"/>
  <c r="E20" i="9"/>
  <c r="E21" i="9"/>
  <c r="D19" i="9"/>
  <c r="D21" i="9" s="1"/>
  <c r="D20" i="9"/>
  <c r="C19" i="9"/>
  <c r="C21" i="9" s="1"/>
  <c r="C20" i="9"/>
  <c r="B19" i="9"/>
  <c r="B20" i="9"/>
  <c r="B21" i="9"/>
  <c r="E16" i="9"/>
  <c r="E17" i="9"/>
  <c r="E18" i="9"/>
  <c r="D16" i="9"/>
  <c r="D18" i="9" s="1"/>
  <c r="D17" i="9"/>
  <c r="C16" i="9"/>
  <c r="C18" i="9" s="1"/>
  <c r="C17" i="9"/>
  <c r="B16" i="9"/>
  <c r="B17" i="9"/>
  <c r="B18" i="9"/>
  <c r="E13" i="9"/>
  <c r="E14" i="9"/>
  <c r="E15" i="9"/>
  <c r="D13" i="9"/>
  <c r="D15" i="9" s="1"/>
  <c r="D14" i="9"/>
  <c r="C13" i="9"/>
  <c r="C15" i="9" s="1"/>
  <c r="C14" i="9"/>
  <c r="B13" i="9"/>
  <c r="B14" i="9"/>
  <c r="B15" i="9"/>
  <c r="E10" i="9"/>
  <c r="E11" i="9"/>
  <c r="E12" i="9"/>
  <c r="D10" i="9"/>
  <c r="D12" i="9" s="1"/>
  <c r="D11" i="9"/>
  <c r="C10" i="9"/>
  <c r="C12" i="9" s="1"/>
  <c r="C11" i="9"/>
  <c r="B10" i="9"/>
  <c r="B11" i="9"/>
  <c r="B12" i="9"/>
  <c r="J10" i="8"/>
  <c r="J22" i="8" s="1"/>
  <c r="J11" i="8"/>
  <c r="J12" i="8"/>
  <c r="J13" i="8"/>
  <c r="J14" i="8"/>
  <c r="J15" i="8"/>
  <c r="J16" i="8"/>
  <c r="J17" i="8"/>
  <c r="J18" i="8"/>
  <c r="J19" i="8"/>
  <c r="J20" i="8"/>
  <c r="J21" i="8"/>
  <c r="I10" i="8"/>
  <c r="I11" i="8"/>
  <c r="I22" i="8" s="1"/>
  <c r="I12" i="8"/>
  <c r="I13" i="8"/>
  <c r="I14" i="8"/>
  <c r="I15" i="8"/>
  <c r="I16" i="8"/>
  <c r="I17" i="8"/>
  <c r="I18" i="8"/>
  <c r="I19" i="8"/>
  <c r="I20" i="8"/>
  <c r="I21" i="8"/>
  <c r="H10" i="8"/>
  <c r="H11" i="8"/>
  <c r="H12" i="8"/>
  <c r="H13" i="8"/>
  <c r="H14" i="8"/>
  <c r="H22" i="8" s="1"/>
  <c r="H15" i="8"/>
  <c r="H16" i="8"/>
  <c r="H17" i="8"/>
  <c r="H18" i="8"/>
  <c r="H19" i="8"/>
  <c r="H20" i="8"/>
  <c r="H21" i="8"/>
  <c r="G10" i="8"/>
  <c r="G22" i="8" s="1"/>
  <c r="G11" i="8"/>
  <c r="G12" i="8"/>
  <c r="G13" i="8"/>
  <c r="G14" i="8"/>
  <c r="G15" i="8"/>
  <c r="G16" i="8"/>
  <c r="G17" i="8"/>
  <c r="G18" i="8"/>
  <c r="G19" i="8"/>
  <c r="G20" i="8"/>
  <c r="G21" i="8"/>
  <c r="F10" i="8"/>
  <c r="F11" i="8"/>
  <c r="F12" i="8"/>
  <c r="F22" i="8" s="1"/>
  <c r="F13" i="8"/>
  <c r="F14" i="8"/>
  <c r="F15" i="8"/>
  <c r="F16" i="8"/>
  <c r="F17" i="8"/>
  <c r="F18" i="8"/>
  <c r="F19" i="8"/>
  <c r="F20" i="8"/>
  <c r="F21" i="8"/>
  <c r="E19" i="8"/>
  <c r="E20" i="8"/>
  <c r="E21" i="8"/>
  <c r="D19" i="8"/>
  <c r="D20" i="8"/>
  <c r="D21" i="8"/>
  <c r="C19" i="8"/>
  <c r="C21" i="8" s="1"/>
  <c r="C20" i="8"/>
  <c r="B19" i="8"/>
  <c r="B21" i="8" s="1"/>
  <c r="B20" i="8"/>
  <c r="E16" i="8"/>
  <c r="E17" i="8"/>
  <c r="E18" i="8"/>
  <c r="D16" i="8"/>
  <c r="D17" i="8"/>
  <c r="D18" i="8"/>
  <c r="C16" i="8"/>
  <c r="C18" i="8" s="1"/>
  <c r="C17" i="8"/>
  <c r="B16" i="8"/>
  <c r="B18" i="8" s="1"/>
  <c r="B17" i="8"/>
  <c r="E13" i="8"/>
  <c r="E14" i="8"/>
  <c r="E15" i="8"/>
  <c r="D13" i="8"/>
  <c r="D14" i="8"/>
  <c r="D15" i="8"/>
  <c r="C13" i="8"/>
  <c r="C15" i="8" s="1"/>
  <c r="C14" i="8"/>
  <c r="B13" i="8"/>
  <c r="B15" i="8" s="1"/>
  <c r="B14" i="8"/>
  <c r="E10" i="8"/>
  <c r="E11" i="8"/>
  <c r="E12" i="8"/>
  <c r="D10" i="8"/>
  <c r="D11" i="8"/>
  <c r="D12" i="8"/>
  <c r="C10" i="8"/>
  <c r="C12" i="8" s="1"/>
  <c r="C11" i="8"/>
  <c r="B10" i="8"/>
  <c r="B12" i="8" s="1"/>
  <c r="B11" i="8"/>
  <c r="J10" i="7"/>
  <c r="J22" i="7" s="1"/>
  <c r="J11" i="7"/>
  <c r="J12" i="7"/>
  <c r="J13" i="7"/>
  <c r="J14" i="7"/>
  <c r="J15" i="7"/>
  <c r="J16" i="7"/>
  <c r="J17" i="7"/>
  <c r="J18" i="7"/>
  <c r="J19" i="7"/>
  <c r="J20" i="7"/>
  <c r="J21" i="7"/>
  <c r="I10" i="7"/>
  <c r="I22" i="7" s="1"/>
  <c r="I11" i="7"/>
  <c r="I12" i="7"/>
  <c r="I13" i="7"/>
  <c r="I14" i="7"/>
  <c r="I15" i="7"/>
  <c r="I16" i="7"/>
  <c r="I17" i="7"/>
  <c r="I18" i="7"/>
  <c r="I19" i="7"/>
  <c r="I20" i="7"/>
  <c r="I21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G10" i="7"/>
  <c r="G22" i="7" s="1"/>
  <c r="G11" i="7"/>
  <c r="G12" i="7"/>
  <c r="G13" i="7"/>
  <c r="G14" i="7"/>
  <c r="G15" i="7"/>
  <c r="G16" i="7"/>
  <c r="G17" i="7"/>
  <c r="G18" i="7"/>
  <c r="G19" i="7"/>
  <c r="G20" i="7"/>
  <c r="G21" i="7"/>
  <c r="F10" i="7"/>
  <c r="F11" i="7"/>
  <c r="F22" i="7" s="1"/>
  <c r="F12" i="7"/>
  <c r="F13" i="7"/>
  <c r="F14" i="7"/>
  <c r="F15" i="7"/>
  <c r="F16" i="7"/>
  <c r="F17" i="7"/>
  <c r="F18" i="7"/>
  <c r="F19" i="7"/>
  <c r="F20" i="7"/>
  <c r="F21" i="7"/>
  <c r="E19" i="7"/>
  <c r="E21" i="7" s="1"/>
  <c r="E20" i="7"/>
  <c r="D19" i="7"/>
  <c r="D20" i="7"/>
  <c r="D21" i="7"/>
  <c r="C19" i="7"/>
  <c r="C20" i="7"/>
  <c r="C21" i="7"/>
  <c r="B19" i="7"/>
  <c r="B21" i="7" s="1"/>
  <c r="B20" i="7"/>
  <c r="E16" i="7"/>
  <c r="E18" i="7" s="1"/>
  <c r="E17" i="7"/>
  <c r="D16" i="7"/>
  <c r="D17" i="7"/>
  <c r="D18" i="7"/>
  <c r="C16" i="7"/>
  <c r="C17" i="7"/>
  <c r="C18" i="7"/>
  <c r="B16" i="7"/>
  <c r="B18" i="7" s="1"/>
  <c r="B17" i="7"/>
  <c r="E13" i="7"/>
  <c r="E15" i="7" s="1"/>
  <c r="E14" i="7"/>
  <c r="D13" i="7"/>
  <c r="D14" i="7"/>
  <c r="D15" i="7"/>
  <c r="C13" i="7"/>
  <c r="C14" i="7"/>
  <c r="C15" i="7"/>
  <c r="B13" i="7"/>
  <c r="B15" i="7" s="1"/>
  <c r="B14" i="7"/>
  <c r="E10" i="7"/>
  <c r="E12" i="7" s="1"/>
  <c r="E11" i="7"/>
  <c r="D10" i="7"/>
  <c r="D11" i="7"/>
  <c r="D12" i="7"/>
  <c r="C10" i="7"/>
  <c r="C11" i="7"/>
  <c r="C12" i="7"/>
  <c r="B10" i="7"/>
  <c r="B12" i="7" s="1"/>
  <c r="B11" i="7"/>
  <c r="F11" i="6"/>
  <c r="G11" i="2"/>
  <c r="J15" i="6"/>
  <c r="G12" i="2"/>
  <c r="G12" i="6"/>
  <c r="F10" i="6"/>
  <c r="J10" i="6"/>
  <c r="J11" i="6"/>
  <c r="J22" i="6" s="1"/>
  <c r="J12" i="6"/>
  <c r="J13" i="6"/>
  <c r="J14" i="6"/>
  <c r="J16" i="6"/>
  <c r="J17" i="6"/>
  <c r="J18" i="6"/>
  <c r="J19" i="6"/>
  <c r="J20" i="6"/>
  <c r="J21" i="6"/>
  <c r="I10" i="6"/>
  <c r="I11" i="6"/>
  <c r="I22" i="6" s="1"/>
  <c r="I12" i="6"/>
  <c r="I13" i="6"/>
  <c r="I14" i="6"/>
  <c r="I15" i="6"/>
  <c r="I16" i="6"/>
  <c r="I17" i="6"/>
  <c r="I18" i="6"/>
  <c r="I19" i="6"/>
  <c r="I20" i="6"/>
  <c r="I21" i="6"/>
  <c r="H10" i="6"/>
  <c r="H11" i="6"/>
  <c r="H12" i="6"/>
  <c r="H13" i="6"/>
  <c r="H14" i="6"/>
  <c r="H22" i="6" s="1"/>
  <c r="H15" i="6"/>
  <c r="H16" i="6"/>
  <c r="H17" i="6"/>
  <c r="H18" i="6"/>
  <c r="H19" i="6"/>
  <c r="H20" i="6"/>
  <c r="H21" i="6"/>
  <c r="G10" i="6"/>
  <c r="G22" i="6" s="1"/>
  <c r="G11" i="6"/>
  <c r="G13" i="6"/>
  <c r="G14" i="6"/>
  <c r="G15" i="6"/>
  <c r="G16" i="6"/>
  <c r="G17" i="6"/>
  <c r="G18" i="6"/>
  <c r="G19" i="6"/>
  <c r="G20" i="6"/>
  <c r="G21" i="6"/>
  <c r="F12" i="6"/>
  <c r="F22" i="6" s="1"/>
  <c r="F13" i="6"/>
  <c r="F14" i="6"/>
  <c r="F15" i="6"/>
  <c r="F16" i="6"/>
  <c r="F17" i="6"/>
  <c r="F18" i="6"/>
  <c r="F19" i="6"/>
  <c r="F20" i="6"/>
  <c r="F21" i="6"/>
  <c r="E19" i="6"/>
  <c r="E20" i="6"/>
  <c r="E21" i="6"/>
  <c r="D19" i="6"/>
  <c r="D20" i="6"/>
  <c r="D21" i="6"/>
  <c r="C19" i="6"/>
  <c r="C21" i="6" s="1"/>
  <c r="C20" i="6"/>
  <c r="B19" i="6"/>
  <c r="B21" i="6" s="1"/>
  <c r="B20" i="6"/>
  <c r="E16" i="6"/>
  <c r="E17" i="6"/>
  <c r="E18" i="6"/>
  <c r="D16" i="6"/>
  <c r="D17" i="6"/>
  <c r="D18" i="6"/>
  <c r="C16" i="6"/>
  <c r="C18" i="6" s="1"/>
  <c r="C17" i="6"/>
  <c r="B16" i="6"/>
  <c r="B18" i="6" s="1"/>
  <c r="B17" i="6"/>
  <c r="E13" i="6"/>
  <c r="E14" i="6"/>
  <c r="E15" i="6"/>
  <c r="D13" i="6"/>
  <c r="D14" i="6"/>
  <c r="D15" i="6"/>
  <c r="C13" i="6"/>
  <c r="C15" i="6" s="1"/>
  <c r="C14" i="6"/>
  <c r="B13" i="6"/>
  <c r="B15" i="6" s="1"/>
  <c r="B14" i="6"/>
  <c r="E10" i="6"/>
  <c r="E11" i="6"/>
  <c r="E12" i="6"/>
  <c r="D10" i="6"/>
  <c r="D11" i="6"/>
  <c r="D12" i="6"/>
  <c r="C10" i="6"/>
  <c r="C12" i="6" s="1"/>
  <c r="C11" i="6"/>
  <c r="B10" i="6"/>
  <c r="B12" i="6" s="1"/>
  <c r="B11" i="6"/>
  <c r="J10" i="5"/>
  <c r="J22" i="5" s="1"/>
  <c r="J11" i="5"/>
  <c r="J12" i="5"/>
  <c r="J13" i="5"/>
  <c r="J14" i="5"/>
  <c r="J15" i="5"/>
  <c r="J16" i="5"/>
  <c r="J17" i="5"/>
  <c r="J18" i="5"/>
  <c r="J19" i="5"/>
  <c r="J20" i="5"/>
  <c r="J21" i="5"/>
  <c r="I10" i="5"/>
  <c r="I11" i="5"/>
  <c r="I12" i="5"/>
  <c r="I13" i="5"/>
  <c r="I14" i="5"/>
  <c r="I15" i="5"/>
  <c r="I22" i="5" s="1"/>
  <c r="I16" i="5"/>
  <c r="I17" i="5"/>
  <c r="I18" i="5"/>
  <c r="I19" i="5"/>
  <c r="I20" i="5"/>
  <c r="I21" i="5"/>
  <c r="H10" i="5"/>
  <c r="H22" i="5" s="1"/>
  <c r="H11" i="5"/>
  <c r="H12" i="5"/>
  <c r="H13" i="5"/>
  <c r="H14" i="5"/>
  <c r="H15" i="5"/>
  <c r="H16" i="5"/>
  <c r="H17" i="5"/>
  <c r="H18" i="5"/>
  <c r="H19" i="5"/>
  <c r="H20" i="5"/>
  <c r="H21" i="5"/>
  <c r="G10" i="5"/>
  <c r="G11" i="5"/>
  <c r="G22" i="5" s="1"/>
  <c r="G12" i="5"/>
  <c r="G13" i="5"/>
  <c r="G14" i="5"/>
  <c r="G15" i="5"/>
  <c r="G16" i="5"/>
  <c r="G17" i="5"/>
  <c r="G18" i="5"/>
  <c r="G19" i="5"/>
  <c r="G20" i="5"/>
  <c r="G21" i="5"/>
  <c r="F10" i="5"/>
  <c r="F11" i="5"/>
  <c r="F12" i="5"/>
  <c r="F22" i="5" s="1"/>
  <c r="F13" i="5"/>
  <c r="F14" i="5"/>
  <c r="F15" i="5"/>
  <c r="F16" i="5"/>
  <c r="F17" i="5"/>
  <c r="F18" i="5"/>
  <c r="F19" i="5"/>
  <c r="F20" i="5"/>
  <c r="F21" i="5"/>
  <c r="E19" i="5"/>
  <c r="E21" i="5" s="1"/>
  <c r="E20" i="5"/>
  <c r="D19" i="5"/>
  <c r="D20" i="5"/>
  <c r="D21" i="5"/>
  <c r="C19" i="5"/>
  <c r="C20" i="5"/>
  <c r="C21" i="5"/>
  <c r="B19" i="5"/>
  <c r="B21" i="5" s="1"/>
  <c r="B20" i="5"/>
  <c r="E16" i="5"/>
  <c r="E18" i="5" s="1"/>
  <c r="E17" i="5"/>
  <c r="D16" i="5"/>
  <c r="D17" i="5"/>
  <c r="D18" i="5"/>
  <c r="C16" i="5"/>
  <c r="C17" i="5"/>
  <c r="C18" i="5"/>
  <c r="B16" i="5"/>
  <c r="B18" i="5" s="1"/>
  <c r="B17" i="5"/>
  <c r="E13" i="5"/>
  <c r="E15" i="5" s="1"/>
  <c r="E14" i="5"/>
  <c r="D13" i="5"/>
  <c r="D14" i="5"/>
  <c r="D15" i="5"/>
  <c r="C13" i="5"/>
  <c r="C14" i="5"/>
  <c r="C15" i="5"/>
  <c r="B13" i="5"/>
  <c r="B15" i="5" s="1"/>
  <c r="B14" i="5"/>
  <c r="E10" i="5"/>
  <c r="E12" i="5" s="1"/>
  <c r="E11" i="5"/>
  <c r="D10" i="5"/>
  <c r="D11" i="5"/>
  <c r="D12" i="5"/>
  <c r="C10" i="5"/>
  <c r="C11" i="5"/>
  <c r="C12" i="5"/>
  <c r="B10" i="5"/>
  <c r="B12" i="5" s="1"/>
  <c r="B11" i="5"/>
  <c r="J10" i="4"/>
  <c r="J11" i="4"/>
  <c r="J22" i="4" s="1"/>
  <c r="J12" i="4"/>
  <c r="J16" i="4"/>
  <c r="J17" i="4"/>
  <c r="J18" i="4"/>
  <c r="J19" i="4"/>
  <c r="J20" i="4"/>
  <c r="J21" i="4"/>
  <c r="I10" i="4"/>
  <c r="I11" i="4"/>
  <c r="I12" i="4"/>
  <c r="I22" i="4" s="1"/>
  <c r="I13" i="4"/>
  <c r="I14" i="4"/>
  <c r="I15" i="4"/>
  <c r="I16" i="4"/>
  <c r="I17" i="4"/>
  <c r="I18" i="4"/>
  <c r="I19" i="4"/>
  <c r="I20" i="4"/>
  <c r="I21" i="4"/>
  <c r="H10" i="4"/>
  <c r="H22" i="4" s="1"/>
  <c r="H11" i="4"/>
  <c r="H12" i="4"/>
  <c r="H13" i="4"/>
  <c r="H14" i="4"/>
  <c r="H15" i="4"/>
  <c r="H16" i="4"/>
  <c r="H17" i="4"/>
  <c r="H18" i="4"/>
  <c r="H19" i="4"/>
  <c r="H20" i="4"/>
  <c r="H21" i="4"/>
  <c r="G10" i="4"/>
  <c r="G11" i="4"/>
  <c r="G12" i="4"/>
  <c r="G13" i="4"/>
  <c r="G14" i="4"/>
  <c r="G22" i="4" s="1"/>
  <c r="G15" i="4"/>
  <c r="G16" i="4"/>
  <c r="G17" i="4"/>
  <c r="G18" i="4"/>
  <c r="G19" i="4"/>
  <c r="G20" i="4"/>
  <c r="G21" i="4"/>
  <c r="F10" i="4"/>
  <c r="F22" i="4" s="1"/>
  <c r="F11" i="4"/>
  <c r="F12" i="4"/>
  <c r="F13" i="4"/>
  <c r="F14" i="4"/>
  <c r="F15" i="4"/>
  <c r="F16" i="4"/>
  <c r="F17" i="4"/>
  <c r="F18" i="4"/>
  <c r="F19" i="4"/>
  <c r="F20" i="4"/>
  <c r="F21" i="4"/>
  <c r="E19" i="4"/>
  <c r="E20" i="4"/>
  <c r="E21" i="4"/>
  <c r="D19" i="4"/>
  <c r="D21" i="4" s="1"/>
  <c r="D20" i="4"/>
  <c r="C19" i="4"/>
  <c r="C21" i="4" s="1"/>
  <c r="C20" i="4"/>
  <c r="B19" i="4"/>
  <c r="B20" i="4"/>
  <c r="B21" i="4"/>
  <c r="E16" i="4"/>
  <c r="E17" i="4"/>
  <c r="E18" i="4"/>
  <c r="D16" i="4"/>
  <c r="D18" i="4" s="1"/>
  <c r="D17" i="4"/>
  <c r="C16" i="4"/>
  <c r="C18" i="4" s="1"/>
  <c r="C17" i="4"/>
  <c r="B16" i="4"/>
  <c r="B17" i="4"/>
  <c r="B18" i="4"/>
  <c r="E13" i="4"/>
  <c r="E14" i="4"/>
  <c r="E15" i="4"/>
  <c r="D13" i="4"/>
  <c r="D15" i="4" s="1"/>
  <c r="D14" i="4"/>
  <c r="C13" i="4"/>
  <c r="C15" i="4" s="1"/>
  <c r="C14" i="4"/>
  <c r="B13" i="4"/>
  <c r="B14" i="4"/>
  <c r="B15" i="4"/>
  <c r="E10" i="4"/>
  <c r="E11" i="4"/>
  <c r="E12" i="4"/>
  <c r="D10" i="4"/>
  <c r="D12" i="4" s="1"/>
  <c r="D11" i="4"/>
  <c r="C10" i="4"/>
  <c r="C12" i="4" s="1"/>
  <c r="C11" i="4"/>
  <c r="B10" i="4"/>
  <c r="B11" i="4"/>
  <c r="B12" i="4"/>
  <c r="D21" i="2"/>
  <c r="E21" i="2"/>
  <c r="B15" i="2"/>
  <c r="E11" i="2"/>
  <c r="E13" i="2"/>
  <c r="E14" i="2"/>
  <c r="E15" i="2" s="1"/>
  <c r="E16" i="2"/>
  <c r="E18" i="2" s="1"/>
  <c r="E17" i="2"/>
  <c r="E19" i="2"/>
  <c r="E20" i="2"/>
  <c r="D11" i="2"/>
  <c r="D13" i="2"/>
  <c r="D14" i="2"/>
  <c r="D15" i="2" s="1"/>
  <c r="D16" i="2"/>
  <c r="D18" i="2" s="1"/>
  <c r="D17" i="2"/>
  <c r="D19" i="2"/>
  <c r="D20" i="2"/>
  <c r="B11" i="2"/>
  <c r="B13" i="2"/>
  <c r="B14" i="2"/>
  <c r="B16" i="2"/>
  <c r="B17" i="2"/>
  <c r="B18" i="2" s="1"/>
  <c r="B19" i="2"/>
  <c r="B21" i="2" s="1"/>
  <c r="B20" i="2"/>
  <c r="C11" i="2"/>
  <c r="C13" i="2"/>
  <c r="C15" i="2" s="1"/>
  <c r="C14" i="2"/>
  <c r="C16" i="2"/>
  <c r="C18" i="2" s="1"/>
  <c r="C17" i="2"/>
  <c r="C19" i="2"/>
  <c r="C21" i="2" s="1"/>
  <c r="C20" i="2"/>
  <c r="C10" i="2"/>
  <c r="C12" i="2" s="1"/>
  <c r="J16" i="2"/>
  <c r="J17" i="2"/>
  <c r="J18" i="2"/>
  <c r="J19" i="2"/>
  <c r="J20" i="2"/>
  <c r="J21" i="2"/>
  <c r="I16" i="2"/>
  <c r="I22" i="2" s="1"/>
  <c r="I17" i="2"/>
  <c r="I18" i="2"/>
  <c r="I19" i="2"/>
  <c r="I20" i="2"/>
  <c r="I21" i="2"/>
  <c r="H16" i="2"/>
  <c r="H17" i="2"/>
  <c r="H18" i="2"/>
  <c r="H19" i="2"/>
  <c r="H20" i="2"/>
  <c r="H21" i="2"/>
  <c r="J11" i="2"/>
  <c r="J12" i="2"/>
  <c r="J13" i="2"/>
  <c r="J14" i="2"/>
  <c r="J15" i="2"/>
  <c r="J22" i="2" s="1"/>
  <c r="I11" i="2"/>
  <c r="I12" i="2"/>
  <c r="I13" i="2"/>
  <c r="I14" i="2"/>
  <c r="I15" i="2"/>
  <c r="H11" i="2"/>
  <c r="H22" i="2" s="1"/>
  <c r="H12" i="2"/>
  <c r="H13" i="2"/>
  <c r="H14" i="2"/>
  <c r="H15" i="2"/>
  <c r="J10" i="2"/>
  <c r="I10" i="2"/>
  <c r="H10" i="2"/>
  <c r="G16" i="2"/>
  <c r="G17" i="2"/>
  <c r="G18" i="2"/>
  <c r="G19" i="2"/>
  <c r="G20" i="2"/>
  <c r="G21" i="2"/>
  <c r="G10" i="2"/>
  <c r="G22" i="2" s="1"/>
  <c r="F11" i="2"/>
  <c r="F12" i="2"/>
  <c r="F13" i="2"/>
  <c r="F14" i="2"/>
  <c r="F15" i="2"/>
  <c r="F16" i="2"/>
  <c r="F17" i="2"/>
  <c r="F18" i="2"/>
  <c r="F19" i="2"/>
  <c r="F20" i="2"/>
  <c r="F21" i="2"/>
  <c r="F10" i="2"/>
  <c r="F22" i="2" s="1"/>
  <c r="E10" i="2"/>
  <c r="E12" i="2" s="1"/>
  <c r="D10" i="2"/>
  <c r="D12" i="2" s="1"/>
  <c r="B10" i="2"/>
  <c r="B1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2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5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8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  <comment ref="A21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2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5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8" authorId="0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  <comment ref="A21" authorId="0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2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5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8" authorId="0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  <comment ref="A21" authorId="0" shapeId="0" xr:uid="{00000000-0006-0000-0400-000004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2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5" authorId="0" shapeId="0" xr:uid="{00000000-0006-0000-05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8" authorId="0" shapeId="0" xr:uid="{00000000-0006-0000-0500-000003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  <comment ref="A21" authorId="0" shapeId="0" xr:uid="{00000000-0006-0000-0500-000004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2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8" authorId="0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  <comment ref="A21" authorId="0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2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5" authorId="0" shapeId="0" xr:uid="{00000000-0006-0000-07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8" authorId="0" shapeId="0" xr:uid="{00000000-0006-0000-0700-000003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  <comment ref="A21" authorId="0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2" authorId="0" shapeId="0" xr:uid="{00000000-0006-0000-08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5" authorId="0" shapeId="0" xr:uid="{00000000-0006-0000-08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8" authorId="0" shapeId="0" xr:uid="{00000000-0006-0000-0800-000003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  <comment ref="A21" authorId="0" shapeId="0" xr:uid="{00000000-0006-0000-0800-000004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2" authorId="0" shapeId="0" xr:uid="{00000000-0006-0000-09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5" authorId="0" shapeId="0" xr:uid="{00000000-0006-0000-09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8" authorId="0" shapeId="0" xr:uid="{00000000-0006-0000-0900-000003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  <comment ref="A21" authorId="0" shapeId="0" xr:uid="{00000000-0006-0000-0900-000004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</commentList>
</comments>
</file>

<file path=xl/sharedStrings.xml><?xml version="1.0" encoding="utf-8"?>
<sst xmlns="http://schemas.openxmlformats.org/spreadsheetml/2006/main" count="863" uniqueCount="174">
  <si>
    <t>No.</t>
  </si>
  <si>
    <t>Document Type</t>
  </si>
  <si>
    <t>Company Code</t>
  </si>
  <si>
    <t>Document Date</t>
  </si>
  <si>
    <t>Posting Date</t>
  </si>
  <si>
    <t>Currency</t>
  </si>
  <si>
    <t>Exchange Rate</t>
  </si>
  <si>
    <t>Ledger Group</t>
  </si>
  <si>
    <t>Reference</t>
  </si>
  <si>
    <t>Header Text</t>
  </si>
  <si>
    <t>Posting Key</t>
  </si>
  <si>
    <t>Account Number</t>
  </si>
  <si>
    <t>Vendor Number</t>
  </si>
  <si>
    <t>Asset Number</t>
  </si>
  <si>
    <t>Asset Subnumber</t>
  </si>
  <si>
    <t>Customer Number</t>
  </si>
  <si>
    <t>Transaction Type</t>
  </si>
  <si>
    <t>SGL Indicator</t>
  </si>
  <si>
    <t>OC Amount</t>
  </si>
  <si>
    <t>FC Amount</t>
  </si>
  <si>
    <t>RC Amount</t>
  </si>
  <si>
    <t>Tax Code</t>
  </si>
  <si>
    <t>Tax Base</t>
  </si>
  <si>
    <t>Tax Amount</t>
  </si>
  <si>
    <t>Profit Center</t>
  </si>
  <si>
    <t>Segment</t>
  </si>
  <si>
    <t>Local Fund Code</t>
  </si>
  <si>
    <t>Cost Center</t>
  </si>
  <si>
    <t>WBS</t>
  </si>
  <si>
    <t>Local Branch</t>
  </si>
  <si>
    <t>Plan Code</t>
  </si>
  <si>
    <t>Security ID</t>
  </si>
  <si>
    <t>Channel</t>
  </si>
  <si>
    <t>Business Area</t>
  </si>
  <si>
    <t>VEA Activity</t>
  </si>
  <si>
    <t>Reason Code</t>
  </si>
  <si>
    <t>Trading Partner</t>
  </si>
  <si>
    <t>HKOCI</t>
  </si>
  <si>
    <t>IFRS Code</t>
  </si>
  <si>
    <t>Assignment</t>
  </si>
  <si>
    <t>Text</t>
  </si>
  <si>
    <t>Reference Key 3</t>
  </si>
  <si>
    <t>上海</t>
  </si>
  <si>
    <t>营销员季度奖-QPB</t>
  </si>
  <si>
    <t>LC季度奖-QPB-LC</t>
  </si>
  <si>
    <t>营销员季度续保奖-KPB</t>
  </si>
  <si>
    <t>LC季度续保奖-KPB-LC</t>
  </si>
  <si>
    <t>DOM年度激励奖金-DOM</t>
  </si>
  <si>
    <t>直辖组年度管理奖-YPS</t>
  </si>
  <si>
    <t>营业部业绩增长奖-OPG</t>
  </si>
  <si>
    <t>营业部人力增长奖-OMG</t>
  </si>
  <si>
    <t>MDRT特别奖-MDRT</t>
  </si>
  <si>
    <t>费用科目</t>
    <phoneticPr fontId="5" type="noConversion"/>
  </si>
  <si>
    <t>应付科目</t>
    <phoneticPr fontId="5" type="noConversion"/>
  </si>
  <si>
    <t>预提周期</t>
    <phoneticPr fontId="5" type="noConversion"/>
  </si>
  <si>
    <t>Quarterly</t>
  </si>
  <si>
    <t>Yearly</t>
  </si>
  <si>
    <t>Total</t>
  </si>
  <si>
    <t>Code</t>
    <phoneticPr fontId="2" type="noConversion"/>
  </si>
  <si>
    <t>Name</t>
    <phoneticPr fontId="2" type="noConversion"/>
  </si>
  <si>
    <t>X2</t>
  </si>
  <si>
    <t>Company Code</t>
    <phoneticPr fontId="2" type="noConversion"/>
  </si>
  <si>
    <t>Local Branch</t>
    <phoneticPr fontId="2" type="noConversion"/>
  </si>
  <si>
    <t>010</t>
  </si>
  <si>
    <t>上海</t>
    <phoneticPr fontId="2" type="noConversion"/>
  </si>
  <si>
    <t>INS</t>
  </si>
  <si>
    <t>CN11</t>
    <phoneticPr fontId="2" type="noConversion"/>
  </si>
  <si>
    <t>020</t>
  </si>
  <si>
    <t>北京</t>
    <phoneticPr fontId="2" type="noConversion"/>
  </si>
  <si>
    <t>CN12</t>
    <phoneticPr fontId="2" type="noConversion"/>
  </si>
  <si>
    <t>030</t>
  </si>
  <si>
    <t>广州</t>
  </si>
  <si>
    <t>CN14</t>
    <phoneticPr fontId="2" type="noConversion"/>
  </si>
  <si>
    <t>X30</t>
  </si>
  <si>
    <t>广东虚拟本级</t>
  </si>
  <si>
    <t>031</t>
  </si>
  <si>
    <t>深圳</t>
  </si>
  <si>
    <t>CN17</t>
    <phoneticPr fontId="2" type="noConversion"/>
  </si>
  <si>
    <t>032</t>
  </si>
  <si>
    <t>东莞</t>
  </si>
  <si>
    <t>CN15</t>
    <phoneticPr fontId="2" type="noConversion"/>
  </si>
  <si>
    <t>033</t>
  </si>
  <si>
    <t>江门</t>
  </si>
  <si>
    <t>CN16</t>
    <phoneticPr fontId="2" type="noConversion"/>
  </si>
  <si>
    <t>034</t>
  </si>
  <si>
    <t>佛山</t>
  </si>
  <si>
    <t>035</t>
  </si>
  <si>
    <t>清远</t>
  </si>
  <si>
    <t>036</t>
  </si>
  <si>
    <t>汕头</t>
  </si>
  <si>
    <t>037</t>
  </si>
  <si>
    <t>肇庆</t>
  </si>
  <si>
    <t>038</t>
  </si>
  <si>
    <t>湛江</t>
  </si>
  <si>
    <t>039</t>
  </si>
  <si>
    <t>茂名</t>
  </si>
  <si>
    <t>03A</t>
  </si>
  <si>
    <t>中山</t>
  </si>
  <si>
    <t>03B</t>
  </si>
  <si>
    <t>珠海</t>
  </si>
  <si>
    <t>03C</t>
  </si>
  <si>
    <t>惠州</t>
  </si>
  <si>
    <t>03D</t>
    <phoneticPr fontId="14" type="noConversion"/>
  </si>
  <si>
    <t>韶关</t>
    <phoneticPr fontId="14" type="noConversion"/>
  </si>
  <si>
    <t>03E</t>
    <phoneticPr fontId="14" type="noConversion"/>
  </si>
  <si>
    <t>揭阳</t>
    <phoneticPr fontId="14" type="noConversion"/>
  </si>
  <si>
    <t>X40</t>
  </si>
  <si>
    <t>江苏虚拟本级</t>
  </si>
  <si>
    <t>CN13</t>
    <phoneticPr fontId="2" type="noConversion"/>
  </si>
  <si>
    <t>040</t>
  </si>
  <si>
    <t>南京</t>
  </si>
  <si>
    <t>041</t>
  </si>
  <si>
    <t>苏州</t>
  </si>
  <si>
    <t>042</t>
  </si>
  <si>
    <t>无锡</t>
  </si>
  <si>
    <t>043</t>
  </si>
  <si>
    <t>扬州</t>
  </si>
  <si>
    <t>044</t>
  </si>
  <si>
    <t>徐州</t>
  </si>
  <si>
    <t>045</t>
  </si>
  <si>
    <t>泰州</t>
  </si>
  <si>
    <t>046</t>
  </si>
  <si>
    <t>南通</t>
  </si>
  <si>
    <t>047</t>
  </si>
  <si>
    <t>常州</t>
  </si>
  <si>
    <t>048</t>
  </si>
  <si>
    <t>盐城</t>
  </si>
  <si>
    <t>049</t>
  </si>
  <si>
    <t>连云港</t>
  </si>
  <si>
    <t>04A</t>
    <phoneticPr fontId="14" type="noConversion"/>
  </si>
  <si>
    <t>镇江</t>
    <phoneticPr fontId="14" type="noConversion"/>
  </si>
  <si>
    <r>
      <rPr>
        <sz val="10"/>
        <rFont val="等线"/>
        <family val="2"/>
        <charset val="134"/>
      </rPr>
      <t>江苏</t>
    </r>
    <phoneticPr fontId="14" type="noConversion"/>
  </si>
  <si>
    <t>CN13</t>
    <phoneticPr fontId="14" type="noConversion"/>
  </si>
  <si>
    <t>广东</t>
    <phoneticPr fontId="14" type="noConversion"/>
  </si>
  <si>
    <t>CN14</t>
    <phoneticPr fontId="14" type="noConversion"/>
  </si>
  <si>
    <t>2018年度</t>
  </si>
  <si>
    <t>当月FYC</t>
  </si>
  <si>
    <t>当月RYC</t>
    <phoneticPr fontId="2" type="noConversion"/>
  </si>
  <si>
    <t>北京</t>
    <phoneticPr fontId="2" type="noConversion"/>
  </si>
  <si>
    <t>深圳</t>
    <phoneticPr fontId="2" type="noConversion"/>
  </si>
  <si>
    <t>广东</t>
    <phoneticPr fontId="2" type="noConversion"/>
  </si>
  <si>
    <t>佛山</t>
    <phoneticPr fontId="2" type="noConversion"/>
  </si>
  <si>
    <t>东莞</t>
    <phoneticPr fontId="2" type="noConversion"/>
  </si>
  <si>
    <t>江门</t>
    <phoneticPr fontId="2" type="noConversion"/>
  </si>
  <si>
    <t>江苏</t>
    <phoneticPr fontId="2" type="noConversion"/>
  </si>
  <si>
    <t>上海CN11</t>
    <phoneticPr fontId="2" type="noConversion"/>
  </si>
  <si>
    <t>SAP科目代码</t>
    <phoneticPr fontId="2" type="noConversion"/>
  </si>
  <si>
    <t>北京CN12</t>
    <phoneticPr fontId="2" type="noConversion"/>
  </si>
  <si>
    <t>深圳CN17</t>
    <phoneticPr fontId="2" type="noConversion"/>
  </si>
  <si>
    <t>广东CN14</t>
    <phoneticPr fontId="2" type="noConversion"/>
  </si>
  <si>
    <t>佛山CN14</t>
    <phoneticPr fontId="2" type="noConversion"/>
  </si>
  <si>
    <t>东莞CN15</t>
    <phoneticPr fontId="2" type="noConversion"/>
  </si>
  <si>
    <t>江门CN16</t>
    <phoneticPr fontId="2" type="noConversion"/>
  </si>
  <si>
    <t>江苏CN13</t>
    <phoneticPr fontId="2" type="noConversion"/>
  </si>
  <si>
    <t>CN11</t>
  </si>
  <si>
    <t>SA</t>
  </si>
  <si>
    <t>20190101</t>
  </si>
  <si>
    <t>CNY</t>
  </si>
  <si>
    <t>LN999</t>
  </si>
  <si>
    <t>L00</t>
  </si>
  <si>
    <t>CN00N1</t>
  </si>
  <si>
    <t>HK0A</t>
  </si>
  <si>
    <t>A01</t>
  </si>
  <si>
    <t>C010</t>
  </si>
  <si>
    <t>1901营销员季度奖-QPB</t>
  </si>
  <si>
    <t>1901LC季度奖-QPB-LC</t>
  </si>
  <si>
    <t>1901营销员季度续保奖-KPB</t>
  </si>
  <si>
    <t>1901LC季度续保奖-KPB-LC</t>
  </si>
  <si>
    <t>1901DOM年度激励奖金-DOM</t>
  </si>
  <si>
    <t>1901直辖组年度管理奖-YPS</t>
  </si>
  <si>
    <t>1901营业部业绩增长奖-OPG</t>
  </si>
  <si>
    <t>1901营业部人力增长奖-OMG</t>
  </si>
  <si>
    <t>1901MDRT特别奖-MDRT</t>
  </si>
  <si>
    <t>CN14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</si>
</sst>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 * #,##0.00_ ;_ * \-#,##0.00_ ;_ * &quot;-&quot;??_ ;_ @_ "/>
    <numFmt numFmtId="176" formatCode="yyyy/mm"/>
    <numFmt numFmtId="177" formatCode="dd\-mmm\-yyyy"/>
  </numFmts>
  <fonts count="2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name val="Times New Roman"/>
      <family val="1"/>
    </font>
    <font>
      <b/>
      <sz val="9"/>
      <name val="Arial"/>
      <family val="2"/>
    </font>
    <font>
      <sz val="11"/>
      <color theme="0"/>
      <name val="Arial Unicode MS"/>
      <family val="2"/>
      <charset val="134"/>
    </font>
    <font>
      <sz val="10"/>
      <name val="Times New Roman"/>
      <family val="1"/>
    </font>
    <font>
      <sz val="10"/>
      <name val="宋体"/>
      <family val="3"/>
      <charset val="134"/>
    </font>
    <font>
      <sz val="9"/>
      <color theme="1"/>
      <name val="Arial"/>
      <family val="2"/>
    </font>
    <font>
      <sz val="9"/>
      <name val="宋体"/>
      <family val="3"/>
      <charset val="134"/>
    </font>
    <font>
      <sz val="10"/>
      <name val="等线"/>
      <family val="2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>
      <alignment vertical="center"/>
    </xf>
    <xf numFmtId="0" fontId="8" fillId="0" borderId="0"/>
  </cellStyleXfs>
  <cellXfs count="51">
    <xf numFmtId="0" fontId="0" fillId="0" borderId="0" xfId="0"/>
    <xf numFmtId="0" fontId="0" fillId="2" borderId="1" xfId="0" applyFont="1" applyFill="1" applyBorder="1"/>
    <xf numFmtId="49" fontId="0" fillId="2" borderId="1" xfId="0" applyNumberFormat="1" applyFont="1" applyFill="1" applyBorder="1"/>
    <xf numFmtId="0" fontId="0" fillId="3" borderId="1" xfId="0" applyFont="1" applyFill="1" applyBorder="1"/>
    <xf numFmtId="2" fontId="0" fillId="2" borderId="1" xfId="0" applyNumberFormat="1" applyFont="1" applyFill="1" applyBorder="1"/>
    <xf numFmtId="0" fontId="0" fillId="4" borderId="1" xfId="0" applyFont="1" applyFill="1" applyBorder="1"/>
    <xf numFmtId="0" fontId="0" fillId="0" borderId="0" xfId="0" applyFont="1"/>
    <xf numFmtId="0" fontId="4" fillId="0" borderId="1" xfId="0" applyFont="1" applyBorder="1" applyAlignment="1">
      <alignment horizontal="left"/>
    </xf>
    <xf numFmtId="0" fontId="4" fillId="0" borderId="0" xfId="0" applyFont="1"/>
    <xf numFmtId="0" fontId="4" fillId="0" borderId="1" xfId="1" applyNumberFormat="1" applyFont="1" applyFill="1" applyBorder="1" applyAlignment="1">
      <alignment horizontal="left"/>
    </xf>
    <xf numFmtId="0" fontId="4" fillId="0" borderId="1" xfId="1" applyNumberFormat="1" applyFont="1" applyBorder="1" applyAlignment="1">
      <alignment horizontal="left"/>
    </xf>
    <xf numFmtId="0" fontId="4" fillId="0" borderId="0" xfId="0" applyNumberFormat="1" applyFont="1"/>
    <xf numFmtId="0" fontId="3" fillId="0" borderId="1" xfId="0" applyNumberFormat="1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3" fontId="4" fillId="0" borderId="1" xfId="1" applyFont="1" applyFill="1" applyBorder="1" applyAlignment="1">
      <alignment horizontal="left"/>
    </xf>
    <xf numFmtId="43" fontId="4" fillId="0" borderId="1" xfId="1" applyFont="1" applyBorder="1" applyAlignment="1">
      <alignment horizontal="left"/>
    </xf>
    <xf numFmtId="176" fontId="4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43" fontId="4" fillId="6" borderId="1" xfId="1" applyFont="1" applyFill="1" applyBorder="1" applyAlignment="1">
      <alignment horizontal="left"/>
    </xf>
    <xf numFmtId="0" fontId="0" fillId="2" borderId="1" xfId="0" applyFill="1" applyBorder="1"/>
    <xf numFmtId="0" fontId="9" fillId="2" borderId="1" xfId="2" applyFont="1" applyFill="1" applyBorder="1" applyAlignment="1">
      <alignment horizontal="left"/>
    </xf>
    <xf numFmtId="0" fontId="10" fillId="2" borderId="1" xfId="0" applyFont="1" applyFill="1" applyBorder="1"/>
    <xf numFmtId="177" fontId="11" fillId="0" borderId="1" xfId="0" applyNumberFormat="1" applyFont="1" applyFill="1" applyBorder="1" applyAlignment="1">
      <alignment vertical="center"/>
    </xf>
    <xf numFmtId="0" fontId="12" fillId="0" borderId="1" xfId="0" applyFont="1" applyFill="1" applyBorder="1" applyAlignment="1">
      <alignment vertical="center"/>
    </xf>
    <xf numFmtId="0" fontId="13" fillId="0" borderId="1" xfId="0" applyFont="1" applyBorder="1" applyAlignment="1">
      <alignment horizontal="left" vertical="center" wrapText="1"/>
    </xf>
    <xf numFmtId="0" fontId="11" fillId="0" borderId="1" xfId="0" applyFont="1" applyFill="1" applyBorder="1" applyAlignment="1">
      <alignment vertical="center"/>
    </xf>
    <xf numFmtId="0" fontId="11" fillId="0" borderId="1" xfId="0" quotePrefix="1" applyFont="1" applyFill="1" applyBorder="1" applyAlignment="1">
      <alignment vertical="center"/>
    </xf>
    <xf numFmtId="0" fontId="13" fillId="0" borderId="1" xfId="0" applyFont="1" applyFill="1" applyBorder="1" applyAlignment="1">
      <alignment horizontal="left" vertical="center" wrapText="1"/>
    </xf>
    <xf numFmtId="49" fontId="0" fillId="0" borderId="0" xfId="0" applyNumberFormat="1"/>
    <xf numFmtId="0" fontId="0" fillId="0" borderId="0" xfId="0" applyAlignment="1">
      <alignment horizontal="left"/>
    </xf>
    <xf numFmtId="176" fontId="4" fillId="0" borderId="1" xfId="0" applyNumberFormat="1" applyFont="1" applyFill="1" applyBorder="1" applyAlignment="1">
      <alignment horizontal="left"/>
    </xf>
    <xf numFmtId="0" fontId="4" fillId="0" borderId="0" xfId="0" applyFont="1" applyFill="1"/>
    <xf numFmtId="0" fontId="0" fillId="7" borderId="0" xfId="0" applyFill="1" applyAlignment="1">
      <alignment horizontal="left"/>
    </xf>
    <xf numFmtId="0" fontId="0" fillId="5" borderId="0" xfId="0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6" borderId="0" xfId="0" applyFont="1" applyFill="1" applyAlignment="1">
      <alignment horizontal="left"/>
    </xf>
    <xf numFmtId="0" fontId="0" fillId="6" borderId="0" xfId="0" applyFill="1" applyAlignment="1">
      <alignment horizontal="left"/>
    </xf>
    <xf numFmtId="0" fontId="17" fillId="6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0" fontId="0" fillId="0" borderId="0" xfId="0" applyNumberFormat="1" applyAlignment="1">
      <alignment horizontal="left"/>
    </xf>
    <xf numFmtId="10" fontId="17" fillId="0" borderId="0" xfId="0" applyNumberFormat="1" applyFont="1" applyAlignment="1">
      <alignment horizontal="left"/>
    </xf>
    <xf numFmtId="0" fontId="3" fillId="0" borderId="1" xfId="0" applyFont="1" applyFill="1" applyBorder="1" applyAlignment="1">
      <alignment horizontal="left" vertical="center"/>
    </xf>
    <xf numFmtId="176" fontId="4" fillId="3" borderId="1" xfId="0" applyNumberFormat="1" applyFont="1" applyFill="1" applyBorder="1" applyAlignment="1">
      <alignment horizontal="left"/>
    </xf>
    <xf numFmtId="43" fontId="4" fillId="3" borderId="1" xfId="1" applyFont="1" applyFill="1" applyBorder="1" applyAlignment="1">
      <alignment horizontal="left"/>
    </xf>
    <xf numFmtId="0" fontId="19" fillId="0" borderId="1" xfId="0" applyFont="1" applyFill="1" applyBorder="1" applyAlignment="1">
      <alignment horizontal="left" vertical="center"/>
    </xf>
    <xf numFmtId="10" fontId="20" fillId="0" borderId="0" xfId="0" applyNumberFormat="1" applyFont="1" applyAlignment="1">
      <alignment horizontal="left"/>
    </xf>
    <xf numFmtId="0" fontId="0" fillId="5" borderId="0" xfId="0" applyFont="1" applyFill="1" applyAlignment="1">
      <alignment horizontal="left"/>
    </xf>
    <xf numFmtId="0" fontId="17" fillId="5" borderId="0" xfId="0" applyFont="1" applyFill="1" applyAlignment="1">
      <alignment horizontal="left"/>
    </xf>
    <xf numFmtId="10" fontId="0" fillId="0" borderId="0" xfId="0" applyNumberFormat="1" applyFill="1" applyAlignment="1">
      <alignment horizontal="left"/>
    </xf>
    <xf numFmtId="0" fontId="18" fillId="9" borderId="2" xfId="0" applyFont="1" applyFill="1" applyBorder="1" applyAlignment="1">
      <alignment horizontal="left" vertical="center"/>
    </xf>
    <xf numFmtId="0" fontId="18" fillId="9" borderId="0" xfId="0" applyFont="1" applyFill="1" applyAlignment="1">
      <alignment horizontal="left" vertical="center"/>
    </xf>
  </cellXfs>
  <cellStyles count="3">
    <cellStyle name="Comma" xfId="1" builtinId="3"/>
    <cellStyle name="Normal" xfId="0" builtinId="0"/>
    <cellStyle name="常规_SunMaster1212" xfId="2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营销员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38"/>
  <sheetViews>
    <sheetView workbookViewId="0">
      <pane ySplit="1" topLeftCell="A2" activePane="bottomLeft" state="frozen"/>
      <selection pane="bottomLeft" activeCell="G20" sqref="G20"/>
    </sheetView>
  </sheetViews>
  <sheetFormatPr defaultRowHeight="14.25"/>
  <cols>
    <col min="4" max="5" width="9.5" style="28" bestFit="1" customWidth="1"/>
    <col min="12" max="12" width="12.125" customWidth="1"/>
    <col min="30" max="30" width="12.625" customWidth="1"/>
    <col min="41" max="41" width="28" bestFit="1" customWidth="1"/>
  </cols>
  <sheetData>
    <row r="1" spans="1:42" ht="60.75" customHeight="1"/>
    <row r="2" spans="1:42" s="6" customFormat="1">
      <c r="A2" s="1" t="s">
        <v>0</v>
      </c>
      <c r="B2" s="1" t="s">
        <v>1</v>
      </c>
      <c r="C2" s="1" t="s">
        <v>2</v>
      </c>
      <c r="D2" s="2" t="s">
        <v>3</v>
      </c>
      <c r="E2" s="2" t="s">
        <v>4</v>
      </c>
      <c r="F2" s="1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4" t="s">
        <v>18</v>
      </c>
      <c r="T2" s="4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1" t="s">
        <v>24</v>
      </c>
      <c r="Z2" s="1" t="s">
        <v>25</v>
      </c>
      <c r="AA2" s="1" t="s">
        <v>26</v>
      </c>
      <c r="AB2" s="3" t="s">
        <v>27</v>
      </c>
      <c r="AC2" s="3" t="s">
        <v>28</v>
      </c>
      <c r="AD2" s="1" t="s">
        <v>29</v>
      </c>
      <c r="AE2" s="5" t="s">
        <v>30</v>
      </c>
      <c r="AF2" s="5" t="s">
        <v>31</v>
      </c>
      <c r="AG2" s="5" t="s">
        <v>32</v>
      </c>
      <c r="AH2" s="3" t="s">
        <v>33</v>
      </c>
      <c r="AI2" s="5" t="s">
        <v>34</v>
      </c>
      <c r="AJ2" s="3" t="s">
        <v>35</v>
      </c>
      <c r="AK2" s="3" t="s">
        <v>36</v>
      </c>
      <c r="AL2" s="1" t="s">
        <v>37</v>
      </c>
      <c r="AM2" s="5" t="s">
        <v>38</v>
      </c>
      <c r="AN2" s="3" t="s">
        <v>39</v>
      </c>
      <c r="AO2" s="1" t="s">
        <v>40</v>
      </c>
      <c r="AP2" s="3" t="s">
        <v>41</v>
      </c>
    </row>
    <row r="3" spans="1:42">
      <c r="A3">
        <v>1</v>
      </c>
      <c r="B3" t="s">
        <v>155</v>
      </c>
      <c r="C3" t="s">
        <v>154</v>
      </c>
      <c r="D3" s="28" t="s">
        <v>156</v>
      </c>
      <c r="E3" s="28" t="s">
        <v>156</v>
      </c>
      <c r="F3" t="s">
        <v>157</v>
      </c>
      <c r="K3">
        <v>40</v>
      </c>
      <c r="L3">
        <v>6900000730</v>
      </c>
      <c r="S3">
        <v>3947590</v>
      </c>
      <c r="T3">
        <v>3947590</v>
      </c>
      <c r="Y3" t="s">
        <v>158</v>
      </c>
      <c r="Z3" t="s">
        <v>159</v>
      </c>
      <c r="AA3" t="s">
        <v>160</v>
      </c>
      <c r="AD3">
        <v>11010000</v>
      </c>
      <c r="AG3" t="s">
        <v>162</v>
      </c>
      <c r="AH3" t="s">
        <v>163</v>
      </c>
      <c r="AL3" t="s">
        <v>161</v>
      </c>
      <c r="AO3" t="s">
        <v>164</v>
      </c>
    </row>
    <row r="4" spans="1:42">
      <c r="A4">
        <v>1</v>
      </c>
      <c r="B4" t="s">
        <v>155</v>
      </c>
      <c r="C4" t="s">
        <v>154</v>
      </c>
      <c r="D4" s="28" t="s">
        <v>156</v>
      </c>
      <c r="E4" s="28" t="s">
        <v>156</v>
      </c>
      <c r="F4" t="s">
        <v>157</v>
      </c>
      <c r="K4">
        <v>50</v>
      </c>
      <c r="L4">
        <v>4200000152</v>
      </c>
      <c r="S4">
        <v>3947590</v>
      </c>
      <c r="T4">
        <v>3947590</v>
      </c>
      <c r="Y4" t="s">
        <v>158</v>
      </c>
      <c r="Z4" t="s">
        <v>159</v>
      </c>
      <c r="AA4" t="s">
        <v>160</v>
      </c>
      <c r="AD4">
        <v>11010000</v>
      </c>
      <c r="AL4" t="s">
        <v>161</v>
      </c>
      <c r="AO4" t="s">
        <v>164</v>
      </c>
    </row>
    <row r="5" spans="1:42">
      <c r="A5">
        <v>1</v>
      </c>
      <c r="B5" t="s">
        <v>155</v>
      </c>
      <c r="C5" t="s">
        <v>154</v>
      </c>
      <c r="D5" s="28" t="s">
        <v>156</v>
      </c>
      <c r="E5" s="28" t="s">
        <v>156</v>
      </c>
      <c r="F5" t="s">
        <v>157</v>
      </c>
      <c r="K5">
        <v>40</v>
      </c>
      <c r="L5">
        <v>6900000732</v>
      </c>
      <c r="S5">
        <v>1204456</v>
      </c>
      <c r="T5">
        <v>1204456</v>
      </c>
      <c r="Y5" t="s">
        <v>158</v>
      </c>
      <c r="Z5" t="s">
        <v>159</v>
      </c>
      <c r="AA5" t="s">
        <v>160</v>
      </c>
      <c r="AD5">
        <v>11010000</v>
      </c>
      <c r="AG5" t="s">
        <v>162</v>
      </c>
      <c r="AH5" t="s">
        <v>163</v>
      </c>
      <c r="AL5" t="s">
        <v>161</v>
      </c>
      <c r="AO5" t="s">
        <v>165</v>
      </c>
    </row>
    <row r="6" spans="1:42">
      <c r="A6">
        <v>1</v>
      </c>
      <c r="B6" t="s">
        <v>155</v>
      </c>
      <c r="C6" t="s">
        <v>154</v>
      </c>
      <c r="D6" s="28" t="s">
        <v>156</v>
      </c>
      <c r="E6" s="28" t="s">
        <v>156</v>
      </c>
      <c r="F6" t="s">
        <v>157</v>
      </c>
      <c r="K6">
        <v>50</v>
      </c>
      <c r="L6">
        <v>4200000152</v>
      </c>
      <c r="S6">
        <v>1204456</v>
      </c>
      <c r="T6">
        <v>1204456</v>
      </c>
      <c r="Y6" t="s">
        <v>158</v>
      </c>
      <c r="Z6" t="s">
        <v>159</v>
      </c>
      <c r="AA6" t="s">
        <v>160</v>
      </c>
      <c r="AD6">
        <v>11010000</v>
      </c>
      <c r="AL6" t="s">
        <v>161</v>
      </c>
      <c r="AO6" t="s">
        <v>165</v>
      </c>
    </row>
    <row r="7" spans="1:42">
      <c r="A7">
        <v>1</v>
      </c>
      <c r="B7" t="s">
        <v>155</v>
      </c>
      <c r="C7" t="s">
        <v>154</v>
      </c>
      <c r="D7" s="28" t="s">
        <v>156</v>
      </c>
      <c r="E7" s="28" t="s">
        <v>156</v>
      </c>
      <c r="F7" t="s">
        <v>157</v>
      </c>
      <c r="K7">
        <v>40</v>
      </c>
      <c r="L7">
        <v>6900100360</v>
      </c>
      <c r="S7">
        <v>331196</v>
      </c>
      <c r="T7">
        <v>331196</v>
      </c>
      <c r="Y7" t="s">
        <v>158</v>
      </c>
      <c r="Z7" t="s">
        <v>159</v>
      </c>
      <c r="AA7" t="s">
        <v>160</v>
      </c>
      <c r="AD7">
        <v>11010000</v>
      </c>
      <c r="AG7" t="s">
        <v>162</v>
      </c>
      <c r="AH7" t="s">
        <v>163</v>
      </c>
      <c r="AL7" t="s">
        <v>161</v>
      </c>
      <c r="AO7" t="s">
        <v>166</v>
      </c>
    </row>
    <row r="8" spans="1:42">
      <c r="A8">
        <v>1</v>
      </c>
      <c r="B8" t="s">
        <v>155</v>
      </c>
      <c r="C8" t="s">
        <v>154</v>
      </c>
      <c r="D8" s="28" t="s">
        <v>156</v>
      </c>
      <c r="E8" s="28" t="s">
        <v>156</v>
      </c>
      <c r="F8" t="s">
        <v>157</v>
      </c>
      <c r="K8">
        <v>50</v>
      </c>
      <c r="L8">
        <v>4200000152</v>
      </c>
      <c r="S8">
        <v>331196</v>
      </c>
      <c r="T8">
        <v>331196</v>
      </c>
      <c r="Y8" t="s">
        <v>158</v>
      </c>
      <c r="Z8" t="s">
        <v>159</v>
      </c>
      <c r="AA8" t="s">
        <v>160</v>
      </c>
      <c r="AD8">
        <v>11010000</v>
      </c>
      <c r="AL8" t="s">
        <v>161</v>
      </c>
      <c r="AO8" t="s">
        <v>166</v>
      </c>
    </row>
    <row r="9" spans="1:42">
      <c r="A9">
        <v>1</v>
      </c>
      <c r="B9" t="s">
        <v>155</v>
      </c>
      <c r="C9" t="s">
        <v>154</v>
      </c>
      <c r="D9" s="28" t="s">
        <v>156</v>
      </c>
      <c r="E9" s="28" t="s">
        <v>156</v>
      </c>
      <c r="F9" t="s">
        <v>157</v>
      </c>
      <c r="K9">
        <v>40</v>
      </c>
      <c r="L9">
        <v>6900100361</v>
      </c>
      <c r="S9">
        <v>163266</v>
      </c>
      <c r="T9">
        <v>163266</v>
      </c>
      <c r="Y9" t="s">
        <v>158</v>
      </c>
      <c r="Z9" t="s">
        <v>159</v>
      </c>
      <c r="AA9" t="s">
        <v>160</v>
      </c>
      <c r="AD9">
        <v>11010000</v>
      </c>
      <c r="AG9" t="s">
        <v>162</v>
      </c>
      <c r="AH9" t="s">
        <v>163</v>
      </c>
      <c r="AL9" t="s">
        <v>161</v>
      </c>
      <c r="AO9" t="s">
        <v>167</v>
      </c>
    </row>
    <row r="10" spans="1:42">
      <c r="A10">
        <v>1</v>
      </c>
      <c r="B10" t="s">
        <v>155</v>
      </c>
      <c r="C10" t="s">
        <v>154</v>
      </c>
      <c r="D10" s="28" t="s">
        <v>156</v>
      </c>
      <c r="E10" s="28" t="s">
        <v>156</v>
      </c>
      <c r="F10" t="s">
        <v>157</v>
      </c>
      <c r="K10">
        <v>50</v>
      </c>
      <c r="L10">
        <v>4200000152</v>
      </c>
      <c r="S10">
        <v>163266</v>
      </c>
      <c r="T10">
        <v>163266</v>
      </c>
      <c r="Y10" t="s">
        <v>158</v>
      </c>
      <c r="Z10" t="s">
        <v>159</v>
      </c>
      <c r="AA10" t="s">
        <v>160</v>
      </c>
      <c r="AD10">
        <v>11010000</v>
      </c>
      <c r="AL10" t="s">
        <v>161</v>
      </c>
      <c r="AO10" t="s">
        <v>167</v>
      </c>
    </row>
    <row r="11" spans="1:42">
      <c r="A11">
        <v>1</v>
      </c>
      <c r="B11" t="s">
        <v>155</v>
      </c>
      <c r="C11" t="s">
        <v>154</v>
      </c>
      <c r="D11" s="28" t="s">
        <v>156</v>
      </c>
      <c r="E11" s="28" t="s">
        <v>156</v>
      </c>
      <c r="F11" t="s">
        <v>157</v>
      </c>
      <c r="K11">
        <v>40</v>
      </c>
      <c r="L11">
        <v>6910000018</v>
      </c>
      <c r="S11">
        <v>0</v>
      </c>
      <c r="T11">
        <v>0</v>
      </c>
      <c r="Y11" t="s">
        <v>158</v>
      </c>
      <c r="Z11" t="s">
        <v>159</v>
      </c>
      <c r="AA11" t="s">
        <v>160</v>
      </c>
      <c r="AD11">
        <v>11010000</v>
      </c>
      <c r="AG11" t="s">
        <v>162</v>
      </c>
      <c r="AH11" t="s">
        <v>163</v>
      </c>
      <c r="AL11" t="s">
        <v>161</v>
      </c>
      <c r="AO11" t="s">
        <v>168</v>
      </c>
    </row>
    <row r="12" spans="1:42">
      <c r="A12">
        <v>1</v>
      </c>
      <c r="B12" t="s">
        <v>155</v>
      </c>
      <c r="C12" t="s">
        <v>154</v>
      </c>
      <c r="D12" s="28" t="s">
        <v>156</v>
      </c>
      <c r="E12" s="28" t="s">
        <v>156</v>
      </c>
      <c r="F12" t="s">
        <v>157</v>
      </c>
      <c r="K12">
        <v>50</v>
      </c>
      <c r="L12">
        <v>4200000153</v>
      </c>
      <c r="S12">
        <v>0</v>
      </c>
      <c r="T12">
        <v>0</v>
      </c>
      <c r="Y12" t="s">
        <v>158</v>
      </c>
      <c r="Z12" t="s">
        <v>159</v>
      </c>
      <c r="AA12" t="s">
        <v>160</v>
      </c>
      <c r="AD12">
        <v>11010000</v>
      </c>
      <c r="AL12" t="s">
        <v>161</v>
      </c>
      <c r="AO12" t="s">
        <v>168</v>
      </c>
    </row>
    <row r="13" spans="1:42">
      <c r="A13">
        <v>1</v>
      </c>
      <c r="B13" t="s">
        <v>155</v>
      </c>
      <c r="C13" t="s">
        <v>154</v>
      </c>
      <c r="D13" s="28" t="s">
        <v>156</v>
      </c>
      <c r="E13" s="28" t="s">
        <v>156</v>
      </c>
      <c r="F13" t="s">
        <v>157</v>
      </c>
      <c r="K13">
        <v>40</v>
      </c>
      <c r="L13">
        <v>6910000016</v>
      </c>
      <c r="S13">
        <v>1513453</v>
      </c>
      <c r="T13">
        <v>1513453</v>
      </c>
      <c r="Y13" t="s">
        <v>158</v>
      </c>
      <c r="Z13" t="s">
        <v>159</v>
      </c>
      <c r="AA13" t="s">
        <v>160</v>
      </c>
      <c r="AD13">
        <v>11010000</v>
      </c>
      <c r="AG13" t="s">
        <v>162</v>
      </c>
      <c r="AH13" t="s">
        <v>163</v>
      </c>
      <c r="AL13" t="s">
        <v>161</v>
      </c>
      <c r="AO13" t="s">
        <v>169</v>
      </c>
    </row>
    <row r="14" spans="1:42">
      <c r="A14">
        <v>1</v>
      </c>
      <c r="B14" t="s">
        <v>155</v>
      </c>
      <c r="C14" t="s">
        <v>154</v>
      </c>
      <c r="D14" s="28" t="s">
        <v>156</v>
      </c>
      <c r="E14" s="28" t="s">
        <v>156</v>
      </c>
      <c r="F14" t="s">
        <v>157</v>
      </c>
      <c r="K14">
        <v>50</v>
      </c>
      <c r="L14">
        <v>4200000153</v>
      </c>
      <c r="S14">
        <v>1513453</v>
      </c>
      <c r="T14">
        <v>1513453</v>
      </c>
      <c r="Y14" t="s">
        <v>158</v>
      </c>
      <c r="Z14" t="s">
        <v>159</v>
      </c>
      <c r="AA14" t="s">
        <v>160</v>
      </c>
      <c r="AD14">
        <v>11010000</v>
      </c>
      <c r="AL14" t="s">
        <v>161</v>
      </c>
      <c r="AO14" t="s">
        <v>169</v>
      </c>
    </row>
    <row r="15" spans="1:42">
      <c r="A15">
        <v>1</v>
      </c>
      <c r="B15" t="s">
        <v>155</v>
      </c>
      <c r="C15" t="s">
        <v>154</v>
      </c>
      <c r="D15" s="28" t="s">
        <v>156</v>
      </c>
      <c r="E15" s="28" t="s">
        <v>156</v>
      </c>
      <c r="F15" t="s">
        <v>157</v>
      </c>
      <c r="K15">
        <v>40</v>
      </c>
      <c r="L15">
        <v>6910000012</v>
      </c>
      <c r="S15">
        <v>785104</v>
      </c>
      <c r="T15">
        <v>785104</v>
      </c>
      <c r="Y15" t="s">
        <v>158</v>
      </c>
      <c r="Z15" t="s">
        <v>159</v>
      </c>
      <c r="AA15" t="s">
        <v>160</v>
      </c>
      <c r="AD15">
        <v>11010000</v>
      </c>
      <c r="AG15" t="s">
        <v>162</v>
      </c>
      <c r="AH15" t="s">
        <v>163</v>
      </c>
      <c r="AL15" t="s">
        <v>161</v>
      </c>
      <c r="AO15" t="s">
        <v>170</v>
      </c>
    </row>
    <row r="16" spans="1:42">
      <c r="A16">
        <v>1</v>
      </c>
      <c r="B16" t="s">
        <v>155</v>
      </c>
      <c r="C16" t="s">
        <v>154</v>
      </c>
      <c r="D16" s="28" t="s">
        <v>156</v>
      </c>
      <c r="E16" s="28" t="s">
        <v>156</v>
      </c>
      <c r="F16" t="s">
        <v>157</v>
      </c>
      <c r="K16">
        <v>50</v>
      </c>
      <c r="L16">
        <v>4200000153</v>
      </c>
      <c r="S16">
        <v>785104</v>
      </c>
      <c r="T16">
        <v>785104</v>
      </c>
      <c r="Y16" t="s">
        <v>158</v>
      </c>
      <c r="Z16" t="s">
        <v>159</v>
      </c>
      <c r="AA16" t="s">
        <v>160</v>
      </c>
      <c r="AD16">
        <v>11010000</v>
      </c>
      <c r="AL16" t="s">
        <v>161</v>
      </c>
      <c r="AO16" t="s">
        <v>170</v>
      </c>
    </row>
    <row r="17" spans="1:41">
      <c r="A17">
        <v>1</v>
      </c>
      <c r="B17" t="s">
        <v>155</v>
      </c>
      <c r="C17" t="s">
        <v>154</v>
      </c>
      <c r="D17" s="28" t="s">
        <v>156</v>
      </c>
      <c r="E17" s="28" t="s">
        <v>156</v>
      </c>
      <c r="F17" t="s">
        <v>157</v>
      </c>
      <c r="K17">
        <v>40</v>
      </c>
      <c r="L17">
        <v>6910000013</v>
      </c>
      <c r="S17">
        <v>50448</v>
      </c>
      <c r="T17">
        <v>50448</v>
      </c>
      <c r="Y17" t="s">
        <v>158</v>
      </c>
      <c r="Z17" t="s">
        <v>159</v>
      </c>
      <c r="AA17" t="s">
        <v>160</v>
      </c>
      <c r="AD17">
        <v>11010000</v>
      </c>
      <c r="AG17" t="s">
        <v>162</v>
      </c>
      <c r="AH17" t="s">
        <v>163</v>
      </c>
      <c r="AL17" t="s">
        <v>161</v>
      </c>
      <c r="AO17" t="s">
        <v>171</v>
      </c>
    </row>
    <row r="18" spans="1:41">
      <c r="A18">
        <v>1</v>
      </c>
      <c r="B18" t="s">
        <v>155</v>
      </c>
      <c r="C18" t="s">
        <v>154</v>
      </c>
      <c r="D18" s="28" t="s">
        <v>156</v>
      </c>
      <c r="E18" s="28" t="s">
        <v>156</v>
      </c>
      <c r="F18" t="s">
        <v>157</v>
      </c>
      <c r="K18">
        <v>50</v>
      </c>
      <c r="L18">
        <v>4200000153</v>
      </c>
      <c r="S18">
        <v>50448</v>
      </c>
      <c r="T18">
        <v>50448</v>
      </c>
      <c r="Y18" t="s">
        <v>158</v>
      </c>
      <c r="Z18" t="s">
        <v>159</v>
      </c>
      <c r="AA18" t="s">
        <v>160</v>
      </c>
      <c r="AD18">
        <v>11010000</v>
      </c>
      <c r="AL18" t="s">
        <v>161</v>
      </c>
      <c r="AO18" t="s">
        <v>171</v>
      </c>
    </row>
    <row r="19" spans="1:41">
      <c r="A19">
        <v>1</v>
      </c>
      <c r="B19" t="s">
        <v>155</v>
      </c>
      <c r="C19" t="s">
        <v>154</v>
      </c>
      <c r="D19" s="28" t="s">
        <v>156</v>
      </c>
      <c r="E19" s="28" t="s">
        <v>156</v>
      </c>
      <c r="F19" t="s">
        <v>157</v>
      </c>
      <c r="K19">
        <v>40</v>
      </c>
      <c r="L19">
        <v>6910000001</v>
      </c>
      <c r="S19">
        <v>286925</v>
      </c>
      <c r="T19">
        <v>286925</v>
      </c>
      <c r="Y19" t="s">
        <v>158</v>
      </c>
      <c r="Z19" t="s">
        <v>159</v>
      </c>
      <c r="AA19" t="s">
        <v>160</v>
      </c>
      <c r="AD19">
        <v>11010000</v>
      </c>
      <c r="AG19" t="s">
        <v>162</v>
      </c>
      <c r="AH19" t="s">
        <v>163</v>
      </c>
      <c r="AL19" t="s">
        <v>161</v>
      </c>
      <c r="AO19" t="s">
        <v>172</v>
      </c>
    </row>
    <row r="20" spans="1:41">
      <c r="A20">
        <v>1</v>
      </c>
      <c r="B20" t="s">
        <v>155</v>
      </c>
      <c r="C20" t="s">
        <v>154</v>
      </c>
      <c r="D20" s="28" t="s">
        <v>156</v>
      </c>
      <c r="E20" s="28" t="s">
        <v>156</v>
      </c>
      <c r="F20" t="s">
        <v>157</v>
      </c>
      <c r="K20">
        <v>50</v>
      </c>
      <c r="L20">
        <v>4200000153</v>
      </c>
      <c r="S20">
        <v>286925</v>
      </c>
      <c r="T20">
        <v>286925</v>
      </c>
      <c r="Y20" t="s">
        <v>158</v>
      </c>
      <c r="Z20" t="s">
        <v>159</v>
      </c>
      <c r="AA20" t="s">
        <v>160</v>
      </c>
      <c r="AD20">
        <v>11010000</v>
      </c>
      <c r="AL20" t="s">
        <v>161</v>
      </c>
      <c r="AO20" t="s">
        <v>172</v>
      </c>
    </row>
    <row r="21" spans="1:41">
      <c r="A21">
        <v>2</v>
      </c>
      <c r="B21" t="s">
        <v>155</v>
      </c>
      <c r="C21" t="s">
        <v>173</v>
      </c>
      <c r="D21" s="28" t="s">
        <v>156</v>
      </c>
      <c r="E21" s="28" t="s">
        <v>156</v>
      </c>
      <c r="F21" t="s">
        <v>157</v>
      </c>
      <c r="K21">
        <v>40</v>
      </c>
      <c r="L21">
        <v>6900000730</v>
      </c>
      <c r="S21">
        <v>7492429</v>
      </c>
      <c r="T21">
        <v>7492429</v>
      </c>
      <c r="Y21" t="s">
        <v>158</v>
      </c>
      <c r="Z21" t="s">
        <v>159</v>
      </c>
      <c r="AA21" t="s">
        <v>160</v>
      </c>
      <c r="AD21">
        <v>14020000</v>
      </c>
      <c r="AG21" t="s">
        <v>162</v>
      </c>
      <c r="AH21" t="s">
        <v>163</v>
      </c>
      <c r="AL21" t="s">
        <v>161</v>
      </c>
      <c r="AO21" t="s">
        <v>164</v>
      </c>
    </row>
    <row r="22" spans="1:41">
      <c r="A22">
        <v>2</v>
      </c>
      <c r="B22" t="s">
        <v>155</v>
      </c>
      <c r="C22" t="s">
        <v>173</v>
      </c>
      <c r="D22" s="28" t="s">
        <v>156</v>
      </c>
      <c r="E22" s="28" t="s">
        <v>156</v>
      </c>
      <c r="F22" t="s">
        <v>157</v>
      </c>
      <c r="K22">
        <v>50</v>
      </c>
      <c r="L22">
        <v>4200000152</v>
      </c>
      <c r="S22">
        <v>7492429</v>
      </c>
      <c r="T22">
        <v>7492429</v>
      </c>
      <c r="Y22" t="s">
        <v>158</v>
      </c>
      <c r="Z22" t="s">
        <v>159</v>
      </c>
      <c r="AA22" t="s">
        <v>160</v>
      </c>
      <c r="AD22">
        <v>14020000</v>
      </c>
      <c r="AL22" t="s">
        <v>161</v>
      </c>
      <c r="AO22" t="s">
        <v>164</v>
      </c>
    </row>
    <row r="23" spans="1:41">
      <c r="A23">
        <v>2</v>
      </c>
      <c r="B23" t="s">
        <v>155</v>
      </c>
      <c r="C23" t="s">
        <v>173</v>
      </c>
      <c r="D23" s="28" t="s">
        <v>156</v>
      </c>
      <c r="E23" s="28" t="s">
        <v>156</v>
      </c>
      <c r="F23" t="s">
        <v>157</v>
      </c>
      <c r="K23">
        <v>40</v>
      </c>
      <c r="L23">
        <v>6900000732</v>
      </c>
      <c r="S23">
        <v>1313566</v>
      </c>
      <c r="T23">
        <v>1313566</v>
      </c>
      <c r="Y23" t="s">
        <v>158</v>
      </c>
      <c r="Z23" t="s">
        <v>159</v>
      </c>
      <c r="AA23" t="s">
        <v>160</v>
      </c>
      <c r="AD23">
        <v>14020000</v>
      </c>
      <c r="AG23" t="s">
        <v>162</v>
      </c>
      <c r="AH23" t="s">
        <v>163</v>
      </c>
      <c r="AL23" t="s">
        <v>161</v>
      </c>
      <c r="AO23" t="s">
        <v>165</v>
      </c>
    </row>
    <row r="24" spans="1:41">
      <c r="A24">
        <v>2</v>
      </c>
      <c r="B24" t="s">
        <v>155</v>
      </c>
      <c r="C24" t="s">
        <v>173</v>
      </c>
      <c r="D24" s="28" t="s">
        <v>156</v>
      </c>
      <c r="E24" s="28" t="s">
        <v>156</v>
      </c>
      <c r="F24" t="s">
        <v>157</v>
      </c>
      <c r="K24">
        <v>50</v>
      </c>
      <c r="L24">
        <v>4200000152</v>
      </c>
      <c r="S24">
        <v>1313566</v>
      </c>
      <c r="T24">
        <v>1313566</v>
      </c>
      <c r="Y24" t="s">
        <v>158</v>
      </c>
      <c r="Z24" t="s">
        <v>159</v>
      </c>
      <c r="AA24" t="s">
        <v>160</v>
      </c>
      <c r="AD24">
        <v>14020000</v>
      </c>
      <c r="AL24" t="s">
        <v>161</v>
      </c>
      <c r="AO24" t="s">
        <v>165</v>
      </c>
    </row>
    <row r="25" spans="1:41">
      <c r="A25">
        <v>2</v>
      </c>
      <c r="B25" t="s">
        <v>155</v>
      </c>
      <c r="C25" t="s">
        <v>173</v>
      </c>
      <c r="D25" s="28" t="s">
        <v>156</v>
      </c>
      <c r="E25" s="28" t="s">
        <v>156</v>
      </c>
      <c r="F25" t="s">
        <v>157</v>
      </c>
      <c r="K25">
        <v>40</v>
      </c>
      <c r="L25">
        <v>6900100360</v>
      </c>
      <c r="S25">
        <v>802307</v>
      </c>
      <c r="T25">
        <v>802307</v>
      </c>
      <c r="Y25" t="s">
        <v>158</v>
      </c>
      <c r="Z25" t="s">
        <v>159</v>
      </c>
      <c r="AA25" t="s">
        <v>160</v>
      </c>
      <c r="AD25">
        <v>14020000</v>
      </c>
      <c r="AG25" t="s">
        <v>162</v>
      </c>
      <c r="AH25" t="s">
        <v>163</v>
      </c>
      <c r="AL25" t="s">
        <v>161</v>
      </c>
      <c r="AO25" t="s">
        <v>166</v>
      </c>
    </row>
    <row r="26" spans="1:41">
      <c r="A26">
        <v>2</v>
      </c>
      <c r="B26" t="s">
        <v>155</v>
      </c>
      <c r="C26" t="s">
        <v>173</v>
      </c>
      <c r="D26" s="28" t="s">
        <v>156</v>
      </c>
      <c r="E26" s="28" t="s">
        <v>156</v>
      </c>
      <c r="F26" t="s">
        <v>157</v>
      </c>
      <c r="K26">
        <v>50</v>
      </c>
      <c r="L26">
        <v>4200000152</v>
      </c>
      <c r="S26">
        <v>802307</v>
      </c>
      <c r="T26">
        <v>802307</v>
      </c>
      <c r="Y26" t="s">
        <v>158</v>
      </c>
      <c r="Z26" t="s">
        <v>159</v>
      </c>
      <c r="AA26" t="s">
        <v>160</v>
      </c>
      <c r="AD26">
        <v>14020000</v>
      </c>
      <c r="AL26" t="s">
        <v>161</v>
      </c>
      <c r="AO26" t="s">
        <v>166</v>
      </c>
    </row>
    <row r="27" spans="1:41">
      <c r="A27">
        <v>2</v>
      </c>
      <c r="B27" t="s">
        <v>155</v>
      </c>
      <c r="C27" t="s">
        <v>173</v>
      </c>
      <c r="D27" s="28" t="s">
        <v>156</v>
      </c>
      <c r="E27" s="28" t="s">
        <v>156</v>
      </c>
      <c r="F27" t="s">
        <v>157</v>
      </c>
      <c r="K27">
        <v>40</v>
      </c>
      <c r="L27">
        <v>6900100361</v>
      </c>
      <c r="S27">
        <v>191120</v>
      </c>
      <c r="T27">
        <v>191120</v>
      </c>
      <c r="Y27" t="s">
        <v>158</v>
      </c>
      <c r="Z27" t="s">
        <v>159</v>
      </c>
      <c r="AA27" t="s">
        <v>160</v>
      </c>
      <c r="AD27">
        <v>14020000</v>
      </c>
      <c r="AG27" t="s">
        <v>162</v>
      </c>
      <c r="AH27" t="s">
        <v>163</v>
      </c>
      <c r="AL27" t="s">
        <v>161</v>
      </c>
      <c r="AO27" t="s">
        <v>167</v>
      </c>
    </row>
    <row r="28" spans="1:41">
      <c r="A28">
        <v>2</v>
      </c>
      <c r="B28" t="s">
        <v>155</v>
      </c>
      <c r="C28" t="s">
        <v>173</v>
      </c>
      <c r="D28" s="28" t="s">
        <v>156</v>
      </c>
      <c r="E28" s="28" t="s">
        <v>156</v>
      </c>
      <c r="F28" t="s">
        <v>157</v>
      </c>
      <c r="K28">
        <v>50</v>
      </c>
      <c r="L28">
        <v>4200000152</v>
      </c>
      <c r="S28">
        <v>191120</v>
      </c>
      <c r="T28">
        <v>191120</v>
      </c>
      <c r="Y28" t="s">
        <v>158</v>
      </c>
      <c r="Z28" t="s">
        <v>159</v>
      </c>
      <c r="AA28" t="s">
        <v>160</v>
      </c>
      <c r="AD28">
        <v>14020000</v>
      </c>
      <c r="AL28" t="s">
        <v>161</v>
      </c>
      <c r="AO28" t="s">
        <v>167</v>
      </c>
    </row>
    <row r="29" spans="1:41">
      <c r="A29">
        <v>2</v>
      </c>
      <c r="B29" t="s">
        <v>155</v>
      </c>
      <c r="C29" t="s">
        <v>173</v>
      </c>
      <c r="D29" s="28" t="s">
        <v>156</v>
      </c>
      <c r="E29" s="28" t="s">
        <v>156</v>
      </c>
      <c r="F29" t="s">
        <v>157</v>
      </c>
      <c r="K29">
        <v>40</v>
      </c>
      <c r="L29">
        <v>6910000018</v>
      </c>
      <c r="S29">
        <v>82895</v>
      </c>
      <c r="T29">
        <v>82895</v>
      </c>
      <c r="Y29" t="s">
        <v>158</v>
      </c>
      <c r="Z29" t="s">
        <v>159</v>
      </c>
      <c r="AA29" t="s">
        <v>160</v>
      </c>
      <c r="AD29">
        <v>14020000</v>
      </c>
      <c r="AG29" t="s">
        <v>162</v>
      </c>
      <c r="AH29" t="s">
        <v>163</v>
      </c>
      <c r="AL29" t="s">
        <v>161</v>
      </c>
      <c r="AO29" t="s">
        <v>168</v>
      </c>
    </row>
    <row r="30" spans="1:41">
      <c r="A30">
        <v>2</v>
      </c>
      <c r="B30" t="s">
        <v>155</v>
      </c>
      <c r="C30" t="s">
        <v>173</v>
      </c>
      <c r="D30" s="28" t="s">
        <v>156</v>
      </c>
      <c r="E30" s="28" t="s">
        <v>156</v>
      </c>
      <c r="F30" t="s">
        <v>157</v>
      </c>
      <c r="K30">
        <v>50</v>
      </c>
      <c r="L30">
        <v>4200000153</v>
      </c>
      <c r="S30">
        <v>82895</v>
      </c>
      <c r="T30">
        <v>82895</v>
      </c>
      <c r="Y30" t="s">
        <v>158</v>
      </c>
      <c r="Z30" t="s">
        <v>159</v>
      </c>
      <c r="AA30" t="s">
        <v>160</v>
      </c>
      <c r="AD30">
        <v>14020000</v>
      </c>
      <c r="AL30" t="s">
        <v>161</v>
      </c>
      <c r="AO30" t="s">
        <v>168</v>
      </c>
    </row>
    <row r="31" spans="1:41">
      <c r="A31">
        <v>2</v>
      </c>
      <c r="B31" t="s">
        <v>155</v>
      </c>
      <c r="C31" t="s">
        <v>173</v>
      </c>
      <c r="D31" s="28" t="s">
        <v>156</v>
      </c>
      <c r="E31" s="28" t="s">
        <v>156</v>
      </c>
      <c r="F31" t="s">
        <v>157</v>
      </c>
      <c r="K31">
        <v>40</v>
      </c>
      <c r="L31">
        <v>6910000016</v>
      </c>
      <c r="S31">
        <v>2652639</v>
      </c>
      <c r="T31">
        <v>2652639</v>
      </c>
      <c r="Y31" t="s">
        <v>158</v>
      </c>
      <c r="Z31" t="s">
        <v>159</v>
      </c>
      <c r="AA31" t="s">
        <v>160</v>
      </c>
      <c r="AD31">
        <v>14020000</v>
      </c>
      <c r="AG31" t="s">
        <v>162</v>
      </c>
      <c r="AH31" t="s">
        <v>163</v>
      </c>
      <c r="AL31" t="s">
        <v>161</v>
      </c>
      <c r="AO31" t="s">
        <v>169</v>
      </c>
    </row>
    <row r="32" spans="1:41">
      <c r="A32">
        <v>2</v>
      </c>
      <c r="B32" t="s">
        <v>155</v>
      </c>
      <c r="C32" t="s">
        <v>173</v>
      </c>
      <c r="D32" s="28" t="s">
        <v>156</v>
      </c>
      <c r="E32" s="28" t="s">
        <v>156</v>
      </c>
      <c r="F32" t="s">
        <v>157</v>
      </c>
      <c r="K32">
        <v>50</v>
      </c>
      <c r="L32">
        <v>4200000153</v>
      </c>
      <c r="S32">
        <v>2652639</v>
      </c>
      <c r="T32">
        <v>2652639</v>
      </c>
      <c r="Y32" t="s">
        <v>158</v>
      </c>
      <c r="Z32" t="s">
        <v>159</v>
      </c>
      <c r="AA32" t="s">
        <v>160</v>
      </c>
      <c r="AD32">
        <v>14020000</v>
      </c>
      <c r="AL32" t="s">
        <v>161</v>
      </c>
      <c r="AO32" t="s">
        <v>169</v>
      </c>
    </row>
    <row r="33" spans="1:41">
      <c r="A33">
        <v>2</v>
      </c>
      <c r="B33" t="s">
        <v>155</v>
      </c>
      <c r="C33" t="s">
        <v>173</v>
      </c>
      <c r="D33" s="28" t="s">
        <v>156</v>
      </c>
      <c r="E33" s="28" t="s">
        <v>156</v>
      </c>
      <c r="F33" t="s">
        <v>157</v>
      </c>
      <c r="K33">
        <v>40</v>
      </c>
      <c r="L33">
        <v>6910000012</v>
      </c>
      <c r="S33">
        <v>1351826</v>
      </c>
      <c r="T33">
        <v>1351826</v>
      </c>
      <c r="Y33" t="s">
        <v>158</v>
      </c>
      <c r="Z33" t="s">
        <v>159</v>
      </c>
      <c r="AA33" t="s">
        <v>160</v>
      </c>
      <c r="AD33">
        <v>14020000</v>
      </c>
      <c r="AG33" t="s">
        <v>162</v>
      </c>
      <c r="AH33" t="s">
        <v>163</v>
      </c>
      <c r="AL33" t="s">
        <v>161</v>
      </c>
      <c r="AO33" t="s">
        <v>170</v>
      </c>
    </row>
    <row r="34" spans="1:41">
      <c r="A34">
        <v>2</v>
      </c>
      <c r="B34" t="s">
        <v>155</v>
      </c>
      <c r="C34" t="s">
        <v>173</v>
      </c>
      <c r="D34" s="28" t="s">
        <v>156</v>
      </c>
      <c r="E34" s="28" t="s">
        <v>156</v>
      </c>
      <c r="F34" t="s">
        <v>157</v>
      </c>
      <c r="K34">
        <v>50</v>
      </c>
      <c r="L34">
        <v>4200000153</v>
      </c>
      <c r="S34">
        <v>1351826</v>
      </c>
      <c r="T34">
        <v>1351826</v>
      </c>
      <c r="Y34" t="s">
        <v>158</v>
      </c>
      <c r="Z34" t="s">
        <v>159</v>
      </c>
      <c r="AA34" t="s">
        <v>160</v>
      </c>
      <c r="AD34">
        <v>14020000</v>
      </c>
      <c r="AL34" t="s">
        <v>161</v>
      </c>
      <c r="AO34" t="s">
        <v>170</v>
      </c>
    </row>
    <row r="35" spans="1:41">
      <c r="A35">
        <v>2</v>
      </c>
      <c r="B35" t="s">
        <v>155</v>
      </c>
      <c r="C35" t="s">
        <v>173</v>
      </c>
      <c r="D35" s="28" t="s">
        <v>156</v>
      </c>
      <c r="E35" s="28" t="s">
        <v>156</v>
      </c>
      <c r="F35" t="s">
        <v>157</v>
      </c>
      <c r="K35">
        <v>40</v>
      </c>
      <c r="L35">
        <v>6910000013</v>
      </c>
      <c r="S35">
        <v>89271</v>
      </c>
      <c r="T35">
        <v>89271</v>
      </c>
      <c r="Y35" t="s">
        <v>158</v>
      </c>
      <c r="Z35" t="s">
        <v>159</v>
      </c>
      <c r="AA35" t="s">
        <v>160</v>
      </c>
      <c r="AD35">
        <v>14020000</v>
      </c>
      <c r="AG35" t="s">
        <v>162</v>
      </c>
      <c r="AH35" t="s">
        <v>163</v>
      </c>
      <c r="AL35" t="s">
        <v>161</v>
      </c>
      <c r="AO35" t="s">
        <v>171</v>
      </c>
    </row>
    <row r="36" spans="1:41">
      <c r="A36">
        <v>2</v>
      </c>
      <c r="B36" t="s">
        <v>155</v>
      </c>
      <c r="C36" t="s">
        <v>173</v>
      </c>
      <c r="D36" s="28" t="s">
        <v>156</v>
      </c>
      <c r="E36" s="28" t="s">
        <v>156</v>
      </c>
      <c r="F36" t="s">
        <v>157</v>
      </c>
      <c r="K36">
        <v>50</v>
      </c>
      <c r="L36">
        <v>4200000153</v>
      </c>
      <c r="S36">
        <v>89271</v>
      </c>
      <c r="T36">
        <v>89271</v>
      </c>
      <c r="Y36" t="s">
        <v>158</v>
      </c>
      <c r="Z36" t="s">
        <v>159</v>
      </c>
      <c r="AA36" t="s">
        <v>160</v>
      </c>
      <c r="AD36">
        <v>14020000</v>
      </c>
      <c r="AL36" t="s">
        <v>161</v>
      </c>
      <c r="AO36" t="s">
        <v>171</v>
      </c>
    </row>
    <row r="37" spans="1:41">
      <c r="A37">
        <v>2</v>
      </c>
      <c r="B37" t="s">
        <v>155</v>
      </c>
      <c r="C37" t="s">
        <v>173</v>
      </c>
      <c r="D37" s="28" t="s">
        <v>156</v>
      </c>
      <c r="E37" s="28" t="s">
        <v>156</v>
      </c>
      <c r="F37" t="s">
        <v>157</v>
      </c>
      <c r="K37">
        <v>40</v>
      </c>
      <c r="L37">
        <v>6910000001</v>
      </c>
      <c r="S37">
        <v>414475</v>
      </c>
      <c r="T37">
        <v>414475</v>
      </c>
      <c r="Y37" t="s">
        <v>158</v>
      </c>
      <c r="Z37" t="s">
        <v>159</v>
      </c>
      <c r="AA37" t="s">
        <v>160</v>
      </c>
      <c r="AD37">
        <v>14020000</v>
      </c>
      <c r="AG37" t="s">
        <v>162</v>
      </c>
      <c r="AH37" t="s">
        <v>163</v>
      </c>
      <c r="AL37" t="s">
        <v>161</v>
      </c>
      <c r="AO37" t="s">
        <v>172</v>
      </c>
    </row>
    <row r="38" spans="1:41">
      <c r="A38">
        <v>2</v>
      </c>
      <c r="B38" t="s">
        <v>155</v>
      </c>
      <c r="C38" t="s">
        <v>173</v>
      </c>
      <c r="D38" s="28" t="s">
        <v>156</v>
      </c>
      <c r="E38" s="28" t="s">
        <v>156</v>
      </c>
      <c r="F38" t="s">
        <v>157</v>
      </c>
      <c r="K38">
        <v>50</v>
      </c>
      <c r="L38">
        <v>4200000153</v>
      </c>
      <c r="S38">
        <v>414475</v>
      </c>
      <c r="T38">
        <v>414475</v>
      </c>
      <c r="Y38" t="s">
        <v>158</v>
      </c>
      <c r="Z38" t="s">
        <v>159</v>
      </c>
      <c r="AA38" t="s">
        <v>160</v>
      </c>
      <c r="AD38">
        <v>14020000</v>
      </c>
      <c r="AL38" t="s">
        <v>161</v>
      </c>
      <c r="AO38" t="s">
        <v>172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Sheet1.che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Sheet1.PA营销员奖金_FUz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3"/>
  <sheetViews>
    <sheetView workbookViewId="0">
      <selection activeCell="E21" sqref="E21"/>
    </sheetView>
  </sheetViews>
  <sheetFormatPr defaultRowHeight="14.25"/>
  <sheetData>
    <row r="1" spans="1:5">
      <c r="A1" s="19" t="s">
        <v>58</v>
      </c>
      <c r="B1" s="19" t="s">
        <v>59</v>
      </c>
      <c r="C1" s="20" t="s">
        <v>60</v>
      </c>
      <c r="D1" s="20" t="s">
        <v>61</v>
      </c>
      <c r="E1" s="21" t="s">
        <v>62</v>
      </c>
    </row>
    <row r="2" spans="1:5">
      <c r="A2" s="22" t="s">
        <v>63</v>
      </c>
      <c r="B2" s="23" t="s">
        <v>64</v>
      </c>
      <c r="C2" s="23" t="s">
        <v>65</v>
      </c>
      <c r="D2" s="23" t="s">
        <v>66</v>
      </c>
      <c r="E2" s="24">
        <v>11010000</v>
      </c>
    </row>
    <row r="3" spans="1:5">
      <c r="A3" s="22" t="s">
        <v>67</v>
      </c>
      <c r="B3" s="23" t="s">
        <v>68</v>
      </c>
      <c r="C3" s="23" t="s">
        <v>65</v>
      </c>
      <c r="D3" s="23" t="s">
        <v>69</v>
      </c>
      <c r="E3" s="24">
        <v>12010000</v>
      </c>
    </row>
    <row r="4" spans="1:5">
      <c r="A4" s="22" t="s">
        <v>70</v>
      </c>
      <c r="B4" s="25" t="s">
        <v>71</v>
      </c>
      <c r="C4" s="23" t="s">
        <v>65</v>
      </c>
      <c r="D4" s="23" t="s">
        <v>72</v>
      </c>
      <c r="E4" s="24">
        <v>14020000</v>
      </c>
    </row>
    <row r="5" spans="1:5">
      <c r="A5" s="22" t="s">
        <v>73</v>
      </c>
      <c r="B5" s="25" t="s">
        <v>74</v>
      </c>
      <c r="C5" s="23" t="s">
        <v>65</v>
      </c>
      <c r="D5" s="23" t="s">
        <v>72</v>
      </c>
      <c r="E5" s="24">
        <v>14010000</v>
      </c>
    </row>
    <row r="6" spans="1:5">
      <c r="A6" s="22" t="s">
        <v>75</v>
      </c>
      <c r="B6" s="26" t="s">
        <v>76</v>
      </c>
      <c r="C6" s="23" t="s">
        <v>65</v>
      </c>
      <c r="D6" s="23" t="s">
        <v>77</v>
      </c>
      <c r="E6" s="24">
        <v>17010000</v>
      </c>
    </row>
    <row r="7" spans="1:5">
      <c r="A7" s="22" t="s">
        <v>78</v>
      </c>
      <c r="B7" s="26" t="s">
        <v>79</v>
      </c>
      <c r="C7" s="23" t="s">
        <v>65</v>
      </c>
      <c r="D7" s="23" t="s">
        <v>80</v>
      </c>
      <c r="E7" s="24">
        <v>15010000</v>
      </c>
    </row>
    <row r="8" spans="1:5">
      <c r="A8" s="22" t="s">
        <v>81</v>
      </c>
      <c r="B8" s="25" t="s">
        <v>82</v>
      </c>
      <c r="C8" s="23" t="s">
        <v>65</v>
      </c>
      <c r="D8" s="23" t="s">
        <v>83</v>
      </c>
      <c r="E8" s="24">
        <v>16010000</v>
      </c>
    </row>
    <row r="9" spans="1:5">
      <c r="A9" s="22" t="s">
        <v>84</v>
      </c>
      <c r="B9" s="25" t="s">
        <v>85</v>
      </c>
      <c r="C9" s="23" t="s">
        <v>65</v>
      </c>
      <c r="D9" s="23" t="s">
        <v>72</v>
      </c>
      <c r="E9" s="24">
        <v>14030000</v>
      </c>
    </row>
    <row r="10" spans="1:5">
      <c r="A10" s="22" t="s">
        <v>86</v>
      </c>
      <c r="B10" s="25" t="s">
        <v>87</v>
      </c>
      <c r="C10" s="23" t="s">
        <v>65</v>
      </c>
      <c r="D10" s="23" t="s">
        <v>72</v>
      </c>
      <c r="E10" s="24">
        <v>14040000</v>
      </c>
    </row>
    <row r="11" spans="1:5">
      <c r="A11" s="22" t="s">
        <v>88</v>
      </c>
      <c r="B11" s="25" t="s">
        <v>89</v>
      </c>
      <c r="C11" s="23" t="s">
        <v>65</v>
      </c>
      <c r="D11" s="23" t="s">
        <v>72</v>
      </c>
      <c r="E11" s="24">
        <v>14050000</v>
      </c>
    </row>
    <row r="12" spans="1:5">
      <c r="A12" s="22" t="s">
        <v>90</v>
      </c>
      <c r="B12" s="25" t="s">
        <v>91</v>
      </c>
      <c r="C12" s="23" t="s">
        <v>65</v>
      </c>
      <c r="D12" s="23" t="s">
        <v>72</v>
      </c>
      <c r="E12" s="24">
        <v>14060000</v>
      </c>
    </row>
    <row r="13" spans="1:5">
      <c r="A13" s="22" t="s">
        <v>92</v>
      </c>
      <c r="B13" s="25" t="s">
        <v>93</v>
      </c>
      <c r="C13" s="23" t="s">
        <v>65</v>
      </c>
      <c r="D13" s="23" t="s">
        <v>72</v>
      </c>
      <c r="E13" s="24">
        <v>14070000</v>
      </c>
    </row>
    <row r="14" spans="1:5">
      <c r="A14" s="22" t="s">
        <v>94</v>
      </c>
      <c r="B14" s="25" t="s">
        <v>95</v>
      </c>
      <c r="C14" s="23" t="s">
        <v>65</v>
      </c>
      <c r="D14" s="23" t="s">
        <v>72</v>
      </c>
      <c r="E14" s="24">
        <v>14080000</v>
      </c>
    </row>
    <row r="15" spans="1:5">
      <c r="A15" s="22" t="s">
        <v>96</v>
      </c>
      <c r="B15" s="26" t="s">
        <v>97</v>
      </c>
      <c r="C15" s="23" t="s">
        <v>65</v>
      </c>
      <c r="D15" s="23" t="s">
        <v>72</v>
      </c>
      <c r="E15" s="24">
        <v>14090000</v>
      </c>
    </row>
    <row r="16" spans="1:5">
      <c r="A16" s="22" t="s">
        <v>98</v>
      </c>
      <c r="B16" s="25" t="s">
        <v>99</v>
      </c>
      <c r="C16" s="23" t="s">
        <v>65</v>
      </c>
      <c r="D16" s="23" t="s">
        <v>72</v>
      </c>
      <c r="E16" s="24">
        <v>14100000</v>
      </c>
    </row>
    <row r="17" spans="1:5">
      <c r="A17" s="22" t="s">
        <v>100</v>
      </c>
      <c r="B17" s="26" t="s">
        <v>101</v>
      </c>
      <c r="C17" s="23" t="s">
        <v>65</v>
      </c>
      <c r="D17" s="23" t="s">
        <v>72</v>
      </c>
      <c r="E17" s="24">
        <v>14110000</v>
      </c>
    </row>
    <row r="18" spans="1:5">
      <c r="A18" s="22" t="s">
        <v>102</v>
      </c>
      <c r="B18" s="23" t="s">
        <v>103</v>
      </c>
      <c r="C18" s="23" t="s">
        <v>65</v>
      </c>
      <c r="D18" s="23" t="s">
        <v>72</v>
      </c>
      <c r="E18" s="24">
        <v>14120000</v>
      </c>
    </row>
    <row r="19" spans="1:5">
      <c r="A19" s="22" t="s">
        <v>104</v>
      </c>
      <c r="B19" s="23" t="s">
        <v>105</v>
      </c>
      <c r="C19" s="23" t="s">
        <v>65</v>
      </c>
      <c r="D19" s="23" t="s">
        <v>72</v>
      </c>
      <c r="E19" s="27">
        <v>14130000</v>
      </c>
    </row>
    <row r="20" spans="1:5">
      <c r="A20" s="22" t="s">
        <v>106</v>
      </c>
      <c r="B20" s="25" t="s">
        <v>107</v>
      </c>
      <c r="C20" s="23" t="s">
        <v>65</v>
      </c>
      <c r="D20" s="23" t="s">
        <v>108</v>
      </c>
      <c r="E20" s="24">
        <v>13010000</v>
      </c>
    </row>
    <row r="21" spans="1:5">
      <c r="A21" s="22" t="s">
        <v>109</v>
      </c>
      <c r="B21" s="25" t="s">
        <v>110</v>
      </c>
      <c r="C21" s="23" t="s">
        <v>65</v>
      </c>
      <c r="D21" s="23" t="s">
        <v>108</v>
      </c>
      <c r="E21" s="24">
        <v>13020000</v>
      </c>
    </row>
    <row r="22" spans="1:5">
      <c r="A22" s="22" t="s">
        <v>111</v>
      </c>
      <c r="B22" s="25" t="s">
        <v>112</v>
      </c>
      <c r="C22" s="23" t="s">
        <v>65</v>
      </c>
      <c r="D22" s="23" t="s">
        <v>108</v>
      </c>
      <c r="E22" s="24">
        <v>13030000</v>
      </c>
    </row>
    <row r="23" spans="1:5">
      <c r="A23" s="22" t="s">
        <v>113</v>
      </c>
      <c r="B23" s="25" t="s">
        <v>114</v>
      </c>
      <c r="C23" s="23" t="s">
        <v>65</v>
      </c>
      <c r="D23" s="23" t="s">
        <v>108</v>
      </c>
      <c r="E23" s="24">
        <v>13040000</v>
      </c>
    </row>
    <row r="24" spans="1:5">
      <c r="A24" s="22" t="s">
        <v>115</v>
      </c>
      <c r="B24" s="25" t="s">
        <v>116</v>
      </c>
      <c r="C24" s="23" t="s">
        <v>65</v>
      </c>
      <c r="D24" s="23" t="s">
        <v>108</v>
      </c>
      <c r="E24" s="24">
        <v>13050000</v>
      </c>
    </row>
    <row r="25" spans="1:5">
      <c r="A25" s="22" t="s">
        <v>117</v>
      </c>
      <c r="B25" s="25" t="s">
        <v>118</v>
      </c>
      <c r="C25" s="23" t="s">
        <v>65</v>
      </c>
      <c r="D25" s="23" t="s">
        <v>108</v>
      </c>
      <c r="E25" s="24">
        <v>13060000</v>
      </c>
    </row>
    <row r="26" spans="1:5">
      <c r="A26" s="22" t="s">
        <v>119</v>
      </c>
      <c r="B26" s="25" t="s">
        <v>120</v>
      </c>
      <c r="C26" s="23" t="s">
        <v>65</v>
      </c>
      <c r="D26" s="23" t="s">
        <v>108</v>
      </c>
      <c r="E26" s="24">
        <v>13070000</v>
      </c>
    </row>
    <row r="27" spans="1:5">
      <c r="A27" s="22" t="s">
        <v>121</v>
      </c>
      <c r="B27" s="25" t="s">
        <v>122</v>
      </c>
      <c r="C27" s="23" t="s">
        <v>65</v>
      </c>
      <c r="D27" s="23" t="s">
        <v>108</v>
      </c>
      <c r="E27" s="24">
        <v>13080000</v>
      </c>
    </row>
    <row r="28" spans="1:5">
      <c r="A28" s="22" t="s">
        <v>123</v>
      </c>
      <c r="B28" s="25" t="s">
        <v>124</v>
      </c>
      <c r="C28" s="23" t="s">
        <v>65</v>
      </c>
      <c r="D28" s="23" t="s">
        <v>108</v>
      </c>
      <c r="E28" s="24">
        <v>13090000</v>
      </c>
    </row>
    <row r="29" spans="1:5">
      <c r="A29" s="22" t="s">
        <v>125</v>
      </c>
      <c r="B29" s="25" t="s">
        <v>126</v>
      </c>
      <c r="C29" s="23" t="s">
        <v>65</v>
      </c>
      <c r="D29" s="23" t="s">
        <v>108</v>
      </c>
      <c r="E29" s="24">
        <v>13100000</v>
      </c>
    </row>
    <row r="30" spans="1:5">
      <c r="A30" s="22" t="s">
        <v>127</v>
      </c>
      <c r="B30" s="25" t="s">
        <v>128</v>
      </c>
      <c r="C30" s="23" t="s">
        <v>65</v>
      </c>
      <c r="D30" s="23" t="s">
        <v>108</v>
      </c>
      <c r="E30" s="24">
        <v>13110000</v>
      </c>
    </row>
    <row r="31" spans="1:5">
      <c r="A31" s="22" t="s">
        <v>129</v>
      </c>
      <c r="B31" s="23" t="s">
        <v>130</v>
      </c>
      <c r="C31" s="23" t="s">
        <v>65</v>
      </c>
      <c r="D31" s="23" t="s">
        <v>108</v>
      </c>
      <c r="E31" s="27">
        <v>13120000</v>
      </c>
    </row>
    <row r="32" spans="1:5">
      <c r="A32" s="23"/>
      <c r="B32" s="23" t="s">
        <v>131</v>
      </c>
      <c r="C32" s="23"/>
      <c r="D32" s="23" t="s">
        <v>132</v>
      </c>
      <c r="E32" s="24">
        <v>13030000</v>
      </c>
    </row>
    <row r="33" spans="1:5">
      <c r="A33" s="23"/>
      <c r="B33" s="23" t="s">
        <v>133</v>
      </c>
      <c r="C33" s="23"/>
      <c r="D33" s="23" t="s">
        <v>134</v>
      </c>
      <c r="E33" s="24">
        <v>14020000</v>
      </c>
    </row>
  </sheetData>
  <phoneticPr fontId="1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workbookViewId="0">
      <selection activeCell="C23" sqref="C23"/>
    </sheetView>
  </sheetViews>
  <sheetFormatPr defaultRowHeight="14.25"/>
  <cols>
    <col min="1" max="1" width="13.375" bestFit="1" customWidth="1"/>
    <col min="2" max="2" width="17.5" bestFit="1" customWidth="1"/>
    <col min="3" max="3" width="16.75" bestFit="1" customWidth="1"/>
    <col min="4" max="4" width="21.625" bestFit="1" customWidth="1"/>
    <col min="5" max="5" width="21" bestFit="1" customWidth="1"/>
    <col min="6" max="6" width="20.75" bestFit="1" customWidth="1"/>
    <col min="7" max="9" width="21.625" bestFit="1" customWidth="1"/>
    <col min="10" max="10" width="16.75" bestFit="1" customWidth="1"/>
    <col min="11" max="12" width="15.125" bestFit="1" customWidth="1"/>
  </cols>
  <sheetData>
    <row r="1" spans="1:12">
      <c r="A1" s="32" t="s">
        <v>135</v>
      </c>
      <c r="B1" s="33" t="s">
        <v>43</v>
      </c>
      <c r="C1" s="34" t="s">
        <v>44</v>
      </c>
      <c r="D1" s="34" t="s">
        <v>45</v>
      </c>
      <c r="E1" s="34" t="s">
        <v>46</v>
      </c>
      <c r="F1" s="35" t="s">
        <v>47</v>
      </c>
      <c r="G1" s="36" t="s">
        <v>48</v>
      </c>
      <c r="H1" s="36" t="s">
        <v>49</v>
      </c>
      <c r="I1" s="36" t="s">
        <v>50</v>
      </c>
      <c r="J1" s="36" t="s">
        <v>51</v>
      </c>
    </row>
    <row r="2" spans="1:12">
      <c r="A2" s="32" t="s">
        <v>146</v>
      </c>
      <c r="B2" s="33">
        <v>5106050102</v>
      </c>
      <c r="C2" s="34">
        <v>5106050106</v>
      </c>
      <c r="D2" s="34">
        <v>5106050104</v>
      </c>
      <c r="E2" s="34">
        <v>5106050108</v>
      </c>
      <c r="F2" s="37">
        <v>5106050258</v>
      </c>
      <c r="G2" s="36">
        <v>5106050225</v>
      </c>
      <c r="H2" s="36">
        <v>5106050221</v>
      </c>
      <c r="I2" s="36">
        <v>5106050222</v>
      </c>
      <c r="J2" s="36">
        <v>5106050204</v>
      </c>
    </row>
    <row r="3" spans="1:12">
      <c r="A3" s="38" t="s">
        <v>145</v>
      </c>
      <c r="B3" s="39">
        <v>0.12520000000000001</v>
      </c>
      <c r="C3" s="39">
        <v>3.8199999999999998E-2</v>
      </c>
      <c r="D3" s="39">
        <v>3.5499999999999997E-2</v>
      </c>
      <c r="E3" s="39">
        <v>1.7500000000000002E-2</v>
      </c>
      <c r="F3" s="40">
        <v>0</v>
      </c>
      <c r="G3" s="39">
        <v>4.8000000000000001E-2</v>
      </c>
      <c r="H3" s="39">
        <v>2.4899999999999999E-2</v>
      </c>
      <c r="I3" s="39">
        <v>1.6000000000000001E-3</v>
      </c>
      <c r="J3" s="39">
        <v>9.1000000000000004E-3</v>
      </c>
    </row>
    <row r="6" spans="1:12" s="8" customFormat="1" ht="12.75">
      <c r="A6" s="41" t="s">
        <v>42</v>
      </c>
      <c r="B6" s="7" t="s">
        <v>43</v>
      </c>
      <c r="C6" s="7" t="s">
        <v>44</v>
      </c>
      <c r="D6" s="7" t="s">
        <v>45</v>
      </c>
      <c r="E6" s="7" t="s">
        <v>46</v>
      </c>
      <c r="F6" s="7" t="s">
        <v>47</v>
      </c>
      <c r="G6" s="7" t="s">
        <v>48</v>
      </c>
      <c r="H6" s="7" t="s">
        <v>49</v>
      </c>
      <c r="I6" s="7" t="s">
        <v>50</v>
      </c>
      <c r="J6" s="7" t="s">
        <v>51</v>
      </c>
    </row>
    <row r="7" spans="1:12" s="11" customFormat="1" ht="12.75">
      <c r="A7" s="12" t="s">
        <v>52</v>
      </c>
      <c r="B7" s="10">
        <v>6900000730</v>
      </c>
      <c r="C7" s="10">
        <v>6900000732</v>
      </c>
      <c r="D7" s="10">
        <v>6900100360</v>
      </c>
      <c r="E7" s="10">
        <v>6900100361</v>
      </c>
      <c r="F7" s="10">
        <v>6910000018</v>
      </c>
      <c r="G7" s="10">
        <v>6910000016</v>
      </c>
      <c r="H7" s="10">
        <v>6910000012</v>
      </c>
      <c r="I7" s="10">
        <v>6910000013</v>
      </c>
      <c r="J7" s="10">
        <v>6910000001</v>
      </c>
      <c r="K7" s="49" t="s">
        <v>136</v>
      </c>
      <c r="L7" s="50" t="s">
        <v>137</v>
      </c>
    </row>
    <row r="8" spans="1:12" s="11" customFormat="1" ht="12.75">
      <c r="A8" s="12" t="s">
        <v>53</v>
      </c>
      <c r="B8" s="9">
        <v>4200000152</v>
      </c>
      <c r="C8" s="10">
        <v>4200000152</v>
      </c>
      <c r="D8" s="10">
        <v>4200000152</v>
      </c>
      <c r="E8" s="10">
        <v>4200000152</v>
      </c>
      <c r="F8" s="10">
        <v>4200000153</v>
      </c>
      <c r="G8" s="10">
        <v>4200000153</v>
      </c>
      <c r="H8" s="10">
        <v>4200000153</v>
      </c>
      <c r="I8" s="10">
        <v>4200000153</v>
      </c>
      <c r="J8" s="10">
        <v>4200000153</v>
      </c>
      <c r="K8" s="49"/>
      <c r="L8" s="50"/>
    </row>
    <row r="9" spans="1:12" s="8" customFormat="1" ht="12.75">
      <c r="A9" s="13" t="s">
        <v>54</v>
      </c>
      <c r="B9" s="14" t="s">
        <v>55</v>
      </c>
      <c r="C9" s="15" t="s">
        <v>55</v>
      </c>
      <c r="D9" s="15" t="s">
        <v>55</v>
      </c>
      <c r="E9" s="15" t="s">
        <v>55</v>
      </c>
      <c r="F9" s="15" t="s">
        <v>56</v>
      </c>
      <c r="G9" s="15" t="s">
        <v>56</v>
      </c>
      <c r="H9" s="15" t="s">
        <v>56</v>
      </c>
      <c r="I9" s="15" t="s">
        <v>56</v>
      </c>
      <c r="J9" s="15" t="s">
        <v>56</v>
      </c>
      <c r="K9" s="49"/>
      <c r="L9" s="50"/>
    </row>
    <row r="10" spans="1:12" s="8" customFormat="1" ht="12.75">
      <c r="A10" s="16">
        <v>43101</v>
      </c>
      <c r="B10" s="15">
        <f>ROUND($K10*$B$3,0)</f>
        <v>3947590</v>
      </c>
      <c r="C10" s="15">
        <f>ROUND($K10*$C$3,0)</f>
        <v>1204456</v>
      </c>
      <c r="D10" s="15">
        <f>ROUND($L10*$D$3,0)</f>
        <v>331196</v>
      </c>
      <c r="E10" s="15">
        <f>ROUND($L10*$E$3,0)</f>
        <v>163266</v>
      </c>
      <c r="F10" s="15">
        <f>ROUND($K10*$F$3,0)</f>
        <v>0</v>
      </c>
      <c r="G10" s="15">
        <f>ROUND($K10*$G$3,0)</f>
        <v>1513453</v>
      </c>
      <c r="H10" s="15">
        <f>ROUND($K10*$H$3,0)</f>
        <v>785104</v>
      </c>
      <c r="I10" s="15">
        <f>ROUND($K10*$I$3,0)</f>
        <v>50448</v>
      </c>
      <c r="J10" s="15">
        <f>ROUND($K10*$J$3,0)</f>
        <v>286925</v>
      </c>
      <c r="K10" s="8">
        <v>31530273.190000001</v>
      </c>
      <c r="L10" s="8">
        <v>9329464.9900000021</v>
      </c>
    </row>
    <row r="11" spans="1:12" s="8" customFormat="1" ht="12.75">
      <c r="A11" s="16">
        <v>43132</v>
      </c>
      <c r="B11" s="15">
        <f t="shared" ref="B11:B20" si="0">ROUND($K11*$B$3,0)</f>
        <v>2225719</v>
      </c>
      <c r="C11" s="15">
        <f t="shared" ref="C11:C20" si="1">ROUND($K11*$C$3,0)</f>
        <v>679093</v>
      </c>
      <c r="D11" s="15">
        <f t="shared" ref="D11:D20" si="2">ROUND($L11*$D$3,0)</f>
        <v>316451</v>
      </c>
      <c r="E11" s="15">
        <f t="shared" ref="E11:E20" si="3">ROUND($L11*$E$3,0)</f>
        <v>155997</v>
      </c>
      <c r="F11" s="15">
        <f t="shared" ref="F11:F21" si="4">ROUND($K11*$F$3,0)</f>
        <v>0</v>
      </c>
      <c r="G11" s="15">
        <f t="shared" ref="G11:G21" si="5">ROUND($K11*$G$3,0)</f>
        <v>853311</v>
      </c>
      <c r="H11" s="15">
        <f t="shared" ref="H11:H21" si="6">ROUND($K11*$H$3,0)</f>
        <v>442655</v>
      </c>
      <c r="I11" s="15">
        <f t="shared" ref="I11:I21" si="7">ROUND($K11*$I$3,0)</f>
        <v>28444</v>
      </c>
      <c r="J11" s="15">
        <f t="shared" ref="J11:J21" si="8">ROUND($K11*$J$3,0)</f>
        <v>161774</v>
      </c>
      <c r="K11" s="8">
        <v>17777309.120000001</v>
      </c>
      <c r="L11" s="8">
        <v>8914110.6600000001</v>
      </c>
    </row>
    <row r="12" spans="1:12" s="31" customFormat="1" ht="12.75">
      <c r="A12" s="42">
        <v>43160</v>
      </c>
      <c r="B12" s="43">
        <f>SUM(B10:B11)</f>
        <v>6173309</v>
      </c>
      <c r="C12" s="43">
        <f t="shared" ref="C12:E12" si="9">SUM(C10:C11)</f>
        <v>1883549</v>
      </c>
      <c r="D12" s="43">
        <f t="shared" si="9"/>
        <v>647647</v>
      </c>
      <c r="E12" s="43">
        <f t="shared" si="9"/>
        <v>319263</v>
      </c>
      <c r="F12" s="15">
        <f t="shared" si="4"/>
        <v>0</v>
      </c>
      <c r="G12" s="15">
        <f>ROUND($K12*$G$3,0)</f>
        <v>1191408</v>
      </c>
      <c r="H12" s="15">
        <f t="shared" si="6"/>
        <v>618043</v>
      </c>
      <c r="I12" s="15">
        <f t="shared" si="7"/>
        <v>39714</v>
      </c>
      <c r="J12" s="15">
        <f t="shared" si="8"/>
        <v>225871</v>
      </c>
      <c r="K12" s="31">
        <v>24821001.25</v>
      </c>
    </row>
    <row r="13" spans="1:12" s="31" customFormat="1" ht="12.75">
      <c r="A13" s="30">
        <v>43191</v>
      </c>
      <c r="B13" s="15">
        <f t="shared" si="0"/>
        <v>1788370</v>
      </c>
      <c r="C13" s="15">
        <f t="shared" si="1"/>
        <v>545653</v>
      </c>
      <c r="D13" s="15">
        <f t="shared" si="2"/>
        <v>303893</v>
      </c>
      <c r="E13" s="15">
        <f t="shared" si="3"/>
        <v>149806</v>
      </c>
      <c r="F13" s="15">
        <f t="shared" si="4"/>
        <v>0</v>
      </c>
      <c r="G13" s="15">
        <f>ROUND($K13*$G$3,0)</f>
        <v>685637</v>
      </c>
      <c r="H13" s="15">
        <f t="shared" si="6"/>
        <v>355674</v>
      </c>
      <c r="I13" s="15">
        <f t="shared" si="7"/>
        <v>22855</v>
      </c>
      <c r="J13" s="15">
        <f t="shared" si="8"/>
        <v>129985</v>
      </c>
      <c r="K13" s="31">
        <v>14284101.66</v>
      </c>
      <c r="L13" s="31">
        <v>8560358.3499999996</v>
      </c>
    </row>
    <row r="14" spans="1:12" s="31" customFormat="1" ht="12.75">
      <c r="A14" s="30">
        <v>43221</v>
      </c>
      <c r="B14" s="15">
        <f t="shared" si="0"/>
        <v>2106658</v>
      </c>
      <c r="C14" s="15">
        <f t="shared" si="1"/>
        <v>642766</v>
      </c>
      <c r="D14" s="15">
        <f t="shared" si="2"/>
        <v>335332</v>
      </c>
      <c r="E14" s="15">
        <f t="shared" si="3"/>
        <v>165305</v>
      </c>
      <c r="F14" s="15">
        <f t="shared" si="4"/>
        <v>0</v>
      </c>
      <c r="G14" s="15">
        <f>ROUND($K14*$G$3,0)</f>
        <v>807664</v>
      </c>
      <c r="H14" s="15">
        <f t="shared" si="6"/>
        <v>418976</v>
      </c>
      <c r="I14" s="15">
        <f t="shared" si="7"/>
        <v>26922</v>
      </c>
      <c r="J14" s="15">
        <f t="shared" si="8"/>
        <v>153120</v>
      </c>
      <c r="K14" s="31">
        <v>16826337.91</v>
      </c>
      <c r="L14" s="31">
        <v>9445983.5099999998</v>
      </c>
    </row>
    <row r="15" spans="1:12" s="31" customFormat="1" ht="12.75">
      <c r="A15" s="42">
        <v>43252</v>
      </c>
      <c r="B15" s="43">
        <f>SUM(B13:B14)</f>
        <v>3895028</v>
      </c>
      <c r="C15" s="43">
        <f t="shared" ref="C15:E15" si="10">SUM(C13:C14)</f>
        <v>1188419</v>
      </c>
      <c r="D15" s="43">
        <f t="shared" si="10"/>
        <v>639225</v>
      </c>
      <c r="E15" s="43">
        <f t="shared" si="10"/>
        <v>315111</v>
      </c>
      <c r="F15" s="15">
        <f t="shared" si="4"/>
        <v>0</v>
      </c>
      <c r="G15" s="15">
        <f>ROUND($K15*$G$3,0)</f>
        <v>1053853</v>
      </c>
      <c r="H15" s="15">
        <f t="shared" si="6"/>
        <v>546686</v>
      </c>
      <c r="I15" s="15">
        <f t="shared" si="7"/>
        <v>35128</v>
      </c>
      <c r="J15" s="15">
        <f t="shared" si="8"/>
        <v>199793</v>
      </c>
      <c r="K15" s="31">
        <v>21955272.949999999</v>
      </c>
    </row>
    <row r="16" spans="1:12" s="31" customFormat="1" ht="12.75">
      <c r="A16" s="30">
        <v>43282</v>
      </c>
      <c r="B16" s="15">
        <f t="shared" si="0"/>
        <v>0</v>
      </c>
      <c r="C16" s="15">
        <f t="shared" si="1"/>
        <v>0</v>
      </c>
      <c r="D16" s="15">
        <f t="shared" si="2"/>
        <v>0</v>
      </c>
      <c r="E16" s="15">
        <f t="shared" si="3"/>
        <v>0</v>
      </c>
      <c r="F16" s="15">
        <f t="shared" si="4"/>
        <v>0</v>
      </c>
      <c r="G16" s="15">
        <f t="shared" si="5"/>
        <v>0</v>
      </c>
      <c r="H16" s="15">
        <f t="shared" si="6"/>
        <v>0</v>
      </c>
      <c r="I16" s="15">
        <f t="shared" si="7"/>
        <v>0</v>
      </c>
      <c r="J16" s="15">
        <f t="shared" si="8"/>
        <v>0</v>
      </c>
    </row>
    <row r="17" spans="1:10" s="31" customFormat="1" ht="12.75">
      <c r="A17" s="30">
        <v>43313</v>
      </c>
      <c r="B17" s="15">
        <f t="shared" si="0"/>
        <v>0</v>
      </c>
      <c r="C17" s="15">
        <f t="shared" si="1"/>
        <v>0</v>
      </c>
      <c r="D17" s="15">
        <f t="shared" si="2"/>
        <v>0</v>
      </c>
      <c r="E17" s="15">
        <f t="shared" si="3"/>
        <v>0</v>
      </c>
      <c r="F17" s="15">
        <f t="shared" si="4"/>
        <v>0</v>
      </c>
      <c r="G17" s="15">
        <f t="shared" si="5"/>
        <v>0</v>
      </c>
      <c r="H17" s="15">
        <f t="shared" si="6"/>
        <v>0</v>
      </c>
      <c r="I17" s="15">
        <f t="shared" si="7"/>
        <v>0</v>
      </c>
      <c r="J17" s="15">
        <f t="shared" si="8"/>
        <v>0</v>
      </c>
    </row>
    <row r="18" spans="1:10" s="31" customFormat="1" ht="12.75">
      <c r="A18" s="42">
        <v>43344</v>
      </c>
      <c r="B18" s="43">
        <f>SUM(B16:B17)</f>
        <v>0</v>
      </c>
      <c r="C18" s="43">
        <f t="shared" ref="C18:E18" si="11">SUM(C16:C17)</f>
        <v>0</v>
      </c>
      <c r="D18" s="43">
        <f t="shared" si="11"/>
        <v>0</v>
      </c>
      <c r="E18" s="43">
        <f t="shared" si="11"/>
        <v>0</v>
      </c>
      <c r="F18" s="15">
        <f t="shared" si="4"/>
        <v>0</v>
      </c>
      <c r="G18" s="15">
        <f t="shared" si="5"/>
        <v>0</v>
      </c>
      <c r="H18" s="15">
        <f t="shared" si="6"/>
        <v>0</v>
      </c>
      <c r="I18" s="15">
        <f t="shared" si="7"/>
        <v>0</v>
      </c>
      <c r="J18" s="15">
        <f t="shared" si="8"/>
        <v>0</v>
      </c>
    </row>
    <row r="19" spans="1:10" s="31" customFormat="1" ht="12.75">
      <c r="A19" s="30">
        <v>43374</v>
      </c>
      <c r="B19" s="15">
        <f t="shared" si="0"/>
        <v>0</v>
      </c>
      <c r="C19" s="15">
        <f t="shared" si="1"/>
        <v>0</v>
      </c>
      <c r="D19" s="15">
        <f t="shared" si="2"/>
        <v>0</v>
      </c>
      <c r="E19" s="15">
        <f t="shared" si="3"/>
        <v>0</v>
      </c>
      <c r="F19" s="15">
        <f t="shared" si="4"/>
        <v>0</v>
      </c>
      <c r="G19" s="15">
        <f t="shared" si="5"/>
        <v>0</v>
      </c>
      <c r="H19" s="15">
        <f t="shared" si="6"/>
        <v>0</v>
      </c>
      <c r="I19" s="15">
        <f t="shared" si="7"/>
        <v>0</v>
      </c>
      <c r="J19" s="15">
        <f t="shared" si="8"/>
        <v>0</v>
      </c>
    </row>
    <row r="20" spans="1:10" s="31" customFormat="1" ht="12.75">
      <c r="A20" s="30">
        <v>43405</v>
      </c>
      <c r="B20" s="15">
        <f t="shared" si="0"/>
        <v>0</v>
      </c>
      <c r="C20" s="15">
        <f t="shared" si="1"/>
        <v>0</v>
      </c>
      <c r="D20" s="15">
        <f t="shared" si="2"/>
        <v>0</v>
      </c>
      <c r="E20" s="15">
        <f t="shared" si="3"/>
        <v>0</v>
      </c>
      <c r="F20" s="15">
        <f t="shared" si="4"/>
        <v>0</v>
      </c>
      <c r="G20" s="15">
        <f t="shared" si="5"/>
        <v>0</v>
      </c>
      <c r="H20" s="15">
        <f t="shared" si="6"/>
        <v>0</v>
      </c>
      <c r="I20" s="15">
        <f t="shared" si="7"/>
        <v>0</v>
      </c>
      <c r="J20" s="15">
        <f t="shared" si="8"/>
        <v>0</v>
      </c>
    </row>
    <row r="21" spans="1:10" s="31" customFormat="1" ht="12.75">
      <c r="A21" s="42">
        <v>43435</v>
      </c>
      <c r="B21" s="43">
        <f>SUM(B19:B20)</f>
        <v>0</v>
      </c>
      <c r="C21" s="43">
        <f t="shared" ref="C21:E21" si="12">SUM(C19:C20)</f>
        <v>0</v>
      </c>
      <c r="D21" s="43">
        <f t="shared" si="12"/>
        <v>0</v>
      </c>
      <c r="E21" s="43">
        <f t="shared" si="12"/>
        <v>0</v>
      </c>
      <c r="F21" s="15">
        <f t="shared" si="4"/>
        <v>0</v>
      </c>
      <c r="G21" s="15">
        <f t="shared" si="5"/>
        <v>0</v>
      </c>
      <c r="H21" s="15">
        <f t="shared" si="6"/>
        <v>0</v>
      </c>
      <c r="I21" s="15">
        <f t="shared" si="7"/>
        <v>0</v>
      </c>
      <c r="J21" s="15">
        <f t="shared" si="8"/>
        <v>0</v>
      </c>
    </row>
    <row r="22" spans="1:10" s="8" customFormat="1" ht="12.75">
      <c r="A22" s="17" t="s">
        <v>57</v>
      </c>
      <c r="B22" s="15"/>
      <c r="C22" s="15"/>
      <c r="D22" s="15"/>
      <c r="E22" s="15"/>
      <c r="F22" s="18">
        <f>SUM(F10:F21)</f>
        <v>0</v>
      </c>
      <c r="G22" s="18">
        <f>SUM(G10:G21)</f>
        <v>6105326</v>
      </c>
      <c r="H22" s="18">
        <f t="shared" ref="H22:J22" si="13">SUM(H10:H21)</f>
        <v>3167138</v>
      </c>
      <c r="I22" s="18">
        <f t="shared" si="13"/>
        <v>203511</v>
      </c>
      <c r="J22" s="18">
        <f t="shared" si="13"/>
        <v>1157468</v>
      </c>
    </row>
  </sheetData>
  <mergeCells count="2">
    <mergeCell ref="K7:K9"/>
    <mergeCell ref="L7:L9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2"/>
  <sheetViews>
    <sheetView workbookViewId="0">
      <selection activeCell="B7" sqref="B7:J8"/>
    </sheetView>
  </sheetViews>
  <sheetFormatPr defaultRowHeight="14.25"/>
  <cols>
    <col min="1" max="1" width="13.375" bestFit="1" customWidth="1"/>
    <col min="2" max="2" width="17.5" bestFit="1" customWidth="1"/>
    <col min="3" max="3" width="16.75" bestFit="1" customWidth="1"/>
    <col min="4" max="4" width="21.625" bestFit="1" customWidth="1"/>
    <col min="5" max="5" width="21" bestFit="1" customWidth="1"/>
    <col min="6" max="6" width="20.75" bestFit="1" customWidth="1"/>
    <col min="7" max="9" width="21.625" bestFit="1" customWidth="1"/>
    <col min="10" max="10" width="16.75" bestFit="1" customWidth="1"/>
    <col min="11" max="12" width="15.125" bestFit="1" customWidth="1"/>
  </cols>
  <sheetData>
    <row r="1" spans="1:12">
      <c r="A1" s="32" t="s">
        <v>135</v>
      </c>
      <c r="B1" s="33" t="s">
        <v>43</v>
      </c>
      <c r="C1" s="34" t="s">
        <v>44</v>
      </c>
      <c r="D1" s="34" t="s">
        <v>45</v>
      </c>
      <c r="E1" s="34" t="s">
        <v>46</v>
      </c>
      <c r="F1" s="35" t="s">
        <v>47</v>
      </c>
      <c r="G1" s="36" t="s">
        <v>48</v>
      </c>
      <c r="H1" s="36" t="s">
        <v>49</v>
      </c>
      <c r="I1" s="36" t="s">
        <v>50</v>
      </c>
      <c r="J1" s="36" t="s">
        <v>51</v>
      </c>
    </row>
    <row r="2" spans="1:12">
      <c r="A2" s="32" t="s">
        <v>146</v>
      </c>
      <c r="B2" s="33">
        <v>5106050102</v>
      </c>
      <c r="C2" s="34">
        <v>5106050106</v>
      </c>
      <c r="D2" s="34">
        <v>5106050104</v>
      </c>
      <c r="E2" s="34">
        <v>5106050108</v>
      </c>
      <c r="F2" s="37">
        <v>5106050258</v>
      </c>
      <c r="G2" s="36">
        <v>5106050225</v>
      </c>
      <c r="H2" s="36">
        <v>5106050221</v>
      </c>
      <c r="I2" s="36">
        <v>5106050222</v>
      </c>
      <c r="J2" s="36">
        <v>5106050204</v>
      </c>
    </row>
    <row r="3" spans="1:12">
      <c r="A3" s="38" t="s">
        <v>147</v>
      </c>
      <c r="B3" s="39">
        <v>0.13109999999999999</v>
      </c>
      <c r="C3" s="39">
        <v>2.9000000000000001E-2</v>
      </c>
      <c r="D3" s="39">
        <v>4.9200000000000001E-2</v>
      </c>
      <c r="E3" s="39">
        <v>2.1899999999999999E-2</v>
      </c>
      <c r="F3" s="40">
        <v>2E-3</v>
      </c>
      <c r="G3" s="39">
        <v>4.6800000000000001E-2</v>
      </c>
      <c r="H3" s="39">
        <v>3.5700000000000003E-2</v>
      </c>
      <c r="I3" s="39">
        <v>3.5999999999999999E-3</v>
      </c>
      <c r="J3" s="39">
        <v>0.01</v>
      </c>
    </row>
    <row r="6" spans="1:12">
      <c r="A6" s="44" t="s">
        <v>138</v>
      </c>
      <c r="B6" s="7" t="s">
        <v>43</v>
      </c>
      <c r="C6" s="7" t="s">
        <v>44</v>
      </c>
      <c r="D6" s="7" t="s">
        <v>45</v>
      </c>
      <c r="E6" s="7" t="s">
        <v>46</v>
      </c>
      <c r="F6" s="7" t="s">
        <v>47</v>
      </c>
      <c r="G6" s="7" t="s">
        <v>48</v>
      </c>
      <c r="H6" s="7" t="s">
        <v>49</v>
      </c>
      <c r="I6" s="7" t="s">
        <v>50</v>
      </c>
      <c r="J6" s="7" t="s">
        <v>51</v>
      </c>
      <c r="K6" s="8"/>
      <c r="L6" s="8"/>
    </row>
    <row r="7" spans="1:12">
      <c r="A7" s="12" t="s">
        <v>52</v>
      </c>
      <c r="B7" s="10">
        <v>6900000730</v>
      </c>
      <c r="C7" s="10">
        <v>6900000732</v>
      </c>
      <c r="D7" s="10">
        <v>6900100360</v>
      </c>
      <c r="E7" s="10">
        <v>6900100361</v>
      </c>
      <c r="F7" s="10">
        <v>6910000018</v>
      </c>
      <c r="G7" s="10">
        <v>6910000016</v>
      </c>
      <c r="H7" s="10">
        <v>6910000012</v>
      </c>
      <c r="I7" s="10">
        <v>6910000013</v>
      </c>
      <c r="J7" s="10">
        <v>6910000001</v>
      </c>
      <c r="K7" s="49" t="s">
        <v>136</v>
      </c>
      <c r="L7" s="50" t="s">
        <v>137</v>
      </c>
    </row>
    <row r="8" spans="1:12">
      <c r="A8" s="12" t="s">
        <v>53</v>
      </c>
      <c r="B8" s="9">
        <v>4200000152</v>
      </c>
      <c r="C8" s="10">
        <v>4200000152</v>
      </c>
      <c r="D8" s="10">
        <v>4200000152</v>
      </c>
      <c r="E8" s="10">
        <v>4200000152</v>
      </c>
      <c r="F8" s="10">
        <v>4200000153</v>
      </c>
      <c r="G8" s="10">
        <v>4200000153</v>
      </c>
      <c r="H8" s="10">
        <v>4200000153</v>
      </c>
      <c r="I8" s="10">
        <v>4200000153</v>
      </c>
      <c r="J8" s="10">
        <v>4200000153</v>
      </c>
      <c r="K8" s="49"/>
      <c r="L8" s="50"/>
    </row>
    <row r="9" spans="1:12">
      <c r="A9" s="13" t="s">
        <v>54</v>
      </c>
      <c r="B9" s="14" t="s">
        <v>55</v>
      </c>
      <c r="C9" s="15" t="s">
        <v>55</v>
      </c>
      <c r="D9" s="15" t="s">
        <v>55</v>
      </c>
      <c r="E9" s="15" t="s">
        <v>55</v>
      </c>
      <c r="F9" s="15" t="s">
        <v>56</v>
      </c>
      <c r="G9" s="15" t="s">
        <v>56</v>
      </c>
      <c r="H9" s="15" t="s">
        <v>56</v>
      </c>
      <c r="I9" s="15" t="s">
        <v>56</v>
      </c>
      <c r="J9" s="15" t="s">
        <v>56</v>
      </c>
      <c r="K9" s="49"/>
      <c r="L9" s="50"/>
    </row>
    <row r="10" spans="1:12">
      <c r="A10" s="16">
        <v>43101</v>
      </c>
      <c r="B10" s="15">
        <f>ROUND($K10*$B$3,0)</f>
        <v>8007812</v>
      </c>
      <c r="C10" s="15">
        <f>ROUND($K10*$C$3,0)</f>
        <v>1771370</v>
      </c>
      <c r="D10" s="15">
        <f>ROUND($L10*$D$3,0)</f>
        <v>660999</v>
      </c>
      <c r="E10" s="15">
        <f>ROUND($L10*$E$3,0)</f>
        <v>294225</v>
      </c>
      <c r="F10" s="15">
        <f>ROUND($K10*$F$3,0)</f>
        <v>122163</v>
      </c>
      <c r="G10" s="15">
        <f>ROUND($K10*$G$3,0)</f>
        <v>2858624</v>
      </c>
      <c r="H10" s="15">
        <f>ROUND($K10*$H$3,0)</f>
        <v>2180617</v>
      </c>
      <c r="I10" s="15">
        <f>ROUND($K10*$I$3,0)</f>
        <v>219894</v>
      </c>
      <c r="J10" s="15">
        <f>ROUND($K10*$J$3,0)</f>
        <v>610817</v>
      </c>
      <c r="K10" s="8">
        <v>61081711.860000007</v>
      </c>
      <c r="L10" s="8">
        <v>13434942.01</v>
      </c>
    </row>
    <row r="11" spans="1:12">
      <c r="A11" s="16">
        <v>43132</v>
      </c>
      <c r="B11" s="15">
        <f t="shared" ref="B11:B20" si="0">ROUND($K11*$B$3,0)</f>
        <v>4264345</v>
      </c>
      <c r="C11" s="15">
        <f t="shared" ref="C11:C20" si="1">ROUND($K11*$C$3,0)</f>
        <v>943295</v>
      </c>
      <c r="D11" s="15">
        <f t="shared" ref="D11:D20" si="2">ROUND($L11*$D$3,0)</f>
        <v>583970</v>
      </c>
      <c r="E11" s="15">
        <f t="shared" ref="E11:E20" si="3">ROUND($L11*$E$3,0)</f>
        <v>259938</v>
      </c>
      <c r="F11" s="15">
        <f t="shared" ref="F11:F21" si="4">ROUND($K11*$F$3,0)</f>
        <v>65055</v>
      </c>
      <c r="G11" s="15">
        <f t="shared" ref="G11:G21" si="5">ROUND($K11*$G$3,0)</f>
        <v>1522283</v>
      </c>
      <c r="H11" s="15">
        <f t="shared" ref="H11:H21" si="6">ROUND($K11*$H$3,0)</f>
        <v>1161229</v>
      </c>
      <c r="I11" s="15">
        <f t="shared" ref="I11:I21" si="7">ROUND($K11*$I$3,0)</f>
        <v>117099</v>
      </c>
      <c r="J11" s="15">
        <f t="shared" ref="J11:J21" si="8">ROUND($K11*$J$3,0)</f>
        <v>325274</v>
      </c>
      <c r="K11" s="8">
        <v>32527423.329999994</v>
      </c>
      <c r="L11" s="8">
        <v>11869302.77</v>
      </c>
    </row>
    <row r="12" spans="1:12">
      <c r="A12" s="42">
        <v>43160</v>
      </c>
      <c r="B12" s="43">
        <f>SUM(B10:B11)</f>
        <v>12272157</v>
      </c>
      <c r="C12" s="43">
        <f t="shared" ref="C12:E12" si="9">SUM(C10:C11)</f>
        <v>2714665</v>
      </c>
      <c r="D12" s="43">
        <f t="shared" si="9"/>
        <v>1244969</v>
      </c>
      <c r="E12" s="43">
        <f t="shared" si="9"/>
        <v>554163</v>
      </c>
      <c r="F12" s="15">
        <f t="shared" si="4"/>
        <v>86157</v>
      </c>
      <c r="G12" s="15">
        <f t="shared" si="5"/>
        <v>2016082</v>
      </c>
      <c r="H12" s="15">
        <f t="shared" si="6"/>
        <v>1537909</v>
      </c>
      <c r="I12" s="15">
        <f t="shared" si="7"/>
        <v>155083</v>
      </c>
      <c r="J12" s="15">
        <f t="shared" si="8"/>
        <v>430787</v>
      </c>
      <c r="K12" s="31">
        <v>43078680.509999998</v>
      </c>
      <c r="L12" s="31"/>
    </row>
    <row r="13" spans="1:12">
      <c r="A13" s="30">
        <v>43191</v>
      </c>
      <c r="B13" s="15">
        <f t="shared" si="0"/>
        <v>3713285</v>
      </c>
      <c r="C13" s="15">
        <f t="shared" si="1"/>
        <v>821398</v>
      </c>
      <c r="D13" s="15">
        <f t="shared" si="2"/>
        <v>545178</v>
      </c>
      <c r="E13" s="15">
        <f t="shared" si="3"/>
        <v>242671</v>
      </c>
      <c r="F13" s="15">
        <f t="shared" si="4"/>
        <v>56648</v>
      </c>
      <c r="G13" s="15">
        <f t="shared" si="5"/>
        <v>1325566</v>
      </c>
      <c r="H13" s="15">
        <f t="shared" si="6"/>
        <v>1011169</v>
      </c>
      <c r="I13" s="15">
        <f t="shared" si="7"/>
        <v>101967</v>
      </c>
      <c r="J13" s="15">
        <f>ROUND($K13*$J$3,0)</f>
        <v>283241</v>
      </c>
      <c r="K13" s="31">
        <v>28324066.73</v>
      </c>
      <c r="L13" s="31">
        <v>11080858.209999999</v>
      </c>
    </row>
    <row r="14" spans="1:12">
      <c r="A14" s="30">
        <v>43221</v>
      </c>
      <c r="B14" s="15">
        <f t="shared" si="0"/>
        <v>4369639</v>
      </c>
      <c r="C14" s="15">
        <f t="shared" si="1"/>
        <v>966587</v>
      </c>
      <c r="D14" s="15">
        <f t="shared" si="2"/>
        <v>579134</v>
      </c>
      <c r="E14" s="15">
        <f t="shared" si="3"/>
        <v>257785</v>
      </c>
      <c r="F14" s="15">
        <f t="shared" si="4"/>
        <v>66661</v>
      </c>
      <c r="G14" s="15">
        <f t="shared" si="5"/>
        <v>1559871</v>
      </c>
      <c r="H14" s="15">
        <f t="shared" si="6"/>
        <v>1189902</v>
      </c>
      <c r="I14" s="15">
        <f t="shared" si="7"/>
        <v>119990</v>
      </c>
      <c r="J14" s="15">
        <f>ROUND($K14*$J$3,0)</f>
        <v>333306</v>
      </c>
      <c r="K14" s="31">
        <v>33330578.350000005</v>
      </c>
      <c r="L14" s="31">
        <v>11771012.629999999</v>
      </c>
    </row>
    <row r="15" spans="1:12">
      <c r="A15" s="42">
        <v>43252</v>
      </c>
      <c r="B15" s="43">
        <f>SUM(B13:B14)</f>
        <v>8082924</v>
      </c>
      <c r="C15" s="43">
        <f t="shared" ref="C15:E15" si="10">SUM(C13:C14)</f>
        <v>1787985</v>
      </c>
      <c r="D15" s="43">
        <f t="shared" si="10"/>
        <v>1124312</v>
      </c>
      <c r="E15" s="43">
        <f t="shared" si="10"/>
        <v>500456</v>
      </c>
      <c r="F15" s="15">
        <f t="shared" si="4"/>
        <v>78081</v>
      </c>
      <c r="G15" s="15">
        <f t="shared" si="5"/>
        <v>1827104</v>
      </c>
      <c r="H15" s="15">
        <f t="shared" si="6"/>
        <v>1393752</v>
      </c>
      <c r="I15" s="15">
        <f t="shared" si="7"/>
        <v>140546</v>
      </c>
      <c r="J15" s="15">
        <f>ROUND($K15*$J$3,0)</f>
        <v>390407</v>
      </c>
      <c r="K15" s="31">
        <v>39040680.739999995</v>
      </c>
      <c r="L15" s="31"/>
    </row>
    <row r="16" spans="1:12">
      <c r="A16" s="30">
        <v>43282</v>
      </c>
      <c r="B16" s="15">
        <f t="shared" si="0"/>
        <v>0</v>
      </c>
      <c r="C16" s="15">
        <f t="shared" si="1"/>
        <v>0</v>
      </c>
      <c r="D16" s="15">
        <f t="shared" si="2"/>
        <v>0</v>
      </c>
      <c r="E16" s="15">
        <f t="shared" si="3"/>
        <v>0</v>
      </c>
      <c r="F16" s="15">
        <f t="shared" si="4"/>
        <v>0</v>
      </c>
      <c r="G16" s="15">
        <f t="shared" si="5"/>
        <v>0</v>
      </c>
      <c r="H16" s="15">
        <f t="shared" si="6"/>
        <v>0</v>
      </c>
      <c r="I16" s="15">
        <f t="shared" si="7"/>
        <v>0</v>
      </c>
      <c r="J16" s="15">
        <f t="shared" si="8"/>
        <v>0</v>
      </c>
      <c r="K16" s="31"/>
      <c r="L16" s="31"/>
    </row>
    <row r="17" spans="1:12">
      <c r="A17" s="30">
        <v>43313</v>
      </c>
      <c r="B17" s="15">
        <f t="shared" si="0"/>
        <v>0</v>
      </c>
      <c r="C17" s="15">
        <f t="shared" si="1"/>
        <v>0</v>
      </c>
      <c r="D17" s="15">
        <f t="shared" si="2"/>
        <v>0</v>
      </c>
      <c r="E17" s="15">
        <f t="shared" si="3"/>
        <v>0</v>
      </c>
      <c r="F17" s="15">
        <f t="shared" si="4"/>
        <v>0</v>
      </c>
      <c r="G17" s="15">
        <f t="shared" si="5"/>
        <v>0</v>
      </c>
      <c r="H17" s="15">
        <f t="shared" si="6"/>
        <v>0</v>
      </c>
      <c r="I17" s="15">
        <f t="shared" si="7"/>
        <v>0</v>
      </c>
      <c r="J17" s="15">
        <f t="shared" si="8"/>
        <v>0</v>
      </c>
      <c r="K17" s="31"/>
      <c r="L17" s="31"/>
    </row>
    <row r="18" spans="1:12">
      <c r="A18" s="42">
        <v>43344</v>
      </c>
      <c r="B18" s="43">
        <f>SUM(B16:B17)</f>
        <v>0</v>
      </c>
      <c r="C18" s="43">
        <f t="shared" ref="C18:E18" si="11">SUM(C16:C17)</f>
        <v>0</v>
      </c>
      <c r="D18" s="43">
        <f t="shared" si="11"/>
        <v>0</v>
      </c>
      <c r="E18" s="43">
        <f t="shared" si="11"/>
        <v>0</v>
      </c>
      <c r="F18" s="15">
        <f t="shared" si="4"/>
        <v>0</v>
      </c>
      <c r="G18" s="15">
        <f t="shared" si="5"/>
        <v>0</v>
      </c>
      <c r="H18" s="15">
        <f t="shared" si="6"/>
        <v>0</v>
      </c>
      <c r="I18" s="15">
        <f t="shared" si="7"/>
        <v>0</v>
      </c>
      <c r="J18" s="15">
        <f t="shared" si="8"/>
        <v>0</v>
      </c>
      <c r="K18" s="31"/>
      <c r="L18" s="31"/>
    </row>
    <row r="19" spans="1:12">
      <c r="A19" s="30">
        <v>43374</v>
      </c>
      <c r="B19" s="15">
        <f t="shared" si="0"/>
        <v>0</v>
      </c>
      <c r="C19" s="15">
        <f t="shared" si="1"/>
        <v>0</v>
      </c>
      <c r="D19" s="15">
        <f t="shared" si="2"/>
        <v>0</v>
      </c>
      <c r="E19" s="15">
        <f t="shared" si="3"/>
        <v>0</v>
      </c>
      <c r="F19" s="15">
        <f t="shared" si="4"/>
        <v>0</v>
      </c>
      <c r="G19" s="15">
        <f t="shared" si="5"/>
        <v>0</v>
      </c>
      <c r="H19" s="15">
        <f t="shared" si="6"/>
        <v>0</v>
      </c>
      <c r="I19" s="15">
        <f t="shared" si="7"/>
        <v>0</v>
      </c>
      <c r="J19" s="15">
        <f t="shared" si="8"/>
        <v>0</v>
      </c>
      <c r="K19" s="31"/>
      <c r="L19" s="31"/>
    </row>
    <row r="20" spans="1:12">
      <c r="A20" s="30">
        <v>43405</v>
      </c>
      <c r="B20" s="15">
        <f t="shared" si="0"/>
        <v>0</v>
      </c>
      <c r="C20" s="15">
        <f t="shared" si="1"/>
        <v>0</v>
      </c>
      <c r="D20" s="15">
        <f t="shared" si="2"/>
        <v>0</v>
      </c>
      <c r="E20" s="15">
        <f t="shared" si="3"/>
        <v>0</v>
      </c>
      <c r="F20" s="15">
        <f t="shared" si="4"/>
        <v>0</v>
      </c>
      <c r="G20" s="15">
        <f t="shared" si="5"/>
        <v>0</v>
      </c>
      <c r="H20" s="15">
        <f t="shared" si="6"/>
        <v>0</v>
      </c>
      <c r="I20" s="15">
        <f t="shared" si="7"/>
        <v>0</v>
      </c>
      <c r="J20" s="15">
        <f t="shared" si="8"/>
        <v>0</v>
      </c>
      <c r="K20" s="31"/>
      <c r="L20" s="31"/>
    </row>
    <row r="21" spans="1:12">
      <c r="A21" s="42">
        <v>43435</v>
      </c>
      <c r="B21" s="43">
        <f>SUM(B19:B20)</f>
        <v>0</v>
      </c>
      <c r="C21" s="43">
        <f t="shared" ref="C21:E21" si="12">SUM(C19:C20)</f>
        <v>0</v>
      </c>
      <c r="D21" s="43">
        <f t="shared" si="12"/>
        <v>0</v>
      </c>
      <c r="E21" s="43">
        <f t="shared" si="12"/>
        <v>0</v>
      </c>
      <c r="F21" s="15">
        <f t="shared" si="4"/>
        <v>0</v>
      </c>
      <c r="G21" s="15">
        <f t="shared" si="5"/>
        <v>0</v>
      </c>
      <c r="H21" s="15">
        <f t="shared" si="6"/>
        <v>0</v>
      </c>
      <c r="I21" s="15">
        <f t="shared" si="7"/>
        <v>0</v>
      </c>
      <c r="J21" s="15">
        <f t="shared" si="8"/>
        <v>0</v>
      </c>
      <c r="K21" s="31"/>
      <c r="L21" s="31"/>
    </row>
    <row r="22" spans="1:12">
      <c r="A22" s="17" t="s">
        <v>57</v>
      </c>
      <c r="B22" s="15"/>
      <c r="C22" s="15"/>
      <c r="D22" s="15"/>
      <c r="E22" s="15"/>
      <c r="F22" s="18">
        <f>SUM(F10:F21)</f>
        <v>474765</v>
      </c>
      <c r="G22" s="18">
        <f>SUM(G10:G21)</f>
        <v>11109530</v>
      </c>
      <c r="H22" s="18">
        <f t="shared" ref="H22:J22" si="13">SUM(H10:H21)</f>
        <v>8474578</v>
      </c>
      <c r="I22" s="18">
        <f t="shared" si="13"/>
        <v>854579</v>
      </c>
      <c r="J22" s="18">
        <f t="shared" si="13"/>
        <v>2373832</v>
      </c>
      <c r="K22" s="8"/>
      <c r="L22" s="8"/>
    </row>
  </sheetData>
  <mergeCells count="2">
    <mergeCell ref="K7:K9"/>
    <mergeCell ref="L7:L9"/>
  </mergeCells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22"/>
  <sheetViews>
    <sheetView workbookViewId="0">
      <selection activeCell="B29" sqref="B29"/>
    </sheetView>
  </sheetViews>
  <sheetFormatPr defaultRowHeight="14.25"/>
  <cols>
    <col min="1" max="1" width="13.375" bestFit="1" customWidth="1"/>
    <col min="2" max="2" width="17.5" bestFit="1" customWidth="1"/>
    <col min="3" max="3" width="16.75" bestFit="1" customWidth="1"/>
    <col min="4" max="4" width="21.625" bestFit="1" customWidth="1"/>
    <col min="5" max="5" width="21" bestFit="1" customWidth="1"/>
    <col min="6" max="6" width="20.75" bestFit="1" customWidth="1"/>
    <col min="7" max="9" width="21.625" bestFit="1" customWidth="1"/>
    <col min="10" max="10" width="16.75" bestFit="1" customWidth="1"/>
    <col min="11" max="12" width="15.125" bestFit="1" customWidth="1"/>
  </cols>
  <sheetData>
    <row r="1" spans="1:12">
      <c r="A1" s="32" t="s">
        <v>135</v>
      </c>
      <c r="B1" s="33" t="s">
        <v>43</v>
      </c>
      <c r="C1" s="34" t="s">
        <v>44</v>
      </c>
      <c r="D1" s="34" t="s">
        <v>45</v>
      </c>
      <c r="E1" s="34" t="s">
        <v>46</v>
      </c>
      <c r="F1" s="35" t="s">
        <v>47</v>
      </c>
      <c r="G1" s="36" t="s">
        <v>48</v>
      </c>
      <c r="H1" s="36" t="s">
        <v>49</v>
      </c>
      <c r="I1" s="36" t="s">
        <v>50</v>
      </c>
      <c r="J1" s="36" t="s">
        <v>51</v>
      </c>
    </row>
    <row r="2" spans="1:12">
      <c r="A2" s="32" t="s">
        <v>146</v>
      </c>
      <c r="B2" s="33">
        <v>5106050102</v>
      </c>
      <c r="C2" s="34">
        <v>5106050106</v>
      </c>
      <c r="D2" s="34">
        <v>5106050104</v>
      </c>
      <c r="E2" s="34">
        <v>5106050108</v>
      </c>
      <c r="F2" s="37">
        <v>5106050258</v>
      </c>
      <c r="G2" s="36">
        <v>5106050225</v>
      </c>
      <c r="H2" s="36">
        <v>5106050221</v>
      </c>
      <c r="I2" s="36">
        <v>5106050222</v>
      </c>
      <c r="J2" s="36">
        <v>5106050204</v>
      </c>
    </row>
    <row r="3" spans="1:12">
      <c r="A3" s="38" t="s">
        <v>148</v>
      </c>
      <c r="B3" s="39">
        <v>0.13880000000000001</v>
      </c>
      <c r="C3" s="39">
        <v>1.54E-2</v>
      </c>
      <c r="D3" s="39">
        <v>5.4199999999999998E-2</v>
      </c>
      <c r="E3" s="39">
        <v>1.0500000000000001E-2</v>
      </c>
      <c r="F3" s="45">
        <v>0</v>
      </c>
      <c r="G3" s="39">
        <v>4.2200000000000001E-2</v>
      </c>
      <c r="H3" s="39">
        <v>1.01E-2</v>
      </c>
      <c r="I3" s="39">
        <v>1.4E-3</v>
      </c>
      <c r="J3" s="39">
        <v>8.0000000000000002E-3</v>
      </c>
    </row>
    <row r="6" spans="1:12">
      <c r="A6" s="44" t="s">
        <v>139</v>
      </c>
      <c r="B6" s="7" t="s">
        <v>43</v>
      </c>
      <c r="C6" s="7" t="s">
        <v>44</v>
      </c>
      <c r="D6" s="7" t="s">
        <v>45</v>
      </c>
      <c r="E6" s="7" t="s">
        <v>46</v>
      </c>
      <c r="F6" s="7" t="s">
        <v>47</v>
      </c>
      <c r="G6" s="7" t="s">
        <v>48</v>
      </c>
      <c r="H6" s="7" t="s">
        <v>49</v>
      </c>
      <c r="I6" s="7" t="s">
        <v>50</v>
      </c>
      <c r="J6" s="7" t="s">
        <v>51</v>
      </c>
      <c r="K6" s="8"/>
      <c r="L6" s="8"/>
    </row>
    <row r="7" spans="1:12">
      <c r="A7" s="12" t="s">
        <v>52</v>
      </c>
      <c r="B7" s="10">
        <v>6900000730</v>
      </c>
      <c r="C7" s="10">
        <v>6900000732</v>
      </c>
      <c r="D7" s="10">
        <v>6900100360</v>
      </c>
      <c r="E7" s="10">
        <v>6900100361</v>
      </c>
      <c r="F7" s="10">
        <v>6910000018</v>
      </c>
      <c r="G7" s="10">
        <v>6910000016</v>
      </c>
      <c r="H7" s="10">
        <v>6910000012</v>
      </c>
      <c r="I7" s="10">
        <v>6910000013</v>
      </c>
      <c r="J7" s="10">
        <v>6910000001</v>
      </c>
      <c r="K7" s="49" t="s">
        <v>136</v>
      </c>
      <c r="L7" s="50" t="s">
        <v>137</v>
      </c>
    </row>
    <row r="8" spans="1:12">
      <c r="A8" s="12" t="s">
        <v>53</v>
      </c>
      <c r="B8" s="9">
        <v>4200000152</v>
      </c>
      <c r="C8" s="10">
        <v>4200000152</v>
      </c>
      <c r="D8" s="10">
        <v>4200000152</v>
      </c>
      <c r="E8" s="10">
        <v>4200000152</v>
      </c>
      <c r="F8" s="10">
        <v>4200000153</v>
      </c>
      <c r="G8" s="10">
        <v>4200000153</v>
      </c>
      <c r="H8" s="10">
        <v>4200000153</v>
      </c>
      <c r="I8" s="10">
        <v>4200000153</v>
      </c>
      <c r="J8" s="10">
        <v>4200000153</v>
      </c>
      <c r="K8" s="49"/>
      <c r="L8" s="50"/>
    </row>
    <row r="9" spans="1:12">
      <c r="A9" s="13" t="s">
        <v>54</v>
      </c>
      <c r="B9" s="14" t="s">
        <v>55</v>
      </c>
      <c r="C9" s="15" t="s">
        <v>55</v>
      </c>
      <c r="D9" s="15" t="s">
        <v>55</v>
      </c>
      <c r="E9" s="15" t="s">
        <v>55</v>
      </c>
      <c r="F9" s="15" t="s">
        <v>56</v>
      </c>
      <c r="G9" s="15" t="s">
        <v>56</v>
      </c>
      <c r="H9" s="15" t="s">
        <v>56</v>
      </c>
      <c r="I9" s="15" t="s">
        <v>56</v>
      </c>
      <c r="J9" s="15" t="s">
        <v>56</v>
      </c>
      <c r="K9" s="49"/>
      <c r="L9" s="50"/>
    </row>
    <row r="10" spans="1:12">
      <c r="A10" s="16">
        <v>43101</v>
      </c>
      <c r="B10" s="15">
        <f>ROUND($K10*$B$3,0)</f>
        <v>2417036</v>
      </c>
      <c r="C10" s="15">
        <f>ROUND($K10*$C$3,0)</f>
        <v>268173</v>
      </c>
      <c r="D10" s="15">
        <f>ROUND($L10*$D$3,0)</f>
        <v>303293</v>
      </c>
      <c r="E10" s="15">
        <f>ROUND($L10*$E$3,0)</f>
        <v>58756</v>
      </c>
      <c r="F10" s="15">
        <f>ROUND($K10*$F$3,0)</f>
        <v>0</v>
      </c>
      <c r="G10" s="15">
        <f>ROUND($K10*$G$3,0)</f>
        <v>734862</v>
      </c>
      <c r="H10" s="15">
        <f>ROUND($K10*$H$3,0)</f>
        <v>175879</v>
      </c>
      <c r="I10" s="15">
        <f>ROUND($K10*$I$3,0)</f>
        <v>24379</v>
      </c>
      <c r="J10" s="15">
        <f>ROUND($K10*$J$3,0)</f>
        <v>139310</v>
      </c>
      <c r="K10" s="8">
        <v>17413801.449999999</v>
      </c>
      <c r="L10" s="8">
        <v>5595802.7400000002</v>
      </c>
    </row>
    <row r="11" spans="1:12">
      <c r="A11" s="16">
        <v>43132</v>
      </c>
      <c r="B11" s="15">
        <f t="shared" ref="B11:B20" si="0">ROUND($K11*$B$3,0)</f>
        <v>1038657</v>
      </c>
      <c r="C11" s="15">
        <f t="shared" ref="C11:C20" si="1">ROUND($K11*$C$3,0)</f>
        <v>115240</v>
      </c>
      <c r="D11" s="15">
        <f t="shared" ref="D11:D20" si="2">ROUND($L11*$D$3,0)</f>
        <v>230788</v>
      </c>
      <c r="E11" s="15">
        <f t="shared" ref="E11:E20" si="3">ROUND($L11*$E$3,0)</f>
        <v>44710</v>
      </c>
      <c r="F11" s="15">
        <f t="shared" ref="F11:F21" si="4">ROUND($K11*$F$3,0)</f>
        <v>0</v>
      </c>
      <c r="G11" s="15">
        <f t="shared" ref="G11:G21" si="5">ROUND($K11*$G$3,0)</f>
        <v>315788</v>
      </c>
      <c r="H11" s="15">
        <f t="shared" ref="H11:H21" si="6">ROUND($K11*$H$3,0)</f>
        <v>75580</v>
      </c>
      <c r="I11" s="15">
        <f t="shared" ref="I11:I21" si="7">ROUND($K11*$I$3,0)</f>
        <v>10476</v>
      </c>
      <c r="J11" s="15">
        <f t="shared" ref="J11:J21" si="8">ROUND($K11*$J$3,0)</f>
        <v>59865</v>
      </c>
      <c r="K11" s="8">
        <v>7483119.9299999997</v>
      </c>
      <c r="L11" s="8">
        <v>4258073.26</v>
      </c>
    </row>
    <row r="12" spans="1:12">
      <c r="A12" s="42">
        <v>43160</v>
      </c>
      <c r="B12" s="43">
        <f>SUM(B10:B11)</f>
        <v>3455693</v>
      </c>
      <c r="C12" s="43">
        <f t="shared" ref="C12:E12" si="9">SUM(C10:C11)</f>
        <v>383413</v>
      </c>
      <c r="D12" s="43">
        <f t="shared" si="9"/>
        <v>534081</v>
      </c>
      <c r="E12" s="43">
        <f t="shared" si="9"/>
        <v>103466</v>
      </c>
      <c r="F12" s="15">
        <f t="shared" si="4"/>
        <v>0</v>
      </c>
      <c r="G12" s="15">
        <f t="shared" si="5"/>
        <v>477043</v>
      </c>
      <c r="H12" s="15">
        <f t="shared" si="6"/>
        <v>114174</v>
      </c>
      <c r="I12" s="15">
        <f t="shared" si="7"/>
        <v>15826</v>
      </c>
      <c r="J12" s="15">
        <f t="shared" si="8"/>
        <v>90435</v>
      </c>
      <c r="K12" s="31">
        <v>11304340.530000001</v>
      </c>
      <c r="L12" s="31"/>
    </row>
    <row r="13" spans="1:12">
      <c r="A13" s="30">
        <v>43191</v>
      </c>
      <c r="B13" s="15">
        <f t="shared" si="0"/>
        <v>898693</v>
      </c>
      <c r="C13" s="15">
        <f t="shared" si="1"/>
        <v>99711</v>
      </c>
      <c r="D13" s="15">
        <f t="shared" si="2"/>
        <v>267449</v>
      </c>
      <c r="E13" s="15">
        <f t="shared" si="3"/>
        <v>51812</v>
      </c>
      <c r="F13" s="15">
        <f t="shared" si="4"/>
        <v>0</v>
      </c>
      <c r="G13" s="15">
        <f t="shared" si="5"/>
        <v>273234</v>
      </c>
      <c r="H13" s="15">
        <f t="shared" si="6"/>
        <v>65395</v>
      </c>
      <c r="I13" s="15">
        <f t="shared" si="7"/>
        <v>9065</v>
      </c>
      <c r="J13" s="15">
        <f t="shared" si="8"/>
        <v>51798</v>
      </c>
      <c r="K13" s="31">
        <v>6474732.6899999995</v>
      </c>
      <c r="L13" s="31">
        <v>4934476.3000000007</v>
      </c>
    </row>
    <row r="14" spans="1:12">
      <c r="A14" s="30">
        <v>43221</v>
      </c>
      <c r="B14" s="15">
        <f t="shared" si="0"/>
        <v>1249425</v>
      </c>
      <c r="C14" s="15">
        <f t="shared" si="1"/>
        <v>138625</v>
      </c>
      <c r="D14" s="15">
        <f t="shared" si="2"/>
        <v>295273</v>
      </c>
      <c r="E14" s="15">
        <f t="shared" si="3"/>
        <v>57202</v>
      </c>
      <c r="F14" s="15">
        <f t="shared" si="4"/>
        <v>0</v>
      </c>
      <c r="G14" s="15">
        <f t="shared" si="5"/>
        <v>379868</v>
      </c>
      <c r="H14" s="15">
        <f t="shared" si="6"/>
        <v>90916</v>
      </c>
      <c r="I14" s="15">
        <f t="shared" si="7"/>
        <v>12602</v>
      </c>
      <c r="J14" s="15">
        <f t="shared" si="8"/>
        <v>72013</v>
      </c>
      <c r="K14" s="31">
        <v>9001622.7599999979</v>
      </c>
      <c r="L14" s="31">
        <v>5447840.2199999997</v>
      </c>
    </row>
    <row r="15" spans="1:12">
      <c r="A15" s="42">
        <v>43252</v>
      </c>
      <c r="B15" s="43">
        <f>SUM(B13:B14)</f>
        <v>2148118</v>
      </c>
      <c r="C15" s="43">
        <f t="shared" ref="C15:E15" si="10">SUM(C13:C14)</f>
        <v>238336</v>
      </c>
      <c r="D15" s="43">
        <f t="shared" si="10"/>
        <v>562722</v>
      </c>
      <c r="E15" s="43">
        <f t="shared" si="10"/>
        <v>109014</v>
      </c>
      <c r="F15" s="15">
        <f t="shared" si="4"/>
        <v>0</v>
      </c>
      <c r="G15" s="15">
        <f t="shared" si="5"/>
        <v>460834</v>
      </c>
      <c r="H15" s="15">
        <f t="shared" si="6"/>
        <v>110294</v>
      </c>
      <c r="I15" s="15">
        <f t="shared" si="7"/>
        <v>15288</v>
      </c>
      <c r="J15" s="15">
        <f t="shared" si="8"/>
        <v>87362</v>
      </c>
      <c r="K15" s="31">
        <v>10920231.41</v>
      </c>
      <c r="L15" s="31"/>
    </row>
    <row r="16" spans="1:12">
      <c r="A16" s="30">
        <v>43282</v>
      </c>
      <c r="B16" s="15">
        <f t="shared" si="0"/>
        <v>0</v>
      </c>
      <c r="C16" s="15">
        <f t="shared" si="1"/>
        <v>0</v>
      </c>
      <c r="D16" s="15">
        <f t="shared" si="2"/>
        <v>0</v>
      </c>
      <c r="E16" s="15">
        <f t="shared" si="3"/>
        <v>0</v>
      </c>
      <c r="F16" s="15">
        <f t="shared" si="4"/>
        <v>0</v>
      </c>
      <c r="G16" s="15">
        <f t="shared" si="5"/>
        <v>0</v>
      </c>
      <c r="H16" s="15">
        <f t="shared" si="6"/>
        <v>0</v>
      </c>
      <c r="I16" s="15">
        <f t="shared" si="7"/>
        <v>0</v>
      </c>
      <c r="J16" s="15">
        <f t="shared" si="8"/>
        <v>0</v>
      </c>
      <c r="K16" s="31"/>
      <c r="L16" s="31"/>
    </row>
    <row r="17" spans="1:12">
      <c r="A17" s="30">
        <v>43313</v>
      </c>
      <c r="B17" s="15">
        <f t="shared" si="0"/>
        <v>0</v>
      </c>
      <c r="C17" s="15">
        <f t="shared" si="1"/>
        <v>0</v>
      </c>
      <c r="D17" s="15">
        <f t="shared" si="2"/>
        <v>0</v>
      </c>
      <c r="E17" s="15">
        <f t="shared" si="3"/>
        <v>0</v>
      </c>
      <c r="F17" s="15">
        <f t="shared" si="4"/>
        <v>0</v>
      </c>
      <c r="G17" s="15">
        <f t="shared" si="5"/>
        <v>0</v>
      </c>
      <c r="H17" s="15">
        <f t="shared" si="6"/>
        <v>0</v>
      </c>
      <c r="I17" s="15">
        <f t="shared" si="7"/>
        <v>0</v>
      </c>
      <c r="J17" s="15">
        <f t="shared" si="8"/>
        <v>0</v>
      </c>
      <c r="K17" s="31"/>
      <c r="L17" s="31"/>
    </row>
    <row r="18" spans="1:12">
      <c r="A18" s="42">
        <v>43344</v>
      </c>
      <c r="B18" s="43">
        <f>SUM(B16:B17)</f>
        <v>0</v>
      </c>
      <c r="C18" s="43">
        <f t="shared" ref="C18:E18" si="11">SUM(C16:C17)</f>
        <v>0</v>
      </c>
      <c r="D18" s="43">
        <f t="shared" si="11"/>
        <v>0</v>
      </c>
      <c r="E18" s="43">
        <f t="shared" si="11"/>
        <v>0</v>
      </c>
      <c r="F18" s="15">
        <f t="shared" si="4"/>
        <v>0</v>
      </c>
      <c r="G18" s="15">
        <f t="shared" si="5"/>
        <v>0</v>
      </c>
      <c r="H18" s="15">
        <f t="shared" si="6"/>
        <v>0</v>
      </c>
      <c r="I18" s="15">
        <f t="shared" si="7"/>
        <v>0</v>
      </c>
      <c r="J18" s="15">
        <f t="shared" si="8"/>
        <v>0</v>
      </c>
      <c r="K18" s="31"/>
      <c r="L18" s="31"/>
    </row>
    <row r="19" spans="1:12">
      <c r="A19" s="30">
        <v>43374</v>
      </c>
      <c r="B19" s="15">
        <f t="shared" si="0"/>
        <v>0</v>
      </c>
      <c r="C19" s="15">
        <f t="shared" si="1"/>
        <v>0</v>
      </c>
      <c r="D19" s="15">
        <f t="shared" si="2"/>
        <v>0</v>
      </c>
      <c r="E19" s="15">
        <f t="shared" si="3"/>
        <v>0</v>
      </c>
      <c r="F19" s="15">
        <f t="shared" si="4"/>
        <v>0</v>
      </c>
      <c r="G19" s="15">
        <f t="shared" si="5"/>
        <v>0</v>
      </c>
      <c r="H19" s="15">
        <f t="shared" si="6"/>
        <v>0</v>
      </c>
      <c r="I19" s="15">
        <f t="shared" si="7"/>
        <v>0</v>
      </c>
      <c r="J19" s="15">
        <f t="shared" si="8"/>
        <v>0</v>
      </c>
      <c r="K19" s="31"/>
      <c r="L19" s="31"/>
    </row>
    <row r="20" spans="1:12">
      <c r="A20" s="30">
        <v>43405</v>
      </c>
      <c r="B20" s="15">
        <f t="shared" si="0"/>
        <v>0</v>
      </c>
      <c r="C20" s="15">
        <f t="shared" si="1"/>
        <v>0</v>
      </c>
      <c r="D20" s="15">
        <f t="shared" si="2"/>
        <v>0</v>
      </c>
      <c r="E20" s="15">
        <f t="shared" si="3"/>
        <v>0</v>
      </c>
      <c r="F20" s="15">
        <f t="shared" si="4"/>
        <v>0</v>
      </c>
      <c r="G20" s="15">
        <f t="shared" si="5"/>
        <v>0</v>
      </c>
      <c r="H20" s="15">
        <f t="shared" si="6"/>
        <v>0</v>
      </c>
      <c r="I20" s="15">
        <f t="shared" si="7"/>
        <v>0</v>
      </c>
      <c r="J20" s="15">
        <f t="shared" si="8"/>
        <v>0</v>
      </c>
      <c r="K20" s="31"/>
      <c r="L20" s="31"/>
    </row>
    <row r="21" spans="1:12">
      <c r="A21" s="42">
        <v>43435</v>
      </c>
      <c r="B21" s="43">
        <f>SUM(B19:B20)</f>
        <v>0</v>
      </c>
      <c r="C21" s="43">
        <f t="shared" ref="C21:E21" si="12">SUM(C19:C20)</f>
        <v>0</v>
      </c>
      <c r="D21" s="43">
        <f t="shared" si="12"/>
        <v>0</v>
      </c>
      <c r="E21" s="43">
        <f t="shared" si="12"/>
        <v>0</v>
      </c>
      <c r="F21" s="15">
        <f t="shared" si="4"/>
        <v>0</v>
      </c>
      <c r="G21" s="15">
        <f t="shared" si="5"/>
        <v>0</v>
      </c>
      <c r="H21" s="15">
        <f t="shared" si="6"/>
        <v>0</v>
      </c>
      <c r="I21" s="15">
        <f t="shared" si="7"/>
        <v>0</v>
      </c>
      <c r="J21" s="15">
        <f t="shared" si="8"/>
        <v>0</v>
      </c>
      <c r="K21" s="31"/>
      <c r="L21" s="31"/>
    </row>
    <row r="22" spans="1:12">
      <c r="A22" s="17" t="s">
        <v>57</v>
      </c>
      <c r="B22" s="15"/>
      <c r="C22" s="15"/>
      <c r="D22" s="15"/>
      <c r="E22" s="15"/>
      <c r="F22" s="18">
        <f>SUM(F10:F21)</f>
        <v>0</v>
      </c>
      <c r="G22" s="18">
        <f>SUM(G10:G21)</f>
        <v>2641629</v>
      </c>
      <c r="H22" s="18">
        <f t="shared" ref="H22:J22" si="13">SUM(H10:H21)</f>
        <v>632238</v>
      </c>
      <c r="I22" s="18">
        <f t="shared" si="13"/>
        <v>87636</v>
      </c>
      <c r="J22" s="18">
        <f t="shared" si="13"/>
        <v>500783</v>
      </c>
      <c r="K22" s="8"/>
      <c r="L22" s="8"/>
    </row>
  </sheetData>
  <mergeCells count="2">
    <mergeCell ref="K7:K9"/>
    <mergeCell ref="L7:L9"/>
  </mergeCells>
  <phoneticPr fontId="2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2"/>
  <sheetViews>
    <sheetView tabSelected="1" topLeftCell="A4" workbookViewId="0">
      <selection activeCell="C32" sqref="C32"/>
    </sheetView>
  </sheetViews>
  <sheetFormatPr defaultRowHeight="14.25"/>
  <cols>
    <col min="1" max="1" width="13.375" bestFit="1" customWidth="1"/>
    <col min="2" max="2" width="17.5" bestFit="1" customWidth="1"/>
    <col min="3" max="3" width="16.75" bestFit="1" customWidth="1"/>
    <col min="4" max="4" width="21.625" bestFit="1" customWidth="1"/>
    <col min="5" max="5" width="21" bestFit="1" customWidth="1"/>
    <col min="6" max="6" width="20.75" bestFit="1" customWidth="1"/>
    <col min="7" max="9" width="21.625" bestFit="1" customWidth="1"/>
    <col min="10" max="10" width="16.75" bestFit="1" customWidth="1"/>
    <col min="11" max="12" width="15.125" bestFit="1" customWidth="1"/>
  </cols>
  <sheetData>
    <row r="1" spans="1:12">
      <c r="A1" s="32" t="s">
        <v>135</v>
      </c>
      <c r="B1" s="33" t="s">
        <v>43</v>
      </c>
      <c r="C1" s="34" t="s">
        <v>44</v>
      </c>
      <c r="D1" s="34" t="s">
        <v>45</v>
      </c>
      <c r="E1" s="34" t="s">
        <v>46</v>
      </c>
      <c r="F1" s="35" t="s">
        <v>47</v>
      </c>
      <c r="G1" s="36" t="s">
        <v>48</v>
      </c>
      <c r="H1" s="36" t="s">
        <v>49</v>
      </c>
      <c r="I1" s="36" t="s">
        <v>50</v>
      </c>
      <c r="J1" s="36" t="s">
        <v>51</v>
      </c>
    </row>
    <row r="2" spans="1:12">
      <c r="A2" s="32" t="s">
        <v>146</v>
      </c>
      <c r="B2" s="33">
        <v>5106050102</v>
      </c>
      <c r="C2" s="34">
        <v>5106050106</v>
      </c>
      <c r="D2" s="34">
        <v>5106050104</v>
      </c>
      <c r="E2" s="34">
        <v>5106050108</v>
      </c>
      <c r="F2" s="37">
        <v>5106050258</v>
      </c>
      <c r="G2" s="36">
        <v>5106050225</v>
      </c>
      <c r="H2" s="36">
        <v>5106050221</v>
      </c>
      <c r="I2" s="36">
        <v>5106050222</v>
      </c>
      <c r="J2" s="36">
        <v>5106050204</v>
      </c>
    </row>
    <row r="3" spans="1:12">
      <c r="A3" s="38" t="s">
        <v>149</v>
      </c>
      <c r="B3" s="39">
        <v>0.11749999999999999</v>
      </c>
      <c r="C3" s="39">
        <v>2.06E-2</v>
      </c>
      <c r="D3" s="39">
        <v>4.0300000000000002E-2</v>
      </c>
      <c r="E3" s="39">
        <v>9.5999999999999992E-3</v>
      </c>
      <c r="F3" s="40">
        <v>1.2999999999999999E-3</v>
      </c>
      <c r="G3" s="39">
        <v>4.1599999999999998E-2</v>
      </c>
      <c r="H3" s="39">
        <v>2.12E-2</v>
      </c>
      <c r="I3" s="39">
        <v>1.4E-3</v>
      </c>
      <c r="J3" s="39">
        <v>6.4999999999999997E-3</v>
      </c>
    </row>
    <row r="6" spans="1:12">
      <c r="A6" s="44" t="s">
        <v>140</v>
      </c>
      <c r="B6" s="7" t="s">
        <v>43</v>
      </c>
      <c r="C6" s="7" t="s">
        <v>44</v>
      </c>
      <c r="D6" s="7" t="s">
        <v>45</v>
      </c>
      <c r="E6" s="7" t="s">
        <v>46</v>
      </c>
      <c r="F6" s="7" t="s">
        <v>47</v>
      </c>
      <c r="G6" s="7" t="s">
        <v>48</v>
      </c>
      <c r="H6" s="7" t="s">
        <v>49</v>
      </c>
      <c r="I6" s="7" t="s">
        <v>50</v>
      </c>
      <c r="J6" s="7" t="s">
        <v>51</v>
      </c>
      <c r="K6" s="8"/>
      <c r="L6" s="8"/>
    </row>
    <row r="7" spans="1:12">
      <c r="A7" s="12" t="s">
        <v>52</v>
      </c>
      <c r="B7" s="29">
        <v>6900000730</v>
      </c>
      <c r="C7" s="10">
        <v>6900000732</v>
      </c>
      <c r="D7" s="10">
        <v>6900100360</v>
      </c>
      <c r="E7" s="10">
        <v>6900100361</v>
      </c>
      <c r="F7" s="10">
        <v>6910000018</v>
      </c>
      <c r="G7" s="10">
        <v>6910000016</v>
      </c>
      <c r="H7" s="10">
        <v>6910000012</v>
      </c>
      <c r="I7" s="10">
        <v>6910000013</v>
      </c>
      <c r="J7" s="10">
        <v>6910000001</v>
      </c>
      <c r="K7" s="49" t="s">
        <v>136</v>
      </c>
      <c r="L7" s="50" t="s">
        <v>137</v>
      </c>
    </row>
    <row r="8" spans="1:12">
      <c r="A8" s="12" t="s">
        <v>53</v>
      </c>
      <c r="B8" s="9">
        <v>4200000152</v>
      </c>
      <c r="C8" s="10">
        <v>4200000152</v>
      </c>
      <c r="D8" s="10">
        <v>4200000152</v>
      </c>
      <c r="E8" s="10">
        <v>4200000152</v>
      </c>
      <c r="F8" s="10">
        <v>4200000153</v>
      </c>
      <c r="G8" s="10">
        <v>4200000153</v>
      </c>
      <c r="H8" s="10">
        <v>4200000153</v>
      </c>
      <c r="I8" s="10">
        <v>4200000153</v>
      </c>
      <c r="J8" s="10">
        <v>4200000153</v>
      </c>
      <c r="K8" s="49"/>
      <c r="L8" s="50"/>
    </row>
    <row r="9" spans="1:12">
      <c r="A9" s="13" t="s">
        <v>54</v>
      </c>
      <c r="B9" s="14" t="s">
        <v>55</v>
      </c>
      <c r="C9" s="15" t="s">
        <v>55</v>
      </c>
      <c r="D9" s="15" t="s">
        <v>55</v>
      </c>
      <c r="E9" s="15" t="s">
        <v>55</v>
      </c>
      <c r="F9" s="15" t="s">
        <v>56</v>
      </c>
      <c r="G9" s="15" t="s">
        <v>56</v>
      </c>
      <c r="H9" s="15" t="s">
        <v>56</v>
      </c>
      <c r="I9" s="15" t="s">
        <v>56</v>
      </c>
      <c r="J9" s="15" t="s">
        <v>56</v>
      </c>
      <c r="K9" s="49"/>
      <c r="L9" s="50"/>
    </row>
    <row r="10" spans="1:12">
      <c r="A10" s="16">
        <v>43101</v>
      </c>
      <c r="B10" s="15">
        <f>ROUND($K10*$B$3,0)</f>
        <v>7492429</v>
      </c>
      <c r="C10" s="15">
        <f>ROUND($K10*$C$3,0)</f>
        <v>1313566</v>
      </c>
      <c r="D10" s="15">
        <f>ROUND($L10*$D$3,0)</f>
        <v>802307</v>
      </c>
      <c r="E10" s="15">
        <f>ROUND($L10*$E$3,0)</f>
        <v>191120</v>
      </c>
      <c r="F10" s="15">
        <f>ROUND($K10*$F$3,0)</f>
        <v>82895</v>
      </c>
      <c r="G10" s="15">
        <f>ROUND($K10*$G$3,0)</f>
        <v>2652639</v>
      </c>
      <c r="H10" s="15">
        <f>ROUND($K10*$H$3,0)</f>
        <v>1351826</v>
      </c>
      <c r="I10" s="15">
        <f>ROUND($K10*$I$3,0)</f>
        <v>89271</v>
      </c>
      <c r="J10" s="15">
        <f>ROUND($K10*$J$3,0)</f>
        <v>414475</v>
      </c>
      <c r="K10" s="8">
        <v>63765355.410000071</v>
      </c>
      <c r="L10" s="8">
        <v>19908371.060000014</v>
      </c>
    </row>
    <row r="11" spans="1:12">
      <c r="A11" s="16">
        <v>43132</v>
      </c>
      <c r="B11" s="15">
        <f t="shared" ref="B11:B20" si="0">ROUND($K11*$B$3,0)</f>
        <v>2730962</v>
      </c>
      <c r="C11" s="15">
        <f t="shared" ref="C11:C20" si="1">ROUND($K11*$C$3,0)</f>
        <v>478790</v>
      </c>
      <c r="D11" s="15">
        <f t="shared" ref="D11:D20" si="2">ROUND($L11*$D$3,0)</f>
        <v>611162</v>
      </c>
      <c r="E11" s="15">
        <f t="shared" ref="E11:E20" si="3">ROUND($L11*$E$3,0)</f>
        <v>145587</v>
      </c>
      <c r="F11" s="15">
        <f t="shared" ref="F11:F21" si="4">ROUND($K11*$F$3,0)</f>
        <v>30215</v>
      </c>
      <c r="G11" s="15">
        <f t="shared" ref="G11:G21" si="5">ROUND($K11*$G$3,0)</f>
        <v>966877</v>
      </c>
      <c r="H11" s="15">
        <f t="shared" ref="H11:H21" si="6">ROUND($K11*$H$3,0)</f>
        <v>492735</v>
      </c>
      <c r="I11" s="15">
        <f t="shared" ref="I11:I21" si="7">ROUND($K11*$I$3,0)</f>
        <v>32539</v>
      </c>
      <c r="J11" s="15">
        <f t="shared" ref="J11:J21" si="8">ROUND($K11*$J$3,0)</f>
        <v>151075</v>
      </c>
      <c r="K11" s="8">
        <v>23242233.900000021</v>
      </c>
      <c r="L11" s="8">
        <v>15165321.020000001</v>
      </c>
    </row>
    <row r="12" spans="1:12">
      <c r="A12" s="42">
        <v>43160</v>
      </c>
      <c r="B12" s="43">
        <f>SUM(B10:B11)</f>
        <v>10223391</v>
      </c>
      <c r="C12" s="43">
        <f t="shared" ref="C12:E12" si="9">SUM(C10:C11)</f>
        <v>1792356</v>
      </c>
      <c r="D12" s="43">
        <f t="shared" si="9"/>
        <v>1413469</v>
      </c>
      <c r="E12" s="43">
        <f t="shared" si="9"/>
        <v>336707</v>
      </c>
      <c r="F12" s="15">
        <f t="shared" si="4"/>
        <v>49182</v>
      </c>
      <c r="G12" s="15">
        <f>ROUND($K12*$G$3,0)</f>
        <v>1573834</v>
      </c>
      <c r="H12" s="15">
        <f t="shared" si="6"/>
        <v>802050</v>
      </c>
      <c r="I12" s="15">
        <f t="shared" si="7"/>
        <v>52966</v>
      </c>
      <c r="J12" s="15">
        <f t="shared" si="8"/>
        <v>245912</v>
      </c>
      <c r="K12" s="31">
        <v>37832542.030000024</v>
      </c>
      <c r="L12" s="31"/>
    </row>
    <row r="13" spans="1:12">
      <c r="A13" s="30">
        <v>43191</v>
      </c>
      <c r="B13" s="15">
        <f t="shared" si="0"/>
        <v>2825626</v>
      </c>
      <c r="C13" s="15">
        <f t="shared" si="1"/>
        <v>495386</v>
      </c>
      <c r="D13" s="15">
        <f t="shared" si="2"/>
        <v>719790</v>
      </c>
      <c r="E13" s="15">
        <f t="shared" si="3"/>
        <v>171464</v>
      </c>
      <c r="F13" s="15">
        <f t="shared" si="4"/>
        <v>31262</v>
      </c>
      <c r="G13" s="15">
        <f t="shared" si="5"/>
        <v>1000392</v>
      </c>
      <c r="H13" s="15">
        <f t="shared" si="6"/>
        <v>509815</v>
      </c>
      <c r="I13" s="15">
        <f t="shared" si="7"/>
        <v>33667</v>
      </c>
      <c r="J13" s="15">
        <f t="shared" si="8"/>
        <v>156311</v>
      </c>
      <c r="K13" s="31">
        <v>24047877.019999966</v>
      </c>
      <c r="L13" s="31">
        <v>17860790.75999999</v>
      </c>
    </row>
    <row r="14" spans="1:12">
      <c r="A14" s="30">
        <v>43221</v>
      </c>
      <c r="B14" s="15">
        <f t="shared" si="0"/>
        <v>3274419</v>
      </c>
      <c r="C14" s="15">
        <f t="shared" si="1"/>
        <v>574068</v>
      </c>
      <c r="D14" s="15">
        <f t="shared" si="2"/>
        <v>720171</v>
      </c>
      <c r="E14" s="15">
        <f t="shared" si="3"/>
        <v>171554</v>
      </c>
      <c r="F14" s="15">
        <f t="shared" si="4"/>
        <v>36228</v>
      </c>
      <c r="G14" s="15">
        <f t="shared" si="5"/>
        <v>1159284</v>
      </c>
      <c r="H14" s="15">
        <f t="shared" si="6"/>
        <v>590789</v>
      </c>
      <c r="I14" s="15">
        <f t="shared" si="7"/>
        <v>39014</v>
      </c>
      <c r="J14" s="15">
        <f t="shared" si="8"/>
        <v>181138</v>
      </c>
      <c r="K14" s="31">
        <v>27867394.150000006</v>
      </c>
      <c r="L14" s="31">
        <v>17870256.459999997</v>
      </c>
    </row>
    <row r="15" spans="1:12">
      <c r="A15" s="42">
        <v>43252</v>
      </c>
      <c r="B15" s="43">
        <f>SUM(B13:B14)</f>
        <v>6100045</v>
      </c>
      <c r="C15" s="43">
        <f t="shared" ref="C15:E15" si="10">SUM(C13:C14)</f>
        <v>1069454</v>
      </c>
      <c r="D15" s="43">
        <f t="shared" si="10"/>
        <v>1439961</v>
      </c>
      <c r="E15" s="43">
        <f t="shared" si="10"/>
        <v>343018</v>
      </c>
      <c r="F15" s="15">
        <f t="shared" si="4"/>
        <v>41983</v>
      </c>
      <c r="G15" s="15">
        <f t="shared" si="5"/>
        <v>1343445</v>
      </c>
      <c r="H15" s="15">
        <f t="shared" si="6"/>
        <v>684640</v>
      </c>
      <c r="I15" s="15">
        <f t="shared" si="7"/>
        <v>45212</v>
      </c>
      <c r="J15" s="15">
        <f>ROUND($K15*$J$3,0)</f>
        <v>209913</v>
      </c>
      <c r="K15" s="31">
        <v>32294355.969999991</v>
      </c>
      <c r="L15" s="31"/>
    </row>
    <row r="16" spans="1:12">
      <c r="A16" s="30">
        <v>43282</v>
      </c>
      <c r="B16" s="15">
        <f t="shared" si="0"/>
        <v>0</v>
      </c>
      <c r="C16" s="15">
        <f t="shared" si="1"/>
        <v>0</v>
      </c>
      <c r="D16" s="15">
        <f t="shared" si="2"/>
        <v>0</v>
      </c>
      <c r="E16" s="15">
        <f t="shared" si="3"/>
        <v>0</v>
      </c>
      <c r="F16" s="15">
        <f t="shared" si="4"/>
        <v>0</v>
      </c>
      <c r="G16" s="15">
        <f t="shared" si="5"/>
        <v>0</v>
      </c>
      <c r="H16" s="15">
        <f t="shared" si="6"/>
        <v>0</v>
      </c>
      <c r="I16" s="15">
        <f t="shared" si="7"/>
        <v>0</v>
      </c>
      <c r="J16" s="15">
        <f t="shared" si="8"/>
        <v>0</v>
      </c>
      <c r="K16" s="31"/>
      <c r="L16" s="31"/>
    </row>
    <row r="17" spans="1:12">
      <c r="A17" s="30">
        <v>43313</v>
      </c>
      <c r="B17" s="15">
        <f t="shared" si="0"/>
        <v>0</v>
      </c>
      <c r="C17" s="15">
        <f t="shared" si="1"/>
        <v>0</v>
      </c>
      <c r="D17" s="15">
        <f t="shared" si="2"/>
        <v>0</v>
      </c>
      <c r="E17" s="15">
        <f t="shared" si="3"/>
        <v>0</v>
      </c>
      <c r="F17" s="15">
        <f t="shared" si="4"/>
        <v>0</v>
      </c>
      <c r="G17" s="15">
        <f t="shared" si="5"/>
        <v>0</v>
      </c>
      <c r="H17" s="15">
        <f t="shared" si="6"/>
        <v>0</v>
      </c>
      <c r="I17" s="15">
        <f t="shared" si="7"/>
        <v>0</v>
      </c>
      <c r="J17" s="15">
        <f t="shared" si="8"/>
        <v>0</v>
      </c>
      <c r="K17" s="31"/>
      <c r="L17" s="31"/>
    </row>
    <row r="18" spans="1:12">
      <c r="A18" s="42">
        <v>43344</v>
      </c>
      <c r="B18" s="43">
        <f>SUM(B16:B17)</f>
        <v>0</v>
      </c>
      <c r="C18" s="43">
        <f t="shared" ref="C18:E18" si="11">SUM(C16:C17)</f>
        <v>0</v>
      </c>
      <c r="D18" s="43">
        <f t="shared" si="11"/>
        <v>0</v>
      </c>
      <c r="E18" s="43">
        <f t="shared" si="11"/>
        <v>0</v>
      </c>
      <c r="F18" s="15">
        <f t="shared" si="4"/>
        <v>0</v>
      </c>
      <c r="G18" s="15">
        <f t="shared" si="5"/>
        <v>0</v>
      </c>
      <c r="H18" s="15">
        <f t="shared" si="6"/>
        <v>0</v>
      </c>
      <c r="I18" s="15">
        <f t="shared" si="7"/>
        <v>0</v>
      </c>
      <c r="J18" s="15">
        <f t="shared" si="8"/>
        <v>0</v>
      </c>
      <c r="K18" s="31"/>
      <c r="L18" s="31"/>
    </row>
    <row r="19" spans="1:12">
      <c r="A19" s="30">
        <v>43374</v>
      </c>
      <c r="B19" s="15">
        <f t="shared" si="0"/>
        <v>0</v>
      </c>
      <c r="C19" s="15">
        <f t="shared" si="1"/>
        <v>0</v>
      </c>
      <c r="D19" s="15">
        <f t="shared" si="2"/>
        <v>0</v>
      </c>
      <c r="E19" s="15">
        <f t="shared" si="3"/>
        <v>0</v>
      </c>
      <c r="F19" s="15">
        <f t="shared" si="4"/>
        <v>0</v>
      </c>
      <c r="G19" s="15">
        <f t="shared" si="5"/>
        <v>0</v>
      </c>
      <c r="H19" s="15">
        <f t="shared" si="6"/>
        <v>0</v>
      </c>
      <c r="I19" s="15">
        <f t="shared" si="7"/>
        <v>0</v>
      </c>
      <c r="J19" s="15">
        <f t="shared" si="8"/>
        <v>0</v>
      </c>
      <c r="K19" s="31"/>
      <c r="L19" s="31"/>
    </row>
    <row r="20" spans="1:12">
      <c r="A20" s="30">
        <v>43405</v>
      </c>
      <c r="B20" s="15">
        <f t="shared" si="0"/>
        <v>0</v>
      </c>
      <c r="C20" s="15">
        <f t="shared" si="1"/>
        <v>0</v>
      </c>
      <c r="D20" s="15">
        <f t="shared" si="2"/>
        <v>0</v>
      </c>
      <c r="E20" s="15">
        <f t="shared" si="3"/>
        <v>0</v>
      </c>
      <c r="F20" s="15">
        <f t="shared" si="4"/>
        <v>0</v>
      </c>
      <c r="G20" s="15">
        <f t="shared" si="5"/>
        <v>0</v>
      </c>
      <c r="H20" s="15">
        <f t="shared" si="6"/>
        <v>0</v>
      </c>
      <c r="I20" s="15">
        <f t="shared" si="7"/>
        <v>0</v>
      </c>
      <c r="J20" s="15">
        <f t="shared" si="8"/>
        <v>0</v>
      </c>
      <c r="K20" s="31"/>
      <c r="L20" s="31"/>
    </row>
    <row r="21" spans="1:12">
      <c r="A21" s="42">
        <v>43435</v>
      </c>
      <c r="B21" s="43">
        <f>SUM(B19:B20)</f>
        <v>0</v>
      </c>
      <c r="C21" s="43">
        <f t="shared" ref="C21:E21" si="12">SUM(C19:C20)</f>
        <v>0</v>
      </c>
      <c r="D21" s="43">
        <f t="shared" si="12"/>
        <v>0</v>
      </c>
      <c r="E21" s="43">
        <f t="shared" si="12"/>
        <v>0</v>
      </c>
      <c r="F21" s="15">
        <f t="shared" si="4"/>
        <v>0</v>
      </c>
      <c r="G21" s="15">
        <f t="shared" si="5"/>
        <v>0</v>
      </c>
      <c r="H21" s="15">
        <f t="shared" si="6"/>
        <v>0</v>
      </c>
      <c r="I21" s="15">
        <f t="shared" si="7"/>
        <v>0</v>
      </c>
      <c r="J21" s="15">
        <f t="shared" si="8"/>
        <v>0</v>
      </c>
      <c r="K21" s="31"/>
      <c r="L21" s="31"/>
    </row>
    <row r="22" spans="1:12">
      <c r="A22" s="17" t="s">
        <v>57</v>
      </c>
      <c r="B22" s="15"/>
      <c r="C22" s="15"/>
      <c r="D22" s="15"/>
      <c r="E22" s="15"/>
      <c r="F22" s="18">
        <f>SUM(F10:F21)</f>
        <v>271765</v>
      </c>
      <c r="G22" s="18">
        <f>SUM(G10:G21)</f>
        <v>8696471</v>
      </c>
      <c r="H22" s="18">
        <f t="shared" ref="H22:J22" si="13">SUM(H10:H21)</f>
        <v>4431855</v>
      </c>
      <c r="I22" s="18">
        <f t="shared" si="13"/>
        <v>292669</v>
      </c>
      <c r="J22" s="18">
        <f t="shared" si="13"/>
        <v>1358824</v>
      </c>
      <c r="K22" s="8"/>
      <c r="L22" s="8"/>
    </row>
  </sheetData>
  <mergeCells count="2">
    <mergeCell ref="K7:K9"/>
    <mergeCell ref="L7:L9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22"/>
  <sheetViews>
    <sheetView workbookViewId="0">
      <selection activeCell="B7" sqref="B7:J8"/>
    </sheetView>
  </sheetViews>
  <sheetFormatPr defaultRowHeight="14.25"/>
  <cols>
    <col min="1" max="1" width="13.375" bestFit="1" customWidth="1"/>
    <col min="2" max="2" width="17.5" bestFit="1" customWidth="1"/>
    <col min="3" max="3" width="16.75" bestFit="1" customWidth="1"/>
    <col min="4" max="4" width="21.625" bestFit="1" customWidth="1"/>
    <col min="5" max="5" width="21" bestFit="1" customWidth="1"/>
    <col min="6" max="6" width="20.75" bestFit="1" customWidth="1"/>
    <col min="7" max="9" width="21.625" bestFit="1" customWidth="1"/>
    <col min="10" max="10" width="16.75" bestFit="1" customWidth="1"/>
    <col min="11" max="12" width="15.125" bestFit="1" customWidth="1"/>
  </cols>
  <sheetData>
    <row r="1" spans="1:12">
      <c r="A1" s="32" t="s">
        <v>135</v>
      </c>
      <c r="B1" s="33" t="s">
        <v>43</v>
      </c>
      <c r="C1" s="34" t="s">
        <v>44</v>
      </c>
      <c r="D1" s="34" t="s">
        <v>45</v>
      </c>
      <c r="E1" s="34" t="s">
        <v>46</v>
      </c>
      <c r="F1" s="35" t="s">
        <v>47</v>
      </c>
      <c r="G1" s="36" t="s">
        <v>48</v>
      </c>
      <c r="H1" s="36" t="s">
        <v>49</v>
      </c>
      <c r="I1" s="36" t="s">
        <v>50</v>
      </c>
      <c r="J1" s="36" t="s">
        <v>51</v>
      </c>
    </row>
    <row r="2" spans="1:12">
      <c r="A2" s="32" t="s">
        <v>146</v>
      </c>
      <c r="B2" s="33">
        <v>5106050102</v>
      </c>
      <c r="C2" s="34">
        <v>5106050106</v>
      </c>
      <c r="D2" s="34">
        <v>5106050104</v>
      </c>
      <c r="E2" s="34">
        <v>5106050108</v>
      </c>
      <c r="F2" s="37">
        <v>5106050258</v>
      </c>
      <c r="G2" s="36">
        <v>5106050225</v>
      </c>
      <c r="H2" s="36">
        <v>5106050221</v>
      </c>
      <c r="I2" s="36">
        <v>5106050222</v>
      </c>
      <c r="J2" s="36">
        <v>5106050204</v>
      </c>
    </row>
    <row r="3" spans="1:12">
      <c r="A3" s="38" t="s">
        <v>150</v>
      </c>
      <c r="B3" s="39">
        <v>0.12920000000000001</v>
      </c>
      <c r="C3" s="39">
        <v>1.15E-2</v>
      </c>
      <c r="D3" s="39">
        <v>4.8099999999999997E-2</v>
      </c>
      <c r="E3" s="39">
        <v>4.8999999999999998E-3</v>
      </c>
      <c r="F3" s="40">
        <v>0</v>
      </c>
      <c r="G3" s="39">
        <v>3.7699999999999997E-2</v>
      </c>
      <c r="H3" s="39">
        <v>1.6899999999999998E-2</v>
      </c>
      <c r="I3" s="39">
        <v>1.5E-3</v>
      </c>
      <c r="J3" s="39">
        <v>4.7000000000000002E-3</v>
      </c>
    </row>
    <row r="6" spans="1:12">
      <c r="A6" s="44" t="s">
        <v>141</v>
      </c>
      <c r="B6" s="7" t="s">
        <v>43</v>
      </c>
      <c r="C6" s="7" t="s">
        <v>44</v>
      </c>
      <c r="D6" s="7" t="s">
        <v>45</v>
      </c>
      <c r="E6" s="7" t="s">
        <v>46</v>
      </c>
      <c r="F6" s="7" t="s">
        <v>47</v>
      </c>
      <c r="G6" s="7" t="s">
        <v>48</v>
      </c>
      <c r="H6" s="7" t="s">
        <v>49</v>
      </c>
      <c r="I6" s="7" t="s">
        <v>50</v>
      </c>
      <c r="J6" s="7" t="s">
        <v>51</v>
      </c>
      <c r="K6" s="8"/>
      <c r="L6" s="8"/>
    </row>
    <row r="7" spans="1:12">
      <c r="A7" s="12" t="s">
        <v>52</v>
      </c>
      <c r="B7" s="29">
        <v>6900000730</v>
      </c>
      <c r="C7" s="10">
        <v>6900000732</v>
      </c>
      <c r="D7" s="10">
        <v>6900100360</v>
      </c>
      <c r="E7" s="10">
        <v>6900100361</v>
      </c>
      <c r="F7" s="10">
        <v>6910000018</v>
      </c>
      <c r="G7" s="10">
        <v>6910000016</v>
      </c>
      <c r="H7" s="10">
        <v>6910000012</v>
      </c>
      <c r="I7" s="10">
        <v>6910000013</v>
      </c>
      <c r="J7" s="10">
        <v>6910000001</v>
      </c>
      <c r="K7" s="49" t="s">
        <v>136</v>
      </c>
      <c r="L7" s="50" t="s">
        <v>137</v>
      </c>
    </row>
    <row r="8" spans="1:12">
      <c r="A8" s="12" t="s">
        <v>53</v>
      </c>
      <c r="B8" s="9">
        <v>4200000152</v>
      </c>
      <c r="C8" s="10">
        <v>4200000152</v>
      </c>
      <c r="D8" s="10">
        <v>4200000152</v>
      </c>
      <c r="E8" s="10">
        <v>4200000152</v>
      </c>
      <c r="F8" s="10">
        <v>4200000153</v>
      </c>
      <c r="G8" s="10">
        <v>4200000153</v>
      </c>
      <c r="H8" s="10">
        <v>4200000153</v>
      </c>
      <c r="I8" s="10">
        <v>4200000153</v>
      </c>
      <c r="J8" s="10">
        <v>4200000153</v>
      </c>
      <c r="K8" s="49"/>
      <c r="L8" s="50"/>
    </row>
    <row r="9" spans="1:12">
      <c r="A9" s="13" t="s">
        <v>54</v>
      </c>
      <c r="B9" s="14" t="s">
        <v>55</v>
      </c>
      <c r="C9" s="15" t="s">
        <v>55</v>
      </c>
      <c r="D9" s="15" t="s">
        <v>55</v>
      </c>
      <c r="E9" s="15" t="s">
        <v>55</v>
      </c>
      <c r="F9" s="15" t="s">
        <v>56</v>
      </c>
      <c r="G9" s="15" t="s">
        <v>56</v>
      </c>
      <c r="H9" s="15" t="s">
        <v>56</v>
      </c>
      <c r="I9" s="15" t="s">
        <v>56</v>
      </c>
      <c r="J9" s="15" t="s">
        <v>56</v>
      </c>
      <c r="K9" s="49"/>
      <c r="L9" s="50"/>
    </row>
    <row r="10" spans="1:12">
      <c r="A10" s="16">
        <v>43101</v>
      </c>
      <c r="B10" s="15">
        <f>ROUND($K10*$B$3,0)</f>
        <v>2979108</v>
      </c>
      <c r="C10" s="15">
        <f>ROUND($K10*$C$3,0)</f>
        <v>265168</v>
      </c>
      <c r="D10" s="15">
        <f>ROUND($L10*$D$3,0)</f>
        <v>353710</v>
      </c>
      <c r="E10" s="15">
        <f>ROUND($L10*$E$3,0)</f>
        <v>36033</v>
      </c>
      <c r="F10" s="15">
        <f>ROUND($K10*$F$3,0)</f>
        <v>0</v>
      </c>
      <c r="G10" s="15">
        <f>ROUND($K10*$G$3,0)</f>
        <v>869291</v>
      </c>
      <c r="H10" s="15">
        <f>ROUND($K10*$H$3,0)</f>
        <v>389682</v>
      </c>
      <c r="I10" s="15">
        <f>ROUND($K10*$I$3,0)</f>
        <v>34587</v>
      </c>
      <c r="J10" s="15">
        <f>ROUND($K10*$J$3,0)</f>
        <v>108373</v>
      </c>
      <c r="K10" s="8">
        <v>23058111.52</v>
      </c>
      <c r="L10" s="8">
        <v>7353636.8200000003</v>
      </c>
    </row>
    <row r="11" spans="1:12">
      <c r="A11" s="16">
        <v>43132</v>
      </c>
      <c r="B11" s="15">
        <f t="shared" ref="B11:B20" si="0">ROUND($K11*$B$3,0)</f>
        <v>1200103</v>
      </c>
      <c r="C11" s="15">
        <f t="shared" ref="C11:C20" si="1">ROUND($K11*$C$3,0)</f>
        <v>106820</v>
      </c>
      <c r="D11" s="15">
        <f t="shared" ref="D11:D20" si="2">ROUND($L11*$D$3,0)</f>
        <v>303147</v>
      </c>
      <c r="E11" s="15">
        <f t="shared" ref="E11:E20" si="3">ROUND($L11*$E$3,0)</f>
        <v>30882</v>
      </c>
      <c r="F11" s="15">
        <f t="shared" ref="F11:F21" si="4">ROUND($K11*$F$3,0)</f>
        <v>0</v>
      </c>
      <c r="G11" s="15">
        <f t="shared" ref="G11:G21" si="5">ROUND($K11*$G$3,0)</f>
        <v>350185</v>
      </c>
      <c r="H11" s="15">
        <f t="shared" ref="H11:H21" si="6">ROUND($K11*$H$3,0)</f>
        <v>156979</v>
      </c>
      <c r="I11" s="15">
        <f t="shared" ref="I11:I21" si="7">ROUND($K11*$I$3,0)</f>
        <v>13933</v>
      </c>
      <c r="J11" s="15">
        <f t="shared" ref="J11:J21" si="8">ROUND($K11*$J$3,0)</f>
        <v>43657</v>
      </c>
      <c r="K11" s="8">
        <v>9288720.040000001</v>
      </c>
      <c r="L11" s="8">
        <v>6302432.9900000002</v>
      </c>
    </row>
    <row r="12" spans="1:12">
      <c r="A12" s="42">
        <v>43160</v>
      </c>
      <c r="B12" s="43">
        <f>SUM(B10:B11)</f>
        <v>4179211</v>
      </c>
      <c r="C12" s="43">
        <f t="shared" ref="C12:E12" si="9">SUM(C10:C11)</f>
        <v>371988</v>
      </c>
      <c r="D12" s="43">
        <f t="shared" si="9"/>
        <v>656857</v>
      </c>
      <c r="E12" s="43">
        <f t="shared" si="9"/>
        <v>66915</v>
      </c>
      <c r="F12" s="15">
        <f t="shared" si="4"/>
        <v>0</v>
      </c>
      <c r="G12" s="15">
        <f>ROUND($K12*$G$3,0)</f>
        <v>533262</v>
      </c>
      <c r="H12" s="15">
        <f t="shared" si="6"/>
        <v>239049</v>
      </c>
      <c r="I12" s="15">
        <f t="shared" si="7"/>
        <v>21217</v>
      </c>
      <c r="J12" s="15">
        <f t="shared" si="8"/>
        <v>66481</v>
      </c>
      <c r="K12" s="31">
        <v>14144891.65</v>
      </c>
      <c r="L12" s="31"/>
    </row>
    <row r="13" spans="1:12">
      <c r="A13" s="30">
        <v>43191</v>
      </c>
      <c r="B13" s="15">
        <f t="shared" si="0"/>
        <v>1190266</v>
      </c>
      <c r="C13" s="15">
        <f t="shared" si="1"/>
        <v>105945</v>
      </c>
      <c r="D13" s="15">
        <f t="shared" si="2"/>
        <v>372851</v>
      </c>
      <c r="E13" s="15">
        <f t="shared" si="3"/>
        <v>37983</v>
      </c>
      <c r="F13" s="15">
        <f t="shared" si="4"/>
        <v>0</v>
      </c>
      <c r="G13" s="15">
        <f t="shared" si="5"/>
        <v>347315</v>
      </c>
      <c r="H13" s="15">
        <f t="shared" si="6"/>
        <v>155693</v>
      </c>
      <c r="I13" s="15">
        <f t="shared" si="7"/>
        <v>13819</v>
      </c>
      <c r="J13" s="15">
        <f t="shared" si="8"/>
        <v>43299</v>
      </c>
      <c r="K13" s="31">
        <v>9212587.1699999981</v>
      </c>
      <c r="L13" s="31">
        <v>7751576.0999999996</v>
      </c>
    </row>
    <row r="14" spans="1:12">
      <c r="A14" s="30">
        <v>43221</v>
      </c>
      <c r="B14" s="15">
        <f t="shared" si="0"/>
        <v>1315923</v>
      </c>
      <c r="C14" s="15">
        <f t="shared" si="1"/>
        <v>117129</v>
      </c>
      <c r="D14" s="15">
        <f t="shared" si="2"/>
        <v>354521</v>
      </c>
      <c r="E14" s="15">
        <f t="shared" si="3"/>
        <v>36115</v>
      </c>
      <c r="F14" s="15">
        <f t="shared" si="4"/>
        <v>0</v>
      </c>
      <c r="G14" s="15">
        <f t="shared" si="5"/>
        <v>383981</v>
      </c>
      <c r="H14" s="15">
        <f t="shared" si="6"/>
        <v>172129</v>
      </c>
      <c r="I14" s="15">
        <f t="shared" si="7"/>
        <v>15278</v>
      </c>
      <c r="J14" s="15">
        <f t="shared" si="8"/>
        <v>47870</v>
      </c>
      <c r="K14" s="31">
        <v>10185163.74</v>
      </c>
      <c r="L14" s="31">
        <v>7370490.1199999992</v>
      </c>
    </row>
    <row r="15" spans="1:12">
      <c r="A15" s="42">
        <v>43252</v>
      </c>
      <c r="B15" s="43">
        <f>SUM(B13:B14)</f>
        <v>2506189</v>
      </c>
      <c r="C15" s="43">
        <f t="shared" ref="C15:E15" si="10">SUM(C13:C14)</f>
        <v>223074</v>
      </c>
      <c r="D15" s="43">
        <f t="shared" si="10"/>
        <v>727372</v>
      </c>
      <c r="E15" s="43">
        <f t="shared" si="10"/>
        <v>74098</v>
      </c>
      <c r="F15" s="15">
        <f t="shared" si="4"/>
        <v>0</v>
      </c>
      <c r="G15" s="15">
        <f t="shared" si="5"/>
        <v>459702</v>
      </c>
      <c r="H15" s="15">
        <f t="shared" si="6"/>
        <v>206073</v>
      </c>
      <c r="I15" s="15">
        <f t="shared" si="7"/>
        <v>18291</v>
      </c>
      <c r="J15" s="15">
        <f>ROUND($K15*$J$3,0)</f>
        <v>57310</v>
      </c>
      <c r="K15" s="31">
        <v>12193690.27</v>
      </c>
      <c r="L15" s="31"/>
    </row>
    <row r="16" spans="1:12">
      <c r="A16" s="30">
        <v>43282</v>
      </c>
      <c r="B16" s="15">
        <f t="shared" si="0"/>
        <v>0</v>
      </c>
      <c r="C16" s="15">
        <f t="shared" si="1"/>
        <v>0</v>
      </c>
      <c r="D16" s="15">
        <f t="shared" si="2"/>
        <v>0</v>
      </c>
      <c r="E16" s="15">
        <f t="shared" si="3"/>
        <v>0</v>
      </c>
      <c r="F16" s="15">
        <f t="shared" si="4"/>
        <v>0</v>
      </c>
      <c r="G16" s="15">
        <f t="shared" si="5"/>
        <v>0</v>
      </c>
      <c r="H16" s="15">
        <f t="shared" si="6"/>
        <v>0</v>
      </c>
      <c r="I16" s="15">
        <f t="shared" si="7"/>
        <v>0</v>
      </c>
      <c r="J16" s="15">
        <f t="shared" si="8"/>
        <v>0</v>
      </c>
      <c r="K16" s="31"/>
      <c r="L16" s="31"/>
    </row>
    <row r="17" spans="1:12">
      <c r="A17" s="30">
        <v>43313</v>
      </c>
      <c r="B17" s="15">
        <f t="shared" si="0"/>
        <v>0</v>
      </c>
      <c r="C17" s="15">
        <f t="shared" si="1"/>
        <v>0</v>
      </c>
      <c r="D17" s="15">
        <f t="shared" si="2"/>
        <v>0</v>
      </c>
      <c r="E17" s="15">
        <f t="shared" si="3"/>
        <v>0</v>
      </c>
      <c r="F17" s="15">
        <f t="shared" si="4"/>
        <v>0</v>
      </c>
      <c r="G17" s="15">
        <f t="shared" si="5"/>
        <v>0</v>
      </c>
      <c r="H17" s="15">
        <f t="shared" si="6"/>
        <v>0</v>
      </c>
      <c r="I17" s="15">
        <f t="shared" si="7"/>
        <v>0</v>
      </c>
      <c r="J17" s="15">
        <f t="shared" si="8"/>
        <v>0</v>
      </c>
      <c r="K17" s="31"/>
      <c r="L17" s="31"/>
    </row>
    <row r="18" spans="1:12">
      <c r="A18" s="42">
        <v>43344</v>
      </c>
      <c r="B18" s="43">
        <f>SUM(B16:B17)</f>
        <v>0</v>
      </c>
      <c r="C18" s="43">
        <f t="shared" ref="C18:E18" si="11">SUM(C16:C17)</f>
        <v>0</v>
      </c>
      <c r="D18" s="43">
        <f t="shared" si="11"/>
        <v>0</v>
      </c>
      <c r="E18" s="43">
        <f t="shared" si="11"/>
        <v>0</v>
      </c>
      <c r="F18" s="15">
        <f t="shared" si="4"/>
        <v>0</v>
      </c>
      <c r="G18" s="15">
        <f t="shared" si="5"/>
        <v>0</v>
      </c>
      <c r="H18" s="15">
        <f t="shared" si="6"/>
        <v>0</v>
      </c>
      <c r="I18" s="15">
        <f t="shared" si="7"/>
        <v>0</v>
      </c>
      <c r="J18" s="15">
        <f t="shared" si="8"/>
        <v>0</v>
      </c>
      <c r="K18" s="31"/>
      <c r="L18" s="31"/>
    </row>
    <row r="19" spans="1:12">
      <c r="A19" s="30">
        <v>43374</v>
      </c>
      <c r="B19" s="15">
        <f t="shared" si="0"/>
        <v>0</v>
      </c>
      <c r="C19" s="15">
        <f t="shared" si="1"/>
        <v>0</v>
      </c>
      <c r="D19" s="15">
        <f t="shared" si="2"/>
        <v>0</v>
      </c>
      <c r="E19" s="15">
        <f t="shared" si="3"/>
        <v>0</v>
      </c>
      <c r="F19" s="15">
        <f t="shared" si="4"/>
        <v>0</v>
      </c>
      <c r="G19" s="15">
        <f t="shared" si="5"/>
        <v>0</v>
      </c>
      <c r="H19" s="15">
        <f t="shared" si="6"/>
        <v>0</v>
      </c>
      <c r="I19" s="15">
        <f t="shared" si="7"/>
        <v>0</v>
      </c>
      <c r="J19" s="15">
        <f t="shared" si="8"/>
        <v>0</v>
      </c>
      <c r="K19" s="31"/>
      <c r="L19" s="31"/>
    </row>
    <row r="20" spans="1:12">
      <c r="A20" s="30">
        <v>43405</v>
      </c>
      <c r="B20" s="15">
        <f t="shared" si="0"/>
        <v>0</v>
      </c>
      <c r="C20" s="15">
        <f t="shared" si="1"/>
        <v>0</v>
      </c>
      <c r="D20" s="15">
        <f t="shared" si="2"/>
        <v>0</v>
      </c>
      <c r="E20" s="15">
        <f t="shared" si="3"/>
        <v>0</v>
      </c>
      <c r="F20" s="15">
        <f t="shared" si="4"/>
        <v>0</v>
      </c>
      <c r="G20" s="15">
        <f t="shared" si="5"/>
        <v>0</v>
      </c>
      <c r="H20" s="15">
        <f t="shared" si="6"/>
        <v>0</v>
      </c>
      <c r="I20" s="15">
        <f t="shared" si="7"/>
        <v>0</v>
      </c>
      <c r="J20" s="15">
        <f t="shared" si="8"/>
        <v>0</v>
      </c>
      <c r="K20" s="31"/>
      <c r="L20" s="31"/>
    </row>
    <row r="21" spans="1:12">
      <c r="A21" s="42">
        <v>43435</v>
      </c>
      <c r="B21" s="43">
        <f>SUM(B19:B20)</f>
        <v>0</v>
      </c>
      <c r="C21" s="43">
        <f t="shared" ref="C21:E21" si="12">SUM(C19:C20)</f>
        <v>0</v>
      </c>
      <c r="D21" s="43">
        <f t="shared" si="12"/>
        <v>0</v>
      </c>
      <c r="E21" s="43">
        <f t="shared" si="12"/>
        <v>0</v>
      </c>
      <c r="F21" s="15">
        <f t="shared" si="4"/>
        <v>0</v>
      </c>
      <c r="G21" s="15">
        <f t="shared" si="5"/>
        <v>0</v>
      </c>
      <c r="H21" s="15">
        <f t="shared" si="6"/>
        <v>0</v>
      </c>
      <c r="I21" s="15">
        <f t="shared" si="7"/>
        <v>0</v>
      </c>
      <c r="J21" s="15">
        <f t="shared" si="8"/>
        <v>0</v>
      </c>
      <c r="K21" s="31"/>
      <c r="L21" s="31"/>
    </row>
    <row r="22" spans="1:12">
      <c r="A22" s="17" t="s">
        <v>57</v>
      </c>
      <c r="B22" s="15"/>
      <c r="C22" s="15"/>
      <c r="D22" s="15"/>
      <c r="E22" s="15"/>
      <c r="F22" s="18">
        <f>SUM(F10:F21)</f>
        <v>0</v>
      </c>
      <c r="G22" s="18">
        <f>SUM(G10:G21)</f>
        <v>2943736</v>
      </c>
      <c r="H22" s="18">
        <f t="shared" ref="H22:J22" si="13">SUM(H10:H21)</f>
        <v>1319605</v>
      </c>
      <c r="I22" s="18">
        <f t="shared" si="13"/>
        <v>117125</v>
      </c>
      <c r="J22" s="18">
        <f t="shared" si="13"/>
        <v>366990</v>
      </c>
      <c r="K22" s="8"/>
      <c r="L22" s="8"/>
    </row>
  </sheetData>
  <mergeCells count="2">
    <mergeCell ref="K7:K9"/>
    <mergeCell ref="L7:L9"/>
  </mergeCells>
  <phoneticPr fontId="2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22"/>
  <sheetViews>
    <sheetView workbookViewId="0">
      <selection activeCell="B7" sqref="B7:J8"/>
    </sheetView>
  </sheetViews>
  <sheetFormatPr defaultRowHeight="14.25"/>
  <cols>
    <col min="1" max="1" width="13.375" bestFit="1" customWidth="1"/>
    <col min="2" max="2" width="17.5" bestFit="1" customWidth="1"/>
    <col min="3" max="3" width="16.75" bestFit="1" customWidth="1"/>
    <col min="4" max="4" width="21.625" bestFit="1" customWidth="1"/>
    <col min="5" max="5" width="21" bestFit="1" customWidth="1"/>
    <col min="6" max="6" width="20.75" bestFit="1" customWidth="1"/>
    <col min="7" max="9" width="21.625" bestFit="1" customWidth="1"/>
    <col min="10" max="10" width="16.75" bestFit="1" customWidth="1"/>
    <col min="11" max="12" width="15.125" bestFit="1" customWidth="1"/>
  </cols>
  <sheetData>
    <row r="1" spans="1:12">
      <c r="A1" s="32" t="s">
        <v>135</v>
      </c>
      <c r="B1" s="33" t="s">
        <v>43</v>
      </c>
      <c r="C1" s="34" t="s">
        <v>44</v>
      </c>
      <c r="D1" s="34" t="s">
        <v>45</v>
      </c>
      <c r="E1" s="34" t="s">
        <v>46</v>
      </c>
      <c r="F1" s="35" t="s">
        <v>47</v>
      </c>
      <c r="G1" s="36" t="s">
        <v>48</v>
      </c>
      <c r="H1" s="36" t="s">
        <v>49</v>
      </c>
      <c r="I1" s="36" t="s">
        <v>50</v>
      </c>
      <c r="J1" s="36" t="s">
        <v>51</v>
      </c>
    </row>
    <row r="2" spans="1:12">
      <c r="A2" s="32" t="s">
        <v>146</v>
      </c>
      <c r="B2" s="33">
        <v>5106050102</v>
      </c>
      <c r="C2" s="34">
        <v>5106050106</v>
      </c>
      <c r="D2" s="34">
        <v>5106050104</v>
      </c>
      <c r="E2" s="34">
        <v>5106050108</v>
      </c>
      <c r="F2" s="37">
        <v>5106050258</v>
      </c>
      <c r="G2" s="36">
        <v>5106050225</v>
      </c>
      <c r="H2" s="36">
        <v>5106050221</v>
      </c>
      <c r="I2" s="36">
        <v>5106050222</v>
      </c>
      <c r="J2" s="36">
        <v>5106050204</v>
      </c>
    </row>
    <row r="3" spans="1:12">
      <c r="A3" s="38" t="s">
        <v>151</v>
      </c>
      <c r="B3" s="39">
        <v>0.12559999999999999</v>
      </c>
      <c r="C3" s="39">
        <v>1.84E-2</v>
      </c>
      <c r="D3" s="39">
        <v>3.7400000000000003E-2</v>
      </c>
      <c r="E3" s="39">
        <v>1.14E-2</v>
      </c>
      <c r="F3" s="40">
        <v>0</v>
      </c>
      <c r="G3" s="39">
        <v>3.9899999999999998E-2</v>
      </c>
      <c r="H3" s="39">
        <v>6.4000000000000003E-3</v>
      </c>
      <c r="I3" s="39">
        <v>2.0000000000000001E-4</v>
      </c>
      <c r="J3" s="39">
        <v>8.5000000000000006E-3</v>
      </c>
    </row>
    <row r="6" spans="1:12">
      <c r="A6" s="44" t="s">
        <v>142</v>
      </c>
      <c r="B6" s="7" t="s">
        <v>43</v>
      </c>
      <c r="C6" s="7" t="s">
        <v>44</v>
      </c>
      <c r="D6" s="7" t="s">
        <v>45</v>
      </c>
      <c r="E6" s="7" t="s">
        <v>46</v>
      </c>
      <c r="F6" s="7" t="s">
        <v>47</v>
      </c>
      <c r="G6" s="7" t="s">
        <v>48</v>
      </c>
      <c r="H6" s="7" t="s">
        <v>49</v>
      </c>
      <c r="I6" s="7" t="s">
        <v>50</v>
      </c>
      <c r="J6" s="7" t="s">
        <v>51</v>
      </c>
      <c r="K6" s="8"/>
      <c r="L6" s="8"/>
    </row>
    <row r="7" spans="1:12">
      <c r="A7" s="12" t="s">
        <v>52</v>
      </c>
      <c r="B7" s="29">
        <v>6900000730</v>
      </c>
      <c r="C7" s="10">
        <v>6900000732</v>
      </c>
      <c r="D7" s="10">
        <v>6900100360</v>
      </c>
      <c r="E7" s="10">
        <v>6900100361</v>
      </c>
      <c r="F7" s="10">
        <v>6910000018</v>
      </c>
      <c r="G7" s="10">
        <v>6910000016</v>
      </c>
      <c r="H7" s="10">
        <v>6910000012</v>
      </c>
      <c r="I7" s="10">
        <v>6910000013</v>
      </c>
      <c r="J7" s="10">
        <v>6910000001</v>
      </c>
      <c r="K7" s="49" t="s">
        <v>136</v>
      </c>
      <c r="L7" s="50" t="s">
        <v>137</v>
      </c>
    </row>
    <row r="8" spans="1:12">
      <c r="A8" s="12" t="s">
        <v>53</v>
      </c>
      <c r="B8" s="9">
        <v>4200000152</v>
      </c>
      <c r="C8" s="10">
        <v>4200000152</v>
      </c>
      <c r="D8" s="10">
        <v>4200000152</v>
      </c>
      <c r="E8" s="10">
        <v>4200000152</v>
      </c>
      <c r="F8" s="10">
        <v>4200000153</v>
      </c>
      <c r="G8" s="10">
        <v>4200000153</v>
      </c>
      <c r="H8" s="10">
        <v>4200000153</v>
      </c>
      <c r="I8" s="10">
        <v>4200000153</v>
      </c>
      <c r="J8" s="10">
        <v>4200000153</v>
      </c>
      <c r="K8" s="49"/>
      <c r="L8" s="50"/>
    </row>
    <row r="9" spans="1:12">
      <c r="A9" s="13" t="s">
        <v>54</v>
      </c>
      <c r="B9" s="14" t="s">
        <v>55</v>
      </c>
      <c r="C9" s="15" t="s">
        <v>55</v>
      </c>
      <c r="D9" s="15" t="s">
        <v>55</v>
      </c>
      <c r="E9" s="15" t="s">
        <v>55</v>
      </c>
      <c r="F9" s="15" t="s">
        <v>56</v>
      </c>
      <c r="G9" s="15" t="s">
        <v>56</v>
      </c>
      <c r="H9" s="15" t="s">
        <v>56</v>
      </c>
      <c r="I9" s="15" t="s">
        <v>56</v>
      </c>
      <c r="J9" s="15" t="s">
        <v>56</v>
      </c>
      <c r="K9" s="49"/>
      <c r="L9" s="50"/>
    </row>
    <row r="10" spans="1:12">
      <c r="A10" s="16">
        <v>43101</v>
      </c>
      <c r="B10" s="15">
        <f>ROUND($K10*$B$3,0)</f>
        <v>753171</v>
      </c>
      <c r="C10" s="15">
        <f>ROUND($K10*$C$3,0)</f>
        <v>110337</v>
      </c>
      <c r="D10" s="15">
        <f>ROUND($L10*$D$3,0)</f>
        <v>75897</v>
      </c>
      <c r="E10" s="15">
        <f>ROUND($L10*$E$3,0)</f>
        <v>23134</v>
      </c>
      <c r="F10" s="15">
        <f>ROUND($K10*$F$3,0)</f>
        <v>0</v>
      </c>
      <c r="G10" s="15">
        <f>ROUND($K10*$G$3,0)</f>
        <v>239264</v>
      </c>
      <c r="H10" s="15">
        <f>ROUND($K10*$H$3,0)</f>
        <v>38378</v>
      </c>
      <c r="I10" s="15">
        <f>ROUND($K10*$I$3,0)</f>
        <v>1199</v>
      </c>
      <c r="J10" s="15">
        <f>ROUND($K10*$J$3,0)</f>
        <v>50971</v>
      </c>
      <c r="K10" s="8">
        <v>5996582.4799999995</v>
      </c>
      <c r="L10" s="8">
        <v>2029318.87</v>
      </c>
    </row>
    <row r="11" spans="1:12">
      <c r="A11" s="16">
        <v>43132</v>
      </c>
      <c r="B11" s="15">
        <f t="shared" ref="B11:B20" si="0">ROUND($K11*$B$3,0)</f>
        <v>230929</v>
      </c>
      <c r="C11" s="15">
        <f t="shared" ref="C11:C20" si="1">ROUND($K11*$C$3,0)</f>
        <v>33830</v>
      </c>
      <c r="D11" s="15">
        <f t="shared" ref="D11:D20" si="2">ROUND($L11*$D$3,0)</f>
        <v>52851</v>
      </c>
      <c r="E11" s="15">
        <f t="shared" ref="E11:E20" si="3">ROUND($L11*$E$3,0)</f>
        <v>16110</v>
      </c>
      <c r="F11" s="15">
        <f t="shared" ref="F11:F21" si="4">ROUND($K11*$F$3,0)</f>
        <v>0</v>
      </c>
      <c r="G11" s="15">
        <f t="shared" ref="G11:G21" si="5">ROUND($K11*$G$3,0)</f>
        <v>73360</v>
      </c>
      <c r="H11" s="15">
        <f t="shared" ref="H11:H21" si="6">ROUND($K11*$H$3,0)</f>
        <v>11767</v>
      </c>
      <c r="I11" s="15">
        <f t="shared" ref="I11:I21" si="7">ROUND($K11*$I$3,0)</f>
        <v>368</v>
      </c>
      <c r="J11" s="15">
        <f t="shared" ref="J11:J21" si="8">ROUND($K11*$J$3,0)</f>
        <v>15628</v>
      </c>
      <c r="K11" s="8">
        <v>1838606.2500000002</v>
      </c>
      <c r="L11" s="8">
        <v>1413128.66</v>
      </c>
    </row>
    <row r="12" spans="1:12">
      <c r="A12" s="42">
        <v>43160</v>
      </c>
      <c r="B12" s="43">
        <f>SUM(B10:B11)</f>
        <v>984100</v>
      </c>
      <c r="C12" s="43">
        <f t="shared" ref="C12:E12" si="9">SUM(C10:C11)</f>
        <v>144167</v>
      </c>
      <c r="D12" s="43">
        <f t="shared" si="9"/>
        <v>128748</v>
      </c>
      <c r="E12" s="43">
        <f t="shared" si="9"/>
        <v>39244</v>
      </c>
      <c r="F12" s="15">
        <f t="shared" si="4"/>
        <v>0</v>
      </c>
      <c r="G12" s="15">
        <f>ROUND($K12*$G$3,0)</f>
        <v>129780</v>
      </c>
      <c r="H12" s="15">
        <f t="shared" si="6"/>
        <v>20817</v>
      </c>
      <c r="I12" s="15">
        <f t="shared" si="7"/>
        <v>651</v>
      </c>
      <c r="J12" s="15">
        <f t="shared" si="8"/>
        <v>27647</v>
      </c>
      <c r="K12" s="31">
        <v>3252632.18</v>
      </c>
      <c r="L12" s="31"/>
    </row>
    <row r="13" spans="1:12">
      <c r="A13" s="30">
        <v>43191</v>
      </c>
      <c r="B13" s="15">
        <f t="shared" si="0"/>
        <v>278059</v>
      </c>
      <c r="C13" s="15">
        <f t="shared" si="1"/>
        <v>40735</v>
      </c>
      <c r="D13" s="15">
        <f t="shared" si="2"/>
        <v>51744</v>
      </c>
      <c r="E13" s="15">
        <f t="shared" si="3"/>
        <v>15772</v>
      </c>
      <c r="F13" s="15">
        <f t="shared" si="4"/>
        <v>0</v>
      </c>
      <c r="G13" s="15">
        <f t="shared" si="5"/>
        <v>88333</v>
      </c>
      <c r="H13" s="15">
        <f t="shared" si="6"/>
        <v>14169</v>
      </c>
      <c r="I13" s="15">
        <f t="shared" si="7"/>
        <v>443</v>
      </c>
      <c r="J13" s="15">
        <f t="shared" si="8"/>
        <v>18818</v>
      </c>
      <c r="K13" s="31">
        <v>2213849.21</v>
      </c>
      <c r="L13" s="31">
        <v>1383529.6099999999</v>
      </c>
    </row>
    <row r="14" spans="1:12">
      <c r="A14" s="30">
        <v>43221</v>
      </c>
      <c r="B14" s="15">
        <f t="shared" si="0"/>
        <v>339626</v>
      </c>
      <c r="C14" s="15">
        <f t="shared" si="1"/>
        <v>49754</v>
      </c>
      <c r="D14" s="15">
        <f t="shared" si="2"/>
        <v>59950</v>
      </c>
      <c r="E14" s="15">
        <f t="shared" si="3"/>
        <v>18274</v>
      </c>
      <c r="F14" s="15">
        <f t="shared" si="4"/>
        <v>0</v>
      </c>
      <c r="G14" s="15">
        <f t="shared" si="5"/>
        <v>107891</v>
      </c>
      <c r="H14" s="15">
        <f t="shared" si="6"/>
        <v>17306</v>
      </c>
      <c r="I14" s="15">
        <f t="shared" si="7"/>
        <v>541</v>
      </c>
      <c r="J14" s="15">
        <f t="shared" si="8"/>
        <v>22984</v>
      </c>
      <c r="K14" s="31">
        <v>2704032.2400000007</v>
      </c>
      <c r="L14" s="31">
        <v>1602945.0700000003</v>
      </c>
    </row>
    <row r="15" spans="1:12">
      <c r="A15" s="42">
        <v>43252</v>
      </c>
      <c r="B15" s="43">
        <f>SUM(B13:B14)</f>
        <v>617685</v>
      </c>
      <c r="C15" s="43">
        <f t="shared" ref="C15:E15" si="10">SUM(C13:C14)</f>
        <v>90489</v>
      </c>
      <c r="D15" s="43">
        <f t="shared" si="10"/>
        <v>111694</v>
      </c>
      <c r="E15" s="43">
        <f t="shared" si="10"/>
        <v>34046</v>
      </c>
      <c r="F15" s="15">
        <f t="shared" si="4"/>
        <v>0</v>
      </c>
      <c r="G15" s="15">
        <f t="shared" si="5"/>
        <v>125898</v>
      </c>
      <c r="H15" s="15">
        <f t="shared" si="6"/>
        <v>20194</v>
      </c>
      <c r="I15" s="15">
        <f t="shared" si="7"/>
        <v>631</v>
      </c>
      <c r="J15" s="15">
        <f>ROUND($K15*$J$3,0)</f>
        <v>26820</v>
      </c>
      <c r="K15" s="31">
        <v>3155343.37</v>
      </c>
      <c r="L15" s="31"/>
    </row>
    <row r="16" spans="1:12">
      <c r="A16" s="30">
        <v>43282</v>
      </c>
      <c r="B16" s="15">
        <f t="shared" si="0"/>
        <v>0</v>
      </c>
      <c r="C16" s="15">
        <f t="shared" si="1"/>
        <v>0</v>
      </c>
      <c r="D16" s="15">
        <f t="shared" si="2"/>
        <v>0</v>
      </c>
      <c r="E16" s="15">
        <f t="shared" si="3"/>
        <v>0</v>
      </c>
      <c r="F16" s="15">
        <f t="shared" si="4"/>
        <v>0</v>
      </c>
      <c r="G16" s="15">
        <f t="shared" si="5"/>
        <v>0</v>
      </c>
      <c r="H16" s="15">
        <f t="shared" si="6"/>
        <v>0</v>
      </c>
      <c r="I16" s="15">
        <f t="shared" si="7"/>
        <v>0</v>
      </c>
      <c r="J16" s="15">
        <f t="shared" si="8"/>
        <v>0</v>
      </c>
      <c r="K16" s="31"/>
      <c r="L16" s="31"/>
    </row>
    <row r="17" spans="1:12">
      <c r="A17" s="30">
        <v>43313</v>
      </c>
      <c r="B17" s="15">
        <f t="shared" si="0"/>
        <v>0</v>
      </c>
      <c r="C17" s="15">
        <f t="shared" si="1"/>
        <v>0</v>
      </c>
      <c r="D17" s="15">
        <f t="shared" si="2"/>
        <v>0</v>
      </c>
      <c r="E17" s="15">
        <f t="shared" si="3"/>
        <v>0</v>
      </c>
      <c r="F17" s="15">
        <f t="shared" si="4"/>
        <v>0</v>
      </c>
      <c r="G17" s="15">
        <f t="shared" si="5"/>
        <v>0</v>
      </c>
      <c r="H17" s="15">
        <f t="shared" si="6"/>
        <v>0</v>
      </c>
      <c r="I17" s="15">
        <f t="shared" si="7"/>
        <v>0</v>
      </c>
      <c r="J17" s="15">
        <f t="shared" si="8"/>
        <v>0</v>
      </c>
      <c r="K17" s="31"/>
      <c r="L17" s="31"/>
    </row>
    <row r="18" spans="1:12">
      <c r="A18" s="42">
        <v>43344</v>
      </c>
      <c r="B18" s="43">
        <f>SUM(B16:B17)</f>
        <v>0</v>
      </c>
      <c r="C18" s="43">
        <f t="shared" ref="C18:E18" si="11">SUM(C16:C17)</f>
        <v>0</v>
      </c>
      <c r="D18" s="43">
        <f t="shared" si="11"/>
        <v>0</v>
      </c>
      <c r="E18" s="43">
        <f t="shared" si="11"/>
        <v>0</v>
      </c>
      <c r="F18" s="15">
        <f t="shared" si="4"/>
        <v>0</v>
      </c>
      <c r="G18" s="15">
        <f t="shared" si="5"/>
        <v>0</v>
      </c>
      <c r="H18" s="15">
        <f t="shared" si="6"/>
        <v>0</v>
      </c>
      <c r="I18" s="15">
        <f t="shared" si="7"/>
        <v>0</v>
      </c>
      <c r="J18" s="15">
        <f t="shared" si="8"/>
        <v>0</v>
      </c>
      <c r="K18" s="31"/>
      <c r="L18" s="31"/>
    </row>
    <row r="19" spans="1:12">
      <c r="A19" s="30">
        <v>43374</v>
      </c>
      <c r="B19" s="15">
        <f t="shared" si="0"/>
        <v>0</v>
      </c>
      <c r="C19" s="15">
        <f t="shared" si="1"/>
        <v>0</v>
      </c>
      <c r="D19" s="15">
        <f t="shared" si="2"/>
        <v>0</v>
      </c>
      <c r="E19" s="15">
        <f t="shared" si="3"/>
        <v>0</v>
      </c>
      <c r="F19" s="15">
        <f t="shared" si="4"/>
        <v>0</v>
      </c>
      <c r="G19" s="15">
        <f t="shared" si="5"/>
        <v>0</v>
      </c>
      <c r="H19" s="15">
        <f t="shared" si="6"/>
        <v>0</v>
      </c>
      <c r="I19" s="15">
        <f t="shared" si="7"/>
        <v>0</v>
      </c>
      <c r="J19" s="15">
        <f t="shared" si="8"/>
        <v>0</v>
      </c>
      <c r="K19" s="31"/>
      <c r="L19" s="31"/>
    </row>
    <row r="20" spans="1:12">
      <c r="A20" s="30">
        <v>43405</v>
      </c>
      <c r="B20" s="15">
        <f t="shared" si="0"/>
        <v>0</v>
      </c>
      <c r="C20" s="15">
        <f t="shared" si="1"/>
        <v>0</v>
      </c>
      <c r="D20" s="15">
        <f t="shared" si="2"/>
        <v>0</v>
      </c>
      <c r="E20" s="15">
        <f t="shared" si="3"/>
        <v>0</v>
      </c>
      <c r="F20" s="15">
        <f t="shared" si="4"/>
        <v>0</v>
      </c>
      <c r="G20" s="15">
        <f t="shared" si="5"/>
        <v>0</v>
      </c>
      <c r="H20" s="15">
        <f t="shared" si="6"/>
        <v>0</v>
      </c>
      <c r="I20" s="15">
        <f t="shared" si="7"/>
        <v>0</v>
      </c>
      <c r="J20" s="15">
        <f t="shared" si="8"/>
        <v>0</v>
      </c>
      <c r="K20" s="31"/>
      <c r="L20" s="31"/>
    </row>
    <row r="21" spans="1:12">
      <c r="A21" s="42">
        <v>43435</v>
      </c>
      <c r="B21" s="43">
        <f>SUM(B19:B20)</f>
        <v>0</v>
      </c>
      <c r="C21" s="43">
        <f t="shared" ref="C21:E21" si="12">SUM(C19:C20)</f>
        <v>0</v>
      </c>
      <c r="D21" s="43">
        <f t="shared" si="12"/>
        <v>0</v>
      </c>
      <c r="E21" s="43">
        <f t="shared" si="12"/>
        <v>0</v>
      </c>
      <c r="F21" s="15">
        <f t="shared" si="4"/>
        <v>0</v>
      </c>
      <c r="G21" s="15">
        <f t="shared" si="5"/>
        <v>0</v>
      </c>
      <c r="H21" s="15">
        <f t="shared" si="6"/>
        <v>0</v>
      </c>
      <c r="I21" s="15">
        <f t="shared" si="7"/>
        <v>0</v>
      </c>
      <c r="J21" s="15">
        <f t="shared" si="8"/>
        <v>0</v>
      </c>
      <c r="K21" s="31"/>
      <c r="L21" s="31"/>
    </row>
    <row r="22" spans="1:12">
      <c r="A22" s="17" t="s">
        <v>57</v>
      </c>
      <c r="B22" s="15"/>
      <c r="C22" s="15"/>
      <c r="D22" s="15"/>
      <c r="E22" s="15"/>
      <c r="F22" s="18">
        <f>SUM(F10:F21)</f>
        <v>0</v>
      </c>
      <c r="G22" s="18">
        <f>SUM(G10:G21)</f>
        <v>764526</v>
      </c>
      <c r="H22" s="18">
        <f t="shared" ref="H22:J22" si="13">SUM(H10:H21)</f>
        <v>122631</v>
      </c>
      <c r="I22" s="18">
        <f t="shared" si="13"/>
        <v>3833</v>
      </c>
      <c r="J22" s="18">
        <f t="shared" si="13"/>
        <v>162868</v>
      </c>
      <c r="K22" s="8"/>
      <c r="L22" s="8"/>
    </row>
  </sheetData>
  <mergeCells count="2">
    <mergeCell ref="K7:K9"/>
    <mergeCell ref="L7:L9"/>
  </mergeCells>
  <phoneticPr fontId="2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22"/>
  <sheetViews>
    <sheetView workbookViewId="0">
      <selection activeCell="B7" sqref="B7:J8"/>
    </sheetView>
  </sheetViews>
  <sheetFormatPr defaultRowHeight="14.25"/>
  <cols>
    <col min="1" max="1" width="13.375" bestFit="1" customWidth="1"/>
    <col min="2" max="2" width="17.5" bestFit="1" customWidth="1"/>
    <col min="3" max="3" width="16.75" bestFit="1" customWidth="1"/>
    <col min="4" max="4" width="21.625" bestFit="1" customWidth="1"/>
    <col min="5" max="5" width="21" bestFit="1" customWidth="1"/>
    <col min="6" max="6" width="20.75" bestFit="1" customWidth="1"/>
    <col min="7" max="9" width="21.625" bestFit="1" customWidth="1"/>
    <col min="10" max="10" width="16.75" bestFit="1" customWidth="1"/>
    <col min="11" max="12" width="15.125" bestFit="1" customWidth="1"/>
  </cols>
  <sheetData>
    <row r="1" spans="1:12">
      <c r="A1" s="32" t="s">
        <v>135</v>
      </c>
      <c r="B1" s="33" t="s">
        <v>43</v>
      </c>
      <c r="C1" s="34" t="s">
        <v>44</v>
      </c>
      <c r="D1" s="34" t="s">
        <v>45</v>
      </c>
      <c r="E1" s="34" t="s">
        <v>46</v>
      </c>
      <c r="F1" s="46" t="s">
        <v>47</v>
      </c>
      <c r="G1" s="36" t="s">
        <v>48</v>
      </c>
      <c r="H1" s="36" t="s">
        <v>49</v>
      </c>
      <c r="I1" s="36" t="s">
        <v>50</v>
      </c>
      <c r="J1" s="36" t="s">
        <v>51</v>
      </c>
    </row>
    <row r="2" spans="1:12">
      <c r="A2" s="32" t="s">
        <v>146</v>
      </c>
      <c r="B2" s="33">
        <v>5106050102</v>
      </c>
      <c r="C2" s="34">
        <v>5106050106</v>
      </c>
      <c r="D2" s="34">
        <v>5106050104</v>
      </c>
      <c r="E2" s="34">
        <v>5106050108</v>
      </c>
      <c r="F2" s="47">
        <v>5106050258</v>
      </c>
      <c r="G2" s="36">
        <v>5106050225</v>
      </c>
      <c r="H2" s="36">
        <v>5106050221</v>
      </c>
      <c r="I2" s="36">
        <v>5106050222</v>
      </c>
      <c r="J2" s="36">
        <v>5106050204</v>
      </c>
    </row>
    <row r="3" spans="1:12">
      <c r="A3" s="38" t="s">
        <v>152</v>
      </c>
      <c r="B3" s="39">
        <v>0.1197</v>
      </c>
      <c r="C3" s="39">
        <v>3.5999999999999999E-3</v>
      </c>
      <c r="D3" s="39">
        <v>4.5499999999999999E-2</v>
      </c>
      <c r="E3" s="39">
        <v>1.9E-3</v>
      </c>
      <c r="F3" s="40">
        <v>0</v>
      </c>
      <c r="G3" s="39">
        <v>3.4799999999999998E-2</v>
      </c>
      <c r="H3" s="39">
        <v>4.7000000000000002E-3</v>
      </c>
      <c r="I3" s="48">
        <v>1.2999999999999999E-3</v>
      </c>
      <c r="J3" s="39">
        <v>3.2000000000000002E-3</v>
      </c>
    </row>
    <row r="6" spans="1:12">
      <c r="A6" s="44" t="s">
        <v>143</v>
      </c>
      <c r="B6" s="7" t="s">
        <v>43</v>
      </c>
      <c r="C6" s="7" t="s">
        <v>44</v>
      </c>
      <c r="D6" s="7" t="s">
        <v>45</v>
      </c>
      <c r="E6" s="7" t="s">
        <v>46</v>
      </c>
      <c r="F6" s="7" t="s">
        <v>47</v>
      </c>
      <c r="G6" s="7" t="s">
        <v>48</v>
      </c>
      <c r="H6" s="7" t="s">
        <v>49</v>
      </c>
      <c r="I6" s="7" t="s">
        <v>50</v>
      </c>
      <c r="J6" s="7" t="s">
        <v>51</v>
      </c>
      <c r="K6" s="8"/>
      <c r="L6" s="8"/>
    </row>
    <row r="7" spans="1:12">
      <c r="A7" s="12" t="s">
        <v>52</v>
      </c>
      <c r="B7" s="29">
        <v>6900000730</v>
      </c>
      <c r="C7" s="10">
        <v>6900000732</v>
      </c>
      <c r="D7" s="10">
        <v>6900100360</v>
      </c>
      <c r="E7" s="10">
        <v>6900100361</v>
      </c>
      <c r="F7" s="10">
        <v>6910000018</v>
      </c>
      <c r="G7" s="10">
        <v>6910000016</v>
      </c>
      <c r="H7" s="10">
        <v>6910000012</v>
      </c>
      <c r="I7" s="10">
        <v>6910000013</v>
      </c>
      <c r="J7" s="10">
        <v>6910000001</v>
      </c>
      <c r="K7" s="49" t="s">
        <v>136</v>
      </c>
      <c r="L7" s="50" t="s">
        <v>137</v>
      </c>
    </row>
    <row r="8" spans="1:12">
      <c r="A8" s="12" t="s">
        <v>53</v>
      </c>
      <c r="B8" s="9">
        <v>4200000152</v>
      </c>
      <c r="C8" s="10">
        <v>4200000152</v>
      </c>
      <c r="D8" s="10">
        <v>4200000152</v>
      </c>
      <c r="E8" s="10">
        <v>4200000152</v>
      </c>
      <c r="F8" s="10">
        <v>4200000153</v>
      </c>
      <c r="G8" s="10">
        <v>4200000153</v>
      </c>
      <c r="H8" s="10">
        <v>4200000153</v>
      </c>
      <c r="I8" s="10">
        <v>4200000153</v>
      </c>
      <c r="J8" s="10">
        <v>4200000153</v>
      </c>
      <c r="K8" s="49"/>
      <c r="L8" s="50"/>
    </row>
    <row r="9" spans="1:12">
      <c r="A9" s="13" t="s">
        <v>54</v>
      </c>
      <c r="B9" s="14" t="s">
        <v>55</v>
      </c>
      <c r="C9" s="15" t="s">
        <v>55</v>
      </c>
      <c r="D9" s="15" t="s">
        <v>55</v>
      </c>
      <c r="E9" s="15" t="s">
        <v>55</v>
      </c>
      <c r="F9" s="15" t="s">
        <v>56</v>
      </c>
      <c r="G9" s="15" t="s">
        <v>56</v>
      </c>
      <c r="H9" s="15" t="s">
        <v>56</v>
      </c>
      <c r="I9" s="15" t="s">
        <v>56</v>
      </c>
      <c r="J9" s="15" t="s">
        <v>56</v>
      </c>
      <c r="K9" s="49"/>
      <c r="L9" s="50"/>
    </row>
    <row r="10" spans="1:12">
      <c r="A10" s="16">
        <v>43101</v>
      </c>
      <c r="B10" s="15">
        <f>ROUND($K10*$B$3,0)</f>
        <v>620364</v>
      </c>
      <c r="C10" s="15">
        <f>ROUND($K10*$C$3,0)</f>
        <v>18658</v>
      </c>
      <c r="D10" s="15">
        <f>ROUND($L10*$D$3,0)</f>
        <v>68271</v>
      </c>
      <c r="E10" s="15">
        <f>ROUND($L10*$E$3,0)</f>
        <v>2851</v>
      </c>
      <c r="F10" s="15">
        <f>ROUND($K10*$F$3,0)</f>
        <v>0</v>
      </c>
      <c r="G10" s="15">
        <f>ROUND($K10*$G$3,0)</f>
        <v>180357</v>
      </c>
      <c r="H10" s="15">
        <f>ROUND($K10*$H$3,0)</f>
        <v>24358</v>
      </c>
      <c r="I10" s="15">
        <f>ROUND($K10*$I$3,0)</f>
        <v>6737</v>
      </c>
      <c r="J10" s="15">
        <f>ROUND($K10*$J$3,0)</f>
        <v>16585</v>
      </c>
      <c r="K10" s="8">
        <v>5182659.3000000007</v>
      </c>
      <c r="L10" s="8">
        <v>1500453.26</v>
      </c>
    </row>
    <row r="11" spans="1:12">
      <c r="A11" s="16">
        <v>43132</v>
      </c>
      <c r="B11" s="15">
        <f t="shared" ref="B11:B20" si="0">ROUND($K11*$B$3,0)</f>
        <v>384902</v>
      </c>
      <c r="C11" s="15">
        <f t="shared" ref="C11:C20" si="1">ROUND($K11*$C$3,0)</f>
        <v>11576</v>
      </c>
      <c r="D11" s="15">
        <f t="shared" ref="D11:D20" si="2">ROUND($L11*$D$3,0)</f>
        <v>53169</v>
      </c>
      <c r="E11" s="15">
        <f t="shared" ref="E11:E20" si="3">ROUND($L11*$E$3,0)</f>
        <v>2220</v>
      </c>
      <c r="F11" s="15">
        <f t="shared" ref="F11:F21" si="4">ROUND($K11*$F$3,0)</f>
        <v>0</v>
      </c>
      <c r="G11" s="15">
        <f t="shared" ref="G11:G21" si="5">ROUND($K11*$G$3,0)</f>
        <v>111901</v>
      </c>
      <c r="H11" s="15">
        <f t="shared" ref="H11:H21" si="6">ROUND($K11*$H$3,0)</f>
        <v>15113</v>
      </c>
      <c r="I11" s="15">
        <f t="shared" ref="I11:I21" si="7">ROUND($K11*$I$3,0)</f>
        <v>4180</v>
      </c>
      <c r="J11" s="15">
        <f t="shared" ref="J11:J21" si="8">ROUND($K11*$J$3,0)</f>
        <v>10290</v>
      </c>
      <c r="K11" s="8">
        <v>3215557.99</v>
      </c>
      <c r="L11" s="8">
        <v>1168551.57</v>
      </c>
    </row>
    <row r="12" spans="1:12">
      <c r="A12" s="42">
        <v>43160</v>
      </c>
      <c r="B12" s="43">
        <f>SUM(B10:B11)</f>
        <v>1005266</v>
      </c>
      <c r="C12" s="43">
        <f t="shared" ref="C12:E12" si="9">SUM(C10:C11)</f>
        <v>30234</v>
      </c>
      <c r="D12" s="43">
        <f t="shared" si="9"/>
        <v>121440</v>
      </c>
      <c r="E12" s="43">
        <f t="shared" si="9"/>
        <v>5071</v>
      </c>
      <c r="F12" s="15">
        <f t="shared" si="4"/>
        <v>0</v>
      </c>
      <c r="G12" s="15">
        <f>ROUND($K12*$G$3,0)</f>
        <v>100457</v>
      </c>
      <c r="H12" s="15">
        <f t="shared" si="6"/>
        <v>13567</v>
      </c>
      <c r="I12" s="15">
        <f t="shared" si="7"/>
        <v>3753</v>
      </c>
      <c r="J12" s="15">
        <f t="shared" si="8"/>
        <v>9237</v>
      </c>
      <c r="K12" s="31">
        <v>2886681.7299999995</v>
      </c>
      <c r="L12" s="31"/>
    </row>
    <row r="13" spans="1:12">
      <c r="A13" s="30">
        <v>43191</v>
      </c>
      <c r="B13" s="15">
        <f t="shared" si="0"/>
        <v>246602</v>
      </c>
      <c r="C13" s="15">
        <f t="shared" si="1"/>
        <v>7417</v>
      </c>
      <c r="D13" s="15">
        <f t="shared" si="2"/>
        <v>62813</v>
      </c>
      <c r="E13" s="15">
        <f t="shared" si="3"/>
        <v>2623</v>
      </c>
      <c r="F13" s="15">
        <f t="shared" si="4"/>
        <v>0</v>
      </c>
      <c r="G13" s="15">
        <f t="shared" si="5"/>
        <v>71694</v>
      </c>
      <c r="H13" s="15">
        <f t="shared" si="6"/>
        <v>9683</v>
      </c>
      <c r="I13" s="15">
        <f t="shared" si="7"/>
        <v>2678</v>
      </c>
      <c r="J13" s="15">
        <f t="shared" si="8"/>
        <v>6593</v>
      </c>
      <c r="K13" s="31">
        <v>2060163.0199999998</v>
      </c>
      <c r="L13" s="31">
        <v>1380499.31</v>
      </c>
    </row>
    <row r="14" spans="1:12">
      <c r="A14" s="30">
        <v>43221</v>
      </c>
      <c r="B14" s="15">
        <f t="shared" si="0"/>
        <v>289625</v>
      </c>
      <c r="C14" s="15">
        <f t="shared" si="1"/>
        <v>8711</v>
      </c>
      <c r="D14" s="15">
        <f t="shared" si="2"/>
        <v>65251</v>
      </c>
      <c r="E14" s="15">
        <f t="shared" si="3"/>
        <v>2725</v>
      </c>
      <c r="F14" s="15">
        <f t="shared" si="4"/>
        <v>0</v>
      </c>
      <c r="G14" s="15">
        <f t="shared" si="5"/>
        <v>84202</v>
      </c>
      <c r="H14" s="15">
        <f t="shared" si="6"/>
        <v>11372</v>
      </c>
      <c r="I14" s="15">
        <f t="shared" si="7"/>
        <v>3145</v>
      </c>
      <c r="J14" s="15">
        <f t="shared" si="8"/>
        <v>7743</v>
      </c>
      <c r="K14" s="31">
        <v>2419587.89</v>
      </c>
      <c r="L14" s="31">
        <v>1434090.34</v>
      </c>
    </row>
    <row r="15" spans="1:12">
      <c r="A15" s="42">
        <v>43252</v>
      </c>
      <c r="B15" s="43">
        <f>SUM(B13:B14)</f>
        <v>536227</v>
      </c>
      <c r="C15" s="43">
        <f t="shared" ref="C15:E15" si="10">SUM(C13:C14)</f>
        <v>16128</v>
      </c>
      <c r="D15" s="43">
        <f t="shared" si="10"/>
        <v>128064</v>
      </c>
      <c r="E15" s="43">
        <f t="shared" si="10"/>
        <v>5348</v>
      </c>
      <c r="F15" s="15">
        <f t="shared" si="4"/>
        <v>0</v>
      </c>
      <c r="G15" s="15">
        <f t="shared" si="5"/>
        <v>88764</v>
      </c>
      <c r="H15" s="15">
        <f t="shared" si="6"/>
        <v>11988</v>
      </c>
      <c r="I15" s="15">
        <f t="shared" si="7"/>
        <v>3316</v>
      </c>
      <c r="J15" s="15">
        <f>ROUND($K15*$J$3,0)</f>
        <v>8162</v>
      </c>
      <c r="K15" s="31">
        <v>2550691.44</v>
      </c>
      <c r="L15" s="31"/>
    </row>
    <row r="16" spans="1:12">
      <c r="A16" s="30">
        <v>43282</v>
      </c>
      <c r="B16" s="15">
        <f t="shared" si="0"/>
        <v>0</v>
      </c>
      <c r="C16" s="15">
        <f t="shared" si="1"/>
        <v>0</v>
      </c>
      <c r="D16" s="15">
        <f t="shared" si="2"/>
        <v>0</v>
      </c>
      <c r="E16" s="15">
        <f t="shared" si="3"/>
        <v>0</v>
      </c>
      <c r="F16" s="15">
        <f t="shared" si="4"/>
        <v>0</v>
      </c>
      <c r="G16" s="15">
        <f t="shared" si="5"/>
        <v>0</v>
      </c>
      <c r="H16" s="15">
        <f t="shared" si="6"/>
        <v>0</v>
      </c>
      <c r="I16" s="15">
        <f t="shared" si="7"/>
        <v>0</v>
      </c>
      <c r="J16" s="15">
        <f t="shared" si="8"/>
        <v>0</v>
      </c>
      <c r="K16" s="31"/>
      <c r="L16" s="31"/>
    </row>
    <row r="17" spans="1:12">
      <c r="A17" s="30">
        <v>43313</v>
      </c>
      <c r="B17" s="15">
        <f t="shared" si="0"/>
        <v>0</v>
      </c>
      <c r="C17" s="15">
        <f t="shared" si="1"/>
        <v>0</v>
      </c>
      <c r="D17" s="15">
        <f t="shared" si="2"/>
        <v>0</v>
      </c>
      <c r="E17" s="15">
        <f t="shared" si="3"/>
        <v>0</v>
      </c>
      <c r="F17" s="15">
        <f t="shared" si="4"/>
        <v>0</v>
      </c>
      <c r="G17" s="15">
        <f t="shared" si="5"/>
        <v>0</v>
      </c>
      <c r="H17" s="15">
        <f t="shared" si="6"/>
        <v>0</v>
      </c>
      <c r="I17" s="15">
        <f t="shared" si="7"/>
        <v>0</v>
      </c>
      <c r="J17" s="15">
        <f t="shared" si="8"/>
        <v>0</v>
      </c>
      <c r="K17" s="31"/>
      <c r="L17" s="31"/>
    </row>
    <row r="18" spans="1:12">
      <c r="A18" s="42">
        <v>43344</v>
      </c>
      <c r="B18" s="43">
        <f>SUM(B16:B17)</f>
        <v>0</v>
      </c>
      <c r="C18" s="43">
        <f t="shared" ref="C18:E18" si="11">SUM(C16:C17)</f>
        <v>0</v>
      </c>
      <c r="D18" s="43">
        <f t="shared" si="11"/>
        <v>0</v>
      </c>
      <c r="E18" s="43">
        <f t="shared" si="11"/>
        <v>0</v>
      </c>
      <c r="F18" s="15">
        <f t="shared" si="4"/>
        <v>0</v>
      </c>
      <c r="G18" s="15">
        <f t="shared" si="5"/>
        <v>0</v>
      </c>
      <c r="H18" s="15">
        <f t="shared" si="6"/>
        <v>0</v>
      </c>
      <c r="I18" s="15">
        <f t="shared" si="7"/>
        <v>0</v>
      </c>
      <c r="J18" s="15">
        <f t="shared" si="8"/>
        <v>0</v>
      </c>
      <c r="K18" s="31"/>
      <c r="L18" s="31"/>
    </row>
    <row r="19" spans="1:12">
      <c r="A19" s="30">
        <v>43374</v>
      </c>
      <c r="B19" s="15">
        <f t="shared" si="0"/>
        <v>0</v>
      </c>
      <c r="C19" s="15">
        <f t="shared" si="1"/>
        <v>0</v>
      </c>
      <c r="D19" s="15">
        <f t="shared" si="2"/>
        <v>0</v>
      </c>
      <c r="E19" s="15">
        <f t="shared" si="3"/>
        <v>0</v>
      </c>
      <c r="F19" s="15">
        <f t="shared" si="4"/>
        <v>0</v>
      </c>
      <c r="G19" s="15">
        <f t="shared" si="5"/>
        <v>0</v>
      </c>
      <c r="H19" s="15">
        <f t="shared" si="6"/>
        <v>0</v>
      </c>
      <c r="I19" s="15">
        <f t="shared" si="7"/>
        <v>0</v>
      </c>
      <c r="J19" s="15">
        <f t="shared" si="8"/>
        <v>0</v>
      </c>
      <c r="K19" s="31"/>
      <c r="L19" s="31"/>
    </row>
    <row r="20" spans="1:12">
      <c r="A20" s="30">
        <v>43405</v>
      </c>
      <c r="B20" s="15">
        <f t="shared" si="0"/>
        <v>0</v>
      </c>
      <c r="C20" s="15">
        <f t="shared" si="1"/>
        <v>0</v>
      </c>
      <c r="D20" s="15">
        <f t="shared" si="2"/>
        <v>0</v>
      </c>
      <c r="E20" s="15">
        <f t="shared" si="3"/>
        <v>0</v>
      </c>
      <c r="F20" s="15">
        <f t="shared" si="4"/>
        <v>0</v>
      </c>
      <c r="G20" s="15">
        <f t="shared" si="5"/>
        <v>0</v>
      </c>
      <c r="H20" s="15">
        <f t="shared" si="6"/>
        <v>0</v>
      </c>
      <c r="I20" s="15">
        <f t="shared" si="7"/>
        <v>0</v>
      </c>
      <c r="J20" s="15">
        <f t="shared" si="8"/>
        <v>0</v>
      </c>
      <c r="K20" s="31"/>
      <c r="L20" s="31"/>
    </row>
    <row r="21" spans="1:12">
      <c r="A21" s="42">
        <v>43435</v>
      </c>
      <c r="B21" s="43">
        <f>SUM(B19:B20)</f>
        <v>0</v>
      </c>
      <c r="C21" s="43">
        <f t="shared" ref="C21:E21" si="12">SUM(C19:C20)</f>
        <v>0</v>
      </c>
      <c r="D21" s="43">
        <f t="shared" si="12"/>
        <v>0</v>
      </c>
      <c r="E21" s="43">
        <f t="shared" si="12"/>
        <v>0</v>
      </c>
      <c r="F21" s="15">
        <f t="shared" si="4"/>
        <v>0</v>
      </c>
      <c r="G21" s="15">
        <f t="shared" si="5"/>
        <v>0</v>
      </c>
      <c r="H21" s="15">
        <f t="shared" si="6"/>
        <v>0</v>
      </c>
      <c r="I21" s="15">
        <f t="shared" si="7"/>
        <v>0</v>
      </c>
      <c r="J21" s="15">
        <f t="shared" si="8"/>
        <v>0</v>
      </c>
      <c r="K21" s="31"/>
      <c r="L21" s="31"/>
    </row>
    <row r="22" spans="1:12">
      <c r="A22" s="17" t="s">
        <v>57</v>
      </c>
      <c r="B22" s="15"/>
      <c r="C22" s="15"/>
      <c r="D22" s="15"/>
      <c r="E22" s="15"/>
      <c r="F22" s="18">
        <f>SUM(F10:F21)</f>
        <v>0</v>
      </c>
      <c r="G22" s="18">
        <f>SUM(G10:G21)</f>
        <v>637375</v>
      </c>
      <c r="H22" s="18">
        <f t="shared" ref="H22:J22" si="13">SUM(H10:H21)</f>
        <v>86081</v>
      </c>
      <c r="I22" s="18">
        <f t="shared" si="13"/>
        <v>23809</v>
      </c>
      <c r="J22" s="18">
        <f t="shared" si="13"/>
        <v>58610</v>
      </c>
      <c r="K22" s="8"/>
      <c r="L22" s="8"/>
    </row>
  </sheetData>
  <mergeCells count="2">
    <mergeCell ref="K7:K9"/>
    <mergeCell ref="L7:L9"/>
  </mergeCells>
  <phoneticPr fontId="2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22"/>
  <sheetViews>
    <sheetView workbookViewId="0">
      <selection activeCell="D34" sqref="D34"/>
    </sheetView>
  </sheetViews>
  <sheetFormatPr defaultRowHeight="14.25"/>
  <cols>
    <col min="1" max="1" width="13.375" bestFit="1" customWidth="1"/>
    <col min="2" max="2" width="17.5" bestFit="1" customWidth="1"/>
    <col min="3" max="3" width="16.75" bestFit="1" customWidth="1"/>
    <col min="4" max="4" width="21.625" bestFit="1" customWidth="1"/>
    <col min="5" max="5" width="21" bestFit="1" customWidth="1"/>
    <col min="6" max="6" width="20.75" bestFit="1" customWidth="1"/>
    <col min="7" max="9" width="21.625" bestFit="1" customWidth="1"/>
    <col min="10" max="10" width="16.75" bestFit="1" customWidth="1"/>
    <col min="11" max="12" width="15.125" bestFit="1" customWidth="1"/>
  </cols>
  <sheetData>
    <row r="1" spans="1:12">
      <c r="A1" s="32" t="s">
        <v>135</v>
      </c>
      <c r="B1" s="33" t="s">
        <v>43</v>
      </c>
      <c r="C1" s="34" t="s">
        <v>44</v>
      </c>
      <c r="D1" s="34" t="s">
        <v>45</v>
      </c>
      <c r="E1" s="34" t="s">
        <v>46</v>
      </c>
      <c r="F1" s="35" t="s">
        <v>47</v>
      </c>
      <c r="G1" s="36" t="s">
        <v>48</v>
      </c>
      <c r="H1" s="36" t="s">
        <v>49</v>
      </c>
      <c r="I1" s="36" t="s">
        <v>50</v>
      </c>
      <c r="J1" s="36" t="s">
        <v>51</v>
      </c>
    </row>
    <row r="2" spans="1:12">
      <c r="A2" s="32" t="s">
        <v>146</v>
      </c>
      <c r="B2" s="33">
        <v>5106050102</v>
      </c>
      <c r="C2" s="34">
        <v>5106050106</v>
      </c>
      <c r="D2" s="34">
        <v>5106050104</v>
      </c>
      <c r="E2" s="34">
        <v>5106050108</v>
      </c>
      <c r="F2" s="37">
        <v>5106050258</v>
      </c>
      <c r="G2" s="36">
        <v>5106050225</v>
      </c>
      <c r="H2" s="36">
        <v>5106050221</v>
      </c>
      <c r="I2" s="36">
        <v>5106050222</v>
      </c>
      <c r="J2" s="36">
        <v>5106050204</v>
      </c>
    </row>
    <row r="3" spans="1:12">
      <c r="A3" s="38" t="s">
        <v>153</v>
      </c>
      <c r="B3" s="39">
        <v>0.156</v>
      </c>
      <c r="C3" s="39">
        <v>3.5999999999999999E-3</v>
      </c>
      <c r="D3" s="39">
        <v>6.8900000000000003E-2</v>
      </c>
      <c r="E3" s="39">
        <v>3.5000000000000001E-3</v>
      </c>
      <c r="F3" s="40">
        <v>0</v>
      </c>
      <c r="G3" s="39">
        <v>4.3900000000000002E-2</v>
      </c>
      <c r="H3" s="39">
        <v>1.9E-2</v>
      </c>
      <c r="I3" s="48">
        <v>3.3E-3</v>
      </c>
      <c r="J3" s="39">
        <v>8.8000000000000005E-3</v>
      </c>
    </row>
    <row r="6" spans="1:12">
      <c r="A6" s="44" t="s">
        <v>144</v>
      </c>
      <c r="B6" s="7" t="s">
        <v>43</v>
      </c>
      <c r="C6" s="7" t="s">
        <v>44</v>
      </c>
      <c r="D6" s="7" t="s">
        <v>45</v>
      </c>
      <c r="E6" s="7" t="s">
        <v>46</v>
      </c>
      <c r="F6" s="7" t="s">
        <v>47</v>
      </c>
      <c r="G6" s="7" t="s">
        <v>48</v>
      </c>
      <c r="H6" s="7" t="s">
        <v>49</v>
      </c>
      <c r="I6" s="7" t="s">
        <v>50</v>
      </c>
      <c r="J6" s="7" t="s">
        <v>51</v>
      </c>
      <c r="K6" s="8"/>
      <c r="L6" s="8"/>
    </row>
    <row r="7" spans="1:12">
      <c r="A7" s="12" t="s">
        <v>52</v>
      </c>
      <c r="B7" s="29">
        <v>6900000730</v>
      </c>
      <c r="C7" s="10">
        <v>6900000732</v>
      </c>
      <c r="D7" s="10">
        <v>6900100360</v>
      </c>
      <c r="E7" s="10">
        <v>6900100361</v>
      </c>
      <c r="F7" s="10">
        <v>6910000018</v>
      </c>
      <c r="G7" s="10">
        <v>6910000016</v>
      </c>
      <c r="H7" s="10">
        <v>6910000012</v>
      </c>
      <c r="I7" s="10">
        <v>6910000013</v>
      </c>
      <c r="J7" s="10">
        <v>6910000001</v>
      </c>
      <c r="K7" s="49" t="s">
        <v>136</v>
      </c>
      <c r="L7" s="50" t="s">
        <v>137</v>
      </c>
    </row>
    <row r="8" spans="1:12">
      <c r="A8" s="12" t="s">
        <v>53</v>
      </c>
      <c r="B8" s="9">
        <v>4200000152</v>
      </c>
      <c r="C8" s="10">
        <v>4200000152</v>
      </c>
      <c r="D8" s="10">
        <v>4200000152</v>
      </c>
      <c r="E8" s="10">
        <v>4200000152</v>
      </c>
      <c r="F8" s="10">
        <v>4200000153</v>
      </c>
      <c r="G8" s="10">
        <v>4200000153</v>
      </c>
      <c r="H8" s="10">
        <v>4200000153</v>
      </c>
      <c r="I8" s="10">
        <v>4200000153</v>
      </c>
      <c r="J8" s="10">
        <v>4200000153</v>
      </c>
      <c r="K8" s="49"/>
      <c r="L8" s="50"/>
    </row>
    <row r="9" spans="1:12">
      <c r="A9" s="13" t="s">
        <v>54</v>
      </c>
      <c r="B9" s="14" t="s">
        <v>55</v>
      </c>
      <c r="C9" s="15" t="s">
        <v>55</v>
      </c>
      <c r="D9" s="15" t="s">
        <v>55</v>
      </c>
      <c r="E9" s="15" t="s">
        <v>55</v>
      </c>
      <c r="F9" s="15" t="s">
        <v>56</v>
      </c>
      <c r="G9" s="15" t="s">
        <v>56</v>
      </c>
      <c r="H9" s="15" t="s">
        <v>56</v>
      </c>
      <c r="I9" s="15" t="s">
        <v>56</v>
      </c>
      <c r="J9" s="15" t="s">
        <v>56</v>
      </c>
      <c r="K9" s="49"/>
      <c r="L9" s="50"/>
    </row>
    <row r="10" spans="1:12">
      <c r="A10" s="16">
        <v>43101</v>
      </c>
      <c r="B10" s="15">
        <f>ROUND($K10*$B$3,0)</f>
        <v>10562064</v>
      </c>
      <c r="C10" s="15">
        <f>ROUND($K10*$C$3,0)</f>
        <v>243740</v>
      </c>
      <c r="D10" s="15">
        <f>ROUND($L10*$D$3,0)</f>
        <v>1055981</v>
      </c>
      <c r="E10" s="15">
        <f>ROUND($L10*$E$3,0)</f>
        <v>53642</v>
      </c>
      <c r="F10" s="15">
        <f>ROUND($K10*$F$3,0)</f>
        <v>0</v>
      </c>
      <c r="G10" s="15">
        <f>ROUND($K10*$G$3,0)</f>
        <v>2972273</v>
      </c>
      <c r="H10" s="15">
        <f>ROUND($K10*$H$3,0)</f>
        <v>1286405</v>
      </c>
      <c r="I10" s="15">
        <f>ROUND($K10*$I$3,0)</f>
        <v>223428</v>
      </c>
      <c r="J10" s="15">
        <f>ROUND($K10*$J$3,0)</f>
        <v>595809</v>
      </c>
      <c r="K10" s="8">
        <v>67705538.960000008</v>
      </c>
      <c r="L10" s="8">
        <v>15326279.640000002</v>
      </c>
    </row>
    <row r="11" spans="1:12">
      <c r="A11" s="16">
        <v>43132</v>
      </c>
      <c r="B11" s="15">
        <f t="shared" ref="B11:B20" si="0">ROUND($K11*$B$3,0)</f>
        <v>7235604</v>
      </c>
      <c r="C11" s="15">
        <f t="shared" ref="C11:C20" si="1">ROUND($K11*$C$3,0)</f>
        <v>166975</v>
      </c>
      <c r="D11" s="15">
        <f t="shared" ref="D11:D20" si="2">ROUND($L11*$D$3,0)</f>
        <v>1046274</v>
      </c>
      <c r="E11" s="15">
        <f t="shared" ref="E11:E20" si="3">ROUND($L11*$E$3,0)</f>
        <v>53149</v>
      </c>
      <c r="F11" s="15">
        <f t="shared" ref="F11:F21" si="4">ROUND($K11*$F$3,0)</f>
        <v>0</v>
      </c>
      <c r="G11" s="15">
        <f t="shared" ref="G11:G21" si="5">ROUND($K11*$G$3,0)</f>
        <v>2036173</v>
      </c>
      <c r="H11" s="15">
        <f t="shared" ref="H11:H21" si="6">ROUND($K11*$H$3,0)</f>
        <v>881260</v>
      </c>
      <c r="I11" s="15">
        <f t="shared" ref="I11:I21" si="7">ROUND($K11*$I$3,0)</f>
        <v>153061</v>
      </c>
      <c r="J11" s="15">
        <f t="shared" ref="J11:J21" si="8">ROUND($K11*$J$3,0)</f>
        <v>408162</v>
      </c>
      <c r="K11" s="8">
        <v>46382079.800000004</v>
      </c>
      <c r="L11" s="8">
        <v>15185395.379999999</v>
      </c>
    </row>
    <row r="12" spans="1:12">
      <c r="A12" s="42">
        <v>43160</v>
      </c>
      <c r="B12" s="43">
        <f>SUM(B10:B11)</f>
        <v>17797668</v>
      </c>
      <c r="C12" s="43">
        <f t="shared" ref="C12:E12" si="9">SUM(C10:C11)</f>
        <v>410715</v>
      </c>
      <c r="D12" s="43">
        <f t="shared" si="9"/>
        <v>2102255</v>
      </c>
      <c r="E12" s="43">
        <f t="shared" si="9"/>
        <v>106791</v>
      </c>
      <c r="F12" s="15">
        <f t="shared" si="4"/>
        <v>0</v>
      </c>
      <c r="G12" s="15">
        <f>ROUND($K12*$G$3,0)</f>
        <v>2034760</v>
      </c>
      <c r="H12" s="15">
        <f t="shared" si="6"/>
        <v>880648</v>
      </c>
      <c r="I12" s="15">
        <f t="shared" si="7"/>
        <v>152955</v>
      </c>
      <c r="J12" s="15">
        <f t="shared" si="8"/>
        <v>407879</v>
      </c>
      <c r="K12" s="31">
        <v>46349884.650000021</v>
      </c>
      <c r="L12" s="31"/>
    </row>
    <row r="13" spans="1:12">
      <c r="A13" s="30">
        <v>43191</v>
      </c>
      <c r="B13" s="15">
        <f t="shared" si="0"/>
        <v>5156510</v>
      </c>
      <c r="C13" s="15">
        <f t="shared" si="1"/>
        <v>118996</v>
      </c>
      <c r="D13" s="15">
        <f t="shared" si="2"/>
        <v>927454</v>
      </c>
      <c r="E13" s="15">
        <f t="shared" si="3"/>
        <v>47113</v>
      </c>
      <c r="F13" s="15">
        <f t="shared" si="4"/>
        <v>0</v>
      </c>
      <c r="G13" s="15">
        <f t="shared" si="5"/>
        <v>1451095</v>
      </c>
      <c r="H13" s="15">
        <f t="shared" si="6"/>
        <v>628037</v>
      </c>
      <c r="I13" s="15">
        <f t="shared" si="7"/>
        <v>109080</v>
      </c>
      <c r="J13" s="15">
        <f t="shared" si="8"/>
        <v>290880</v>
      </c>
      <c r="K13" s="31">
        <v>33054553.48</v>
      </c>
      <c r="L13" s="31">
        <v>13460873.50999999</v>
      </c>
    </row>
    <row r="14" spans="1:12">
      <c r="A14" s="30">
        <v>43221</v>
      </c>
      <c r="B14" s="15">
        <f t="shared" si="0"/>
        <v>4935814</v>
      </c>
      <c r="C14" s="15">
        <f t="shared" si="1"/>
        <v>113903</v>
      </c>
      <c r="D14" s="15">
        <f t="shared" si="2"/>
        <v>913671</v>
      </c>
      <c r="E14" s="15">
        <f t="shared" si="3"/>
        <v>46413</v>
      </c>
      <c r="F14" s="15">
        <f t="shared" si="4"/>
        <v>0</v>
      </c>
      <c r="G14" s="15">
        <f t="shared" si="5"/>
        <v>1388989</v>
      </c>
      <c r="H14" s="15">
        <f t="shared" si="6"/>
        <v>601157</v>
      </c>
      <c r="I14" s="15">
        <f t="shared" si="7"/>
        <v>104411</v>
      </c>
      <c r="J14" s="15">
        <f t="shared" si="8"/>
        <v>278431</v>
      </c>
      <c r="K14" s="31">
        <v>31639834.490000013</v>
      </c>
      <c r="L14" s="31">
        <v>13260824.170000002</v>
      </c>
    </row>
    <row r="15" spans="1:12">
      <c r="A15" s="42">
        <v>43252</v>
      </c>
      <c r="B15" s="43">
        <f>SUM(B13:B14)</f>
        <v>10092324</v>
      </c>
      <c r="C15" s="43">
        <f t="shared" ref="C15:E15" si="10">SUM(C13:C14)</f>
        <v>232899</v>
      </c>
      <c r="D15" s="43">
        <f t="shared" si="10"/>
        <v>1841125</v>
      </c>
      <c r="E15" s="43">
        <f t="shared" si="10"/>
        <v>93526</v>
      </c>
      <c r="F15" s="15">
        <f t="shared" si="4"/>
        <v>0</v>
      </c>
      <c r="G15" s="15">
        <f t="shared" si="5"/>
        <v>1894618</v>
      </c>
      <c r="H15" s="15">
        <f t="shared" si="6"/>
        <v>819994</v>
      </c>
      <c r="I15" s="15">
        <f t="shared" si="7"/>
        <v>142420</v>
      </c>
      <c r="J15" s="15">
        <f>ROUND($K15*$J$3,0)</f>
        <v>379787</v>
      </c>
      <c r="K15" s="31">
        <v>43157595.420000009</v>
      </c>
      <c r="L15" s="31"/>
    </row>
    <row r="16" spans="1:12">
      <c r="A16" s="30">
        <v>43282</v>
      </c>
      <c r="B16" s="15">
        <f t="shared" si="0"/>
        <v>0</v>
      </c>
      <c r="C16" s="15">
        <f t="shared" si="1"/>
        <v>0</v>
      </c>
      <c r="D16" s="15">
        <f t="shared" si="2"/>
        <v>0</v>
      </c>
      <c r="E16" s="15">
        <f t="shared" si="3"/>
        <v>0</v>
      </c>
      <c r="F16" s="15">
        <f t="shared" si="4"/>
        <v>0</v>
      </c>
      <c r="G16" s="15">
        <f t="shared" si="5"/>
        <v>0</v>
      </c>
      <c r="H16" s="15">
        <f t="shared" si="6"/>
        <v>0</v>
      </c>
      <c r="I16" s="15">
        <f t="shared" si="7"/>
        <v>0</v>
      </c>
      <c r="J16" s="15">
        <f t="shared" si="8"/>
        <v>0</v>
      </c>
      <c r="K16" s="31"/>
      <c r="L16" s="31"/>
    </row>
    <row r="17" spans="1:12">
      <c r="A17" s="30">
        <v>43313</v>
      </c>
      <c r="B17" s="15">
        <f t="shared" si="0"/>
        <v>0</v>
      </c>
      <c r="C17" s="15">
        <f t="shared" si="1"/>
        <v>0</v>
      </c>
      <c r="D17" s="15">
        <f t="shared" si="2"/>
        <v>0</v>
      </c>
      <c r="E17" s="15">
        <f t="shared" si="3"/>
        <v>0</v>
      </c>
      <c r="F17" s="15">
        <f t="shared" si="4"/>
        <v>0</v>
      </c>
      <c r="G17" s="15">
        <f t="shared" si="5"/>
        <v>0</v>
      </c>
      <c r="H17" s="15">
        <f t="shared" si="6"/>
        <v>0</v>
      </c>
      <c r="I17" s="15">
        <f t="shared" si="7"/>
        <v>0</v>
      </c>
      <c r="J17" s="15">
        <f t="shared" si="8"/>
        <v>0</v>
      </c>
      <c r="K17" s="31"/>
      <c r="L17" s="31"/>
    </row>
    <row r="18" spans="1:12">
      <c r="A18" s="42">
        <v>43344</v>
      </c>
      <c r="B18" s="43">
        <f>SUM(B16:B17)</f>
        <v>0</v>
      </c>
      <c r="C18" s="43">
        <f t="shared" ref="C18:E18" si="11">SUM(C16:C17)</f>
        <v>0</v>
      </c>
      <c r="D18" s="43">
        <f t="shared" si="11"/>
        <v>0</v>
      </c>
      <c r="E18" s="43">
        <f t="shared" si="11"/>
        <v>0</v>
      </c>
      <c r="F18" s="15">
        <f t="shared" si="4"/>
        <v>0</v>
      </c>
      <c r="G18" s="15">
        <f t="shared" si="5"/>
        <v>0</v>
      </c>
      <c r="H18" s="15">
        <f t="shared" si="6"/>
        <v>0</v>
      </c>
      <c r="I18" s="15">
        <f t="shared" si="7"/>
        <v>0</v>
      </c>
      <c r="J18" s="15">
        <f t="shared" si="8"/>
        <v>0</v>
      </c>
      <c r="K18" s="31"/>
      <c r="L18" s="31"/>
    </row>
    <row r="19" spans="1:12">
      <c r="A19" s="30">
        <v>43374</v>
      </c>
      <c r="B19" s="15">
        <f t="shared" si="0"/>
        <v>0</v>
      </c>
      <c r="C19" s="15">
        <f t="shared" si="1"/>
        <v>0</v>
      </c>
      <c r="D19" s="15">
        <f t="shared" si="2"/>
        <v>0</v>
      </c>
      <c r="E19" s="15">
        <f t="shared" si="3"/>
        <v>0</v>
      </c>
      <c r="F19" s="15">
        <f t="shared" si="4"/>
        <v>0</v>
      </c>
      <c r="G19" s="15">
        <f t="shared" si="5"/>
        <v>0</v>
      </c>
      <c r="H19" s="15">
        <f t="shared" si="6"/>
        <v>0</v>
      </c>
      <c r="I19" s="15">
        <f t="shared" si="7"/>
        <v>0</v>
      </c>
      <c r="J19" s="15">
        <f t="shared" si="8"/>
        <v>0</v>
      </c>
      <c r="K19" s="31"/>
      <c r="L19" s="31"/>
    </row>
    <row r="20" spans="1:12">
      <c r="A20" s="30">
        <v>43405</v>
      </c>
      <c r="B20" s="15">
        <f t="shared" si="0"/>
        <v>0</v>
      </c>
      <c r="C20" s="15">
        <f t="shared" si="1"/>
        <v>0</v>
      </c>
      <c r="D20" s="15">
        <f t="shared" si="2"/>
        <v>0</v>
      </c>
      <c r="E20" s="15">
        <f t="shared" si="3"/>
        <v>0</v>
      </c>
      <c r="F20" s="15">
        <f t="shared" si="4"/>
        <v>0</v>
      </c>
      <c r="G20" s="15">
        <f t="shared" si="5"/>
        <v>0</v>
      </c>
      <c r="H20" s="15">
        <f t="shared" si="6"/>
        <v>0</v>
      </c>
      <c r="I20" s="15">
        <f t="shared" si="7"/>
        <v>0</v>
      </c>
      <c r="J20" s="15">
        <f t="shared" si="8"/>
        <v>0</v>
      </c>
      <c r="K20" s="31"/>
      <c r="L20" s="31"/>
    </row>
    <row r="21" spans="1:12">
      <c r="A21" s="42">
        <v>43435</v>
      </c>
      <c r="B21" s="43">
        <f>SUM(B19:B20)</f>
        <v>0</v>
      </c>
      <c r="C21" s="43">
        <f t="shared" ref="C21:E21" si="12">SUM(C19:C20)</f>
        <v>0</v>
      </c>
      <c r="D21" s="43">
        <f t="shared" si="12"/>
        <v>0</v>
      </c>
      <c r="E21" s="43">
        <f t="shared" si="12"/>
        <v>0</v>
      </c>
      <c r="F21" s="15">
        <f t="shared" si="4"/>
        <v>0</v>
      </c>
      <c r="G21" s="15">
        <f t="shared" si="5"/>
        <v>0</v>
      </c>
      <c r="H21" s="15">
        <f t="shared" si="6"/>
        <v>0</v>
      </c>
      <c r="I21" s="15">
        <f t="shared" si="7"/>
        <v>0</v>
      </c>
      <c r="J21" s="15">
        <f t="shared" si="8"/>
        <v>0</v>
      </c>
      <c r="K21" s="31"/>
      <c r="L21" s="31"/>
    </row>
    <row r="22" spans="1:12">
      <c r="A22" s="17" t="s">
        <v>57</v>
      </c>
      <c r="B22" s="15"/>
      <c r="C22" s="15"/>
      <c r="D22" s="15"/>
      <c r="E22" s="15"/>
      <c r="F22" s="18">
        <f>SUM(F10:F21)</f>
        <v>0</v>
      </c>
      <c r="G22" s="18">
        <f>SUM(G10:G21)</f>
        <v>11777908</v>
      </c>
      <c r="H22" s="18">
        <f t="shared" ref="H22:J22" si="13">SUM(H10:H21)</f>
        <v>5097501</v>
      </c>
      <c r="I22" s="18">
        <f t="shared" si="13"/>
        <v>885355</v>
      </c>
      <c r="J22" s="18">
        <f t="shared" si="13"/>
        <v>2360948</v>
      </c>
      <c r="K22" s="8"/>
      <c r="L22" s="8"/>
    </row>
  </sheetData>
  <mergeCells count="2">
    <mergeCell ref="K7:K9"/>
    <mergeCell ref="L7:L9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凭证模板</vt:lpstr>
      <vt:lpstr>Sheet2 公司代码与本地分支</vt:lpstr>
      <vt:lpstr>上海</vt:lpstr>
      <vt:lpstr>北京</vt:lpstr>
      <vt:lpstr>深圳</vt:lpstr>
      <vt:lpstr>广东</vt:lpstr>
      <vt:lpstr>佛山</vt:lpstr>
      <vt:lpstr>东莞</vt:lpstr>
      <vt:lpstr>江门</vt:lpstr>
      <vt:lpstr>江苏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2018-07-13T07:57:36Z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4a453a71-601a-4b06-b927-3fba6087a435</vt:lpwstr>
  </property>
</Properties>
</file>