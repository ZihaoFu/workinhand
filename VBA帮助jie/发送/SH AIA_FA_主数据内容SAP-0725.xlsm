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filterPrivacy="1" codeName="ThisWorkbook"/>
  <xr:revisionPtr revIDLastSave="0" documentId="10_ncr:8100000_{FC99625A-9BDF-4C4E-B530-283E5F8FBF47}" xr6:coauthVersionLast="34" xr6:coauthVersionMax="34" xr10:uidLastSave="{00000000-0000-0000-0000-000000000000}"/>
  <bookViews>
    <workbookView xWindow="0" yWindow="0" windowWidth="26010" windowHeight="10110" xr2:uid="{00000000-000D-0000-FFFF-FFFF00000000}"/>
  </bookViews>
  <sheets>
    <sheet name="以前年度购置的资产" sheetId="2" r:id="rId1"/>
    <sheet name="补行" sheetId="11" r:id="rId2"/>
    <sheet name="本年购置的资产 " sheetId="3" r:id="rId3"/>
    <sheet name="SUN" sheetId="8" r:id="rId4"/>
    <sheet name="13070201" sheetId="10" r:id="rId5"/>
    <sheet name="mapping" sheetId="9" r:id="rId6"/>
    <sheet name="Location" sheetId="1" r:id="rId7"/>
    <sheet name="Company code" sheetId="4" r:id="rId8"/>
    <sheet name="Asset parameter" sheetId="5" r:id="rId9"/>
    <sheet name="Depreciation area" sheetId="6" r:id="rId10"/>
    <sheet name="Cost center" sheetId="7" r:id="rId11"/>
  </sheets>
  <externalReferences>
    <externalReference r:id="rId12"/>
  </externalReferences>
  <definedNames>
    <definedName name="_xlnm._FilterDatabase" localSheetId="5" hidden="1">mapping!$G$1:$H$115</definedName>
    <definedName name="_xlnm._FilterDatabase" localSheetId="3" hidden="1">SUN!$A$9:$AD$9</definedName>
    <definedName name="_xlnm._FilterDatabase" localSheetId="0" hidden="1">以前年度购置的资产!$T$1:$T$3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0" i="2" l="1"/>
  <c r="Z30" i="2" s="1"/>
  <c r="X30" i="2"/>
  <c r="W30" i="2"/>
  <c r="T30" i="2"/>
  <c r="S30" i="2"/>
  <c r="R30" i="2"/>
  <c r="O30" i="2"/>
  <c r="L30" i="2"/>
  <c r="B30" i="2"/>
  <c r="AA17" i="2"/>
  <c r="Z17" i="2" s="1"/>
  <c r="X17" i="2"/>
  <c r="W17" i="2"/>
  <c r="T17" i="2"/>
  <c r="S17" i="2"/>
  <c r="R17" i="2"/>
  <c r="Q17" i="2"/>
  <c r="O17" i="2"/>
  <c r="L17" i="2"/>
  <c r="B17" i="2"/>
  <c r="AA4" i="2"/>
  <c r="X4" i="2"/>
  <c r="W4" i="2"/>
  <c r="T4" i="2"/>
  <c r="S4" i="2"/>
  <c r="R4" i="2"/>
  <c r="Q4" i="2"/>
  <c r="O4" i="2"/>
  <c r="L4" i="2"/>
  <c r="B4" i="2"/>
  <c r="Y30" i="2" l="1"/>
  <c r="Y17" i="2"/>
  <c r="Z4" i="2"/>
  <c r="Y4" i="2"/>
  <c r="Y2026" i="8" l="1"/>
  <c r="Y3340" i="8"/>
  <c r="P3339" i="8"/>
  <c r="P3338" i="8"/>
  <c r="P3337" i="8"/>
  <c r="P3336" i="8"/>
  <c r="P3335" i="8"/>
  <c r="P3334" i="8"/>
  <c r="P3333" i="8"/>
  <c r="P3332" i="8"/>
  <c r="P3331" i="8"/>
  <c r="P3330" i="8"/>
  <c r="P3329" i="8"/>
  <c r="P3328" i="8"/>
  <c r="P3327" i="8"/>
  <c r="P3326" i="8"/>
  <c r="P3325" i="8"/>
  <c r="P3324" i="8"/>
  <c r="P3323" i="8"/>
  <c r="P3322" i="8"/>
  <c r="P3321" i="8"/>
  <c r="P3320" i="8"/>
  <c r="P3319" i="8"/>
  <c r="P3318" i="8"/>
  <c r="P3317" i="8"/>
  <c r="P3316" i="8"/>
  <c r="P3315" i="8"/>
  <c r="P3314" i="8"/>
  <c r="P3313" i="8"/>
  <c r="P3312" i="8"/>
  <c r="P3311" i="8"/>
  <c r="P3310" i="8"/>
  <c r="P3309" i="8"/>
  <c r="P3308" i="8"/>
  <c r="P3307" i="8"/>
  <c r="P3306" i="8"/>
  <c r="P3305" i="8"/>
  <c r="P3304" i="8"/>
  <c r="P3303" i="8"/>
  <c r="P3302" i="8"/>
  <c r="P3301" i="8"/>
  <c r="P3300" i="8"/>
  <c r="P3299" i="8"/>
  <c r="P3298" i="8"/>
  <c r="P3297" i="8"/>
  <c r="P3296" i="8"/>
  <c r="P3295" i="8"/>
  <c r="P3294" i="8"/>
  <c r="P3293" i="8"/>
  <c r="P3292" i="8"/>
  <c r="P3291" i="8"/>
  <c r="P3290" i="8"/>
  <c r="P3289" i="8"/>
  <c r="P3288" i="8"/>
  <c r="P3287" i="8"/>
  <c r="P3286" i="8"/>
  <c r="P3285" i="8"/>
  <c r="P3284" i="8"/>
  <c r="P3283" i="8"/>
  <c r="P3282" i="8"/>
  <c r="P3281" i="8"/>
  <c r="P3280" i="8"/>
  <c r="P3279" i="8"/>
  <c r="P3278" i="8"/>
  <c r="P3277" i="8"/>
  <c r="P3276" i="8"/>
  <c r="P3275" i="8"/>
  <c r="P3274" i="8"/>
  <c r="P3273" i="8"/>
  <c r="P3272" i="8"/>
  <c r="P3271" i="8"/>
  <c r="P3270" i="8"/>
  <c r="P3269" i="8"/>
  <c r="P3268" i="8"/>
  <c r="P3267" i="8"/>
  <c r="P3266" i="8"/>
  <c r="P3265" i="8"/>
  <c r="P3264" i="8"/>
  <c r="P3263" i="8"/>
  <c r="P3262" i="8"/>
  <c r="P3261" i="8"/>
  <c r="P3260" i="8"/>
  <c r="P3259" i="8"/>
  <c r="P3258" i="8"/>
  <c r="P3257" i="8"/>
  <c r="P3256" i="8"/>
  <c r="P3255" i="8"/>
  <c r="P3254" i="8"/>
  <c r="P3253" i="8"/>
  <c r="P3252" i="8"/>
  <c r="P3251" i="8"/>
  <c r="P3250" i="8"/>
  <c r="P3249" i="8"/>
  <c r="P3248" i="8"/>
  <c r="P3247" i="8"/>
  <c r="P3246" i="8"/>
  <c r="P3245" i="8"/>
  <c r="P3244" i="8"/>
  <c r="P3243" i="8"/>
  <c r="P3242" i="8"/>
  <c r="P3241" i="8"/>
  <c r="P3240" i="8"/>
  <c r="P3239" i="8"/>
  <c r="P3238" i="8"/>
  <c r="P3237" i="8"/>
  <c r="P3236" i="8"/>
  <c r="P3235" i="8"/>
  <c r="P3234" i="8"/>
  <c r="P3233" i="8"/>
  <c r="P3232" i="8"/>
  <c r="P3231" i="8"/>
  <c r="P3230" i="8"/>
  <c r="P3229" i="8"/>
  <c r="P3228" i="8"/>
  <c r="P3227" i="8"/>
  <c r="P3226" i="8"/>
  <c r="P3225" i="8"/>
  <c r="P3224" i="8"/>
  <c r="P3223" i="8"/>
  <c r="P3222" i="8"/>
  <c r="P3221" i="8"/>
  <c r="P3220" i="8"/>
  <c r="P3219" i="8"/>
  <c r="P3218" i="8"/>
  <c r="P3217" i="8"/>
  <c r="P3216" i="8"/>
  <c r="P3215" i="8"/>
  <c r="P3214" i="8"/>
  <c r="P3213" i="8"/>
  <c r="P3212" i="8"/>
  <c r="P3211" i="8"/>
  <c r="P3210" i="8"/>
  <c r="P3209" i="8"/>
  <c r="P3208" i="8"/>
  <c r="P3207" i="8"/>
  <c r="P3206" i="8"/>
  <c r="P3205" i="8"/>
  <c r="P3204" i="8"/>
  <c r="P3203" i="8"/>
  <c r="P3202" i="8"/>
  <c r="P3201" i="8"/>
  <c r="P3200" i="8"/>
  <c r="P3199" i="8"/>
  <c r="P3198" i="8"/>
  <c r="P3197" i="8"/>
  <c r="P3196" i="8"/>
  <c r="P3195" i="8"/>
  <c r="P3194" i="8"/>
  <c r="P3193" i="8"/>
  <c r="P3192" i="8"/>
  <c r="P3191" i="8"/>
  <c r="P3190" i="8"/>
  <c r="P3189" i="8"/>
  <c r="P3188" i="8"/>
  <c r="P3187" i="8"/>
  <c r="P3186" i="8"/>
  <c r="P3185" i="8"/>
  <c r="P3184" i="8"/>
  <c r="P3183" i="8"/>
  <c r="P3182" i="8"/>
  <c r="P3181" i="8"/>
  <c r="P3180" i="8"/>
  <c r="P3179" i="8"/>
  <c r="P3178" i="8"/>
  <c r="P3177" i="8"/>
  <c r="P3176" i="8"/>
  <c r="P3175" i="8"/>
  <c r="P3174" i="8"/>
  <c r="P3173" i="8"/>
  <c r="P3172" i="8"/>
  <c r="P3171" i="8"/>
  <c r="P3170" i="8"/>
  <c r="P3169" i="8"/>
  <c r="P3168" i="8"/>
  <c r="P3167" i="8"/>
  <c r="P3166" i="8"/>
  <c r="P3165" i="8"/>
  <c r="P3164" i="8"/>
  <c r="P3163" i="8"/>
  <c r="P3162" i="8"/>
  <c r="P3161" i="8"/>
  <c r="P3160" i="8"/>
  <c r="P3159" i="8"/>
  <c r="P3158" i="8"/>
  <c r="P3157" i="8"/>
  <c r="P3156" i="8"/>
  <c r="P3155" i="8"/>
  <c r="P3154" i="8"/>
  <c r="P3153" i="8"/>
  <c r="P3152" i="8"/>
  <c r="P3151" i="8"/>
  <c r="P3150" i="8"/>
  <c r="P3149" i="8"/>
  <c r="P3148" i="8"/>
  <c r="P3147" i="8"/>
  <c r="P3146" i="8"/>
  <c r="P3145" i="8"/>
  <c r="P3144" i="8"/>
  <c r="P3143" i="8"/>
  <c r="P3142" i="8"/>
  <c r="P3141" i="8"/>
  <c r="P3140" i="8"/>
  <c r="P3139" i="8"/>
  <c r="P3138" i="8"/>
  <c r="P3137" i="8"/>
  <c r="P3136" i="8"/>
  <c r="P3135" i="8"/>
  <c r="P3134" i="8"/>
  <c r="P3133" i="8"/>
  <c r="P3132" i="8"/>
  <c r="P3131" i="8"/>
  <c r="P3130" i="8"/>
  <c r="P3129" i="8"/>
  <c r="P3128" i="8"/>
  <c r="P3127" i="8"/>
  <c r="P3126" i="8"/>
  <c r="P3125" i="8"/>
  <c r="P3124" i="8"/>
  <c r="P3123" i="8"/>
  <c r="P3122" i="8"/>
  <c r="P3121" i="8"/>
  <c r="P3120" i="8"/>
  <c r="P3119" i="8"/>
  <c r="P3118" i="8"/>
  <c r="P3117" i="8"/>
  <c r="P3116" i="8"/>
  <c r="P3115" i="8"/>
  <c r="P3114" i="8"/>
  <c r="P3113" i="8"/>
  <c r="P3112" i="8"/>
  <c r="P3111" i="8"/>
  <c r="P3110" i="8"/>
  <c r="P3109" i="8"/>
  <c r="P3108" i="8"/>
  <c r="P3107" i="8"/>
  <c r="P3106" i="8"/>
  <c r="P3105" i="8"/>
  <c r="P3104" i="8"/>
  <c r="P3103" i="8"/>
  <c r="P3102" i="8"/>
  <c r="P3101" i="8"/>
  <c r="P3100" i="8"/>
  <c r="P3099" i="8"/>
  <c r="P3098" i="8"/>
  <c r="P3097" i="8"/>
  <c r="P3096" i="8"/>
  <c r="P3095" i="8"/>
  <c r="P3094" i="8"/>
  <c r="P3093" i="8"/>
  <c r="P3092" i="8"/>
  <c r="P3091" i="8"/>
  <c r="P3090" i="8"/>
  <c r="P3089" i="8"/>
  <c r="P3088" i="8"/>
  <c r="P3087" i="8"/>
  <c r="P3086" i="8"/>
  <c r="P3085" i="8"/>
  <c r="P3084" i="8"/>
  <c r="P3083" i="8"/>
  <c r="P3082" i="8"/>
  <c r="P3081" i="8"/>
  <c r="P3080" i="8"/>
  <c r="P3079" i="8"/>
  <c r="P3078" i="8"/>
  <c r="P3077" i="8"/>
  <c r="P3076" i="8"/>
  <c r="P3075" i="8"/>
  <c r="P3074" i="8"/>
  <c r="P3073" i="8"/>
  <c r="P3072" i="8"/>
  <c r="P3071" i="8"/>
  <c r="P3070" i="8"/>
  <c r="P3069" i="8"/>
  <c r="P3068" i="8"/>
  <c r="P3067" i="8"/>
  <c r="P3066" i="8"/>
  <c r="P3065" i="8"/>
  <c r="P3064" i="8"/>
  <c r="P3063" i="8"/>
  <c r="P3062" i="8"/>
  <c r="P3061" i="8"/>
  <c r="P3060" i="8"/>
  <c r="P3059" i="8"/>
  <c r="P3058" i="8"/>
  <c r="P3057" i="8"/>
  <c r="P3056" i="8"/>
  <c r="P3055" i="8"/>
  <c r="P3054" i="8"/>
  <c r="P3053" i="8"/>
  <c r="P3052" i="8"/>
  <c r="P3051" i="8"/>
  <c r="P3050" i="8"/>
  <c r="P3049" i="8"/>
  <c r="P3048" i="8"/>
  <c r="P3047" i="8"/>
  <c r="P3046" i="8"/>
  <c r="P3045" i="8"/>
  <c r="P3044" i="8"/>
  <c r="P3043" i="8"/>
  <c r="P3042" i="8"/>
  <c r="P3041" i="8"/>
  <c r="P3040" i="8"/>
  <c r="P3039" i="8"/>
  <c r="P3038" i="8"/>
  <c r="P3037" i="8"/>
  <c r="P3036" i="8"/>
  <c r="P3035" i="8"/>
  <c r="P3034" i="8"/>
  <c r="P3033" i="8"/>
  <c r="P3032" i="8"/>
  <c r="P3031" i="8"/>
  <c r="P3030" i="8"/>
  <c r="P3029" i="8"/>
  <c r="P3028" i="8"/>
  <c r="P3027" i="8"/>
  <c r="D3027" i="8"/>
  <c r="P3026" i="8"/>
  <c r="D3026" i="8"/>
  <c r="P3025" i="8"/>
  <c r="D3025" i="8"/>
  <c r="P3024" i="8"/>
  <c r="D3024" i="8"/>
  <c r="P3023" i="8"/>
  <c r="D3023" i="8"/>
  <c r="P3022" i="8"/>
  <c r="D3022" i="8"/>
  <c r="P3021" i="8"/>
  <c r="D3021" i="8"/>
  <c r="P3020" i="8"/>
  <c r="D3020" i="8"/>
  <c r="P3019" i="8"/>
  <c r="D3019" i="8"/>
  <c r="P3018" i="8"/>
  <c r="D3018" i="8"/>
  <c r="P3017" i="8"/>
  <c r="D3017" i="8"/>
  <c r="P3016" i="8"/>
  <c r="D3016" i="8"/>
  <c r="P3015" i="8"/>
  <c r="D3015" i="8"/>
  <c r="P3014" i="8"/>
  <c r="D3014" i="8"/>
  <c r="P3013" i="8"/>
  <c r="D3013" i="8"/>
  <c r="P3012" i="8"/>
  <c r="D3012" i="8"/>
  <c r="P3011" i="8"/>
  <c r="D3011" i="8"/>
  <c r="P3010" i="8"/>
  <c r="D3010" i="8"/>
  <c r="P3009" i="8"/>
  <c r="D3009" i="8"/>
  <c r="P3008" i="8"/>
  <c r="D3008" i="8"/>
  <c r="P3007" i="8"/>
  <c r="D3007" i="8"/>
  <c r="P3006" i="8"/>
  <c r="D3006" i="8"/>
  <c r="P3005" i="8"/>
  <c r="D3005" i="8"/>
  <c r="P3004" i="8"/>
  <c r="D3004" i="8"/>
  <c r="P3003" i="8"/>
  <c r="D3003" i="8"/>
  <c r="P3002" i="8"/>
  <c r="D3002" i="8"/>
  <c r="P3001" i="8"/>
  <c r="D3001" i="8"/>
  <c r="P3000" i="8"/>
  <c r="D3000" i="8"/>
  <c r="P2999" i="8"/>
  <c r="D2999" i="8"/>
  <c r="P2998" i="8"/>
  <c r="D2998" i="8"/>
  <c r="P2997" i="8"/>
  <c r="D2997" i="8"/>
  <c r="P2996" i="8"/>
  <c r="D2996" i="8"/>
  <c r="P2995" i="8"/>
  <c r="D2995" i="8"/>
  <c r="P2994" i="8"/>
  <c r="D2994" i="8"/>
  <c r="P2993" i="8"/>
  <c r="D2993" i="8"/>
  <c r="P2992" i="8"/>
  <c r="D2992" i="8"/>
  <c r="P2991" i="8"/>
  <c r="D2991" i="8"/>
  <c r="P2990" i="8"/>
  <c r="D2990" i="8"/>
  <c r="P2989" i="8"/>
  <c r="D2989" i="8"/>
  <c r="P2988" i="8"/>
  <c r="D2988" i="8"/>
  <c r="P2987" i="8"/>
  <c r="D2987" i="8"/>
  <c r="P2986" i="8"/>
  <c r="D2986" i="8"/>
  <c r="P2985" i="8"/>
  <c r="P2984" i="8"/>
  <c r="P2983" i="8"/>
  <c r="P2982" i="8"/>
  <c r="P2981" i="8"/>
  <c r="P2980" i="8"/>
  <c r="P2979" i="8"/>
  <c r="P2978" i="8"/>
  <c r="P2977" i="8"/>
  <c r="P2976" i="8"/>
  <c r="P2975" i="8"/>
  <c r="P2974" i="8"/>
  <c r="P2973" i="8"/>
  <c r="P2972" i="8"/>
  <c r="P2971" i="8"/>
  <c r="P2970" i="8"/>
  <c r="P2969" i="8"/>
  <c r="P2968" i="8"/>
  <c r="P2967" i="8"/>
  <c r="P2966" i="8"/>
  <c r="P2965" i="8"/>
  <c r="P2964" i="8"/>
  <c r="P2963" i="8"/>
  <c r="P2962" i="8"/>
  <c r="P2961" i="8"/>
  <c r="P2960" i="8"/>
  <c r="P2959" i="8"/>
  <c r="P2958" i="8"/>
  <c r="P2957" i="8"/>
  <c r="P2956" i="8"/>
  <c r="P2955" i="8"/>
  <c r="P2954" i="8"/>
  <c r="P2953" i="8"/>
  <c r="P2952" i="8"/>
  <c r="P2951" i="8"/>
  <c r="P2950" i="8"/>
  <c r="P2949" i="8"/>
  <c r="P2948" i="8"/>
  <c r="P2947" i="8"/>
  <c r="P2946" i="8"/>
  <c r="P2945" i="8"/>
  <c r="P2944" i="8"/>
  <c r="P2943" i="8"/>
  <c r="P2942" i="8"/>
  <c r="P2941" i="8"/>
  <c r="P2940" i="8"/>
  <c r="P2939" i="8"/>
  <c r="P2938" i="8"/>
  <c r="P2937" i="8"/>
  <c r="P2936" i="8"/>
  <c r="P2935" i="8"/>
  <c r="P2934" i="8"/>
  <c r="P2933" i="8"/>
  <c r="P2932" i="8"/>
  <c r="P2931" i="8"/>
  <c r="P2930" i="8"/>
  <c r="P2929" i="8"/>
  <c r="P2928" i="8"/>
  <c r="P2927" i="8"/>
  <c r="P2926" i="8"/>
  <c r="P2925" i="8"/>
  <c r="P2924" i="8"/>
  <c r="P2923" i="8"/>
  <c r="P2922" i="8"/>
  <c r="P2921" i="8"/>
  <c r="P2920" i="8"/>
  <c r="P2919" i="8"/>
  <c r="P2918" i="8"/>
  <c r="P2917" i="8"/>
  <c r="P2916" i="8"/>
  <c r="P2915" i="8"/>
  <c r="P2914" i="8"/>
  <c r="P2913" i="8"/>
  <c r="P2912" i="8"/>
  <c r="P2911" i="8"/>
  <c r="P2910" i="8"/>
  <c r="P2909" i="8"/>
  <c r="P2908" i="8"/>
  <c r="P2907" i="8"/>
  <c r="P2906" i="8"/>
  <c r="P2905" i="8"/>
  <c r="P2904" i="8"/>
  <c r="P2903" i="8"/>
  <c r="P2902" i="8"/>
  <c r="P2901" i="8"/>
  <c r="P2900" i="8"/>
  <c r="P2899" i="8"/>
  <c r="P2898" i="8"/>
  <c r="P2897" i="8"/>
  <c r="P2896" i="8"/>
  <c r="P2895" i="8"/>
  <c r="P2894" i="8"/>
  <c r="P2893" i="8"/>
  <c r="P2892" i="8"/>
  <c r="P2891" i="8"/>
  <c r="P2890" i="8"/>
  <c r="P2889" i="8"/>
  <c r="P2888" i="8"/>
  <c r="P2887" i="8"/>
  <c r="P2886" i="8"/>
  <c r="P2885" i="8"/>
  <c r="P2884" i="8"/>
  <c r="P2883" i="8"/>
  <c r="P2882" i="8"/>
  <c r="P2881" i="8"/>
  <c r="P2880" i="8"/>
  <c r="P2879" i="8"/>
  <c r="P2878" i="8"/>
  <c r="P2877" i="8"/>
  <c r="P2876" i="8"/>
  <c r="P2875" i="8"/>
  <c r="P2874" i="8"/>
  <c r="P2873" i="8"/>
  <c r="P2872" i="8"/>
  <c r="P2871" i="8"/>
  <c r="P2870" i="8"/>
  <c r="P2869" i="8"/>
  <c r="P2868" i="8"/>
  <c r="P2867" i="8"/>
  <c r="P2866" i="8"/>
  <c r="P2865" i="8"/>
  <c r="P2864" i="8"/>
  <c r="P2863" i="8"/>
  <c r="P2862" i="8"/>
  <c r="P2861" i="8"/>
  <c r="P2860" i="8"/>
  <c r="P2859" i="8"/>
  <c r="P2858" i="8"/>
  <c r="P2857" i="8"/>
  <c r="P2856" i="8"/>
  <c r="P2855" i="8"/>
  <c r="P2854" i="8"/>
  <c r="P2853" i="8"/>
  <c r="P2852" i="8"/>
  <c r="P2851" i="8"/>
  <c r="P2850" i="8"/>
  <c r="P2849" i="8"/>
  <c r="P2848" i="8"/>
  <c r="P2847" i="8"/>
  <c r="P2846" i="8"/>
  <c r="P2845" i="8"/>
  <c r="P2844" i="8"/>
  <c r="P2843" i="8"/>
  <c r="P2842" i="8"/>
  <c r="P2841" i="8"/>
  <c r="P2840" i="8"/>
  <c r="P2839" i="8"/>
  <c r="P2838" i="8"/>
  <c r="P2837" i="8"/>
  <c r="P2836" i="8"/>
  <c r="P2835" i="8"/>
  <c r="P2834" i="8"/>
  <c r="P2833" i="8"/>
  <c r="P2832" i="8"/>
  <c r="P2831" i="8"/>
  <c r="P2830" i="8"/>
  <c r="P2829" i="8"/>
  <c r="P2828" i="8"/>
  <c r="P2827" i="8"/>
  <c r="P2826" i="8"/>
  <c r="P2825" i="8"/>
  <c r="P2824" i="8"/>
  <c r="P2823" i="8"/>
  <c r="P2822" i="8"/>
  <c r="P2821" i="8"/>
  <c r="P2820" i="8"/>
  <c r="P2819" i="8"/>
  <c r="P2818" i="8"/>
  <c r="P2817" i="8"/>
  <c r="P2816" i="8"/>
  <c r="P2815" i="8"/>
  <c r="P2814" i="8"/>
  <c r="P2813" i="8"/>
  <c r="P2812" i="8"/>
  <c r="P2811" i="8"/>
  <c r="P2810" i="8"/>
  <c r="P2809" i="8"/>
  <c r="P2808" i="8"/>
  <c r="P2807" i="8"/>
  <c r="P2806" i="8"/>
  <c r="P2805" i="8"/>
  <c r="P2804" i="8"/>
  <c r="P2803" i="8"/>
  <c r="P2802" i="8"/>
  <c r="P2801" i="8"/>
  <c r="P2800" i="8"/>
  <c r="P2799" i="8"/>
  <c r="P2798" i="8"/>
  <c r="P2797" i="8"/>
  <c r="P2796" i="8"/>
  <c r="P2795" i="8"/>
  <c r="P2794" i="8"/>
  <c r="P2793" i="8"/>
  <c r="P2792" i="8"/>
  <c r="P2791" i="8"/>
  <c r="P2790" i="8"/>
  <c r="P2789" i="8"/>
  <c r="P2788" i="8"/>
  <c r="P2787" i="8"/>
  <c r="P2786" i="8"/>
  <c r="P2785" i="8"/>
  <c r="P2784" i="8"/>
  <c r="P2783" i="8"/>
  <c r="P2782" i="8"/>
  <c r="P2781" i="8"/>
  <c r="P2780" i="8"/>
  <c r="P2779" i="8"/>
  <c r="P2778" i="8"/>
  <c r="P2777" i="8"/>
  <c r="P2776" i="8"/>
  <c r="P2775" i="8"/>
  <c r="P2774" i="8"/>
  <c r="P2773" i="8"/>
  <c r="P2772" i="8"/>
  <c r="P2771" i="8"/>
  <c r="P2770" i="8"/>
  <c r="P2769" i="8"/>
  <c r="P2768" i="8"/>
  <c r="P2767" i="8"/>
  <c r="P2766" i="8"/>
  <c r="P2765" i="8"/>
  <c r="P2764" i="8"/>
  <c r="P2763" i="8"/>
  <c r="P2762" i="8"/>
  <c r="P2761" i="8"/>
  <c r="P2760" i="8"/>
  <c r="P2759" i="8"/>
  <c r="P2758" i="8"/>
  <c r="P2757" i="8"/>
  <c r="P2756" i="8"/>
  <c r="P2755" i="8"/>
  <c r="P2754" i="8"/>
  <c r="P2753" i="8"/>
  <c r="P2752" i="8"/>
  <c r="P2751" i="8"/>
  <c r="P2750" i="8"/>
  <c r="P2749" i="8"/>
  <c r="P2748" i="8"/>
  <c r="P2747" i="8"/>
  <c r="P2746" i="8"/>
  <c r="P2745" i="8"/>
  <c r="P2744" i="8"/>
  <c r="P2743" i="8"/>
  <c r="P2742" i="8"/>
  <c r="P2741" i="8"/>
  <c r="P2740" i="8"/>
  <c r="P2739" i="8"/>
  <c r="P2738" i="8"/>
  <c r="P2737" i="8"/>
  <c r="P2736" i="8"/>
  <c r="P2735" i="8"/>
  <c r="P2734" i="8"/>
  <c r="P2733" i="8"/>
  <c r="P2732" i="8"/>
  <c r="P2731" i="8"/>
  <c r="P2730" i="8"/>
  <c r="P2729" i="8"/>
  <c r="P2728" i="8"/>
  <c r="P2727" i="8"/>
  <c r="P2726" i="8"/>
  <c r="P2725" i="8"/>
  <c r="P2724" i="8"/>
  <c r="P2723" i="8"/>
  <c r="P2722" i="8"/>
  <c r="P2721" i="8"/>
  <c r="P2720" i="8"/>
  <c r="P2719" i="8"/>
  <c r="P2718" i="8"/>
  <c r="P2717" i="8"/>
  <c r="P2716" i="8"/>
  <c r="P2715" i="8"/>
  <c r="P2714" i="8"/>
  <c r="P2713" i="8"/>
  <c r="P2712" i="8"/>
  <c r="P2711" i="8"/>
  <c r="P2710" i="8"/>
  <c r="P2709" i="8"/>
  <c r="P2708" i="8"/>
  <c r="P2707" i="8"/>
  <c r="D2707" i="8"/>
  <c r="P2706" i="8"/>
  <c r="D2706" i="8"/>
  <c r="P2705" i="8"/>
  <c r="P2704" i="8"/>
  <c r="P2703" i="8"/>
  <c r="P2702" i="8"/>
  <c r="P2701" i="8"/>
  <c r="P2700" i="8"/>
  <c r="P2699" i="8"/>
  <c r="P2698" i="8"/>
  <c r="P2697" i="8"/>
  <c r="P2696" i="8"/>
  <c r="P2695" i="8"/>
  <c r="P2694" i="8"/>
  <c r="P2693" i="8"/>
  <c r="P2692" i="8"/>
  <c r="P2691" i="8"/>
  <c r="P2690" i="8"/>
  <c r="P2689" i="8"/>
  <c r="P2688" i="8"/>
  <c r="P2687" i="8"/>
  <c r="P2686" i="8"/>
  <c r="P2685" i="8"/>
  <c r="P2684" i="8"/>
  <c r="P2683" i="8"/>
  <c r="P2682" i="8"/>
  <c r="P2681" i="8"/>
  <c r="P2680" i="8"/>
  <c r="P2679" i="8"/>
  <c r="P2678" i="8"/>
  <c r="P2677" i="8"/>
  <c r="P2676" i="8"/>
  <c r="P2675" i="8"/>
  <c r="P2674" i="8"/>
  <c r="P2673" i="8"/>
  <c r="P2672" i="8"/>
  <c r="P2671" i="8"/>
  <c r="P2670" i="8"/>
  <c r="P2669" i="8"/>
  <c r="P2668" i="8"/>
  <c r="P2667" i="8"/>
  <c r="P2666" i="8"/>
  <c r="P2665" i="8"/>
  <c r="P2664" i="8"/>
  <c r="P2663" i="8"/>
  <c r="P2662" i="8"/>
  <c r="P2661" i="8"/>
  <c r="P2660" i="8"/>
  <c r="P2659" i="8"/>
  <c r="P2658" i="8"/>
  <c r="P2657" i="8"/>
  <c r="P2656" i="8"/>
  <c r="P2655" i="8"/>
  <c r="P2654" i="8"/>
  <c r="P2653" i="8"/>
  <c r="P2652" i="8"/>
  <c r="P2651" i="8"/>
  <c r="P2650" i="8"/>
  <c r="P2649" i="8"/>
  <c r="P2648" i="8"/>
  <c r="P2647" i="8"/>
  <c r="P2646" i="8"/>
  <c r="P2645" i="8"/>
  <c r="P2644" i="8"/>
  <c r="P2643" i="8"/>
  <c r="P2642" i="8"/>
  <c r="P2641" i="8"/>
  <c r="P2640" i="8"/>
  <c r="P2639" i="8"/>
  <c r="P2638" i="8"/>
  <c r="P2637" i="8"/>
  <c r="P2636" i="8"/>
  <c r="P2635" i="8"/>
  <c r="P2634" i="8"/>
  <c r="P2633" i="8"/>
  <c r="P2632" i="8"/>
  <c r="P2631" i="8"/>
  <c r="P2630" i="8"/>
  <c r="P2629" i="8"/>
  <c r="P2628" i="8"/>
  <c r="P2627" i="8"/>
  <c r="P2626" i="8"/>
  <c r="P2625" i="8"/>
  <c r="P2624" i="8"/>
  <c r="P2623" i="8"/>
  <c r="P2622" i="8"/>
  <c r="P2621" i="8"/>
  <c r="P2620" i="8"/>
  <c r="P2619" i="8"/>
  <c r="P2618" i="8"/>
  <c r="P2617" i="8"/>
  <c r="P2616" i="8"/>
  <c r="P2615" i="8"/>
  <c r="P2614" i="8"/>
  <c r="P2613" i="8"/>
  <c r="P2612" i="8"/>
  <c r="P2611" i="8"/>
  <c r="P2610" i="8"/>
  <c r="P2609" i="8"/>
  <c r="P2608" i="8"/>
  <c r="P2607" i="8"/>
  <c r="P2606" i="8"/>
  <c r="P2605" i="8"/>
  <c r="P2604" i="8"/>
  <c r="P2603" i="8"/>
  <c r="P2602" i="8"/>
  <c r="P2601" i="8"/>
  <c r="P2600" i="8"/>
  <c r="P2599" i="8"/>
  <c r="P2598" i="8"/>
  <c r="P2597" i="8"/>
  <c r="P2596" i="8"/>
  <c r="P2595" i="8"/>
  <c r="P2594" i="8"/>
  <c r="P2593" i="8"/>
  <c r="P2592" i="8"/>
  <c r="P2591" i="8"/>
  <c r="P2590" i="8"/>
  <c r="P2589" i="8"/>
  <c r="P2588" i="8"/>
  <c r="P2587" i="8"/>
  <c r="P2586" i="8"/>
  <c r="P2585" i="8"/>
  <c r="P2584" i="8"/>
  <c r="P2583" i="8"/>
  <c r="P2582" i="8"/>
  <c r="P2581" i="8"/>
  <c r="P2580" i="8"/>
  <c r="P2579" i="8"/>
  <c r="P2578" i="8"/>
  <c r="D2578" i="8"/>
  <c r="P2577" i="8"/>
  <c r="D2577" i="8"/>
  <c r="P2576" i="8"/>
  <c r="P2575" i="8"/>
  <c r="P2574" i="8"/>
  <c r="P2573" i="8"/>
  <c r="P2572" i="8"/>
  <c r="P2571" i="8"/>
  <c r="P2570" i="8"/>
  <c r="P2569" i="8"/>
  <c r="P2568" i="8"/>
  <c r="P2567" i="8"/>
  <c r="P2566" i="8"/>
  <c r="P2565" i="8"/>
  <c r="P2564" i="8"/>
  <c r="P2563" i="8"/>
  <c r="D2563" i="8"/>
  <c r="P2562" i="8"/>
  <c r="D2562" i="8"/>
  <c r="P2561" i="8"/>
  <c r="P2560" i="8"/>
  <c r="P2559" i="8"/>
  <c r="P2558" i="8"/>
  <c r="P2557" i="8"/>
  <c r="P2556" i="8"/>
  <c r="P2555" i="8"/>
  <c r="P2554" i="8"/>
  <c r="P2553" i="8"/>
  <c r="P2552" i="8"/>
  <c r="P2551" i="8"/>
  <c r="P2550" i="8"/>
  <c r="P2549" i="8"/>
  <c r="P2548" i="8"/>
  <c r="P2547" i="8"/>
  <c r="P2546" i="8"/>
  <c r="P2545" i="8"/>
  <c r="P2544" i="8"/>
  <c r="P2543" i="8"/>
  <c r="P2542" i="8"/>
  <c r="P2541" i="8"/>
  <c r="P2540" i="8"/>
  <c r="P2539" i="8"/>
  <c r="P2538" i="8"/>
  <c r="P2537" i="8"/>
  <c r="P2536" i="8"/>
  <c r="P2535" i="8"/>
  <c r="P2534" i="8"/>
  <c r="P2533" i="8"/>
  <c r="P2532" i="8"/>
  <c r="P2531" i="8"/>
  <c r="P2530" i="8"/>
  <c r="P2529" i="8"/>
  <c r="P2528" i="8"/>
  <c r="P2527" i="8"/>
  <c r="P2526" i="8"/>
  <c r="P2525" i="8"/>
  <c r="P2524" i="8"/>
  <c r="P2523" i="8"/>
  <c r="P2522" i="8"/>
  <c r="P2521" i="8"/>
  <c r="P2520" i="8"/>
  <c r="P2519" i="8"/>
  <c r="P2518" i="8"/>
  <c r="P2517" i="8"/>
  <c r="P2516" i="8"/>
  <c r="P2515" i="8"/>
  <c r="P2514" i="8"/>
  <c r="P2513" i="8"/>
  <c r="P2512" i="8"/>
  <c r="P2511" i="8"/>
  <c r="P2510" i="8"/>
  <c r="P2509" i="8"/>
  <c r="P2508" i="8"/>
  <c r="P2507" i="8"/>
  <c r="P2506" i="8"/>
  <c r="P2505" i="8"/>
  <c r="P2504" i="8"/>
  <c r="P2503" i="8"/>
  <c r="P2502" i="8"/>
  <c r="P2501" i="8"/>
  <c r="P2500" i="8"/>
  <c r="P2499" i="8"/>
  <c r="P2498" i="8"/>
  <c r="P2497" i="8"/>
  <c r="P2496" i="8"/>
  <c r="P2495" i="8"/>
  <c r="P2494" i="8"/>
  <c r="P2493" i="8"/>
  <c r="P2492" i="8"/>
  <c r="P2491" i="8"/>
  <c r="P2490" i="8"/>
  <c r="P2489" i="8"/>
  <c r="P2488" i="8"/>
  <c r="P2487" i="8"/>
  <c r="P2486" i="8"/>
  <c r="P2485" i="8"/>
  <c r="P2484" i="8"/>
  <c r="P2483" i="8"/>
  <c r="P2482" i="8"/>
  <c r="P2481" i="8"/>
  <c r="P2480" i="8"/>
  <c r="P2479" i="8"/>
  <c r="P2478" i="8"/>
  <c r="P2477" i="8"/>
  <c r="P2476" i="8"/>
  <c r="P2475" i="8"/>
  <c r="P2474" i="8"/>
  <c r="P2473" i="8"/>
  <c r="P2472" i="8"/>
  <c r="P2471" i="8"/>
  <c r="P2470" i="8"/>
  <c r="P2469" i="8"/>
  <c r="P2468" i="8"/>
  <c r="P2467" i="8"/>
  <c r="P2466" i="8"/>
  <c r="P2465" i="8"/>
  <c r="P2464" i="8"/>
  <c r="P2463" i="8"/>
  <c r="P2462" i="8"/>
  <c r="P2461" i="8"/>
  <c r="P2460" i="8"/>
  <c r="P2459" i="8"/>
  <c r="P2458" i="8"/>
  <c r="P2457" i="8"/>
  <c r="P2456" i="8"/>
  <c r="P2455" i="8"/>
  <c r="P2454" i="8"/>
  <c r="P2453" i="8"/>
  <c r="P2452" i="8"/>
  <c r="P2451" i="8"/>
  <c r="P2450" i="8"/>
  <c r="P2449" i="8"/>
  <c r="P2448" i="8"/>
  <c r="P2447" i="8"/>
  <c r="P2446" i="8"/>
  <c r="P2445" i="8"/>
  <c r="P2444" i="8"/>
  <c r="P2443" i="8"/>
  <c r="P2442" i="8"/>
  <c r="P2441" i="8"/>
  <c r="P2440" i="8"/>
  <c r="P2439" i="8"/>
  <c r="P2438" i="8"/>
  <c r="P2437" i="8"/>
  <c r="P2436" i="8"/>
  <c r="P2435" i="8"/>
  <c r="P2434" i="8"/>
  <c r="P2433" i="8"/>
  <c r="P2432" i="8"/>
  <c r="P2431" i="8"/>
  <c r="P2430" i="8"/>
  <c r="P2429" i="8"/>
  <c r="P2428" i="8"/>
  <c r="P2427" i="8"/>
  <c r="P2426" i="8"/>
  <c r="P2425" i="8"/>
  <c r="P2424" i="8"/>
  <c r="P2423" i="8"/>
  <c r="P2422" i="8"/>
  <c r="P2421" i="8"/>
  <c r="P2420" i="8"/>
  <c r="P2419" i="8"/>
  <c r="P2418" i="8"/>
  <c r="P2417" i="8"/>
  <c r="P2416" i="8"/>
  <c r="P2415" i="8"/>
  <c r="P2414" i="8"/>
  <c r="P2413" i="8"/>
  <c r="P2412" i="8"/>
  <c r="P2411" i="8"/>
  <c r="P2410" i="8"/>
  <c r="P2409" i="8"/>
  <c r="P2408" i="8"/>
  <c r="P2407" i="8"/>
  <c r="P2406" i="8"/>
  <c r="P2405" i="8"/>
  <c r="P2404" i="8"/>
  <c r="P2403" i="8"/>
  <c r="P2402" i="8"/>
  <c r="P2401" i="8"/>
  <c r="P2400" i="8"/>
  <c r="P2399" i="8"/>
  <c r="P2398" i="8"/>
  <c r="P2397" i="8"/>
  <c r="P2396" i="8"/>
  <c r="P2395" i="8"/>
  <c r="P2394" i="8"/>
  <c r="P2393" i="8"/>
  <c r="P2392" i="8"/>
  <c r="P2391" i="8"/>
  <c r="P2390" i="8"/>
  <c r="P2389" i="8"/>
  <c r="P2388" i="8"/>
  <c r="P2387" i="8"/>
  <c r="P2386" i="8"/>
  <c r="P2385" i="8"/>
  <c r="P2384" i="8"/>
  <c r="P2383" i="8"/>
  <c r="P2382" i="8"/>
  <c r="P2381" i="8"/>
  <c r="P2380" i="8"/>
  <c r="P2379" i="8"/>
  <c r="P2378" i="8"/>
  <c r="P2377" i="8"/>
  <c r="P2376" i="8"/>
  <c r="P2375" i="8"/>
  <c r="P2374" i="8"/>
  <c r="P2373" i="8"/>
  <c r="P2372" i="8"/>
  <c r="P2371" i="8"/>
  <c r="P2370" i="8"/>
  <c r="P2369" i="8"/>
  <c r="P2368" i="8"/>
  <c r="P2367" i="8"/>
  <c r="P2366" i="8"/>
  <c r="P2365" i="8"/>
  <c r="P2364" i="8"/>
  <c r="P2363" i="8"/>
  <c r="P2362" i="8"/>
  <c r="P2361" i="8"/>
  <c r="P2360" i="8"/>
  <c r="P2359" i="8"/>
  <c r="P2358" i="8"/>
  <c r="P2357" i="8"/>
  <c r="P2356" i="8"/>
  <c r="P2355" i="8"/>
  <c r="P2354" i="8"/>
  <c r="P2353" i="8"/>
  <c r="P2352" i="8"/>
  <c r="P2351" i="8"/>
  <c r="P2350" i="8"/>
  <c r="P2349" i="8"/>
  <c r="P2348" i="8"/>
  <c r="P2347" i="8"/>
  <c r="P2346" i="8"/>
  <c r="P2345" i="8"/>
  <c r="P2344" i="8"/>
  <c r="P2343" i="8"/>
  <c r="P2342" i="8"/>
  <c r="P2341" i="8"/>
  <c r="P2340" i="8"/>
  <c r="P2339" i="8"/>
  <c r="P2338" i="8"/>
  <c r="P2337" i="8"/>
  <c r="P2336" i="8"/>
  <c r="P2335" i="8"/>
  <c r="P2334" i="8"/>
  <c r="P2333" i="8"/>
  <c r="P2332" i="8"/>
  <c r="P2331" i="8"/>
  <c r="P2330" i="8"/>
  <c r="P2329" i="8"/>
  <c r="P2328" i="8"/>
  <c r="P2327" i="8"/>
  <c r="P2326" i="8"/>
  <c r="P2325" i="8"/>
  <c r="P2324" i="8"/>
  <c r="P2323" i="8"/>
  <c r="P2322" i="8"/>
  <c r="P2321" i="8"/>
  <c r="P2320" i="8"/>
  <c r="P2319" i="8"/>
  <c r="P2318" i="8"/>
  <c r="P2317" i="8"/>
  <c r="P2316" i="8"/>
  <c r="P2315" i="8"/>
  <c r="P2314" i="8"/>
  <c r="P2313" i="8"/>
  <c r="P2312" i="8"/>
  <c r="P2311" i="8"/>
  <c r="P2310" i="8"/>
  <c r="P2309" i="8"/>
  <c r="P2308" i="8"/>
  <c r="P2307" i="8"/>
  <c r="P2306" i="8"/>
  <c r="P2305" i="8"/>
  <c r="P2304" i="8"/>
  <c r="P2303" i="8"/>
  <c r="P2302" i="8"/>
  <c r="P2301" i="8"/>
  <c r="P2300" i="8"/>
  <c r="P2299" i="8"/>
  <c r="P2298" i="8"/>
  <c r="P2297" i="8"/>
  <c r="P2296" i="8"/>
  <c r="P2295" i="8"/>
  <c r="P2294" i="8"/>
  <c r="P2293" i="8"/>
  <c r="P2292" i="8"/>
  <c r="P2291" i="8"/>
  <c r="P2290" i="8"/>
  <c r="P2289" i="8"/>
  <c r="P2288" i="8"/>
  <c r="P2287" i="8"/>
  <c r="P2286" i="8"/>
  <c r="P2285" i="8"/>
  <c r="P2284" i="8"/>
  <c r="P2283" i="8"/>
  <c r="P2282" i="8"/>
  <c r="P2281" i="8"/>
  <c r="P2280" i="8"/>
  <c r="P2279" i="8"/>
  <c r="P2278" i="8"/>
  <c r="P2277" i="8"/>
  <c r="P2276" i="8"/>
  <c r="P2275" i="8"/>
  <c r="P2274" i="8"/>
  <c r="P2273" i="8"/>
  <c r="P2272" i="8"/>
  <c r="P2271" i="8"/>
  <c r="P2270" i="8"/>
  <c r="P2269" i="8"/>
  <c r="P2268" i="8"/>
  <c r="P2267" i="8"/>
  <c r="P2266" i="8"/>
  <c r="P2265" i="8"/>
  <c r="P2264" i="8"/>
  <c r="P2263" i="8"/>
  <c r="P2262" i="8"/>
  <c r="P2261" i="8"/>
  <c r="P2260" i="8"/>
  <c r="P2259" i="8"/>
  <c r="P2258" i="8"/>
  <c r="P2257" i="8"/>
  <c r="P2256" i="8"/>
  <c r="P2255" i="8"/>
  <c r="P2254" i="8"/>
  <c r="P2253" i="8"/>
  <c r="P2252" i="8"/>
  <c r="P2251" i="8"/>
  <c r="P2250" i="8"/>
  <c r="P2249" i="8"/>
  <c r="P2248" i="8"/>
  <c r="P2247" i="8"/>
  <c r="P2246" i="8"/>
  <c r="P2245" i="8"/>
  <c r="P2244" i="8"/>
  <c r="P2243" i="8"/>
  <c r="P2242" i="8"/>
  <c r="P2241" i="8"/>
  <c r="P2240" i="8"/>
  <c r="P2239" i="8"/>
  <c r="P2238" i="8"/>
  <c r="P2237" i="8"/>
  <c r="P2236" i="8"/>
  <c r="P2235" i="8"/>
  <c r="P2234" i="8"/>
  <c r="P2233" i="8"/>
  <c r="P2232" i="8"/>
  <c r="P2231" i="8"/>
  <c r="P2230" i="8"/>
  <c r="P2229" i="8"/>
  <c r="P2228" i="8"/>
  <c r="P2227" i="8"/>
  <c r="P2226" i="8"/>
  <c r="P2225" i="8"/>
  <c r="D2225" i="8"/>
  <c r="P2224" i="8"/>
  <c r="D2224" i="8"/>
  <c r="P2223" i="8"/>
  <c r="D2223" i="8"/>
  <c r="P2222" i="8"/>
  <c r="D2222" i="8"/>
  <c r="P2221" i="8"/>
  <c r="D2221" i="8"/>
  <c r="P2220" i="8"/>
  <c r="D2220" i="8"/>
  <c r="P2219" i="8"/>
  <c r="P2218" i="8"/>
  <c r="P2217" i="8"/>
  <c r="D2217" i="8"/>
  <c r="P2216" i="8"/>
  <c r="D2216" i="8"/>
  <c r="P2215" i="8"/>
  <c r="D2215" i="8"/>
  <c r="P2214" i="8"/>
  <c r="D2214" i="8"/>
  <c r="P2213" i="8"/>
  <c r="D2213" i="8"/>
  <c r="P2212" i="8"/>
  <c r="D2212" i="8"/>
  <c r="P2211" i="8"/>
  <c r="D2211" i="8"/>
  <c r="P2210" i="8"/>
  <c r="D2210" i="8"/>
  <c r="P2209" i="8"/>
  <c r="D2209" i="8"/>
  <c r="P2208" i="8"/>
  <c r="D2208" i="8"/>
  <c r="P2207" i="8"/>
  <c r="D2207" i="8"/>
  <c r="P2206" i="8"/>
  <c r="D2206" i="8"/>
  <c r="P2205" i="8"/>
  <c r="D2205" i="8"/>
  <c r="P2204" i="8"/>
  <c r="D2204" i="8"/>
  <c r="P2203" i="8"/>
  <c r="P2202" i="8"/>
  <c r="P2201" i="8"/>
  <c r="P2200" i="8"/>
  <c r="P2199" i="8"/>
  <c r="P2198" i="8"/>
  <c r="P2197" i="8"/>
  <c r="P2196" i="8"/>
  <c r="D2196" i="8"/>
  <c r="P2195" i="8"/>
  <c r="D2195" i="8"/>
  <c r="P2194" i="8"/>
  <c r="D2194" i="8"/>
  <c r="P2193" i="8"/>
  <c r="D2193" i="8"/>
  <c r="P2192" i="8"/>
  <c r="D2192" i="8"/>
  <c r="D2191" i="8"/>
  <c r="P2191" i="8"/>
  <c r="D2190" i="8"/>
  <c r="P2190" i="8"/>
  <c r="D2189" i="8"/>
  <c r="P2189" i="8"/>
  <c r="D2188" i="8"/>
  <c r="P2188" i="8"/>
  <c r="D2187" i="8"/>
  <c r="P2187" i="8"/>
  <c r="P2186" i="8"/>
  <c r="P2185" i="8"/>
  <c r="P2184" i="8"/>
  <c r="P2183" i="8"/>
  <c r="P2182" i="8"/>
  <c r="P2181" i="8"/>
  <c r="P2180" i="8"/>
  <c r="P2179" i="8"/>
  <c r="P2178" i="8"/>
  <c r="P2177" i="8"/>
  <c r="P2176" i="8"/>
  <c r="P2175" i="8"/>
  <c r="P2174" i="8"/>
  <c r="P2173" i="8"/>
  <c r="P2172" i="8"/>
  <c r="P2171" i="8"/>
  <c r="P2170" i="8"/>
  <c r="P2169" i="8"/>
  <c r="P2168" i="8"/>
  <c r="P2167" i="8"/>
  <c r="P2166" i="8"/>
  <c r="P2165" i="8"/>
  <c r="P2164" i="8"/>
  <c r="P2163" i="8"/>
  <c r="P2162" i="8"/>
  <c r="P2161" i="8"/>
  <c r="P2160" i="8"/>
  <c r="P2159" i="8"/>
  <c r="P2158" i="8"/>
  <c r="P2157" i="8"/>
  <c r="P2156" i="8"/>
  <c r="P2155" i="8"/>
  <c r="P2154" i="8"/>
  <c r="P2153" i="8"/>
  <c r="P2152" i="8"/>
  <c r="P2151" i="8"/>
  <c r="P2150" i="8"/>
  <c r="P2149" i="8"/>
  <c r="P2148" i="8"/>
  <c r="P2147" i="8"/>
  <c r="P2146" i="8"/>
  <c r="P2145" i="8"/>
  <c r="P2144" i="8"/>
  <c r="P2143" i="8"/>
  <c r="P2142" i="8"/>
  <c r="P2141" i="8"/>
  <c r="P2140" i="8"/>
  <c r="P2139" i="8"/>
  <c r="P2138" i="8"/>
  <c r="P2137" i="8"/>
  <c r="P2136" i="8"/>
  <c r="P2135" i="8"/>
  <c r="P2134" i="8"/>
  <c r="P2133" i="8"/>
  <c r="P2132" i="8"/>
  <c r="P2131" i="8"/>
  <c r="P2130" i="8"/>
  <c r="P2129" i="8"/>
  <c r="P2128" i="8"/>
  <c r="P2127" i="8"/>
  <c r="P2126" i="8"/>
  <c r="P2125" i="8"/>
  <c r="P2124" i="8"/>
  <c r="P2123" i="8"/>
  <c r="P2122" i="8"/>
  <c r="P2121" i="8"/>
  <c r="P2120" i="8"/>
  <c r="P2119" i="8"/>
  <c r="P2118" i="8"/>
  <c r="P2117" i="8"/>
  <c r="P2116" i="8"/>
  <c r="P2115" i="8"/>
  <c r="P2114" i="8"/>
  <c r="P2113" i="8"/>
  <c r="P2112" i="8"/>
  <c r="P2111" i="8"/>
  <c r="P2110" i="8"/>
  <c r="P2109" i="8"/>
  <c r="P2108" i="8"/>
  <c r="P2107" i="8"/>
  <c r="P2106" i="8"/>
  <c r="P2105" i="8"/>
  <c r="P2104" i="8"/>
  <c r="P2103" i="8"/>
  <c r="P2102" i="8"/>
  <c r="P2101" i="8"/>
  <c r="P2100" i="8"/>
  <c r="P2099" i="8"/>
  <c r="P2098" i="8"/>
  <c r="P2097" i="8"/>
  <c r="P2096" i="8"/>
  <c r="P2095" i="8"/>
  <c r="P2094" i="8"/>
  <c r="P2093" i="8"/>
  <c r="P2092" i="8"/>
  <c r="P2091" i="8"/>
  <c r="P2090" i="8"/>
  <c r="P2089" i="8"/>
  <c r="P2088" i="8"/>
  <c r="P2087" i="8"/>
  <c r="P2086" i="8"/>
  <c r="P2085" i="8"/>
  <c r="P2084" i="8"/>
  <c r="P2083" i="8"/>
  <c r="P2082" i="8"/>
  <c r="P2081" i="8"/>
  <c r="P2080" i="8"/>
  <c r="P2079" i="8"/>
  <c r="P2078" i="8"/>
  <c r="P2077" i="8"/>
  <c r="P2076" i="8"/>
  <c r="P2075" i="8"/>
  <c r="P2074" i="8"/>
  <c r="P2073" i="8"/>
  <c r="P2072" i="8"/>
  <c r="P2071" i="8"/>
  <c r="P2070" i="8"/>
  <c r="P2069" i="8"/>
  <c r="P2068" i="8"/>
  <c r="D2068" i="8"/>
  <c r="P2067" i="8"/>
  <c r="D2067" i="8"/>
  <c r="P2066" i="8"/>
  <c r="D2066" i="8"/>
  <c r="P2065" i="8"/>
  <c r="D2065" i="8"/>
  <c r="P2064" i="8"/>
  <c r="D2064" i="8"/>
  <c r="P2063" i="8"/>
  <c r="D2063" i="8"/>
  <c r="P2062" i="8"/>
  <c r="D2062" i="8"/>
  <c r="P2061" i="8"/>
  <c r="D2061" i="8"/>
  <c r="P2060" i="8"/>
  <c r="D2060" i="8"/>
  <c r="P2059" i="8"/>
  <c r="D2059" i="8"/>
  <c r="P2058" i="8"/>
  <c r="P2057" i="8"/>
  <c r="P2056" i="8"/>
  <c r="P2055" i="8"/>
  <c r="P2054" i="8"/>
  <c r="P2053" i="8"/>
  <c r="P2052" i="8"/>
  <c r="P2051" i="8"/>
  <c r="P2050" i="8"/>
  <c r="P2049" i="8"/>
  <c r="P2048" i="8"/>
  <c r="P2047" i="8"/>
  <c r="D2047" i="8"/>
  <c r="P2046" i="8"/>
  <c r="D2046" i="8"/>
  <c r="P2045" i="8"/>
  <c r="D2045" i="8"/>
  <c r="P2044" i="8"/>
  <c r="D2044" i="8"/>
  <c r="P2043" i="8"/>
  <c r="D2043" i="8"/>
  <c r="P2042" i="8"/>
  <c r="D2042" i="8"/>
  <c r="P2041" i="8"/>
  <c r="D2041" i="8"/>
  <c r="P2040" i="8"/>
  <c r="D2040" i="8"/>
  <c r="P2039" i="8"/>
  <c r="D2039" i="8"/>
  <c r="P2038" i="8"/>
  <c r="D2038" i="8"/>
  <c r="P2037" i="8"/>
  <c r="D2037" i="8"/>
  <c r="P2036" i="8"/>
  <c r="D2036" i="8"/>
  <c r="P2035" i="8"/>
  <c r="D2035" i="8"/>
  <c r="P2034" i="8"/>
  <c r="D2034" i="8"/>
  <c r="P2033" i="8"/>
  <c r="D2033" i="8"/>
  <c r="P2032" i="8"/>
  <c r="D2032" i="8"/>
  <c r="P2031" i="8"/>
  <c r="D2031" i="8"/>
  <c r="P2030" i="8"/>
  <c r="D2030" i="8"/>
  <c r="P2029" i="8"/>
  <c r="D2029" i="8"/>
  <c r="P2028" i="8"/>
  <c r="D2028" i="8"/>
  <c r="P2027" i="8"/>
  <c r="D2027" i="8"/>
  <c r="AB2026" i="8"/>
  <c r="P2026" i="8"/>
  <c r="D2026" i="8"/>
  <c r="P2025" i="8"/>
  <c r="D2025" i="8"/>
  <c r="P2024" i="8"/>
  <c r="D2024" i="8"/>
  <c r="P2023" i="8"/>
  <c r="D2023" i="8"/>
  <c r="P2022" i="8"/>
  <c r="D2022" i="8"/>
  <c r="P2021" i="8"/>
  <c r="P2020" i="8"/>
  <c r="P2019" i="8"/>
  <c r="P2018" i="8"/>
  <c r="P2017" i="8"/>
  <c r="P2016" i="8"/>
  <c r="P2015" i="8"/>
  <c r="P2014" i="8"/>
  <c r="P2013" i="8"/>
  <c r="P2012" i="8"/>
  <c r="P2011" i="8"/>
  <c r="P2010" i="8"/>
  <c r="P2009" i="8"/>
  <c r="P2008" i="8"/>
  <c r="P2007" i="8"/>
  <c r="P2006" i="8"/>
  <c r="D2006" i="8"/>
  <c r="P2005" i="8"/>
  <c r="D2005" i="8"/>
  <c r="P2004" i="8"/>
  <c r="D2004" i="8"/>
  <c r="P2003" i="8"/>
  <c r="P2002" i="8"/>
  <c r="P2001" i="8"/>
  <c r="D2001" i="8"/>
  <c r="P2000" i="8"/>
  <c r="D2000" i="8"/>
  <c r="P1999" i="8"/>
  <c r="D1999" i="8"/>
  <c r="P1998" i="8"/>
  <c r="D1998" i="8"/>
  <c r="P1997" i="8"/>
  <c r="D1997" i="8"/>
  <c r="P1996" i="8"/>
  <c r="D1996" i="8"/>
  <c r="P1995" i="8"/>
  <c r="D1995" i="8"/>
  <c r="P1994" i="8"/>
  <c r="D1994" i="8"/>
  <c r="P1993" i="8"/>
  <c r="D1993" i="8"/>
  <c r="P1992" i="8"/>
  <c r="D1992" i="8"/>
  <c r="P1991" i="8"/>
  <c r="D1991" i="8"/>
  <c r="P1990" i="8"/>
  <c r="D1990" i="8"/>
  <c r="P1989" i="8"/>
  <c r="D1989" i="8"/>
  <c r="P1988" i="8"/>
  <c r="D1988" i="8"/>
  <c r="P1987" i="8"/>
  <c r="D1987" i="8"/>
  <c r="P1986" i="8"/>
  <c r="D1986" i="8"/>
  <c r="P1985" i="8"/>
  <c r="D1985" i="8"/>
  <c r="P1984" i="8"/>
  <c r="D1984" i="8"/>
  <c r="P1983" i="8"/>
  <c r="D1983" i="8"/>
  <c r="P1982" i="8"/>
  <c r="D1982" i="8"/>
  <c r="P1981" i="8"/>
  <c r="D1981" i="8"/>
  <c r="P1980" i="8"/>
  <c r="D1980" i="8"/>
  <c r="P1979" i="8"/>
  <c r="D1979" i="8"/>
  <c r="P1978" i="8"/>
  <c r="D1978" i="8"/>
  <c r="P1977" i="8"/>
  <c r="D1977" i="8"/>
  <c r="P1976" i="8"/>
  <c r="D1976" i="8"/>
  <c r="P1975" i="8"/>
  <c r="D1975" i="8"/>
  <c r="P1974" i="8"/>
  <c r="D1974" i="8"/>
  <c r="P1973" i="8"/>
  <c r="D1973" i="8"/>
  <c r="P1972" i="8"/>
  <c r="D1972" i="8"/>
  <c r="P1971" i="8"/>
  <c r="D1971" i="8"/>
  <c r="P1970" i="8"/>
  <c r="D1970" i="8"/>
  <c r="P1969" i="8"/>
  <c r="D1969" i="8"/>
  <c r="P1968" i="8"/>
  <c r="D1968" i="8"/>
  <c r="P1967" i="8"/>
  <c r="D1967" i="8"/>
  <c r="P1966" i="8"/>
  <c r="D1966" i="8"/>
  <c r="P1965" i="8"/>
  <c r="D1965" i="8"/>
  <c r="P1964" i="8"/>
  <c r="D1964" i="8"/>
  <c r="P1963" i="8"/>
  <c r="D1963" i="8"/>
  <c r="P1962" i="8"/>
  <c r="D1962" i="8"/>
  <c r="P1961" i="8"/>
  <c r="D1961" i="8"/>
  <c r="P1960" i="8"/>
  <c r="D1960" i="8"/>
  <c r="P1959" i="8"/>
  <c r="D1959" i="8"/>
  <c r="P1958" i="8"/>
  <c r="D1958" i="8"/>
  <c r="P1957" i="8"/>
  <c r="D1957" i="8"/>
  <c r="P1956" i="8"/>
  <c r="D1956" i="8"/>
  <c r="P1955" i="8"/>
  <c r="D1955" i="8"/>
  <c r="P1954" i="8"/>
  <c r="D1954" i="8"/>
  <c r="P1953" i="8"/>
  <c r="D1953" i="8"/>
  <c r="P1952" i="8"/>
  <c r="D1952" i="8"/>
  <c r="P1951" i="8"/>
  <c r="D1951" i="8"/>
  <c r="P1950" i="8"/>
  <c r="D1950" i="8"/>
  <c r="P1949" i="8"/>
  <c r="D1949" i="8"/>
  <c r="P1948" i="8"/>
  <c r="D1948" i="8"/>
  <c r="P1947" i="8"/>
  <c r="D1947" i="8"/>
  <c r="P1946" i="8"/>
  <c r="D1946" i="8"/>
  <c r="P1945" i="8"/>
  <c r="D1945" i="8"/>
  <c r="P1944" i="8"/>
  <c r="D1944" i="8"/>
  <c r="P1943" i="8"/>
  <c r="D1943" i="8"/>
  <c r="P1942" i="8"/>
  <c r="D1942" i="8"/>
  <c r="P1941" i="8"/>
  <c r="D1941" i="8"/>
  <c r="P1940" i="8"/>
  <c r="D1940" i="8"/>
  <c r="P1939" i="8"/>
  <c r="D1939" i="8"/>
  <c r="P1938" i="8"/>
  <c r="D1938" i="8"/>
  <c r="P1937" i="8"/>
  <c r="D1937" i="8"/>
  <c r="P1936" i="8"/>
  <c r="D1936" i="8"/>
  <c r="P1935" i="8"/>
  <c r="D1935" i="8"/>
  <c r="P1934" i="8"/>
  <c r="D1934" i="8"/>
  <c r="P1933" i="8"/>
  <c r="D1933" i="8"/>
  <c r="P1932" i="8"/>
  <c r="D1932" i="8"/>
  <c r="P1931" i="8"/>
  <c r="D1931" i="8"/>
  <c r="P1930" i="8"/>
  <c r="D1930" i="8"/>
  <c r="P1929" i="8"/>
  <c r="D1929" i="8"/>
  <c r="P1928" i="8"/>
  <c r="D1928" i="8"/>
  <c r="P1927" i="8"/>
  <c r="D1927" i="8"/>
  <c r="P1926" i="8"/>
  <c r="D1926" i="8"/>
  <c r="P1925" i="8"/>
  <c r="D1925" i="8"/>
  <c r="P1924" i="8"/>
  <c r="D1924" i="8"/>
  <c r="P1923" i="8"/>
  <c r="D1923" i="8"/>
  <c r="P1922" i="8"/>
  <c r="D1922" i="8"/>
  <c r="P1921" i="8"/>
  <c r="D1921" i="8"/>
  <c r="P1920" i="8"/>
  <c r="D1920" i="8"/>
  <c r="P1919" i="8"/>
  <c r="D1919" i="8"/>
  <c r="P1918" i="8"/>
  <c r="D1918" i="8"/>
  <c r="P1917" i="8"/>
  <c r="D1917" i="8"/>
  <c r="P1916" i="8"/>
  <c r="D1916" i="8"/>
  <c r="P1915" i="8"/>
  <c r="P1914" i="8"/>
  <c r="P1913" i="8"/>
  <c r="P1912" i="8"/>
  <c r="P1911" i="8"/>
  <c r="P1910" i="8"/>
  <c r="P1909" i="8"/>
  <c r="P1908" i="8"/>
  <c r="P1907" i="8"/>
  <c r="P1906" i="8"/>
  <c r="P1905" i="8"/>
  <c r="P1904" i="8"/>
  <c r="P1903" i="8"/>
  <c r="P1902" i="8"/>
  <c r="P1901" i="8"/>
  <c r="P1900" i="8"/>
  <c r="P1899" i="8"/>
  <c r="P1898" i="8"/>
  <c r="P1897" i="8"/>
  <c r="P1896" i="8"/>
  <c r="P1895" i="8"/>
  <c r="P1894" i="8"/>
  <c r="P1893" i="8"/>
  <c r="P1892" i="8"/>
  <c r="P1891" i="8"/>
  <c r="D1891" i="8"/>
  <c r="P1890" i="8"/>
  <c r="D1890" i="8"/>
  <c r="P1889" i="8"/>
  <c r="D1889" i="8"/>
  <c r="P1888" i="8"/>
  <c r="D1888" i="8"/>
  <c r="P1887" i="8"/>
  <c r="D1887" i="8"/>
  <c r="P1886" i="8"/>
  <c r="D1886" i="8"/>
  <c r="P1885" i="8"/>
  <c r="P1884" i="8"/>
  <c r="P1883" i="8"/>
  <c r="P1882" i="8"/>
  <c r="P1881" i="8"/>
  <c r="P1880" i="8"/>
  <c r="P1879" i="8"/>
  <c r="P1878" i="8"/>
  <c r="P1877" i="8"/>
  <c r="P1876" i="8"/>
  <c r="P1875" i="8"/>
  <c r="P1874" i="8"/>
  <c r="P1873" i="8"/>
  <c r="P1872" i="8"/>
  <c r="P1871" i="8"/>
  <c r="P1870" i="8"/>
  <c r="P1869" i="8"/>
  <c r="P1868" i="8"/>
  <c r="P1867" i="8"/>
  <c r="P1866" i="8"/>
  <c r="P1865" i="8"/>
  <c r="P1864" i="8"/>
  <c r="P1863" i="8"/>
  <c r="P1862" i="8"/>
  <c r="P1861" i="8"/>
  <c r="P1860" i="8"/>
  <c r="P1859" i="8"/>
  <c r="P1858" i="8"/>
  <c r="P1857" i="8"/>
  <c r="P1856" i="8"/>
  <c r="P1855" i="8"/>
  <c r="P1854" i="8"/>
  <c r="P1853" i="8"/>
  <c r="D1853" i="8"/>
  <c r="P1852" i="8"/>
  <c r="D1852" i="8"/>
  <c r="P1851" i="8"/>
  <c r="D1851" i="8"/>
  <c r="P1850" i="8"/>
  <c r="D1850" i="8"/>
  <c r="P1849" i="8"/>
  <c r="D1849" i="8"/>
  <c r="P1848" i="8"/>
  <c r="D1848" i="8"/>
  <c r="P1847" i="8"/>
  <c r="D1847" i="8"/>
  <c r="P1846" i="8"/>
  <c r="D1846" i="8"/>
  <c r="P1845" i="8"/>
  <c r="D1845" i="8"/>
  <c r="P1844" i="8"/>
  <c r="D1844" i="8"/>
  <c r="P1843" i="8"/>
  <c r="D1843" i="8"/>
  <c r="P1842" i="8"/>
  <c r="D1842" i="8"/>
  <c r="P1841" i="8"/>
  <c r="D1841" i="8"/>
  <c r="P1840" i="8"/>
  <c r="D1840" i="8"/>
  <c r="P1839" i="8"/>
  <c r="D1839" i="8"/>
  <c r="P1838" i="8"/>
  <c r="D1838" i="8"/>
  <c r="P1837" i="8"/>
  <c r="D1837" i="8"/>
  <c r="P1836" i="8"/>
  <c r="P1835" i="8"/>
  <c r="P1834" i="8"/>
  <c r="P1833" i="8"/>
  <c r="P1832" i="8"/>
  <c r="P1831" i="8"/>
  <c r="P1830" i="8"/>
  <c r="P1829" i="8"/>
  <c r="P1828" i="8"/>
  <c r="P1827" i="8"/>
  <c r="P1826" i="8"/>
  <c r="P1825" i="8"/>
  <c r="P1824" i="8"/>
  <c r="P1823" i="8"/>
  <c r="P1822" i="8"/>
  <c r="P1821" i="8"/>
  <c r="P1820" i="8"/>
  <c r="P1819" i="8"/>
  <c r="P1818" i="8"/>
  <c r="P1817" i="8"/>
  <c r="P1816" i="8"/>
  <c r="P1815" i="8"/>
  <c r="P1814" i="8"/>
  <c r="P1813" i="8"/>
  <c r="P1812" i="8"/>
  <c r="P1811" i="8"/>
  <c r="P1810" i="8"/>
  <c r="P1809" i="8"/>
  <c r="P1808" i="8"/>
  <c r="P1807" i="8"/>
  <c r="P1806" i="8"/>
  <c r="P1805" i="8"/>
  <c r="P1804" i="8"/>
  <c r="P1803" i="8"/>
  <c r="P1802" i="8"/>
  <c r="P1801" i="8"/>
  <c r="P1800" i="8"/>
  <c r="P1799" i="8"/>
  <c r="P1798" i="8"/>
  <c r="P1797" i="8"/>
  <c r="P1796" i="8"/>
  <c r="P1795" i="8"/>
  <c r="P1794" i="8"/>
  <c r="P1793" i="8"/>
  <c r="P1792" i="8"/>
  <c r="P1791" i="8"/>
  <c r="P1790" i="8"/>
  <c r="P1789" i="8"/>
  <c r="P1788" i="8"/>
  <c r="P1787" i="8"/>
  <c r="P1786" i="8"/>
  <c r="P1785" i="8"/>
  <c r="P1784" i="8"/>
  <c r="P1783" i="8"/>
  <c r="P1782" i="8"/>
  <c r="P1781" i="8"/>
  <c r="P1780" i="8"/>
  <c r="P1779" i="8"/>
  <c r="P1778" i="8"/>
  <c r="P1777" i="8"/>
  <c r="P1776" i="8"/>
  <c r="P1775" i="8"/>
  <c r="P1774" i="8"/>
  <c r="P1773" i="8"/>
  <c r="P1772" i="8"/>
  <c r="P1771" i="8"/>
  <c r="P1770" i="8"/>
  <c r="P1769" i="8"/>
  <c r="P1768" i="8"/>
  <c r="P1767" i="8"/>
  <c r="P1766" i="8"/>
  <c r="P1765" i="8"/>
  <c r="P1764" i="8"/>
  <c r="P1763" i="8"/>
  <c r="P1762" i="8"/>
  <c r="P1761" i="8"/>
  <c r="P1760" i="8"/>
  <c r="P1759" i="8"/>
  <c r="P1758" i="8"/>
  <c r="D1758" i="8"/>
  <c r="P1757" i="8"/>
  <c r="D1757" i="8"/>
  <c r="P1756" i="8"/>
  <c r="D1756" i="8"/>
  <c r="P1755" i="8"/>
  <c r="D1755" i="8"/>
  <c r="P1754" i="8"/>
  <c r="D1754" i="8"/>
  <c r="P1753" i="8"/>
  <c r="D1753" i="8"/>
  <c r="P1752" i="8"/>
  <c r="D1752" i="8"/>
  <c r="P1751" i="8"/>
  <c r="D1751" i="8"/>
  <c r="P1750" i="8"/>
  <c r="D1750" i="8"/>
  <c r="P1749" i="8"/>
  <c r="D1749" i="8"/>
  <c r="P1748" i="8"/>
  <c r="P1747" i="8"/>
  <c r="P1746" i="8"/>
  <c r="D1746" i="8"/>
  <c r="P1745" i="8"/>
  <c r="D1745" i="8"/>
  <c r="P1744" i="8"/>
  <c r="D1744" i="8"/>
  <c r="P1743" i="8"/>
  <c r="D1743" i="8"/>
  <c r="P1742" i="8"/>
  <c r="D1742" i="8"/>
  <c r="P1741" i="8"/>
  <c r="P1740" i="8"/>
  <c r="P1739" i="8"/>
  <c r="P1738" i="8"/>
  <c r="P1737" i="8"/>
  <c r="P1736" i="8"/>
  <c r="P1735" i="8"/>
  <c r="P1734" i="8"/>
  <c r="P1733" i="8"/>
  <c r="P1732" i="8"/>
  <c r="P1731" i="8"/>
  <c r="P1730" i="8"/>
  <c r="P1729" i="8"/>
  <c r="P1728" i="8"/>
  <c r="P1727" i="8"/>
  <c r="P1726" i="8"/>
  <c r="P1725" i="8"/>
  <c r="P1724" i="8"/>
  <c r="P1723" i="8"/>
  <c r="P1722" i="8"/>
  <c r="P1721" i="8"/>
  <c r="P1720" i="8"/>
  <c r="P1719" i="8"/>
  <c r="P1718" i="8"/>
  <c r="P1717" i="8"/>
  <c r="P1716" i="8"/>
  <c r="P1715" i="8"/>
  <c r="P1714" i="8"/>
  <c r="P1713" i="8"/>
  <c r="P1712" i="8"/>
  <c r="P1711" i="8"/>
  <c r="P1710" i="8"/>
  <c r="P1709" i="8"/>
  <c r="P1708" i="8"/>
  <c r="P1707" i="8"/>
  <c r="P1706" i="8"/>
  <c r="P1705" i="8"/>
  <c r="P1704" i="8"/>
  <c r="P1703" i="8"/>
  <c r="P1702" i="8"/>
  <c r="P1701" i="8"/>
  <c r="P1700" i="8"/>
  <c r="D1700" i="8"/>
  <c r="P1699" i="8"/>
  <c r="D1699" i="8"/>
  <c r="P1698" i="8"/>
  <c r="D1698" i="8"/>
  <c r="P1697" i="8"/>
  <c r="D1697" i="8"/>
  <c r="P1696" i="8"/>
  <c r="D1696" i="8"/>
  <c r="P1695" i="8"/>
  <c r="D1695" i="8"/>
  <c r="P1694" i="8"/>
  <c r="D1694" i="8"/>
  <c r="P1693" i="8"/>
  <c r="P1692" i="8"/>
  <c r="P1691" i="8"/>
  <c r="P1690" i="8"/>
  <c r="P1689" i="8"/>
  <c r="P1688" i="8"/>
  <c r="P1687" i="8"/>
  <c r="P1686" i="8"/>
  <c r="P1685" i="8"/>
  <c r="P1684" i="8"/>
  <c r="P1683" i="8"/>
  <c r="P1682" i="8"/>
  <c r="P1681" i="8"/>
  <c r="P1680" i="8"/>
  <c r="P1679" i="8"/>
  <c r="P1678" i="8"/>
  <c r="P1677" i="8"/>
  <c r="P1676" i="8"/>
  <c r="P1675" i="8"/>
  <c r="P1674" i="8"/>
  <c r="P1673" i="8"/>
  <c r="P1672" i="8"/>
  <c r="P1671" i="8"/>
  <c r="P1670" i="8"/>
  <c r="P1669" i="8"/>
  <c r="P1668" i="8"/>
  <c r="P1667" i="8"/>
  <c r="P1666" i="8"/>
  <c r="P1665" i="8"/>
  <c r="P1664" i="8"/>
  <c r="P1663" i="8"/>
  <c r="P1662" i="8"/>
  <c r="P1661" i="8"/>
  <c r="P1660" i="8"/>
  <c r="P1659" i="8"/>
  <c r="P1658" i="8"/>
  <c r="P1657" i="8"/>
  <c r="P1656" i="8"/>
  <c r="P1655" i="8"/>
  <c r="P1654" i="8"/>
  <c r="P1653" i="8"/>
  <c r="P1652" i="8"/>
  <c r="P1651" i="8"/>
  <c r="P1650" i="8"/>
  <c r="P1649" i="8"/>
  <c r="P1648" i="8"/>
  <c r="P1647" i="8"/>
  <c r="P1646" i="8"/>
  <c r="P1645" i="8"/>
  <c r="P1644" i="8"/>
  <c r="P1643" i="8"/>
  <c r="P1642" i="8"/>
  <c r="P1641" i="8"/>
  <c r="P1640" i="8"/>
  <c r="P1639" i="8"/>
  <c r="P1638" i="8"/>
  <c r="P1637" i="8"/>
  <c r="P1636" i="8"/>
  <c r="P1635" i="8"/>
  <c r="P1634" i="8"/>
  <c r="P1633" i="8"/>
  <c r="P1632" i="8"/>
  <c r="P1631" i="8"/>
  <c r="P1630" i="8"/>
  <c r="P1629" i="8"/>
  <c r="P1628" i="8"/>
  <c r="P1627" i="8"/>
  <c r="P1626" i="8"/>
  <c r="P1625" i="8"/>
  <c r="P1624" i="8"/>
  <c r="P1623" i="8"/>
  <c r="P1622" i="8"/>
  <c r="P1621" i="8"/>
  <c r="P1620" i="8"/>
  <c r="P1619" i="8"/>
  <c r="P1618" i="8"/>
  <c r="P1617" i="8"/>
  <c r="P1616" i="8"/>
  <c r="P1615" i="8"/>
  <c r="P1614" i="8"/>
  <c r="P1613" i="8"/>
  <c r="P1612" i="8"/>
  <c r="P1611" i="8"/>
  <c r="P1610" i="8"/>
  <c r="P1609" i="8"/>
  <c r="P1608" i="8"/>
  <c r="P1607" i="8"/>
  <c r="P1606" i="8"/>
  <c r="P1605" i="8"/>
  <c r="P1604" i="8"/>
  <c r="P1603" i="8"/>
  <c r="P1602" i="8"/>
  <c r="P1601" i="8"/>
  <c r="P1600" i="8"/>
  <c r="P1599" i="8"/>
  <c r="P1598" i="8"/>
  <c r="P1597" i="8"/>
  <c r="P1596" i="8"/>
  <c r="P1595" i="8"/>
  <c r="P1594" i="8"/>
  <c r="P1593" i="8"/>
  <c r="P1592" i="8"/>
  <c r="P1591" i="8"/>
  <c r="P1590" i="8"/>
  <c r="P1589" i="8"/>
  <c r="P1588" i="8"/>
  <c r="P1587" i="8"/>
  <c r="P1586" i="8"/>
  <c r="P1585" i="8"/>
  <c r="P1584" i="8"/>
  <c r="P1583" i="8"/>
  <c r="P1582" i="8"/>
  <c r="P1581" i="8"/>
  <c r="P1580" i="8"/>
  <c r="P1579" i="8"/>
  <c r="P1578" i="8"/>
  <c r="P1577" i="8"/>
  <c r="P1576" i="8"/>
  <c r="P1575" i="8"/>
  <c r="P1574" i="8"/>
  <c r="P1573" i="8"/>
  <c r="P1572" i="8"/>
  <c r="P1571" i="8"/>
  <c r="P1570" i="8"/>
  <c r="P1569" i="8"/>
  <c r="P1568" i="8"/>
  <c r="P1567" i="8"/>
  <c r="P1566" i="8"/>
  <c r="P1565" i="8"/>
  <c r="P1564" i="8"/>
  <c r="P1563" i="8"/>
  <c r="P1562" i="8"/>
  <c r="P1561" i="8"/>
  <c r="P1560" i="8"/>
  <c r="P1559" i="8"/>
  <c r="P1558" i="8"/>
  <c r="P1557" i="8"/>
  <c r="P1556" i="8"/>
  <c r="P1555" i="8"/>
  <c r="P1554" i="8"/>
  <c r="P1553" i="8"/>
  <c r="P1552" i="8"/>
  <c r="P1551" i="8"/>
  <c r="P1550" i="8"/>
  <c r="P1549" i="8"/>
  <c r="P1548" i="8"/>
  <c r="P1547" i="8"/>
  <c r="P1546" i="8"/>
  <c r="P1545" i="8"/>
  <c r="P1544" i="8"/>
  <c r="P1543" i="8"/>
  <c r="P1542" i="8"/>
  <c r="P1541" i="8"/>
  <c r="P1540" i="8"/>
  <c r="P1539" i="8"/>
  <c r="P1538" i="8"/>
  <c r="P1537" i="8"/>
  <c r="P1536" i="8"/>
  <c r="P1535" i="8"/>
  <c r="P1534" i="8"/>
  <c r="P1533" i="8"/>
  <c r="P1532" i="8"/>
  <c r="P1531" i="8"/>
  <c r="P1530" i="8"/>
  <c r="P1529" i="8"/>
  <c r="P1528" i="8"/>
  <c r="P1527" i="8"/>
  <c r="P1526" i="8"/>
  <c r="P1525" i="8"/>
  <c r="P1524" i="8"/>
  <c r="P1523" i="8"/>
  <c r="P1522" i="8"/>
  <c r="P1521" i="8"/>
  <c r="P1520" i="8"/>
  <c r="P1519" i="8"/>
  <c r="P1518" i="8"/>
  <c r="P1517" i="8"/>
  <c r="P1516" i="8"/>
  <c r="P1515" i="8"/>
  <c r="P1514" i="8"/>
  <c r="P1513" i="8"/>
  <c r="P1512" i="8"/>
  <c r="P1511" i="8"/>
  <c r="P1510" i="8"/>
  <c r="P1509" i="8"/>
  <c r="P1508" i="8"/>
  <c r="P1507" i="8"/>
  <c r="P1506" i="8"/>
  <c r="P1505" i="8"/>
  <c r="P1504" i="8"/>
  <c r="P1503" i="8"/>
  <c r="P1502" i="8"/>
  <c r="P1501" i="8"/>
  <c r="P1500" i="8"/>
  <c r="P1499" i="8"/>
  <c r="P1498" i="8"/>
  <c r="P1497" i="8"/>
  <c r="P1496" i="8"/>
  <c r="P1495" i="8"/>
  <c r="P1494" i="8"/>
  <c r="P1493" i="8"/>
  <c r="P1492" i="8"/>
  <c r="P1491" i="8"/>
  <c r="P1490" i="8"/>
  <c r="P1489" i="8"/>
  <c r="P1488" i="8"/>
  <c r="P1487" i="8"/>
  <c r="P1486" i="8"/>
  <c r="P1485" i="8"/>
  <c r="P1484" i="8"/>
  <c r="P1483" i="8"/>
  <c r="P1482" i="8"/>
  <c r="P1481" i="8"/>
  <c r="P1480" i="8"/>
  <c r="P1479" i="8"/>
  <c r="P1478" i="8"/>
  <c r="P1477" i="8"/>
  <c r="P1476" i="8"/>
  <c r="P1475" i="8"/>
  <c r="P1474" i="8"/>
  <c r="P1473" i="8"/>
  <c r="P1472" i="8"/>
  <c r="P1471" i="8"/>
  <c r="P1470" i="8"/>
  <c r="P1469" i="8"/>
  <c r="P1468" i="8"/>
  <c r="P1467" i="8"/>
  <c r="P1466" i="8"/>
  <c r="P1465" i="8"/>
  <c r="P1464" i="8"/>
  <c r="P1463" i="8"/>
  <c r="P1462" i="8"/>
  <c r="P1461" i="8"/>
  <c r="P1460" i="8"/>
  <c r="P1459" i="8"/>
  <c r="P1458" i="8"/>
  <c r="P1457" i="8"/>
  <c r="P1456" i="8"/>
  <c r="P1455" i="8"/>
  <c r="P1454" i="8"/>
  <c r="P1453" i="8"/>
  <c r="P1452" i="8"/>
  <c r="P1451" i="8"/>
  <c r="P1450" i="8"/>
  <c r="P1449" i="8"/>
  <c r="P1448" i="8"/>
  <c r="P1447" i="8"/>
  <c r="P1446" i="8"/>
  <c r="P1445" i="8"/>
  <c r="P1444" i="8"/>
  <c r="P1443" i="8"/>
  <c r="P1442" i="8"/>
  <c r="P1441" i="8"/>
  <c r="P1440" i="8"/>
  <c r="P1439" i="8"/>
  <c r="P1438" i="8"/>
  <c r="P1437" i="8"/>
  <c r="P1436" i="8"/>
  <c r="P1435" i="8"/>
  <c r="P1434" i="8"/>
  <c r="P1433" i="8"/>
  <c r="P1432" i="8"/>
  <c r="P1431" i="8"/>
  <c r="P1430" i="8"/>
  <c r="P1429" i="8"/>
  <c r="P1428" i="8"/>
  <c r="P1427" i="8"/>
  <c r="P1426" i="8"/>
  <c r="P1425" i="8"/>
  <c r="P1424" i="8"/>
  <c r="P1423" i="8"/>
  <c r="P1422" i="8"/>
  <c r="P1421" i="8"/>
  <c r="P1420" i="8"/>
  <c r="P1419" i="8"/>
  <c r="P1418" i="8"/>
  <c r="P1417" i="8"/>
  <c r="P1416" i="8"/>
  <c r="P1415" i="8"/>
  <c r="P1414" i="8"/>
  <c r="P1413" i="8"/>
  <c r="P1412" i="8"/>
  <c r="P1411" i="8"/>
  <c r="P1410" i="8"/>
  <c r="P1409" i="8"/>
  <c r="P1408" i="8"/>
  <c r="P1407" i="8"/>
  <c r="P1406" i="8"/>
  <c r="P1405" i="8"/>
  <c r="P1404" i="8"/>
  <c r="P1403" i="8"/>
  <c r="P1402" i="8"/>
  <c r="P1401" i="8"/>
  <c r="P1400" i="8"/>
  <c r="P1399" i="8"/>
  <c r="P1398" i="8"/>
  <c r="P1397" i="8"/>
  <c r="P1396" i="8"/>
  <c r="P1395" i="8"/>
  <c r="P1394" i="8"/>
  <c r="P1393" i="8"/>
  <c r="P1392" i="8"/>
  <c r="P1391" i="8"/>
  <c r="P1390" i="8"/>
  <c r="P1389" i="8"/>
  <c r="P1388" i="8"/>
  <c r="P1387" i="8"/>
  <c r="P1386" i="8"/>
  <c r="P1385" i="8"/>
  <c r="P1384" i="8"/>
  <c r="P1383" i="8"/>
  <c r="P1382" i="8"/>
  <c r="P1381" i="8"/>
  <c r="P1380" i="8"/>
  <c r="P1379" i="8"/>
  <c r="P1378" i="8"/>
  <c r="P1377" i="8"/>
  <c r="P1376" i="8"/>
  <c r="P1375" i="8"/>
  <c r="P1374" i="8"/>
  <c r="P1373" i="8"/>
  <c r="P1372" i="8"/>
  <c r="P1371" i="8"/>
  <c r="P1370" i="8"/>
  <c r="P1369" i="8"/>
  <c r="P1368" i="8"/>
  <c r="P1367" i="8"/>
  <c r="P1366" i="8"/>
  <c r="P1365" i="8"/>
  <c r="P1364" i="8"/>
  <c r="P1363" i="8"/>
  <c r="P1362" i="8"/>
  <c r="P1361" i="8"/>
  <c r="P1360" i="8"/>
  <c r="P1359" i="8"/>
  <c r="P1358" i="8"/>
  <c r="P1357" i="8"/>
  <c r="P1356" i="8"/>
  <c r="P1355" i="8"/>
  <c r="P1354" i="8"/>
  <c r="P1353" i="8"/>
  <c r="P1352" i="8"/>
  <c r="P1351" i="8"/>
  <c r="P1350" i="8"/>
  <c r="P1349" i="8"/>
  <c r="P1348" i="8"/>
  <c r="P1347" i="8"/>
  <c r="P1346" i="8"/>
  <c r="P1345" i="8"/>
  <c r="P1344" i="8"/>
  <c r="P1343" i="8"/>
  <c r="P1342" i="8"/>
  <c r="P1341" i="8"/>
  <c r="P1340" i="8"/>
  <c r="P1339" i="8"/>
  <c r="P1338" i="8"/>
  <c r="P1337" i="8"/>
  <c r="P1336" i="8"/>
  <c r="P1335" i="8"/>
  <c r="P1334" i="8"/>
  <c r="P1333" i="8"/>
  <c r="P1332" i="8"/>
  <c r="P1331" i="8"/>
  <c r="P1330" i="8"/>
  <c r="P1329" i="8"/>
  <c r="P1328" i="8"/>
  <c r="P1327" i="8"/>
  <c r="P1326" i="8"/>
  <c r="P1325" i="8"/>
  <c r="P1324" i="8"/>
  <c r="P1323" i="8"/>
  <c r="P1322" i="8"/>
  <c r="P1321" i="8"/>
  <c r="P1320" i="8"/>
  <c r="P1319" i="8"/>
  <c r="P1318" i="8"/>
  <c r="P1317" i="8"/>
  <c r="P1316" i="8"/>
  <c r="P1315" i="8"/>
  <c r="P1314" i="8"/>
  <c r="P1313" i="8"/>
  <c r="P1312" i="8"/>
  <c r="P1311" i="8"/>
  <c r="P1310" i="8"/>
  <c r="P1309" i="8"/>
  <c r="P1308" i="8"/>
  <c r="P1307" i="8"/>
  <c r="P1306" i="8"/>
  <c r="P1305" i="8"/>
  <c r="P1304" i="8"/>
  <c r="P1303" i="8"/>
  <c r="P1302" i="8"/>
  <c r="P1301" i="8"/>
  <c r="P1300" i="8"/>
  <c r="P1299" i="8"/>
  <c r="P1298" i="8"/>
  <c r="P1297" i="8"/>
  <c r="P1296" i="8"/>
  <c r="P1295" i="8"/>
  <c r="P1294" i="8"/>
  <c r="P1293" i="8"/>
  <c r="P1292" i="8"/>
  <c r="P1291" i="8"/>
  <c r="P1290" i="8"/>
  <c r="P1289" i="8"/>
  <c r="P1288" i="8"/>
  <c r="P1287" i="8"/>
  <c r="P1286" i="8"/>
  <c r="P1285" i="8"/>
  <c r="P1284" i="8"/>
  <c r="P1283" i="8"/>
  <c r="P1282" i="8"/>
  <c r="P1281" i="8"/>
  <c r="P1280" i="8"/>
  <c r="P1279" i="8"/>
  <c r="P1278" i="8"/>
  <c r="P1277" i="8"/>
  <c r="P1276" i="8"/>
  <c r="P1275" i="8"/>
  <c r="P1274" i="8"/>
  <c r="P1273" i="8"/>
  <c r="P1272" i="8"/>
  <c r="P1271" i="8"/>
  <c r="P1270" i="8"/>
  <c r="P1269" i="8"/>
  <c r="P1268" i="8"/>
  <c r="P1267" i="8"/>
  <c r="P1266" i="8"/>
  <c r="P1265" i="8"/>
  <c r="P1264" i="8"/>
  <c r="P1263" i="8"/>
  <c r="P1262" i="8"/>
  <c r="P1261" i="8"/>
  <c r="P1260" i="8"/>
  <c r="P1259" i="8"/>
  <c r="P1258" i="8"/>
  <c r="P1257" i="8"/>
  <c r="P1256" i="8"/>
  <c r="P1255" i="8"/>
  <c r="P1254" i="8"/>
  <c r="P1253" i="8"/>
  <c r="P1252" i="8"/>
  <c r="P1251" i="8"/>
  <c r="P1250" i="8"/>
  <c r="P1249" i="8"/>
  <c r="P1248" i="8"/>
  <c r="P1247" i="8"/>
  <c r="P1246" i="8"/>
  <c r="P1245" i="8"/>
  <c r="P1244" i="8"/>
  <c r="P1243" i="8"/>
  <c r="P1242" i="8"/>
  <c r="P1241" i="8"/>
  <c r="P1240" i="8"/>
  <c r="P1239" i="8"/>
  <c r="P1238" i="8"/>
  <c r="P1237" i="8"/>
  <c r="P1236" i="8"/>
  <c r="P1235" i="8"/>
  <c r="P1234" i="8"/>
  <c r="P1233" i="8"/>
  <c r="P1232" i="8"/>
  <c r="P1231" i="8"/>
  <c r="P1230" i="8"/>
  <c r="P1229" i="8"/>
  <c r="P1228" i="8"/>
  <c r="P1227" i="8"/>
  <c r="P1226" i="8"/>
  <c r="P1225" i="8"/>
  <c r="P1224" i="8"/>
  <c r="P1223" i="8"/>
  <c r="P1222" i="8"/>
  <c r="P1221" i="8"/>
  <c r="P1220" i="8"/>
  <c r="P1219" i="8"/>
  <c r="P1218" i="8"/>
  <c r="P1217" i="8"/>
  <c r="P1216" i="8"/>
  <c r="P1215" i="8"/>
  <c r="P1214" i="8"/>
  <c r="P1213" i="8"/>
  <c r="P1212" i="8"/>
  <c r="P1211" i="8"/>
  <c r="P1210" i="8"/>
  <c r="P1209" i="8"/>
  <c r="P1208" i="8"/>
  <c r="P1207" i="8"/>
  <c r="P1206" i="8"/>
  <c r="P1205" i="8"/>
  <c r="P1204" i="8"/>
  <c r="P1203" i="8"/>
  <c r="P1202" i="8"/>
  <c r="P1201" i="8"/>
  <c r="P1200" i="8"/>
  <c r="P1199" i="8"/>
  <c r="P1198" i="8"/>
  <c r="P1197" i="8"/>
  <c r="P1196" i="8"/>
  <c r="P1195" i="8"/>
  <c r="P1194" i="8"/>
  <c r="P1193" i="8"/>
  <c r="P1192" i="8"/>
  <c r="P1191" i="8"/>
  <c r="P1190" i="8"/>
  <c r="P1189" i="8"/>
  <c r="P1188" i="8"/>
  <c r="P1187" i="8"/>
  <c r="P1186" i="8"/>
  <c r="P1185" i="8"/>
  <c r="P1184" i="8"/>
  <c r="P1183" i="8"/>
  <c r="P1182" i="8"/>
  <c r="P1181" i="8"/>
  <c r="P1180" i="8"/>
  <c r="P1179" i="8"/>
  <c r="P1178" i="8"/>
  <c r="P1177" i="8"/>
  <c r="P1176" i="8"/>
  <c r="P1175" i="8"/>
  <c r="P1174" i="8"/>
  <c r="P1173" i="8"/>
  <c r="P1172" i="8"/>
  <c r="P1171" i="8"/>
  <c r="P1170" i="8"/>
  <c r="P1169" i="8"/>
  <c r="P1168" i="8"/>
  <c r="P1167" i="8"/>
  <c r="P1166" i="8"/>
  <c r="P1165" i="8"/>
  <c r="P1164" i="8"/>
  <c r="P1163" i="8"/>
  <c r="P1162" i="8"/>
  <c r="P1161" i="8"/>
  <c r="P1160" i="8"/>
  <c r="P1159" i="8"/>
  <c r="P1158" i="8"/>
  <c r="P1157" i="8"/>
  <c r="P1156" i="8"/>
  <c r="P1155" i="8"/>
  <c r="P1154" i="8"/>
  <c r="P1153" i="8"/>
  <c r="P1152" i="8"/>
  <c r="P1151" i="8"/>
  <c r="P1150" i="8"/>
  <c r="P1149" i="8"/>
  <c r="P1148" i="8"/>
  <c r="P1147" i="8"/>
  <c r="P1146" i="8"/>
  <c r="P1145" i="8"/>
  <c r="P1144" i="8"/>
  <c r="P1143" i="8"/>
  <c r="P1142" i="8"/>
  <c r="P1141" i="8"/>
  <c r="P1140" i="8"/>
  <c r="P1139" i="8"/>
  <c r="P1138" i="8"/>
  <c r="P1137" i="8"/>
  <c r="P1136" i="8"/>
  <c r="P1135" i="8"/>
  <c r="P1134" i="8"/>
  <c r="P1133" i="8"/>
  <c r="P1132" i="8"/>
  <c r="P1131" i="8"/>
  <c r="P1130" i="8"/>
  <c r="P1129" i="8"/>
  <c r="P1128" i="8"/>
  <c r="P1127" i="8"/>
  <c r="P1126" i="8"/>
  <c r="P1125" i="8"/>
  <c r="P1124" i="8"/>
  <c r="P1123" i="8"/>
  <c r="P1122" i="8"/>
  <c r="P1121" i="8"/>
  <c r="P1120" i="8"/>
  <c r="P1119" i="8"/>
  <c r="P1118" i="8"/>
  <c r="P1117" i="8"/>
  <c r="P1116" i="8"/>
  <c r="P1115" i="8"/>
  <c r="P1114" i="8"/>
  <c r="P1113" i="8"/>
  <c r="P1112" i="8"/>
  <c r="P1111" i="8"/>
  <c r="P1110" i="8"/>
  <c r="P1109" i="8"/>
  <c r="P1108" i="8"/>
  <c r="P1107" i="8"/>
  <c r="P1106" i="8"/>
  <c r="P1105" i="8"/>
  <c r="P1104" i="8"/>
  <c r="P1103" i="8"/>
  <c r="P1102" i="8"/>
  <c r="P1101" i="8"/>
  <c r="P1100" i="8"/>
  <c r="P1099" i="8"/>
  <c r="P1098" i="8"/>
  <c r="P1097" i="8"/>
  <c r="P1096" i="8"/>
  <c r="P1095" i="8"/>
  <c r="P1094" i="8"/>
  <c r="P1093" i="8"/>
  <c r="P1092" i="8"/>
  <c r="P1091" i="8"/>
  <c r="P1090" i="8"/>
  <c r="P1089" i="8"/>
  <c r="P1088" i="8"/>
  <c r="P1087" i="8"/>
  <c r="P1086" i="8"/>
  <c r="P1085" i="8"/>
  <c r="P1084" i="8"/>
  <c r="P1083" i="8"/>
  <c r="P1082" i="8"/>
  <c r="P1081" i="8"/>
  <c r="P1080" i="8"/>
  <c r="P1079" i="8"/>
  <c r="P1078" i="8"/>
  <c r="P1077" i="8"/>
  <c r="P1076" i="8"/>
  <c r="P1075" i="8"/>
  <c r="P1074" i="8"/>
  <c r="P1073" i="8"/>
  <c r="P1072" i="8"/>
  <c r="P1071" i="8"/>
  <c r="P1070" i="8"/>
  <c r="P1069" i="8"/>
  <c r="P1068" i="8"/>
  <c r="P1067" i="8"/>
  <c r="P1066" i="8"/>
  <c r="P1065" i="8"/>
  <c r="P1064" i="8"/>
  <c r="P1063" i="8"/>
  <c r="P1062" i="8"/>
  <c r="P1061" i="8"/>
  <c r="P1060" i="8"/>
  <c r="P1059" i="8"/>
  <c r="P1058" i="8"/>
  <c r="P1057" i="8"/>
  <c r="P1056" i="8"/>
  <c r="P1055" i="8"/>
  <c r="P1054" i="8"/>
  <c r="P1053" i="8"/>
  <c r="P1052" i="8"/>
  <c r="P1051" i="8"/>
  <c r="P1050" i="8"/>
  <c r="P1049" i="8"/>
  <c r="P1048" i="8"/>
  <c r="P1047" i="8"/>
  <c r="P1046" i="8"/>
  <c r="P1045" i="8"/>
  <c r="P1044" i="8"/>
  <c r="P1043" i="8"/>
  <c r="P1042" i="8"/>
  <c r="P1041" i="8"/>
  <c r="P1040" i="8"/>
  <c r="P1039" i="8"/>
  <c r="P1038" i="8"/>
  <c r="P1037" i="8"/>
  <c r="P1036" i="8"/>
  <c r="P1035" i="8"/>
  <c r="P1034" i="8"/>
  <c r="P1033" i="8"/>
  <c r="P1032" i="8"/>
  <c r="P1031" i="8"/>
  <c r="P1030" i="8"/>
  <c r="P1029" i="8"/>
  <c r="P1028" i="8"/>
  <c r="P1027" i="8"/>
  <c r="P1026" i="8"/>
  <c r="P1025" i="8"/>
  <c r="P1024" i="8"/>
  <c r="P1023" i="8"/>
  <c r="P1022" i="8"/>
  <c r="P1021" i="8"/>
  <c r="P1020" i="8"/>
  <c r="P1019" i="8"/>
  <c r="P1018" i="8"/>
  <c r="P1017" i="8"/>
  <c r="P1016" i="8"/>
  <c r="P1015" i="8"/>
  <c r="P1014" i="8"/>
  <c r="P1013" i="8"/>
  <c r="P1012" i="8"/>
  <c r="P1011" i="8"/>
  <c r="P1010" i="8"/>
  <c r="P1009" i="8"/>
  <c r="P1008" i="8"/>
  <c r="P1007" i="8"/>
  <c r="P1006" i="8"/>
  <c r="P1005" i="8"/>
  <c r="P1004" i="8"/>
  <c r="P1003" i="8"/>
  <c r="P1002" i="8"/>
  <c r="P1001" i="8"/>
  <c r="P1000" i="8"/>
  <c r="P999" i="8"/>
  <c r="P998" i="8"/>
  <c r="P997" i="8"/>
  <c r="P996" i="8"/>
  <c r="P995" i="8"/>
  <c r="P994" i="8"/>
  <c r="P993" i="8"/>
  <c r="P992" i="8"/>
  <c r="P991" i="8"/>
  <c r="P990" i="8"/>
  <c r="P989" i="8"/>
  <c r="P988" i="8"/>
  <c r="P987" i="8"/>
  <c r="P986" i="8"/>
  <c r="D986" i="8"/>
  <c r="P985" i="8"/>
  <c r="D985" i="8"/>
  <c r="P984" i="8"/>
  <c r="P983" i="8"/>
  <c r="P982" i="8"/>
  <c r="P981" i="8"/>
  <c r="P980" i="8"/>
  <c r="P979" i="8"/>
  <c r="P978" i="8"/>
  <c r="P977" i="8"/>
  <c r="P976" i="8"/>
  <c r="P975" i="8"/>
  <c r="P974" i="8"/>
  <c r="P973" i="8"/>
  <c r="P972" i="8"/>
  <c r="P971" i="8"/>
  <c r="P970" i="8"/>
  <c r="P969" i="8"/>
  <c r="P968" i="8"/>
  <c r="P967" i="8"/>
  <c r="P966" i="8"/>
  <c r="P965" i="8"/>
  <c r="P964" i="8"/>
  <c r="P963" i="8"/>
  <c r="P962" i="8"/>
  <c r="P961" i="8"/>
  <c r="P960" i="8"/>
  <c r="P959" i="8"/>
  <c r="P958" i="8"/>
  <c r="P957" i="8"/>
  <c r="P956" i="8"/>
  <c r="P955" i="8"/>
  <c r="P954" i="8"/>
  <c r="P953" i="8"/>
  <c r="P952" i="8"/>
  <c r="P951" i="8"/>
  <c r="P950" i="8"/>
  <c r="P949" i="8"/>
  <c r="P948" i="8"/>
  <c r="P947" i="8"/>
  <c r="P946" i="8"/>
  <c r="P945" i="8"/>
  <c r="P944" i="8"/>
  <c r="P943" i="8"/>
  <c r="P942" i="8"/>
  <c r="P941" i="8"/>
  <c r="P940" i="8"/>
  <c r="P939" i="8"/>
  <c r="P938" i="8"/>
  <c r="P937" i="8"/>
  <c r="P936" i="8"/>
  <c r="P935" i="8"/>
  <c r="P934" i="8"/>
  <c r="P933" i="8"/>
  <c r="P932" i="8"/>
  <c r="P931" i="8"/>
  <c r="P930" i="8"/>
  <c r="P929" i="8"/>
  <c r="P928" i="8"/>
  <c r="P927" i="8"/>
  <c r="P926" i="8"/>
  <c r="P925" i="8"/>
  <c r="P924" i="8"/>
  <c r="P923" i="8"/>
  <c r="P922" i="8"/>
  <c r="P921" i="8"/>
  <c r="P920" i="8"/>
  <c r="P919" i="8"/>
  <c r="P918" i="8"/>
  <c r="P917" i="8"/>
  <c r="P916" i="8"/>
  <c r="P915" i="8"/>
  <c r="P914" i="8"/>
  <c r="P913" i="8"/>
  <c r="P912" i="8"/>
  <c r="P911" i="8"/>
  <c r="P910" i="8"/>
  <c r="P909" i="8"/>
  <c r="P908" i="8"/>
  <c r="P907" i="8"/>
  <c r="P906" i="8"/>
  <c r="P905" i="8"/>
  <c r="P904" i="8"/>
  <c r="P903" i="8"/>
  <c r="P902" i="8"/>
  <c r="P901" i="8"/>
  <c r="P900" i="8"/>
  <c r="P899" i="8"/>
  <c r="P898" i="8"/>
  <c r="P897" i="8"/>
  <c r="P896" i="8"/>
  <c r="P895" i="8"/>
  <c r="P894" i="8"/>
  <c r="P893" i="8"/>
  <c r="P892" i="8"/>
  <c r="P891" i="8"/>
  <c r="P890" i="8"/>
  <c r="P889" i="8"/>
  <c r="P888" i="8"/>
  <c r="P887" i="8"/>
  <c r="P886" i="8"/>
  <c r="P885" i="8"/>
  <c r="P884" i="8"/>
  <c r="P883" i="8"/>
  <c r="P882" i="8"/>
  <c r="P881" i="8"/>
  <c r="P880" i="8"/>
  <c r="P879" i="8"/>
  <c r="P878" i="8"/>
  <c r="P877" i="8"/>
  <c r="P876" i="8"/>
  <c r="P875" i="8"/>
  <c r="P874" i="8"/>
  <c r="P873" i="8"/>
  <c r="P872" i="8"/>
  <c r="P871" i="8"/>
  <c r="P870" i="8"/>
  <c r="P869" i="8"/>
  <c r="P868" i="8"/>
  <c r="P867" i="8"/>
  <c r="P866" i="8"/>
  <c r="P865" i="8"/>
  <c r="P864" i="8"/>
  <c r="P863" i="8"/>
  <c r="P862" i="8"/>
  <c r="P861" i="8"/>
  <c r="P860" i="8"/>
  <c r="D860" i="8"/>
  <c r="P859" i="8"/>
  <c r="D859" i="8"/>
  <c r="P858" i="8"/>
  <c r="P857" i="8"/>
  <c r="P856" i="8"/>
  <c r="P855" i="8"/>
  <c r="P854" i="8"/>
  <c r="P853" i="8"/>
  <c r="P852" i="8"/>
  <c r="P851" i="8"/>
  <c r="P850" i="8"/>
  <c r="P849" i="8"/>
  <c r="P848" i="8"/>
  <c r="P847" i="8"/>
  <c r="P846" i="8"/>
  <c r="P845" i="8"/>
  <c r="P844" i="8"/>
  <c r="P843" i="8"/>
  <c r="P842" i="8"/>
  <c r="P841" i="8"/>
  <c r="P840" i="8"/>
  <c r="P839" i="8"/>
  <c r="P838" i="8"/>
  <c r="P837" i="8"/>
  <c r="P836" i="8"/>
  <c r="P835" i="8"/>
  <c r="P834" i="8"/>
  <c r="P833" i="8"/>
  <c r="P832" i="8"/>
  <c r="P831" i="8"/>
  <c r="P830" i="8"/>
  <c r="P829" i="8"/>
  <c r="P828" i="8"/>
  <c r="P827" i="8"/>
  <c r="P826" i="8"/>
  <c r="P825" i="8"/>
  <c r="P824" i="8"/>
  <c r="P823" i="8"/>
  <c r="P822" i="8"/>
  <c r="P821" i="8"/>
  <c r="P820" i="8"/>
  <c r="P819" i="8"/>
  <c r="P818" i="8"/>
  <c r="P817" i="8"/>
  <c r="P816" i="8"/>
  <c r="P815" i="8"/>
  <c r="P814" i="8"/>
  <c r="P813" i="8"/>
  <c r="P812" i="8"/>
  <c r="P811" i="8"/>
  <c r="P810" i="8"/>
  <c r="P809" i="8"/>
  <c r="P808" i="8"/>
  <c r="P807" i="8"/>
  <c r="P806" i="8"/>
  <c r="P805" i="8"/>
  <c r="P804" i="8"/>
  <c r="P803" i="8"/>
  <c r="P802" i="8"/>
  <c r="P801" i="8"/>
  <c r="P800" i="8"/>
  <c r="P799" i="8"/>
  <c r="P798" i="8"/>
  <c r="P797" i="8"/>
  <c r="P796" i="8"/>
  <c r="P795" i="8"/>
  <c r="P794" i="8"/>
  <c r="P793" i="8"/>
  <c r="P792" i="8"/>
  <c r="P791" i="8"/>
  <c r="P790" i="8"/>
  <c r="P789" i="8"/>
  <c r="P788" i="8"/>
  <c r="P787" i="8"/>
  <c r="P786" i="8"/>
  <c r="P785" i="8"/>
  <c r="P784" i="8"/>
  <c r="P783" i="8"/>
  <c r="P782" i="8"/>
  <c r="P781" i="8"/>
  <c r="P780" i="8"/>
  <c r="P779" i="8"/>
  <c r="P778" i="8"/>
  <c r="P777" i="8"/>
  <c r="P776" i="8"/>
  <c r="P775" i="8"/>
  <c r="P774" i="8"/>
  <c r="P773" i="8"/>
  <c r="P772" i="8"/>
  <c r="P771" i="8"/>
  <c r="P770" i="8"/>
  <c r="P769" i="8"/>
  <c r="P768" i="8"/>
  <c r="P767" i="8"/>
  <c r="P766" i="8"/>
  <c r="P765" i="8"/>
  <c r="P764" i="8"/>
  <c r="P763" i="8"/>
  <c r="P762" i="8"/>
  <c r="P761" i="8"/>
  <c r="P760" i="8"/>
  <c r="P759" i="8"/>
  <c r="P758" i="8"/>
  <c r="P757" i="8"/>
  <c r="P756" i="8"/>
  <c r="P755" i="8"/>
  <c r="P754" i="8"/>
  <c r="P753" i="8"/>
  <c r="P752" i="8"/>
  <c r="P751" i="8"/>
  <c r="P750" i="8"/>
  <c r="P749" i="8"/>
  <c r="P748" i="8"/>
  <c r="P747" i="8"/>
  <c r="P746" i="8"/>
  <c r="P745" i="8"/>
  <c r="P744" i="8"/>
  <c r="P743" i="8"/>
  <c r="P742" i="8"/>
  <c r="P741" i="8"/>
  <c r="P740" i="8"/>
  <c r="P739" i="8"/>
  <c r="P738" i="8"/>
  <c r="P737" i="8"/>
  <c r="P736" i="8"/>
  <c r="P735" i="8"/>
  <c r="P734" i="8"/>
  <c r="P733" i="8"/>
  <c r="P732" i="8"/>
  <c r="P731" i="8"/>
  <c r="P730" i="8"/>
  <c r="P729" i="8"/>
  <c r="P728" i="8"/>
  <c r="P727" i="8"/>
  <c r="P726" i="8"/>
  <c r="P725" i="8"/>
  <c r="P724" i="8"/>
  <c r="P723" i="8"/>
  <c r="P722" i="8"/>
  <c r="P721" i="8"/>
  <c r="P720" i="8"/>
  <c r="P719" i="8"/>
  <c r="P718" i="8"/>
  <c r="P717" i="8"/>
  <c r="P716" i="8"/>
  <c r="P715" i="8"/>
  <c r="P714" i="8"/>
  <c r="P713" i="8"/>
  <c r="P712" i="8"/>
  <c r="P711" i="8"/>
  <c r="P710" i="8"/>
  <c r="P709" i="8"/>
  <c r="P708" i="8"/>
  <c r="P707" i="8"/>
  <c r="P706" i="8"/>
  <c r="P705" i="8"/>
  <c r="P704" i="8"/>
  <c r="P703" i="8"/>
  <c r="P702" i="8"/>
  <c r="P701" i="8"/>
  <c r="P700" i="8"/>
  <c r="P699" i="8"/>
  <c r="P698" i="8"/>
  <c r="P697" i="8"/>
  <c r="P696" i="8"/>
  <c r="P695" i="8"/>
  <c r="P694" i="8"/>
  <c r="P693" i="8"/>
  <c r="P692" i="8"/>
  <c r="P691" i="8"/>
  <c r="P690" i="8"/>
  <c r="P689" i="8"/>
  <c r="P688" i="8"/>
  <c r="P687" i="8"/>
  <c r="P686" i="8"/>
  <c r="P685" i="8"/>
  <c r="P684" i="8"/>
  <c r="P683" i="8"/>
  <c r="P682" i="8"/>
  <c r="P681" i="8"/>
  <c r="P680" i="8"/>
  <c r="P679" i="8"/>
  <c r="P678" i="8"/>
  <c r="P677" i="8"/>
  <c r="P676" i="8"/>
  <c r="P675" i="8"/>
  <c r="P674" i="8"/>
  <c r="P673" i="8"/>
  <c r="P672" i="8"/>
  <c r="P671" i="8"/>
  <c r="P670" i="8"/>
  <c r="P669" i="8"/>
  <c r="P668" i="8"/>
  <c r="P667" i="8"/>
  <c r="P666" i="8"/>
  <c r="P665" i="8"/>
  <c r="P664" i="8"/>
  <c r="P663" i="8"/>
  <c r="P662" i="8"/>
  <c r="P661" i="8"/>
  <c r="P660" i="8"/>
  <c r="P659" i="8"/>
  <c r="P658" i="8"/>
  <c r="P657" i="8"/>
  <c r="P656" i="8"/>
  <c r="P655" i="8"/>
  <c r="P654" i="8"/>
  <c r="P653" i="8"/>
  <c r="P652" i="8"/>
  <c r="P651" i="8"/>
  <c r="P650" i="8"/>
  <c r="P649" i="8"/>
  <c r="P648" i="8"/>
  <c r="P647" i="8"/>
  <c r="P646" i="8"/>
  <c r="P645" i="8"/>
  <c r="P644" i="8"/>
  <c r="P643" i="8"/>
  <c r="P642" i="8"/>
  <c r="P641" i="8"/>
  <c r="P640" i="8"/>
  <c r="P639" i="8"/>
  <c r="P638" i="8"/>
  <c r="P637" i="8"/>
  <c r="P636" i="8"/>
  <c r="P635" i="8"/>
  <c r="P634" i="8"/>
  <c r="P633" i="8"/>
  <c r="P632" i="8"/>
  <c r="P631" i="8"/>
  <c r="P630" i="8"/>
  <c r="P629" i="8"/>
  <c r="P628" i="8"/>
  <c r="P627" i="8"/>
  <c r="P626" i="8"/>
  <c r="P625" i="8"/>
  <c r="P624" i="8"/>
  <c r="P623" i="8"/>
  <c r="P622" i="8"/>
  <c r="P621" i="8"/>
  <c r="P620" i="8"/>
  <c r="P619" i="8"/>
  <c r="P618" i="8"/>
  <c r="P617" i="8"/>
  <c r="P616" i="8"/>
  <c r="P615" i="8"/>
  <c r="P614" i="8"/>
  <c r="P613" i="8"/>
  <c r="P612" i="8"/>
  <c r="P611" i="8"/>
  <c r="P610" i="8"/>
  <c r="P609" i="8"/>
  <c r="P608" i="8"/>
  <c r="P607" i="8"/>
  <c r="D607" i="8"/>
  <c r="P606" i="8"/>
  <c r="D606" i="8"/>
  <c r="P605" i="8"/>
  <c r="P604" i="8"/>
  <c r="P603" i="8"/>
  <c r="P602" i="8"/>
  <c r="P601" i="8"/>
  <c r="P600" i="8"/>
  <c r="P599" i="8"/>
  <c r="P598" i="8"/>
  <c r="P597" i="8"/>
  <c r="P596" i="8"/>
  <c r="P595" i="8"/>
  <c r="P594" i="8"/>
  <c r="P593" i="8"/>
  <c r="P592" i="8"/>
  <c r="P591" i="8"/>
  <c r="P590" i="8"/>
  <c r="P589" i="8"/>
  <c r="P588" i="8"/>
  <c r="P587" i="8"/>
  <c r="P586" i="8"/>
  <c r="P585" i="8"/>
  <c r="P584" i="8"/>
  <c r="P583" i="8"/>
  <c r="P582" i="8"/>
  <c r="P581" i="8"/>
  <c r="P580" i="8"/>
  <c r="P579" i="8"/>
  <c r="P578" i="8"/>
  <c r="P577" i="8"/>
  <c r="P576" i="8"/>
  <c r="P575" i="8"/>
  <c r="P574" i="8"/>
  <c r="P573" i="8"/>
  <c r="P572" i="8"/>
  <c r="P571" i="8"/>
  <c r="P570" i="8"/>
  <c r="P569" i="8"/>
  <c r="P568" i="8"/>
  <c r="P567" i="8"/>
  <c r="P566" i="8"/>
  <c r="P565" i="8"/>
  <c r="P564" i="8"/>
  <c r="P563" i="8"/>
  <c r="P562" i="8"/>
  <c r="P561" i="8"/>
  <c r="P560" i="8"/>
  <c r="P559" i="8"/>
  <c r="P558" i="8"/>
  <c r="P557" i="8"/>
  <c r="P556" i="8"/>
  <c r="P555" i="8"/>
  <c r="P554" i="8"/>
  <c r="P553" i="8"/>
  <c r="P552" i="8"/>
  <c r="P551" i="8"/>
  <c r="P550" i="8"/>
  <c r="P549" i="8"/>
  <c r="P548" i="8"/>
  <c r="P547" i="8"/>
  <c r="P546" i="8"/>
  <c r="D546" i="8"/>
  <c r="P545" i="8"/>
  <c r="D545" i="8"/>
  <c r="P544" i="8"/>
  <c r="D544" i="8"/>
  <c r="P543" i="8"/>
  <c r="D543" i="8"/>
  <c r="P542" i="8"/>
  <c r="D542" i="8"/>
  <c r="P541" i="8"/>
  <c r="D541" i="8"/>
  <c r="P540" i="8"/>
  <c r="P539" i="8"/>
  <c r="P538" i="8"/>
  <c r="P537" i="8"/>
  <c r="P536" i="8"/>
  <c r="P535" i="8"/>
  <c r="P534" i="8"/>
  <c r="P533" i="8"/>
  <c r="P532" i="8"/>
  <c r="P531" i="8"/>
  <c r="P530" i="8"/>
  <c r="P529" i="8"/>
  <c r="P528" i="8"/>
  <c r="D528" i="8"/>
  <c r="P527" i="8"/>
  <c r="D527" i="8"/>
  <c r="P526" i="8"/>
  <c r="D526" i="8"/>
  <c r="P525" i="8"/>
  <c r="D525" i="8"/>
  <c r="P524" i="8"/>
  <c r="P523" i="8"/>
  <c r="P522" i="8"/>
  <c r="P521" i="8"/>
  <c r="P520" i="8"/>
  <c r="P519" i="8"/>
  <c r="P518" i="8"/>
  <c r="P517" i="8"/>
  <c r="P516" i="8"/>
  <c r="P515" i="8"/>
  <c r="P514" i="8"/>
  <c r="P513" i="8"/>
  <c r="P512" i="8"/>
  <c r="P511" i="8"/>
  <c r="P510" i="8"/>
  <c r="P509" i="8"/>
  <c r="P508" i="8"/>
  <c r="P507" i="8"/>
  <c r="P506" i="8"/>
  <c r="P505" i="8"/>
  <c r="P504" i="8"/>
  <c r="P503" i="8"/>
  <c r="P502" i="8"/>
  <c r="P501" i="8"/>
  <c r="P500" i="8"/>
  <c r="P499" i="8"/>
  <c r="P498" i="8"/>
  <c r="P497" i="8"/>
  <c r="P496" i="8"/>
  <c r="P495" i="8"/>
  <c r="P494" i="8"/>
  <c r="P493" i="8"/>
  <c r="P492" i="8"/>
  <c r="P491" i="8"/>
  <c r="P490" i="8"/>
  <c r="P489" i="8"/>
  <c r="P488" i="8"/>
  <c r="P487" i="8"/>
  <c r="P486" i="8"/>
  <c r="P485" i="8"/>
  <c r="D485" i="8"/>
  <c r="P484" i="8"/>
  <c r="D484" i="8"/>
  <c r="P483" i="8"/>
  <c r="P482" i="8"/>
  <c r="P481" i="8"/>
  <c r="P480" i="8"/>
  <c r="P479" i="8"/>
  <c r="P478" i="8"/>
  <c r="P477" i="8"/>
  <c r="P476" i="8"/>
  <c r="P475" i="8"/>
  <c r="P474" i="8"/>
  <c r="P473" i="8"/>
  <c r="P472" i="8"/>
  <c r="P471" i="8"/>
  <c r="P470" i="8"/>
  <c r="P469" i="8"/>
  <c r="P468" i="8"/>
  <c r="P467" i="8"/>
  <c r="P466" i="8"/>
  <c r="P465" i="8"/>
  <c r="P464" i="8"/>
  <c r="P463" i="8"/>
  <c r="P462" i="8"/>
  <c r="P461" i="8"/>
  <c r="P460" i="8"/>
  <c r="P459" i="8"/>
  <c r="P458" i="8"/>
  <c r="P457" i="8"/>
  <c r="P456" i="8"/>
  <c r="P455" i="8"/>
  <c r="P454" i="8"/>
  <c r="P453" i="8"/>
  <c r="P452" i="8"/>
  <c r="P451" i="8"/>
  <c r="P450" i="8"/>
  <c r="P449" i="8"/>
  <c r="P448" i="8"/>
  <c r="P447" i="8"/>
  <c r="P446" i="8"/>
  <c r="P445" i="8"/>
  <c r="P444" i="8"/>
  <c r="P443" i="8"/>
  <c r="P442" i="8"/>
  <c r="P441" i="8"/>
  <c r="P440" i="8"/>
  <c r="P439" i="8"/>
  <c r="P438" i="8"/>
  <c r="P437" i="8"/>
  <c r="D437" i="8"/>
  <c r="P436" i="8"/>
  <c r="D436" i="8"/>
  <c r="P435" i="8"/>
  <c r="P434" i="8"/>
  <c r="P433" i="8"/>
  <c r="P432" i="8"/>
  <c r="P431" i="8"/>
  <c r="P430" i="8"/>
  <c r="P429" i="8"/>
  <c r="P428" i="8"/>
  <c r="P427" i="8"/>
  <c r="P426" i="8"/>
  <c r="P425" i="8"/>
  <c r="P424" i="8"/>
  <c r="P423" i="8"/>
  <c r="D423" i="8"/>
  <c r="P422" i="8"/>
  <c r="D422" i="8"/>
  <c r="P421" i="8"/>
  <c r="P420" i="8"/>
  <c r="P419" i="8"/>
  <c r="P418" i="8"/>
  <c r="P417" i="8"/>
  <c r="P416" i="8"/>
  <c r="P415" i="8"/>
  <c r="P414" i="8"/>
  <c r="P413" i="8"/>
  <c r="P412" i="8"/>
  <c r="P411" i="8"/>
  <c r="P410" i="8"/>
  <c r="P409" i="8"/>
  <c r="P408" i="8"/>
  <c r="P407" i="8"/>
  <c r="P406" i="8"/>
  <c r="P405" i="8"/>
  <c r="P404" i="8"/>
  <c r="P403" i="8"/>
  <c r="P402" i="8"/>
  <c r="P401" i="8"/>
  <c r="P400" i="8"/>
  <c r="P399" i="8"/>
  <c r="P398" i="8"/>
  <c r="P397" i="8"/>
  <c r="P396" i="8"/>
  <c r="P395" i="8"/>
  <c r="D395" i="8"/>
  <c r="P394" i="8"/>
  <c r="D394" i="8"/>
  <c r="P393" i="8"/>
  <c r="P392" i="8"/>
  <c r="P391" i="8"/>
  <c r="P390" i="8"/>
  <c r="P389" i="8"/>
  <c r="P388" i="8"/>
  <c r="P387" i="8"/>
  <c r="P386" i="8"/>
  <c r="P385" i="8"/>
  <c r="P384" i="8"/>
  <c r="P383" i="8"/>
  <c r="P382" i="8"/>
  <c r="P381" i="8"/>
  <c r="P380" i="8"/>
  <c r="P379" i="8"/>
  <c r="P378" i="8"/>
  <c r="P377" i="8"/>
  <c r="P376" i="8"/>
  <c r="P375" i="8"/>
  <c r="P374" i="8"/>
  <c r="P373" i="8"/>
  <c r="P372" i="8"/>
  <c r="P371" i="8"/>
  <c r="P370" i="8"/>
  <c r="P369" i="8"/>
  <c r="P368" i="8"/>
  <c r="P367" i="8"/>
  <c r="P366" i="8"/>
  <c r="P365" i="8"/>
  <c r="P364" i="8"/>
  <c r="D364" i="8"/>
  <c r="P363" i="8"/>
  <c r="D363" i="8"/>
  <c r="P362" i="8"/>
  <c r="P361" i="8"/>
  <c r="P360" i="8"/>
  <c r="P359" i="8"/>
  <c r="P358" i="8"/>
  <c r="P357" i="8"/>
  <c r="P356" i="8"/>
  <c r="P355" i="8"/>
  <c r="P354" i="8"/>
  <c r="P353" i="8"/>
  <c r="P352" i="8"/>
  <c r="P351" i="8"/>
  <c r="P350" i="8"/>
  <c r="P349" i="8"/>
  <c r="P348" i="8"/>
  <c r="P347" i="8"/>
  <c r="P346" i="8"/>
  <c r="P345" i="8"/>
  <c r="P344" i="8"/>
  <c r="P343" i="8"/>
  <c r="P342" i="8"/>
  <c r="P341" i="8"/>
  <c r="P340" i="8"/>
  <c r="P339" i="8"/>
  <c r="P338" i="8"/>
  <c r="P337" i="8"/>
  <c r="D337" i="8"/>
  <c r="P336" i="8"/>
  <c r="D336" i="8"/>
  <c r="P335" i="8"/>
  <c r="P334" i="8"/>
  <c r="P333" i="8"/>
  <c r="P332" i="8"/>
  <c r="P331" i="8"/>
  <c r="P330" i="8"/>
  <c r="P329" i="8"/>
  <c r="P328" i="8"/>
  <c r="P327" i="8"/>
  <c r="P326" i="8"/>
  <c r="P325" i="8"/>
  <c r="P324" i="8"/>
  <c r="P323" i="8"/>
  <c r="P322" i="8"/>
  <c r="P321" i="8"/>
  <c r="P320" i="8"/>
  <c r="P319" i="8"/>
  <c r="P318" i="8"/>
  <c r="P317" i="8"/>
  <c r="P316" i="8"/>
  <c r="P315" i="8"/>
  <c r="P314" i="8"/>
  <c r="P313" i="8"/>
  <c r="P312" i="8"/>
  <c r="P311" i="8"/>
  <c r="P310" i="8"/>
  <c r="P309" i="8"/>
  <c r="P308" i="8"/>
  <c r="P307" i="8"/>
  <c r="P306" i="8"/>
  <c r="P305" i="8"/>
  <c r="P304" i="8"/>
  <c r="P303" i="8"/>
  <c r="P302" i="8"/>
  <c r="P301" i="8"/>
  <c r="P300" i="8"/>
  <c r="P299" i="8"/>
  <c r="P298" i="8"/>
  <c r="P297" i="8"/>
  <c r="P296" i="8"/>
  <c r="P295" i="8"/>
  <c r="P294" i="8"/>
  <c r="P293" i="8"/>
  <c r="P292" i="8"/>
  <c r="P291" i="8"/>
  <c r="P290" i="8"/>
  <c r="P289" i="8"/>
  <c r="P288" i="8"/>
  <c r="P287" i="8"/>
  <c r="P286" i="8"/>
  <c r="P285" i="8"/>
  <c r="P284" i="8"/>
  <c r="P283" i="8"/>
  <c r="P282" i="8"/>
  <c r="P281" i="8"/>
  <c r="P280" i="8"/>
  <c r="P279" i="8"/>
  <c r="P278" i="8"/>
  <c r="P277" i="8"/>
  <c r="P276" i="8"/>
  <c r="P275" i="8"/>
  <c r="P274" i="8"/>
  <c r="P273" i="8"/>
  <c r="P272" i="8"/>
  <c r="P271" i="8"/>
  <c r="P270" i="8"/>
  <c r="P269" i="8"/>
  <c r="P268" i="8"/>
  <c r="P267" i="8"/>
  <c r="P266" i="8"/>
  <c r="P265" i="8"/>
  <c r="P264" i="8"/>
  <c r="P263" i="8"/>
  <c r="P262" i="8"/>
  <c r="P261" i="8"/>
  <c r="P260" i="8"/>
  <c r="P259" i="8"/>
  <c r="P258" i="8"/>
  <c r="P257" i="8"/>
  <c r="P256" i="8"/>
  <c r="P255" i="8"/>
  <c r="P254" i="8"/>
  <c r="P253" i="8"/>
  <c r="P252" i="8"/>
  <c r="P251" i="8"/>
  <c r="P250" i="8"/>
  <c r="P249" i="8"/>
  <c r="P248" i="8"/>
  <c r="P247" i="8"/>
  <c r="D247" i="8"/>
  <c r="P246" i="8"/>
  <c r="D246" i="8"/>
  <c r="P245" i="8"/>
  <c r="P244" i="8"/>
  <c r="P243" i="8"/>
  <c r="P242" i="8"/>
  <c r="P241" i="8"/>
  <c r="P240" i="8"/>
  <c r="P239" i="8"/>
  <c r="P238" i="8"/>
  <c r="P237" i="8"/>
  <c r="P236" i="8"/>
  <c r="P235" i="8"/>
  <c r="P234" i="8"/>
  <c r="P233" i="8"/>
  <c r="P232" i="8"/>
  <c r="P231" i="8"/>
  <c r="P230" i="8"/>
  <c r="P229" i="8"/>
  <c r="P228" i="8"/>
  <c r="P227" i="8"/>
  <c r="P226" i="8"/>
  <c r="P225" i="8"/>
  <c r="P224" i="8"/>
  <c r="P223" i="8"/>
  <c r="P222" i="8"/>
  <c r="P221" i="8"/>
  <c r="P220" i="8"/>
  <c r="D220" i="8"/>
  <c r="P219" i="8"/>
  <c r="D219" i="8"/>
  <c r="P218" i="8"/>
  <c r="P217" i="8"/>
  <c r="P216" i="8"/>
  <c r="P215" i="8"/>
  <c r="P214" i="8"/>
  <c r="P213" i="8"/>
  <c r="P212" i="8"/>
  <c r="P211" i="8"/>
  <c r="P210" i="8"/>
  <c r="P209" i="8"/>
  <c r="P208" i="8"/>
  <c r="P207" i="8"/>
  <c r="P206" i="8"/>
  <c r="P205" i="8"/>
  <c r="P204" i="8"/>
  <c r="P203" i="8"/>
  <c r="P202" i="8"/>
  <c r="P201" i="8"/>
  <c r="P200" i="8"/>
  <c r="D200" i="8"/>
  <c r="P199" i="8"/>
  <c r="D199" i="8"/>
  <c r="P198" i="8"/>
  <c r="P197" i="8"/>
  <c r="P196" i="8"/>
  <c r="P195" i="8"/>
  <c r="P194" i="8"/>
  <c r="D194" i="8"/>
  <c r="P193" i="8"/>
  <c r="D193" i="8"/>
  <c r="P192" i="8"/>
  <c r="P191" i="8"/>
  <c r="P190" i="8"/>
  <c r="P189" i="8"/>
  <c r="P188" i="8"/>
  <c r="P187" i="8"/>
  <c r="P186" i="8"/>
  <c r="P185" i="8"/>
  <c r="P184" i="8"/>
  <c r="P183" i="8"/>
  <c r="P182" i="8"/>
  <c r="P181" i="8"/>
  <c r="P180" i="8"/>
  <c r="P179" i="8"/>
  <c r="P178" i="8"/>
  <c r="P177" i="8"/>
  <c r="P176" i="8"/>
  <c r="P175" i="8"/>
  <c r="P174" i="8"/>
  <c r="P173" i="8"/>
  <c r="P172" i="8"/>
  <c r="P171" i="8"/>
  <c r="P170" i="8"/>
  <c r="P169" i="8"/>
  <c r="P168" i="8"/>
  <c r="P167" i="8"/>
  <c r="P166" i="8"/>
  <c r="P165" i="8"/>
  <c r="P164" i="8"/>
  <c r="P163" i="8"/>
  <c r="D163" i="8"/>
  <c r="P162" i="8"/>
  <c r="D162" i="8"/>
  <c r="P161" i="8"/>
  <c r="P160" i="8"/>
  <c r="P159" i="8"/>
  <c r="P158" i="8"/>
  <c r="D158" i="8"/>
  <c r="P157" i="8"/>
  <c r="D157" i="8"/>
  <c r="P156" i="8"/>
  <c r="D156" i="8"/>
  <c r="P155" i="8"/>
  <c r="D155" i="8"/>
  <c r="P154" i="8"/>
  <c r="P153" i="8"/>
  <c r="P152" i="8"/>
  <c r="P151" i="8"/>
  <c r="D151" i="8"/>
  <c r="P150" i="8"/>
  <c r="D150" i="8"/>
  <c r="P149" i="8"/>
  <c r="D149" i="8"/>
  <c r="P148" i="8"/>
  <c r="D148" i="8"/>
  <c r="P147" i="8"/>
  <c r="D147" i="8"/>
  <c r="P146" i="8"/>
  <c r="D146" i="8"/>
  <c r="P145" i="8"/>
  <c r="D145" i="8"/>
  <c r="P144" i="8"/>
  <c r="D144" i="8"/>
  <c r="P143" i="8"/>
  <c r="D143" i="8"/>
  <c r="P142" i="8"/>
  <c r="D142" i="8"/>
  <c r="P141" i="8"/>
  <c r="D141" i="8"/>
  <c r="P140" i="8"/>
  <c r="D140" i="8"/>
  <c r="P139" i="8"/>
  <c r="D139" i="8"/>
  <c r="P138" i="8"/>
  <c r="D138" i="8"/>
  <c r="P137" i="8"/>
  <c r="D137" i="8"/>
  <c r="P136" i="8"/>
  <c r="D136" i="8"/>
  <c r="P135" i="8"/>
  <c r="D135" i="8"/>
  <c r="P134" i="8"/>
  <c r="D134" i="8"/>
  <c r="P133" i="8"/>
  <c r="D133" i="8"/>
  <c r="P132" i="8"/>
  <c r="D132" i="8"/>
  <c r="P131" i="8"/>
  <c r="D131" i="8"/>
  <c r="P130" i="8"/>
  <c r="D130" i="8"/>
  <c r="P129" i="8"/>
  <c r="D129" i="8"/>
  <c r="P128" i="8"/>
  <c r="D128" i="8"/>
  <c r="P127" i="8"/>
  <c r="D127" i="8"/>
  <c r="P126" i="8"/>
  <c r="D126" i="8"/>
  <c r="P125" i="8"/>
  <c r="D125" i="8"/>
  <c r="P124" i="8"/>
  <c r="D124" i="8"/>
  <c r="P123" i="8"/>
  <c r="D123" i="8"/>
  <c r="P122" i="8"/>
  <c r="D122" i="8"/>
  <c r="P121" i="8"/>
  <c r="D121" i="8"/>
  <c r="P120" i="8"/>
  <c r="D120" i="8"/>
  <c r="P119" i="8"/>
  <c r="D119" i="8"/>
  <c r="P118" i="8"/>
  <c r="D118" i="8"/>
  <c r="P117" i="8"/>
  <c r="P116" i="8"/>
  <c r="P115" i="8"/>
  <c r="P114" i="8"/>
  <c r="P113" i="8"/>
  <c r="D113" i="8"/>
  <c r="P112" i="8"/>
  <c r="D112" i="8"/>
  <c r="P111" i="8"/>
  <c r="D111" i="8"/>
  <c r="P110" i="8"/>
  <c r="D110" i="8"/>
  <c r="P109" i="8"/>
  <c r="D109" i="8"/>
  <c r="P108" i="8"/>
  <c r="D108" i="8"/>
  <c r="P107" i="8"/>
  <c r="D107" i="8"/>
  <c r="P106" i="8"/>
  <c r="D106" i="8"/>
  <c r="P105" i="8"/>
  <c r="P104" i="8"/>
  <c r="P103" i="8"/>
  <c r="P102" i="8"/>
  <c r="P101" i="8"/>
  <c r="P100" i="8"/>
  <c r="P99" i="8"/>
  <c r="P98" i="8"/>
  <c r="P97" i="8"/>
  <c r="P96" i="8"/>
  <c r="P95" i="8"/>
  <c r="P94" i="8"/>
  <c r="D94" i="8"/>
  <c r="P93" i="8"/>
  <c r="D93" i="8"/>
  <c r="P92" i="8"/>
  <c r="D92" i="8"/>
  <c r="P91" i="8"/>
  <c r="D91" i="8"/>
  <c r="P90" i="8"/>
  <c r="D90" i="8"/>
  <c r="P89" i="8"/>
  <c r="D89" i="8"/>
  <c r="P88" i="8"/>
  <c r="D88" i="8"/>
  <c r="P87" i="8"/>
  <c r="D87" i="8"/>
  <c r="P86" i="8"/>
  <c r="P85" i="8"/>
  <c r="P84" i="8"/>
  <c r="P83" i="8"/>
  <c r="D83" i="8"/>
  <c r="P82" i="8"/>
  <c r="D82" i="8"/>
  <c r="P81" i="8"/>
  <c r="D81" i="8"/>
  <c r="P80" i="8"/>
  <c r="P79" i="8"/>
  <c r="P78" i="8"/>
  <c r="P77" i="8"/>
  <c r="P76" i="8"/>
  <c r="P75" i="8"/>
  <c r="P74" i="8"/>
  <c r="P73" i="8"/>
  <c r="D73" i="8"/>
  <c r="P72" i="8"/>
  <c r="D72" i="8"/>
  <c r="P71" i="8"/>
  <c r="D71" i="8"/>
  <c r="P70" i="8"/>
  <c r="D70" i="8"/>
  <c r="P69" i="8"/>
  <c r="D69" i="8"/>
  <c r="P68" i="8"/>
  <c r="D68" i="8"/>
  <c r="P67" i="8"/>
  <c r="D67" i="8"/>
  <c r="P66" i="8"/>
  <c r="D66" i="8"/>
  <c r="P65" i="8"/>
  <c r="D65" i="8"/>
  <c r="P64" i="8"/>
  <c r="D64" i="8"/>
  <c r="P63" i="8"/>
  <c r="D63" i="8"/>
  <c r="P62" i="8"/>
  <c r="D62" i="8"/>
  <c r="P61" i="8"/>
  <c r="D61" i="8"/>
  <c r="P60" i="8"/>
  <c r="D60" i="8"/>
  <c r="P59" i="8"/>
  <c r="D59" i="8"/>
  <c r="P58" i="8"/>
  <c r="D58" i="8"/>
  <c r="P57" i="8"/>
  <c r="D57" i="8"/>
  <c r="P56" i="8"/>
  <c r="D56" i="8"/>
  <c r="P55" i="8"/>
  <c r="D55" i="8"/>
  <c r="P54" i="8"/>
  <c r="D54" i="8"/>
  <c r="P53" i="8"/>
  <c r="D53" i="8"/>
  <c r="P52" i="8"/>
  <c r="D52" i="8"/>
  <c r="P51" i="8"/>
  <c r="D51" i="8"/>
  <c r="P50" i="8"/>
  <c r="D50" i="8"/>
  <c r="P49" i="8"/>
  <c r="D49" i="8"/>
  <c r="P48" i="8"/>
  <c r="D48" i="8"/>
  <c r="P47" i="8"/>
  <c r="D47" i="8"/>
  <c r="P46" i="8"/>
  <c r="D46" i="8"/>
  <c r="P45" i="8"/>
  <c r="D45" i="8"/>
  <c r="P44" i="8"/>
  <c r="D44" i="8"/>
  <c r="P43" i="8"/>
  <c r="D43" i="8"/>
  <c r="P42" i="8"/>
  <c r="D42" i="8"/>
  <c r="P41" i="8"/>
  <c r="D41" i="8"/>
  <c r="P40" i="8"/>
  <c r="D40" i="8"/>
  <c r="P39" i="8"/>
  <c r="D39" i="8"/>
  <c r="P38" i="8"/>
  <c r="D38" i="8"/>
  <c r="P37" i="8"/>
  <c r="P36" i="8"/>
  <c r="D36" i="8"/>
  <c r="P35" i="8"/>
  <c r="D35" i="8"/>
  <c r="P34" i="8"/>
  <c r="D34" i="8"/>
  <c r="P33" i="8"/>
  <c r="D33" i="8"/>
  <c r="P32" i="8"/>
  <c r="D32" i="8"/>
  <c r="P31" i="8"/>
  <c r="D31" i="8"/>
  <c r="P30" i="8"/>
  <c r="D30" i="8"/>
  <c r="P29" i="8"/>
  <c r="D29" i="8"/>
  <c r="P28" i="8"/>
  <c r="D28" i="8"/>
  <c r="P27" i="8"/>
  <c r="D27" i="8"/>
  <c r="P26" i="8"/>
  <c r="D26" i="8"/>
  <c r="P25" i="8"/>
  <c r="D25" i="8"/>
  <c r="P24" i="8"/>
  <c r="D24" i="8"/>
  <c r="P23" i="8"/>
  <c r="D23" i="8"/>
  <c r="P22" i="8"/>
  <c r="D22" i="8"/>
  <c r="P21" i="8"/>
  <c r="D21" i="8"/>
  <c r="P20" i="8"/>
  <c r="D20" i="8"/>
  <c r="P19" i="8"/>
  <c r="D19" i="8"/>
  <c r="P18" i="8"/>
  <c r="D18" i="8"/>
  <c r="P17" i="8"/>
  <c r="D17" i="8"/>
  <c r="P16" i="8"/>
  <c r="D16" i="8"/>
  <c r="P15" i="8"/>
  <c r="D15" i="8"/>
  <c r="P14" i="8"/>
  <c r="D14" i="8"/>
  <c r="P13" i="8"/>
  <c r="D13" i="8"/>
  <c r="P12" i="8"/>
  <c r="D12" i="8"/>
  <c r="P11" i="8"/>
  <c r="P10" i="8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</calcChain>
</file>

<file path=xl/sharedStrings.xml><?xml version="1.0" encoding="utf-8"?>
<sst xmlns="http://schemas.openxmlformats.org/spreadsheetml/2006/main" count="45922" uniqueCount="6127">
  <si>
    <t>资产期初导入数据收集模板（以前年度购置）</t>
    <phoneticPr fontId="5" type="noConversion"/>
  </si>
  <si>
    <t>字段</t>
    <phoneticPr fontId="5" type="noConversion"/>
  </si>
  <si>
    <t>资产类型
Asset class</t>
    <phoneticPr fontId="5" type="noConversion"/>
  </si>
  <si>
    <t>公司代码
Company Code</t>
    <phoneticPr fontId="5" type="noConversion"/>
  </si>
  <si>
    <t>资产描述
Description</t>
    <phoneticPr fontId="5" type="noConversion"/>
  </si>
  <si>
    <t>主号文本
Asset Main No. Text</t>
    <phoneticPr fontId="5" type="noConversion"/>
  </si>
  <si>
    <t>序列号
Serial number</t>
    <phoneticPr fontId="5" type="noConversion"/>
  </si>
  <si>
    <t>库存编号
Inventory number</t>
    <phoneticPr fontId="5" type="noConversion"/>
  </si>
  <si>
    <t>库存标记
Inventory indicator</t>
    <phoneticPr fontId="5" type="noConversion"/>
  </si>
  <si>
    <t>资产资本化日期
Capitalized on</t>
    <phoneticPr fontId="5" type="noConversion"/>
  </si>
  <si>
    <t>成本中心
Cost center</t>
    <phoneticPr fontId="5" type="noConversion"/>
  </si>
  <si>
    <t>责任成本中心
Resp. Cost center</t>
    <phoneticPr fontId="5" type="noConversion"/>
  </si>
  <si>
    <t>位置Location</t>
    <phoneticPr fontId="5" type="noConversion"/>
  </si>
  <si>
    <t>WBS元素
WBS element</t>
    <phoneticPr fontId="5" type="noConversion"/>
  </si>
  <si>
    <t>折旧范围
Dep area</t>
    <phoneticPr fontId="5" type="noConversion"/>
  </si>
  <si>
    <t>折旧码
Dep key</t>
    <phoneticPr fontId="5" type="noConversion"/>
  </si>
  <si>
    <t>折旧开始时间
Dep from</t>
    <phoneticPr fontId="5" type="noConversion"/>
  </si>
  <si>
    <t>折旧结束期间
Dep to</t>
    <phoneticPr fontId="5" type="noConversion"/>
  </si>
  <si>
    <t>使用年限
Useful life</t>
    <phoneticPr fontId="5" type="noConversion"/>
  </si>
  <si>
    <t>使用期间
Period</t>
    <phoneticPr fontId="5" type="noConversion"/>
  </si>
  <si>
    <t>累计购置价值
Cumulative APC</t>
    <phoneticPr fontId="5" type="noConversion"/>
  </si>
  <si>
    <t>累计普通折旧
Accum Ordinary Depreciation</t>
    <phoneticPr fontId="5" type="noConversion"/>
  </si>
  <si>
    <t>本年已计提折旧
Posted Ordinary Dep for the Year</t>
    <phoneticPr fontId="5" type="noConversion"/>
  </si>
  <si>
    <t>本年新增购置值</t>
    <phoneticPr fontId="5" type="noConversion"/>
  </si>
  <si>
    <t>新增价值日期</t>
    <phoneticPr fontId="5" type="noConversion"/>
  </si>
  <si>
    <t>状态</t>
    <phoneticPr fontId="5" type="noConversion"/>
  </si>
  <si>
    <t>Required</t>
  </si>
  <si>
    <t>Optional</t>
    <phoneticPr fontId="5" type="noConversion"/>
  </si>
  <si>
    <t>Optional</t>
  </si>
  <si>
    <t>Required</t>
    <phoneticPr fontId="5" type="noConversion"/>
  </si>
  <si>
    <t>20000-交通运输设备
51000-长期待摊费用-装修
…</t>
    <phoneticPr fontId="5" type="noConversion"/>
  </si>
  <si>
    <t>资产描述，最长50个字符。一个汉字、字母、符号都算一个字符</t>
    <phoneticPr fontId="5" type="noConversion"/>
  </si>
  <si>
    <t>输入相应的付款表单</t>
    <phoneticPr fontId="5" type="noConversion"/>
  </si>
  <si>
    <t>资产的序列号，供应商唯一确定一个资产</t>
    <phoneticPr fontId="1" type="noConversion"/>
  </si>
  <si>
    <t>所有资产都填“X”</t>
    <phoneticPr fontId="5" type="noConversion"/>
  </si>
  <si>
    <t>对应资产的使用部门
在建工程不需要填写</t>
    <phoneticPr fontId="5" type="noConversion"/>
  </si>
  <si>
    <t>实际管理此资产的部门</t>
    <phoneticPr fontId="5" type="noConversion"/>
  </si>
  <si>
    <t>若无可不填入</t>
    <phoneticPr fontId="5" type="noConversion"/>
  </si>
  <si>
    <t>根据不同的会计准则，根据实际填写</t>
    <phoneticPr fontId="5" type="noConversion"/>
  </si>
  <si>
    <t>根据不同准则资产有不同使用年限，请根据实际情况填写
无形资产、长摊费用等也需要填写</t>
    <phoneticPr fontId="5" type="noConversion"/>
  </si>
  <si>
    <t>若资产使用年限为5年6个月，则在此填入6，若刚好为整数年份，则为空即可</t>
    <phoneticPr fontId="5" type="noConversion"/>
  </si>
  <si>
    <t>到2017.12.31为止的资产累计折旧，即以前年度折旧</t>
    <phoneticPr fontId="5" type="noConversion"/>
  </si>
  <si>
    <t>某些资产有本年度增值的业务，请在这里输入新增部分的价值</t>
    <phoneticPr fontId="5" type="noConversion"/>
  </si>
  <si>
    <t>某些资产有本年度增值的业务，请在这里输入新增价值的日期</t>
    <phoneticPr fontId="5" type="noConversion"/>
  </si>
  <si>
    <t>举例</t>
    <phoneticPr fontId="5" type="noConversion"/>
  </si>
  <si>
    <t>CN10</t>
    <phoneticPr fontId="5" type="noConversion"/>
  </si>
  <si>
    <t>平板电脑</t>
    <phoneticPr fontId="5" type="noConversion"/>
  </si>
  <si>
    <t>X</t>
    <phoneticPr fontId="5" type="noConversion"/>
  </si>
  <si>
    <t>资产期初导入数据收集模板（本年购置）</t>
    <phoneticPr fontId="5" type="noConversion"/>
  </si>
  <si>
    <t>资产资本化日期（即资产价值日）
Capitalized on</t>
    <phoneticPr fontId="5" type="noConversion"/>
  </si>
  <si>
    <t>折旧范围
Depreciation area</t>
    <phoneticPr fontId="5" type="noConversion"/>
  </si>
  <si>
    <t>折旧码
Depreciation key</t>
    <phoneticPr fontId="5" type="noConversion"/>
  </si>
  <si>
    <t>折旧开始时间</t>
    <phoneticPr fontId="5" type="noConversion"/>
  </si>
  <si>
    <t>资产交易类型
Transaction Type</t>
    <phoneticPr fontId="5" type="noConversion"/>
  </si>
  <si>
    <t>购置价值
APC</t>
    <phoneticPr fontId="5" type="noConversion"/>
  </si>
  <si>
    <t>不填</t>
    <phoneticPr fontId="5" type="noConversion"/>
  </si>
  <si>
    <t>全部资产填写100</t>
    <phoneticPr fontId="5" type="noConversion"/>
  </si>
  <si>
    <t>本年购买资产价值</t>
    <phoneticPr fontId="5" type="noConversion"/>
  </si>
  <si>
    <t>CN10</t>
  </si>
  <si>
    <r>
      <t xml:space="preserve"> 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- CHO</t>
    </r>
  </si>
  <si>
    <t>友邦保险有限公司中国区总部</t>
  </si>
  <si>
    <t>AIA COMPANY LIMITED CHO</t>
  </si>
  <si>
    <t>CN11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</si>
  <si>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上海分公司</t>
    </r>
  </si>
  <si>
    <t>友邦保险有限公司上海分公司</t>
  </si>
  <si>
    <t>AIA COMPANY LIMITED SHANGHAI BRANCH</t>
  </si>
  <si>
    <t>CN12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</si>
  <si>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北京分公司</t>
    </r>
  </si>
  <si>
    <t>友邦保险有限公司北京分公司</t>
  </si>
  <si>
    <t>AIA COMPANY LIMITED BEIJING BRANCH</t>
  </si>
  <si>
    <t>CN13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</si>
  <si>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江苏分公司</t>
    </r>
  </si>
  <si>
    <t>友邦保险有限公司江苏分公司</t>
  </si>
  <si>
    <t>AIA COMPANY LIMITED JIANGSU BRANCH</t>
  </si>
  <si>
    <t>CN14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</si>
  <si>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广东分公司</t>
    </r>
  </si>
  <si>
    <t>友邦保险有限公司广东分公司</t>
  </si>
  <si>
    <t>AIA COMPANY LIMITED GUANGDONG BRANCH</t>
  </si>
  <si>
    <t>CN15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</si>
  <si>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东莞支公司</t>
    </r>
  </si>
  <si>
    <t>友邦保险有限公司东莞支公司</t>
  </si>
  <si>
    <t>AIA COMPANY LIMITED DONGGUAN SUB-BRANCH</t>
  </si>
  <si>
    <t>CN16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</si>
  <si>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江门支公司</t>
    </r>
  </si>
  <si>
    <t>友邦保险有限公司江门支公司</t>
  </si>
  <si>
    <t>AIA COMPANY LIMITED JIANGMEN SUB-BRANCH</t>
  </si>
  <si>
    <t>CN17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</si>
  <si>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深圳分公司</t>
    </r>
  </si>
  <si>
    <t>友邦保险有限公司深圳分公司</t>
  </si>
  <si>
    <t>AIA COMPANY LIMITED SHENZHEN BRANCH</t>
  </si>
  <si>
    <t>Company Code</t>
    <phoneticPr fontId="5" type="noConversion"/>
  </si>
  <si>
    <t>Short Description</t>
    <phoneticPr fontId="5" type="noConversion"/>
  </si>
  <si>
    <t>Name(ZH)</t>
    <phoneticPr fontId="5" type="noConversion"/>
  </si>
  <si>
    <t>Name(EN)</t>
    <phoneticPr fontId="5" type="noConversion"/>
  </si>
  <si>
    <t>Chongming (崇明)</t>
  </si>
  <si>
    <t>Fengxian (奉贤)</t>
  </si>
  <si>
    <t>Jiading (嘉定)</t>
  </si>
  <si>
    <t>Nanhui (南汇)</t>
  </si>
  <si>
    <t>Qingpu (青浦)</t>
  </si>
  <si>
    <t>Songjiang (松江)</t>
  </si>
  <si>
    <t>Wusong (吴淞)</t>
  </si>
  <si>
    <t>Zhoupu (周浦)</t>
  </si>
  <si>
    <t>Mechanical power equipment</t>
  </si>
  <si>
    <t>机械及动力设备</t>
  </si>
  <si>
    <t>Office equipment-CSD</t>
  </si>
  <si>
    <t>办公设备-CSD</t>
  </si>
  <si>
    <t>Office equipment-IT</t>
  </si>
  <si>
    <t>Financing Lease Office Equipment</t>
  </si>
  <si>
    <t>融资租入固定资产</t>
  </si>
  <si>
    <t>Transportation equipment</t>
  </si>
  <si>
    <t>交通运输设备</t>
  </si>
  <si>
    <t>Electronic Devices</t>
  </si>
  <si>
    <t>电子处理设备</t>
  </si>
  <si>
    <t>Software</t>
  </si>
  <si>
    <t>业务软件</t>
  </si>
  <si>
    <t>CIP - Software</t>
  </si>
  <si>
    <t>在建工程-业务软件</t>
  </si>
  <si>
    <t>CIP - Renovations</t>
  </si>
  <si>
    <t>在建工程-装修</t>
  </si>
  <si>
    <t>Long Term Defer - IT</t>
  </si>
  <si>
    <t>长期待摊费-IT</t>
  </si>
  <si>
    <t>Long Term Defer - Club Membership</t>
  </si>
  <si>
    <t>Asset Class</t>
    <phoneticPr fontId="5" type="noConversion"/>
  </si>
  <si>
    <t>Asset Class Name (EN)</t>
    <phoneticPr fontId="5" type="noConversion"/>
  </si>
  <si>
    <t>Asset Class Name (ZH)</t>
    <phoneticPr fontId="5" type="noConversion"/>
  </si>
  <si>
    <t>F010</t>
  </si>
  <si>
    <t>Shanghai上海</t>
  </si>
  <si>
    <t>F01001</t>
  </si>
  <si>
    <t xml:space="preserve">BUND 17 </t>
  </si>
  <si>
    <t>F01002</t>
  </si>
  <si>
    <t>F01004</t>
  </si>
  <si>
    <t>F01006</t>
  </si>
  <si>
    <t>F01009</t>
  </si>
  <si>
    <t>F01012</t>
  </si>
  <si>
    <t>F01014</t>
  </si>
  <si>
    <t>F01015</t>
  </si>
  <si>
    <t>F01018</t>
  </si>
  <si>
    <t>F01019</t>
  </si>
  <si>
    <t>F01020</t>
  </si>
  <si>
    <t>F020</t>
  </si>
  <si>
    <t>BeiJing 北京</t>
  </si>
  <si>
    <t>Chang'an (长安)</t>
  </si>
  <si>
    <t>F02004</t>
  </si>
  <si>
    <t>Haidian (海淀）</t>
  </si>
  <si>
    <t>F02005</t>
  </si>
  <si>
    <t>Tongzhou (通州)</t>
  </si>
  <si>
    <t>F02008</t>
  </si>
  <si>
    <t>Changping (昌平)</t>
  </si>
  <si>
    <t>TFC(天润财富中心)</t>
  </si>
  <si>
    <t>F030</t>
  </si>
  <si>
    <t>Guangzhou 广州</t>
  </si>
  <si>
    <t>F03001</t>
  </si>
  <si>
    <t>Conghua（从化）</t>
  </si>
  <si>
    <t>F03004</t>
  </si>
  <si>
    <t>Huadu (花都)</t>
  </si>
  <si>
    <t>F03005</t>
  </si>
  <si>
    <t>Huangpu (黄埔)</t>
  </si>
  <si>
    <t>F03006</t>
  </si>
  <si>
    <t>Huiyang (惠阳)</t>
  </si>
  <si>
    <t>F03007</t>
  </si>
  <si>
    <t>Huizhou (惠州)</t>
  </si>
  <si>
    <t>F03008</t>
  </si>
  <si>
    <t>Jietai (捷泰）</t>
  </si>
  <si>
    <t>F03010</t>
  </si>
  <si>
    <t>Maoming (茂名)</t>
  </si>
  <si>
    <t>F03011</t>
  </si>
  <si>
    <t>Panyu (番禺)</t>
  </si>
  <si>
    <t>F03012</t>
  </si>
  <si>
    <t>Qingyuan (清远)</t>
  </si>
  <si>
    <t>F03013</t>
  </si>
  <si>
    <t>Shantou (汕头)</t>
  </si>
  <si>
    <t>F03014</t>
  </si>
  <si>
    <t>Sihui (四会)</t>
  </si>
  <si>
    <t>F03016</t>
  </si>
  <si>
    <t>Xiaolan (小榄）</t>
  </si>
  <si>
    <t>F03017</t>
  </si>
  <si>
    <t>Ximengkou (西门口)</t>
  </si>
  <si>
    <t>F03019</t>
  </si>
  <si>
    <t>Xintang (新塘)</t>
  </si>
  <si>
    <t>F03021</t>
  </si>
  <si>
    <t>Zhanjiang (湛江)</t>
  </si>
  <si>
    <t>F03022</t>
  </si>
  <si>
    <t>Zhaoqing (肇庆)</t>
  </si>
  <si>
    <t>F03024</t>
  </si>
  <si>
    <t>Zhongshan（中山）</t>
  </si>
  <si>
    <t>F03026</t>
  </si>
  <si>
    <t>Zhuhai（珠海）</t>
  </si>
  <si>
    <t>F03035</t>
  </si>
  <si>
    <t>F03036</t>
  </si>
  <si>
    <t>F03037</t>
  </si>
  <si>
    <t>F031</t>
  </si>
  <si>
    <t>F03102</t>
  </si>
  <si>
    <t>Compliance</t>
  </si>
  <si>
    <t>F03104</t>
  </si>
  <si>
    <t>F03105</t>
  </si>
  <si>
    <t>F03106</t>
  </si>
  <si>
    <t>F03107</t>
  </si>
  <si>
    <t>F03108</t>
  </si>
  <si>
    <t>F03109</t>
  </si>
  <si>
    <t>Finance</t>
  </si>
  <si>
    <t>Marketing</t>
  </si>
  <si>
    <t>F032</t>
  </si>
  <si>
    <t>DongGang 东莞</t>
  </si>
  <si>
    <t>F03201</t>
  </si>
  <si>
    <t>F03203</t>
  </si>
  <si>
    <t>F03208</t>
  </si>
  <si>
    <t>F03212</t>
  </si>
  <si>
    <t>F03213</t>
  </si>
  <si>
    <t>F03218</t>
  </si>
  <si>
    <t>F03219</t>
  </si>
  <si>
    <t>F03221</t>
  </si>
  <si>
    <t>F033</t>
  </si>
  <si>
    <t>JiangMen 江门</t>
  </si>
  <si>
    <t>F03301</t>
  </si>
  <si>
    <t>F03302</t>
  </si>
  <si>
    <t>F03303</t>
  </si>
  <si>
    <t>F03304</t>
  </si>
  <si>
    <t>F03305</t>
  </si>
  <si>
    <t>F03306</t>
  </si>
  <si>
    <t>F03307</t>
  </si>
  <si>
    <t>F034</t>
  </si>
  <si>
    <t>FoShan 佛山</t>
  </si>
  <si>
    <t>F03403</t>
  </si>
  <si>
    <t>Daliang I(大良1)</t>
  </si>
  <si>
    <t>F03404</t>
  </si>
  <si>
    <t>Daliang II (大良II)</t>
  </si>
  <si>
    <t>F03405</t>
  </si>
  <si>
    <t>Gaoming (高明)</t>
  </si>
  <si>
    <t>F03408</t>
  </si>
  <si>
    <t>Lecong (乐从)</t>
  </si>
  <si>
    <t>F03409</t>
  </si>
  <si>
    <t>Leliu (勒流)</t>
  </si>
  <si>
    <t>F03411</t>
  </si>
  <si>
    <t>Ronggui(容桂)</t>
  </si>
  <si>
    <t>F03412</t>
  </si>
  <si>
    <t>Sanshui (三水)</t>
  </si>
  <si>
    <t>F03414</t>
  </si>
  <si>
    <t>Xingtan(杏坛)</t>
  </si>
  <si>
    <t>F03416</t>
  </si>
  <si>
    <t>Xiqiao(西樵)</t>
  </si>
  <si>
    <t>JiangSu 江苏</t>
  </si>
  <si>
    <t>F040</t>
  </si>
  <si>
    <t>南京</t>
  </si>
  <si>
    <t>F04001</t>
  </si>
  <si>
    <t>Nanjing (南京)</t>
  </si>
  <si>
    <t>F04002</t>
  </si>
  <si>
    <t>Xinjiekou (新街口)</t>
  </si>
  <si>
    <t>F04003</t>
  </si>
  <si>
    <t>F04004</t>
  </si>
  <si>
    <t>Jiangning (江宁)</t>
  </si>
  <si>
    <t>F041</t>
  </si>
  <si>
    <t>苏州</t>
  </si>
  <si>
    <t>F04101</t>
  </si>
  <si>
    <t>Ganjiang (干将)</t>
  </si>
  <si>
    <t>F04102</t>
  </si>
  <si>
    <t>Wujiang (吴江)</t>
  </si>
  <si>
    <t>F04103</t>
  </si>
  <si>
    <t>Kunshan (昆山)</t>
  </si>
  <si>
    <t>F04104</t>
  </si>
  <si>
    <t>Taicang (太仓)</t>
  </si>
  <si>
    <t>F04105</t>
  </si>
  <si>
    <t>Changshu (常熟)</t>
  </si>
  <si>
    <t>F04106</t>
  </si>
  <si>
    <t>Zhang Jiagang(张家港)</t>
  </si>
  <si>
    <t>F04107</t>
  </si>
  <si>
    <t>Shengze(盛泽)</t>
  </si>
  <si>
    <t>F04108</t>
  </si>
  <si>
    <t>SIP(苏州工业园区)</t>
  </si>
  <si>
    <t>F04109</t>
  </si>
  <si>
    <t>SND(苏州新区)</t>
  </si>
  <si>
    <t>F04110</t>
  </si>
  <si>
    <t>Luzhi (甪直)</t>
  </si>
  <si>
    <t>F04111</t>
  </si>
  <si>
    <t>Canglang (沧浪)</t>
  </si>
  <si>
    <t>F042</t>
  </si>
  <si>
    <t>无锡</t>
  </si>
  <si>
    <t>F04201</t>
  </si>
  <si>
    <t>Wuxi(无锡)</t>
  </si>
  <si>
    <t>F04202</t>
  </si>
  <si>
    <t>Jiangyin (江阴)</t>
  </si>
  <si>
    <t>F04203</t>
  </si>
  <si>
    <t>Yixing(宜兴)</t>
  </si>
  <si>
    <t>扬州</t>
  </si>
  <si>
    <t>Yangzhou (扬州)</t>
  </si>
  <si>
    <t>徐州</t>
  </si>
  <si>
    <t>Xuzhou(徐州)</t>
  </si>
  <si>
    <t>Peixian (沛县)</t>
  </si>
  <si>
    <t>泰州</t>
  </si>
  <si>
    <t>Taizhou (泰州)</t>
  </si>
  <si>
    <t>南通</t>
  </si>
  <si>
    <t>Nantong (南通)</t>
  </si>
  <si>
    <t>Qidong (启东)</t>
  </si>
  <si>
    <t>Hai'an（海安）</t>
  </si>
  <si>
    <t>常州</t>
  </si>
  <si>
    <t>Changzhou (常州)</t>
  </si>
  <si>
    <t>Code</t>
    <phoneticPr fontId="5" type="noConversion"/>
  </si>
  <si>
    <t>Name</t>
    <phoneticPr fontId="5" type="noConversion"/>
  </si>
  <si>
    <t>对应资产的存放地点
F01022-长泰广场
...</t>
    <phoneticPr fontId="5" type="noConversion"/>
  </si>
  <si>
    <t>F01022</t>
    <phoneticPr fontId="5" type="noConversion"/>
  </si>
  <si>
    <t>公司代码详见sheet 
"company code "</t>
    <phoneticPr fontId="4" type="noConversion"/>
  </si>
  <si>
    <t>CN01</t>
  </si>
  <si>
    <t>Depreciation from next month</t>
  </si>
  <si>
    <t>CN02</t>
  </si>
  <si>
    <t>Depreciation from current month</t>
  </si>
  <si>
    <t>0000</t>
    <phoneticPr fontId="5" type="noConversion"/>
  </si>
  <si>
    <t>Depreciation KEY</t>
    <phoneticPr fontId="5" type="noConversion"/>
  </si>
  <si>
    <t>Description</t>
    <phoneticPr fontId="5" type="noConversion"/>
  </si>
  <si>
    <t>No Depreciation(for CIP)</t>
    <phoneticPr fontId="5" type="noConversion"/>
  </si>
  <si>
    <t>IFRS17 – 0L</t>
  </si>
  <si>
    <t>HKOCI</t>
  </si>
  <si>
    <t>New CAS</t>
  </si>
  <si>
    <t>Old CAS</t>
  </si>
  <si>
    <t>IFRS4</t>
  </si>
  <si>
    <t>C-Ross</t>
  </si>
  <si>
    <t>ANW-S</t>
  </si>
  <si>
    <t>ANW-I (D2)</t>
  </si>
  <si>
    <t>EC EBS (D3)</t>
  </si>
  <si>
    <t>Ber EBS (D4)</t>
  </si>
  <si>
    <t>Parallel Ledger</t>
    <phoneticPr fontId="5" type="noConversion"/>
  </si>
  <si>
    <t>Dep Area</t>
    <phoneticPr fontId="5" type="noConversion"/>
  </si>
  <si>
    <t>CN01</t>
    <phoneticPr fontId="5" type="noConversion"/>
  </si>
  <si>
    <t>一个资产要标明所有折旧范围下的原值、使用年限,同以前年度</t>
    <phoneticPr fontId="5" type="noConversion"/>
  </si>
  <si>
    <t xml:space="preserve">资产验收合格入库的时间点即为资本化日期
</t>
    <phoneticPr fontId="5" type="noConversion"/>
  </si>
  <si>
    <t>工厂
Plant</t>
    <phoneticPr fontId="4" type="noConversion"/>
  </si>
  <si>
    <t>对应资产放置的省份地点
F010-上海</t>
    <phoneticPr fontId="4" type="noConversion"/>
  </si>
  <si>
    <t>F010</t>
    <phoneticPr fontId="4" type="noConversion"/>
  </si>
  <si>
    <t>China New CAS (IFRS17)</t>
  </si>
  <si>
    <t>长度</t>
    <phoneticPr fontId="4" type="noConversion"/>
  </si>
  <si>
    <t>CN01-下月开始折旧
CN02-本月开始折旧
0000-不折旧</t>
    <phoneticPr fontId="5" type="noConversion"/>
  </si>
  <si>
    <t xml:space="preserve">Book depreciation for IFRS17 </t>
  </si>
  <si>
    <t>Book depreciation for IFRS tax</t>
  </si>
  <si>
    <t xml:space="preserve">Book depreciation for HKOCI </t>
  </si>
  <si>
    <t>Book depreciation for HKOCI - group currency (USD)</t>
  </si>
  <si>
    <t>Book depreciation for HKOCI - index currency (CNY)</t>
  </si>
  <si>
    <t>Book depreciation for New CAS</t>
  </si>
  <si>
    <t>Book depreciation for New CAS - group currency (USD)</t>
  </si>
  <si>
    <t>Book depreciation for New CAS - index currency (CNY)</t>
  </si>
  <si>
    <t>Book depreciation for New CAS tax</t>
  </si>
  <si>
    <t>Book depreciation for China New CAS (IFRS17)</t>
  </si>
  <si>
    <t>Book depreciation for China New CAS (IFRS17) - group currency (USD)</t>
  </si>
  <si>
    <t>Book depreciation for China New CAS (IFRS17)- index currency (CNY)</t>
  </si>
  <si>
    <t>Book depreciation for Old CAS</t>
  </si>
  <si>
    <t>Book depreciation for Old CAS- group currency (USD)</t>
  </si>
  <si>
    <t>Book depreciation for Old CAS- index currency (CNY)</t>
  </si>
  <si>
    <t>Book depreciation for IFRS4</t>
  </si>
  <si>
    <t>Book depreciation for IFRS4- group currency (USD)</t>
  </si>
  <si>
    <t>Book depreciation for IFRS4- index currency (CNY)</t>
  </si>
  <si>
    <t xml:space="preserve">Book depreciation for C-Ross </t>
  </si>
  <si>
    <t>Book depreciation for C-Ross - group currency (USD)</t>
  </si>
  <si>
    <t xml:space="preserve">Book depreciation for C-Ross - index currency (CNY) </t>
  </si>
  <si>
    <t>Book depreciation for ANW-S (D1)</t>
  </si>
  <si>
    <t>Book depreciation for ANW-S (D1) - group currency (USD)</t>
  </si>
  <si>
    <t xml:space="preserve">Book depreciation for ANW-S (D1) - index currency (CNY) </t>
  </si>
  <si>
    <t>Book depreciation for  ANW-I (D2)</t>
  </si>
  <si>
    <t>Book depreciation for  ANW-I (D2) - group currency (USD)</t>
  </si>
  <si>
    <t xml:space="preserve">Book depreciation for  ANW-I (D2) - index currency (CNY) </t>
  </si>
  <si>
    <t>Book depreciation for  EC EBS (D3)</t>
  </si>
  <si>
    <t>Book depreciation for  EC EBS (D3) - group currency (USD)</t>
  </si>
  <si>
    <t xml:space="preserve">Book depreciation for  EC EBS (D3) - index currency (CNY) </t>
  </si>
  <si>
    <t>Book depreciation for  Ber EBS (D4)</t>
  </si>
  <si>
    <t>Book depreciation for  Ber EBS (D4) - group currency (USD)</t>
  </si>
  <si>
    <t xml:space="preserve">Book depreciation for  Ber EBS (D4) - index currency (CNY) </t>
  </si>
  <si>
    <t>Book depreciation for IFRS - group currency (USD)</t>
    <phoneticPr fontId="4" type="noConversion"/>
  </si>
  <si>
    <t>Book depreciation for IFRS - index currency (CNY)</t>
    <phoneticPr fontId="4" type="noConversion"/>
  </si>
  <si>
    <t>从2018年1月到5月的资产折旧总和，即本年计提折旧</t>
    <phoneticPr fontId="5" type="noConversion"/>
  </si>
  <si>
    <t>子资产编号</t>
  </si>
  <si>
    <t>子资产编号</t>
    <phoneticPr fontId="4" type="noConversion"/>
  </si>
  <si>
    <t>办公设备-IT</t>
  </si>
  <si>
    <t>Software Costs</t>
  </si>
  <si>
    <t>软件使用权</t>
  </si>
  <si>
    <t>Long Term Defer - Renovations</t>
  </si>
  <si>
    <t>长期待摊费-装修</t>
  </si>
  <si>
    <t>Long Term Defer - Furniture</t>
  </si>
  <si>
    <t>长期待摊费-家具</t>
  </si>
  <si>
    <t>CIP - Asset in Transit</t>
  </si>
  <si>
    <t>在建工程-在途资产</t>
  </si>
  <si>
    <t>长期待摊费-俱乐部会员</t>
  </si>
  <si>
    <t>Controlling Area</t>
  </si>
  <si>
    <t>Cost Center</t>
  </si>
  <si>
    <t>Valid From</t>
  </si>
  <si>
    <t>Valid To</t>
  </si>
  <si>
    <t>Cost Center Name
(Length 20 digits)</t>
  </si>
  <si>
    <t>Cost Center Description
(Length 40 digits)</t>
  </si>
  <si>
    <t>Person Responsible</t>
  </si>
  <si>
    <t>Cost Center Category</t>
  </si>
  <si>
    <t>Hierarchy group</t>
  </si>
  <si>
    <t>Company Code</t>
  </si>
  <si>
    <t>Business Area
(Group Channel)</t>
  </si>
  <si>
    <t>Currency</t>
  </si>
  <si>
    <t>Profit Center
(LOB)</t>
  </si>
  <si>
    <t>APCN</t>
  </si>
  <si>
    <t>1000SM01</t>
  </si>
  <si>
    <t>2018.01.01</t>
  </si>
  <si>
    <t>9999.12.31</t>
  </si>
  <si>
    <t>CEO office</t>
    <phoneticPr fontId="13" type="noConversion"/>
  </si>
  <si>
    <t>AIA China</t>
    <phoneticPr fontId="13" type="noConversion"/>
  </si>
  <si>
    <t>CN10000000</t>
    <phoneticPr fontId="14" type="noConversion"/>
  </si>
  <si>
    <t>C010</t>
  </si>
  <si>
    <t>CNY</t>
  </si>
  <si>
    <t>LN999</t>
    <phoneticPr fontId="14" type="noConversion"/>
  </si>
  <si>
    <t>1000SM02</t>
  </si>
  <si>
    <t>RCE office</t>
    <phoneticPr fontId="13" type="noConversion"/>
  </si>
  <si>
    <t>1101SM01</t>
  </si>
  <si>
    <t>GM office</t>
    <phoneticPr fontId="13" type="noConversion"/>
  </si>
  <si>
    <t>CN11000000</t>
    <phoneticPr fontId="14" type="noConversion"/>
  </si>
  <si>
    <t>1201SM01</t>
  </si>
  <si>
    <t>GM office</t>
  </si>
  <si>
    <t>CN12000000</t>
  </si>
  <si>
    <t>1701SM01</t>
  </si>
  <si>
    <t>CN17000000</t>
    <phoneticPr fontId="14" type="noConversion"/>
  </si>
  <si>
    <t>1301SM01</t>
  </si>
  <si>
    <t>CN13000000</t>
    <phoneticPr fontId="14" type="noConversion"/>
  </si>
  <si>
    <t>1401SM01</t>
  </si>
  <si>
    <t>CN14000000</t>
    <phoneticPr fontId="14" type="noConversion"/>
  </si>
  <si>
    <t>1501SM01</t>
  </si>
  <si>
    <t>CN15000000</t>
    <phoneticPr fontId="14" type="noConversion"/>
  </si>
  <si>
    <t>1601SM01</t>
  </si>
  <si>
    <t>CN16000000</t>
    <phoneticPr fontId="14" type="noConversion"/>
  </si>
  <si>
    <t>1000IA01</t>
  </si>
  <si>
    <t>Internal audit</t>
  </si>
  <si>
    <t>1000VS01</t>
  </si>
  <si>
    <t>AMC</t>
  </si>
  <si>
    <t>1301VS01</t>
  </si>
  <si>
    <t>1401VS01</t>
  </si>
  <si>
    <t>1601VS01</t>
  </si>
  <si>
    <t>1201VS01</t>
  </si>
  <si>
    <t>1701VS01</t>
  </si>
  <si>
    <t>1501VS01</t>
  </si>
  <si>
    <t>1000RA01</t>
  </si>
  <si>
    <t>1301RA01</t>
  </si>
  <si>
    <t>1101RA01</t>
  </si>
  <si>
    <t>1401RA01</t>
  </si>
  <si>
    <t>1201RA01</t>
  </si>
  <si>
    <t>1701RA01</t>
  </si>
  <si>
    <t>1000RA02</t>
  </si>
  <si>
    <t>Legal</t>
  </si>
  <si>
    <t>1401RA02</t>
  </si>
  <si>
    <t>1201RA02</t>
  </si>
  <si>
    <t>1701RA02</t>
  </si>
  <si>
    <t>1501RA02</t>
  </si>
  <si>
    <t>1601RA02</t>
  </si>
  <si>
    <t>1000RA03</t>
  </si>
  <si>
    <t>External Affairs</t>
  </si>
  <si>
    <t>1201RA03</t>
  </si>
  <si>
    <t>1701RA03</t>
  </si>
  <si>
    <t>1301RA03</t>
  </si>
  <si>
    <t>1000RA00</t>
  </si>
  <si>
    <t>CRO office</t>
  </si>
  <si>
    <t>1000RA04</t>
  </si>
  <si>
    <t>ERM</t>
  </si>
  <si>
    <t>1201RA04</t>
  </si>
  <si>
    <t>Legal and Corporate Secretary</t>
    <phoneticPr fontId="16" type="noConversion"/>
  </si>
  <si>
    <t>1000MK01</t>
  </si>
  <si>
    <t>Branding &amp; Communication</t>
  </si>
  <si>
    <t>1301MK01</t>
  </si>
  <si>
    <t>1401MK01</t>
  </si>
  <si>
    <t>1601MK01</t>
  </si>
  <si>
    <t>1101MK01</t>
  </si>
  <si>
    <t>1201MK01</t>
  </si>
  <si>
    <t>1701MK01</t>
  </si>
  <si>
    <t>1501MK01</t>
  </si>
  <si>
    <t>1000MK02</t>
  </si>
  <si>
    <t>Branding</t>
  </si>
  <si>
    <t>1101MK02</t>
  </si>
  <si>
    <t>1301MK02</t>
  </si>
  <si>
    <t>1201MK02</t>
  </si>
  <si>
    <t>1701MK02</t>
  </si>
  <si>
    <t>1401MK02</t>
  </si>
  <si>
    <t>1501MK02</t>
  </si>
  <si>
    <t>1601MK02</t>
  </si>
  <si>
    <t>1000MK00</t>
  </si>
  <si>
    <t>CCO office</t>
  </si>
  <si>
    <t>1000MK03</t>
  </si>
  <si>
    <t>Customer Strategy &amp; Planning</t>
  </si>
  <si>
    <t>1000MK04</t>
  </si>
  <si>
    <t>Product &amp; Proposition</t>
  </si>
  <si>
    <t>1000MK05</t>
  </si>
  <si>
    <t>Digital Marketing &amp; Innovations</t>
  </si>
  <si>
    <t>C044</t>
  </si>
  <si>
    <t>1000MK06</t>
  </si>
  <si>
    <t>Customer Engagement</t>
  </si>
  <si>
    <t>1000FA01</t>
  </si>
  <si>
    <t>1101FA01</t>
  </si>
  <si>
    <t>1201FA01</t>
  </si>
  <si>
    <t>1401FA01</t>
  </si>
  <si>
    <t>1701FA01</t>
  </si>
  <si>
    <t>1301FA01</t>
  </si>
  <si>
    <t>1501FA01</t>
  </si>
  <si>
    <t>1601FA01</t>
  </si>
  <si>
    <t>1000FA02</t>
  </si>
  <si>
    <t>Coporate services</t>
  </si>
  <si>
    <t>1101FA02</t>
  </si>
  <si>
    <t>1201FA02</t>
  </si>
  <si>
    <t>1401FA02</t>
  </si>
  <si>
    <t>1601FA02</t>
  </si>
  <si>
    <t>1701FA02</t>
  </si>
  <si>
    <t>1301FA02</t>
  </si>
  <si>
    <t>1501FA02</t>
  </si>
  <si>
    <t>1000FA00</t>
  </si>
  <si>
    <t>CFO office</t>
  </si>
  <si>
    <t>1000FA03</t>
  </si>
  <si>
    <t>Actuarial</t>
  </si>
  <si>
    <t>1000FA04</t>
  </si>
  <si>
    <t>Strategic Development &amp; Planning</t>
  </si>
  <si>
    <t>1000FA05</t>
  </si>
  <si>
    <t>Tax and treasury</t>
  </si>
  <si>
    <t>1000FA06</t>
  </si>
  <si>
    <t>FSSC</t>
  </si>
  <si>
    <t>1000HR01</t>
  </si>
  <si>
    <t>Human resources</t>
  </si>
  <si>
    <t>1101HR01</t>
  </si>
  <si>
    <t>1201HR01</t>
  </si>
  <si>
    <t>1301HR01</t>
  </si>
  <si>
    <t>1401HR01</t>
  </si>
  <si>
    <t>1501HR01</t>
  </si>
  <si>
    <t>1601HR01</t>
  </si>
  <si>
    <t>1701HR01</t>
  </si>
  <si>
    <t>1101IT01</t>
  </si>
  <si>
    <t>Branch IT support</t>
  </si>
  <si>
    <t>1201IT01</t>
  </si>
  <si>
    <t>1401IT01</t>
  </si>
  <si>
    <t>1701IT01</t>
  </si>
  <si>
    <t>1301IT01</t>
  </si>
  <si>
    <t>1501IT01</t>
  </si>
  <si>
    <t>1601IT01</t>
  </si>
  <si>
    <t>1000IT01</t>
  </si>
  <si>
    <t>Technical Service &amp; DC</t>
  </si>
  <si>
    <t>1000IT02</t>
  </si>
  <si>
    <t>Software Development Center</t>
  </si>
  <si>
    <t>1000IT03</t>
  </si>
  <si>
    <t>Mobile Technology</t>
  </si>
  <si>
    <t>1000IT04</t>
  </si>
  <si>
    <t>Architecture &amp; Innovation Center</t>
  </si>
  <si>
    <t>1000IT05</t>
  </si>
  <si>
    <t>IT Governance</t>
  </si>
  <si>
    <t>1000IT06</t>
  </si>
  <si>
    <t>Cloud Solution</t>
  </si>
  <si>
    <t>1000IT07</t>
  </si>
  <si>
    <t>IT Security</t>
  </si>
  <si>
    <t>1000IT08</t>
  </si>
  <si>
    <t>IT Group Life</t>
  </si>
  <si>
    <t>C060</t>
  </si>
  <si>
    <t>GL000</t>
  </si>
  <si>
    <t>1000OP01</t>
  </si>
  <si>
    <t>Management support</t>
  </si>
  <si>
    <t>1000OP02</t>
  </si>
  <si>
    <t>Operations COE</t>
  </si>
  <si>
    <t>1000OP03</t>
  </si>
  <si>
    <t>Operations technology</t>
  </si>
  <si>
    <t>1000OP10</t>
  </si>
  <si>
    <t>Service Innovation</t>
  </si>
  <si>
    <t>1401OP10</t>
  </si>
  <si>
    <t>CN14000000</t>
  </si>
  <si>
    <t>1101OP01</t>
  </si>
  <si>
    <t>Operation-Policy Admin.</t>
  </si>
  <si>
    <t>1101OP02</t>
  </si>
  <si>
    <t>Operation-Customer Service</t>
  </si>
  <si>
    <t>1101OP03</t>
  </si>
  <si>
    <t>Operation-Customer Management</t>
  </si>
  <si>
    <t>1101OP04</t>
  </si>
  <si>
    <t>Operation-Corporate Solutions</t>
  </si>
  <si>
    <t>1201OP01</t>
  </si>
  <si>
    <t>Operation</t>
  </si>
  <si>
    <t>1401OP01</t>
  </si>
  <si>
    <t>1701OP01</t>
  </si>
  <si>
    <t>1501OP01</t>
  </si>
  <si>
    <t>1601OP01</t>
  </si>
  <si>
    <t>1301OP01</t>
  </si>
  <si>
    <t>CN13000000</t>
  </si>
  <si>
    <t>1301OP02</t>
  </si>
  <si>
    <t>U&amp;I</t>
  </si>
  <si>
    <t>1201OP02</t>
  </si>
  <si>
    <t>1401OP02</t>
  </si>
  <si>
    <t>1701OP02</t>
  </si>
  <si>
    <t>1201OP03</t>
  </si>
  <si>
    <t>Claim</t>
  </si>
  <si>
    <t>1401OP03</t>
  </si>
  <si>
    <t>1701OP03</t>
  </si>
  <si>
    <t>1301OP03</t>
  </si>
  <si>
    <t>1501OP03</t>
  </si>
  <si>
    <t>1601OP03</t>
  </si>
  <si>
    <t>1201OP04</t>
  </si>
  <si>
    <t>P O S</t>
  </si>
  <si>
    <t>1401OP04</t>
  </si>
  <si>
    <t>1701OP04</t>
  </si>
  <si>
    <t>1301OP04</t>
  </si>
  <si>
    <t>1501OP04</t>
  </si>
  <si>
    <t>1601OP04</t>
  </si>
  <si>
    <t>1201OP05</t>
  </si>
  <si>
    <t xml:space="preserve">Customer service </t>
  </si>
  <si>
    <t>1401OP05</t>
  </si>
  <si>
    <t>1701OP05</t>
  </si>
  <si>
    <t>1301OP05</t>
    <phoneticPr fontId="13" type="noConversion"/>
  </si>
  <si>
    <t>2018.01.01</t>
    <phoneticPr fontId="13" type="noConversion"/>
  </si>
  <si>
    <t>Operation(Field Support)</t>
    <phoneticPr fontId="13" type="noConversion"/>
  </si>
  <si>
    <t>1201OP06</t>
  </si>
  <si>
    <t>Medical</t>
  </si>
  <si>
    <t>1401OP06</t>
  </si>
  <si>
    <t>1701OP06</t>
  </si>
  <si>
    <t>1201OP07</t>
  </si>
  <si>
    <t>Agent Service</t>
  </si>
  <si>
    <t>1401OP07</t>
  </si>
  <si>
    <t>Operation Support</t>
  </si>
  <si>
    <t>1701OP07</t>
  </si>
  <si>
    <t>Operation service center</t>
  </si>
  <si>
    <t>1201OP08</t>
  </si>
  <si>
    <t>VIP club</t>
  </si>
  <si>
    <t>1401OP08</t>
  </si>
  <si>
    <t>OFO</t>
  </si>
  <si>
    <t>1501OP08</t>
  </si>
  <si>
    <t>1601OP08</t>
  </si>
  <si>
    <t>1201OP09</t>
  </si>
  <si>
    <t>CS operation</t>
  </si>
  <si>
    <t>1401OP09</t>
  </si>
  <si>
    <t>1501OP09</t>
  </si>
  <si>
    <t>1601OP09</t>
  </si>
  <si>
    <t>1000PD04</t>
  </si>
  <si>
    <t>Distribution Strategy and Planning</t>
  </si>
  <si>
    <t>1000PD05</t>
  </si>
  <si>
    <t>Product Initiation &amp; Promotion</t>
  </si>
  <si>
    <t>1000PD06</t>
  </si>
  <si>
    <t>Medical Network Development</t>
  </si>
  <si>
    <t>1000PD01</t>
  </si>
  <si>
    <t>Bancassurance</t>
  </si>
  <si>
    <t>C020</t>
  </si>
  <si>
    <t>1101PD01</t>
  </si>
  <si>
    <t>Parternership Distribution</t>
  </si>
  <si>
    <t>1201PD01</t>
  </si>
  <si>
    <t>1401PD01</t>
  </si>
  <si>
    <t>1701PD01</t>
  </si>
  <si>
    <t>1301PD01</t>
  </si>
  <si>
    <t>Bancassurance(JS)  </t>
  </si>
  <si>
    <t>1302PD01</t>
  </si>
  <si>
    <t>Bancassurance(NJ)  </t>
  </si>
  <si>
    <t>CN13020000</t>
  </si>
  <si>
    <t>1303PD01</t>
  </si>
  <si>
    <t>Bancassurance(SU)  </t>
  </si>
  <si>
    <t>CN13030000</t>
  </si>
  <si>
    <t>1304PD01</t>
  </si>
  <si>
    <t>Bancassurance(WX)  </t>
  </si>
  <si>
    <t>CN13040000</t>
  </si>
  <si>
    <t>1305PD01</t>
  </si>
  <si>
    <t>Bancassurance(YZ)  </t>
  </si>
  <si>
    <t>CN13050000</t>
  </si>
  <si>
    <t>1308PD01</t>
  </si>
  <si>
    <t>Bancassurance(NT)  </t>
  </si>
  <si>
    <t>CN13080000</t>
  </si>
  <si>
    <t>1309PD01</t>
  </si>
  <si>
    <t>Bancassurance(CZ)  </t>
  </si>
  <si>
    <t>CN13090000</t>
  </si>
  <si>
    <t>1310PD01</t>
  </si>
  <si>
    <t>Bancassurance(YC)  </t>
  </si>
  <si>
    <t>CN13100000</t>
  </si>
  <si>
    <t>1501PD01</t>
  </si>
  <si>
    <t>1601PD01</t>
  </si>
  <si>
    <t>1000PD02</t>
  </si>
  <si>
    <t>Banc-Citi</t>
  </si>
  <si>
    <t>C021</t>
  </si>
  <si>
    <t>1101PD02</t>
  </si>
  <si>
    <t>1201PD02</t>
  </si>
  <si>
    <t>1401PD02</t>
  </si>
  <si>
    <t>1701PD02</t>
  </si>
  <si>
    <t>1501PD02</t>
  </si>
  <si>
    <t>1601PD02</t>
  </si>
  <si>
    <t>1000PD03</t>
  </si>
  <si>
    <t>High Net Worth</t>
  </si>
  <si>
    <t>1201PD03</t>
  </si>
  <si>
    <t>1401PD03</t>
  </si>
  <si>
    <t>1301PD03</t>
  </si>
  <si>
    <t>1501PD03</t>
  </si>
  <si>
    <t>1601PD03</t>
  </si>
  <si>
    <t>1101FC01</t>
  </si>
  <si>
    <t>Field coach</t>
  </si>
  <si>
    <t>1201FC01</t>
  </si>
  <si>
    <t>1401FC01</t>
  </si>
  <si>
    <t>1701FC01</t>
  </si>
  <si>
    <t>1301FC01</t>
  </si>
  <si>
    <t>1302FC01</t>
  </si>
  <si>
    <t>1303FC01</t>
  </si>
  <si>
    <t>1304FC01</t>
  </si>
  <si>
    <t>1305FC01</t>
  </si>
  <si>
    <t>1307FC01</t>
  </si>
  <si>
    <t>CN13070000</t>
  </si>
  <si>
    <t>1308FC01</t>
  </si>
  <si>
    <t>1309FC01</t>
  </si>
  <si>
    <t>1310FC01</t>
  </si>
  <si>
    <t>1311FC01</t>
  </si>
  <si>
    <t>CN13110000</t>
  </si>
  <si>
    <t>1501FC01</t>
  </si>
  <si>
    <t>1601FC01</t>
  </si>
  <si>
    <t>1101FC02</t>
  </si>
  <si>
    <t>Field coach-Citi</t>
  </si>
  <si>
    <t>1201FC02</t>
  </si>
  <si>
    <t>1401FC02</t>
  </si>
  <si>
    <t>1701FC02</t>
  </si>
  <si>
    <t>1301FC02</t>
  </si>
  <si>
    <t>1304FC02</t>
  </si>
  <si>
    <t>1501FC02</t>
  </si>
  <si>
    <t>1601FC02</t>
  </si>
  <si>
    <t>1101FC03</t>
  </si>
  <si>
    <t>HNW IS</t>
  </si>
  <si>
    <t>1201FC03</t>
  </si>
  <si>
    <t>1401FC03</t>
  </si>
  <si>
    <t>1701FC03</t>
  </si>
  <si>
    <t>1301FC03</t>
  </si>
  <si>
    <t>1501FC03</t>
  </si>
  <si>
    <t>1601FC03</t>
  </si>
  <si>
    <t>1000AG01</t>
  </si>
  <si>
    <t>Agency development</t>
  </si>
  <si>
    <t>1101AG01</t>
  </si>
  <si>
    <t>Agency Business District C</t>
  </si>
  <si>
    <t>1701AG01</t>
  </si>
  <si>
    <t>1301AG01</t>
  </si>
  <si>
    <t>DOA(JS)</t>
  </si>
  <si>
    <t>1302AG01</t>
  </si>
  <si>
    <t>NJ Agency</t>
  </si>
  <si>
    <t>1303AG01</t>
  </si>
  <si>
    <t>SU Agency</t>
  </si>
  <si>
    <t>1201AG01</t>
  </si>
  <si>
    <t>1402AG01</t>
  </si>
  <si>
    <t>GZ Agency development</t>
  </si>
  <si>
    <t>CN14020000</t>
  </si>
  <si>
    <t>1403AG01</t>
  </si>
  <si>
    <t>FS Agency development</t>
  </si>
  <si>
    <t>CN14030000</t>
  </si>
  <si>
    <t>1601AG01</t>
  </si>
  <si>
    <t>1501AG01</t>
  </si>
  <si>
    <t>1401AG01</t>
  </si>
  <si>
    <t>GD DSSC</t>
  </si>
  <si>
    <t>1000AG02</t>
  </si>
  <si>
    <t>Agency Admin</t>
  </si>
  <si>
    <t>1101AG02</t>
  </si>
  <si>
    <t>1201AG02</t>
  </si>
  <si>
    <t>1301AG02</t>
  </si>
  <si>
    <t>Agency Admin(JS)</t>
  </si>
  <si>
    <t>1303AG02</t>
  </si>
  <si>
    <t>Agency Admin(SU)</t>
  </si>
  <si>
    <t>1401AG02</t>
  </si>
  <si>
    <t>Distribution Admin</t>
  </si>
  <si>
    <t>1501AG02</t>
  </si>
  <si>
    <t>1601AG02</t>
  </si>
  <si>
    <t>1701AG02</t>
  </si>
  <si>
    <t>Agency record</t>
  </si>
  <si>
    <t>1000AG03</t>
  </si>
  <si>
    <t>Agency Training</t>
  </si>
  <si>
    <t>1201AG03</t>
  </si>
  <si>
    <t>1401AG03</t>
  </si>
  <si>
    <t>1701AG03</t>
  </si>
  <si>
    <t>1301AG03</t>
  </si>
  <si>
    <t>Agency Training(JS)</t>
  </si>
  <si>
    <t>1302AG03</t>
  </si>
  <si>
    <t>Agency Training(NJ)</t>
  </si>
  <si>
    <t>1303AG03</t>
  </si>
  <si>
    <t>Agency Training(SU)</t>
  </si>
  <si>
    <t>1403AG03</t>
  </si>
  <si>
    <t>Agency Training(FS)</t>
  </si>
  <si>
    <t>1501AG03</t>
  </si>
  <si>
    <t>1601AG03</t>
  </si>
  <si>
    <t>1101AG03</t>
  </si>
  <si>
    <t>Training &amp; product development</t>
  </si>
  <si>
    <t>1402AG03</t>
    <phoneticPr fontId="13" type="noConversion"/>
  </si>
  <si>
    <r>
      <t>Agency Training</t>
    </r>
    <r>
      <rPr>
        <sz val="10"/>
        <color theme="1"/>
        <rFont val="宋体"/>
        <family val="3"/>
        <charset val="134"/>
      </rPr>
      <t>（</t>
    </r>
    <r>
      <rPr>
        <sz val="11"/>
        <color theme="1"/>
        <rFont val="等线"/>
        <family val="2"/>
        <scheme val="minor"/>
      </rPr>
      <t>GZ</t>
    </r>
    <r>
      <rPr>
        <sz val="10"/>
        <color theme="1"/>
        <rFont val="宋体"/>
        <family val="3"/>
        <charset val="134"/>
      </rPr>
      <t>）</t>
    </r>
    <phoneticPr fontId="13" type="noConversion"/>
  </si>
  <si>
    <t>CN14020000</t>
    <phoneticPr fontId="13" type="noConversion"/>
  </si>
  <si>
    <t>1101AG04</t>
  </si>
  <si>
    <t>Agency Development and Support</t>
  </si>
  <si>
    <t>1201AG04</t>
  </si>
  <si>
    <t>Conservation</t>
  </si>
  <si>
    <t>1301AG04</t>
  </si>
  <si>
    <t>Product promote</t>
  </si>
  <si>
    <t>1302AG04</t>
  </si>
  <si>
    <t>NJ Agency(Agency Services)</t>
  </si>
  <si>
    <t>1401AG04</t>
  </si>
  <si>
    <t>GD Agency Project</t>
  </si>
  <si>
    <t>1701AG04</t>
  </si>
  <si>
    <t>Agency Promotion</t>
  </si>
  <si>
    <t>1201AG05</t>
  </si>
  <si>
    <t>Agency Corporate Solutions</t>
  </si>
  <si>
    <t>1402AG05</t>
  </si>
  <si>
    <t>1403AG05</t>
  </si>
  <si>
    <t>1501AG05</t>
  </si>
  <si>
    <t>1601AG05</t>
  </si>
  <si>
    <t>1101AG05</t>
  </si>
  <si>
    <t>1303AG05</t>
  </si>
  <si>
    <t>Agency Corporate Solutions(SU)</t>
  </si>
  <si>
    <t>1304AG05</t>
  </si>
  <si>
    <t>Agency Corporate Solutions(WX)</t>
  </si>
  <si>
    <t>1307AG05</t>
  </si>
  <si>
    <t>Agency Corporate Solutions(TZ)</t>
  </si>
  <si>
    <t>1308AG05</t>
  </si>
  <si>
    <t>Agency Corporate Solutions(NT)</t>
  </si>
  <si>
    <t>1000AG06</t>
  </si>
  <si>
    <t>Corporate Solutions</t>
  </si>
  <si>
    <t>1101AG06</t>
  </si>
  <si>
    <t>1201AG06</t>
  </si>
  <si>
    <t>1401AG06</t>
  </si>
  <si>
    <t>1701AG06</t>
  </si>
  <si>
    <t>1301AG06</t>
  </si>
  <si>
    <t>GMD(JS)</t>
  </si>
  <si>
    <t>1302AG06</t>
  </si>
  <si>
    <t>GMD(NJ)</t>
  </si>
  <si>
    <t>1501AG06</t>
  </si>
  <si>
    <t>1601AG06</t>
  </si>
  <si>
    <t>1000AG07</t>
  </si>
  <si>
    <t>Agency recruitment &amp; retention</t>
  </si>
  <si>
    <t>1101AG07</t>
  </si>
  <si>
    <t>1201AG07</t>
  </si>
  <si>
    <t>Manpower Development</t>
  </si>
  <si>
    <t>1301AG07</t>
  </si>
  <si>
    <t>1701AG07</t>
  </si>
  <si>
    <t>1000AG08</t>
  </si>
  <si>
    <t>Agency Innovation</t>
  </si>
  <si>
    <t>1000AG09</t>
  </si>
  <si>
    <t>EODB Office</t>
  </si>
  <si>
    <t>1000AG10</t>
  </si>
  <si>
    <t>Operation Shared Center</t>
  </si>
  <si>
    <t>1401AG10</t>
  </si>
  <si>
    <t>1101AG08</t>
  </si>
  <si>
    <t>Agency Business District S</t>
  </si>
  <si>
    <t>1101AG09</t>
  </si>
  <si>
    <t>Agency Business DOA</t>
  </si>
  <si>
    <t>1701AG08</t>
  </si>
  <si>
    <t>Product &amp; Customer Development</t>
  </si>
  <si>
    <t>1101AG99</t>
  </si>
  <si>
    <t>Agency R &amp; R - GOE adjustment</t>
  </si>
  <si>
    <t>1301AG99</t>
  </si>
  <si>
    <t>1201AG99</t>
  </si>
  <si>
    <t>1701AG99</t>
  </si>
  <si>
    <t>1401AG99</t>
  </si>
  <si>
    <t>1501AG99</t>
  </si>
  <si>
    <t>1601AG99</t>
  </si>
  <si>
    <t>1000PD99</t>
  </si>
  <si>
    <t>Direct Marketing</t>
  </si>
  <si>
    <t>C040</t>
  </si>
  <si>
    <t>1101PD99</t>
  </si>
  <si>
    <t>1201PD99</t>
  </si>
  <si>
    <t>1401PD99</t>
  </si>
  <si>
    <t>1701PD99</t>
  </si>
  <si>
    <t>1301PD99</t>
  </si>
  <si>
    <t>1501PD99</t>
  </si>
  <si>
    <t>1601PD99</t>
  </si>
  <si>
    <t>1101AS01</t>
  </si>
  <si>
    <t>Fenxian SSC</t>
  </si>
  <si>
    <t>1101AS02</t>
  </si>
  <si>
    <t>SML SSC</t>
  </si>
  <si>
    <t>1101AS03</t>
  </si>
  <si>
    <t>Congming SSC</t>
  </si>
  <si>
    <t>1101AS04</t>
  </si>
  <si>
    <t>Pudong SSC</t>
  </si>
  <si>
    <t>1101AS05</t>
  </si>
  <si>
    <t>Nanhui SSC</t>
  </si>
  <si>
    <t>1101AS06</t>
  </si>
  <si>
    <t>Jinshan SSC</t>
  </si>
  <si>
    <t>1101AS07</t>
  </si>
  <si>
    <t>Wusong SSC</t>
  </si>
  <si>
    <t>1101AS08</t>
  </si>
  <si>
    <t>Jiading SSC</t>
  </si>
  <si>
    <t>1101AS09</t>
  </si>
  <si>
    <t>Qingpu SSC</t>
  </si>
  <si>
    <t>1101AS10</t>
  </si>
  <si>
    <t>Songjiang SSC</t>
  </si>
  <si>
    <t>1101AS11</t>
  </si>
  <si>
    <t>Zhou pu SSC</t>
  </si>
  <si>
    <t>1201AS01</t>
  </si>
  <si>
    <t>ZongJian1 Adamin TFC 4F</t>
  </si>
  <si>
    <t>1201AS02</t>
  </si>
  <si>
    <t>ZongJian2 Adamin TFC 2F</t>
  </si>
  <si>
    <t>1201AS03</t>
  </si>
  <si>
    <t>Zhixia Admin TFC 2F</t>
  </si>
  <si>
    <t>1201AS04</t>
  </si>
  <si>
    <t>Jiaoqu agency Adamin CP</t>
  </si>
  <si>
    <t>1201AS05</t>
  </si>
  <si>
    <t xml:space="preserve">Jiaoqu agency Adamin TZ </t>
  </si>
  <si>
    <t>1201AS09</t>
  </si>
  <si>
    <t>HNW Office Center</t>
  </si>
  <si>
    <t>1201AS07</t>
  </si>
  <si>
    <t>borui agency Office</t>
  </si>
  <si>
    <t>1201AS06</t>
  </si>
  <si>
    <t>Haidian Taipingyang SSC</t>
  </si>
  <si>
    <t>1201AS08</t>
  </si>
  <si>
    <t>New agency office</t>
  </si>
  <si>
    <t>1303AS01</t>
  </si>
  <si>
    <t>SU District C</t>
  </si>
  <si>
    <t>1303AS03</t>
  </si>
  <si>
    <t>SU District S(Wujiang SSC)</t>
  </si>
  <si>
    <t>1303AS04</t>
  </si>
  <si>
    <t>SU District S(Changshu SSC)</t>
  </si>
  <si>
    <t>1304AS05</t>
  </si>
  <si>
    <t>WX Agency(JS)(Yixing SSC)</t>
  </si>
  <si>
    <t>1303AS05</t>
  </si>
  <si>
    <t>SU District S(Zhangjiagang SSC)</t>
  </si>
  <si>
    <t>1306AS02</t>
  </si>
  <si>
    <t>XZ Agency(JS)(Peixian SSC)</t>
  </si>
  <si>
    <t>CN13060000</t>
  </si>
  <si>
    <t>1306AS03</t>
  </si>
  <si>
    <t>XZ Agency(JS)(LongGu SSC)</t>
  </si>
  <si>
    <t>1303AS06</t>
  </si>
  <si>
    <t>SU District A1(SIP SSC)</t>
  </si>
  <si>
    <t>1302AS03</t>
  </si>
  <si>
    <t>NJ Agency(Jiangning SSC)</t>
  </si>
  <si>
    <t>1303AS07</t>
  </si>
  <si>
    <t>SU District S(Shengze SSC)</t>
  </si>
  <si>
    <t>1308AS01</t>
  </si>
  <si>
    <t>NT Agency(JS)</t>
  </si>
  <si>
    <t>1304AS01</t>
  </si>
  <si>
    <t>WX Agency(JS)</t>
  </si>
  <si>
    <t>1306AS01</t>
  </si>
  <si>
    <t>XZ Agency(JS)</t>
  </si>
  <si>
    <t>1304AS04</t>
  </si>
  <si>
    <t>WX Agency(JS)(Jiangyin SSC)</t>
  </si>
  <si>
    <t>1303AS12</t>
  </si>
  <si>
    <t>SU District S(Taicang SSC)</t>
  </si>
  <si>
    <t>1303AS08</t>
  </si>
  <si>
    <t>SU District A1(Xinghai SSC)</t>
  </si>
  <si>
    <t>1302AS02</t>
  </si>
  <si>
    <t>Zijin SSC2</t>
  </si>
  <si>
    <t>1305AS01</t>
  </si>
  <si>
    <t>YZ Agency(JS)</t>
  </si>
  <si>
    <t>1308AS04</t>
  </si>
  <si>
    <t>NT Agency(JS)(Qidong SSC)</t>
  </si>
  <si>
    <t>1308AS02</t>
  </si>
  <si>
    <t>NT Agency(JS)(Haian SSC)</t>
  </si>
  <si>
    <t>1309AG01</t>
  </si>
  <si>
    <t>CZ Agency(JS)</t>
  </si>
  <si>
    <t>1302AS01</t>
  </si>
  <si>
    <t>Zijin SSC1</t>
  </si>
  <si>
    <t>1307AS01</t>
  </si>
  <si>
    <t>TZ Agency(JS)</t>
  </si>
  <si>
    <t>1303AS11</t>
  </si>
  <si>
    <t>SU District S(Luzhi SSC)</t>
  </si>
  <si>
    <t>1303AS09</t>
  </si>
  <si>
    <t>SU District A1(Xingyao SSC)</t>
  </si>
  <si>
    <t>1303AS10</t>
  </si>
  <si>
    <t>SU District S (SND SSC)</t>
  </si>
  <si>
    <t>1310AS01</t>
  </si>
  <si>
    <t>YC Agency(JS)</t>
  </si>
  <si>
    <t>1311AS01</t>
  </si>
  <si>
    <t>LYG SSC(JS)</t>
  </si>
  <si>
    <t>1307AS02</t>
  </si>
  <si>
    <t>TZ Agency(JS)(JingJiang SSC)</t>
  </si>
  <si>
    <t>1304AS03</t>
  </si>
  <si>
    <t>WX Agency(JS)(HuaShi SSC)</t>
  </si>
  <si>
    <t>1304AS02</t>
  </si>
  <si>
    <t>WX Agency(JS)(AnZhen Mini SSC)</t>
  </si>
  <si>
    <t>1304AS06</t>
  </si>
  <si>
    <t>WX Agency(JS)(ChangJing Mini SSC)</t>
  </si>
  <si>
    <t>1307AS03</t>
  </si>
  <si>
    <t>TZ Agency(JS)(TaiXing Mini SSC)</t>
  </si>
  <si>
    <t>1307AS04</t>
  </si>
  <si>
    <t>TZ Agency(JS)(XingHua Mini SSC)</t>
  </si>
  <si>
    <t>1302AS04</t>
  </si>
  <si>
    <t>NJ Agency(JS)(Pu Kou Mini SSC)</t>
  </si>
  <si>
    <t>1305AS03</t>
  </si>
  <si>
    <t>YZ Agency(JS)(JiangDu Mini SSC)</t>
  </si>
  <si>
    <t>1302AS05</t>
  </si>
  <si>
    <t>NJ Agency(LiShui Mini SSC)</t>
  </si>
  <si>
    <t>1308AS03</t>
  </si>
  <si>
    <t>NT Agency(JS)(Haimen Mini SSC)</t>
  </si>
  <si>
    <t>1307AS05</t>
  </si>
  <si>
    <t>TZ Agency(JS)(Hongqiao Mini SSC)</t>
  </si>
  <si>
    <t>1305AS04</t>
  </si>
  <si>
    <t>YZ Agency(JS)(Yizhen Mini SSC)</t>
  </si>
  <si>
    <t>1311AS02</t>
  </si>
  <si>
    <t>LYG SSC(JS)(Ganyu Mini SSC)</t>
  </si>
  <si>
    <t>1302AS06</t>
  </si>
  <si>
    <t>NJ Agency(Luhe Mini SSC)</t>
  </si>
  <si>
    <t>1305AS02</t>
  </si>
  <si>
    <t>YZ Agency(JS)(Baoying Mini SSC)</t>
  </si>
  <si>
    <t>1312AS01</t>
  </si>
  <si>
    <t>ZhenJiang SSC(JS)</t>
  </si>
  <si>
    <t>1303AS02</t>
  </si>
  <si>
    <t>昆山前进SSC</t>
  </si>
  <si>
    <t>1310AS02</t>
  </si>
  <si>
    <t>YC Agency(JS)(Dafeng Mini SSC)</t>
  </si>
  <si>
    <t>1701AS01</t>
  </si>
  <si>
    <t>Diwang SSC</t>
  </si>
  <si>
    <t>1701AS06</t>
  </si>
  <si>
    <t>Futian SSC</t>
  </si>
  <si>
    <t>1701AS02</t>
  </si>
  <si>
    <t>Nanshan SSC</t>
  </si>
  <si>
    <t>1701AS07</t>
  </si>
  <si>
    <t>Dongmen SSC</t>
  </si>
  <si>
    <t>1701AS08</t>
  </si>
  <si>
    <t>Bao'an SSC</t>
  </si>
  <si>
    <t>1701AS03</t>
  </si>
  <si>
    <t>Longgang SSC</t>
  </si>
  <si>
    <t>1701AS09</t>
  </si>
  <si>
    <t>Renwen SSC</t>
  </si>
  <si>
    <t>1701AS04</t>
  </si>
  <si>
    <t>Sh jing SSC</t>
  </si>
  <si>
    <t>1701AS10</t>
  </si>
  <si>
    <t>Buji SSC</t>
  </si>
  <si>
    <t>1701AS11</t>
  </si>
  <si>
    <t>Longhua SSC</t>
  </si>
  <si>
    <t>1701AS12</t>
  </si>
  <si>
    <t>Yantian SSC</t>
  </si>
  <si>
    <t>1701AS13</t>
  </si>
  <si>
    <t>Shekou SSC</t>
  </si>
  <si>
    <t>1701AS14</t>
  </si>
  <si>
    <t>Pingshan SSC</t>
  </si>
  <si>
    <t>1701AS15</t>
  </si>
  <si>
    <t>Diwang2 SSC</t>
  </si>
  <si>
    <t>1701AS16</t>
  </si>
  <si>
    <t>Luohu SSC</t>
  </si>
  <si>
    <t>1701AS05</t>
  </si>
  <si>
    <t>Bantian SSC</t>
  </si>
  <si>
    <t>1402AS01</t>
  </si>
  <si>
    <t>Panyu office</t>
  </si>
  <si>
    <t>1402AS02</t>
  </si>
  <si>
    <t>Jietai 3</t>
  </si>
  <si>
    <t>1402AS03</t>
  </si>
  <si>
    <t>Huadu agency office</t>
  </si>
  <si>
    <t>1402AS04</t>
  </si>
  <si>
    <t>Conghua agency office</t>
  </si>
  <si>
    <t>1402AS05</t>
  </si>
  <si>
    <t>XMK SSC</t>
  </si>
  <si>
    <t>1402AS06</t>
  </si>
  <si>
    <t>Jietai 2</t>
  </si>
  <si>
    <t>1402AS07</t>
  </si>
  <si>
    <t>Xintang agency office</t>
  </si>
  <si>
    <t>1402AS08</t>
  </si>
  <si>
    <t>HuangPu SSC</t>
  </si>
  <si>
    <t>1402AS09</t>
  </si>
  <si>
    <t>Jietai 1</t>
  </si>
  <si>
    <t>1402AS10</t>
  </si>
  <si>
    <t>zhujiangcheng</t>
  </si>
  <si>
    <t>1404AS01</t>
  </si>
  <si>
    <t>Qingyuan SSC</t>
  </si>
  <si>
    <t>CN14040000</t>
  </si>
  <si>
    <t>1407AS01</t>
  </si>
  <si>
    <t>Zhanjiang SSC</t>
  </si>
  <si>
    <t>CN14070000</t>
  </si>
  <si>
    <t>1408AS01</t>
  </si>
  <si>
    <t>Maoming SSC</t>
  </si>
  <si>
    <t>CN14080000</t>
  </si>
  <si>
    <t>1411AS01</t>
  </si>
  <si>
    <t>Huizhou SSC</t>
  </si>
  <si>
    <t>CN14110000</t>
  </si>
  <si>
    <t>1406AS01</t>
  </si>
  <si>
    <t>Zhaoqing SSC</t>
  </si>
  <si>
    <t>CN14060000</t>
  </si>
  <si>
    <t>1405AS01</t>
  </si>
  <si>
    <t>Shantou SSC</t>
  </si>
  <si>
    <t>CN14050000</t>
  </si>
  <si>
    <t>1409AS01</t>
  </si>
  <si>
    <t>Zhongshan SSC</t>
  </si>
  <si>
    <t>CN14090000</t>
  </si>
  <si>
    <t>1410AS01</t>
  </si>
  <si>
    <t>Zhuhai SSC</t>
  </si>
  <si>
    <t>CN14100000</t>
  </si>
  <si>
    <t>1412AS01</t>
  </si>
  <si>
    <t>Shaoguan SSC</t>
  </si>
  <si>
    <t>CN14120000</t>
  </si>
  <si>
    <t>1413AS01</t>
  </si>
  <si>
    <t>Jieyang SSC</t>
  </si>
  <si>
    <t>CN14130000</t>
  </si>
  <si>
    <t>1411AS02</t>
  </si>
  <si>
    <t>Huidong SSC</t>
  </si>
  <si>
    <t>1411AS03</t>
  </si>
  <si>
    <t>Huiyang SSC</t>
  </si>
  <si>
    <t>1406AS02</t>
  </si>
  <si>
    <t>Sihui SSC</t>
  </si>
  <si>
    <t>1409AS02</t>
  </si>
  <si>
    <t>Xiaolan SSC</t>
  </si>
  <si>
    <t>1409AS03</t>
  </si>
  <si>
    <t>Guzhen SSC</t>
  </si>
  <si>
    <t>1404AS02</t>
  </si>
  <si>
    <t>Yingde SSC</t>
  </si>
  <si>
    <t>1408AS02</t>
  </si>
  <si>
    <t>Gaozhou SSC</t>
  </si>
  <si>
    <t>1405AS02</t>
  </si>
  <si>
    <t>Chenghai SSC</t>
  </si>
  <si>
    <t>1411AS04</t>
  </si>
  <si>
    <t>Boluo SSC</t>
  </si>
  <si>
    <t>1403AS01</t>
  </si>
  <si>
    <t>Leliu SSC</t>
  </si>
  <si>
    <t>1403AS02</t>
  </si>
  <si>
    <t>Xingtan SSC</t>
  </si>
  <si>
    <t>1403AS03</t>
  </si>
  <si>
    <t>Jinrong 3 SSC</t>
  </si>
  <si>
    <t>1403AS04</t>
  </si>
  <si>
    <t>Lecong SSC</t>
  </si>
  <si>
    <t>1403AS05</t>
  </si>
  <si>
    <t>Jinrong 1 SSC</t>
  </si>
  <si>
    <t>1403AS06</t>
  </si>
  <si>
    <t>Sanshui SSC</t>
  </si>
  <si>
    <t>1403AS07</t>
  </si>
  <si>
    <t>Chancheng SSC</t>
  </si>
  <si>
    <t>1403AS08</t>
  </si>
  <si>
    <t>Fengcheng SSC</t>
  </si>
  <si>
    <t>1403AS09</t>
  </si>
  <si>
    <t>DaLiang SSC</t>
  </si>
  <si>
    <t>1403AS10</t>
  </si>
  <si>
    <t>Jinrong 2 SSC</t>
  </si>
  <si>
    <t>1403AS11</t>
  </si>
  <si>
    <t>Ronggui SSC</t>
  </si>
  <si>
    <t>1403AS12</t>
  </si>
  <si>
    <t>Xiqiao SSC</t>
  </si>
  <si>
    <t>1403AS13</t>
  </si>
  <si>
    <t>Huangqi SSC</t>
  </si>
  <si>
    <t>1403AS14</t>
  </si>
  <si>
    <t>Gaoming SSC</t>
  </si>
  <si>
    <t>1501AS01</t>
  </si>
  <si>
    <t>Humen SSC</t>
  </si>
  <si>
    <t>1501AS02</t>
  </si>
  <si>
    <t>Guancheng SSC</t>
  </si>
  <si>
    <t>1501AS03</t>
  </si>
  <si>
    <t>Chang'an SSC</t>
  </si>
  <si>
    <t>1501AS04</t>
  </si>
  <si>
    <t>Houjie SSC</t>
  </si>
  <si>
    <t>1501AS05</t>
  </si>
  <si>
    <t>Fenggang SSC</t>
  </si>
  <si>
    <t>1501AS06</t>
  </si>
  <si>
    <t>Shilong SSC</t>
  </si>
  <si>
    <t>1501AS07</t>
  </si>
  <si>
    <t>Changping office</t>
  </si>
  <si>
    <t>1501AS08</t>
  </si>
  <si>
    <t>Qingxi SSC</t>
  </si>
  <si>
    <t>1501AS09</t>
  </si>
  <si>
    <t>Shenhe SSC</t>
  </si>
  <si>
    <t>1601AS01</t>
  </si>
  <si>
    <t>Xinhui agency office</t>
  </si>
  <si>
    <t>1601AS02</t>
  </si>
  <si>
    <t>Taishan SSC</t>
  </si>
  <si>
    <t>1601AS03</t>
  </si>
  <si>
    <t>Heshan SSC</t>
  </si>
  <si>
    <t>1601AS04</t>
  </si>
  <si>
    <t>Kaiping SSC</t>
  </si>
  <si>
    <t>1601AS05</t>
  </si>
  <si>
    <t>Enping SSC</t>
  </si>
  <si>
    <t>1402AS11</t>
  </si>
  <si>
    <t>Nansha SSC</t>
  </si>
  <si>
    <t>可填入相同资产描述描述</t>
    <phoneticPr fontId="5" type="noConversion"/>
  </si>
  <si>
    <t>填入资产的原编号</t>
    <phoneticPr fontId="5" type="noConversion"/>
  </si>
  <si>
    <t>如果存在一个资产共用的情况，请将子资产编号流水填写，主资产的价值和累计折旧要平分填写至子资产上</t>
  </si>
  <si>
    <t>日月光大厦</t>
  </si>
  <si>
    <t>Zhangjiang(张江张江数据中心)</t>
  </si>
  <si>
    <t>F01021</t>
  </si>
  <si>
    <t>JINSHAN (金山)</t>
  </si>
  <si>
    <t>F01022</t>
  </si>
  <si>
    <t>长泰广场</t>
  </si>
  <si>
    <t>F02019</t>
  </si>
  <si>
    <t>F02020</t>
  </si>
  <si>
    <t>博瑞大厦</t>
  </si>
  <si>
    <t>F02021</t>
  </si>
  <si>
    <t>招商局大厦（培训部）</t>
  </si>
  <si>
    <t>F03029</t>
  </si>
  <si>
    <t>Gaozhou (高州）</t>
  </si>
  <si>
    <t>F03030</t>
  </si>
  <si>
    <t>Chenghai (澄海）</t>
  </si>
  <si>
    <t>F03031</t>
  </si>
  <si>
    <t>Shaoguan (韶关)</t>
  </si>
  <si>
    <t>F03032</t>
  </si>
  <si>
    <t>Jieyang (揭阳)</t>
  </si>
  <si>
    <t>F03033</t>
  </si>
  <si>
    <t>Guzhen (古镇)</t>
  </si>
  <si>
    <t>F03034</t>
  </si>
  <si>
    <t>Yingde (英德)</t>
  </si>
  <si>
    <t>Huidong (惠东)</t>
  </si>
  <si>
    <t>Zhujiangcheng(珠江城)</t>
  </si>
  <si>
    <t>Nansha(南沙)</t>
  </si>
  <si>
    <t>F03038</t>
  </si>
  <si>
    <t>Sanxiang(三乡)</t>
  </si>
  <si>
    <t>F03039</t>
  </si>
  <si>
    <t>Boluo(博罗）</t>
  </si>
  <si>
    <t>ShenZhen 深圳</t>
  </si>
  <si>
    <t>F03101</t>
  </si>
  <si>
    <t>地王6楼</t>
  </si>
  <si>
    <t>地王10楼</t>
  </si>
  <si>
    <t>F03103</t>
  </si>
  <si>
    <t>地王11楼</t>
  </si>
  <si>
    <t>地王16楼</t>
  </si>
  <si>
    <t>地王52楼</t>
  </si>
  <si>
    <t>南山SSC</t>
  </si>
  <si>
    <t>沙井SSC</t>
  </si>
  <si>
    <t>坂田SSC</t>
  </si>
  <si>
    <t>龙岗SSC</t>
  </si>
  <si>
    <t>Changping (常平)</t>
  </si>
  <si>
    <t>Guancheng 26F(东莞支公司)</t>
  </si>
  <si>
    <t>Houjie (厚街)</t>
  </si>
  <si>
    <t>Humen (虎门)</t>
  </si>
  <si>
    <t>Guancheng 25F(莞城)</t>
  </si>
  <si>
    <t>Shilong (石龙)</t>
  </si>
  <si>
    <t>Zhangmutou (樟木头)</t>
  </si>
  <si>
    <t>F03222</t>
  </si>
  <si>
    <t>Qingxi（清溪）</t>
  </si>
  <si>
    <t>Enping(恩平)</t>
  </si>
  <si>
    <t>Heshan(鹤山)</t>
  </si>
  <si>
    <t>Huiyuecheng 19F(汇悦城SSC)</t>
  </si>
  <si>
    <t>Kaiping(开平)</t>
  </si>
  <si>
    <t>Taishan(台山)</t>
  </si>
  <si>
    <t>Xinhui(新会)</t>
  </si>
  <si>
    <t>Huiyuecheng 20F(江门支公司)</t>
  </si>
  <si>
    <t>F03418</t>
  </si>
  <si>
    <t>Nanhai (南海)</t>
  </si>
  <si>
    <t>Pukou(浦口)</t>
  </si>
  <si>
    <t>F04005</t>
  </si>
  <si>
    <t>LiShui(溧水)</t>
  </si>
  <si>
    <t>F04204</t>
  </si>
  <si>
    <t>changjing (长泾)</t>
  </si>
  <si>
    <t>F04205</t>
  </si>
  <si>
    <t>Huashi (华士)</t>
  </si>
  <si>
    <t>F04206</t>
  </si>
  <si>
    <t>Anzhen (安镇)</t>
  </si>
  <si>
    <t>F043</t>
  </si>
  <si>
    <t>F04301</t>
  </si>
  <si>
    <t>F04302</t>
  </si>
  <si>
    <t>Jiangdu(江都)</t>
  </si>
  <si>
    <t>F04303</t>
  </si>
  <si>
    <t>yizheng(仪征）</t>
  </si>
  <si>
    <t>F044</t>
  </si>
  <si>
    <t>F04401</t>
  </si>
  <si>
    <t>F04402</t>
  </si>
  <si>
    <t>F04403</t>
  </si>
  <si>
    <t>longgu(龙固)</t>
  </si>
  <si>
    <t>F045</t>
  </si>
  <si>
    <t>F04501</t>
  </si>
  <si>
    <t>F04502</t>
  </si>
  <si>
    <t>Xinghua (兴化)</t>
  </si>
  <si>
    <t>F04503</t>
  </si>
  <si>
    <t xml:space="preserve">Taixing (泰兴) </t>
  </si>
  <si>
    <t>F04504</t>
  </si>
  <si>
    <t>Jingjiang(靖江)</t>
  </si>
  <si>
    <t>F046</t>
  </si>
  <si>
    <t>F04602</t>
  </si>
  <si>
    <t>F04603</t>
  </si>
  <si>
    <t>F04604</t>
  </si>
  <si>
    <t>F04605</t>
  </si>
  <si>
    <t>Haimen（海门）</t>
  </si>
  <si>
    <t>F047</t>
  </si>
  <si>
    <t>F04701</t>
  </si>
  <si>
    <t>F048</t>
  </si>
  <si>
    <t>盐城</t>
  </si>
  <si>
    <t>F04801</t>
  </si>
  <si>
    <t>Yancheng (盐城)</t>
  </si>
  <si>
    <t>F049</t>
  </si>
  <si>
    <t>连云港</t>
  </si>
  <si>
    <t>F04901</t>
  </si>
  <si>
    <t>LianYungang (连云港)</t>
  </si>
  <si>
    <t>F04A</t>
  </si>
  <si>
    <t>镇江</t>
  </si>
  <si>
    <t>F04A01</t>
  </si>
  <si>
    <t>Zhenjiang (镇江)</t>
  </si>
  <si>
    <t>F0000103</t>
  </si>
  <si>
    <t>F0000063</t>
  </si>
  <si>
    <t>F0000024</t>
  </si>
  <si>
    <t>F0000025</t>
  </si>
  <si>
    <t>F0000026</t>
  </si>
  <si>
    <t>F0000090</t>
  </si>
  <si>
    <t>F0000091</t>
  </si>
  <si>
    <t>F0000092</t>
  </si>
  <si>
    <t>F0000027</t>
  </si>
  <si>
    <t>F0000125</t>
  </si>
  <si>
    <t>F0000087</t>
  </si>
  <si>
    <t>FFACC002</t>
  </si>
  <si>
    <t>F0000105</t>
  </si>
  <si>
    <t>F0000102</t>
  </si>
  <si>
    <t>F0000101</t>
  </si>
  <si>
    <t>F0000048</t>
  </si>
  <si>
    <t>F0000083</t>
  </si>
  <si>
    <t>F0000106</t>
  </si>
  <si>
    <t>2017002</t>
  </si>
  <si>
    <t>F0000108</t>
  </si>
  <si>
    <t>F0000051</t>
  </si>
  <si>
    <t>F0000110</t>
  </si>
  <si>
    <t>F0000124</t>
  </si>
  <si>
    <t>F0000117</t>
  </si>
  <si>
    <t>F0000100</t>
  </si>
  <si>
    <t>F0000119</t>
  </si>
  <si>
    <t>2015003</t>
  </si>
  <si>
    <t>F0000015</t>
  </si>
  <si>
    <t>F0000118</t>
  </si>
  <si>
    <t>2017004</t>
  </si>
  <si>
    <t>F0000113</t>
  </si>
  <si>
    <t>F0000109</t>
  </si>
  <si>
    <t>F0000114</t>
  </si>
  <si>
    <t>F0000104</t>
  </si>
  <si>
    <t>F0000107</t>
  </si>
  <si>
    <t>2016001</t>
  </si>
  <si>
    <t>F0000094</t>
  </si>
  <si>
    <t>X</t>
  </si>
  <si>
    <t>资产编号</t>
  </si>
  <si>
    <t>CS1</t>
  </si>
  <si>
    <t>SA8</t>
  </si>
  <si>
    <t>IT3</t>
  </si>
  <si>
    <t>VS0</t>
  </si>
  <si>
    <t>UA1</t>
  </si>
  <si>
    <t>IT0</t>
  </si>
  <si>
    <t>IT1</t>
  </si>
  <si>
    <t>SA3</t>
  </si>
  <si>
    <t>SAA</t>
  </si>
  <si>
    <t>SA7</t>
  </si>
  <si>
    <t>SA4</t>
  </si>
  <si>
    <t>SAC</t>
  </si>
  <si>
    <t>SAD</t>
  </si>
  <si>
    <t>UA0</t>
  </si>
  <si>
    <t>SAH</t>
  </si>
  <si>
    <t>F01017</t>
  </si>
  <si>
    <t>F01010</t>
  </si>
  <si>
    <t>F01008</t>
  </si>
  <si>
    <t>账务上看不出，无法填写</t>
    <phoneticPr fontId="4" type="noConversion"/>
  </si>
  <si>
    <t>分摊比例</t>
    <phoneticPr fontId="4" type="noConversion"/>
  </si>
  <si>
    <t>子资产编号</t>
    <phoneticPr fontId="4" type="noConversion"/>
  </si>
  <si>
    <t>工厂
Plant</t>
    <phoneticPr fontId="4" type="noConversion"/>
  </si>
  <si>
    <t>累计折旧</t>
    <phoneticPr fontId="4" type="noConversion"/>
  </si>
  <si>
    <t>字段长度</t>
    <phoneticPr fontId="4" type="noConversion"/>
  </si>
  <si>
    <t>如果存在一个资产共用的情况，请将子资产编号流水填写，主资产的价值和累计折旧要平分填写至子资产上</t>
    <phoneticPr fontId="4" type="noConversion"/>
  </si>
  <si>
    <t>公司代码详见sheet 
"company code "</t>
    <phoneticPr fontId="4" type="noConversion"/>
  </si>
  <si>
    <t xml:space="preserve">资产验收合格入库的时间点即为资本化日期
</t>
    <phoneticPr fontId="5" type="noConversion"/>
  </si>
  <si>
    <t>对应资产放置的省份地点
F010-上海</t>
    <phoneticPr fontId="4" type="noConversion"/>
  </si>
  <si>
    <t>对应资产的存放地点
F01022-长泰广场
...</t>
    <phoneticPr fontId="5" type="noConversion"/>
  </si>
  <si>
    <t>一个资产要标明所有折旧范围下的原值，使用年限等。
折旧范围详见sheet “Dep. Area"</t>
    <phoneticPr fontId="5" type="noConversion"/>
  </si>
  <si>
    <t>CN01-下月开始折旧
CN02-本月开始折旧
0000-不折旧</t>
    <phoneticPr fontId="5" type="noConversion"/>
  </si>
  <si>
    <t>到2018.05.30为止的资产原值</t>
    <phoneticPr fontId="5" type="noConversion"/>
  </si>
  <si>
    <t>从2018年1月到5月的资产折旧总和，即本年计提折旧</t>
    <phoneticPr fontId="5" type="noConversion"/>
  </si>
  <si>
    <t>F010</t>
    <phoneticPr fontId="4" type="noConversion"/>
  </si>
  <si>
    <t>F01022</t>
    <phoneticPr fontId="5" type="noConversion"/>
  </si>
  <si>
    <t>CN02</t>
    <phoneticPr fontId="5" type="noConversion"/>
  </si>
  <si>
    <t>…</t>
    <phoneticPr fontId="4" type="noConversion"/>
  </si>
  <si>
    <t>填入资产的原编号</t>
  </si>
  <si>
    <t>CN01</t>
    <phoneticPr fontId="5" type="noConversion"/>
  </si>
  <si>
    <t>累计购置价值
Cumulative APC</t>
  </si>
  <si>
    <t>101</t>
  </si>
  <si>
    <t>F10</t>
    <phoneticPr fontId="4" type="noConversion"/>
  </si>
  <si>
    <t>1211,MUDANJIANG,RD,WUSONG</t>
  </si>
  <si>
    <t>FFACC008</t>
    <phoneticPr fontId="5" type="noConversion"/>
  </si>
  <si>
    <t>20071201</t>
  </si>
  <si>
    <t>CS0</t>
    <phoneticPr fontId="4" type="noConversion"/>
  </si>
  <si>
    <t>20131101</t>
  </si>
  <si>
    <t>7~12F 日月光布线工程</t>
  </si>
  <si>
    <t>20130701</t>
  </si>
  <si>
    <t>20180101</t>
  </si>
  <si>
    <t xml:space="preserve">1    </t>
  </si>
  <si>
    <t>AIA FSSC&amp;张江SSC</t>
  </si>
  <si>
    <t>F0000121</t>
  </si>
  <si>
    <t>20160801</t>
  </si>
  <si>
    <t>FS0</t>
  </si>
  <si>
    <t>20180901</t>
  </si>
  <si>
    <t xml:space="preserve">2    </t>
  </si>
  <si>
    <t>F10</t>
    <phoneticPr fontId="4" type="noConversion"/>
  </si>
  <si>
    <t>CS0</t>
    <phoneticPr fontId="4" type="noConversion"/>
  </si>
  <si>
    <t>F10</t>
    <phoneticPr fontId="4" type="noConversion"/>
  </si>
  <si>
    <t>AIA TOWER 布线工程</t>
  </si>
  <si>
    <t>F0000066</t>
  </si>
  <si>
    <t>20080901</t>
  </si>
  <si>
    <t>CS0</t>
    <phoneticPr fontId="4" type="noConversion"/>
  </si>
  <si>
    <t>20121101</t>
  </si>
  <si>
    <t>F10</t>
    <phoneticPr fontId="4" type="noConversion"/>
  </si>
  <si>
    <t>CS0</t>
    <phoneticPr fontId="4" type="noConversion"/>
  </si>
  <si>
    <t xml:space="preserve">3    </t>
  </si>
  <si>
    <t>F10</t>
    <phoneticPr fontId="4" type="noConversion"/>
  </si>
  <si>
    <t>CS0</t>
    <phoneticPr fontId="4" type="noConversion"/>
  </si>
  <si>
    <t xml:space="preserve">4    </t>
  </si>
  <si>
    <t xml:space="preserve">5    </t>
  </si>
  <si>
    <t xml:space="preserve">6    </t>
  </si>
  <si>
    <t>AIA TOWER布线工程</t>
  </si>
  <si>
    <t>F0000072</t>
  </si>
  <si>
    <t>20081101</t>
  </si>
  <si>
    <t xml:space="preserve">10   </t>
  </si>
  <si>
    <t xml:space="preserve">11   </t>
  </si>
  <si>
    <t>F10</t>
    <phoneticPr fontId="4" type="noConversion"/>
  </si>
  <si>
    <t>CS0</t>
    <phoneticPr fontId="4" type="noConversion"/>
  </si>
  <si>
    <t xml:space="preserve">12   </t>
  </si>
  <si>
    <t xml:space="preserve">13   </t>
  </si>
  <si>
    <t xml:space="preserve">14   </t>
  </si>
  <si>
    <t xml:space="preserve">15   </t>
  </si>
  <si>
    <t xml:space="preserve">16   </t>
  </si>
  <si>
    <t xml:space="preserve">17   </t>
  </si>
  <si>
    <t xml:space="preserve">7    </t>
  </si>
  <si>
    <t xml:space="preserve">8    </t>
  </si>
  <si>
    <t xml:space="preserve">9    </t>
  </si>
  <si>
    <t>AMC 网络机房工程</t>
  </si>
  <si>
    <t>20070201</t>
  </si>
  <si>
    <t>20120101</t>
  </si>
  <si>
    <t>BUND 17 4F~8F RENOVATION</t>
  </si>
  <si>
    <t>F0000097</t>
  </si>
  <si>
    <t>20120801</t>
  </si>
  <si>
    <t>F01001</t>
    <phoneticPr fontId="5" type="noConversion"/>
  </si>
  <si>
    <t>20190701</t>
  </si>
  <si>
    <t>F01001</t>
    <phoneticPr fontId="5" type="noConversion"/>
  </si>
  <si>
    <t>F01001</t>
    <phoneticPr fontId="5" type="noConversion"/>
  </si>
  <si>
    <t>F01001</t>
    <phoneticPr fontId="5" type="noConversion"/>
  </si>
  <si>
    <t>F10</t>
    <phoneticPr fontId="4" type="noConversion"/>
  </si>
  <si>
    <t>CS0</t>
    <phoneticPr fontId="4" type="noConversion"/>
  </si>
  <si>
    <t>F01001</t>
    <phoneticPr fontId="5" type="noConversion"/>
  </si>
  <si>
    <t>F10</t>
    <phoneticPr fontId="4" type="noConversion"/>
  </si>
  <si>
    <t>CS0</t>
    <phoneticPr fontId="4" type="noConversion"/>
  </si>
  <si>
    <t xml:space="preserve">18   </t>
  </si>
  <si>
    <t xml:space="preserve">19   </t>
  </si>
  <si>
    <t xml:space="preserve">20   </t>
  </si>
  <si>
    <t xml:space="preserve">21   </t>
  </si>
  <si>
    <t xml:space="preserve">22   </t>
  </si>
  <si>
    <t xml:space="preserve">23   </t>
  </si>
  <si>
    <t xml:space="preserve">24   </t>
  </si>
  <si>
    <t xml:space="preserve">25   </t>
  </si>
  <si>
    <t xml:space="preserve">26   </t>
  </si>
  <si>
    <t xml:space="preserve">27   </t>
  </si>
  <si>
    <t xml:space="preserve">28   </t>
  </si>
  <si>
    <t xml:space="preserve">29   </t>
  </si>
  <si>
    <t xml:space="preserve">30   </t>
  </si>
  <si>
    <t xml:space="preserve">31   </t>
  </si>
  <si>
    <t xml:space="preserve">32   </t>
  </si>
  <si>
    <t>F01001</t>
    <phoneticPr fontId="5" type="noConversion"/>
  </si>
  <si>
    <t xml:space="preserve">33   </t>
  </si>
  <si>
    <t>F10</t>
    <phoneticPr fontId="4" type="noConversion"/>
  </si>
  <si>
    <t>CS0</t>
    <phoneticPr fontId="4" type="noConversion"/>
  </si>
  <si>
    <t>BUND 17 布线工程</t>
  </si>
  <si>
    <t>F0000034</t>
  </si>
  <si>
    <t>20020701</t>
  </si>
  <si>
    <t>20070601</t>
  </si>
  <si>
    <t>F10</t>
    <phoneticPr fontId="4" type="noConversion"/>
  </si>
  <si>
    <t>BUND 17# 工程</t>
  </si>
  <si>
    <t>20000101</t>
  </si>
  <si>
    <t>CS0</t>
    <phoneticPr fontId="4" type="noConversion"/>
  </si>
  <si>
    <t>20141201</t>
  </si>
  <si>
    <t>19980401</t>
  </si>
  <si>
    <t>20130301</t>
  </si>
  <si>
    <t>F10</t>
    <phoneticPr fontId="4" type="noConversion"/>
  </si>
  <si>
    <t>20090201</t>
  </si>
  <si>
    <t>CS0</t>
    <phoneticPr fontId="4" type="noConversion"/>
  </si>
  <si>
    <t>F10</t>
    <phoneticPr fontId="4" type="noConversion"/>
  </si>
  <si>
    <t>BUND 17#工程</t>
  </si>
  <si>
    <t>19980501</t>
  </si>
  <si>
    <t>CS0</t>
    <phoneticPr fontId="4" type="noConversion"/>
  </si>
  <si>
    <t>Bund 8F WIFI</t>
  </si>
  <si>
    <t>F0000115</t>
  </si>
  <si>
    <t>20150301</t>
  </si>
  <si>
    <t>20180201</t>
  </si>
  <si>
    <t>F10</t>
    <phoneticPr fontId="4" type="noConversion"/>
  </si>
  <si>
    <t>CS0</t>
    <phoneticPr fontId="4" type="noConversion"/>
  </si>
  <si>
    <t>Bund/SML LAN room facilit</t>
  </si>
  <si>
    <t>20170901</t>
  </si>
  <si>
    <t>20200801</t>
  </si>
  <si>
    <t>F10</t>
    <phoneticPr fontId="4" type="noConversion"/>
  </si>
  <si>
    <t>CITO张江数据中心装修工程</t>
  </si>
  <si>
    <t>20070701</t>
  </si>
  <si>
    <t>CS0</t>
    <phoneticPr fontId="4" type="noConversion"/>
  </si>
  <si>
    <t>20140601</t>
  </si>
  <si>
    <t>F10</t>
    <phoneticPr fontId="4" type="noConversion"/>
  </si>
  <si>
    <t>NO.16,LIANGJING ROAD</t>
  </si>
  <si>
    <t>20070401</t>
  </si>
  <si>
    <t>CS0</t>
    <phoneticPr fontId="4" type="noConversion"/>
  </si>
  <si>
    <t>20140301</t>
  </si>
  <si>
    <t>SML 12楼装修</t>
  </si>
  <si>
    <t>F0000112</t>
  </si>
  <si>
    <t>20131201</t>
  </si>
  <si>
    <t>F10</t>
    <phoneticPr fontId="4" type="noConversion"/>
  </si>
  <si>
    <t>CS0</t>
    <phoneticPr fontId="4" type="noConversion"/>
  </si>
  <si>
    <t>F10</t>
    <phoneticPr fontId="4" type="noConversion"/>
  </si>
  <si>
    <t>CS0</t>
    <phoneticPr fontId="4" type="noConversion"/>
  </si>
  <si>
    <t>8</t>
  </si>
  <si>
    <t>SML 7F~12F装修工程</t>
  </si>
  <si>
    <t>20121001</t>
  </si>
  <si>
    <t>SML IT机房电工程建设</t>
  </si>
  <si>
    <t>20130501</t>
  </si>
  <si>
    <t>SML Intrannet wireless</t>
  </si>
  <si>
    <t>堡镇营业处装修工程</t>
  </si>
  <si>
    <t>20040901</t>
  </si>
  <si>
    <t>20070801</t>
  </si>
  <si>
    <t>嘉定SSC装修工程</t>
  </si>
  <si>
    <t>20110701</t>
  </si>
  <si>
    <t>20160601</t>
  </si>
  <si>
    <t>F10</t>
    <phoneticPr fontId="4" type="noConversion"/>
  </si>
  <si>
    <t>金山SSC搬迁装修项目</t>
  </si>
  <si>
    <t>20170101</t>
  </si>
  <si>
    <t>CS0</t>
    <phoneticPr fontId="4" type="noConversion"/>
  </si>
  <si>
    <t>20191201</t>
  </si>
  <si>
    <t>金山SSC装修</t>
  </si>
  <si>
    <t>20140101</t>
  </si>
  <si>
    <t>20161201</t>
  </si>
  <si>
    <t>F10</t>
    <phoneticPr fontId="4" type="noConversion"/>
  </si>
  <si>
    <t>金山营销服务部装修款</t>
  </si>
  <si>
    <t>20050301</t>
  </si>
  <si>
    <t>CS0</t>
    <phoneticPr fontId="4" type="noConversion"/>
  </si>
  <si>
    <t>20080201</t>
  </si>
  <si>
    <t>浦东SSC装修</t>
  </si>
  <si>
    <t>青浦SSC搬迁装修工程</t>
  </si>
  <si>
    <t>20171201</t>
  </si>
  <si>
    <t>20220701</t>
  </si>
  <si>
    <t>日月光1203、05扩组装修项</t>
  </si>
  <si>
    <t>2016002</t>
  </si>
  <si>
    <t>20170201</t>
  </si>
  <si>
    <t>20230101</t>
  </si>
  <si>
    <t>日月光12楼扩租</t>
  </si>
  <si>
    <t>F0000116</t>
  </si>
  <si>
    <t>20150101</t>
  </si>
  <si>
    <t>F10</t>
    <phoneticPr fontId="4" type="noConversion"/>
  </si>
  <si>
    <t>CS0</t>
    <phoneticPr fontId="4" type="noConversion"/>
  </si>
  <si>
    <t>F10</t>
    <phoneticPr fontId="4" type="noConversion"/>
  </si>
  <si>
    <t>CS0</t>
    <phoneticPr fontId="4" type="noConversion"/>
  </si>
  <si>
    <t>F10</t>
    <phoneticPr fontId="4" type="noConversion"/>
  </si>
  <si>
    <t>日月光9F装修改造项目</t>
  </si>
  <si>
    <t>SH15001</t>
  </si>
  <si>
    <t>20150201</t>
  </si>
  <si>
    <t>CS0</t>
    <phoneticPr fontId="4" type="noConversion"/>
  </si>
  <si>
    <t>日月光9楼GenY教室</t>
  </si>
  <si>
    <t>日月光ITroomSetup&amp;Cabling</t>
  </si>
  <si>
    <t>日月光培训中心装修改造项</t>
    <phoneticPr fontId="4" type="noConversion"/>
  </si>
  <si>
    <t>20160501</t>
  </si>
  <si>
    <t>20190401</t>
  </si>
  <si>
    <t>松江SSC搬迁装修项目</t>
  </si>
  <si>
    <t>20190601</t>
  </si>
  <si>
    <t>外滩屋顶花园翻新项目</t>
  </si>
  <si>
    <t>CHO17001</t>
  </si>
  <si>
    <t>20170301</t>
  </si>
  <si>
    <t>20270201</t>
  </si>
  <si>
    <t xml:space="preserve">34   </t>
  </si>
  <si>
    <t>网站升级服务费</t>
  </si>
  <si>
    <t>20010801</t>
  </si>
  <si>
    <t>20060701</t>
  </si>
  <si>
    <t>吴淞SSC</t>
  </si>
  <si>
    <t>20141101</t>
  </si>
  <si>
    <t>20161101</t>
  </si>
  <si>
    <t>吴淞SSC培训室增设改造项目</t>
  </si>
  <si>
    <t>20181101</t>
  </si>
  <si>
    <t>友邦大厦3F装修</t>
  </si>
  <si>
    <t>F0000111</t>
  </si>
  <si>
    <t>20140401</t>
  </si>
  <si>
    <t>20261201</t>
  </si>
  <si>
    <t>友邦大厦屋顶花园装修</t>
  </si>
  <si>
    <t>张江SSC装修</t>
  </si>
  <si>
    <t>张江机房装修</t>
  </si>
  <si>
    <t>张江数据中心1F4F装修</t>
  </si>
  <si>
    <t>F0000120</t>
  </si>
  <si>
    <t>张江数据中心屋顶花园装修</t>
  </si>
  <si>
    <t>周浦SSC装修</t>
  </si>
  <si>
    <t>周浦扩组装修项目</t>
  </si>
  <si>
    <t>20181201</t>
  </si>
  <si>
    <t>周浦营管处布线工程</t>
  </si>
  <si>
    <t>20090701</t>
  </si>
  <si>
    <t>20120301</t>
  </si>
  <si>
    <t>102</t>
  </si>
  <si>
    <t>GAMA Training Course</t>
  </si>
  <si>
    <t>4</t>
  </si>
  <si>
    <t>20131001</t>
  </si>
  <si>
    <t>AT0</t>
  </si>
  <si>
    <t>20160901</t>
  </si>
  <si>
    <t>Limra课程</t>
  </si>
  <si>
    <t>5</t>
  </si>
  <si>
    <t>高尔夫球会员证</t>
  </si>
  <si>
    <t>Q5555555</t>
  </si>
  <si>
    <t>20051201</t>
  </si>
  <si>
    <t>20151101</t>
  </si>
  <si>
    <t>天马高尔夫会员证</t>
  </si>
  <si>
    <t>Q6666666</t>
  </si>
  <si>
    <t>20050101</t>
  </si>
  <si>
    <t>103</t>
  </si>
  <si>
    <t>CA SF  License MA</t>
  </si>
  <si>
    <t>1</t>
  </si>
  <si>
    <t>20120501</t>
  </si>
  <si>
    <t>IT0</t>
    <phoneticPr fontId="4" type="noConversion"/>
  </si>
  <si>
    <t>IT0</t>
    <phoneticPr fontId="4" type="noConversion"/>
  </si>
  <si>
    <t>Vmware licenses CPU</t>
  </si>
  <si>
    <t>2</t>
  </si>
  <si>
    <t>电子平台使用费</t>
  </si>
  <si>
    <t>3</t>
  </si>
  <si>
    <t>20110601</t>
  </si>
  <si>
    <t>CS0</t>
  </si>
  <si>
    <t>20140501</t>
  </si>
  <si>
    <t>用友ERP三年维护费</t>
  </si>
  <si>
    <t>6</t>
  </si>
  <si>
    <t>20171101</t>
  </si>
  <si>
    <t>201</t>
  </si>
  <si>
    <t>AIA China AML project(CHO</t>
  </si>
  <si>
    <t>ESAML001</t>
  </si>
  <si>
    <t>QA0</t>
  </si>
  <si>
    <t>AIA China New eStore proj</t>
  </si>
  <si>
    <t>ESEST001</t>
  </si>
  <si>
    <t>20151201</t>
  </si>
  <si>
    <t>EM0</t>
  </si>
  <si>
    <t>20201101</t>
  </si>
  <si>
    <t>AIA China ePolicy(750)</t>
  </si>
  <si>
    <t>ESPLC001</t>
  </si>
  <si>
    <t>20150501</t>
  </si>
  <si>
    <t>OP0</t>
  </si>
  <si>
    <t>20200401</t>
  </si>
  <si>
    <t>AIA Touch project (540)</t>
  </si>
  <si>
    <t>ESITC001</t>
  </si>
  <si>
    <t>MT0</t>
  </si>
  <si>
    <t>20201001</t>
  </si>
  <si>
    <t>F10</t>
    <phoneticPr fontId="4" type="noConversion"/>
  </si>
  <si>
    <t>AIA Touch2.0</t>
  </si>
  <si>
    <t>ESATC001</t>
  </si>
  <si>
    <t>20130101</t>
  </si>
  <si>
    <t>IT0</t>
    <phoneticPr fontId="4" type="noConversion"/>
  </si>
  <si>
    <t>F10</t>
    <phoneticPr fontId="4" type="noConversion"/>
  </si>
  <si>
    <t>AT e platform（6J0）</t>
  </si>
  <si>
    <t>ESATP001</t>
  </si>
  <si>
    <t>DT0</t>
  </si>
  <si>
    <t>IT0</t>
    <phoneticPr fontId="4" type="noConversion"/>
  </si>
  <si>
    <t>20221201</t>
  </si>
  <si>
    <t>BPR CLAIM PROJECT(400)</t>
  </si>
  <si>
    <t>ESCLM001</t>
  </si>
  <si>
    <t>BPR POS AUTOMATION PHASE1</t>
  </si>
  <si>
    <t>ESBPR001</t>
  </si>
  <si>
    <t>20121201</t>
  </si>
  <si>
    <t>BPR POS IWS</t>
  </si>
  <si>
    <t>ESBPR002</t>
  </si>
  <si>
    <t>BPR PROJECT ISP(440)</t>
  </si>
  <si>
    <t>ESISP001</t>
  </si>
  <si>
    <t>BPR PROJECT POSA PHASE 2</t>
  </si>
  <si>
    <t>ESPOSA02</t>
  </si>
  <si>
    <t>20180601</t>
  </si>
  <si>
    <t>CCC SYSTEM(660)</t>
  </si>
  <si>
    <t>ESCCC001</t>
  </si>
  <si>
    <t>20141001</t>
  </si>
  <si>
    <t>AS0</t>
  </si>
  <si>
    <t>20190901</t>
  </si>
  <si>
    <t>CCC-Phase I(8D0)</t>
  </si>
  <si>
    <t>ESCCP001</t>
  </si>
  <si>
    <t>DA0</t>
  </si>
  <si>
    <t>20221101</t>
  </si>
  <si>
    <t>CS BPR D1 (CASE360 &amp; Clai</t>
  </si>
  <si>
    <t>ESITC002</t>
  </si>
  <si>
    <t>20150901</t>
  </si>
  <si>
    <t>GG0</t>
  </si>
  <si>
    <t>CS family plan(8Q0)</t>
  </si>
  <si>
    <t>CSFP0001</t>
  </si>
  <si>
    <t>20211001</t>
  </si>
  <si>
    <t>CSBPR2 Day2(8L0)</t>
  </si>
  <si>
    <t>CSBPR001</t>
  </si>
  <si>
    <t>20210801</t>
  </si>
  <si>
    <t>Callidus Agency BPM(730)</t>
  </si>
  <si>
    <t>CABPM001</t>
  </si>
  <si>
    <t>Callidus phase I</t>
  </si>
  <si>
    <t>ESCLDS02</t>
  </si>
  <si>
    <t>20230601</t>
  </si>
  <si>
    <t>F10</t>
    <phoneticPr fontId="4" type="noConversion"/>
  </si>
  <si>
    <t>IT0</t>
    <phoneticPr fontId="4" type="noConversion"/>
  </si>
  <si>
    <t>Cash Management 8T0</t>
  </si>
  <si>
    <t>ESCMP001</t>
  </si>
  <si>
    <t>TT0</t>
  </si>
  <si>
    <t>20221001</t>
  </si>
  <si>
    <t>China Agency Training(650</t>
  </si>
  <si>
    <t>ESTRN001</t>
  </si>
  <si>
    <t>20191101</t>
  </si>
  <si>
    <t>Corporate Website CMS(1D0</t>
  </si>
  <si>
    <t>ESCWC001</t>
  </si>
  <si>
    <t>MV0</t>
  </si>
  <si>
    <t>20211101</t>
  </si>
  <si>
    <t>DM SALES SYSTEM</t>
  </si>
  <si>
    <t>ESDMS001</t>
  </si>
  <si>
    <t>20140701</t>
  </si>
  <si>
    <t>DM0</t>
  </si>
  <si>
    <t>E-REPORT FOR 发票</t>
  </si>
  <si>
    <t>ESFPOD01</t>
  </si>
  <si>
    <t>20130201</t>
  </si>
  <si>
    <t>F10</t>
    <phoneticPr fontId="4" type="noConversion"/>
  </si>
  <si>
    <t>E-service（7B0）</t>
  </si>
  <si>
    <t>ESERV001</t>
  </si>
  <si>
    <t>IT0</t>
    <phoneticPr fontId="4" type="noConversion"/>
  </si>
  <si>
    <t>EODB ODS &amp; SCV project(1J</t>
  </si>
  <si>
    <t>ESOSP001</t>
  </si>
  <si>
    <t>EODB Payment Opti(1E0)</t>
  </si>
  <si>
    <t>ESEPO001</t>
  </si>
  <si>
    <t>20171001</t>
  </si>
  <si>
    <t>20220901</t>
  </si>
  <si>
    <t>EODB iService（7C0）</t>
  </si>
  <si>
    <t>ESEIS001</t>
  </si>
  <si>
    <t>OS0</t>
  </si>
  <si>
    <t>ESB(8F0)</t>
  </si>
  <si>
    <t>ESB00001</t>
  </si>
  <si>
    <t>HYBRID DAY 1</t>
  </si>
  <si>
    <t>ESHBRD01</t>
  </si>
  <si>
    <t>F10</t>
    <phoneticPr fontId="4" type="noConversion"/>
  </si>
  <si>
    <t>IGM HYBRID PROJECT</t>
  </si>
  <si>
    <t>ESIGM003</t>
  </si>
  <si>
    <t>IT0</t>
    <phoneticPr fontId="4" type="noConversion"/>
  </si>
  <si>
    <t>F10</t>
    <phoneticPr fontId="4" type="noConversion"/>
  </si>
  <si>
    <t>IGM PHASE 2</t>
  </si>
  <si>
    <t>ESIGM002</t>
  </si>
  <si>
    <t>20100201</t>
  </si>
  <si>
    <t>IT0</t>
    <phoneticPr fontId="4" type="noConversion"/>
  </si>
  <si>
    <t>F10</t>
    <phoneticPr fontId="4" type="noConversion"/>
  </si>
  <si>
    <t>ESIGM002-1</t>
  </si>
  <si>
    <t>IT0</t>
    <phoneticPr fontId="4" type="noConversion"/>
  </si>
  <si>
    <t>INVOICE PRINTING FOR 发票</t>
  </si>
  <si>
    <t>ESFPOD02</t>
  </si>
  <si>
    <t>Ingenium S/W phase1.5</t>
  </si>
  <si>
    <t>ESIGM001</t>
  </si>
  <si>
    <t>ESIGM001-1</t>
  </si>
  <si>
    <t>F10</t>
    <phoneticPr fontId="4" type="noConversion"/>
  </si>
  <si>
    <t>Instant Buy  1F0</t>
  </si>
  <si>
    <t>ESCIB001</t>
  </si>
  <si>
    <t>IT0</t>
    <phoneticPr fontId="4" type="noConversion"/>
  </si>
  <si>
    <t>Life Insurance 7X0</t>
  </si>
  <si>
    <t>ESPUP001</t>
  </si>
  <si>
    <t>20170501</t>
  </si>
  <si>
    <t>OP1</t>
  </si>
  <si>
    <t>20220401</t>
  </si>
  <si>
    <t>NB IWS PHASE II</t>
  </si>
  <si>
    <t>ESNBIWS2</t>
  </si>
  <si>
    <t>20101201</t>
  </si>
  <si>
    <t>NB IWS S/W</t>
  </si>
  <si>
    <t>ESNBIWS1</t>
  </si>
  <si>
    <t>NB Revamp(570)</t>
  </si>
  <si>
    <t>ESNBR001</t>
  </si>
  <si>
    <t>20200101</t>
  </si>
  <si>
    <t>O2O Hot Leads Generation(</t>
  </si>
  <si>
    <t>ESHLG001</t>
  </si>
  <si>
    <t>20151001</t>
  </si>
  <si>
    <t>IT0</t>
    <phoneticPr fontId="4" type="noConversion"/>
  </si>
  <si>
    <t>20200901</t>
  </si>
  <si>
    <t>PD channel system(JA5)</t>
  </si>
  <si>
    <t>ESPDC001</t>
  </si>
  <si>
    <t>IT0</t>
    <phoneticPr fontId="4" type="noConversion"/>
  </si>
  <si>
    <t>IT0</t>
    <phoneticPr fontId="4" type="noConversion"/>
  </si>
  <si>
    <t>Project Dessert （6K0）</t>
  </si>
  <si>
    <t>ESPDK001</t>
  </si>
  <si>
    <t>WA0</t>
  </si>
  <si>
    <t>20320101</t>
  </si>
  <si>
    <t>VAT Transfor（8I0）</t>
  </si>
  <si>
    <t>ESVAT001</t>
  </si>
  <si>
    <t>20211201</t>
  </si>
  <si>
    <t>财务档案管理系统(6N0)</t>
  </si>
  <si>
    <t>ESFIN001</t>
  </si>
  <si>
    <t>FN0</t>
  </si>
  <si>
    <t>20201201</t>
  </si>
  <si>
    <t>中保信二期(6F0)</t>
  </si>
  <si>
    <t>ESZBX001</t>
  </si>
  <si>
    <t>202</t>
  </si>
  <si>
    <t>8C0</t>
  </si>
  <si>
    <t>8C000001</t>
  </si>
  <si>
    <t>ABC FLOWCHARTER WIN</t>
  </si>
  <si>
    <t>E2000184</t>
  </si>
  <si>
    <t>19990201</t>
  </si>
  <si>
    <t>19991201</t>
  </si>
  <si>
    <t>F10</t>
    <phoneticPr fontId="4" type="noConversion"/>
  </si>
  <si>
    <t>ADABE SOFTWARE</t>
  </si>
  <si>
    <t>ES000003</t>
  </si>
  <si>
    <t>19990901</t>
  </si>
  <si>
    <t>IT0</t>
    <phoneticPr fontId="4" type="noConversion"/>
  </si>
  <si>
    <t>AIA Citi Touch(8U0)</t>
  </si>
  <si>
    <t>ESACT001</t>
  </si>
  <si>
    <t>F10</t>
    <phoneticPr fontId="4" type="noConversion"/>
  </si>
  <si>
    <t>ANALYSER LICENSED CPU</t>
  </si>
  <si>
    <t>E2000297</t>
  </si>
  <si>
    <t>IT0</t>
    <phoneticPr fontId="4" type="noConversion"/>
  </si>
  <si>
    <t>20011001</t>
  </si>
  <si>
    <t>AS400 S/W  ALOON (CMS)</t>
  </si>
  <si>
    <t>E0008118</t>
  </si>
  <si>
    <t>IT0</t>
    <phoneticPr fontId="4" type="noConversion"/>
  </si>
  <si>
    <t>20060901</t>
  </si>
  <si>
    <t>ATTUNITY&amp;WEBSPHERE SW</t>
  </si>
  <si>
    <t>ES000302</t>
  </si>
  <si>
    <t>HR2</t>
  </si>
  <si>
    <t>Agency Training 2016（7A0</t>
  </si>
  <si>
    <t>ESDAT001</t>
  </si>
  <si>
    <t>IT0</t>
    <phoneticPr fontId="4" type="noConversion"/>
  </si>
  <si>
    <t>App Sver 3.5 软件</t>
  </si>
  <si>
    <t>ESS00055</t>
  </si>
  <si>
    <t>20010401</t>
  </si>
  <si>
    <t>20060301</t>
  </si>
  <si>
    <t>CCB YBT For HNW(8S0)</t>
  </si>
  <si>
    <t>CBYBT001</t>
  </si>
  <si>
    <t>BK0</t>
  </si>
  <si>
    <t>20210501</t>
  </si>
  <si>
    <t>CE EB Top-up day(690)</t>
  </si>
  <si>
    <t>ESCEB001</t>
  </si>
  <si>
    <t>IT0</t>
    <phoneticPr fontId="4" type="noConversion"/>
  </si>
  <si>
    <t>CITRIX LINENCES</t>
  </si>
  <si>
    <t>ES000118</t>
  </si>
  <si>
    <t>20030801</t>
  </si>
  <si>
    <t>20080701</t>
  </si>
  <si>
    <t>CS TOP UP D2(8R0)</t>
  </si>
  <si>
    <t>ESCTU001</t>
  </si>
  <si>
    <t>IT0</t>
    <phoneticPr fontId="4" type="noConversion"/>
  </si>
  <si>
    <t>20210101</t>
  </si>
  <si>
    <t>Citi TM Project(8N0)</t>
  </si>
  <si>
    <t>ESCTP001</t>
  </si>
  <si>
    <t>DH1263 REMOTELY/32-NT</t>
  </si>
  <si>
    <t>E2000320</t>
  </si>
  <si>
    <t>20020201</t>
  </si>
  <si>
    <t>DLFLO SOFTWARE</t>
  </si>
  <si>
    <t>ESS00097</t>
  </si>
  <si>
    <t>20020401</t>
  </si>
  <si>
    <t>20070301</t>
  </si>
  <si>
    <t>DWH S/W</t>
  </si>
  <si>
    <t>ESS00020</t>
  </si>
  <si>
    <t>EX000003</t>
  </si>
  <si>
    <t>EDP S/W 001</t>
  </si>
  <si>
    <t>19990701</t>
  </si>
  <si>
    <t>IT0</t>
    <phoneticPr fontId="4" type="noConversion"/>
  </si>
  <si>
    <t>EX000004</t>
  </si>
  <si>
    <t>EDP S/W 086</t>
  </si>
  <si>
    <t>EFLOW影像系统(8G0)</t>
  </si>
  <si>
    <t>EFLOW001</t>
  </si>
  <si>
    <t>EODB-New Customer(1A0)</t>
  </si>
  <si>
    <t>ESNCA001</t>
  </si>
  <si>
    <t>AD0</t>
  </si>
  <si>
    <t>Fast Closing Phase I (6C0</t>
  </si>
  <si>
    <t>ESFCP001</t>
  </si>
  <si>
    <t>IT0</t>
    <phoneticPr fontId="4" type="noConversion"/>
  </si>
  <si>
    <t>GOE SI FUNDING (7G0)</t>
  </si>
  <si>
    <t>ESGSF001</t>
  </si>
  <si>
    <t>20160401</t>
  </si>
  <si>
    <t>MH0</t>
  </si>
  <si>
    <t>20190301</t>
  </si>
  <si>
    <t>H/W MASTER VIEW</t>
  </si>
  <si>
    <t>E2000149</t>
  </si>
  <si>
    <t>20020601</t>
  </si>
  <si>
    <t>IBM SOFTWARE</t>
  </si>
  <si>
    <t>ESS00103</t>
  </si>
  <si>
    <t>20020901</t>
  </si>
  <si>
    <t>IMO PhaseI 8B0</t>
  </si>
  <si>
    <t>ESIMO001</t>
  </si>
  <si>
    <t>20160301</t>
  </si>
  <si>
    <t>DV0</t>
  </si>
  <si>
    <t>20210201</t>
  </si>
  <si>
    <t>INGENIUM PROJECT 软件</t>
  </si>
  <si>
    <t>ES000112</t>
  </si>
  <si>
    <t>INOCULAN FOR NT SERVER</t>
  </si>
  <si>
    <t>E2000137</t>
  </si>
  <si>
    <t>LANSA SOFTWARE</t>
  </si>
  <si>
    <t>E2000019</t>
  </si>
  <si>
    <t>20000501</t>
  </si>
  <si>
    <t>LANSA 升级</t>
  </si>
  <si>
    <t>ESS00050</t>
  </si>
  <si>
    <t>20000701</t>
  </si>
  <si>
    <t>20050601</t>
  </si>
  <si>
    <t>LANSA/SERVER SOFTWARE</t>
  </si>
  <si>
    <t>ESS00098</t>
  </si>
  <si>
    <t>20070501</t>
  </si>
  <si>
    <t>MI ISOLATION TRANSFORMER</t>
  </si>
  <si>
    <t>E2000181</t>
  </si>
  <si>
    <t>MICOSOFT 2003 LICENCE</t>
  </si>
  <si>
    <t>ES000120</t>
  </si>
  <si>
    <t>20040501</t>
  </si>
  <si>
    <t>20090401</t>
  </si>
  <si>
    <t>ES000121</t>
  </si>
  <si>
    <t>ES000122</t>
  </si>
  <si>
    <t>ES000123</t>
  </si>
  <si>
    <t>ES000125</t>
  </si>
  <si>
    <t>ES000126</t>
  </si>
  <si>
    <t>HR0</t>
  </si>
  <si>
    <t>ES000127</t>
  </si>
  <si>
    <t>ES002007</t>
  </si>
  <si>
    <t>ES002021</t>
  </si>
  <si>
    <t>NB0</t>
  </si>
  <si>
    <t>Master Planner(1C0)</t>
  </si>
  <si>
    <t>ESMPC001</t>
  </si>
  <si>
    <t>20170801</t>
  </si>
  <si>
    <t>New Generation(8P0)</t>
  </si>
  <si>
    <t>ESGDA001</t>
  </si>
  <si>
    <t>ORADE S/W</t>
  </si>
  <si>
    <t>ES000119</t>
  </si>
  <si>
    <t>OUTLET&amp;CABLE</t>
  </si>
  <si>
    <t>ESS00048</t>
  </si>
  <si>
    <t>20050401</t>
  </si>
  <si>
    <t>POWER BUILDER 5.0</t>
  </si>
  <si>
    <t>E2000109</t>
  </si>
  <si>
    <t>PRINT MANAGER CPU</t>
  </si>
  <si>
    <t>E2000298</t>
  </si>
  <si>
    <t>PVCS VERSION MANGER</t>
  </si>
  <si>
    <t>E2000156</t>
  </si>
  <si>
    <t>20030101</t>
  </si>
  <si>
    <t>Proposition Selling（1B0</t>
  </si>
  <si>
    <t>ESPSE001</t>
  </si>
  <si>
    <t>20170701</t>
  </si>
  <si>
    <t>20220601</t>
  </si>
  <si>
    <t>QUICK SOFTWARE</t>
  </si>
  <si>
    <t>ES000142</t>
  </si>
  <si>
    <t>20041201</t>
  </si>
  <si>
    <t>20091101</t>
  </si>
  <si>
    <t>Risk and Capital(8O0)</t>
  </si>
  <si>
    <t>ESRCT001</t>
  </si>
  <si>
    <t>S/W CRYSTAL REPORT</t>
  </si>
  <si>
    <t>ES000114</t>
  </si>
  <si>
    <t>20030301</t>
  </si>
  <si>
    <t>S/W I-NET</t>
  </si>
  <si>
    <t>ES000138</t>
  </si>
  <si>
    <t>20041001</t>
  </si>
  <si>
    <t>20090901</t>
  </si>
  <si>
    <t>S/W PB8.0</t>
  </si>
  <si>
    <t>ES000116</t>
  </si>
  <si>
    <t>20030701</t>
  </si>
  <si>
    <t>20080601</t>
  </si>
  <si>
    <t>S/W TOAD</t>
  </si>
  <si>
    <t>ES000117</t>
  </si>
  <si>
    <t>20030901</t>
  </si>
  <si>
    <t>20080801</t>
  </si>
  <si>
    <t>S/W VERITAS</t>
  </si>
  <si>
    <t>ES000128</t>
  </si>
  <si>
    <t>20040701</t>
  </si>
  <si>
    <t>20090601</t>
  </si>
  <si>
    <t>SOFTWARE</t>
  </si>
  <si>
    <t>ES000115</t>
  </si>
  <si>
    <t>ESS00047</t>
  </si>
  <si>
    <t>20000201</t>
  </si>
  <si>
    <t>ESS00066</t>
  </si>
  <si>
    <t>20010501</t>
  </si>
  <si>
    <t>20060401</t>
  </si>
  <si>
    <t>F10</t>
    <phoneticPr fontId="4" type="noConversion"/>
  </si>
  <si>
    <t>ESS00095</t>
  </si>
  <si>
    <t>IT0</t>
    <phoneticPr fontId="4" type="noConversion"/>
  </si>
  <si>
    <t>20070101</t>
  </si>
  <si>
    <t>F10</t>
    <phoneticPr fontId="4" type="noConversion"/>
  </si>
  <si>
    <t>ESS00096</t>
  </si>
  <si>
    <t>IT0</t>
    <phoneticPr fontId="4" type="noConversion"/>
  </si>
  <si>
    <t>SOFTWARE COGNOS</t>
  </si>
  <si>
    <t>ES000135</t>
  </si>
  <si>
    <t>20090801</t>
  </si>
  <si>
    <t>SOFTWARE DREAM WAVER</t>
  </si>
  <si>
    <t>ES000131</t>
  </si>
  <si>
    <t>AP0</t>
  </si>
  <si>
    <t>SOFTWARE FIRE WORKS2004</t>
  </si>
  <si>
    <t>ES000132</t>
  </si>
  <si>
    <t>SOFTWARE INSTALL SHIELDxE</t>
  </si>
  <si>
    <t>ES000137</t>
  </si>
  <si>
    <t>SOFTWARE IU USTRATOR10.0</t>
  </si>
  <si>
    <t>ES000134</t>
  </si>
  <si>
    <t>SOFTWARE IVR</t>
  </si>
  <si>
    <t>ESS00094</t>
  </si>
  <si>
    <t>20020101</t>
  </si>
  <si>
    <t>20061201</t>
  </si>
  <si>
    <t>SOFTWARE LAN</t>
  </si>
  <si>
    <t>E2000168</t>
  </si>
  <si>
    <t>19940501</t>
  </si>
  <si>
    <t>19990801</t>
  </si>
  <si>
    <t>SOFTWARE PHOTO SHOP7.0</t>
  </si>
  <si>
    <t>ES000133</t>
  </si>
  <si>
    <t>SOFTWARE RTAPE</t>
  </si>
  <si>
    <t>ES000130</t>
  </si>
  <si>
    <t>20040801</t>
  </si>
  <si>
    <t>SOFTWARE 精算</t>
  </si>
  <si>
    <t>ES000129</t>
  </si>
  <si>
    <t>SSH SOFTWARE</t>
  </si>
  <si>
    <t>ES000141</t>
  </si>
  <si>
    <t>ESS00051</t>
  </si>
  <si>
    <t>20000801</t>
  </si>
  <si>
    <t>20050701</t>
  </si>
  <si>
    <t>ESS00052</t>
  </si>
  <si>
    <t>Studio V3.5 软件</t>
  </si>
  <si>
    <t>ESS00057</t>
  </si>
  <si>
    <t>Studio V3.5-1 软件</t>
  </si>
  <si>
    <t>ESS00058</t>
  </si>
  <si>
    <t>TECH NET</t>
  </si>
  <si>
    <t>E2000150</t>
  </si>
  <si>
    <t>TOAD S/W</t>
  </si>
  <si>
    <t>ES000136</t>
  </si>
  <si>
    <t>TRACK IT(software)</t>
  </si>
  <si>
    <t>ES100001</t>
  </si>
  <si>
    <t>19991001</t>
  </si>
  <si>
    <t>Upgrade-Huawei CS(6D0)</t>
  </si>
  <si>
    <t>ESHWC001</t>
  </si>
  <si>
    <t>GG1</t>
  </si>
  <si>
    <t>VA for Java V3.5 软件</t>
  </si>
  <si>
    <t>ESS00059</t>
  </si>
  <si>
    <t>VA for Java V3.5-1 软件</t>
  </si>
  <si>
    <t>ESS00060</t>
  </si>
  <si>
    <t>ESS00061</t>
  </si>
  <si>
    <t>ESS00062</t>
  </si>
  <si>
    <t>ESS00063</t>
  </si>
  <si>
    <t>ESS00064</t>
  </si>
  <si>
    <t>ESS00065</t>
  </si>
  <si>
    <t>VISIO 5.0 SOFTWARE</t>
  </si>
  <si>
    <t>E0010006</t>
  </si>
  <si>
    <t>20031101</t>
  </si>
  <si>
    <t>VISIO SOFTWARE</t>
  </si>
  <si>
    <t>ES000001</t>
  </si>
  <si>
    <t>20031201</t>
  </si>
  <si>
    <t>VMWARE SOFTWARE</t>
  </si>
  <si>
    <t>ES000140</t>
  </si>
  <si>
    <t>20041101</t>
  </si>
  <si>
    <t>20091001</t>
  </si>
  <si>
    <t>WAS one proccssor 软件</t>
  </si>
  <si>
    <t>ESS00056</t>
  </si>
  <si>
    <t>eCommerce 2016 Strategy(7</t>
  </si>
  <si>
    <t>ESESI001</t>
  </si>
  <si>
    <t>晨会考勤系统</t>
  </si>
  <si>
    <t>ES000147</t>
  </si>
  <si>
    <t>代理人培训管理系统-S/W</t>
  </si>
  <si>
    <t>ES000139</t>
  </si>
  <si>
    <t>软件 PERCEPTION FOR WEB V</t>
  </si>
  <si>
    <t>ESS00099</t>
  </si>
  <si>
    <t>软件 PROJECT 2K</t>
  </si>
  <si>
    <t>ESS00087</t>
  </si>
  <si>
    <t>20011101</t>
  </si>
  <si>
    <t>20061001</t>
  </si>
  <si>
    <t>软件 SQL2K SEVER</t>
  </si>
  <si>
    <t>ESS00088</t>
  </si>
  <si>
    <t>软件 W2K SEVER</t>
  </si>
  <si>
    <t>ESS00089</t>
  </si>
  <si>
    <t>软件 W2K UPG SEVER</t>
  </si>
  <si>
    <t>ESS00090</t>
  </si>
  <si>
    <t>204</t>
  </si>
  <si>
    <t>1*Tableau Deaktop Pro</t>
  </si>
  <si>
    <t>IT000147</t>
  </si>
  <si>
    <t>20210701</t>
  </si>
  <si>
    <t>4TB Additional Arcstore S</t>
  </si>
  <si>
    <t>IT000184</t>
  </si>
  <si>
    <t>20180301</t>
  </si>
  <si>
    <t>20230201</t>
  </si>
  <si>
    <t>ADT-企业ETL服务管理软件</t>
  </si>
  <si>
    <t>IT000030</t>
  </si>
  <si>
    <t>20101101</t>
  </si>
  <si>
    <t>AIA Management Dashboard2</t>
  </si>
  <si>
    <t>IT000122</t>
  </si>
  <si>
    <t>AMC 钱龙网上交易软件</t>
  </si>
  <si>
    <t>IT000144</t>
  </si>
  <si>
    <t>20160101</t>
  </si>
  <si>
    <t>ARCSTORE SPACE LICENSE</t>
  </si>
  <si>
    <t>IT000118</t>
  </si>
  <si>
    <t>AS400 IOS7.1</t>
  </si>
  <si>
    <t>IT000117</t>
  </si>
  <si>
    <t>ArcStore Additional Stora</t>
  </si>
  <si>
    <t>IT000173</t>
  </si>
  <si>
    <t>20170601</t>
  </si>
  <si>
    <t>20220501</t>
  </si>
  <si>
    <t>ArcStroe license-Image DR</t>
  </si>
  <si>
    <t>IT000029</t>
  </si>
  <si>
    <t>ArcStroeAdditionStorage</t>
  </si>
  <si>
    <t>IT000028</t>
  </si>
  <si>
    <t>Arcsrore Space License</t>
  </si>
  <si>
    <t>IT000154</t>
  </si>
  <si>
    <t>20160701</t>
  </si>
  <si>
    <t>20210601</t>
  </si>
  <si>
    <t>Autosys client license fo</t>
  </si>
  <si>
    <t>IT000153</t>
  </si>
  <si>
    <t>Avaya AES license for IPT</t>
  </si>
  <si>
    <t>IT000165</t>
  </si>
  <si>
    <t>BATCH JOB AUTOMATION PROJ</t>
  </si>
  <si>
    <t>IT000015</t>
  </si>
  <si>
    <t>20100501</t>
  </si>
  <si>
    <t>20130401</t>
  </si>
  <si>
    <t>BLUECOAT PRODUCTS</t>
  </si>
  <si>
    <t>IT000116</t>
  </si>
  <si>
    <t>BMC ITSM SYSTEM-2</t>
  </si>
  <si>
    <t>IT000031</t>
  </si>
  <si>
    <t>BMC License</t>
  </si>
  <si>
    <t>IT000134</t>
  </si>
  <si>
    <t>BMC REMEDY IT SERVICE M.S</t>
  </si>
  <si>
    <t>IT000016</t>
  </si>
  <si>
    <t>BancassurancePlatform-YBT</t>
  </si>
  <si>
    <t>IT000065</t>
  </si>
  <si>
    <t>20111201</t>
  </si>
  <si>
    <t>CA AUTOSYS LICENSE</t>
  </si>
  <si>
    <t>IT000018</t>
  </si>
  <si>
    <t>20100701</t>
  </si>
  <si>
    <t>20130601</t>
  </si>
  <si>
    <t>CIRC报表变更(HUNDSUN系统)</t>
  </si>
  <si>
    <t>IT000108</t>
  </si>
  <si>
    <t>CLUE OFFICE LICENSE</t>
  </si>
  <si>
    <t>IT000013</t>
  </si>
  <si>
    <t>20100801</t>
  </si>
  <si>
    <t>CMS定制化开发</t>
  </si>
  <si>
    <t>IT000176</t>
  </si>
  <si>
    <t>CPU VMware vSphere licens</t>
  </si>
  <si>
    <t>IT000103</t>
  </si>
  <si>
    <t>Call Billing System</t>
  </si>
  <si>
    <t>IT000126</t>
  </si>
  <si>
    <t>Call Center Self Service</t>
  </si>
  <si>
    <t>IT000167</t>
  </si>
  <si>
    <t>Call CenterSystem Upgrade</t>
  </si>
  <si>
    <t>IT000110</t>
  </si>
  <si>
    <t>20130901</t>
  </si>
  <si>
    <t>CiscoQPMnetworkMonitorLic</t>
  </si>
  <si>
    <t>IT000001</t>
  </si>
  <si>
    <t>20100101</t>
  </si>
  <si>
    <t>Compliance EWP system dev</t>
  </si>
  <si>
    <t>IT000107</t>
  </si>
  <si>
    <t>Compuware SaaS&amp;Dynatrace</t>
  </si>
  <si>
    <t>IT000106</t>
  </si>
  <si>
    <t>Compuware dynatrace java</t>
  </si>
  <si>
    <t>IT000125</t>
  </si>
  <si>
    <t>DISCUZ/SUPERSITE/UCENTER</t>
  </si>
  <si>
    <t>IT000025</t>
  </si>
  <si>
    <t>Dynatrace license for KMH</t>
  </si>
  <si>
    <t>IT000159</t>
  </si>
  <si>
    <t>20161001</t>
  </si>
  <si>
    <t>20210901</t>
  </si>
  <si>
    <t>Dynatrace license purchas</t>
  </si>
  <si>
    <t>IT000172</t>
  </si>
  <si>
    <t>20170401</t>
  </si>
  <si>
    <t>20220301</t>
  </si>
  <si>
    <t>IT000180</t>
  </si>
  <si>
    <t>E-BUSINESS SYSTEM</t>
  </si>
  <si>
    <t>IT000050</t>
  </si>
  <si>
    <t>E-SUPPLIER SYSTEM</t>
  </si>
  <si>
    <t>IT000067</t>
  </si>
  <si>
    <t>EAB 121销售支持系统</t>
  </si>
  <si>
    <t>IT000061</t>
  </si>
  <si>
    <t>20120601</t>
  </si>
  <si>
    <t>EMC NETWORK LICENSE-CENTR</t>
  </si>
  <si>
    <t>IT000046</t>
  </si>
  <si>
    <t>20110301</t>
  </si>
  <si>
    <t>20140201</t>
  </si>
  <si>
    <t>EMC NETWORKER NDMP</t>
  </si>
  <si>
    <t>IT000096</t>
  </si>
  <si>
    <t>EMC PRODUCTS</t>
  </si>
  <si>
    <t>IT000079</t>
  </si>
  <si>
    <t>ESB Capacity Upgrade</t>
  </si>
  <si>
    <t>IT000166</t>
  </si>
  <si>
    <t>FTK综合分析软件</t>
  </si>
  <si>
    <t>IT000135</t>
  </si>
  <si>
    <t>RS0</t>
  </si>
  <si>
    <t>20200201</t>
  </si>
  <si>
    <t>FaxChannelLice GZ&amp;SZ</t>
  </si>
  <si>
    <t>IT000037</t>
  </si>
  <si>
    <t>G360ExecuteLicense-DrDril</t>
  </si>
  <si>
    <t>IT000081</t>
  </si>
  <si>
    <t>G360Image license-GCS I&amp;W</t>
  </si>
  <si>
    <t>IT000062</t>
  </si>
  <si>
    <t>20111101</t>
  </si>
  <si>
    <t>5C0</t>
  </si>
  <si>
    <t>GENESYS LICENSE-UAT</t>
  </si>
  <si>
    <t>IT000087</t>
  </si>
  <si>
    <t>Genesys CTI HA 许可</t>
  </si>
  <si>
    <t>IT000174</t>
  </si>
  <si>
    <t>Genesys license 扩容</t>
  </si>
  <si>
    <t>IT000164</t>
  </si>
  <si>
    <t>HELPDESK外包服务软件采购</t>
  </si>
  <si>
    <t>IT000088</t>
  </si>
  <si>
    <t>HP测试管理软件增购</t>
  </si>
  <si>
    <t>IT000157</t>
  </si>
  <si>
    <t>IBM COGNOS-AGENCY 2.0&amp;BPR</t>
  </si>
  <si>
    <t>IT000054</t>
  </si>
  <si>
    <t>IBM DATA STAGE LIC.</t>
  </si>
  <si>
    <t>IT000042</t>
  </si>
  <si>
    <t>IBM DEVICES</t>
  </si>
  <si>
    <t>IT000075</t>
  </si>
  <si>
    <t>20150401</t>
  </si>
  <si>
    <t>IBM RATIONAL LICENSE</t>
  </si>
  <si>
    <t>IT000112</t>
  </si>
  <si>
    <t>IBM WAS Family license (8</t>
  </si>
  <si>
    <t>IT000170</t>
  </si>
  <si>
    <t>IBM WAS ND license 400 PV</t>
  </si>
  <si>
    <t>IT000171</t>
  </si>
  <si>
    <t>20210401</t>
  </si>
  <si>
    <t>IBM WAS family edition 40</t>
  </si>
  <si>
    <t>IT000158</t>
  </si>
  <si>
    <t>IBM Websphere Network</t>
  </si>
  <si>
    <t>IT000145</t>
  </si>
  <si>
    <t>IT000148</t>
  </si>
  <si>
    <t>IBM WebsphererExpressLice</t>
  </si>
  <si>
    <t>IT000006</t>
  </si>
  <si>
    <t>20100301</t>
  </si>
  <si>
    <t>IPT upgrade Project phase</t>
  </si>
  <si>
    <t>IT000155</t>
  </si>
  <si>
    <t>InterPhonic for NCCC TTS</t>
  </si>
  <si>
    <t>IT000059</t>
  </si>
  <si>
    <t>20111001</t>
  </si>
  <si>
    <t>20140901</t>
  </si>
  <si>
    <t>JBOSSenterpriseBRMS5.0LIC</t>
  </si>
  <si>
    <t>IT000047</t>
  </si>
  <si>
    <t>KingdeeBudgetSystem</t>
  </si>
  <si>
    <t>IT000086</t>
  </si>
  <si>
    <t>LEGATO LICENSE-DM VOICE R</t>
  </si>
  <si>
    <t>IT000014</t>
  </si>
  <si>
    <t>LEGATO NET-AGENCY2.0</t>
  </si>
  <si>
    <t>IT000051</t>
  </si>
  <si>
    <t>350</t>
  </si>
  <si>
    <t>Legato License</t>
  </si>
  <si>
    <t>IT000089</t>
  </si>
  <si>
    <t>Legato networker(8F0)</t>
  </si>
  <si>
    <t>IT000136</t>
  </si>
  <si>
    <t>License for eBenefits Pro</t>
  </si>
  <si>
    <t>IT000066</t>
  </si>
  <si>
    <t>License-CompassInfrastruc</t>
  </si>
  <si>
    <t>IT000026</t>
  </si>
  <si>
    <t>License-sscH/W&amp;S/Wreplace</t>
  </si>
  <si>
    <t>IT000027</t>
  </si>
  <si>
    <t>Licenses for AMC*10</t>
  </si>
  <si>
    <t>IT000146</t>
  </si>
  <si>
    <t>MIMIX迁移及升级项目</t>
  </si>
  <si>
    <t>IT000160</t>
  </si>
  <si>
    <t>MS SQL SRV STD LTC</t>
  </si>
  <si>
    <t>IT000071</t>
  </si>
  <si>
    <t>20120201</t>
  </si>
  <si>
    <t>MWS LICENSE-COMPASS DAEMO</t>
  </si>
  <si>
    <t>IT000023</t>
  </si>
  <si>
    <t>MWS LICENSE-PC SERVER REL</t>
  </si>
  <si>
    <t>IT000021</t>
  </si>
  <si>
    <t>MWS LICENSE-WIN2003 UPGRA</t>
  </si>
  <si>
    <t>IT000022</t>
  </si>
  <si>
    <t>ManagementDashboardJAVA</t>
  </si>
  <si>
    <t>IT000109</t>
  </si>
  <si>
    <t>McAfee HIPS Licenses</t>
  </si>
  <si>
    <t>IT000179</t>
  </si>
  <si>
    <t>Microsoft SQL2000 Upgrade</t>
  </si>
  <si>
    <t>IT000105</t>
  </si>
  <si>
    <t>NICE RECORDING SYSTEM UPG</t>
  </si>
  <si>
    <t>IT000099</t>
  </si>
  <si>
    <t>New 50 Opentext Execute36</t>
  </si>
  <si>
    <t>IT000168</t>
  </si>
  <si>
    <t>20220101</t>
  </si>
  <si>
    <t>ORACLE Adv.-Agency2.0</t>
  </si>
  <si>
    <t>IT000053</t>
  </si>
  <si>
    <t>ORACLE DATABASE 11G LICE</t>
  </si>
  <si>
    <t>IT000113</t>
  </si>
  <si>
    <t>ORACLE DATABASE-Agency2.0</t>
  </si>
  <si>
    <t>IT000052</t>
  </si>
  <si>
    <t>Oracle license for KMH</t>
  </si>
  <si>
    <t>IT000161</t>
  </si>
  <si>
    <t>OracleLicense&amp;IBM HA Lice</t>
  </si>
  <si>
    <t>IT000002</t>
  </si>
  <si>
    <t>PL/SQL LICENSE</t>
  </si>
  <si>
    <t>IT000137</t>
  </si>
  <si>
    <t>20150701</t>
  </si>
  <si>
    <t>20200601</t>
  </si>
  <si>
    <t>PRE-PAID CARD SYSTEM</t>
  </si>
  <si>
    <t>IT000041</t>
  </si>
  <si>
    <t>RIGHTFAX SYSTEM</t>
  </si>
  <si>
    <t>IT000017</t>
  </si>
  <si>
    <t>20100601</t>
  </si>
  <si>
    <t>Redhat Linux-CompuwarePro</t>
  </si>
  <si>
    <t>IT000078</t>
  </si>
  <si>
    <t>RemedyLicenseITSM phaseⅢ</t>
  </si>
  <si>
    <t>IT000049</t>
  </si>
  <si>
    <t>20110401</t>
  </si>
  <si>
    <t>SCCC Nice Recording Expan</t>
  </si>
  <si>
    <t>IT000175</t>
  </si>
  <si>
    <t>SMARTPAD G1</t>
  </si>
  <si>
    <t>IT000100</t>
  </si>
  <si>
    <t>SQL server ENT 16 core fo</t>
  </si>
  <si>
    <t>IT000163</t>
  </si>
  <si>
    <t>SUN A/C SYSTEM UPGRADE</t>
  </si>
  <si>
    <t>IT000003</t>
  </si>
  <si>
    <t>SymantecStorageFoundation</t>
  </si>
  <si>
    <t>IT000004</t>
  </si>
  <si>
    <t>TIVOLI  S/W</t>
  </si>
  <si>
    <t>IT000076</t>
  </si>
  <si>
    <t>TIVOLI 10 S/W</t>
  </si>
  <si>
    <t>IT000077</t>
  </si>
  <si>
    <t>Tableau Desktop Pro.</t>
  </si>
  <si>
    <t>IT000124</t>
  </si>
  <si>
    <t>Tableau Desktop Professio</t>
  </si>
  <si>
    <t>IT000133</t>
  </si>
  <si>
    <t>Tableau desktop license</t>
  </si>
  <si>
    <t>IT000141</t>
  </si>
  <si>
    <t>Tableau licenses</t>
  </si>
  <si>
    <t>IT000143</t>
  </si>
  <si>
    <t>Uipath Studio license</t>
  </si>
  <si>
    <t>IT000181</t>
  </si>
  <si>
    <t>IT4</t>
  </si>
  <si>
    <t>VISUAL COBOL LICENSE</t>
  </si>
  <si>
    <t>IT000128</t>
  </si>
  <si>
    <t>20140801</t>
  </si>
  <si>
    <t>VMWARE 5 ENT PLUS</t>
  </si>
  <si>
    <t>IT000095</t>
  </si>
  <si>
    <t>VMWARE LICENSE</t>
  </si>
  <si>
    <t>IT000119</t>
  </si>
  <si>
    <t>IT000129</t>
  </si>
  <si>
    <t>VMWARE LICENSE FOR WIN200</t>
  </si>
  <si>
    <t>IT000007</t>
  </si>
  <si>
    <t>20100401</t>
  </si>
  <si>
    <t>VmwareLice.SOAtransformat</t>
  </si>
  <si>
    <t>IT000033</t>
  </si>
  <si>
    <t>VmwareLiceETLservResilien</t>
  </si>
  <si>
    <t>IT000035</t>
  </si>
  <si>
    <t>VmwareLiceWINserv.virtuli</t>
  </si>
  <si>
    <t>IT000034</t>
  </si>
  <si>
    <t>VmwareLiceWin2003upgrade</t>
  </si>
  <si>
    <t>IT000036</t>
  </si>
  <si>
    <t>VmwareVsphere4EnterpLince</t>
  </si>
  <si>
    <t>IT000056</t>
  </si>
  <si>
    <t>20110801</t>
  </si>
  <si>
    <t>IT000057</t>
  </si>
  <si>
    <t>VmwareVsphere4StandaLince</t>
  </si>
  <si>
    <t>IT000058</t>
  </si>
  <si>
    <t>WINDOWS&amp;SQL LICENSES</t>
  </si>
  <si>
    <t>IT000127</t>
  </si>
  <si>
    <t>WINserv.Lice.WIN03upgrade</t>
  </si>
  <si>
    <t>IT000032</t>
  </si>
  <si>
    <t>WebMethods license &amp; MA p</t>
  </si>
  <si>
    <t>IT000178</t>
  </si>
  <si>
    <t>Windows ENT licenses-Comp</t>
  </si>
  <si>
    <t>IT000080</t>
  </si>
  <si>
    <t>WindowsSevEnterp08License</t>
  </si>
  <si>
    <t>IT000055</t>
  </si>
  <si>
    <t>lIVE800 SYSTEM-E-BUSINESS</t>
  </si>
  <si>
    <t>IT000063</t>
  </si>
  <si>
    <t>EB0</t>
  </si>
  <si>
    <t>remote desktop License</t>
  </si>
  <si>
    <t>IT000156</t>
  </si>
  <si>
    <t>保险潜在销售线索管理系统</t>
  </si>
  <si>
    <t>IT000098</t>
  </si>
  <si>
    <t>偿二代XBRL编报系统软件</t>
  </si>
  <si>
    <t>IT000152</t>
  </si>
  <si>
    <t>恒生投资交易管理系统</t>
  </si>
  <si>
    <t>IT000020</t>
  </si>
  <si>
    <t>恒生投资系统深交所五代接</t>
  </si>
  <si>
    <t>IT000169</t>
  </si>
  <si>
    <t>两台朝阳永续Go-goal终端</t>
  </si>
  <si>
    <t>IT000182</t>
  </si>
  <si>
    <t>美国西屋门禁软件</t>
  </si>
  <si>
    <t>IT000064</t>
  </si>
  <si>
    <t>钱龙证券投资分析系统</t>
  </si>
  <si>
    <t>IT000072</t>
  </si>
  <si>
    <t>20120401</t>
  </si>
  <si>
    <t>友邦保险投资业务管理平台</t>
    <phoneticPr fontId="4" type="noConversion"/>
  </si>
  <si>
    <t>IT000177</t>
  </si>
  <si>
    <t>20220801</t>
  </si>
  <si>
    <t>运筹数据1精准挖掘引擎LICE</t>
  </si>
  <si>
    <t>IT000048</t>
  </si>
  <si>
    <t>30201</t>
  </si>
  <si>
    <t>10.5 英寸 iPad Pro</t>
  </si>
  <si>
    <t>0M4HPFC</t>
  </si>
  <si>
    <t>21.5 英寸 iMac</t>
  </si>
  <si>
    <t>0JNF8J8</t>
  </si>
  <si>
    <t>CN01</t>
    <phoneticPr fontId="4" type="noConversion"/>
  </si>
  <si>
    <t>2911/K9 Router（FGL205310</t>
  </si>
  <si>
    <t>E100131</t>
  </si>
  <si>
    <t>E100132</t>
  </si>
  <si>
    <t>6HP 23-inch LED</t>
  </si>
  <si>
    <t>6HP23LED</t>
  </si>
  <si>
    <t>9.7-inch iPad Pro WLAN</t>
  </si>
  <si>
    <t>002H23F</t>
  </si>
  <si>
    <t>AIACHO PC replacement</t>
  </si>
  <si>
    <t>IT000038</t>
  </si>
  <si>
    <t>AIR CONDITIONER</t>
  </si>
  <si>
    <t>E0008553</t>
  </si>
  <si>
    <t>E0008554</t>
  </si>
  <si>
    <t>EE100056</t>
  </si>
  <si>
    <t>20071101</t>
  </si>
  <si>
    <t>DG9</t>
  </si>
  <si>
    <t>APC NETSHELTER VX42U RACK</t>
  </si>
  <si>
    <t>E0008416</t>
  </si>
  <si>
    <t>20051001</t>
  </si>
  <si>
    <t>20051101</t>
  </si>
  <si>
    <t>20081001</t>
  </si>
  <si>
    <t>E0008417</t>
  </si>
  <si>
    <t>AS/400 PM,DSA UPGRADE</t>
  </si>
  <si>
    <t>E2000152</t>
  </si>
  <si>
    <t>19990101</t>
  </si>
  <si>
    <t>ATEN MASTER VIEW LCD KVM</t>
  </si>
  <si>
    <t>E0008418</t>
  </si>
  <si>
    <t>E0008419</t>
  </si>
  <si>
    <t>AUTODIESELS GENRAT</t>
  </si>
  <si>
    <t>E2000322</t>
  </si>
  <si>
    <t>20000401</t>
  </si>
  <si>
    <t>AVAYA</t>
  </si>
  <si>
    <t>EE100560</t>
  </si>
  <si>
    <t>EE100561</t>
  </si>
  <si>
    <t>EE100562</t>
  </si>
  <si>
    <t>AVAYA ETC.S8720 PBX</t>
  </si>
  <si>
    <t>E0008708</t>
  </si>
  <si>
    <t>AVAYA MEDIE GATEWAY</t>
  </si>
  <si>
    <t>E0008896</t>
  </si>
  <si>
    <t>AVAYA S8300</t>
  </si>
  <si>
    <t>E0008718</t>
  </si>
  <si>
    <t>20070901</t>
  </si>
  <si>
    <t>AVAYA 网络会议设备</t>
  </si>
  <si>
    <t>EE100570</t>
  </si>
  <si>
    <t>20120701</t>
  </si>
  <si>
    <t>Apple Watch  Series 1</t>
  </si>
  <si>
    <t>33NHHJF</t>
  </si>
  <si>
    <t>Apple Watch  Series 2</t>
  </si>
  <si>
    <t>7RXHDX5</t>
  </si>
  <si>
    <t>85HHDX5</t>
  </si>
  <si>
    <t>BAY 450 SWITCH HUB</t>
  </si>
  <si>
    <t>E0009098</t>
  </si>
  <si>
    <t>E0009099</t>
  </si>
  <si>
    <t>BAYSTACK 350F-HD</t>
  </si>
  <si>
    <t>E0010009</t>
  </si>
  <si>
    <t>19990301</t>
  </si>
  <si>
    <t>19990401</t>
  </si>
  <si>
    <t>20040301</t>
  </si>
  <si>
    <t>E0010010</t>
  </si>
  <si>
    <t>BLADE SERVER</t>
  </si>
  <si>
    <t>E0008899</t>
  </si>
  <si>
    <t>20071001</t>
  </si>
  <si>
    <t>20101001</t>
  </si>
  <si>
    <t>BLUECOAT SG600-10</t>
  </si>
  <si>
    <t>EE100667</t>
  </si>
  <si>
    <t>20110501</t>
  </si>
  <si>
    <t>EE100668</t>
  </si>
  <si>
    <t>C2960X交换机(S/N:FCW2150A</t>
  </si>
  <si>
    <t>150A0MU</t>
  </si>
  <si>
    <t>20180401</t>
  </si>
  <si>
    <t>20210301</t>
  </si>
  <si>
    <t>C2960X交换机(S/N:FCW2150B</t>
  </si>
  <si>
    <t>150B17K</t>
  </si>
  <si>
    <t>150B17M</t>
  </si>
  <si>
    <t>150B17Q</t>
  </si>
  <si>
    <t>C2960X交换机(S/N:FOC2150S</t>
  </si>
  <si>
    <t>150S088</t>
  </si>
  <si>
    <t>150S089</t>
  </si>
  <si>
    <t>C2960X交换机(S/N:FOC2150V</t>
  </si>
  <si>
    <t>150V0DD</t>
  </si>
  <si>
    <t>150V0DE</t>
  </si>
  <si>
    <t>C3580交换机</t>
  </si>
  <si>
    <t>117D1T2</t>
  </si>
  <si>
    <t>150C0DQ</t>
  </si>
  <si>
    <t>150U08U</t>
  </si>
  <si>
    <t>C9148光纤存储交换机(JPG22</t>
  </si>
  <si>
    <t>207005H</t>
  </si>
  <si>
    <t>20180501</t>
  </si>
  <si>
    <t>2070061</t>
  </si>
  <si>
    <t>CATALYST</t>
  </si>
  <si>
    <t>E0008694</t>
  </si>
  <si>
    <t>E0008695</t>
  </si>
  <si>
    <t>E0008696</t>
  </si>
  <si>
    <t>EE100095</t>
  </si>
  <si>
    <t>20080401</t>
  </si>
  <si>
    <t>SA2</t>
  </si>
  <si>
    <t>20080501</t>
  </si>
  <si>
    <t>EE100096</t>
  </si>
  <si>
    <t>EE100097</t>
  </si>
  <si>
    <t>EE100098</t>
  </si>
  <si>
    <t>EE100099</t>
  </si>
  <si>
    <t>AD1</t>
  </si>
  <si>
    <t>CATALYST 2950</t>
  </si>
  <si>
    <t>E0008754</t>
  </si>
  <si>
    <t>CATALYST C2950T-48</t>
  </si>
  <si>
    <t>E0008596</t>
  </si>
  <si>
    <t>E0008597</t>
  </si>
  <si>
    <t>E0008691</t>
  </si>
  <si>
    <t>CATALYST C4948-S</t>
  </si>
  <si>
    <t>E0008972</t>
  </si>
  <si>
    <t>E0008973</t>
  </si>
  <si>
    <t>CATALYST WS-C2950T-24</t>
  </si>
  <si>
    <t>E0008548</t>
  </si>
  <si>
    <t>20060801</t>
  </si>
  <si>
    <t>CATALYST WS-C3560-48PS</t>
  </si>
  <si>
    <t>EE100100</t>
  </si>
  <si>
    <t>EE100524</t>
  </si>
  <si>
    <t>CCTV监控系统</t>
  </si>
  <si>
    <t>E0008927</t>
  </si>
  <si>
    <t>E0008928</t>
  </si>
  <si>
    <t>CISCO</t>
  </si>
  <si>
    <t>EE100739</t>
  </si>
  <si>
    <t>EE100740</t>
  </si>
  <si>
    <t>CISCO 2610</t>
  </si>
  <si>
    <t>E0008756</t>
  </si>
  <si>
    <t>CISCO 2811 ROUTER</t>
  </si>
  <si>
    <t>EE100664</t>
  </si>
  <si>
    <t>KO0</t>
  </si>
  <si>
    <t>CN01</t>
    <phoneticPr fontId="4" type="noConversion"/>
  </si>
  <si>
    <t>CISCO 2960-X交换机</t>
  </si>
  <si>
    <t>147V0NZ</t>
  </si>
  <si>
    <t>147V0P5</t>
  </si>
  <si>
    <t>CISCO 3650交换机</t>
  </si>
  <si>
    <t>048Q1P0</t>
  </si>
  <si>
    <t>108E1UC</t>
  </si>
  <si>
    <t>108Q10Y</t>
  </si>
  <si>
    <t>CISCO 3661</t>
  </si>
  <si>
    <t>E0008195</t>
  </si>
  <si>
    <t>20021001</t>
  </si>
  <si>
    <t>20021101</t>
  </si>
  <si>
    <t>CISCO 3825 ROUTER</t>
  </si>
  <si>
    <t>E1000007</t>
  </si>
  <si>
    <t>20060101</t>
  </si>
  <si>
    <t>20081201</t>
  </si>
  <si>
    <t>E1000008</t>
  </si>
  <si>
    <t>CISCO 3845 V/K9</t>
  </si>
  <si>
    <t>E0008486</t>
  </si>
  <si>
    <t>20060501</t>
  </si>
  <si>
    <t>E0008487</t>
  </si>
  <si>
    <t>CISCO CATALYST WS-C350-48</t>
  </si>
  <si>
    <t>E0008484</t>
  </si>
  <si>
    <t>E0008485</t>
  </si>
  <si>
    <t>CISCO DEVICE</t>
  </si>
  <si>
    <t>EE100724</t>
  </si>
  <si>
    <t>EE100725</t>
  </si>
  <si>
    <t>CISCO HWIC-4T</t>
  </si>
  <si>
    <t>EE100685</t>
  </si>
  <si>
    <t>EE100686</t>
  </si>
  <si>
    <t>CISCO HWIC-4T 模块</t>
  </si>
  <si>
    <t>EE100669</t>
  </si>
  <si>
    <t>EE100670</t>
  </si>
  <si>
    <t>CN01</t>
    <phoneticPr fontId="4" type="noConversion"/>
  </si>
  <si>
    <t>F10</t>
    <phoneticPr fontId="4" type="noConversion"/>
  </si>
  <si>
    <t>EE100671</t>
  </si>
  <si>
    <t>EE100672</t>
  </si>
  <si>
    <t>CISCO ROUTER</t>
  </si>
  <si>
    <t>E0009046</t>
  </si>
  <si>
    <t>CISCO W3-C3560-4875-E</t>
  </si>
  <si>
    <t>E1000004</t>
  </si>
  <si>
    <t>E1000005</t>
  </si>
  <si>
    <t>CISCO W3-C3560-4875-S</t>
  </si>
  <si>
    <t>E1000006</t>
  </si>
  <si>
    <t>CISCO switch(FCW2147A3W2)</t>
  </si>
  <si>
    <t>147A3W2</t>
  </si>
  <si>
    <t>CN01</t>
    <phoneticPr fontId="4" type="noConversion"/>
  </si>
  <si>
    <t>F10</t>
    <phoneticPr fontId="4" type="noConversion"/>
  </si>
  <si>
    <t>COMMAND CENTER FACILITY</t>
  </si>
  <si>
    <t>EZJE0003</t>
  </si>
  <si>
    <t>Cisco Switch</t>
  </si>
  <si>
    <t>W2040B2B2</t>
  </si>
  <si>
    <t>DEGAUSSER</t>
  </si>
  <si>
    <t>E0008753</t>
  </si>
  <si>
    <t>DELL E6410 LAPTOP</t>
  </si>
  <si>
    <t>EC2JFYN1</t>
  </si>
  <si>
    <t>20110201</t>
  </si>
  <si>
    <t>DELL LAPTOP</t>
  </si>
  <si>
    <t>E8H61FV1</t>
  </si>
  <si>
    <t>RA0</t>
  </si>
  <si>
    <t>EB7V93Q1</t>
  </si>
  <si>
    <t>EC31Q4Q1</t>
  </si>
  <si>
    <t>EDY9843X</t>
  </si>
  <si>
    <t>DELL LAPTOP  E4310</t>
  </si>
  <si>
    <t>E9RG40P1</t>
  </si>
  <si>
    <t>E9SV40P1</t>
  </si>
  <si>
    <t>EBHV40P1</t>
  </si>
  <si>
    <t>ECRV40P1</t>
  </si>
  <si>
    <t>RM0</t>
  </si>
  <si>
    <t>EDOH40P1</t>
  </si>
  <si>
    <t>LE0</t>
  </si>
  <si>
    <t>EINV40P1</t>
  </si>
  <si>
    <t>EJJV40P1</t>
  </si>
  <si>
    <t>DELL LATITUDE E6220</t>
  </si>
  <si>
    <t>EGVTXWP1</t>
  </si>
  <si>
    <t>20150601</t>
  </si>
  <si>
    <t>EGVZVWP1</t>
  </si>
  <si>
    <t>EHNGOXP1</t>
  </si>
  <si>
    <t>DELL LATITUDE E6420</t>
  </si>
  <si>
    <t>E1SP5BS1</t>
  </si>
  <si>
    <t>E2QD6BS1</t>
  </si>
  <si>
    <t>DELL PE R710 SEVER</t>
  </si>
  <si>
    <t>EE100651</t>
  </si>
  <si>
    <t>20110101</t>
  </si>
  <si>
    <t>EE100652</t>
  </si>
  <si>
    <t>EE100653</t>
  </si>
  <si>
    <t>DELL PE R710服务器</t>
  </si>
  <si>
    <t>EE100679</t>
  </si>
  <si>
    <t>20110901</t>
  </si>
  <si>
    <t>DELL R630</t>
  </si>
  <si>
    <t>63H5YM2</t>
  </si>
  <si>
    <t>63H6YM2</t>
  </si>
  <si>
    <t>63H9YM2</t>
  </si>
  <si>
    <t>DELL R730</t>
  </si>
  <si>
    <t>63KCYM2</t>
  </si>
  <si>
    <t>63VBYM2</t>
  </si>
  <si>
    <t>63W7YM2</t>
  </si>
  <si>
    <t>DELL SERVER</t>
  </si>
  <si>
    <t>EE100696</t>
  </si>
  <si>
    <t>EE100755</t>
  </si>
  <si>
    <t>EE100758</t>
  </si>
  <si>
    <t>20130801</t>
  </si>
  <si>
    <t>EE100792</t>
  </si>
  <si>
    <t>EE100793</t>
  </si>
  <si>
    <t>EE100794</t>
  </si>
  <si>
    <t>EE100795</t>
  </si>
  <si>
    <t>EE100796</t>
  </si>
  <si>
    <t>EE100797</t>
  </si>
  <si>
    <t>EE100798</t>
  </si>
  <si>
    <t>DELL SERVER R710</t>
  </si>
  <si>
    <t>EE100638</t>
  </si>
  <si>
    <t>EE100639</t>
  </si>
  <si>
    <t>DELL T3500 WORKSTATION</t>
  </si>
  <si>
    <t>E7M4Q63X</t>
  </si>
  <si>
    <t>DELL WORKSTATION</t>
  </si>
  <si>
    <t>E3GZJ4X1</t>
  </si>
  <si>
    <t>AP1</t>
  </si>
  <si>
    <t>20160201</t>
  </si>
  <si>
    <t>EHFZJ4X1</t>
  </si>
  <si>
    <t>AS1</t>
  </si>
  <si>
    <t>DELL 便捷机</t>
  </si>
  <si>
    <t>EFX74D51</t>
  </si>
  <si>
    <t>DELL服务器</t>
  </si>
  <si>
    <t>EE100745</t>
  </si>
  <si>
    <t>DL360PG8 SRVR AA MSG STD</t>
  </si>
  <si>
    <t>AN06213</t>
  </si>
  <si>
    <t>20190801</t>
  </si>
  <si>
    <t>DL360PG8 SRVR MEDIUM AVP</t>
  </si>
  <si>
    <t>AT09419</t>
  </si>
  <si>
    <t>DL360PG8 SRVR SMALL AVP</t>
  </si>
  <si>
    <t>AT09205</t>
  </si>
  <si>
    <t>AT09208</t>
  </si>
  <si>
    <t>DL360PG8 SRVR北京</t>
  </si>
  <si>
    <t>AT09211</t>
  </si>
  <si>
    <t>DL360PG8 SRVR广州</t>
  </si>
  <si>
    <t>AT09204</t>
  </si>
  <si>
    <t>DL360PG8 SRVR南京</t>
  </si>
  <si>
    <t>AT09209</t>
  </si>
  <si>
    <t>DL360PG8 SRVR深圳</t>
  </si>
  <si>
    <t>AT09206</t>
  </si>
  <si>
    <t>DTU PAIRGAIN ERU-412</t>
  </si>
  <si>
    <t>E0009000</t>
  </si>
  <si>
    <t>20031001</t>
  </si>
  <si>
    <t>Desktop PC</t>
  </si>
  <si>
    <t>5202G1X</t>
  </si>
  <si>
    <t>5245726</t>
  </si>
  <si>
    <t>524572D</t>
  </si>
  <si>
    <t>5301M3X</t>
  </si>
  <si>
    <t>5311QD4</t>
  </si>
  <si>
    <t>5311QDB</t>
  </si>
  <si>
    <t>5311QDF</t>
  </si>
  <si>
    <t>5311QDK</t>
  </si>
  <si>
    <t>5311QDQ</t>
  </si>
  <si>
    <t>5354JYM</t>
  </si>
  <si>
    <t>5354JYP</t>
  </si>
  <si>
    <t>5354JYT?</t>
  </si>
  <si>
    <t>5354JYV?</t>
  </si>
  <si>
    <t>5354OYR?</t>
  </si>
  <si>
    <t>5356LRM</t>
  </si>
  <si>
    <t>5365CCY?</t>
  </si>
  <si>
    <t>5365CN1</t>
  </si>
  <si>
    <t>5365CNC</t>
  </si>
  <si>
    <t>5365LMF</t>
  </si>
  <si>
    <t>5365LMG</t>
  </si>
  <si>
    <t>5365LMJ</t>
  </si>
  <si>
    <t>5365LMK</t>
  </si>
  <si>
    <t>5365LMN</t>
  </si>
  <si>
    <t>5365LMP</t>
  </si>
  <si>
    <t>5365LMQ</t>
  </si>
  <si>
    <t>5365LMR</t>
  </si>
  <si>
    <t>5365LMV</t>
  </si>
  <si>
    <t>MM0</t>
  </si>
  <si>
    <t>5365LMW</t>
  </si>
  <si>
    <t>5365LN2</t>
  </si>
  <si>
    <t>MP0</t>
  </si>
  <si>
    <t>5365LN3</t>
  </si>
  <si>
    <t>5365LN4</t>
  </si>
  <si>
    <t>5365LN6</t>
  </si>
  <si>
    <t>5365LN7</t>
  </si>
  <si>
    <t>5365LN9</t>
  </si>
  <si>
    <t>5365LNB</t>
  </si>
  <si>
    <t>5365LNG</t>
  </si>
  <si>
    <t>5365LNO</t>
  </si>
  <si>
    <t>5365LPL</t>
  </si>
  <si>
    <t>IT5</t>
  </si>
  <si>
    <t>5365LPM</t>
  </si>
  <si>
    <t>5365LPN</t>
  </si>
  <si>
    <t>5365LPP</t>
  </si>
  <si>
    <t>5365LPQ</t>
  </si>
  <si>
    <t>5365LPR</t>
  </si>
  <si>
    <t>5365LPS</t>
  </si>
  <si>
    <t>5365LPT</t>
  </si>
  <si>
    <t>5365LPV</t>
  </si>
  <si>
    <t>5365LPW</t>
  </si>
  <si>
    <t>5365LPX</t>
  </si>
  <si>
    <t>5365LPY</t>
  </si>
  <si>
    <t>5365LPZ</t>
  </si>
  <si>
    <t>5365LQ0</t>
  </si>
  <si>
    <t>5365LQ1</t>
  </si>
  <si>
    <t>5365LQ2</t>
  </si>
  <si>
    <t>5365LQ3</t>
  </si>
  <si>
    <t>5365LQ4</t>
  </si>
  <si>
    <t>5365LQ5</t>
  </si>
  <si>
    <t>5365LQ6</t>
  </si>
  <si>
    <t>5365LQ7</t>
  </si>
  <si>
    <t>5365LQ8</t>
  </si>
  <si>
    <t>5365LQ9</t>
  </si>
  <si>
    <t>5365LQB</t>
  </si>
  <si>
    <t>5365LQC</t>
  </si>
  <si>
    <t>5365LQD</t>
  </si>
  <si>
    <t>5365LQF</t>
  </si>
  <si>
    <t>5365LQG</t>
  </si>
  <si>
    <t>5365LQH</t>
  </si>
  <si>
    <t>5365LQJ</t>
  </si>
  <si>
    <t>5365LQK</t>
  </si>
  <si>
    <t>5365LQM</t>
  </si>
  <si>
    <t>5365LQP</t>
  </si>
  <si>
    <t>5365LQQ</t>
  </si>
  <si>
    <t>5365LQR</t>
  </si>
  <si>
    <t>5365LQS</t>
  </si>
  <si>
    <t>5365LQT</t>
  </si>
  <si>
    <t>5365LQV</t>
  </si>
  <si>
    <t>5365LQW</t>
  </si>
  <si>
    <t>5365LQX</t>
  </si>
  <si>
    <t>5365LQY</t>
  </si>
  <si>
    <t>5365LQZ</t>
  </si>
  <si>
    <t>5365LR0</t>
  </si>
  <si>
    <t>5365LR1</t>
  </si>
  <si>
    <t>5365LR2</t>
  </si>
  <si>
    <t>5365LR3</t>
  </si>
  <si>
    <t>5365LR4</t>
  </si>
  <si>
    <t>5365LR5</t>
  </si>
  <si>
    <t>5365LR6</t>
  </si>
  <si>
    <t>5365LR7</t>
  </si>
  <si>
    <t>5365LR8</t>
  </si>
  <si>
    <t>5365LR9</t>
  </si>
  <si>
    <t>5365LRB</t>
  </si>
  <si>
    <t>5365LRC</t>
  </si>
  <si>
    <t>5365LRD</t>
  </si>
  <si>
    <t>CN01</t>
    <phoneticPr fontId="4" type="noConversion"/>
  </si>
  <si>
    <t>5365LRF</t>
  </si>
  <si>
    <t>5365LRG</t>
  </si>
  <si>
    <t>CN01</t>
    <phoneticPr fontId="4" type="noConversion"/>
  </si>
  <si>
    <t>F10</t>
    <phoneticPr fontId="4" type="noConversion"/>
  </si>
  <si>
    <t>5365LRH</t>
  </si>
  <si>
    <t>CN01</t>
    <phoneticPr fontId="4" type="noConversion"/>
  </si>
  <si>
    <t>F10</t>
    <phoneticPr fontId="4" type="noConversion"/>
  </si>
  <si>
    <t>5365LRJ</t>
  </si>
  <si>
    <t>CN01</t>
    <phoneticPr fontId="4" type="noConversion"/>
  </si>
  <si>
    <t>F10</t>
    <phoneticPr fontId="4" type="noConversion"/>
  </si>
  <si>
    <t>5365LRL</t>
  </si>
  <si>
    <t>5365LRN</t>
  </si>
  <si>
    <t>5365LRP</t>
  </si>
  <si>
    <t>5365LRQ</t>
  </si>
  <si>
    <t>5365LRR</t>
  </si>
  <si>
    <t>5365LRS</t>
  </si>
  <si>
    <t>5365LRT</t>
  </si>
  <si>
    <t>5365LRV</t>
  </si>
  <si>
    <t>5365LRX</t>
  </si>
  <si>
    <t>5365LRY</t>
  </si>
  <si>
    <t>5365LRZ</t>
  </si>
  <si>
    <t>5365LS1</t>
  </si>
  <si>
    <t>5365LS2</t>
  </si>
  <si>
    <t>5365LS3</t>
  </si>
  <si>
    <t>5365LS4</t>
  </si>
  <si>
    <t>5365LS5</t>
  </si>
  <si>
    <t>5365LSO</t>
  </si>
  <si>
    <t>53767R2</t>
  </si>
  <si>
    <t>53767R7?</t>
  </si>
  <si>
    <t>5376H5V</t>
  </si>
  <si>
    <t>5376H5W</t>
  </si>
  <si>
    <t>5376HST</t>
  </si>
  <si>
    <t>5410GDM??</t>
  </si>
  <si>
    <t>5410GDN</t>
  </si>
  <si>
    <t>5410GDR</t>
  </si>
  <si>
    <t>5410GF6??</t>
  </si>
  <si>
    <t>5410GFM?</t>
  </si>
  <si>
    <t>5410GFO</t>
  </si>
  <si>
    <t>5410GFX</t>
  </si>
  <si>
    <t>54215X9</t>
  </si>
  <si>
    <t>54215XD</t>
  </si>
  <si>
    <t>54215XF</t>
  </si>
  <si>
    <t>Desktop*1</t>
  </si>
  <si>
    <t>EHBC1517</t>
  </si>
  <si>
    <t>20181001</t>
  </si>
  <si>
    <t>EHBC1518</t>
  </si>
  <si>
    <t>EHBC1519</t>
  </si>
  <si>
    <t>EHBC1520</t>
  </si>
  <si>
    <t>EHBC1521</t>
  </si>
  <si>
    <t>EHBC1522</t>
  </si>
  <si>
    <t>EHBC1523</t>
  </si>
  <si>
    <t>EHBC1524</t>
  </si>
  <si>
    <t>EHBC1525</t>
  </si>
  <si>
    <t>EHBC1526</t>
  </si>
  <si>
    <t>EHBC1527</t>
  </si>
  <si>
    <t>EHBC1528</t>
  </si>
  <si>
    <t>EHBC1529</t>
  </si>
  <si>
    <t>EHBC1530</t>
  </si>
  <si>
    <t>EHBC1531</t>
  </si>
  <si>
    <t>EHBC1532</t>
  </si>
  <si>
    <t>EHBC1533</t>
  </si>
  <si>
    <t>EHBC1534</t>
  </si>
  <si>
    <t>EHBC1535</t>
  </si>
  <si>
    <t>EHBC1536</t>
  </si>
  <si>
    <t>EHBC1537</t>
  </si>
  <si>
    <t>EHBC1538</t>
  </si>
  <si>
    <t>EHBC1539</t>
  </si>
  <si>
    <t>EHBC1540</t>
  </si>
  <si>
    <t>EHBC1541</t>
  </si>
  <si>
    <t>EHBC1542</t>
  </si>
  <si>
    <t>EHBC1543</t>
  </si>
  <si>
    <t>EHBC1544</t>
  </si>
  <si>
    <t>EHBC1545</t>
  </si>
  <si>
    <t>EHBC1546</t>
  </si>
  <si>
    <t>EHBC1547</t>
  </si>
  <si>
    <t>EHBC1548</t>
  </si>
  <si>
    <t>EHBC1549</t>
  </si>
  <si>
    <t>EHBC1550</t>
  </si>
  <si>
    <t>EHBC1551</t>
  </si>
  <si>
    <t>EHBC1552</t>
  </si>
  <si>
    <t>EHBC1553</t>
  </si>
  <si>
    <t>EHBC1554</t>
  </si>
  <si>
    <t>EHBC1555</t>
  </si>
  <si>
    <t>EHBC1556</t>
  </si>
  <si>
    <t>EHBC1557</t>
  </si>
  <si>
    <t>EHBC1558</t>
  </si>
  <si>
    <t>EHBC1559</t>
  </si>
  <si>
    <t>EHBC1560</t>
  </si>
  <si>
    <t>EHBC1561</t>
  </si>
  <si>
    <t>EHBC1562</t>
  </si>
  <si>
    <t>EHBC1563</t>
  </si>
  <si>
    <t>EHBC1564</t>
  </si>
  <si>
    <t>EHBC1565</t>
  </si>
  <si>
    <t>EHBC1566</t>
  </si>
  <si>
    <t>EHBC1567</t>
  </si>
  <si>
    <t>EHBC1568</t>
  </si>
  <si>
    <t>EHBC1569</t>
  </si>
  <si>
    <t>EHBC1570</t>
  </si>
  <si>
    <t>EHBC1571</t>
  </si>
  <si>
    <t>EHBC1572</t>
  </si>
  <si>
    <t>EHBC1573</t>
  </si>
  <si>
    <t>EHBC1574</t>
  </si>
  <si>
    <t>EHBC1575</t>
  </si>
  <si>
    <t>EHBC1576</t>
  </si>
  <si>
    <t>EHBC1577</t>
  </si>
  <si>
    <t>EHBC1578</t>
  </si>
  <si>
    <t>EHBC1579</t>
  </si>
  <si>
    <t>EHBC1580</t>
  </si>
  <si>
    <t>EHBC1581</t>
  </si>
  <si>
    <t>EHBC1582</t>
  </si>
  <si>
    <t>EHBC1583</t>
  </si>
  <si>
    <t>EHBC1584</t>
  </si>
  <si>
    <t>EHBC1585</t>
  </si>
  <si>
    <t>EHBC1586</t>
  </si>
  <si>
    <t>EHBC1587</t>
  </si>
  <si>
    <t>EHBC1588</t>
  </si>
  <si>
    <t>EHBC1589</t>
  </si>
  <si>
    <t>EHBC1590</t>
  </si>
  <si>
    <t>EHBC1591</t>
  </si>
  <si>
    <t>EHBC1592</t>
  </si>
  <si>
    <t>EHBC1593</t>
  </si>
  <si>
    <t>CN01</t>
    <phoneticPr fontId="4" type="noConversion"/>
  </si>
  <si>
    <t>F10</t>
    <phoneticPr fontId="4" type="noConversion"/>
  </si>
  <si>
    <t>EHBC1594</t>
  </si>
  <si>
    <t>EHBC1595</t>
  </si>
  <si>
    <t>EHBC1596</t>
  </si>
  <si>
    <t>EHBC1597</t>
  </si>
  <si>
    <t>EHBC1598</t>
  </si>
  <si>
    <t>EHBC1599</t>
  </si>
  <si>
    <t>EHBC1600</t>
  </si>
  <si>
    <t>EHBC1601</t>
  </si>
  <si>
    <t>EHBC1602</t>
  </si>
  <si>
    <t>EHBC1603</t>
  </si>
  <si>
    <t>EHBC1604</t>
  </si>
  <si>
    <t>EHBC1605</t>
  </si>
  <si>
    <t>EHBC1606</t>
  </si>
  <si>
    <t>EHBC1607</t>
  </si>
  <si>
    <t>EHBC1608</t>
  </si>
  <si>
    <t>EHBC1609</t>
  </si>
  <si>
    <t>EHBC1610</t>
  </si>
  <si>
    <t>EHBC1611</t>
  </si>
  <si>
    <t>EHBC1612</t>
  </si>
  <si>
    <t>EHBC1613</t>
  </si>
  <si>
    <t>EHBC1614</t>
  </si>
  <si>
    <t>EHBC1615</t>
  </si>
  <si>
    <t>EHBC1616</t>
  </si>
  <si>
    <t>EHBC1617</t>
  </si>
  <si>
    <t>EHBC1618</t>
  </si>
  <si>
    <t>EHBC1619</t>
  </si>
  <si>
    <t>EHBC1620</t>
  </si>
  <si>
    <t>Desktop-HP 600</t>
  </si>
  <si>
    <t>70204ZJ?</t>
  </si>
  <si>
    <t>?70204ZG</t>
  </si>
  <si>
    <t>?70204ZH</t>
  </si>
  <si>
    <t>?70204ZK</t>
  </si>
  <si>
    <t>EDP EQU.FOR COMPUTER ROOM</t>
  </si>
  <si>
    <t>E0010008</t>
  </si>
  <si>
    <t>EDP NET WORK</t>
  </si>
  <si>
    <t>E0010007</t>
  </si>
  <si>
    <t>EX000001</t>
  </si>
  <si>
    <t>EDP001</t>
  </si>
  <si>
    <t>19990601</t>
  </si>
  <si>
    <t>EX000002</t>
  </si>
  <si>
    <t>EDP086</t>
  </si>
  <si>
    <t>EDP监控系统</t>
  </si>
  <si>
    <t>E0008466</t>
  </si>
  <si>
    <t>20090301</t>
  </si>
  <si>
    <t>EMC硬盘</t>
  </si>
  <si>
    <t>E100850</t>
  </si>
  <si>
    <t>E100851</t>
  </si>
  <si>
    <t>EliteDesk 800 G3 SFF</t>
  </si>
  <si>
    <t>80440HL</t>
  </si>
  <si>
    <t>80440HM</t>
  </si>
  <si>
    <t>80440HN</t>
  </si>
  <si>
    <t>80440HP</t>
  </si>
  <si>
    <t>CN01</t>
    <phoneticPr fontId="4" type="noConversion"/>
  </si>
  <si>
    <t>F10</t>
    <phoneticPr fontId="4" type="noConversion"/>
  </si>
  <si>
    <t>80440HQ</t>
  </si>
  <si>
    <t>80440HR</t>
  </si>
  <si>
    <t>80440HS</t>
  </si>
  <si>
    <t>80440HT</t>
  </si>
  <si>
    <t>80440HV</t>
  </si>
  <si>
    <t>80440HW</t>
  </si>
  <si>
    <t>80440HX</t>
  </si>
  <si>
    <t>80440HY</t>
  </si>
  <si>
    <t>H/W AVOCENT DSR2020</t>
  </si>
  <si>
    <t>E0008477</t>
  </si>
  <si>
    <t>20060201</t>
  </si>
  <si>
    <t>E0008478</t>
  </si>
  <si>
    <t>E0008479</t>
  </si>
  <si>
    <t>HMC</t>
  </si>
  <si>
    <t>E0008451</t>
  </si>
  <si>
    <t>20081301</t>
  </si>
  <si>
    <t>HP  820 G3</t>
  </si>
  <si>
    <t>6453DWH</t>
  </si>
  <si>
    <t>6453DWZ</t>
  </si>
  <si>
    <t>6453DXR</t>
  </si>
  <si>
    <t>6453DYM</t>
  </si>
  <si>
    <t>6453DZ6</t>
  </si>
  <si>
    <t>PL0</t>
  </si>
  <si>
    <t>6453DZV</t>
  </si>
  <si>
    <t>6453F05</t>
  </si>
  <si>
    <t>6453F09</t>
  </si>
  <si>
    <t>6453F0M</t>
  </si>
  <si>
    <t>6453F0Z</t>
  </si>
  <si>
    <t>6453F15</t>
  </si>
  <si>
    <t>6453F1W</t>
  </si>
  <si>
    <t>6453F2D</t>
  </si>
  <si>
    <t>6453F2R</t>
  </si>
  <si>
    <t>6453F37</t>
  </si>
  <si>
    <t>6453F3G</t>
  </si>
  <si>
    <t>6453F44</t>
  </si>
  <si>
    <t>6453F4F</t>
  </si>
  <si>
    <t>6453F4Y</t>
  </si>
  <si>
    <t>6453F5L</t>
  </si>
  <si>
    <t>6453F5R</t>
  </si>
  <si>
    <t>6453F64</t>
  </si>
  <si>
    <t>6453F6B</t>
  </si>
  <si>
    <t>6453F8N</t>
  </si>
  <si>
    <t>6453F8T</t>
  </si>
  <si>
    <t>HP  840 G3</t>
  </si>
  <si>
    <t>6473KL3</t>
  </si>
  <si>
    <t>6473KLF</t>
  </si>
  <si>
    <t>6473KLT</t>
  </si>
  <si>
    <t>6473KM7</t>
  </si>
  <si>
    <t>6473KMH</t>
  </si>
  <si>
    <t>6473KMR</t>
  </si>
  <si>
    <t>6473KN2</t>
  </si>
  <si>
    <t>HP 600</t>
  </si>
  <si>
    <t>7103PDD</t>
  </si>
  <si>
    <t>7103PDF</t>
  </si>
  <si>
    <t>7103PDG</t>
  </si>
  <si>
    <t>7103PDH</t>
  </si>
  <si>
    <t>7103PDJ</t>
  </si>
  <si>
    <t>7103PDK</t>
  </si>
  <si>
    <t>7103PDL</t>
  </si>
  <si>
    <t>7103PDM</t>
  </si>
  <si>
    <t>7103PDN</t>
  </si>
  <si>
    <t>7103PDP</t>
  </si>
  <si>
    <t>7103PDQ</t>
  </si>
  <si>
    <t>7103PDR</t>
  </si>
  <si>
    <t>7103PDS</t>
  </si>
  <si>
    <t>7104S9N?</t>
  </si>
  <si>
    <t>?7104S9L</t>
  </si>
  <si>
    <t>?7104S9R</t>
  </si>
  <si>
    <t>HP 600  G3</t>
  </si>
  <si>
    <t>8044BBK</t>
  </si>
  <si>
    <t>PD0</t>
  </si>
  <si>
    <t>8044BBL</t>
  </si>
  <si>
    <t>8044BBM</t>
  </si>
  <si>
    <t>8044BBR</t>
  </si>
  <si>
    <t>8044BBS</t>
  </si>
  <si>
    <t>8044BBT</t>
  </si>
  <si>
    <t>8044BBV</t>
  </si>
  <si>
    <t>8044BBW</t>
  </si>
  <si>
    <t>8044BBX</t>
  </si>
  <si>
    <t>HP 600 4G Mem</t>
  </si>
  <si>
    <t>6CR644N</t>
  </si>
  <si>
    <t>OP5</t>
  </si>
  <si>
    <t>6CR644Z</t>
  </si>
  <si>
    <t>HP 800 G3</t>
  </si>
  <si>
    <t>7488TKD</t>
  </si>
  <si>
    <t>7488TKF</t>
  </si>
  <si>
    <t>HP 820</t>
  </si>
  <si>
    <t>?7113VLS</t>
  </si>
  <si>
    <t>HP 820  G3</t>
  </si>
  <si>
    <t>805051G</t>
  </si>
  <si>
    <t>MA0</t>
  </si>
  <si>
    <t>HP 840</t>
  </si>
  <si>
    <t>6231H6X?</t>
  </si>
  <si>
    <t>6231H74</t>
  </si>
  <si>
    <t>6231H7C</t>
  </si>
  <si>
    <t>6231H86?</t>
  </si>
  <si>
    <t>6231H8K</t>
  </si>
  <si>
    <t>6231H8L?</t>
  </si>
  <si>
    <t>62826SK</t>
  </si>
  <si>
    <t>62826SS</t>
  </si>
  <si>
    <t>62826TB</t>
  </si>
  <si>
    <t>7490TL1</t>
  </si>
  <si>
    <t>MG0</t>
  </si>
  <si>
    <t>7490TL7</t>
  </si>
  <si>
    <t>7490TLF</t>
  </si>
  <si>
    <t>?7105DTK</t>
  </si>
  <si>
    <t>?7105DTS</t>
  </si>
  <si>
    <t>?7105DTZ</t>
  </si>
  <si>
    <t>?7105DV8</t>
  </si>
  <si>
    <t>?7105DVK</t>
  </si>
  <si>
    <t>HP 840  G3</t>
  </si>
  <si>
    <t>8051HVJ</t>
  </si>
  <si>
    <t>8051HVS</t>
  </si>
  <si>
    <t>AR0</t>
  </si>
  <si>
    <t>8051HVY</t>
  </si>
  <si>
    <t>8051HW4</t>
  </si>
  <si>
    <t>AV0</t>
  </si>
  <si>
    <t>8051HW8</t>
  </si>
  <si>
    <t>HP 840 G3</t>
  </si>
  <si>
    <t>8034GQS</t>
  </si>
  <si>
    <t>8034GQW</t>
  </si>
  <si>
    <t>8034GR0</t>
  </si>
  <si>
    <t>8034GR3</t>
  </si>
  <si>
    <t>8034GR6</t>
  </si>
  <si>
    <t>8034GR9</t>
  </si>
  <si>
    <t>8034GRD</t>
  </si>
  <si>
    <t>8034GRJ</t>
  </si>
  <si>
    <t>8034GRM</t>
  </si>
  <si>
    <t>8034GRQ</t>
  </si>
  <si>
    <t>8034GRT</t>
  </si>
  <si>
    <t>8034GRW</t>
  </si>
  <si>
    <t>8034GRZ</t>
  </si>
  <si>
    <t>HP 840G3</t>
  </si>
  <si>
    <t>74660GZ</t>
  </si>
  <si>
    <t>74660H2</t>
  </si>
  <si>
    <t>74660H9</t>
  </si>
  <si>
    <t>74660HG</t>
  </si>
  <si>
    <t>74660HM</t>
  </si>
  <si>
    <t>74660HS</t>
  </si>
  <si>
    <t>74660HW</t>
  </si>
  <si>
    <t>HP APTOP</t>
  </si>
  <si>
    <t>IT000114</t>
  </si>
  <si>
    <t>HP Desktop Replacement</t>
  </si>
  <si>
    <t>EPC16001</t>
  </si>
  <si>
    <t>AD3</t>
  </si>
  <si>
    <t>EPC16002</t>
  </si>
  <si>
    <t>EPC16003</t>
  </si>
  <si>
    <t>EPC16004</t>
  </si>
  <si>
    <t>EPC16005</t>
  </si>
  <si>
    <t>EPC16006</t>
  </si>
  <si>
    <t>EPC16007</t>
  </si>
  <si>
    <t>EPC16008</t>
  </si>
  <si>
    <t>EPC16009</t>
  </si>
  <si>
    <t>EPC16010</t>
  </si>
  <si>
    <t>EPC16011</t>
  </si>
  <si>
    <t>EPC16012</t>
  </si>
  <si>
    <t>EPC16013</t>
  </si>
  <si>
    <t>EPC16014</t>
  </si>
  <si>
    <t>EPC16015</t>
  </si>
  <si>
    <t>EPC16016</t>
  </si>
  <si>
    <t>EPC16017</t>
  </si>
  <si>
    <t>EPC16018</t>
  </si>
  <si>
    <t>EPC16019</t>
  </si>
  <si>
    <t>EPC16020</t>
  </si>
  <si>
    <t>EPC16021</t>
  </si>
  <si>
    <t>EPC16022</t>
  </si>
  <si>
    <t>EPC16023</t>
  </si>
  <si>
    <t>EPC16024</t>
  </si>
  <si>
    <t>EPC16025</t>
  </si>
  <si>
    <t>EPC16026</t>
  </si>
  <si>
    <t>EPC16027</t>
  </si>
  <si>
    <t>EPC16028</t>
  </si>
  <si>
    <t>EPC16029</t>
  </si>
  <si>
    <t>EPC16030</t>
  </si>
  <si>
    <t>EPC16031</t>
  </si>
  <si>
    <t>EPC16032</t>
  </si>
  <si>
    <t>EPC16033</t>
  </si>
  <si>
    <t>EPC16034</t>
  </si>
  <si>
    <t>EPC16035</t>
  </si>
  <si>
    <t>EPC16036</t>
  </si>
  <si>
    <t>EPC16037</t>
  </si>
  <si>
    <t>EPC16038</t>
  </si>
  <si>
    <t>EPC16039</t>
  </si>
  <si>
    <t>EPC16040</t>
  </si>
  <si>
    <t>EPC16041</t>
  </si>
  <si>
    <t>EPC16042</t>
  </si>
  <si>
    <t>EPC16043</t>
  </si>
  <si>
    <t>EPC16044</t>
  </si>
  <si>
    <t>EPC16045</t>
  </si>
  <si>
    <t>EPC16046</t>
  </si>
  <si>
    <t>EPC16047</t>
  </si>
  <si>
    <t>EPC16048</t>
  </si>
  <si>
    <t>EPC16049</t>
  </si>
  <si>
    <t>EPC16050</t>
  </si>
  <si>
    <t>EPC16051</t>
  </si>
  <si>
    <t>EPC16052</t>
  </si>
  <si>
    <t>EPC16053</t>
  </si>
  <si>
    <t>EPC16054</t>
  </si>
  <si>
    <t>EPC16055</t>
  </si>
  <si>
    <t>EPC16056</t>
  </si>
  <si>
    <t>EPC16057</t>
  </si>
  <si>
    <t>EPC16058</t>
  </si>
  <si>
    <t>EPC16059</t>
  </si>
  <si>
    <t>EPC16060</t>
  </si>
  <si>
    <t>EPC16061</t>
  </si>
  <si>
    <t>EPC16062</t>
  </si>
  <si>
    <t>EPC16063</t>
  </si>
  <si>
    <t>EPC16064</t>
  </si>
  <si>
    <t>EPC16065</t>
  </si>
  <si>
    <t>EPC16066</t>
  </si>
  <si>
    <t>EPC16067</t>
  </si>
  <si>
    <t>EPC16068</t>
  </si>
  <si>
    <t>EPC16069</t>
  </si>
  <si>
    <t>EPC16070</t>
  </si>
  <si>
    <t>EPC16071</t>
  </si>
  <si>
    <t>EPC16072</t>
  </si>
  <si>
    <t>EPC16073</t>
  </si>
  <si>
    <t>EPC16074</t>
  </si>
  <si>
    <t>EPC16075</t>
  </si>
  <si>
    <t>EPC16076</t>
  </si>
  <si>
    <t>EPC16077</t>
  </si>
  <si>
    <t>EPC16078</t>
  </si>
  <si>
    <t>EPC16079</t>
  </si>
  <si>
    <t>EPC16080</t>
  </si>
  <si>
    <t>EPC16081</t>
  </si>
  <si>
    <t>EPC16082</t>
  </si>
  <si>
    <t>EPC16083</t>
  </si>
  <si>
    <t>EPC16084</t>
  </si>
  <si>
    <t>FN1</t>
  </si>
  <si>
    <t>EPC16085</t>
  </si>
  <si>
    <t>CN01</t>
    <phoneticPr fontId="4" type="noConversion"/>
  </si>
  <si>
    <t>F10</t>
    <phoneticPr fontId="4" type="noConversion"/>
  </si>
  <si>
    <t>EPC16086</t>
  </si>
  <si>
    <t>AG1</t>
  </si>
  <si>
    <t>EPC16087</t>
  </si>
  <si>
    <t>CN01</t>
    <phoneticPr fontId="4" type="noConversion"/>
  </si>
  <si>
    <t>F10</t>
    <phoneticPr fontId="4" type="noConversion"/>
  </si>
  <si>
    <t>EPC16088</t>
  </si>
  <si>
    <t>EPC16089</t>
  </si>
  <si>
    <t>OP9</t>
  </si>
  <si>
    <t>CN01</t>
    <phoneticPr fontId="4" type="noConversion"/>
  </si>
  <si>
    <t>F10</t>
    <phoneticPr fontId="4" type="noConversion"/>
  </si>
  <si>
    <t>EPC16090</t>
  </si>
  <si>
    <t>EPC16091</t>
  </si>
  <si>
    <t>CN01</t>
    <phoneticPr fontId="4" type="noConversion"/>
  </si>
  <si>
    <t>F10</t>
    <phoneticPr fontId="4" type="noConversion"/>
  </si>
  <si>
    <t>EPC16092</t>
  </si>
  <si>
    <t>EPC16093</t>
  </si>
  <si>
    <t>OP4</t>
  </si>
  <si>
    <t>CN01</t>
    <phoneticPr fontId="4" type="noConversion"/>
  </si>
  <si>
    <t>F10</t>
    <phoneticPr fontId="4" type="noConversion"/>
  </si>
  <si>
    <t>EPC16094</t>
  </si>
  <si>
    <t>EPC16095</t>
  </si>
  <si>
    <t>CN01</t>
    <phoneticPr fontId="4" type="noConversion"/>
  </si>
  <si>
    <t>F10</t>
    <phoneticPr fontId="4" type="noConversion"/>
  </si>
  <si>
    <t>EPC16096</t>
  </si>
  <si>
    <t>EPC16097</t>
  </si>
  <si>
    <t>CN01</t>
    <phoneticPr fontId="4" type="noConversion"/>
  </si>
  <si>
    <t>F10</t>
    <phoneticPr fontId="4" type="noConversion"/>
  </si>
  <si>
    <t>EPC16098</t>
  </si>
  <si>
    <t>EPC16099</t>
  </si>
  <si>
    <t>EPC16100</t>
  </si>
  <si>
    <t>EPC16101</t>
  </si>
  <si>
    <t>CN01</t>
    <phoneticPr fontId="4" type="noConversion"/>
  </si>
  <si>
    <t>F10</t>
    <phoneticPr fontId="4" type="noConversion"/>
  </si>
  <si>
    <t>EPC16102</t>
  </si>
  <si>
    <t>EPC16103</t>
  </si>
  <si>
    <t>CN01</t>
    <phoneticPr fontId="4" type="noConversion"/>
  </si>
  <si>
    <t>F10</t>
    <phoneticPr fontId="4" type="noConversion"/>
  </si>
  <si>
    <t>EPC16104</t>
  </si>
  <si>
    <t>EPC16105</t>
  </si>
  <si>
    <t>CN01</t>
    <phoneticPr fontId="4" type="noConversion"/>
  </si>
  <si>
    <t>F10</t>
    <phoneticPr fontId="4" type="noConversion"/>
  </si>
  <si>
    <t>EPC16106</t>
  </si>
  <si>
    <t>EPC16107</t>
  </si>
  <si>
    <t>CN01</t>
    <phoneticPr fontId="4" type="noConversion"/>
  </si>
  <si>
    <t>F10</t>
    <phoneticPr fontId="4" type="noConversion"/>
  </si>
  <si>
    <t>EPC16108</t>
  </si>
  <si>
    <t>EPC16109</t>
  </si>
  <si>
    <t>EPC16110</t>
  </si>
  <si>
    <t>EPC16111</t>
  </si>
  <si>
    <t>EPC16112</t>
  </si>
  <si>
    <t>EPC16113</t>
  </si>
  <si>
    <t>CN01</t>
    <phoneticPr fontId="4" type="noConversion"/>
  </si>
  <si>
    <t>F10</t>
    <phoneticPr fontId="4" type="noConversion"/>
  </si>
  <si>
    <t>EPC16114</t>
  </si>
  <si>
    <t>EPC16115</t>
  </si>
  <si>
    <t>CN01</t>
    <phoneticPr fontId="4" type="noConversion"/>
  </si>
  <si>
    <t>F10</t>
    <phoneticPr fontId="4" type="noConversion"/>
  </si>
  <si>
    <t>EPC16116</t>
  </si>
  <si>
    <t>EPC16117</t>
  </si>
  <si>
    <t>EPC16118</t>
  </si>
  <si>
    <t>EPC16119</t>
  </si>
  <si>
    <t>EPC16120</t>
  </si>
  <si>
    <t>EPC16121</t>
  </si>
  <si>
    <t>EPC16122</t>
  </si>
  <si>
    <t>EPC16123</t>
  </si>
  <si>
    <t>EPC16124</t>
  </si>
  <si>
    <t>EPC16125</t>
  </si>
  <si>
    <t>CN01</t>
    <phoneticPr fontId="4" type="noConversion"/>
  </si>
  <si>
    <t>F10</t>
    <phoneticPr fontId="4" type="noConversion"/>
  </si>
  <si>
    <t>EPC16126</t>
  </si>
  <si>
    <t>EPC16127</t>
  </si>
  <si>
    <t>CN01</t>
    <phoneticPr fontId="4" type="noConversion"/>
  </si>
  <si>
    <t>F10</t>
    <phoneticPr fontId="4" type="noConversion"/>
  </si>
  <si>
    <t>EPC16128</t>
  </si>
  <si>
    <t>OG1</t>
  </si>
  <si>
    <t>EPC16129</t>
  </si>
  <si>
    <t>CN01</t>
    <phoneticPr fontId="4" type="noConversion"/>
  </si>
  <si>
    <t>F10</t>
    <phoneticPr fontId="4" type="noConversion"/>
  </si>
  <si>
    <t>EPC16130</t>
  </si>
  <si>
    <t>EPC16131</t>
  </si>
  <si>
    <t>CN01</t>
    <phoneticPr fontId="4" type="noConversion"/>
  </si>
  <si>
    <t>F10</t>
    <phoneticPr fontId="4" type="noConversion"/>
  </si>
  <si>
    <t>EPC16132</t>
  </si>
  <si>
    <t>EPC16133</t>
  </si>
  <si>
    <t>EPC16134</t>
  </si>
  <si>
    <t>EPC16135</t>
  </si>
  <si>
    <t>EPC16136</t>
  </si>
  <si>
    <t>EPC16137</t>
  </si>
  <si>
    <t>EPC16138</t>
  </si>
  <si>
    <t>EPC16139</t>
  </si>
  <si>
    <t>EPC16140</t>
  </si>
  <si>
    <t>EPC16141</t>
  </si>
  <si>
    <t>EPC16142</t>
  </si>
  <si>
    <t>EPC16143</t>
  </si>
  <si>
    <t>CN01</t>
    <phoneticPr fontId="4" type="noConversion"/>
  </si>
  <si>
    <t>01</t>
  </si>
  <si>
    <t>F10</t>
    <phoneticPr fontId="4" type="noConversion"/>
  </si>
  <si>
    <t>EPC16144</t>
  </si>
  <si>
    <t>EPC16145</t>
  </si>
  <si>
    <t>CN01</t>
    <phoneticPr fontId="4" type="noConversion"/>
  </si>
  <si>
    <t>F10</t>
    <phoneticPr fontId="4" type="noConversion"/>
  </si>
  <si>
    <t>EPC16146</t>
  </si>
  <si>
    <t>EPC16147</t>
  </si>
  <si>
    <t>CN01</t>
    <phoneticPr fontId="4" type="noConversion"/>
  </si>
  <si>
    <t>F10</t>
    <phoneticPr fontId="4" type="noConversion"/>
  </si>
  <si>
    <t>EPC16148</t>
  </si>
  <si>
    <t>EPC16149</t>
  </si>
  <si>
    <t>CN01</t>
    <phoneticPr fontId="4" type="noConversion"/>
  </si>
  <si>
    <t>F10</t>
    <phoneticPr fontId="4" type="noConversion"/>
  </si>
  <si>
    <t>EPC16150</t>
  </si>
  <si>
    <t>EPC16151</t>
  </si>
  <si>
    <t>CN01</t>
    <phoneticPr fontId="4" type="noConversion"/>
  </si>
  <si>
    <t>F10</t>
    <phoneticPr fontId="4" type="noConversion"/>
  </si>
  <si>
    <t>EPC16152</t>
  </si>
  <si>
    <t>EPC16153</t>
  </si>
  <si>
    <t>CN01</t>
    <phoneticPr fontId="4" type="noConversion"/>
  </si>
  <si>
    <t>F10</t>
    <phoneticPr fontId="4" type="noConversion"/>
  </si>
  <si>
    <t>EPC16154</t>
  </si>
  <si>
    <t>EPC16155</t>
  </si>
  <si>
    <t>CN01</t>
    <phoneticPr fontId="4" type="noConversion"/>
  </si>
  <si>
    <t>F10</t>
    <phoneticPr fontId="4" type="noConversion"/>
  </si>
  <si>
    <t>EPC16156</t>
  </si>
  <si>
    <t>EPC16157</t>
  </si>
  <si>
    <t>CN01</t>
    <phoneticPr fontId="4" type="noConversion"/>
  </si>
  <si>
    <t>F10</t>
    <phoneticPr fontId="4" type="noConversion"/>
  </si>
  <si>
    <t>EPC16158</t>
  </si>
  <si>
    <t>EPC16159</t>
  </si>
  <si>
    <t>EPC16160</t>
  </si>
  <si>
    <t>EPC16161</t>
  </si>
  <si>
    <t>EPC16162</t>
  </si>
  <si>
    <t>EPC16163</t>
  </si>
  <si>
    <t>EPC16164</t>
  </si>
  <si>
    <t>EPC16165</t>
  </si>
  <si>
    <t>CN01</t>
    <phoneticPr fontId="4" type="noConversion"/>
  </si>
  <si>
    <t>F10</t>
    <phoneticPr fontId="4" type="noConversion"/>
  </si>
  <si>
    <t>EPC16166</t>
  </si>
  <si>
    <t>EPC16167</t>
  </si>
  <si>
    <t>CN01</t>
    <phoneticPr fontId="4" type="noConversion"/>
  </si>
  <si>
    <t>F10</t>
    <phoneticPr fontId="4" type="noConversion"/>
  </si>
  <si>
    <t>EPC16168</t>
  </si>
  <si>
    <t>EPC16169</t>
  </si>
  <si>
    <t>EPC16170</t>
  </si>
  <si>
    <t>EPC16171</t>
  </si>
  <si>
    <t>EPC16172</t>
  </si>
  <si>
    <t>EPC16173</t>
  </si>
  <si>
    <t>EPC16174</t>
  </si>
  <si>
    <t>HR1</t>
  </si>
  <si>
    <t>EPC16175</t>
  </si>
  <si>
    <t>EPC16176</t>
  </si>
  <si>
    <t>EPC16177</t>
  </si>
  <si>
    <t>AT1</t>
  </si>
  <si>
    <t>CN01</t>
    <phoneticPr fontId="4" type="noConversion"/>
  </si>
  <si>
    <t>F10</t>
    <phoneticPr fontId="4" type="noConversion"/>
  </si>
  <si>
    <t>EPC16178</t>
  </si>
  <si>
    <t>EPC16179</t>
  </si>
  <si>
    <t>EPC16180</t>
  </si>
  <si>
    <t>EPC16181</t>
  </si>
  <si>
    <t>CN01</t>
    <phoneticPr fontId="4" type="noConversion"/>
  </si>
  <si>
    <t>F10</t>
    <phoneticPr fontId="4" type="noConversion"/>
  </si>
  <si>
    <t>EPC16182</t>
  </si>
  <si>
    <t>EPC16183</t>
  </si>
  <si>
    <t>EPC16184</t>
  </si>
  <si>
    <t>EPC16185</t>
  </si>
  <si>
    <t>CN01</t>
    <phoneticPr fontId="4" type="noConversion"/>
  </si>
  <si>
    <t>F10</t>
    <phoneticPr fontId="4" type="noConversion"/>
  </si>
  <si>
    <t>EPC16186</t>
  </si>
  <si>
    <t>MK1</t>
  </si>
  <si>
    <t>EPC16187</t>
  </si>
  <si>
    <t>CN01</t>
    <phoneticPr fontId="4" type="noConversion"/>
  </si>
  <si>
    <t>F10</t>
    <phoneticPr fontId="4" type="noConversion"/>
  </si>
  <si>
    <t>EPC16188</t>
  </si>
  <si>
    <t>EPC16189</t>
  </si>
  <si>
    <t>EPC16190</t>
  </si>
  <si>
    <t>EPC16191</t>
  </si>
  <si>
    <t>EPC16192</t>
  </si>
  <si>
    <t>EPC16193</t>
  </si>
  <si>
    <t>EPC16194</t>
  </si>
  <si>
    <t>EPC16195</t>
  </si>
  <si>
    <t>CN01</t>
    <phoneticPr fontId="4" type="noConversion"/>
  </si>
  <si>
    <t>F10</t>
    <phoneticPr fontId="4" type="noConversion"/>
  </si>
  <si>
    <t>EPC16196</t>
  </si>
  <si>
    <t>EPC16197</t>
  </si>
  <si>
    <t>EPC16198</t>
  </si>
  <si>
    <t>EPC16199</t>
  </si>
  <si>
    <t>EPC16200</t>
  </si>
  <si>
    <t>EPC16201</t>
  </si>
  <si>
    <t>CN01</t>
    <phoneticPr fontId="4" type="noConversion"/>
  </si>
  <si>
    <t>F10</t>
    <phoneticPr fontId="4" type="noConversion"/>
  </si>
  <si>
    <t>EPC16202</t>
  </si>
  <si>
    <t>EPC16203</t>
  </si>
  <si>
    <t>EPC16204</t>
  </si>
  <si>
    <t>EPC16205</t>
  </si>
  <si>
    <t>CN01</t>
    <phoneticPr fontId="4" type="noConversion"/>
  </si>
  <si>
    <t>F10</t>
    <phoneticPr fontId="4" type="noConversion"/>
  </si>
  <si>
    <t>EPC16206</t>
  </si>
  <si>
    <t>EPC16207</t>
  </si>
  <si>
    <t>EPC16208</t>
  </si>
  <si>
    <t>EPC16209</t>
  </si>
  <si>
    <t>EPC16210</t>
  </si>
  <si>
    <t>EPC16211</t>
  </si>
  <si>
    <t>EPC16212</t>
  </si>
  <si>
    <t>EPC16213</t>
  </si>
  <si>
    <t>EPC16214</t>
  </si>
  <si>
    <t>EPC16215</t>
  </si>
  <si>
    <t>CN01</t>
    <phoneticPr fontId="4" type="noConversion"/>
  </si>
  <si>
    <t>F10</t>
    <phoneticPr fontId="4" type="noConversion"/>
  </si>
  <si>
    <t>EPC16216</t>
  </si>
  <si>
    <t>EPC16217</t>
  </si>
  <si>
    <t>CN01</t>
    <phoneticPr fontId="4" type="noConversion"/>
  </si>
  <si>
    <t>F10</t>
    <phoneticPr fontId="4" type="noConversion"/>
  </si>
  <si>
    <t>EPC16218</t>
  </si>
  <si>
    <t>EPC16219</t>
  </si>
  <si>
    <t>EPC16220</t>
  </si>
  <si>
    <t>BK1</t>
  </si>
  <si>
    <t>EPC16221</t>
  </si>
  <si>
    <t>EPC16222</t>
  </si>
  <si>
    <t>EPC16223</t>
  </si>
  <si>
    <t>EPC16224</t>
  </si>
  <si>
    <t>EPC16225</t>
  </si>
  <si>
    <t>EPC16226</t>
  </si>
  <si>
    <t>EPC16227</t>
  </si>
  <si>
    <t>EPC16228</t>
  </si>
  <si>
    <t>EPC16229</t>
  </si>
  <si>
    <t>EPC16230</t>
  </si>
  <si>
    <t>EPC16231</t>
  </si>
  <si>
    <t>EPC16232</t>
  </si>
  <si>
    <t>EPC16233</t>
  </si>
  <si>
    <t>EPC16234</t>
  </si>
  <si>
    <t>EPC16235</t>
  </si>
  <si>
    <t>EPC16236</t>
  </si>
  <si>
    <t>EPC16237</t>
  </si>
  <si>
    <t>CN01</t>
    <phoneticPr fontId="4" type="noConversion"/>
  </si>
  <si>
    <t>EPC16238</t>
  </si>
  <si>
    <t>EPC16239</t>
  </si>
  <si>
    <t>EPC16240</t>
  </si>
  <si>
    <t>EPC16241</t>
  </si>
  <si>
    <t>EPC16242</t>
  </si>
  <si>
    <t>EPC16243</t>
  </si>
  <si>
    <t>EPC16244</t>
  </si>
  <si>
    <t>EPC16245</t>
  </si>
  <si>
    <t>EPC16246</t>
  </si>
  <si>
    <t>AR1</t>
  </si>
  <si>
    <t>EPC16247</t>
  </si>
  <si>
    <t>EPC16248</t>
  </si>
  <si>
    <t>EPC16249</t>
  </si>
  <si>
    <t>EPC16250</t>
  </si>
  <si>
    <t>EPC16251</t>
  </si>
  <si>
    <t>EPC16252</t>
  </si>
  <si>
    <t>EPC16253</t>
  </si>
  <si>
    <t>EPC16254</t>
  </si>
  <si>
    <t>EPC16255</t>
  </si>
  <si>
    <t>EPC16256</t>
  </si>
  <si>
    <t>EPC16257</t>
  </si>
  <si>
    <t>EPC16258</t>
  </si>
  <si>
    <t>EPC16259</t>
  </si>
  <si>
    <t>EPC16260</t>
  </si>
  <si>
    <t>EPC16261</t>
  </si>
  <si>
    <t>CN01</t>
    <phoneticPr fontId="4" type="noConversion"/>
  </si>
  <si>
    <t>F10</t>
    <phoneticPr fontId="4" type="noConversion"/>
  </si>
  <si>
    <t>EPC16262</t>
  </si>
  <si>
    <t>EPC16263</t>
  </si>
  <si>
    <t>QA1</t>
  </si>
  <si>
    <t>EPC16264</t>
  </si>
  <si>
    <t>EPC16265</t>
  </si>
  <si>
    <t>OE0</t>
  </si>
  <si>
    <t>EPC16266</t>
  </si>
  <si>
    <t>EPC16267</t>
  </si>
  <si>
    <t>EPC16268</t>
  </si>
  <si>
    <t>EPC16269</t>
  </si>
  <si>
    <t>CN01</t>
    <phoneticPr fontId="4" type="noConversion"/>
  </si>
  <si>
    <t>F10</t>
    <phoneticPr fontId="4" type="noConversion"/>
  </si>
  <si>
    <t>EPC16270</t>
  </si>
  <si>
    <t>EPC16271</t>
  </si>
  <si>
    <t>EPC16272</t>
  </si>
  <si>
    <t>EPC16273</t>
  </si>
  <si>
    <t>EPC16274</t>
  </si>
  <si>
    <t>EPC16275</t>
  </si>
  <si>
    <t>EPC16276</t>
  </si>
  <si>
    <t>EPC16277</t>
  </si>
  <si>
    <t>EPC16278</t>
  </si>
  <si>
    <t>EPC16279</t>
  </si>
  <si>
    <t>EPC16280</t>
  </si>
  <si>
    <t>EPC16281</t>
  </si>
  <si>
    <t>HP Desktops</t>
  </si>
  <si>
    <t>5365LMH</t>
  </si>
  <si>
    <t>5365LMM</t>
  </si>
  <si>
    <t>CN01</t>
    <phoneticPr fontId="4" type="noConversion"/>
  </si>
  <si>
    <t>F10</t>
    <phoneticPr fontId="4" type="noConversion"/>
  </si>
  <si>
    <t>5365LMT</t>
  </si>
  <si>
    <t>5365LMZ</t>
  </si>
  <si>
    <t>5365LND</t>
  </si>
  <si>
    <t>54215X8</t>
  </si>
  <si>
    <t>54215XC</t>
  </si>
  <si>
    <t>HP ELITEBOOK8470P</t>
  </si>
  <si>
    <t>E4129RKX</t>
  </si>
  <si>
    <t>HP LAPTOP</t>
  </si>
  <si>
    <t>E4069V9G</t>
  </si>
  <si>
    <t>HP LASERJET PRINTER</t>
  </si>
  <si>
    <t>E0009701</t>
  </si>
  <si>
    <t>HP Laptop Replacement(HP</t>
  </si>
  <si>
    <t>ENBR1601</t>
  </si>
  <si>
    <t>ENBR1602</t>
  </si>
  <si>
    <t>ENBR1603</t>
  </si>
  <si>
    <t>ENBR1604</t>
  </si>
  <si>
    <t>CN01</t>
    <phoneticPr fontId="4" type="noConversion"/>
  </si>
  <si>
    <t>F10</t>
    <phoneticPr fontId="4" type="noConversion"/>
  </si>
  <si>
    <t>ENBR1605</t>
  </si>
  <si>
    <t>ENBR1606</t>
  </si>
  <si>
    <t>HP PC</t>
  </si>
  <si>
    <t>5202G1W</t>
  </si>
  <si>
    <t>5202G1Z</t>
  </si>
  <si>
    <t>5202G20</t>
  </si>
  <si>
    <t>5202G21</t>
  </si>
  <si>
    <t>5202G23</t>
  </si>
  <si>
    <t>CB0</t>
  </si>
  <si>
    <t>5202G24</t>
  </si>
  <si>
    <t>5202G28</t>
  </si>
  <si>
    <t>5202G2B</t>
  </si>
  <si>
    <t>5202G2C</t>
  </si>
  <si>
    <t>5245724</t>
  </si>
  <si>
    <t>CN01</t>
    <phoneticPr fontId="4" type="noConversion"/>
  </si>
  <si>
    <t>F10</t>
    <phoneticPr fontId="4" type="noConversion"/>
  </si>
  <si>
    <t>HP PC*1</t>
  </si>
  <si>
    <t>EHBN1515</t>
  </si>
  <si>
    <t>HP PRINTER</t>
  </si>
  <si>
    <t>E0001201</t>
  </si>
  <si>
    <t>E0001202</t>
  </si>
  <si>
    <t>E0001203</t>
  </si>
  <si>
    <t>E0009700</t>
  </si>
  <si>
    <t>20120901</t>
  </si>
  <si>
    <t>EE100799</t>
  </si>
  <si>
    <t>CN01</t>
    <phoneticPr fontId="4" type="noConversion"/>
  </si>
  <si>
    <t>F10</t>
    <phoneticPr fontId="4" type="noConversion"/>
  </si>
  <si>
    <t>HP ProDesk 600 G2 SFF</t>
  </si>
  <si>
    <t>70204Z2?</t>
  </si>
  <si>
    <t>HP ProDesk 600 G2 SFF Bus</t>
  </si>
  <si>
    <t>?70204Z7</t>
  </si>
  <si>
    <t>CN01</t>
    <phoneticPr fontId="4" type="noConversion"/>
  </si>
  <si>
    <t>F10</t>
    <phoneticPr fontId="4" type="noConversion"/>
  </si>
  <si>
    <t>HP SERVER</t>
  </si>
  <si>
    <t>EE100714</t>
  </si>
  <si>
    <t>EE100715</t>
  </si>
  <si>
    <t>HP Workstation Z840</t>
  </si>
  <si>
    <t>751W4CT</t>
  </si>
  <si>
    <t>HP Z440 workstation</t>
  </si>
  <si>
    <t>E100893</t>
  </si>
  <si>
    <t>CN01</t>
    <phoneticPr fontId="4" type="noConversion"/>
  </si>
  <si>
    <t>F10</t>
    <phoneticPr fontId="4" type="noConversion"/>
  </si>
  <si>
    <t>E100912</t>
  </si>
  <si>
    <t>E100913</t>
  </si>
  <si>
    <t>CN01</t>
    <phoneticPr fontId="4" type="noConversion"/>
  </si>
  <si>
    <t>F10</t>
    <phoneticPr fontId="4" type="noConversion"/>
  </si>
  <si>
    <t>E100914</t>
  </si>
  <si>
    <t>E100915</t>
  </si>
  <si>
    <t>CN01</t>
    <phoneticPr fontId="4" type="noConversion"/>
  </si>
  <si>
    <t>F10</t>
    <phoneticPr fontId="4" type="noConversion"/>
  </si>
  <si>
    <t>E100916</t>
  </si>
  <si>
    <t>E100917</t>
  </si>
  <si>
    <t>E100918</t>
  </si>
  <si>
    <t>E100919</t>
  </si>
  <si>
    <t>HP Z840 workstations</t>
  </si>
  <si>
    <t>Z816W01</t>
  </si>
  <si>
    <t>Z816W02</t>
  </si>
  <si>
    <t>Z816W03</t>
  </si>
  <si>
    <t>Z816W04</t>
  </si>
  <si>
    <t>CN01</t>
    <phoneticPr fontId="4" type="noConversion"/>
  </si>
  <si>
    <t>F10</t>
    <phoneticPr fontId="4" type="noConversion"/>
  </si>
  <si>
    <t>Z816W05</t>
  </si>
  <si>
    <t>HP 磁带机</t>
  </si>
  <si>
    <t>EE100726</t>
  </si>
  <si>
    <t>EE100727</t>
  </si>
  <si>
    <t>EE100728</t>
  </si>
  <si>
    <t>CN01</t>
    <phoneticPr fontId="4" type="noConversion"/>
  </si>
  <si>
    <t>F10</t>
    <phoneticPr fontId="4" type="noConversion"/>
  </si>
  <si>
    <t>HP600</t>
  </si>
  <si>
    <t>1600179</t>
  </si>
  <si>
    <t>1600239</t>
  </si>
  <si>
    <t>1600299</t>
  </si>
  <si>
    <t>1600322</t>
  </si>
  <si>
    <t>1600323</t>
  </si>
  <si>
    <t>1600325</t>
  </si>
  <si>
    <t>1600329</t>
  </si>
  <si>
    <t>1600330</t>
  </si>
  <si>
    <t>1600331</t>
  </si>
  <si>
    <t>1600332</t>
  </si>
  <si>
    <t>CN01</t>
    <phoneticPr fontId="4" type="noConversion"/>
  </si>
  <si>
    <t>F10</t>
    <phoneticPr fontId="4" type="noConversion"/>
  </si>
  <si>
    <t>1600334</t>
  </si>
  <si>
    <t>CN01</t>
    <phoneticPr fontId="4" type="noConversion"/>
  </si>
  <si>
    <t>F10</t>
    <phoneticPr fontId="4" type="noConversion"/>
  </si>
  <si>
    <t>1600336</t>
  </si>
  <si>
    <t>1600337</t>
  </si>
  <si>
    <t>1600338</t>
  </si>
  <si>
    <t>1600339</t>
  </si>
  <si>
    <t>1600341</t>
  </si>
  <si>
    <t>1600342</t>
  </si>
  <si>
    <t>1600343</t>
  </si>
  <si>
    <t>CN01</t>
    <phoneticPr fontId="4" type="noConversion"/>
  </si>
  <si>
    <t>F10</t>
    <phoneticPr fontId="4" type="noConversion"/>
  </si>
  <si>
    <t>1600344</t>
  </si>
  <si>
    <t>1600345</t>
  </si>
  <si>
    <t>1600346</t>
  </si>
  <si>
    <t>1600347</t>
  </si>
  <si>
    <t>1600349</t>
  </si>
  <si>
    <t>1600350</t>
  </si>
  <si>
    <t>1600351</t>
  </si>
  <si>
    <t>1600500</t>
  </si>
  <si>
    <t>1600501</t>
  </si>
  <si>
    <t>1600502</t>
  </si>
  <si>
    <t>1600504</t>
  </si>
  <si>
    <t>1600505</t>
  </si>
  <si>
    <t>1700310</t>
  </si>
  <si>
    <t>1700311</t>
  </si>
  <si>
    <t>1700500</t>
  </si>
  <si>
    <t>1700501</t>
  </si>
  <si>
    <t>1700503</t>
  </si>
  <si>
    <t>1700504</t>
  </si>
  <si>
    <t>1700506</t>
  </si>
  <si>
    <t>6175KZ3</t>
  </si>
  <si>
    <t>20190501</t>
  </si>
  <si>
    <t>6175KZ6</t>
  </si>
  <si>
    <t>6175KZG</t>
  </si>
  <si>
    <t>CN01</t>
    <phoneticPr fontId="4" type="noConversion"/>
  </si>
  <si>
    <t>F10</t>
    <phoneticPr fontId="4" type="noConversion"/>
  </si>
  <si>
    <t>6238KTH</t>
  </si>
  <si>
    <t>6238KTJ</t>
  </si>
  <si>
    <t>6238KTK?</t>
  </si>
  <si>
    <t>6238KTL</t>
  </si>
  <si>
    <t>DS0</t>
  </si>
  <si>
    <t>6238KTM</t>
  </si>
  <si>
    <t>6238KTN</t>
  </si>
  <si>
    <t>6238KTN?</t>
  </si>
  <si>
    <t>62834F0</t>
  </si>
  <si>
    <t>62834FQ</t>
  </si>
  <si>
    <t>62834FT</t>
  </si>
  <si>
    <t>CN01</t>
    <phoneticPr fontId="4" type="noConversion"/>
  </si>
  <si>
    <t>F10</t>
    <phoneticPr fontId="4" type="noConversion"/>
  </si>
  <si>
    <t>62834FV</t>
  </si>
  <si>
    <t>62834FY</t>
  </si>
  <si>
    <t>62834FZ</t>
  </si>
  <si>
    <t>62834G1</t>
  </si>
  <si>
    <t>6448TQH</t>
  </si>
  <si>
    <t>6448TQK</t>
  </si>
  <si>
    <t>6448TQM</t>
  </si>
  <si>
    <t>6448TQP</t>
  </si>
  <si>
    <t>6448TQT</t>
  </si>
  <si>
    <t>6448TQV</t>
  </si>
  <si>
    <t>CN01</t>
    <phoneticPr fontId="4" type="noConversion"/>
  </si>
  <si>
    <t>F10</t>
    <phoneticPr fontId="4" type="noConversion"/>
  </si>
  <si>
    <t>6448TQW</t>
  </si>
  <si>
    <t>6448TQX</t>
  </si>
  <si>
    <t>CN01</t>
    <phoneticPr fontId="4" type="noConversion"/>
  </si>
  <si>
    <t>F10</t>
    <phoneticPr fontId="4" type="noConversion"/>
  </si>
  <si>
    <t>6448TQY</t>
  </si>
  <si>
    <t>6448TQZ</t>
  </si>
  <si>
    <t>6448TR0</t>
  </si>
  <si>
    <t>6448TR1</t>
  </si>
  <si>
    <t>CN01</t>
    <phoneticPr fontId="4" type="noConversion"/>
  </si>
  <si>
    <t>F10</t>
    <phoneticPr fontId="4" type="noConversion"/>
  </si>
  <si>
    <t>6448TR2</t>
  </si>
  <si>
    <t>6448TR3</t>
  </si>
  <si>
    <t>CN01</t>
    <phoneticPr fontId="4" type="noConversion"/>
  </si>
  <si>
    <t>F10</t>
    <phoneticPr fontId="4" type="noConversion"/>
  </si>
  <si>
    <t>6448TR4</t>
  </si>
  <si>
    <t>6448TR5</t>
  </si>
  <si>
    <t>6448TR6</t>
  </si>
  <si>
    <t>6448TR7</t>
  </si>
  <si>
    <t>CN01</t>
    <phoneticPr fontId="4" type="noConversion"/>
  </si>
  <si>
    <t>F10</t>
    <phoneticPr fontId="4" type="noConversion"/>
  </si>
  <si>
    <t>6448TR8</t>
  </si>
  <si>
    <t>6448TR9</t>
  </si>
  <si>
    <t>6448TRB</t>
  </si>
  <si>
    <t>6448TRD</t>
  </si>
  <si>
    <t>6448TRF</t>
  </si>
  <si>
    <t>6448TRG</t>
  </si>
  <si>
    <t>CN01</t>
    <phoneticPr fontId="4" type="noConversion"/>
  </si>
  <si>
    <t>F10</t>
    <phoneticPr fontId="4" type="noConversion"/>
  </si>
  <si>
    <t>6448TRH</t>
  </si>
  <si>
    <t>6448TRJ</t>
  </si>
  <si>
    <t>6448TRK</t>
  </si>
  <si>
    <t>6448TRL</t>
  </si>
  <si>
    <t>6448TRM</t>
  </si>
  <si>
    <t>6448TRN</t>
  </si>
  <si>
    <t>6448TRP</t>
  </si>
  <si>
    <t>6448TRR</t>
  </si>
  <si>
    <t>6448TRS</t>
  </si>
  <si>
    <t>6448TRT</t>
  </si>
  <si>
    <t>CN01</t>
    <phoneticPr fontId="4" type="noConversion"/>
  </si>
  <si>
    <t>F10</t>
    <phoneticPr fontId="4" type="noConversion"/>
  </si>
  <si>
    <t>6448TRV</t>
  </si>
  <si>
    <t>6448TRW</t>
  </si>
  <si>
    <t>6448TRX</t>
  </si>
  <si>
    <t>6448TRY</t>
  </si>
  <si>
    <t>6448TRZ</t>
  </si>
  <si>
    <t>6448TS0</t>
  </si>
  <si>
    <t>6448TS1</t>
  </si>
  <si>
    <t>6448TS2</t>
  </si>
  <si>
    <t>6448TS3</t>
  </si>
  <si>
    <t>6448TS4</t>
  </si>
  <si>
    <t>6448TS5</t>
  </si>
  <si>
    <t>6448TS6</t>
  </si>
  <si>
    <t>CN01</t>
    <phoneticPr fontId="4" type="noConversion"/>
  </si>
  <si>
    <t>F10</t>
    <phoneticPr fontId="4" type="noConversion"/>
  </si>
  <si>
    <t>6448TS7</t>
  </si>
  <si>
    <t>6448TS8</t>
  </si>
  <si>
    <t>6448VMZ</t>
  </si>
  <si>
    <t>FO0</t>
  </si>
  <si>
    <t>6448VN0</t>
  </si>
  <si>
    <t>6448VN1</t>
  </si>
  <si>
    <t>6448VN2</t>
  </si>
  <si>
    <t>6448VN3</t>
  </si>
  <si>
    <t>6448VN4</t>
  </si>
  <si>
    <t>6448VN5</t>
  </si>
  <si>
    <t>6448VN6</t>
  </si>
  <si>
    <t>6448VN7</t>
  </si>
  <si>
    <t>6448VN8</t>
  </si>
  <si>
    <t>OB0</t>
  </si>
  <si>
    <t>6448VNC</t>
  </si>
  <si>
    <t>6448VND</t>
  </si>
  <si>
    <t>6448VNF</t>
  </si>
  <si>
    <t>6448VNG</t>
  </si>
  <si>
    <t>6448VNH</t>
  </si>
  <si>
    <t>6448VNJ</t>
  </si>
  <si>
    <t>6448VNL</t>
  </si>
  <si>
    <t>CN01</t>
    <phoneticPr fontId="4" type="noConversion"/>
  </si>
  <si>
    <t>F10</t>
    <phoneticPr fontId="4" type="noConversion"/>
  </si>
  <si>
    <t>6448VNM</t>
  </si>
  <si>
    <t>6448VNN</t>
  </si>
  <si>
    <t>6448VNP</t>
  </si>
  <si>
    <t>6448VNQ</t>
  </si>
  <si>
    <t>6448VNR</t>
  </si>
  <si>
    <t>6448VNS</t>
  </si>
  <si>
    <t>6448VNT</t>
  </si>
  <si>
    <t>6448VNW</t>
  </si>
  <si>
    <t>6448VNX</t>
  </si>
  <si>
    <t>6448VNY</t>
  </si>
  <si>
    <t>6448VNZ</t>
  </si>
  <si>
    <t>6448VP1</t>
  </si>
  <si>
    <t>6448VP3</t>
  </si>
  <si>
    <t>MK0</t>
  </si>
  <si>
    <t>6448VP4</t>
  </si>
  <si>
    <t>CN01</t>
    <phoneticPr fontId="4" type="noConversion"/>
  </si>
  <si>
    <t>F10</t>
    <phoneticPr fontId="4" type="noConversion"/>
  </si>
  <si>
    <t>6448VP5</t>
  </si>
  <si>
    <t>CN01</t>
    <phoneticPr fontId="4" type="noConversion"/>
  </si>
  <si>
    <t>F10</t>
    <phoneticPr fontId="4" type="noConversion"/>
  </si>
  <si>
    <t>6448VP6</t>
  </si>
  <si>
    <t>CN01</t>
    <phoneticPr fontId="4" type="noConversion"/>
  </si>
  <si>
    <t>6448VP7</t>
  </si>
  <si>
    <t>6448VP8</t>
  </si>
  <si>
    <t>CN01</t>
    <phoneticPr fontId="4" type="noConversion"/>
  </si>
  <si>
    <t>F10</t>
    <phoneticPr fontId="4" type="noConversion"/>
  </si>
  <si>
    <t>6448VP9</t>
  </si>
  <si>
    <t>6448VPB</t>
  </si>
  <si>
    <t>6448VPC</t>
  </si>
  <si>
    <t>6448VPD</t>
  </si>
  <si>
    <t>6448VPF</t>
  </si>
  <si>
    <t>CN01</t>
    <phoneticPr fontId="4" type="noConversion"/>
  </si>
  <si>
    <t>F10</t>
    <phoneticPr fontId="4" type="noConversion"/>
  </si>
  <si>
    <t>6448VPG</t>
  </si>
  <si>
    <t>6448VPH</t>
  </si>
  <si>
    <t>CN01</t>
    <phoneticPr fontId="4" type="noConversion"/>
  </si>
  <si>
    <t>F10</t>
    <phoneticPr fontId="4" type="noConversion"/>
  </si>
  <si>
    <t>6448VPJ</t>
  </si>
  <si>
    <t>6448VPK</t>
  </si>
  <si>
    <t>6448VPL</t>
  </si>
  <si>
    <t>6448VPN</t>
  </si>
  <si>
    <t>6448VPP</t>
  </si>
  <si>
    <t>6448VPS</t>
  </si>
  <si>
    <t>6448VPT</t>
  </si>
  <si>
    <t>6448VPV</t>
  </si>
  <si>
    <t>6448VPX</t>
  </si>
  <si>
    <t>6448VPY</t>
  </si>
  <si>
    <t>6448VQ1</t>
  </si>
  <si>
    <t>6448VQ2</t>
  </si>
  <si>
    <t>6448VQ3</t>
  </si>
  <si>
    <t>6448VQ4</t>
  </si>
  <si>
    <t>6448VQ5</t>
  </si>
  <si>
    <t>6448VQ6</t>
  </si>
  <si>
    <t>6448VQ8</t>
  </si>
  <si>
    <t>6448VQ9</t>
  </si>
  <si>
    <t>CN01</t>
    <phoneticPr fontId="4" type="noConversion"/>
  </si>
  <si>
    <t>F10</t>
    <phoneticPr fontId="4" type="noConversion"/>
  </si>
  <si>
    <t>6448VQB</t>
  </si>
  <si>
    <t>6448VQC</t>
  </si>
  <si>
    <t>6448VQD</t>
  </si>
  <si>
    <t>CN01</t>
    <phoneticPr fontId="4" type="noConversion"/>
  </si>
  <si>
    <t>F10</t>
    <phoneticPr fontId="4" type="noConversion"/>
  </si>
  <si>
    <t>6448VQH</t>
  </si>
  <si>
    <t>6448VQJ</t>
  </si>
  <si>
    <t>CN01</t>
    <phoneticPr fontId="4" type="noConversion"/>
  </si>
  <si>
    <t>F10</t>
    <phoneticPr fontId="4" type="noConversion"/>
  </si>
  <si>
    <t>6448VQK</t>
  </si>
  <si>
    <t>6448VQL</t>
  </si>
  <si>
    <t>6448VQM</t>
  </si>
  <si>
    <t>6448VQR</t>
  </si>
  <si>
    <t>6448VQS</t>
  </si>
  <si>
    <t>6448VQT</t>
  </si>
  <si>
    <t>6448VQX</t>
  </si>
  <si>
    <t>6448VQY</t>
  </si>
  <si>
    <t>CN01</t>
    <phoneticPr fontId="4" type="noConversion"/>
  </si>
  <si>
    <t>F10</t>
    <phoneticPr fontId="4" type="noConversion"/>
  </si>
  <si>
    <t>6448VR0</t>
  </si>
  <si>
    <t>CN01</t>
    <phoneticPr fontId="4" type="noConversion"/>
  </si>
  <si>
    <t>F10</t>
    <phoneticPr fontId="4" type="noConversion"/>
  </si>
  <si>
    <t>6448VR1</t>
  </si>
  <si>
    <t>6448VR2</t>
  </si>
  <si>
    <t>6448VR3</t>
  </si>
  <si>
    <t>CN01</t>
    <phoneticPr fontId="4" type="noConversion"/>
  </si>
  <si>
    <t>F10</t>
    <phoneticPr fontId="4" type="noConversion"/>
  </si>
  <si>
    <t>6448VR4</t>
  </si>
  <si>
    <t>CN01</t>
    <phoneticPr fontId="4" type="noConversion"/>
  </si>
  <si>
    <t>F10</t>
    <phoneticPr fontId="4" type="noConversion"/>
  </si>
  <si>
    <t>6448VR6</t>
  </si>
  <si>
    <t>CN01</t>
    <phoneticPr fontId="4" type="noConversion"/>
  </si>
  <si>
    <t>F10</t>
    <phoneticPr fontId="4" type="noConversion"/>
  </si>
  <si>
    <t>6448VR8</t>
  </si>
  <si>
    <t>6448VR9</t>
  </si>
  <si>
    <t>6448VRC</t>
  </si>
  <si>
    <t>6448VRD</t>
  </si>
  <si>
    <t>6448VRF</t>
  </si>
  <si>
    <t>6448VRG</t>
  </si>
  <si>
    <t>CN01</t>
    <phoneticPr fontId="4" type="noConversion"/>
  </si>
  <si>
    <t>6448VRK</t>
  </si>
  <si>
    <t>6448VRL</t>
  </si>
  <si>
    <t>CN01</t>
    <phoneticPr fontId="4" type="noConversion"/>
  </si>
  <si>
    <t>F10</t>
    <phoneticPr fontId="4" type="noConversion"/>
  </si>
  <si>
    <t>6448VRM</t>
  </si>
  <si>
    <t>6448VRN</t>
  </si>
  <si>
    <t>CN01</t>
    <phoneticPr fontId="4" type="noConversion"/>
  </si>
  <si>
    <t>6448VRQ</t>
  </si>
  <si>
    <t>6448VRT</t>
  </si>
  <si>
    <t>CN01</t>
    <phoneticPr fontId="4" type="noConversion"/>
  </si>
  <si>
    <t>6448VRW</t>
  </si>
  <si>
    <t>CN01</t>
    <phoneticPr fontId="4" type="noConversion"/>
  </si>
  <si>
    <t>F10</t>
    <phoneticPr fontId="4" type="noConversion"/>
  </si>
  <si>
    <t>6448VRX</t>
  </si>
  <si>
    <t>6448VRY</t>
  </si>
  <si>
    <t>CN01</t>
    <phoneticPr fontId="4" type="noConversion"/>
  </si>
  <si>
    <t>F10</t>
    <phoneticPr fontId="4" type="noConversion"/>
  </si>
  <si>
    <t>6448VS1</t>
  </si>
  <si>
    <t>6448VS2</t>
  </si>
  <si>
    <t>6448VS4</t>
  </si>
  <si>
    <t>CN01</t>
    <phoneticPr fontId="4" type="noConversion"/>
  </si>
  <si>
    <t>F10</t>
    <phoneticPr fontId="4" type="noConversion"/>
  </si>
  <si>
    <t>6448VS5</t>
  </si>
  <si>
    <t>6448VS7</t>
  </si>
  <si>
    <t>6448VS9</t>
  </si>
  <si>
    <t>6448VSB</t>
  </si>
  <si>
    <t>6448VSC</t>
  </si>
  <si>
    <t>6448VSF</t>
  </si>
  <si>
    <t>6448VSG</t>
  </si>
  <si>
    <t>6448VSH</t>
  </si>
  <si>
    <t>CN01</t>
    <phoneticPr fontId="4" type="noConversion"/>
  </si>
  <si>
    <t>6448VSJ</t>
  </si>
  <si>
    <t>6448VSK</t>
  </si>
  <si>
    <t>6448VSL</t>
  </si>
  <si>
    <t>6448VSM</t>
  </si>
  <si>
    <t>6448VSP</t>
  </si>
  <si>
    <t>6448VSQ</t>
  </si>
  <si>
    <t>6448VSR</t>
  </si>
  <si>
    <t>6448VSS</t>
  </si>
  <si>
    <t>6448VST</t>
  </si>
  <si>
    <t>6448VSV</t>
  </si>
  <si>
    <t>CN01</t>
    <phoneticPr fontId="4" type="noConversion"/>
  </si>
  <si>
    <t>6448VSX</t>
  </si>
  <si>
    <t>6448VSY</t>
  </si>
  <si>
    <t>CN01</t>
    <phoneticPr fontId="4" type="noConversion"/>
  </si>
  <si>
    <t>6448VSZ</t>
  </si>
  <si>
    <t>6448VT0</t>
  </si>
  <si>
    <t>6448VT1</t>
  </si>
  <si>
    <t>CN01</t>
    <phoneticPr fontId="4" type="noConversion"/>
  </si>
  <si>
    <t>F10</t>
    <phoneticPr fontId="4" type="noConversion"/>
  </si>
  <si>
    <t>6448VT2</t>
  </si>
  <si>
    <t>6448VT3</t>
  </si>
  <si>
    <t>6448VT4</t>
  </si>
  <si>
    <t>6448VT5</t>
  </si>
  <si>
    <t>6448VT6</t>
  </si>
  <si>
    <t>6448VT7</t>
  </si>
  <si>
    <t>6448VT8</t>
  </si>
  <si>
    <t>6448VT9</t>
  </si>
  <si>
    <t>6448VTB</t>
  </si>
  <si>
    <t>6448VTC</t>
  </si>
  <si>
    <t>CN01</t>
    <phoneticPr fontId="4" type="noConversion"/>
  </si>
  <si>
    <t>F10</t>
    <phoneticPr fontId="4" type="noConversion"/>
  </si>
  <si>
    <t>644WGPF</t>
  </si>
  <si>
    <t>644WGPG</t>
  </si>
  <si>
    <t>644WGPH</t>
  </si>
  <si>
    <t>644WGPJ</t>
  </si>
  <si>
    <t>644WGPK</t>
  </si>
  <si>
    <t>6460MCH</t>
  </si>
  <si>
    <t>6460MCJ</t>
  </si>
  <si>
    <t>6460MCK</t>
  </si>
  <si>
    <t>IT6</t>
  </si>
  <si>
    <t>6460MCL</t>
  </si>
  <si>
    <t>6460MCM</t>
  </si>
  <si>
    <t>6460MCN</t>
  </si>
  <si>
    <t>6460MCP</t>
  </si>
  <si>
    <t>6460MCQ</t>
  </si>
  <si>
    <t>6460MCR</t>
  </si>
  <si>
    <t>6460MCS</t>
  </si>
  <si>
    <t>6460MCT</t>
  </si>
  <si>
    <t>6460MCV</t>
  </si>
  <si>
    <t>6460MCW</t>
  </si>
  <si>
    <t>6460MCX</t>
  </si>
  <si>
    <t>6460MCY</t>
  </si>
  <si>
    <t>6460MCZ</t>
  </si>
  <si>
    <t>6460MD1</t>
  </si>
  <si>
    <t>6460MD2</t>
  </si>
  <si>
    <t>6460MD3</t>
  </si>
  <si>
    <t>6460MD5</t>
  </si>
  <si>
    <t>6460MD6</t>
  </si>
  <si>
    <t>6460MD7</t>
  </si>
  <si>
    <t>6460MD8</t>
  </si>
  <si>
    <t>6460MD9</t>
  </si>
  <si>
    <t>6460MDB</t>
  </si>
  <si>
    <t>6460MDC</t>
  </si>
  <si>
    <t>6460MDD</t>
  </si>
  <si>
    <t>6460MDF</t>
  </si>
  <si>
    <t>6460MDG</t>
  </si>
  <si>
    <t>6460MDH</t>
  </si>
  <si>
    <t>6460MDJ</t>
  </si>
  <si>
    <t>6460MDL</t>
  </si>
  <si>
    <t>6460MDM</t>
  </si>
  <si>
    <t>6460MDN</t>
  </si>
  <si>
    <t>6460MDP</t>
  </si>
  <si>
    <t>6460MDQ</t>
  </si>
  <si>
    <t>6460MDR</t>
  </si>
  <si>
    <t>6460MDS</t>
  </si>
  <si>
    <t>6460MDT</t>
  </si>
  <si>
    <t>6460MDV</t>
  </si>
  <si>
    <t>6460MDW</t>
  </si>
  <si>
    <t>6460MDX</t>
  </si>
  <si>
    <t>6460MDZ</t>
  </si>
  <si>
    <t>6460MF0</t>
  </si>
  <si>
    <t>6460MF1</t>
  </si>
  <si>
    <t>6460MF2</t>
  </si>
  <si>
    <t>6471H89</t>
  </si>
  <si>
    <t>6471H8B</t>
  </si>
  <si>
    <t>6471H8C</t>
  </si>
  <si>
    <t>6471H8D</t>
  </si>
  <si>
    <t>6471H8F</t>
  </si>
  <si>
    <t>6471H8G</t>
  </si>
  <si>
    <t>70204Z2</t>
  </si>
  <si>
    <t>70204Z7</t>
  </si>
  <si>
    <t>HP600  8G Mem</t>
  </si>
  <si>
    <t>65061TG</t>
  </si>
  <si>
    <t>65061TH</t>
  </si>
  <si>
    <t>65061TJ</t>
  </si>
  <si>
    <t>CN01</t>
    <phoneticPr fontId="4" type="noConversion"/>
  </si>
  <si>
    <t>F10</t>
    <phoneticPr fontId="4" type="noConversion"/>
  </si>
  <si>
    <t>65061TK?</t>
  </si>
  <si>
    <t>HP600G1 &amp;P191</t>
  </si>
  <si>
    <t>5137CXX</t>
  </si>
  <si>
    <t>CN01</t>
    <phoneticPr fontId="4" type="noConversion"/>
  </si>
  <si>
    <t>F10</t>
    <phoneticPr fontId="4" type="noConversion"/>
  </si>
  <si>
    <t>5137CXY</t>
  </si>
  <si>
    <t>5137CXZ</t>
  </si>
  <si>
    <t>CN01</t>
    <phoneticPr fontId="4" type="noConversion"/>
  </si>
  <si>
    <t>F10</t>
    <phoneticPr fontId="4" type="noConversion"/>
  </si>
  <si>
    <t>5137CY0</t>
  </si>
  <si>
    <t>5137CYD</t>
  </si>
  <si>
    <t>5137CYF</t>
  </si>
  <si>
    <t>5137CYG</t>
  </si>
  <si>
    <t>5137CYH</t>
  </si>
  <si>
    <t>5137CYJ</t>
  </si>
  <si>
    <t>5137CYK</t>
  </si>
  <si>
    <t>5137CYL</t>
  </si>
  <si>
    <t>5137CYM</t>
  </si>
  <si>
    <t>5137CYN</t>
  </si>
  <si>
    <t>CN01</t>
    <phoneticPr fontId="4" type="noConversion"/>
  </si>
  <si>
    <t>F10</t>
    <phoneticPr fontId="4" type="noConversion"/>
  </si>
  <si>
    <t>5137CYP</t>
  </si>
  <si>
    <t>5137CYQ</t>
  </si>
  <si>
    <t>5137CYR</t>
  </si>
  <si>
    <t>5137CYS</t>
  </si>
  <si>
    <t>HP820G2</t>
  </si>
  <si>
    <t>6245Y0J</t>
  </si>
  <si>
    <t>6245Y0T</t>
  </si>
  <si>
    <t>6245Y10</t>
  </si>
  <si>
    <t>6245Y16</t>
  </si>
  <si>
    <t>6245Y1H</t>
  </si>
  <si>
    <t>G614203</t>
  </si>
  <si>
    <t>HP840</t>
  </si>
  <si>
    <t>62475QG</t>
  </si>
  <si>
    <t>62475QK</t>
  </si>
  <si>
    <t>62475QX</t>
  </si>
  <si>
    <t>62475R0?</t>
  </si>
  <si>
    <t>62475RC</t>
  </si>
  <si>
    <t>6473KL3-1</t>
  </si>
  <si>
    <t>6473KLF-1</t>
  </si>
  <si>
    <t>6473KLT-1</t>
  </si>
  <si>
    <t>6473KM7-1</t>
  </si>
  <si>
    <t>6473KMH-1</t>
  </si>
  <si>
    <t>6473KMR-1</t>
  </si>
  <si>
    <t>6473KN2-1</t>
  </si>
  <si>
    <t>HP840G2</t>
  </si>
  <si>
    <t>61832SY</t>
  </si>
  <si>
    <t>61832T3</t>
  </si>
  <si>
    <t>61832TC</t>
  </si>
  <si>
    <t>CN01</t>
    <phoneticPr fontId="4" type="noConversion"/>
  </si>
  <si>
    <t>F10</t>
    <phoneticPr fontId="4" type="noConversion"/>
  </si>
  <si>
    <t>61832TQ</t>
  </si>
  <si>
    <t>HP台式机</t>
  </si>
  <si>
    <t>41398FJ</t>
  </si>
  <si>
    <t>41398FK</t>
  </si>
  <si>
    <t>41398FL</t>
  </si>
  <si>
    <t>41398FM</t>
  </si>
  <si>
    <t>41398FN</t>
  </si>
  <si>
    <t>41398FP</t>
  </si>
  <si>
    <t>41398FQ</t>
  </si>
  <si>
    <t>41398FR</t>
  </si>
  <si>
    <t>41398FS</t>
  </si>
  <si>
    <t>41398FT</t>
  </si>
  <si>
    <t>41398FV</t>
  </si>
  <si>
    <t>CN01</t>
    <phoneticPr fontId="4" type="noConversion"/>
  </si>
  <si>
    <t>F10</t>
    <phoneticPr fontId="4" type="noConversion"/>
  </si>
  <si>
    <t>41398FW</t>
  </si>
  <si>
    <t>41398FX</t>
  </si>
  <si>
    <t>41398FY</t>
  </si>
  <si>
    <t>41398FZ</t>
  </si>
  <si>
    <t>41398G0</t>
  </si>
  <si>
    <t>CN01</t>
    <phoneticPr fontId="4" type="noConversion"/>
  </si>
  <si>
    <t>F10</t>
    <phoneticPr fontId="4" type="noConversion"/>
  </si>
  <si>
    <t>41398G1</t>
  </si>
  <si>
    <t>41398G2</t>
  </si>
  <si>
    <t>41398G3</t>
  </si>
  <si>
    <t>CN01</t>
    <phoneticPr fontId="4" type="noConversion"/>
  </si>
  <si>
    <t>F10</t>
    <phoneticPr fontId="4" type="noConversion"/>
  </si>
  <si>
    <t>41398G4</t>
  </si>
  <si>
    <t>41398G5</t>
  </si>
  <si>
    <t>41398G6</t>
  </si>
  <si>
    <t>41398G7</t>
  </si>
  <si>
    <t>CN01</t>
    <phoneticPr fontId="4" type="noConversion"/>
  </si>
  <si>
    <t>F10</t>
    <phoneticPr fontId="4" type="noConversion"/>
  </si>
  <si>
    <t>41398G8</t>
  </si>
  <si>
    <t>41398G9</t>
  </si>
  <si>
    <t>CN01</t>
    <phoneticPr fontId="4" type="noConversion"/>
  </si>
  <si>
    <t>F10</t>
    <phoneticPr fontId="4" type="noConversion"/>
  </si>
  <si>
    <t>HP一体机</t>
  </si>
  <si>
    <t>EHPO1601</t>
  </si>
  <si>
    <t>EHPO1602</t>
  </si>
  <si>
    <t>CN01</t>
    <phoneticPr fontId="4" type="noConversion"/>
  </si>
  <si>
    <t>F10</t>
    <phoneticPr fontId="4" type="noConversion"/>
  </si>
  <si>
    <t>EHPO1603</t>
  </si>
  <si>
    <t>CN01</t>
    <phoneticPr fontId="4" type="noConversion"/>
  </si>
  <si>
    <t>F10</t>
    <phoneticPr fontId="4" type="noConversion"/>
  </si>
  <si>
    <t>HUB</t>
  </si>
  <si>
    <t>E0009422</t>
  </si>
  <si>
    <t>E0009423</t>
  </si>
  <si>
    <t>E0009424</t>
  </si>
  <si>
    <t>HWIC-4T 模块</t>
  </si>
  <si>
    <t>EE100662</t>
  </si>
  <si>
    <t>EE100663</t>
  </si>
  <si>
    <t>IBM XML GATEWAY</t>
  </si>
  <si>
    <t>EE100565</t>
  </si>
  <si>
    <t>IBM服务器HMC</t>
  </si>
  <si>
    <t>EE100689</t>
  </si>
  <si>
    <t>INTERL EXPRESS 410 SWITH</t>
  </si>
  <si>
    <t>E0008081</t>
  </si>
  <si>
    <t>20010601</t>
  </si>
  <si>
    <t>20010701</t>
  </si>
  <si>
    <t>20060601</t>
  </si>
  <si>
    <t>INTIMUS PORTABLE PROJECTO</t>
  </si>
  <si>
    <t>E2000269</t>
  </si>
  <si>
    <t>IP6 PLUS 128G</t>
  </si>
  <si>
    <t>4CJ9408</t>
  </si>
  <si>
    <t>IPAD</t>
  </si>
  <si>
    <t>E1320001</t>
  </si>
  <si>
    <t>IPAD AIR</t>
  </si>
  <si>
    <t>0CCFTTW</t>
  </si>
  <si>
    <t>6YAG5YR</t>
  </si>
  <si>
    <t>IPAD AIR 2</t>
  </si>
  <si>
    <t>08LG5YP</t>
  </si>
  <si>
    <t>0AYG5YR</t>
  </si>
  <si>
    <t>0G5G5YR</t>
  </si>
  <si>
    <t>0J9G5YR</t>
  </si>
  <si>
    <t>0M1G5YQ</t>
  </si>
  <si>
    <t>0NMG5YR</t>
  </si>
  <si>
    <t>0U8G5YQ</t>
  </si>
  <si>
    <t>0X3G5YR</t>
  </si>
  <si>
    <t>AD4</t>
  </si>
  <si>
    <t>12TG5YR</t>
  </si>
  <si>
    <t>CN01</t>
    <phoneticPr fontId="4" type="noConversion"/>
  </si>
  <si>
    <t>F10</t>
    <phoneticPr fontId="4" type="noConversion"/>
  </si>
  <si>
    <t>15YG5YR</t>
  </si>
  <si>
    <t>16RG5YR</t>
  </si>
  <si>
    <t>1TCG5YR</t>
  </si>
  <si>
    <t>1ZSG5YQ</t>
  </si>
  <si>
    <t>23JG5YQ</t>
  </si>
  <si>
    <t>24RG5YQ</t>
  </si>
  <si>
    <t>25MG5YP</t>
  </si>
  <si>
    <t>2BHG5YQ</t>
  </si>
  <si>
    <t>2RKG5YQ</t>
  </si>
  <si>
    <t>2RPG5YP</t>
  </si>
  <si>
    <t>2Z9G5YQ</t>
  </si>
  <si>
    <t>4ADG5YP</t>
  </si>
  <si>
    <t>E1420051</t>
  </si>
  <si>
    <t>E1420052</t>
  </si>
  <si>
    <t>E1420053</t>
  </si>
  <si>
    <t>E1420054</t>
  </si>
  <si>
    <t>E1420055</t>
  </si>
  <si>
    <t>F7KG5W0</t>
  </si>
  <si>
    <t>G1JG5YP</t>
  </si>
  <si>
    <t>IPAD MINI2(16G+WIFI)</t>
  </si>
  <si>
    <t>E1420001</t>
  </si>
  <si>
    <t>E1420002</t>
  </si>
  <si>
    <t>E1420003</t>
  </si>
  <si>
    <t>E1420004</t>
  </si>
  <si>
    <t>E1420005</t>
  </si>
  <si>
    <t>E1420006</t>
  </si>
  <si>
    <t>E1420007</t>
  </si>
  <si>
    <t>E1420008</t>
  </si>
  <si>
    <t>IPAD PRO 9.7 WLAN CL 32GB</t>
  </si>
  <si>
    <t>0KQH1MD</t>
  </si>
  <si>
    <t>CN01</t>
    <phoneticPr fontId="4" type="noConversion"/>
  </si>
  <si>
    <t>F10</t>
    <phoneticPr fontId="4" type="noConversion"/>
  </si>
  <si>
    <t>IPAD PRO 9.7-IN WI-FI 32G</t>
  </si>
  <si>
    <t>01QH23Y</t>
  </si>
  <si>
    <t>IPAD WI-FI 32GB SILVER-CH</t>
  </si>
  <si>
    <t>4GBHLFC</t>
  </si>
  <si>
    <t>IPT</t>
  </si>
  <si>
    <t>EE100094</t>
  </si>
  <si>
    <t>20080301</t>
  </si>
  <si>
    <t>IPT Conference(8F0)</t>
  </si>
  <si>
    <t>E100883</t>
  </si>
  <si>
    <t>IPT SYSTEM</t>
  </si>
  <si>
    <t>EE100563</t>
  </si>
  <si>
    <t>IPT SYSTEM G650</t>
  </si>
  <si>
    <t>EE100113</t>
  </si>
  <si>
    <t>IPad MP2G10CH/A</t>
  </si>
  <si>
    <t>AY8HLFC</t>
  </si>
  <si>
    <t>IPad MP2G11CH/A</t>
  </si>
  <si>
    <t>B1LHLFC</t>
  </si>
  <si>
    <t>IPad MP2G12CH/A</t>
  </si>
  <si>
    <t>BL7HLFC</t>
  </si>
  <si>
    <t>IPad MP2G13CH/A</t>
  </si>
  <si>
    <t>BS1HLFC</t>
  </si>
  <si>
    <t>IPad MP2G14CH/A</t>
  </si>
  <si>
    <t>CA6HLFC</t>
  </si>
  <si>
    <t>IPad MP2G15CH/A</t>
  </si>
  <si>
    <t>EUSHLFC</t>
  </si>
  <si>
    <t>IPad MP2G16CH/A</t>
  </si>
  <si>
    <t>2SDHLFC</t>
  </si>
  <si>
    <t>IPad MP2G17CH/A</t>
  </si>
  <si>
    <t>4T9HLFC</t>
  </si>
  <si>
    <t>IPad MP2G18CH/A</t>
  </si>
  <si>
    <t>5MGHLFC</t>
  </si>
  <si>
    <t>CN01</t>
    <phoneticPr fontId="4" type="noConversion"/>
  </si>
  <si>
    <t>F10</t>
    <phoneticPr fontId="4" type="noConversion"/>
  </si>
  <si>
    <t>IPad MP2G19CH/A</t>
  </si>
  <si>
    <t>6DAHLFC</t>
  </si>
  <si>
    <t>IPad MP2G20CH/A</t>
  </si>
  <si>
    <t>6E5HLFC</t>
  </si>
  <si>
    <t>IPad MP2G21CH/A</t>
  </si>
  <si>
    <t>A9HHLFC</t>
  </si>
  <si>
    <t>IPad MP2G22CH/A</t>
  </si>
  <si>
    <t>AB7HLFC</t>
  </si>
  <si>
    <t>IPad MP2G23CH/A</t>
  </si>
  <si>
    <t>AC2HLFC</t>
  </si>
  <si>
    <t>IPad MP2G24CH/A</t>
  </si>
  <si>
    <t>AUFHLFC</t>
  </si>
  <si>
    <t>IPad MP2G25CH/A</t>
  </si>
  <si>
    <t>AZNHLFC</t>
  </si>
  <si>
    <t>IPad MP2G26CH/A</t>
  </si>
  <si>
    <t>D3AHLFC</t>
  </si>
  <si>
    <t>IPad MP2G27CH/A</t>
  </si>
  <si>
    <t>D6KHLFC</t>
  </si>
  <si>
    <t>IPad MP2G28CH/A</t>
  </si>
  <si>
    <t>DA2HLFC</t>
  </si>
  <si>
    <t>IPad MP2G29CH/A</t>
  </si>
  <si>
    <t>DJXHLFC</t>
  </si>
  <si>
    <t>IPad MP2G2CH/A</t>
  </si>
  <si>
    <t>77UHLFC</t>
  </si>
  <si>
    <t>IPad MP2G30CH/A</t>
  </si>
  <si>
    <t>EAAHLFC</t>
  </si>
  <si>
    <t>IPad MP2G31CH/A</t>
  </si>
  <si>
    <t>EFMHLFC</t>
  </si>
  <si>
    <t>IPad MP2G32CH/A</t>
  </si>
  <si>
    <t>EL3HLFC</t>
  </si>
  <si>
    <t>IPad MP2G33CH/A</t>
  </si>
  <si>
    <t>EMPHLFC</t>
  </si>
  <si>
    <t>IPad MP2G34CH/A</t>
  </si>
  <si>
    <t>EVDHLFC</t>
  </si>
  <si>
    <t>IPad MP2G35CH/A</t>
  </si>
  <si>
    <t>F56HLFC</t>
  </si>
  <si>
    <t>IPad MP2G36CH/A</t>
  </si>
  <si>
    <t>F5KHLFC</t>
  </si>
  <si>
    <t>IPad MP2G37CH/A</t>
  </si>
  <si>
    <t>FARHLFC</t>
  </si>
  <si>
    <t>IPad MP2G38CH/A</t>
  </si>
  <si>
    <t>FL3HLFC</t>
  </si>
  <si>
    <t>IPad MP2G39CH/A</t>
  </si>
  <si>
    <t>FQ0HLFC</t>
  </si>
  <si>
    <t>IPad MP2G3CH/A</t>
  </si>
  <si>
    <t>8MPHLFC</t>
  </si>
  <si>
    <t>IPad MP2G40CH/A</t>
  </si>
  <si>
    <t>FT6HLFC</t>
  </si>
  <si>
    <t>IPad MP2G41CH/A</t>
  </si>
  <si>
    <t>G1RHLFC</t>
  </si>
  <si>
    <t>IPad MP2G42CH/A</t>
  </si>
  <si>
    <t>GJ3HLFC</t>
  </si>
  <si>
    <t>IPad MP2G43CH/A</t>
  </si>
  <si>
    <t>GKTHLFC</t>
  </si>
  <si>
    <t>IPad MP2G44CH/A</t>
  </si>
  <si>
    <t>GLUHLFC</t>
  </si>
  <si>
    <t>CN01</t>
    <phoneticPr fontId="4" type="noConversion"/>
  </si>
  <si>
    <t>F10</t>
    <phoneticPr fontId="4" type="noConversion"/>
  </si>
  <si>
    <t>IPad MP2G45CH/A</t>
  </si>
  <si>
    <t>GPKHLFC</t>
  </si>
  <si>
    <t>IPad MP2G46CH/A</t>
  </si>
  <si>
    <t>7U6HLFC</t>
  </si>
  <si>
    <t>IPad MP2G4CH/A</t>
  </si>
  <si>
    <t>A07HLFC</t>
  </si>
  <si>
    <t>IPad MP2G5CH/A</t>
  </si>
  <si>
    <t>AA2HLFC</t>
  </si>
  <si>
    <t>IPad MP2G6CH/A</t>
  </si>
  <si>
    <t>ACQHLFC</t>
  </si>
  <si>
    <t>IPad MP2G7CH/A</t>
  </si>
  <si>
    <t>ADZHLFC</t>
  </si>
  <si>
    <t>IPad MP2G8CH/A</t>
  </si>
  <si>
    <t>AE5HLFC</t>
  </si>
  <si>
    <t>IPad MP2G9CH/A</t>
  </si>
  <si>
    <t>AEBHLFC</t>
  </si>
  <si>
    <t>Ipad</t>
  </si>
  <si>
    <t>0EZHLJM</t>
  </si>
  <si>
    <t>20VG5W3</t>
  </si>
  <si>
    <t>Ipad Air 2 WLAN 128G （Go</t>
  </si>
  <si>
    <t>DB9G5W3</t>
  </si>
  <si>
    <t>Ipad Air Wifi Cellular an</t>
  </si>
  <si>
    <t>J6WG5YM</t>
  </si>
  <si>
    <t>20190101</t>
  </si>
  <si>
    <t>Ipad Mini 4 16 G</t>
  </si>
  <si>
    <t>0P9GHKH</t>
  </si>
  <si>
    <t>47SGHKC</t>
  </si>
  <si>
    <t>48AGHKC</t>
  </si>
  <si>
    <t>7WWGHKC</t>
  </si>
  <si>
    <t>86NGHKC</t>
  </si>
  <si>
    <t>HYMGHKH</t>
  </si>
  <si>
    <t>LQ1GHKH</t>
  </si>
  <si>
    <t>Ipad Mini4</t>
  </si>
  <si>
    <t>GJ7GHKK</t>
  </si>
  <si>
    <t>Ipad Pro WLAN</t>
  </si>
  <si>
    <t>OREH1MV</t>
  </si>
  <si>
    <t>Iphone 6S Gold 16 GB</t>
  </si>
  <si>
    <t>6JZGRY7</t>
  </si>
  <si>
    <t>6UJGRY7</t>
  </si>
  <si>
    <t>Z49GRY7</t>
  </si>
  <si>
    <t>Iphone 6s</t>
  </si>
  <si>
    <t>0142687</t>
  </si>
  <si>
    <t>0429132</t>
  </si>
  <si>
    <t>Iphone 6s plus</t>
  </si>
  <si>
    <t>2772418</t>
  </si>
  <si>
    <t>9622285</t>
  </si>
  <si>
    <t>CN01</t>
    <phoneticPr fontId="4" type="noConversion"/>
  </si>
  <si>
    <t>F10</t>
    <phoneticPr fontId="4" type="noConversion"/>
  </si>
  <si>
    <t>9699507</t>
  </si>
  <si>
    <t>LAPTOP</t>
  </si>
  <si>
    <t>ER9LPRAC</t>
  </si>
  <si>
    <t>LAPTOP D430</t>
  </si>
  <si>
    <t>EFFDPB2X</t>
  </si>
  <si>
    <t>EGFDPB2X</t>
  </si>
  <si>
    <t>LAPTOP D630</t>
  </si>
  <si>
    <t>E9FSZB2X</t>
  </si>
  <si>
    <t>EGDDSH2X</t>
  </si>
  <si>
    <t>LAPTOP E4310</t>
  </si>
  <si>
    <t>ECB1R3Q1</t>
  </si>
  <si>
    <t>EF4HQ3Q1</t>
  </si>
  <si>
    <t>LAPTOP HP2530P</t>
  </si>
  <si>
    <t>EE100600</t>
  </si>
  <si>
    <t>20091201</t>
  </si>
  <si>
    <t>EE100602</t>
  </si>
  <si>
    <t>EE100603</t>
  </si>
  <si>
    <t>EE100604</t>
  </si>
  <si>
    <t>EE100606</t>
  </si>
  <si>
    <t>LAPTOP REPLACEMENT</t>
  </si>
  <si>
    <t>IT000097</t>
  </si>
  <si>
    <t>CN01</t>
    <phoneticPr fontId="4" type="noConversion"/>
  </si>
  <si>
    <t>F10</t>
    <phoneticPr fontId="4" type="noConversion"/>
  </si>
  <si>
    <t>LENOVA LAPTOP</t>
  </si>
  <si>
    <t>EPK04XVR</t>
  </si>
  <si>
    <t>ER9ZDLA7</t>
  </si>
  <si>
    <t>F10</t>
  </si>
  <si>
    <t>IT000111</t>
  </si>
  <si>
    <t>20130901</t>
    <phoneticPr fontId="4" type="noConversion"/>
  </si>
  <si>
    <t>20131001</t>
    <phoneticPr fontId="4" type="noConversion"/>
  </si>
  <si>
    <t>20160901</t>
    <phoneticPr fontId="4" type="noConversion"/>
  </si>
  <si>
    <t>LENOVO LAPTOP</t>
  </si>
  <si>
    <t>ER9MT4V6</t>
  </si>
  <si>
    <t>ER9P0F9C</t>
  </si>
  <si>
    <t>CM0</t>
  </si>
  <si>
    <t>ER9PAE8Z</t>
  </si>
  <si>
    <t>Laptop HP 840</t>
  </si>
  <si>
    <t>73549K8</t>
  </si>
  <si>
    <t>73549KF</t>
  </si>
  <si>
    <t>73549KR</t>
  </si>
  <si>
    <t>73549KY</t>
  </si>
  <si>
    <t>73549L7</t>
  </si>
  <si>
    <t>73549LD</t>
  </si>
  <si>
    <t>Laptop-HP   840</t>
  </si>
  <si>
    <t>7024MYN?</t>
  </si>
  <si>
    <t>?7024MXM</t>
  </si>
  <si>
    <t>?7024MXX</t>
  </si>
  <si>
    <t>?7024MY2</t>
  </si>
  <si>
    <t>?7024MYH</t>
  </si>
  <si>
    <t>Lenovo laptop (X260)</t>
  </si>
  <si>
    <t>MS46T00</t>
  </si>
  <si>
    <t>Lenovo laptop X260</t>
  </si>
  <si>
    <t>C0HP9JC</t>
  </si>
  <si>
    <t>Lenovo laptops</t>
  </si>
  <si>
    <t>00716SH</t>
  </si>
  <si>
    <t>00716SM</t>
  </si>
  <si>
    <t>00716SR</t>
  </si>
  <si>
    <t>00716ST</t>
  </si>
  <si>
    <t>0073F1Y</t>
  </si>
  <si>
    <t>0073F1Z</t>
  </si>
  <si>
    <t>0073F26?</t>
  </si>
  <si>
    <t>CN01</t>
    <phoneticPr fontId="4" type="noConversion"/>
  </si>
  <si>
    <t>F10</t>
    <phoneticPr fontId="4" type="noConversion"/>
  </si>
  <si>
    <t>0079WS7</t>
  </si>
  <si>
    <t>007JEHG</t>
  </si>
  <si>
    <t>Lenovo laptops X260</t>
  </si>
  <si>
    <t>?C0DLJQK</t>
  </si>
  <si>
    <t>C0DLLUT</t>
  </si>
  <si>
    <t>MONITOR</t>
  </si>
  <si>
    <t>E0008556</t>
  </si>
  <si>
    <t>EE100057</t>
  </si>
  <si>
    <t>MONITOR SYSTEM NET BOTZ42</t>
  </si>
  <si>
    <t>EE100114</t>
  </si>
  <si>
    <t>Mac Pro</t>
  </si>
  <si>
    <t>0DUF9VM</t>
  </si>
  <si>
    <t>MacBook Pro</t>
  </si>
  <si>
    <t>A0JFVH5</t>
  </si>
  <si>
    <t>NETWORK EQUIPMENT</t>
  </si>
  <si>
    <t>E0008946</t>
  </si>
  <si>
    <t>E0008947</t>
  </si>
  <si>
    <t>E0008948</t>
  </si>
  <si>
    <t>E0008949</t>
  </si>
  <si>
    <t>E0008950</t>
  </si>
  <si>
    <t>E0008951</t>
  </si>
  <si>
    <t>E0008952</t>
  </si>
  <si>
    <t>E0008953</t>
  </si>
  <si>
    <t>E0008954</t>
  </si>
  <si>
    <t>E0008955</t>
  </si>
  <si>
    <t>E0008956</t>
  </si>
  <si>
    <t>OPPO R11S Plus 黑</t>
  </si>
  <si>
    <t>499B6ED</t>
  </si>
  <si>
    <t>OPPO R9S</t>
  </si>
  <si>
    <t>4592138</t>
  </si>
  <si>
    <t>20200301</t>
  </si>
  <si>
    <t>PC 600G3</t>
  </si>
  <si>
    <t>EPC18001</t>
  </si>
  <si>
    <t>CN01</t>
    <phoneticPr fontId="4" type="noConversion"/>
  </si>
  <si>
    <t>F10</t>
    <phoneticPr fontId="4" type="noConversion"/>
  </si>
  <si>
    <t>EPC18002</t>
  </si>
  <si>
    <t>EPC18003</t>
  </si>
  <si>
    <t>SA6</t>
  </si>
  <si>
    <t>EPC18004</t>
  </si>
  <si>
    <t>EPC18005</t>
  </si>
  <si>
    <t>SA1</t>
  </si>
  <si>
    <t>EPC18006</t>
  </si>
  <si>
    <t>EPC18007</t>
  </si>
  <si>
    <t>EPC18008</t>
  </si>
  <si>
    <t>EPC18009</t>
  </si>
  <si>
    <t>PC REPLACEMENT</t>
  </si>
  <si>
    <t>IT000094</t>
  </si>
  <si>
    <t>PC REPLACEMENT-SH</t>
  </si>
  <si>
    <t>IT000085</t>
  </si>
  <si>
    <t>20150801</t>
  </si>
  <si>
    <t>CN01</t>
    <phoneticPr fontId="4" type="noConversion"/>
  </si>
  <si>
    <t>F10</t>
    <phoneticPr fontId="4" type="noConversion"/>
  </si>
  <si>
    <t>IT000120</t>
  </si>
  <si>
    <t>CN01</t>
    <phoneticPr fontId="4" type="noConversion"/>
  </si>
  <si>
    <t>F10</t>
    <phoneticPr fontId="4" type="noConversion"/>
  </si>
  <si>
    <t>PCreplacement PROJECT-CHO</t>
  </si>
  <si>
    <t>IT000115</t>
  </si>
  <si>
    <t>PINTER</t>
  </si>
  <si>
    <t>E0009242</t>
  </si>
  <si>
    <t>PLAM TT (PAD PROJET)</t>
  </si>
  <si>
    <t>E0008272</t>
  </si>
  <si>
    <t>20040401</t>
  </si>
  <si>
    <t>PRINTER 5200N</t>
  </si>
  <si>
    <t>EE100500</t>
  </si>
  <si>
    <t>PRINTER HP LJ5550N</t>
  </si>
  <si>
    <t>EE100595</t>
  </si>
  <si>
    <t>PV 00678 2436 UPS</t>
  </si>
  <si>
    <t>E2000166</t>
  </si>
  <si>
    <t>19931201</t>
  </si>
  <si>
    <t>19940101</t>
  </si>
  <si>
    <t>19981201</t>
  </si>
  <si>
    <t>PowerEdge R630服务器</t>
  </si>
  <si>
    <t>E100126</t>
  </si>
  <si>
    <t>E100127</t>
  </si>
  <si>
    <t>PowerEdge R730 Server</t>
  </si>
  <si>
    <t>CBRZ8K2</t>
  </si>
  <si>
    <t>CCF69K2</t>
  </si>
  <si>
    <t>ProDesk 600+Display</t>
  </si>
  <si>
    <t>74674D4</t>
  </si>
  <si>
    <t>74674D8</t>
  </si>
  <si>
    <t>74674DG</t>
  </si>
  <si>
    <t>RACK</t>
  </si>
  <si>
    <t>EE100055</t>
  </si>
  <si>
    <t>EE100547</t>
  </si>
  <si>
    <t>EE100548</t>
  </si>
  <si>
    <t>EE100549</t>
  </si>
  <si>
    <t>EE100550</t>
  </si>
  <si>
    <t>CN01</t>
    <phoneticPr fontId="4" type="noConversion"/>
  </si>
  <si>
    <t>F10</t>
    <phoneticPr fontId="4" type="noConversion"/>
  </si>
  <si>
    <t>RACK APC</t>
  </si>
  <si>
    <t>EE100511</t>
  </si>
  <si>
    <t>RACK AS-PE RACK 2K</t>
  </si>
  <si>
    <t>EE100068</t>
  </si>
  <si>
    <t>20080101</t>
  </si>
  <si>
    <t>EE100069</t>
  </si>
  <si>
    <t>EE100070</t>
  </si>
  <si>
    <t>EE100071</t>
  </si>
  <si>
    <t>EE100072</t>
  </si>
  <si>
    <t>EE100073</t>
  </si>
  <si>
    <t>EE100074</t>
  </si>
  <si>
    <t>EE100075</t>
  </si>
  <si>
    <t>EE100076</t>
  </si>
  <si>
    <t>EE100077</t>
  </si>
  <si>
    <t>EE100078</t>
  </si>
  <si>
    <t>EE100079</t>
  </si>
  <si>
    <t>EE100080</t>
  </si>
  <si>
    <t>RACK.KVM SWITCH&amp;CABLING S</t>
  </si>
  <si>
    <t>E0008432</t>
  </si>
  <si>
    <t>ROUTER</t>
  </si>
  <si>
    <t>E0008722</t>
  </si>
  <si>
    <t>E0008723</t>
  </si>
  <si>
    <t>E0008729</t>
  </si>
  <si>
    <t>E0008730</t>
  </si>
  <si>
    <t>E0008731</t>
  </si>
  <si>
    <t>E0008732</t>
  </si>
  <si>
    <t>E0008733</t>
  </si>
  <si>
    <t>E0008734</t>
  </si>
  <si>
    <t>E0008735</t>
  </si>
  <si>
    <t>E0008736</t>
  </si>
  <si>
    <t>EE100061</t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</si>
  <si>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</si>
  <si>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</si>
  <si>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</si>
  <si>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</si>
  <si>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</si>
  <si>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</si>
  <si>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EE100062</t>
  </si>
  <si>
    <t>CN01</t>
    <phoneticPr fontId="4" type="noConversion"/>
  </si>
  <si>
    <t>F10</t>
    <phoneticPr fontId="4" type="noConversion"/>
  </si>
  <si>
    <t>ROUTER C2811</t>
  </si>
  <si>
    <t>EE100044</t>
  </si>
  <si>
    <t>SAB</t>
  </si>
  <si>
    <t>EE100045</t>
  </si>
  <si>
    <t>EE100046</t>
  </si>
  <si>
    <t>EE100047</t>
  </si>
  <si>
    <t>F01005</t>
  </si>
  <si>
    <t>EE100048</t>
  </si>
  <si>
    <t>CN01</t>
    <phoneticPr fontId="4" type="noConversion"/>
  </si>
  <si>
    <t>F10</t>
    <phoneticPr fontId="4" type="noConversion"/>
  </si>
  <si>
    <t>EE100049</t>
  </si>
  <si>
    <t>ROUTER CISCO</t>
  </si>
  <si>
    <t>E0008941</t>
  </si>
  <si>
    <t>CN01</t>
    <phoneticPr fontId="4" type="noConversion"/>
  </si>
  <si>
    <t>F10</t>
    <phoneticPr fontId="4" type="noConversion"/>
  </si>
  <si>
    <t>ROUTER CISCO 2811</t>
  </si>
  <si>
    <t>EE100058</t>
  </si>
  <si>
    <t>CN01</t>
    <phoneticPr fontId="4" type="noConversion"/>
  </si>
  <si>
    <t>F10</t>
    <phoneticPr fontId="4" type="noConversion"/>
  </si>
  <si>
    <t>EE100059</t>
  </si>
  <si>
    <t>ROUTER CISCO 2811-V/K9</t>
  </si>
  <si>
    <t>EE100037</t>
  </si>
  <si>
    <t>EE100038</t>
  </si>
  <si>
    <t>EE100039</t>
  </si>
  <si>
    <t>ROUTER PRECISION 380</t>
  </si>
  <si>
    <t>EE100022</t>
  </si>
  <si>
    <t>EE100023</t>
  </si>
  <si>
    <t>SA9</t>
  </si>
  <si>
    <t>EE100025</t>
  </si>
  <si>
    <t>EE100026</t>
  </si>
  <si>
    <t>Riverbed网络加速设备</t>
  </si>
  <si>
    <t>EE100736</t>
  </si>
  <si>
    <t>S8300D SERVER常州</t>
  </si>
  <si>
    <t>25002PP</t>
  </si>
  <si>
    <t>S8300D SERVER南通</t>
  </si>
  <si>
    <t>250C324</t>
  </si>
  <si>
    <t>S8300D SERVER苏州</t>
  </si>
  <si>
    <t>250C2N7</t>
  </si>
  <si>
    <t>S8300D SERVER泰州</t>
  </si>
  <si>
    <t>250C31E</t>
  </si>
  <si>
    <t>S8300D SERVER无锡</t>
  </si>
  <si>
    <t>250C2WC</t>
  </si>
  <si>
    <t>S8300D SERVER扬州</t>
  </si>
  <si>
    <t>250C327</t>
  </si>
  <si>
    <t>S8300D SERVER张江</t>
  </si>
  <si>
    <t>250C32D</t>
  </si>
  <si>
    <t>SCANER KODAK</t>
  </si>
  <si>
    <t>ESACR001</t>
  </si>
  <si>
    <t>SCANNER</t>
  </si>
  <si>
    <t>E000SA22</t>
  </si>
  <si>
    <t>SCANNER  I260</t>
  </si>
  <si>
    <t>E0009653</t>
  </si>
  <si>
    <t>E0009654</t>
  </si>
  <si>
    <t>SCANNER AV320</t>
  </si>
  <si>
    <t>E0S0P007</t>
  </si>
  <si>
    <t>E0S0P008</t>
  </si>
  <si>
    <t>E0SOP005</t>
  </si>
  <si>
    <t>E0SOP006</t>
  </si>
  <si>
    <t>SCANNER FB600U</t>
  </si>
  <si>
    <t>E0SAO003</t>
  </si>
  <si>
    <t>E0SAO004</t>
  </si>
  <si>
    <t>SERVER</t>
  </si>
  <si>
    <t>E0008702</t>
  </si>
  <si>
    <t>CN01</t>
    <phoneticPr fontId="4" type="noConversion"/>
  </si>
  <si>
    <t>F10</t>
    <phoneticPr fontId="4" type="noConversion"/>
  </si>
  <si>
    <t>E0008914</t>
  </si>
  <si>
    <t>E0008938</t>
  </si>
  <si>
    <t>EE100762</t>
  </si>
  <si>
    <t>CN01</t>
    <phoneticPr fontId="4" type="noConversion"/>
  </si>
  <si>
    <t>F10</t>
    <phoneticPr fontId="4" type="noConversion"/>
  </si>
  <si>
    <t>EE100763</t>
  </si>
  <si>
    <t>EE100764</t>
  </si>
  <si>
    <t>EE100765</t>
  </si>
  <si>
    <t>EE100766</t>
  </si>
  <si>
    <t>EE100767</t>
  </si>
  <si>
    <t>EE100768</t>
  </si>
  <si>
    <t>EE100769</t>
  </si>
  <si>
    <t>EE100770</t>
  </si>
  <si>
    <t>SERVER 2T6QW22</t>
  </si>
  <si>
    <t>E100847</t>
  </si>
  <si>
    <t>SERVER 387QW22</t>
  </si>
  <si>
    <t>E100848</t>
  </si>
  <si>
    <t>SERVER 42U RACK</t>
  </si>
  <si>
    <t>E0008986</t>
  </si>
  <si>
    <t>20040101</t>
  </si>
  <si>
    <t>20040201</t>
  </si>
  <si>
    <t>20090101</t>
  </si>
  <si>
    <t>SERVER 6W6QW22</t>
  </si>
  <si>
    <t>E100846</t>
  </si>
  <si>
    <t>SERVER AS-PE2950</t>
  </si>
  <si>
    <t>E0008564</t>
  </si>
  <si>
    <t>20061101</t>
  </si>
  <si>
    <t>SERVER BZ4QW22</t>
  </si>
  <si>
    <t>E100849</t>
  </si>
  <si>
    <t>SERVER DELL AS-PE6850 POW</t>
  </si>
  <si>
    <t>E0008490</t>
  </si>
  <si>
    <t>SERVER DELL POWERVAULT</t>
  </si>
  <si>
    <t>E0008411</t>
  </si>
  <si>
    <t>20050901</t>
  </si>
  <si>
    <t>SERVER FM3000</t>
  </si>
  <si>
    <t>EE100582</t>
  </si>
  <si>
    <t>SERVER FRX300</t>
  </si>
  <si>
    <t>EE100571</t>
  </si>
  <si>
    <t>EE100572</t>
  </si>
  <si>
    <t>EE100573</t>
  </si>
  <si>
    <t>EE100575</t>
  </si>
  <si>
    <t>EE100576</t>
  </si>
  <si>
    <t>EE100577</t>
  </si>
  <si>
    <t>EE100578</t>
  </si>
  <si>
    <t>SERVER FUJITSU</t>
  </si>
  <si>
    <t>E0008579</t>
  </si>
  <si>
    <t>SERVER PE2950</t>
  </si>
  <si>
    <t>E0008672</t>
  </si>
  <si>
    <t>E0008673</t>
  </si>
  <si>
    <t>E0008675</t>
  </si>
  <si>
    <t>SERVER POWERVAULT136T</t>
  </si>
  <si>
    <t>E0008429</t>
  </si>
  <si>
    <t>SERVR</t>
  </si>
  <si>
    <t>EE100566</t>
  </si>
  <si>
    <t>SHARP LAPTOP</t>
  </si>
  <si>
    <t>E3289VZR</t>
  </si>
  <si>
    <t>E3289VZU</t>
  </si>
  <si>
    <t>E3289VZX</t>
  </si>
  <si>
    <t>SUN M5000 UNIX SERVER</t>
  </si>
  <si>
    <t>EE100658</t>
  </si>
  <si>
    <t>SWICH CISCO2950</t>
  </si>
  <si>
    <t>E0009487</t>
  </si>
  <si>
    <t>20040601</t>
  </si>
  <si>
    <t>SWITCH</t>
  </si>
  <si>
    <t>E0008724</t>
  </si>
  <si>
    <t>E0008725</t>
  </si>
  <si>
    <t>CN01</t>
    <phoneticPr fontId="4" type="noConversion"/>
  </si>
  <si>
    <t>F10</t>
    <phoneticPr fontId="4" type="noConversion"/>
  </si>
  <si>
    <t>E0008726</t>
  </si>
  <si>
    <t>E0008727</t>
  </si>
  <si>
    <t>E0008728</t>
  </si>
  <si>
    <t>E0008741</t>
  </si>
  <si>
    <t>E0008742</t>
  </si>
  <si>
    <t>E0008743</t>
  </si>
  <si>
    <t>E0008744</t>
  </si>
  <si>
    <t>E0008745</t>
  </si>
  <si>
    <t>E0008746</t>
  </si>
  <si>
    <t>E0008747</t>
  </si>
  <si>
    <t>E0008748</t>
  </si>
  <si>
    <t>E0008749</t>
  </si>
  <si>
    <t>E0008750</t>
  </si>
  <si>
    <t>E0008762</t>
  </si>
  <si>
    <t>E0008763</t>
  </si>
  <si>
    <t>E0008764</t>
  </si>
  <si>
    <t>E0008765</t>
  </si>
  <si>
    <t>E0008766</t>
  </si>
  <si>
    <t>E0008767</t>
  </si>
  <si>
    <t>E0008768</t>
  </si>
  <si>
    <t>E0008769</t>
  </si>
  <si>
    <t>E0008770</t>
  </si>
  <si>
    <t>E0008773</t>
  </si>
  <si>
    <t>E0008774</t>
  </si>
  <si>
    <t>E0008781</t>
  </si>
  <si>
    <t>E0008782</t>
  </si>
  <si>
    <t>E0008783</t>
  </si>
  <si>
    <t>E0008784</t>
  </si>
  <si>
    <t>E0008785</t>
  </si>
  <si>
    <t>E0008786</t>
  </si>
  <si>
    <t>E0008787</t>
  </si>
  <si>
    <t>E0008788</t>
  </si>
  <si>
    <t>E0008789</t>
  </si>
  <si>
    <t>E0008790</t>
  </si>
  <si>
    <t>E0009041</t>
  </si>
  <si>
    <t>E0009042</t>
  </si>
  <si>
    <t>E0009043</t>
  </si>
  <si>
    <t>EE100052</t>
  </si>
  <si>
    <t>EE100053</t>
  </si>
  <si>
    <t>EE100063</t>
  </si>
  <si>
    <t>EE100064</t>
  </si>
  <si>
    <t>EE100065</t>
  </si>
  <si>
    <t>EE100066</t>
  </si>
  <si>
    <t>EE100067</t>
  </si>
  <si>
    <t>EE100122</t>
  </si>
  <si>
    <t>EE100520</t>
  </si>
  <si>
    <t>EE100545</t>
  </si>
  <si>
    <t>EE100546</t>
  </si>
  <si>
    <t>SWITCH C2950T</t>
  </si>
  <si>
    <t>ENS00001</t>
  </si>
  <si>
    <t>20050201</t>
  </si>
  <si>
    <t>ENS00002</t>
  </si>
  <si>
    <t>SWITCH C2960-24T</t>
  </si>
  <si>
    <t>EE100060</t>
  </si>
  <si>
    <t>SWITCH C2960-485</t>
  </si>
  <si>
    <t>EE100050</t>
  </si>
  <si>
    <t>SWITCH C3560-48PS-S</t>
  </si>
  <si>
    <t>E0008711</t>
  </si>
  <si>
    <t>E0008712</t>
  </si>
  <si>
    <t>E0008713</t>
  </si>
  <si>
    <t>E0008714</t>
  </si>
  <si>
    <t>E0008715</t>
  </si>
  <si>
    <t>SWITCH C356024PS</t>
  </si>
  <si>
    <t>EE100104</t>
  </si>
  <si>
    <t>SWITCH C356048PS</t>
  </si>
  <si>
    <t>EE100103</t>
  </si>
  <si>
    <t>EE100521</t>
  </si>
  <si>
    <t>EE100522</t>
  </si>
  <si>
    <t>EE100525</t>
  </si>
  <si>
    <t>SWITCH CISCO 3825</t>
  </si>
  <si>
    <t>E0008716</t>
  </si>
  <si>
    <t>E0008717</t>
  </si>
  <si>
    <t>Shannon PCIE-G3i 6.5TB</t>
  </si>
  <si>
    <t>E100130</t>
  </si>
  <si>
    <t>TAPE DRIVER AS-PV11OT</t>
  </si>
  <si>
    <t>E0008489</t>
  </si>
  <si>
    <t>20090501</t>
  </si>
  <si>
    <t>TAPE DRIVER LT04</t>
  </si>
  <si>
    <t>EE100543</t>
  </si>
  <si>
    <t>THINKPAD LAPTOP</t>
  </si>
  <si>
    <t>E1200241</t>
  </si>
  <si>
    <t>E1201127</t>
  </si>
  <si>
    <t>E1201219</t>
  </si>
  <si>
    <t>E1201220</t>
  </si>
  <si>
    <t>THINKPAD X240</t>
  </si>
  <si>
    <t>ENB201501</t>
  </si>
  <si>
    <t>ThinkPad Laptop</t>
  </si>
  <si>
    <t>E1201226</t>
  </si>
  <si>
    <t>E1201227</t>
  </si>
  <si>
    <t>E1201228</t>
  </si>
  <si>
    <t>E1201231</t>
  </si>
  <si>
    <t>ThinkPad X250</t>
  </si>
  <si>
    <t>EHBN1509</t>
  </si>
  <si>
    <t>EHBN1510</t>
  </si>
  <si>
    <t>ThinkPad X250 * 1台</t>
  </si>
  <si>
    <t>EHBN1511</t>
  </si>
  <si>
    <t>EHBN1512</t>
  </si>
  <si>
    <t>EHBN1513</t>
  </si>
  <si>
    <t>EHBN1514</t>
  </si>
  <si>
    <t>Thinkpad notebook</t>
  </si>
  <si>
    <t>E1200807</t>
  </si>
  <si>
    <t>ThonkPad</t>
  </si>
  <si>
    <t>ER9NF32H</t>
  </si>
  <si>
    <t>ER9NG80A</t>
  </si>
  <si>
    <t>ER9POF8L</t>
  </si>
  <si>
    <t>MS0</t>
  </si>
  <si>
    <t>Turnkey Solution</t>
  </si>
  <si>
    <t>EZJE0001</t>
  </si>
  <si>
    <t>UPS</t>
  </si>
  <si>
    <t>E0008464</t>
  </si>
  <si>
    <t>E0008555</t>
  </si>
  <si>
    <t>E0008590</t>
  </si>
  <si>
    <t>E1000001</t>
  </si>
  <si>
    <t>EE100054</t>
  </si>
  <si>
    <t>EE100118</t>
  </si>
  <si>
    <t>EE100123</t>
  </si>
  <si>
    <t>EE100124</t>
  </si>
  <si>
    <t>UPS APC SURT 3000RMXL1</t>
  </si>
  <si>
    <t>EE100042</t>
  </si>
  <si>
    <t>UPS SUA1000ICH</t>
  </si>
  <si>
    <t>E0009391</t>
  </si>
  <si>
    <t>E0009395</t>
  </si>
  <si>
    <t>E0009396</t>
  </si>
  <si>
    <t>E0009397</t>
  </si>
  <si>
    <t>E0009398</t>
  </si>
  <si>
    <t>E0009399</t>
  </si>
  <si>
    <t>E0009400</t>
  </si>
  <si>
    <t>E0009402</t>
  </si>
  <si>
    <t>SAG</t>
  </si>
  <si>
    <t>F01007</t>
  </si>
  <si>
    <t>E0009403</t>
  </si>
  <si>
    <t>UPS(APC SMART)</t>
  </si>
  <si>
    <t>E2000083</t>
  </si>
  <si>
    <t>E2000089</t>
  </si>
  <si>
    <t>UPS（S/N：9S1721A06994）</t>
  </si>
  <si>
    <t>1A06994</t>
  </si>
  <si>
    <t>ViVo X20 Plus 金</t>
  </si>
  <si>
    <t>9D3AF00</t>
  </si>
  <si>
    <t>Vivo X9</t>
  </si>
  <si>
    <t>3830151</t>
  </si>
  <si>
    <t>860B1B5</t>
  </si>
  <si>
    <t>WATER DETECTION SYSTEM</t>
  </si>
  <si>
    <t>E2000174</t>
  </si>
  <si>
    <t>WS-C3650-48PS-S switch</t>
  </si>
  <si>
    <t>E100569</t>
  </si>
  <si>
    <t>iMac MK442CH/A</t>
  </si>
  <si>
    <t>1BYGG76</t>
  </si>
  <si>
    <t>iMac 定制机</t>
  </si>
  <si>
    <t>07DJ1GC</t>
  </si>
  <si>
    <t>iPAD Air2 （32G WLAN）</t>
  </si>
  <si>
    <t>EPAD1618</t>
  </si>
  <si>
    <t>EPAD1619</t>
  </si>
  <si>
    <t>EPAD1620</t>
  </si>
  <si>
    <t>EPAD1621</t>
  </si>
  <si>
    <t>EPAD1622</t>
  </si>
  <si>
    <t>EPAD1630</t>
  </si>
  <si>
    <t>iPAD MP2G2CH/A （32G WLAN</t>
  </si>
  <si>
    <t>EPAD1702</t>
  </si>
  <si>
    <t>EPAD1703</t>
  </si>
  <si>
    <t>EPAD1704</t>
  </si>
  <si>
    <t>EPAD1705</t>
  </si>
  <si>
    <t>EPAD1706</t>
  </si>
  <si>
    <t>EPAD1707</t>
  </si>
  <si>
    <t>EPAD1708</t>
  </si>
  <si>
    <t>EPAD1709</t>
  </si>
  <si>
    <t>EPAD1710</t>
  </si>
  <si>
    <t>EPAD1711</t>
  </si>
  <si>
    <t>EPAD1712</t>
  </si>
  <si>
    <t>EPAD1713</t>
  </si>
  <si>
    <t>EPAD1714</t>
  </si>
  <si>
    <t>EPAD1715</t>
  </si>
  <si>
    <t>EPAD1716</t>
  </si>
  <si>
    <t>EPAD1717</t>
  </si>
  <si>
    <t>EPAD1718</t>
  </si>
  <si>
    <t>EPAD1719</t>
  </si>
  <si>
    <t>EPAD1720</t>
  </si>
  <si>
    <t>EPAD1721</t>
  </si>
  <si>
    <t>iPad</t>
  </si>
  <si>
    <t>60FGHK9</t>
  </si>
  <si>
    <t>CCSH1MD</t>
  </si>
  <si>
    <t>CN01</t>
    <phoneticPr fontId="4" type="noConversion"/>
  </si>
  <si>
    <t>F10</t>
    <phoneticPr fontId="4" type="noConversion"/>
  </si>
  <si>
    <t>J00JGSM</t>
  </si>
  <si>
    <t>iPad (WLAN + Cellular 32G</t>
  </si>
  <si>
    <t>1348164</t>
  </si>
  <si>
    <t>1427968</t>
  </si>
  <si>
    <t>4WSHLJK</t>
  </si>
  <si>
    <t>iPad (WLAN 128GB)</t>
  </si>
  <si>
    <t>1GWHLFF</t>
  </si>
  <si>
    <t>1NHHLFF</t>
  </si>
  <si>
    <t>iPad (WLAN 32GB)</t>
  </si>
  <si>
    <t>6FSHP9X</t>
  </si>
  <si>
    <t>20200701</t>
  </si>
  <si>
    <t>iPad 2</t>
  </si>
  <si>
    <t>1VJG5YN</t>
  </si>
  <si>
    <t>2AEG5YN</t>
  </si>
  <si>
    <t>iPad Air 2</t>
  </si>
  <si>
    <t>03AG5YN</t>
  </si>
  <si>
    <t>074G5YN</t>
  </si>
  <si>
    <t>1P2G5YN</t>
  </si>
  <si>
    <t>272G5W0</t>
  </si>
  <si>
    <t>CR9GMW5</t>
  </si>
  <si>
    <t>DM3GMW5</t>
  </si>
  <si>
    <t>iPad Air 2 WLAN</t>
  </si>
  <si>
    <t>2B2GSYM</t>
  </si>
  <si>
    <t>2WFG5YN</t>
  </si>
  <si>
    <t>iPad Air 2(64G ,3G+Wifi版</t>
  </si>
  <si>
    <t>EPAD1608</t>
  </si>
  <si>
    <t>EPAD1609</t>
  </si>
  <si>
    <t>iPad Air 2（WLAN+3G）64G</t>
  </si>
  <si>
    <t>EHBP1505</t>
  </si>
  <si>
    <t>EHBP1506</t>
  </si>
  <si>
    <t>iPad Air(16GB)Wifi</t>
  </si>
  <si>
    <t>E1420009</t>
  </si>
  <si>
    <t>E1420010</t>
  </si>
  <si>
    <t>E1420011</t>
  </si>
  <si>
    <t>E1420012</t>
  </si>
  <si>
    <t>E1420013</t>
  </si>
  <si>
    <t>E1420014</t>
  </si>
  <si>
    <t>E1420015</t>
  </si>
  <si>
    <t>E1420016</t>
  </si>
  <si>
    <t>E1420017</t>
  </si>
  <si>
    <t>E1420018</t>
  </si>
  <si>
    <t>E1420019</t>
  </si>
  <si>
    <t>E1420020</t>
  </si>
  <si>
    <t>E1420021</t>
  </si>
  <si>
    <t>E1420022</t>
  </si>
  <si>
    <t>E1420023</t>
  </si>
  <si>
    <t>E1420024</t>
  </si>
  <si>
    <t>E1420025</t>
  </si>
  <si>
    <t>E1420026</t>
  </si>
  <si>
    <t>E1420027</t>
  </si>
  <si>
    <t>E1420028</t>
  </si>
  <si>
    <t>E1420029</t>
  </si>
  <si>
    <t>E1420030</t>
  </si>
  <si>
    <t>E1420031</t>
  </si>
  <si>
    <t>E1420032</t>
  </si>
  <si>
    <t>E1420033</t>
  </si>
  <si>
    <t>E1420034</t>
  </si>
  <si>
    <t>E1420035</t>
  </si>
  <si>
    <t>E1420036</t>
  </si>
  <si>
    <t>E1420037</t>
  </si>
  <si>
    <t>E1420038</t>
  </si>
  <si>
    <t>E1420039</t>
  </si>
  <si>
    <t>E1420040</t>
  </si>
  <si>
    <t>E1420041</t>
  </si>
  <si>
    <t>E1420042</t>
  </si>
  <si>
    <t>E1420043</t>
  </si>
  <si>
    <t>E1420044</t>
  </si>
  <si>
    <t>E1420045</t>
  </si>
  <si>
    <t>E1420046</t>
  </si>
  <si>
    <t>E1420047</t>
  </si>
  <si>
    <t>E1420048</t>
  </si>
  <si>
    <t>iPad Air2</t>
  </si>
  <si>
    <t>V7VG5VJ</t>
  </si>
  <si>
    <t>iPad MIni4 64G WLan</t>
  </si>
  <si>
    <t>EHBP1516</t>
  </si>
  <si>
    <t>iPad Mini 4</t>
  </si>
  <si>
    <t>1VXG5YN</t>
  </si>
  <si>
    <t>5LNGHMM</t>
  </si>
  <si>
    <t>iPad Mini 4 (16G WLAN )</t>
  </si>
  <si>
    <t>EPAD1610</t>
  </si>
  <si>
    <t>20191001</t>
  </si>
  <si>
    <t>EPAD1624</t>
  </si>
  <si>
    <t>EPAD1625</t>
  </si>
  <si>
    <t>EPAD1626</t>
  </si>
  <si>
    <t>EPAD1627</t>
  </si>
  <si>
    <t>EPAD1628</t>
  </si>
  <si>
    <t>EPAD1629</t>
  </si>
  <si>
    <t>iPad Mini 4 (64G ,3G+Wifi</t>
  </si>
  <si>
    <t>EPAD1602</t>
  </si>
  <si>
    <t>EPAD1603</t>
  </si>
  <si>
    <t>EPAD1604</t>
  </si>
  <si>
    <t>EPAD1605</t>
  </si>
  <si>
    <t>EPAD1606</t>
  </si>
  <si>
    <t>EPAD1607</t>
  </si>
  <si>
    <t>EPAD1623</t>
  </si>
  <si>
    <t>iPad Mini 4 (WLAN 128GB)</t>
  </si>
  <si>
    <t>751GHKK</t>
  </si>
  <si>
    <t>FKWGHKK</t>
  </si>
  <si>
    <t>iPad Mini 4 北京</t>
  </si>
  <si>
    <t>6GYHGJ2</t>
  </si>
  <si>
    <t>iPad Mini 4 深圳</t>
  </si>
  <si>
    <t>4J5HGJ2</t>
  </si>
  <si>
    <t>iPad Mini3 16G WLAN</t>
  </si>
  <si>
    <t>EHBP1503</t>
  </si>
  <si>
    <t>iPad Mini4</t>
  </si>
  <si>
    <t>53PGHK9</t>
  </si>
  <si>
    <t>iPad Pro</t>
  </si>
  <si>
    <t>1X0G5YN</t>
  </si>
  <si>
    <t>5Z7GHMM</t>
  </si>
  <si>
    <t>PDWGMW5</t>
  </si>
  <si>
    <t>iPad Pro 128G WLAN+Cellu</t>
  </si>
  <si>
    <t>08BH246</t>
  </si>
  <si>
    <t>iPad Pro 512GB 深空灰色+S</t>
  </si>
  <si>
    <t>03LHPT8</t>
  </si>
  <si>
    <t>iPad Pro WLAN 64GB 银色</t>
  </si>
  <si>
    <t>9KUJ28L</t>
  </si>
  <si>
    <t>iPad Pro WLAN+Cellular (2</t>
  </si>
  <si>
    <t>095HPF8</t>
  </si>
  <si>
    <t>1279119</t>
  </si>
  <si>
    <t>iPad Pro(WLAN 128G)</t>
  </si>
  <si>
    <t>0VDHLFD</t>
  </si>
  <si>
    <t>DD0</t>
  </si>
  <si>
    <t>18JHLFD</t>
  </si>
  <si>
    <t>iPad WLAN + Cellular 128G</t>
  </si>
  <si>
    <t>09CMLJL</t>
  </si>
  <si>
    <t>1MGHLJM</t>
  </si>
  <si>
    <t>7MTHLFC</t>
  </si>
  <si>
    <t>iPad WLAN + Cellular 32GB</t>
  </si>
  <si>
    <t>6ZAHLJK</t>
  </si>
  <si>
    <t>GS0</t>
  </si>
  <si>
    <t>iPad WLAN 32GB 银色</t>
  </si>
  <si>
    <t>2MVHLJM</t>
  </si>
  <si>
    <t>iPad mini 4</t>
  </si>
  <si>
    <t>5UGGHMM</t>
  </si>
  <si>
    <t>6B2GHMM</t>
  </si>
  <si>
    <t>iPad mini 4 WLAN</t>
  </si>
  <si>
    <t>05LGHMP</t>
  </si>
  <si>
    <t>3132359</t>
  </si>
  <si>
    <t>iPad mini 4 WLAN 128GB</t>
  </si>
  <si>
    <t>7YSGHKL</t>
  </si>
  <si>
    <t>iPad mini 4 Wi-Fi 32G</t>
  </si>
  <si>
    <t>01HHGJ2</t>
  </si>
  <si>
    <t>04WHGJ2</t>
  </si>
  <si>
    <t>06HHGJ2</t>
  </si>
  <si>
    <t>09PHGJ2</t>
  </si>
  <si>
    <t>0E0HGJ2</t>
  </si>
  <si>
    <t>0F2HGJ2</t>
  </si>
  <si>
    <t>0LBHGJ2</t>
  </si>
  <si>
    <t>1HYHGJ2</t>
  </si>
  <si>
    <t>1JHHGJ2</t>
  </si>
  <si>
    <t>1JMHGJ2</t>
  </si>
  <si>
    <t>1JUHGJ2</t>
  </si>
  <si>
    <t>1KUHGJ2</t>
  </si>
  <si>
    <t>2M1HGJ1</t>
  </si>
  <si>
    <t>2NDHGJ1</t>
  </si>
  <si>
    <t>2QPHGJ1</t>
  </si>
  <si>
    <t>2RWHGJ1</t>
  </si>
  <si>
    <t>2TGHGJ1</t>
  </si>
  <si>
    <t>398HGJ1</t>
  </si>
  <si>
    <t>3J8HGJ1</t>
  </si>
  <si>
    <t>3KMHGJ1</t>
  </si>
  <si>
    <t>3NAHGJ1</t>
  </si>
  <si>
    <t>3Q3HGJ1</t>
  </si>
  <si>
    <t>3R2HGJ1</t>
  </si>
  <si>
    <t>3WDHGJ1</t>
  </si>
  <si>
    <t>437HGJ1</t>
  </si>
  <si>
    <t>iPad mini 4WLAN 64GB</t>
  </si>
  <si>
    <t>15VGHKH</t>
  </si>
  <si>
    <t>54XGHKH</t>
  </si>
  <si>
    <t>iPad4-16G</t>
  </si>
  <si>
    <t>E1320002</t>
  </si>
  <si>
    <t>E1320003</t>
  </si>
  <si>
    <t>DM1</t>
  </si>
  <si>
    <t>E1320004</t>
  </si>
  <si>
    <t>E1320005</t>
  </si>
  <si>
    <t>E1320006</t>
  </si>
  <si>
    <t>E1320007</t>
  </si>
  <si>
    <t>iPadAir 2</t>
  </si>
  <si>
    <t>2AEGSYN</t>
  </si>
  <si>
    <t>iPadpro</t>
  </si>
  <si>
    <t>0ELHPF9</t>
  </si>
  <si>
    <t>iPhone 6 Plus 16GB</t>
  </si>
  <si>
    <t>12ZSG5Q</t>
  </si>
  <si>
    <t>iPhone 6s</t>
  </si>
  <si>
    <t>605GRYF</t>
  </si>
  <si>
    <t>iPhone 7 Plus 128GB</t>
  </si>
  <si>
    <t>2317712</t>
  </si>
  <si>
    <t>3557647</t>
  </si>
  <si>
    <t>iPhone 7 Plus（128G）</t>
  </si>
  <si>
    <t>P14PNTC</t>
  </si>
  <si>
    <t>iPhone 8 64GB</t>
  </si>
  <si>
    <t>05WJC6F</t>
  </si>
  <si>
    <t>iPhone 8 plus 64GB</t>
  </si>
  <si>
    <t>HCJCM1A</t>
  </si>
  <si>
    <t>iPhone SE 64GB</t>
  </si>
  <si>
    <t>8ZGH2Y7</t>
  </si>
  <si>
    <t>iPhone X 256GB 深空灰色</t>
  </si>
  <si>
    <t>JUFJCL6</t>
  </si>
  <si>
    <t>VXRJCL6</t>
  </si>
  <si>
    <t>iPhone X 256GB 银色</t>
  </si>
  <si>
    <t>5H0JCL7</t>
  </si>
  <si>
    <t>iPhoneX (64G)</t>
  </si>
  <si>
    <t>Q3LJCLG</t>
  </si>
  <si>
    <t>ipad mini 4 (3G版128G) *1</t>
  </si>
  <si>
    <t>EPAD1701</t>
  </si>
  <si>
    <t>八爪鱼电话</t>
  </si>
  <si>
    <t>EHBP1501</t>
  </si>
  <si>
    <t>百令达 702</t>
  </si>
  <si>
    <t>E0009407</t>
  </si>
  <si>
    <t>20021201</t>
  </si>
  <si>
    <t>百令达 7975</t>
  </si>
  <si>
    <t>E0009408</t>
  </si>
  <si>
    <t>百令达 UTU702</t>
  </si>
  <si>
    <t>E0009495</t>
  </si>
  <si>
    <t>百令打 7975</t>
  </si>
  <si>
    <t>E0009470</t>
  </si>
  <si>
    <t>板卡</t>
  </si>
  <si>
    <t>E100922</t>
  </si>
  <si>
    <t>笔记本</t>
  </si>
  <si>
    <t>6140R80</t>
  </si>
  <si>
    <t>6142036</t>
  </si>
  <si>
    <t>614203H</t>
  </si>
  <si>
    <t>614203R</t>
  </si>
  <si>
    <t>614203Z</t>
  </si>
  <si>
    <t>6142047</t>
  </si>
  <si>
    <t>614204B</t>
  </si>
  <si>
    <t>614204K</t>
  </si>
  <si>
    <t>6321M89</t>
  </si>
  <si>
    <t>6321M90</t>
  </si>
  <si>
    <t>6321M99</t>
  </si>
  <si>
    <t>6321M9G</t>
  </si>
  <si>
    <t>6321MB7</t>
  </si>
  <si>
    <t>6321MBV</t>
  </si>
  <si>
    <t>6321MC6</t>
  </si>
  <si>
    <t>6321MCC</t>
  </si>
  <si>
    <t>63654KD</t>
  </si>
  <si>
    <t>63654KZ</t>
  </si>
  <si>
    <t>63654L1</t>
  </si>
  <si>
    <t>63654LW</t>
  </si>
  <si>
    <t>63654M6</t>
  </si>
  <si>
    <t>63655XQ</t>
  </si>
  <si>
    <t>63656QY</t>
  </si>
  <si>
    <t>COGTTZW</t>
  </si>
  <si>
    <t>COGTVMK</t>
  </si>
  <si>
    <t>LP01601</t>
  </si>
  <si>
    <t>LP01602</t>
  </si>
  <si>
    <t>LP01603</t>
  </si>
  <si>
    <t>LP01604</t>
  </si>
  <si>
    <t>LP01605</t>
  </si>
  <si>
    <t>LP01606</t>
  </si>
  <si>
    <t>LP01607</t>
  </si>
  <si>
    <t>CN01</t>
    <phoneticPr fontId="4" type="noConversion"/>
  </si>
  <si>
    <t>F10</t>
    <phoneticPr fontId="4" type="noConversion"/>
  </si>
  <si>
    <t>笔记本HP 840</t>
  </si>
  <si>
    <t>7214KN4</t>
  </si>
  <si>
    <t>7214KNG</t>
  </si>
  <si>
    <t>7214KNP</t>
  </si>
  <si>
    <t>7214KNY</t>
  </si>
  <si>
    <t>7214KP7</t>
  </si>
  <si>
    <t>CN01</t>
    <phoneticPr fontId="4" type="noConversion"/>
  </si>
  <si>
    <t>F10</t>
    <phoneticPr fontId="4" type="noConversion"/>
  </si>
  <si>
    <t>7214KPC</t>
  </si>
  <si>
    <t>笔记本HP840</t>
  </si>
  <si>
    <t>6321M9X</t>
  </si>
  <si>
    <t>6321MBL</t>
  </si>
  <si>
    <t>6321PBJ</t>
  </si>
  <si>
    <t>笔记本电脑</t>
  </si>
  <si>
    <t>0095KDD</t>
  </si>
  <si>
    <t>CN01</t>
    <phoneticPr fontId="4" type="noConversion"/>
  </si>
  <si>
    <t>F10</t>
    <phoneticPr fontId="4" type="noConversion"/>
  </si>
  <si>
    <t>0095KDE1</t>
  </si>
  <si>
    <t>0095KDF1</t>
  </si>
  <si>
    <t>0095KDG1</t>
  </si>
  <si>
    <t>0095KDH</t>
  </si>
  <si>
    <t>CN01</t>
    <phoneticPr fontId="4" type="noConversion"/>
  </si>
  <si>
    <t>F10</t>
    <phoneticPr fontId="4" type="noConversion"/>
  </si>
  <si>
    <t>0095KDJ</t>
  </si>
  <si>
    <t>0095KDK</t>
  </si>
  <si>
    <t>0095KDL</t>
  </si>
  <si>
    <t>CN01</t>
    <phoneticPr fontId="4" type="noConversion"/>
  </si>
  <si>
    <t>F10</t>
    <phoneticPr fontId="4" type="noConversion"/>
  </si>
  <si>
    <t>0095KDM</t>
  </si>
  <si>
    <t>0095KDN</t>
  </si>
  <si>
    <t>0095KDP</t>
  </si>
  <si>
    <t>0095KDQ</t>
  </si>
  <si>
    <t>009BH61</t>
  </si>
  <si>
    <t>20190201</t>
  </si>
  <si>
    <t>009BH6L</t>
  </si>
  <si>
    <t>00ACBC2</t>
  </si>
  <si>
    <t>414CCGC</t>
  </si>
  <si>
    <t>414CCGD</t>
  </si>
  <si>
    <t>CN01</t>
    <phoneticPr fontId="4" type="noConversion"/>
  </si>
  <si>
    <t>F10</t>
    <phoneticPr fontId="4" type="noConversion"/>
  </si>
  <si>
    <t>414CCGH</t>
  </si>
  <si>
    <t>535372Y</t>
  </si>
  <si>
    <t>CN01</t>
    <phoneticPr fontId="4" type="noConversion"/>
  </si>
  <si>
    <t>F10</t>
    <phoneticPr fontId="4" type="noConversion"/>
  </si>
  <si>
    <t>535373B</t>
  </si>
  <si>
    <t>535373S</t>
  </si>
  <si>
    <t>5353741</t>
  </si>
  <si>
    <t>5353756</t>
  </si>
  <si>
    <t>535375H</t>
  </si>
  <si>
    <t>535375Q</t>
  </si>
  <si>
    <t>535377L</t>
  </si>
  <si>
    <t>53537BG</t>
  </si>
  <si>
    <t>53537BQ</t>
  </si>
  <si>
    <t>53537C1</t>
  </si>
  <si>
    <t>53537DK</t>
  </si>
  <si>
    <t>53721F5</t>
  </si>
  <si>
    <t>B01VBGY</t>
  </si>
  <si>
    <t>B01VBZ5</t>
  </si>
  <si>
    <t>EB01157T</t>
  </si>
  <si>
    <t>EB01157U</t>
  </si>
  <si>
    <t>EB01157W</t>
  </si>
  <si>
    <t>EB01157X</t>
  </si>
  <si>
    <t>EB013JC5</t>
  </si>
  <si>
    <t>EB013JCC</t>
  </si>
  <si>
    <t>EB013JCF</t>
  </si>
  <si>
    <t>EB01YHV8</t>
  </si>
  <si>
    <t>F00N9B2</t>
  </si>
  <si>
    <t>F00S7TF</t>
  </si>
  <si>
    <t>F00S7TX</t>
  </si>
  <si>
    <t>F01FBVC</t>
  </si>
  <si>
    <t>F01FBXU</t>
  </si>
  <si>
    <t>笔记本电脑 820G3</t>
  </si>
  <si>
    <t>ENB18001</t>
  </si>
  <si>
    <t>CN01</t>
    <phoneticPr fontId="4" type="noConversion"/>
  </si>
  <si>
    <t>F10</t>
    <phoneticPr fontId="4" type="noConversion"/>
  </si>
  <si>
    <t>ENB18002</t>
  </si>
  <si>
    <t>ENB18003</t>
  </si>
  <si>
    <t>CN01</t>
    <phoneticPr fontId="4" type="noConversion"/>
  </si>
  <si>
    <t>F10</t>
    <phoneticPr fontId="4" type="noConversion"/>
  </si>
  <si>
    <t>笔记本电脑-联想X240</t>
  </si>
  <si>
    <t>B01157X</t>
  </si>
  <si>
    <t>DG0</t>
  </si>
  <si>
    <t>R9YDP8L</t>
  </si>
  <si>
    <t>笔记本电脑23068CC</t>
  </si>
  <si>
    <t>ER9Z8MVP</t>
  </si>
  <si>
    <t>CN01</t>
    <phoneticPr fontId="4" type="noConversion"/>
  </si>
  <si>
    <t>F10</t>
    <phoneticPr fontId="4" type="noConversion"/>
  </si>
  <si>
    <t>触摸显示屏</t>
  </si>
  <si>
    <t>E0009266</t>
  </si>
  <si>
    <t>20010901</t>
  </si>
  <si>
    <t>OP7</t>
  </si>
  <si>
    <t>E0009267</t>
  </si>
  <si>
    <t>磁带盘</t>
  </si>
  <si>
    <t>E100501</t>
  </si>
  <si>
    <t>存储（790）</t>
  </si>
  <si>
    <t>E100866</t>
  </si>
  <si>
    <t>E100867</t>
  </si>
  <si>
    <t>存储设备</t>
  </si>
  <si>
    <t>EE100742</t>
  </si>
  <si>
    <t>EE100743</t>
  </si>
  <si>
    <t>EE100801</t>
  </si>
  <si>
    <t>电脑HP600G1含显示器</t>
  </si>
  <si>
    <t>4448RC9</t>
  </si>
  <si>
    <t>4448RCB</t>
  </si>
  <si>
    <t>4448RCC</t>
  </si>
  <si>
    <t>多媒体保险箱</t>
  </si>
  <si>
    <t>E0008273</t>
  </si>
  <si>
    <t>E0008274</t>
  </si>
  <si>
    <t>多易拍扫描仪</t>
  </si>
  <si>
    <t>201DYPSM</t>
  </si>
  <si>
    <t>防火墙</t>
  </si>
  <si>
    <t>E0008055</t>
  </si>
  <si>
    <t>E100553</t>
  </si>
  <si>
    <t>E100554</t>
  </si>
  <si>
    <t>EE100773</t>
  </si>
  <si>
    <t>EE100774</t>
  </si>
  <si>
    <t>防火墙 PIX-506E-BUN-K</t>
  </si>
  <si>
    <t>E0008687</t>
  </si>
  <si>
    <t>防火墙ASA5520</t>
  </si>
  <si>
    <t>EE100625</t>
  </si>
  <si>
    <t>EE100626</t>
  </si>
  <si>
    <t>防火墙（790）</t>
  </si>
  <si>
    <t>E100877</t>
  </si>
  <si>
    <t>佛山DELL R730</t>
  </si>
  <si>
    <t>64FCYM2</t>
  </si>
  <si>
    <t>64H7YM2</t>
  </si>
  <si>
    <t>64J4YM2</t>
  </si>
  <si>
    <t>服务费</t>
  </si>
  <si>
    <t>E100504</t>
  </si>
  <si>
    <t>服务器</t>
  </si>
  <si>
    <t>E100932</t>
  </si>
  <si>
    <t>E100968</t>
  </si>
  <si>
    <t>E100969</t>
  </si>
  <si>
    <t>E100970</t>
  </si>
  <si>
    <t>EE100607</t>
  </si>
  <si>
    <t>EE100608</t>
  </si>
  <si>
    <t>EE100609</t>
  </si>
  <si>
    <t>EE100610</t>
  </si>
  <si>
    <t>服务器5HQYTC2</t>
  </si>
  <si>
    <t>E100933</t>
  </si>
  <si>
    <t>E100934</t>
  </si>
  <si>
    <t>服务器9G8BJ92</t>
  </si>
  <si>
    <t>E100930</t>
  </si>
  <si>
    <t>E100931</t>
  </si>
  <si>
    <t>服务器C535K82</t>
  </si>
  <si>
    <t>E100924</t>
  </si>
  <si>
    <t>服务器DELL R820</t>
  </si>
  <si>
    <t>E100838</t>
  </si>
  <si>
    <t>服务器DL380</t>
  </si>
  <si>
    <t>EE100616</t>
  </si>
  <si>
    <t>服务器JV4P342</t>
  </si>
  <si>
    <t>E100852</t>
  </si>
  <si>
    <t>服务器M5000</t>
  </si>
  <si>
    <t>EE100611</t>
  </si>
  <si>
    <t>服务器（790）</t>
  </si>
  <si>
    <t>E100853</t>
  </si>
  <si>
    <t>E100854</t>
  </si>
  <si>
    <t>E100855</t>
  </si>
  <si>
    <t>E100856</t>
  </si>
  <si>
    <t>E100857</t>
  </si>
  <si>
    <t>服务器扩容（CPU)</t>
  </si>
  <si>
    <t>E100887</t>
  </si>
  <si>
    <t>工作站</t>
  </si>
  <si>
    <t>E100705</t>
  </si>
  <si>
    <t>E100706</t>
  </si>
  <si>
    <t>E100923</t>
  </si>
  <si>
    <t>工作站HP Z820</t>
  </si>
  <si>
    <t>E100858</t>
  </si>
  <si>
    <t>固态硬盘</t>
  </si>
  <si>
    <t>E100502</t>
  </si>
  <si>
    <t>E100503</t>
  </si>
  <si>
    <t>E100967</t>
  </si>
  <si>
    <t>光标阅读机</t>
  </si>
  <si>
    <t>ES870139</t>
  </si>
  <si>
    <t>宏光扫描仪(影源M1580)</t>
  </si>
  <si>
    <t>ESCAN161</t>
  </si>
  <si>
    <t>ESCAN162</t>
  </si>
  <si>
    <t>ESCAN163</t>
  </si>
  <si>
    <t>华为 Nova 2S 银钻灰</t>
  </si>
  <si>
    <t>4D8A801</t>
  </si>
  <si>
    <t>华为 P10 黑</t>
  </si>
  <si>
    <t>29ABFBB</t>
  </si>
  <si>
    <t>华为Mate 9</t>
  </si>
  <si>
    <t>D8E2FCC</t>
  </si>
  <si>
    <t>D8E301E</t>
  </si>
  <si>
    <t>华为Mate10 Pro</t>
  </si>
  <si>
    <t>C0C8BCC</t>
  </si>
  <si>
    <t>华为麦芒6 黑</t>
  </si>
  <si>
    <t>42600AA</t>
  </si>
  <si>
    <t>环境监测系统</t>
  </si>
  <si>
    <t>EE100510</t>
  </si>
  <si>
    <t>环境监测系统-机房</t>
  </si>
  <si>
    <t>EE100111</t>
  </si>
  <si>
    <t>惠普笔记本电脑</t>
  </si>
  <si>
    <t>5X02CVG</t>
  </si>
  <si>
    <t>5X0RCQK</t>
  </si>
  <si>
    <t>EP201601</t>
  </si>
  <si>
    <t>惠普计算机</t>
  </si>
  <si>
    <t>EPCB1601</t>
  </si>
  <si>
    <t>EPCB1602</t>
  </si>
  <si>
    <t>EPCB1603</t>
  </si>
  <si>
    <t>EPCB1604</t>
  </si>
  <si>
    <t>EPCB1605</t>
  </si>
  <si>
    <t>惠普台式机</t>
  </si>
  <si>
    <t>EP201602</t>
  </si>
  <si>
    <t>EP201603</t>
  </si>
  <si>
    <t>惠普台式机 * 1台</t>
  </si>
  <si>
    <t>EHBC1507</t>
  </si>
  <si>
    <t>EHBC1508</t>
  </si>
  <si>
    <t>机房空调 大金5匹</t>
  </si>
  <si>
    <t>E0008589</t>
  </si>
  <si>
    <t>机柜</t>
  </si>
  <si>
    <t>EE100529</t>
  </si>
  <si>
    <t>EE100530</t>
  </si>
  <si>
    <t>EE100531</t>
  </si>
  <si>
    <t>EE100532</t>
  </si>
  <si>
    <t>机柜(一套共8件)</t>
  </si>
  <si>
    <t>E0008259</t>
  </si>
  <si>
    <t>集成器</t>
  </si>
  <si>
    <t>E0009660</t>
  </si>
  <si>
    <t>20030401</t>
  </si>
  <si>
    <t>计算机</t>
  </si>
  <si>
    <t>6121HYD</t>
  </si>
  <si>
    <t>6121HYF</t>
  </si>
  <si>
    <t>6121HYG</t>
  </si>
  <si>
    <t>6121HYH</t>
  </si>
  <si>
    <t>6121HYJ</t>
  </si>
  <si>
    <t>6121HYK</t>
  </si>
  <si>
    <t>6121HYL</t>
  </si>
  <si>
    <t>6121HYM</t>
  </si>
  <si>
    <t>6121HYN</t>
  </si>
  <si>
    <t>6121HYP</t>
  </si>
  <si>
    <t>计算机（HP600)</t>
  </si>
  <si>
    <t>FSSC001</t>
  </si>
  <si>
    <t>FSSC002</t>
  </si>
  <si>
    <t>FSSC003</t>
  </si>
  <si>
    <t>FSSC004</t>
  </si>
  <si>
    <t>FSSC005</t>
  </si>
  <si>
    <t>FSSC006</t>
  </si>
  <si>
    <t>FSSC007</t>
  </si>
  <si>
    <t>FSSC008</t>
  </si>
  <si>
    <t>FSSC009</t>
  </si>
  <si>
    <t>FSSC010</t>
  </si>
  <si>
    <t>FSSC011</t>
  </si>
  <si>
    <t>FSSC012</t>
  </si>
  <si>
    <t>FSSC013</t>
  </si>
  <si>
    <t>FSSC014</t>
  </si>
  <si>
    <t>FSSC015</t>
  </si>
  <si>
    <t>FSSC016</t>
  </si>
  <si>
    <t>FSSC017</t>
  </si>
  <si>
    <t>FSSC018</t>
  </si>
  <si>
    <t>FSSC019</t>
  </si>
  <si>
    <t>FSSC020</t>
  </si>
  <si>
    <t>FSSC021</t>
  </si>
  <si>
    <t>FSSC022</t>
  </si>
  <si>
    <t>FSSC023</t>
  </si>
  <si>
    <t>FSSC024</t>
  </si>
  <si>
    <t>FSSC025</t>
  </si>
  <si>
    <t>FSSC026</t>
  </si>
  <si>
    <t>FSSC027</t>
  </si>
  <si>
    <t>FSSC028</t>
  </si>
  <si>
    <t>FSSC029</t>
  </si>
  <si>
    <t>FSSC030</t>
  </si>
  <si>
    <t>FSSC031</t>
  </si>
  <si>
    <t>FSSC032</t>
  </si>
  <si>
    <t>FSSC033</t>
  </si>
  <si>
    <t>FSSC034</t>
  </si>
  <si>
    <t>FSSC035</t>
  </si>
  <si>
    <t>FSSC036</t>
  </si>
  <si>
    <t>FSSC037</t>
  </si>
  <si>
    <t>FSSC038</t>
  </si>
  <si>
    <t>FSSC039</t>
  </si>
  <si>
    <t>FSSC040</t>
  </si>
  <si>
    <t>FSSC041</t>
  </si>
  <si>
    <t>FSSC042</t>
  </si>
  <si>
    <t>FSSC043</t>
  </si>
  <si>
    <t>FSSC044</t>
  </si>
  <si>
    <t>FSSC045</t>
  </si>
  <si>
    <t>监控设备NETBOTZ2455</t>
  </si>
  <si>
    <t>EE100675</t>
  </si>
  <si>
    <t>监控系统</t>
  </si>
  <si>
    <t>EE100105</t>
  </si>
  <si>
    <t>EE100106</t>
  </si>
  <si>
    <t>OP6</t>
  </si>
  <si>
    <t>EE100107</t>
  </si>
  <si>
    <t>EE100108</t>
  </si>
  <si>
    <t>EE100109</t>
  </si>
  <si>
    <t>交换机</t>
  </si>
  <si>
    <t>E100920</t>
  </si>
  <si>
    <t>E100921</t>
  </si>
  <si>
    <t>E100935</t>
  </si>
  <si>
    <t>E100936</t>
  </si>
  <si>
    <t>E100939</t>
  </si>
  <si>
    <t>E100941</t>
  </si>
  <si>
    <t>E100942</t>
  </si>
  <si>
    <t>E100947</t>
  </si>
  <si>
    <t>E100948</t>
  </si>
  <si>
    <t>E100949</t>
  </si>
  <si>
    <t>E100950</t>
  </si>
  <si>
    <t>E100951</t>
  </si>
  <si>
    <t>E100952</t>
  </si>
  <si>
    <t>E100953</t>
  </si>
  <si>
    <t>E100954</t>
  </si>
  <si>
    <t>E100955</t>
  </si>
  <si>
    <t>E100956</t>
  </si>
  <si>
    <t>CN01</t>
    <phoneticPr fontId="4" type="noConversion"/>
  </si>
  <si>
    <t>F10</t>
    <phoneticPr fontId="4" type="noConversion"/>
  </si>
  <si>
    <t>E100957</t>
  </si>
  <si>
    <t>E100958</t>
  </si>
  <si>
    <t>E100959</t>
  </si>
  <si>
    <t>E100960</t>
  </si>
  <si>
    <t>EE100584</t>
  </si>
  <si>
    <t>EE100585</t>
  </si>
  <si>
    <t>EE100586</t>
  </si>
  <si>
    <t>交换机C2960-48TC</t>
  </si>
  <si>
    <t>EE100659</t>
  </si>
  <si>
    <t>EE100660</t>
  </si>
  <si>
    <t>交换机C3560-48PS</t>
  </si>
  <si>
    <t>EE100627</t>
  </si>
  <si>
    <t>交换机（790）</t>
  </si>
  <si>
    <t>E100874</t>
  </si>
  <si>
    <t>E100875</t>
  </si>
  <si>
    <t>E100876</t>
  </si>
  <si>
    <t>精密空调STULZ MRD362A</t>
  </si>
  <si>
    <t>E0008465</t>
  </si>
  <si>
    <t>精英发展部专业教室投影仪</t>
  </si>
  <si>
    <t>2017026</t>
  </si>
  <si>
    <t>柯达扫描仪</t>
  </si>
  <si>
    <t>ES201601</t>
  </si>
  <si>
    <t>ES201602</t>
  </si>
  <si>
    <t>ESCAN151</t>
  </si>
  <si>
    <t>ESCAN152</t>
  </si>
  <si>
    <t>联想 LAPTOP</t>
  </si>
  <si>
    <t>EHL00295</t>
  </si>
  <si>
    <t>ER9YDP88</t>
  </si>
  <si>
    <t>ER9YDP8L</t>
  </si>
  <si>
    <t>联想LAPTOP</t>
  </si>
  <si>
    <t>ER9X5FD4</t>
  </si>
  <si>
    <t>ER9X5FD5</t>
  </si>
  <si>
    <t>联想laptop</t>
  </si>
  <si>
    <t>ER9WK752</t>
  </si>
  <si>
    <t>CN01</t>
    <phoneticPr fontId="4" type="noConversion"/>
  </si>
  <si>
    <t>F10</t>
    <phoneticPr fontId="4" type="noConversion"/>
  </si>
  <si>
    <t>ER9WK753</t>
  </si>
  <si>
    <t>联想笔记本</t>
  </si>
  <si>
    <t>ER9TVH9F</t>
  </si>
  <si>
    <t>ER9TVH9P</t>
  </si>
  <si>
    <t>ER9V3R4T</t>
  </si>
  <si>
    <t>ER9V3R4W</t>
  </si>
  <si>
    <t>联想笔记本X240</t>
  </si>
  <si>
    <t>0031G3S</t>
  </si>
  <si>
    <t>0033GB5</t>
  </si>
  <si>
    <t>0037HWC</t>
  </si>
  <si>
    <t>0042NDD</t>
  </si>
  <si>
    <t>0047AMS</t>
  </si>
  <si>
    <t>0047AMT</t>
  </si>
  <si>
    <t>0047AMV</t>
  </si>
  <si>
    <t>004LFDN</t>
  </si>
  <si>
    <t>004LFDQ</t>
  </si>
  <si>
    <t>004LFQ2</t>
  </si>
  <si>
    <t>004LFQ3</t>
  </si>
  <si>
    <t>004LFQ4</t>
  </si>
  <si>
    <t>004LFQ6</t>
  </si>
  <si>
    <t>004LFQ8</t>
  </si>
  <si>
    <t>004LFQ9</t>
  </si>
  <si>
    <t>004LFQA</t>
  </si>
  <si>
    <t>004LFX1</t>
  </si>
  <si>
    <t>01KSVR</t>
  </si>
  <si>
    <t>PT0</t>
  </si>
  <si>
    <t>01KSVS</t>
  </si>
  <si>
    <t>01KSVT</t>
  </si>
  <si>
    <t>01KSVU</t>
  </si>
  <si>
    <t>01KSVV</t>
  </si>
  <si>
    <t>033GB5</t>
  </si>
  <si>
    <t>033GB7</t>
  </si>
  <si>
    <t>033GB9</t>
  </si>
  <si>
    <t>033GBB</t>
  </si>
  <si>
    <t>033GBD</t>
  </si>
  <si>
    <t>033GBE</t>
  </si>
  <si>
    <t>03RJ81</t>
  </si>
  <si>
    <t>B03DRM5</t>
  </si>
  <si>
    <t>C0143MD</t>
  </si>
  <si>
    <t>C0157W9</t>
  </si>
  <si>
    <t>COONM09</t>
  </si>
  <si>
    <t>COONM26</t>
  </si>
  <si>
    <t>O2KO3Q</t>
  </si>
  <si>
    <t>O2RHXD</t>
  </si>
  <si>
    <t>PB02WE2Q</t>
  </si>
  <si>
    <t>PB035M1C</t>
  </si>
  <si>
    <t>PB0399XL</t>
  </si>
  <si>
    <t>PB03BTW1</t>
  </si>
  <si>
    <t>PB03CH7P</t>
  </si>
  <si>
    <t>PB03CH7Q</t>
  </si>
  <si>
    <t>PB03CH7T</t>
  </si>
  <si>
    <t>PB03CH7Y</t>
  </si>
  <si>
    <t>PB03CH80</t>
  </si>
  <si>
    <t>PB03CH82</t>
  </si>
  <si>
    <t>PB03CH84</t>
  </si>
  <si>
    <t>PB03DRM0</t>
  </si>
  <si>
    <t>PB03DSV8</t>
  </si>
  <si>
    <t>PB03DSV9</t>
  </si>
  <si>
    <t>联想笔记本X240(003RJ80)</t>
  </si>
  <si>
    <t>033GB0</t>
  </si>
  <si>
    <t>联想笔记本X240(033GB0)</t>
  </si>
  <si>
    <t>033GB01</t>
  </si>
  <si>
    <t>联想笔记本（T450)</t>
  </si>
  <si>
    <t>0084LSZ</t>
  </si>
  <si>
    <t>联想笔记本（X250)</t>
  </si>
  <si>
    <t>004LFDL</t>
  </si>
  <si>
    <t>0050T9T</t>
  </si>
  <si>
    <t>0050TA1</t>
  </si>
  <si>
    <t>0050TA6</t>
  </si>
  <si>
    <t>0050TAC</t>
  </si>
  <si>
    <t>005104N</t>
  </si>
  <si>
    <t>005104Z</t>
  </si>
  <si>
    <t>0051050</t>
  </si>
  <si>
    <t>0051052</t>
  </si>
  <si>
    <t>006V5ED</t>
  </si>
  <si>
    <t>0081SFJ</t>
  </si>
  <si>
    <t>0081SFK</t>
  </si>
  <si>
    <t>0081SFL</t>
  </si>
  <si>
    <t>0081SFM</t>
  </si>
  <si>
    <t>0081SFN</t>
  </si>
  <si>
    <t>0081SFP</t>
  </si>
  <si>
    <t>0081SFQ</t>
  </si>
  <si>
    <t>0081SFR</t>
  </si>
  <si>
    <t>0081SFS</t>
  </si>
  <si>
    <t>0081SFT</t>
  </si>
  <si>
    <t>0081SFW</t>
  </si>
  <si>
    <t>0081SFX</t>
  </si>
  <si>
    <t>0081SFY</t>
  </si>
  <si>
    <t>0081SFZ</t>
  </si>
  <si>
    <t>0081SG1</t>
  </si>
  <si>
    <t>0081SG2</t>
  </si>
  <si>
    <t>0081SG3</t>
  </si>
  <si>
    <t>0081SG5</t>
  </si>
  <si>
    <t>0081SG6</t>
  </si>
  <si>
    <t>0081SG7</t>
  </si>
  <si>
    <t>0081SG8</t>
  </si>
  <si>
    <t>0081SG9</t>
  </si>
  <si>
    <t>0081SGB</t>
  </si>
  <si>
    <t>0081SGC</t>
  </si>
  <si>
    <t>0081SGD</t>
  </si>
  <si>
    <t>0082849</t>
  </si>
  <si>
    <t>008284A</t>
  </si>
  <si>
    <t>008284B</t>
  </si>
  <si>
    <t>008284D</t>
  </si>
  <si>
    <t>008284E</t>
  </si>
  <si>
    <t>008284F</t>
  </si>
  <si>
    <t>008284G</t>
  </si>
  <si>
    <t>008284H</t>
  </si>
  <si>
    <t>008284J</t>
  </si>
  <si>
    <t>0095KDE</t>
  </si>
  <si>
    <t>0095KDF</t>
  </si>
  <si>
    <t>0095KDG</t>
  </si>
  <si>
    <t>联想一体机</t>
  </si>
  <si>
    <t>E1200500</t>
  </si>
  <si>
    <t>E1200501</t>
  </si>
  <si>
    <t>路由器</t>
  </si>
  <si>
    <t>E0008249</t>
  </si>
  <si>
    <t>20030601</t>
  </si>
  <si>
    <t>E0008250</t>
  </si>
  <si>
    <t>E100943</t>
  </si>
  <si>
    <t>E100944</t>
  </si>
  <si>
    <t>E100961</t>
  </si>
  <si>
    <t>E100962</t>
  </si>
  <si>
    <t>E100963</t>
  </si>
  <si>
    <t>路由器 2620</t>
  </si>
  <si>
    <t>E0008091</t>
  </si>
  <si>
    <t>路由器 CISCO2620</t>
  </si>
  <si>
    <t>E0008096</t>
  </si>
  <si>
    <t>E0008097</t>
  </si>
  <si>
    <t>E0008099</t>
  </si>
  <si>
    <t>路由器 DS18000</t>
  </si>
  <si>
    <t>E6008180</t>
  </si>
  <si>
    <t>20011201</t>
  </si>
  <si>
    <t>路由器(苏州）</t>
  </si>
  <si>
    <t>E100966</t>
  </si>
  <si>
    <t>路由器-CISCO2620</t>
  </si>
  <si>
    <t>E0008038</t>
  </si>
  <si>
    <t>路由器CISCO2620</t>
  </si>
  <si>
    <t>E0008192</t>
  </si>
  <si>
    <t>20020501</t>
  </si>
  <si>
    <t>路由器（790）</t>
  </si>
  <si>
    <t>E100868</t>
  </si>
  <si>
    <t>E100869</t>
  </si>
  <si>
    <t>E100870</t>
  </si>
  <si>
    <t>E100871</t>
  </si>
  <si>
    <t>E100872</t>
  </si>
  <si>
    <t>E100873</t>
  </si>
  <si>
    <t>门禁STARIT/4</t>
  </si>
  <si>
    <t>EE100674</t>
  </si>
  <si>
    <t>模块</t>
  </si>
  <si>
    <t>E100928</t>
  </si>
  <si>
    <t>E100929</t>
  </si>
  <si>
    <t>苹果电脑</t>
  </si>
  <si>
    <t>1BYGG77</t>
  </si>
  <si>
    <t>苹果平板电脑</t>
  </si>
  <si>
    <t>EPAD1601</t>
  </si>
  <si>
    <t>EPAD1611</t>
  </si>
  <si>
    <t>EPAD1612</t>
  </si>
  <si>
    <t>EPAD1613</t>
  </si>
  <si>
    <t>EPAD1614</t>
  </si>
  <si>
    <t>EPAD1615</t>
  </si>
  <si>
    <t>EPAD1616</t>
  </si>
  <si>
    <t>EPAD1617</t>
  </si>
  <si>
    <t>EPAD1631</t>
  </si>
  <si>
    <t>EPADB161</t>
  </si>
  <si>
    <t>EPADB162</t>
  </si>
  <si>
    <t>EPADB163</t>
  </si>
  <si>
    <t>平板电脑</t>
  </si>
  <si>
    <t>00VH248?</t>
  </si>
  <si>
    <t>01TH246</t>
  </si>
  <si>
    <t>03BH248</t>
  </si>
  <si>
    <t>03GH246</t>
  </si>
  <si>
    <t>05HGHMN</t>
  </si>
  <si>
    <t>05QFTV0</t>
  </si>
  <si>
    <t>1172739</t>
  </si>
  <si>
    <t>1237727</t>
  </si>
  <si>
    <t>1NUG5YN</t>
  </si>
  <si>
    <t>2JUG5YQ</t>
  </si>
  <si>
    <t>2KDG5VV</t>
  </si>
  <si>
    <t>4MVH1MD</t>
  </si>
  <si>
    <t>74KH1MD</t>
  </si>
  <si>
    <t>B09H1MR</t>
  </si>
  <si>
    <t>FCBG5YP</t>
  </si>
  <si>
    <t>OG4GMW8</t>
  </si>
  <si>
    <t>平板电脑（540）</t>
  </si>
  <si>
    <t>057F8J2</t>
  </si>
  <si>
    <t>4SEF8J3</t>
  </si>
  <si>
    <t>D8PF8J2</t>
  </si>
  <si>
    <t>IT000123</t>
  </si>
  <si>
    <t>气体消防系统-机房</t>
  </si>
  <si>
    <t>EE100112</t>
  </si>
  <si>
    <t>荣耀V10 沙滩金</t>
  </si>
  <si>
    <t>4EEE889</t>
  </si>
  <si>
    <t>扫描仪 HP4500C</t>
  </si>
  <si>
    <t>E0009404</t>
  </si>
  <si>
    <t>扫描仪柯达I1180</t>
  </si>
  <si>
    <t>E1420049</t>
  </si>
  <si>
    <t>CN01</t>
    <phoneticPr fontId="4" type="noConversion"/>
  </si>
  <si>
    <t>F10</t>
    <phoneticPr fontId="4" type="noConversion"/>
  </si>
  <si>
    <t>E1420050</t>
  </si>
  <si>
    <t>闪存卡</t>
  </si>
  <si>
    <t>E100937</t>
  </si>
  <si>
    <t>E100938</t>
  </si>
  <si>
    <t>上海证劵通信卫星设施</t>
  </si>
  <si>
    <t>E0008431</t>
  </si>
  <si>
    <t>CN01</t>
    <phoneticPr fontId="4" type="noConversion"/>
  </si>
  <si>
    <t>F10</t>
    <phoneticPr fontId="4" type="noConversion"/>
  </si>
  <si>
    <t>深信服AC1100</t>
  </si>
  <si>
    <t>E100839</t>
  </si>
  <si>
    <t>E100840</t>
  </si>
  <si>
    <t>深圳证劵通信卫星设施</t>
  </si>
  <si>
    <t>E0008430</t>
  </si>
  <si>
    <t>视頻会议终端设备</t>
  </si>
  <si>
    <t>EE100752</t>
  </si>
  <si>
    <t>EE100753</t>
  </si>
  <si>
    <t>手机</t>
  </si>
  <si>
    <t>0810009</t>
  </si>
  <si>
    <t>2175662</t>
  </si>
  <si>
    <t>2252166</t>
  </si>
  <si>
    <t>2410129</t>
  </si>
  <si>
    <t>2412376</t>
  </si>
  <si>
    <t>2752065</t>
  </si>
  <si>
    <t>2752297</t>
  </si>
  <si>
    <t>5488024</t>
  </si>
  <si>
    <t>6793632</t>
  </si>
  <si>
    <t>CN01</t>
    <phoneticPr fontId="4" type="noConversion"/>
  </si>
  <si>
    <t>F10</t>
    <phoneticPr fontId="4" type="noConversion"/>
  </si>
  <si>
    <t>6794630</t>
  </si>
  <si>
    <t>7563997</t>
  </si>
  <si>
    <t>H008329</t>
  </si>
  <si>
    <t>M687742</t>
  </si>
  <si>
    <t>数据中心增强项目</t>
  </si>
  <si>
    <t>EE100759</t>
  </si>
  <si>
    <t>数字签名验证服务器</t>
  </si>
  <si>
    <t>E100128</t>
  </si>
  <si>
    <t>E100129</t>
  </si>
  <si>
    <t>数字音频改造设备</t>
  </si>
  <si>
    <t>EE100729</t>
  </si>
  <si>
    <t>思科板卡</t>
  </si>
  <si>
    <t>EE100749</t>
  </si>
  <si>
    <t>EE100750</t>
  </si>
  <si>
    <t>CN01</t>
    <phoneticPr fontId="4" type="noConversion"/>
  </si>
  <si>
    <t>F10</t>
    <phoneticPr fontId="4" type="noConversion"/>
  </si>
  <si>
    <t>思科交换机</t>
  </si>
  <si>
    <t>E100964</t>
  </si>
  <si>
    <t>E100965</t>
  </si>
  <si>
    <t>EE100746</t>
  </si>
  <si>
    <t>EI00802</t>
  </si>
  <si>
    <t>EI00803</t>
  </si>
  <si>
    <t>思科交换机-NTK</t>
  </si>
  <si>
    <t>E100812</t>
  </si>
  <si>
    <t>E100813</t>
  </si>
  <si>
    <t>思科交换机ASA5510</t>
  </si>
  <si>
    <t>E100829</t>
  </si>
  <si>
    <t>E100830</t>
  </si>
  <si>
    <t>E100831</t>
  </si>
  <si>
    <t>思科交换机SC3560X</t>
  </si>
  <si>
    <t>E100828</t>
  </si>
  <si>
    <t>思科网络模块</t>
  </si>
  <si>
    <t>EE100771</t>
  </si>
  <si>
    <t>EE100772</t>
  </si>
  <si>
    <t>思科网络设备</t>
  </si>
  <si>
    <t>E100888</t>
  </si>
  <si>
    <t>E100891</t>
  </si>
  <si>
    <t>E100895</t>
  </si>
  <si>
    <t>E100896</t>
  </si>
  <si>
    <t>E100897</t>
  </si>
  <si>
    <t>CN01</t>
    <phoneticPr fontId="4" type="noConversion"/>
  </si>
  <si>
    <t>F10</t>
    <phoneticPr fontId="4" type="noConversion"/>
  </si>
  <si>
    <t>E100898</t>
  </si>
  <si>
    <t>E100899</t>
  </si>
  <si>
    <t>E100900</t>
  </si>
  <si>
    <t>CN01</t>
    <phoneticPr fontId="4" type="noConversion"/>
  </si>
  <si>
    <t>F10</t>
    <phoneticPr fontId="4" type="noConversion"/>
  </si>
  <si>
    <t>E100901</t>
  </si>
  <si>
    <t>E100902</t>
  </si>
  <si>
    <t>E100903</t>
  </si>
  <si>
    <t>E100904</t>
  </si>
  <si>
    <t>E100905</t>
  </si>
  <si>
    <t>E100906</t>
  </si>
  <si>
    <t>E100907</t>
  </si>
  <si>
    <t>CN01</t>
    <phoneticPr fontId="4" type="noConversion"/>
  </si>
  <si>
    <t>F10</t>
    <phoneticPr fontId="4" type="noConversion"/>
  </si>
  <si>
    <t>E100908</t>
  </si>
  <si>
    <t>E100909</t>
  </si>
  <si>
    <t>E100910</t>
  </si>
  <si>
    <t>E100911</t>
  </si>
  <si>
    <t>E100925</t>
  </si>
  <si>
    <t>E100926</t>
  </si>
  <si>
    <t>E100927</t>
  </si>
  <si>
    <t>思科网络设备（交换机）</t>
  </si>
  <si>
    <t>ENET1702</t>
  </si>
  <si>
    <t>CN01</t>
    <phoneticPr fontId="4" type="noConversion"/>
  </si>
  <si>
    <t>F10</t>
    <phoneticPr fontId="4" type="noConversion"/>
  </si>
  <si>
    <t>ENET1704</t>
  </si>
  <si>
    <t>思科网络设备（路由器）</t>
  </si>
  <si>
    <t>ENET1701</t>
  </si>
  <si>
    <t>ENET1703</t>
  </si>
  <si>
    <t>思科无线AP</t>
  </si>
  <si>
    <t>E100806</t>
  </si>
  <si>
    <t>CN01</t>
    <phoneticPr fontId="4" type="noConversion"/>
  </si>
  <si>
    <t>F10</t>
    <phoneticPr fontId="4" type="noConversion"/>
  </si>
  <si>
    <t>E100807</t>
  </si>
  <si>
    <t>E100808</t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</si>
  <si>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</si>
  <si>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</si>
  <si>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</si>
  <si>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</si>
  <si>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E100809</t>
  </si>
  <si>
    <t>E100810</t>
  </si>
  <si>
    <t>E100811</t>
  </si>
  <si>
    <t>台式电脑HP600G1</t>
  </si>
  <si>
    <t>4448RC8</t>
  </si>
  <si>
    <t>4449CNX</t>
  </si>
  <si>
    <t>4449CNY</t>
  </si>
  <si>
    <t>4449CNZ</t>
  </si>
  <si>
    <t>台式机</t>
  </si>
  <si>
    <t>5202G25</t>
  </si>
  <si>
    <t>5202G29</t>
  </si>
  <si>
    <t>5245723</t>
  </si>
  <si>
    <t>CN01</t>
    <phoneticPr fontId="4" type="noConversion"/>
  </si>
  <si>
    <t>F10</t>
    <phoneticPr fontId="4" type="noConversion"/>
  </si>
  <si>
    <t>5245725</t>
  </si>
  <si>
    <t>5245727</t>
  </si>
  <si>
    <t>5245729</t>
  </si>
  <si>
    <t>524572B</t>
  </si>
  <si>
    <t>524572C</t>
  </si>
  <si>
    <t>524572F</t>
  </si>
  <si>
    <t>5365LMS</t>
  </si>
  <si>
    <t>5365LMX</t>
  </si>
  <si>
    <t>5365LMY</t>
  </si>
  <si>
    <t>5365LN8</t>
  </si>
  <si>
    <t>6075TR3</t>
  </si>
  <si>
    <t>6075TR4</t>
  </si>
  <si>
    <t>6075TR5</t>
  </si>
  <si>
    <t>6075TR6</t>
  </si>
  <si>
    <t>6075TR7-1</t>
  </si>
  <si>
    <t>6075TR8-1</t>
  </si>
  <si>
    <t>6075TR9-1</t>
  </si>
  <si>
    <t>6075TRB</t>
  </si>
  <si>
    <t>CN01</t>
    <phoneticPr fontId="4" type="noConversion"/>
  </si>
  <si>
    <t>F10</t>
    <phoneticPr fontId="4" type="noConversion"/>
  </si>
  <si>
    <t>6075TRC</t>
  </si>
  <si>
    <t>6075TRD</t>
  </si>
  <si>
    <t>6086DW9</t>
  </si>
  <si>
    <t>6086DWB</t>
  </si>
  <si>
    <t>6086DWC</t>
  </si>
  <si>
    <t>6086DWD</t>
  </si>
  <si>
    <t>CN01</t>
    <phoneticPr fontId="4" type="noConversion"/>
  </si>
  <si>
    <t>F10</t>
    <phoneticPr fontId="4" type="noConversion"/>
  </si>
  <si>
    <t>6086DWF</t>
  </si>
  <si>
    <t>6086DWG</t>
  </si>
  <si>
    <t>6086DWH</t>
  </si>
  <si>
    <t>624008T</t>
  </si>
  <si>
    <t>6316FKQ</t>
  </si>
  <si>
    <t>6316FKS</t>
  </si>
  <si>
    <t>6316FKV</t>
  </si>
  <si>
    <t>6316FKX</t>
  </si>
  <si>
    <t>6360FVT</t>
  </si>
  <si>
    <t>6360FVV</t>
  </si>
  <si>
    <t>6360FVX</t>
  </si>
  <si>
    <t>6360FVZ</t>
  </si>
  <si>
    <t>6360FW1</t>
  </si>
  <si>
    <t>6360FW3</t>
  </si>
  <si>
    <t>6360FW5</t>
  </si>
  <si>
    <t>6360FW7</t>
  </si>
  <si>
    <t>6360FW9</t>
  </si>
  <si>
    <t>6360FWC</t>
  </si>
  <si>
    <t>6360FWF</t>
  </si>
  <si>
    <t>65061TX</t>
  </si>
  <si>
    <t>65061TY</t>
  </si>
  <si>
    <t>65061TZ</t>
  </si>
  <si>
    <t>65061V0</t>
  </si>
  <si>
    <t>65061V1</t>
  </si>
  <si>
    <t>65061V2</t>
  </si>
  <si>
    <t>65061V3</t>
  </si>
  <si>
    <t>65061V4</t>
  </si>
  <si>
    <t>65061V5</t>
  </si>
  <si>
    <t>65061V6</t>
  </si>
  <si>
    <t>65061V7</t>
  </si>
  <si>
    <t>65061V8</t>
  </si>
  <si>
    <t>65061V9</t>
  </si>
  <si>
    <t>65061VB</t>
  </si>
  <si>
    <t>65061VC</t>
  </si>
  <si>
    <t>65061VD</t>
  </si>
  <si>
    <t>65061VF</t>
  </si>
  <si>
    <t>DS01601</t>
  </si>
  <si>
    <t>DS01602</t>
  </si>
  <si>
    <t>DS01603</t>
  </si>
  <si>
    <t>DS01604</t>
  </si>
  <si>
    <t>DS01605</t>
  </si>
  <si>
    <t>DS01606</t>
  </si>
  <si>
    <t>DS01607</t>
  </si>
  <si>
    <t>台式机HP 600</t>
  </si>
  <si>
    <t>723530B</t>
  </si>
  <si>
    <t>723530C</t>
  </si>
  <si>
    <t>723530D</t>
  </si>
  <si>
    <t>723530F</t>
  </si>
  <si>
    <t>723530G</t>
  </si>
  <si>
    <t>723530H</t>
  </si>
  <si>
    <t>723530J</t>
  </si>
  <si>
    <t>723530K</t>
  </si>
  <si>
    <t>723530L</t>
  </si>
  <si>
    <t>723530M</t>
  </si>
  <si>
    <t>723530N</t>
  </si>
  <si>
    <t>CN01</t>
    <phoneticPr fontId="4" type="noConversion"/>
  </si>
  <si>
    <t>F10</t>
    <phoneticPr fontId="4" type="noConversion"/>
  </si>
  <si>
    <t>723530P</t>
  </si>
  <si>
    <t>723530Q</t>
  </si>
  <si>
    <t>723530R</t>
  </si>
  <si>
    <t>723530S</t>
  </si>
  <si>
    <t>台式机HP600</t>
  </si>
  <si>
    <t>54867D8</t>
  </si>
  <si>
    <t>54867D9</t>
  </si>
  <si>
    <t>54867DB</t>
  </si>
  <si>
    <t>54867DC</t>
  </si>
  <si>
    <t>54867DD</t>
  </si>
  <si>
    <t>54867DF</t>
  </si>
  <si>
    <t>54867DG</t>
  </si>
  <si>
    <t>54867DH</t>
  </si>
  <si>
    <t>54867DJ</t>
  </si>
  <si>
    <t>54867DK</t>
  </si>
  <si>
    <t>6175KYP</t>
  </si>
  <si>
    <t>6175KYQ</t>
  </si>
  <si>
    <t>6175KYR</t>
  </si>
  <si>
    <t>6175KYS</t>
  </si>
  <si>
    <t>6175KYT</t>
  </si>
  <si>
    <t>6175KYV</t>
  </si>
  <si>
    <t>6175KYW</t>
  </si>
  <si>
    <t>6175KYX</t>
  </si>
  <si>
    <t>6175KYZ</t>
  </si>
  <si>
    <t>6175KZ0</t>
  </si>
  <si>
    <t>6175KZ2</t>
  </si>
  <si>
    <t>6175KZ4</t>
  </si>
  <si>
    <t>6175KZ5</t>
  </si>
  <si>
    <t>6175KZ8</t>
  </si>
  <si>
    <t>6175KZB</t>
  </si>
  <si>
    <t>6175KZD</t>
  </si>
  <si>
    <t>62834FR</t>
  </si>
  <si>
    <t>62834FS</t>
  </si>
  <si>
    <t>62834FW</t>
  </si>
  <si>
    <t>62834FX</t>
  </si>
  <si>
    <t>CN01</t>
    <phoneticPr fontId="4" type="noConversion"/>
  </si>
  <si>
    <t>F10</t>
    <phoneticPr fontId="4" type="noConversion"/>
  </si>
  <si>
    <t>6316FKM</t>
  </si>
  <si>
    <t>台式机HP600(北京）</t>
  </si>
  <si>
    <t>612177G</t>
  </si>
  <si>
    <t>612177H</t>
  </si>
  <si>
    <t>台式机HP600（东莞）</t>
  </si>
  <si>
    <t>61672JR</t>
  </si>
  <si>
    <t>台式机HP600（佛山）</t>
  </si>
  <si>
    <t>61672JS</t>
  </si>
  <si>
    <t>61672JT</t>
  </si>
  <si>
    <t>61672JV</t>
  </si>
  <si>
    <t>61672JW</t>
  </si>
  <si>
    <t>61672JX</t>
  </si>
  <si>
    <t>61672JY</t>
  </si>
  <si>
    <t>61672JZ</t>
  </si>
  <si>
    <t>61672K0</t>
  </si>
  <si>
    <t>61672K1</t>
  </si>
  <si>
    <t>台式机HP600（广东）</t>
  </si>
  <si>
    <t>6075TR8</t>
  </si>
  <si>
    <t>6075TR9</t>
  </si>
  <si>
    <t>61672K2</t>
  </si>
  <si>
    <t>61672K3</t>
  </si>
  <si>
    <t>61672K4</t>
  </si>
  <si>
    <t>61672K5</t>
  </si>
  <si>
    <t>61672K6</t>
  </si>
  <si>
    <t>61672K8</t>
  </si>
  <si>
    <t>61672K9</t>
  </si>
  <si>
    <t>61672KC</t>
  </si>
  <si>
    <t>61672KD</t>
  </si>
  <si>
    <t>61672KF</t>
  </si>
  <si>
    <t>61672KG</t>
  </si>
  <si>
    <t>61672KH</t>
  </si>
  <si>
    <t>61672KJ</t>
  </si>
  <si>
    <t>61672KK</t>
  </si>
  <si>
    <t>61672KL</t>
  </si>
  <si>
    <t>61672KM</t>
  </si>
  <si>
    <t>61672KP</t>
  </si>
  <si>
    <t>61672KQ</t>
  </si>
  <si>
    <t>台式机HP600（江门）</t>
  </si>
  <si>
    <t>61672KR</t>
  </si>
  <si>
    <t>台式机HP600（江苏）</t>
  </si>
  <si>
    <t>6154D69</t>
  </si>
  <si>
    <t>6154D6B</t>
  </si>
  <si>
    <t>6154D6C</t>
  </si>
  <si>
    <t>6154D6D</t>
  </si>
  <si>
    <t>6154D6F</t>
  </si>
  <si>
    <t>6154D6G</t>
  </si>
  <si>
    <t>6154DCB</t>
  </si>
  <si>
    <t>6154DCC</t>
  </si>
  <si>
    <t>6154DCD</t>
  </si>
  <si>
    <t>6154DCF</t>
  </si>
  <si>
    <t>6154DCG</t>
  </si>
  <si>
    <t>6154DCH</t>
  </si>
  <si>
    <t>6154DCJ</t>
  </si>
  <si>
    <t>6154DCK</t>
  </si>
  <si>
    <t>台式机HP600（上海）</t>
  </si>
  <si>
    <t>6154DBS</t>
  </si>
  <si>
    <t>6154DBV</t>
  </si>
  <si>
    <t>6154DBY</t>
  </si>
  <si>
    <t>6154DBZ</t>
  </si>
  <si>
    <t>6154DC0</t>
  </si>
  <si>
    <t>台式机HP600（深圳）</t>
  </si>
  <si>
    <t>61672KS</t>
  </si>
  <si>
    <t>61672KT</t>
  </si>
  <si>
    <t>台式机（HP)</t>
  </si>
  <si>
    <t>5202G22</t>
  </si>
  <si>
    <t>5202G26</t>
  </si>
  <si>
    <t>5202G27</t>
  </si>
  <si>
    <t>5245728</t>
  </si>
  <si>
    <t>52898S2</t>
  </si>
  <si>
    <t>5301M3W</t>
  </si>
  <si>
    <t>5311QD5</t>
  </si>
  <si>
    <t>5311QD7</t>
  </si>
  <si>
    <t>5311QD8</t>
  </si>
  <si>
    <t>5311QDC</t>
  </si>
  <si>
    <t>5311QDG</t>
  </si>
  <si>
    <t>5311QDH</t>
  </si>
  <si>
    <t>5311QDM</t>
  </si>
  <si>
    <t>5311QDP</t>
  </si>
  <si>
    <t>5354CD5</t>
  </si>
  <si>
    <t>5354CD6</t>
  </si>
  <si>
    <t>5365LMC</t>
  </si>
  <si>
    <t>5365LN5</t>
  </si>
  <si>
    <t>6075TR7</t>
  </si>
  <si>
    <t>CN01</t>
    <phoneticPr fontId="4" type="noConversion"/>
  </si>
  <si>
    <t>F10</t>
    <phoneticPr fontId="4" type="noConversion"/>
  </si>
  <si>
    <t>投影仪</t>
  </si>
  <si>
    <t>PE000021</t>
  </si>
  <si>
    <t>外置存储盘柜NETAPP FAS202</t>
  </si>
  <si>
    <t>EE100593</t>
  </si>
  <si>
    <t>网络接入设备</t>
  </si>
  <si>
    <t>E0009290</t>
  </si>
  <si>
    <t>网络接入设备 VTV802</t>
  </si>
  <si>
    <t>E0009264</t>
  </si>
  <si>
    <t>网络设备  PIX</t>
  </si>
  <si>
    <t>ENP00002</t>
  </si>
  <si>
    <t>微信打印机MF2-B</t>
  </si>
  <si>
    <t>EP140801</t>
  </si>
  <si>
    <t>CN01</t>
    <phoneticPr fontId="4" type="noConversion"/>
  </si>
  <si>
    <t>F10</t>
    <phoneticPr fontId="4" type="noConversion"/>
  </si>
  <si>
    <t>EP140802</t>
  </si>
  <si>
    <t>EP140803</t>
  </si>
  <si>
    <t>无线投屏 （SN: WHDG801201</t>
  </si>
  <si>
    <t>WHDG801</t>
  </si>
  <si>
    <t>无线网络设备CISCO</t>
  </si>
  <si>
    <t>EE100125</t>
  </si>
  <si>
    <t>显示器(740)</t>
  </si>
  <si>
    <t>IT000139</t>
  </si>
  <si>
    <t>IT000140</t>
  </si>
  <si>
    <t>小米 红米Note 4X</t>
  </si>
  <si>
    <t>4898864</t>
  </si>
  <si>
    <t>小米5S</t>
  </si>
  <si>
    <t>5818030</t>
  </si>
  <si>
    <t>一体机</t>
  </si>
  <si>
    <t>MT16401</t>
  </si>
  <si>
    <t>MT16402</t>
  </si>
  <si>
    <t>MT16403</t>
  </si>
  <si>
    <t>MT16404</t>
  </si>
  <si>
    <t>音頻改造系统</t>
  </si>
  <si>
    <t>EE100754</t>
  </si>
  <si>
    <t>影源M1580扫描仪</t>
  </si>
  <si>
    <t>EHBS1502</t>
  </si>
  <si>
    <t>硬盘</t>
  </si>
  <si>
    <t>E100505</t>
  </si>
  <si>
    <t>语音网关</t>
  </si>
  <si>
    <t>EE100751</t>
  </si>
  <si>
    <t>在线培训系统硬件</t>
  </si>
  <si>
    <t>EE100646</t>
  </si>
  <si>
    <t>231</t>
  </si>
  <si>
    <t>转换机 WC-C3548</t>
  </si>
  <si>
    <t>E0008116</t>
  </si>
  <si>
    <t>3020303</t>
  </si>
  <si>
    <t>EXCHANGE MACHINE</t>
  </si>
  <si>
    <t>PTT00838</t>
  </si>
  <si>
    <t>PX000002</t>
  </si>
  <si>
    <t>F&amp;E086</t>
  </si>
  <si>
    <t>程控交换机 AVAYA</t>
  </si>
  <si>
    <t>PTT03144</t>
  </si>
  <si>
    <t>程控交换机 DS2707</t>
  </si>
  <si>
    <t>PTT01870</t>
  </si>
  <si>
    <t>存储板 IX-ROMP16M</t>
  </si>
  <si>
    <t>PTT01868</t>
  </si>
  <si>
    <t>中继板 NTRA10AA</t>
  </si>
  <si>
    <t>PTT01887</t>
  </si>
  <si>
    <t>中央处理器材 IX-CPU16M</t>
  </si>
  <si>
    <t>PTT01867</t>
  </si>
  <si>
    <t>3020302</t>
  </si>
  <si>
    <t>AIR-CONDITIONER</t>
  </si>
  <si>
    <t>P7870016</t>
  </si>
  <si>
    <t>CS0</t>
    <phoneticPr fontId="4" type="noConversion"/>
  </si>
  <si>
    <t>20000601</t>
  </si>
  <si>
    <t>BINDER</t>
  </si>
  <si>
    <t>G0004378</t>
  </si>
  <si>
    <t>19991101</t>
  </si>
  <si>
    <t>CABINET FOR TAPES</t>
  </si>
  <si>
    <t>G0006557</t>
  </si>
  <si>
    <t>CANON单反相机</t>
  </si>
  <si>
    <t>PE000003</t>
  </si>
  <si>
    <t>CRUSHER 125-1</t>
  </si>
  <si>
    <t>G0004136</t>
  </si>
  <si>
    <t>G0004415</t>
  </si>
  <si>
    <t>CRUSHER 390.1C</t>
  </si>
  <si>
    <t>G0004405</t>
  </si>
  <si>
    <t>Canon照相机</t>
  </si>
  <si>
    <t>PE000012</t>
  </si>
  <si>
    <t>DIGITAL CAMERA SAMSUNG D4</t>
  </si>
  <si>
    <t>G0006918</t>
  </si>
  <si>
    <t>PX000001</t>
  </si>
  <si>
    <t>F&amp;E001</t>
  </si>
  <si>
    <t>MICROPHONE SHURE ETV31</t>
  </si>
  <si>
    <t>P8300003</t>
  </si>
  <si>
    <t>PROJECTOR HP XB31</t>
  </si>
  <si>
    <t>G0001804</t>
  </si>
  <si>
    <t>PUNCHER</t>
  </si>
  <si>
    <t>G0004379</t>
  </si>
  <si>
    <t>PUNCHING MACHINE</t>
  </si>
  <si>
    <t>G0004237</t>
  </si>
  <si>
    <t>SONY LED TV</t>
  </si>
  <si>
    <t>PE000004</t>
  </si>
  <si>
    <t>PE000005</t>
  </si>
  <si>
    <t>SONY TV</t>
  </si>
  <si>
    <t>PE000007</t>
  </si>
  <si>
    <t>PE000008</t>
  </si>
  <si>
    <t>PE000009</t>
  </si>
  <si>
    <t>PE000010</t>
  </si>
  <si>
    <t>TOA AM-31 AUDIO-FREQUENCY</t>
  </si>
  <si>
    <t>P8200100</t>
  </si>
  <si>
    <t>变焦镜头 腾龙28-75</t>
  </si>
  <si>
    <t>G0006908</t>
  </si>
  <si>
    <t>除湿机 CH92613</t>
  </si>
  <si>
    <t>G0003400</t>
  </si>
  <si>
    <t>电话会议系统</t>
  </si>
  <si>
    <t>PEE00887</t>
  </si>
  <si>
    <t>电视移动支架</t>
  </si>
  <si>
    <t>PE000065</t>
  </si>
  <si>
    <t>工程投影仪</t>
  </si>
  <si>
    <t>PE000001</t>
  </si>
  <si>
    <t>光电阅读机TUROB-OMR20U</t>
  </si>
  <si>
    <t>G0004612</t>
  </si>
  <si>
    <t>火灾报警控制器</t>
  </si>
  <si>
    <t>PMM00384</t>
  </si>
  <si>
    <t>20030501</t>
  </si>
  <si>
    <t>镜头</t>
  </si>
  <si>
    <t>PE000002</t>
  </si>
  <si>
    <t>卷帘式文件柜</t>
  </si>
  <si>
    <t>PFF11460</t>
  </si>
  <si>
    <t>卷门式文件柜</t>
  </si>
  <si>
    <t>PFF11452</t>
  </si>
  <si>
    <t>20000901</t>
  </si>
  <si>
    <t>20001001</t>
  </si>
  <si>
    <t>PFF11454</t>
  </si>
  <si>
    <t>PFF11455</t>
  </si>
  <si>
    <t>PFF11457</t>
  </si>
  <si>
    <t>PFF11458</t>
  </si>
  <si>
    <t>PFF11459</t>
  </si>
  <si>
    <t>咖啡机</t>
  </si>
  <si>
    <t>PE000013</t>
  </si>
  <si>
    <t>空调</t>
  </si>
  <si>
    <t>PEE01082</t>
  </si>
  <si>
    <t>空调 HAIER</t>
  </si>
  <si>
    <t>PEE01236</t>
  </si>
  <si>
    <t>空调 KFR-35GW</t>
  </si>
  <si>
    <t>PEE00997</t>
  </si>
  <si>
    <t>空调 海尔 KFR-120QW</t>
  </si>
  <si>
    <t>PEE00855</t>
  </si>
  <si>
    <t>PEE00856</t>
  </si>
  <si>
    <t>空气净化器</t>
  </si>
  <si>
    <t>PE000014</t>
  </si>
  <si>
    <t>PE000015</t>
  </si>
  <si>
    <t>PE000016</t>
  </si>
  <si>
    <t>PE000017</t>
  </si>
  <si>
    <t>前置功率放大器</t>
  </si>
  <si>
    <t>PEE01221</t>
  </si>
  <si>
    <t>PEE04002</t>
  </si>
  <si>
    <t>20030201</t>
  </si>
  <si>
    <t>沙发</t>
  </si>
  <si>
    <t>PFF15752</t>
  </si>
  <si>
    <t>沙发 PED-2S-CHR300</t>
  </si>
  <si>
    <t>PFF15753</t>
  </si>
  <si>
    <t>PFF15754</t>
  </si>
  <si>
    <t>摄录一体机</t>
  </si>
  <si>
    <t>PE000051</t>
  </si>
  <si>
    <t>数码投影仪 HP X1331</t>
  </si>
  <si>
    <t>G0001778</t>
  </si>
  <si>
    <t>数码相机</t>
  </si>
  <si>
    <t>G0003641</t>
  </si>
  <si>
    <t>数码相机 CANON EOS300DKIT</t>
  </si>
  <si>
    <t>G0006912</t>
  </si>
  <si>
    <t>碎纸机 280</t>
  </si>
  <si>
    <t>G0004605</t>
  </si>
  <si>
    <t>索尼电视机</t>
  </si>
  <si>
    <t>PE000011</t>
  </si>
  <si>
    <t>PE000050</t>
  </si>
  <si>
    <t>PE000018</t>
  </si>
  <si>
    <t>PE000019</t>
  </si>
  <si>
    <t>PE000022</t>
  </si>
  <si>
    <t>PE000023</t>
  </si>
  <si>
    <t>PE000024</t>
  </si>
  <si>
    <t>PE000025</t>
  </si>
  <si>
    <t>PE000026</t>
  </si>
  <si>
    <t>PE000027</t>
  </si>
  <si>
    <t>PE000028</t>
  </si>
  <si>
    <t>PE000029</t>
  </si>
  <si>
    <t>PE000030</t>
  </si>
  <si>
    <t>PE000052</t>
  </si>
  <si>
    <t>PE000053</t>
  </si>
  <si>
    <t>PE000055</t>
  </si>
  <si>
    <t>PE000056</t>
  </si>
  <si>
    <t>PE000057</t>
  </si>
  <si>
    <t>PE000058</t>
  </si>
  <si>
    <t>PE000059</t>
  </si>
  <si>
    <t>PE000060</t>
  </si>
  <si>
    <t>PE000061</t>
  </si>
  <si>
    <t>PE000062</t>
  </si>
  <si>
    <t>PE000064</t>
  </si>
  <si>
    <t>图像切换器</t>
  </si>
  <si>
    <t>PE000063</t>
  </si>
  <si>
    <t>无线话筒</t>
  </si>
  <si>
    <t>PEE01222</t>
  </si>
  <si>
    <t>PEE04009</t>
  </si>
  <si>
    <t>液晶投影仪EPSON EMP-735</t>
  </si>
  <si>
    <t>G0004609</t>
  </si>
  <si>
    <t>岱宇跑步机</t>
  </si>
  <si>
    <t>PE000006</t>
  </si>
  <si>
    <t>30205</t>
  </si>
  <si>
    <t>BUND 17# 动力设备</t>
  </si>
  <si>
    <t>PEE01047</t>
  </si>
  <si>
    <t>19980301</t>
  </si>
  <si>
    <t>BUND 17# 机器设备</t>
  </si>
  <si>
    <t>PEE01048</t>
  </si>
  <si>
    <t>BUND 17# 普遍固定资产</t>
  </si>
  <si>
    <t>PFF17155</t>
  </si>
  <si>
    <t>长期待摊费-装修</t>
    <phoneticPr fontId="20" type="noConversion"/>
  </si>
  <si>
    <t>长期待摊费-其他</t>
    <phoneticPr fontId="20" type="noConversion"/>
  </si>
  <si>
    <t>长期待摊费-IT</t>
    <phoneticPr fontId="20" type="noConversion"/>
  </si>
  <si>
    <t>核心业务软件</t>
    <phoneticPr fontId="20" type="noConversion"/>
  </si>
  <si>
    <t>非核心业务软件</t>
    <phoneticPr fontId="20" type="noConversion"/>
  </si>
  <si>
    <t>软件使用权</t>
    <phoneticPr fontId="20" type="noConversion"/>
  </si>
  <si>
    <t>电子数据处理设备</t>
  </si>
  <si>
    <t>电器设备</t>
  </si>
  <si>
    <t>办公/通迅及文字处理设备</t>
  </si>
  <si>
    <t>办公设备(F&amp;F)</t>
    <phoneticPr fontId="20" type="noConversion"/>
  </si>
  <si>
    <t>办公设备(F&amp;E)</t>
    <phoneticPr fontId="20" type="noConversion"/>
  </si>
  <si>
    <t>办公设备(TELE)</t>
    <phoneticPr fontId="20" type="noConversion"/>
  </si>
  <si>
    <t>机械/动力及安全保卫设备</t>
  </si>
  <si>
    <t>其他车辆</t>
  </si>
  <si>
    <t>办公家具</t>
  </si>
  <si>
    <t>融资租赁办公设备(F&amp;E)</t>
    <phoneticPr fontId="20" type="noConversion"/>
  </si>
  <si>
    <t>研发支出</t>
    <phoneticPr fontId="4" type="noConversion"/>
  </si>
  <si>
    <t>在建工程</t>
    <phoneticPr fontId="4" type="noConversion"/>
  </si>
  <si>
    <t>预付账款</t>
    <phoneticPr fontId="4" type="noConversion"/>
  </si>
  <si>
    <t>SUN</t>
    <phoneticPr fontId="4" type="noConversion"/>
  </si>
  <si>
    <t>SAP S4</t>
    <phoneticPr fontId="4" type="noConversion"/>
  </si>
  <si>
    <t>UT0</t>
  </si>
  <si>
    <t>JA0</t>
  </si>
  <si>
    <t>JA1</t>
  </si>
  <si>
    <t>CR0</t>
  </si>
  <si>
    <t>MB0</t>
  </si>
  <si>
    <t>MB9</t>
  </si>
  <si>
    <t>IT7</t>
  </si>
  <si>
    <t>IT8</t>
  </si>
  <si>
    <t>DN0</t>
  </si>
  <si>
    <t>CB1</t>
  </si>
  <si>
    <t>ZA1</t>
  </si>
  <si>
    <t>ZW1</t>
  </si>
  <si>
    <t>ZH1</t>
  </si>
  <si>
    <t>AD2</t>
  </si>
  <si>
    <t>AR9</t>
  </si>
  <si>
    <t>1101SM99</t>
  </si>
  <si>
    <t>T2 CODE</t>
    <phoneticPr fontId="5" type="noConversion"/>
  </si>
  <si>
    <t>cost center code</t>
    <phoneticPr fontId="5" type="noConversion"/>
  </si>
  <si>
    <t>Code</t>
    <phoneticPr fontId="5" type="noConversion"/>
  </si>
  <si>
    <t>1101SM81</t>
  </si>
  <si>
    <t>1101SM82</t>
  </si>
  <si>
    <t>1101SM89</t>
  </si>
  <si>
    <t>1101IA81</t>
  </si>
  <si>
    <t>1101VS81</t>
  </si>
  <si>
    <t>1101RA81</t>
  </si>
  <si>
    <t>1101RA82</t>
  </si>
  <si>
    <t>1101RA83</t>
  </si>
  <si>
    <t>1101RA80</t>
  </si>
  <si>
    <t>1101RA84</t>
  </si>
  <si>
    <t>1101MK81</t>
  </si>
  <si>
    <t>1101MK82</t>
  </si>
  <si>
    <t>1101MK80</t>
  </si>
  <si>
    <t>1101MK83</t>
  </si>
  <si>
    <t>1101MK84</t>
  </si>
  <si>
    <t>1101MK85</t>
  </si>
  <si>
    <t>1101MK86</t>
  </si>
  <si>
    <t>1101FA81</t>
  </si>
  <si>
    <t>1101FA82</t>
  </si>
  <si>
    <t>1101FA80</t>
  </si>
  <si>
    <t>1101FA83</t>
  </si>
  <si>
    <t>1101FA84</t>
  </si>
  <si>
    <t>1101FA85</t>
  </si>
  <si>
    <t>1101FA86</t>
  </si>
  <si>
    <t>1101HR81</t>
  </si>
  <si>
    <t>1101IT81</t>
  </si>
  <si>
    <t>1101IT82</t>
  </si>
  <si>
    <t>1101IT83</t>
  </si>
  <si>
    <t>1101IT84</t>
  </si>
  <si>
    <t>1101IT85</t>
  </si>
  <si>
    <t>1101IT86</t>
  </si>
  <si>
    <t>1101IT87</t>
  </si>
  <si>
    <t>1101IT88</t>
  </si>
  <si>
    <t>1101OP81</t>
  </si>
  <si>
    <t>1101OP82</t>
  </si>
  <si>
    <t>1101OP83</t>
  </si>
  <si>
    <t>1101OP90</t>
  </si>
  <si>
    <t>1101PD84</t>
  </si>
  <si>
    <t>1101PD85</t>
  </si>
  <si>
    <t>1101PD86</t>
  </si>
  <si>
    <t>1101PD81</t>
  </si>
  <si>
    <t>1101PD82</t>
  </si>
  <si>
    <t>1101PD83</t>
  </si>
  <si>
    <t>1101AG81</t>
  </si>
  <si>
    <t>1101AG82</t>
  </si>
  <si>
    <t>1101AG83</t>
  </si>
  <si>
    <t>1101AG86</t>
  </si>
  <si>
    <t>1101AG87</t>
  </si>
  <si>
    <t>1101AG88</t>
  </si>
  <si>
    <t>1101AG89</t>
  </si>
  <si>
    <t>1101AG90</t>
  </si>
  <si>
    <t>1101PD89</t>
  </si>
  <si>
    <t>Location</t>
  </si>
  <si>
    <t>101</t>
    <phoneticPr fontId="4" type="noConversion"/>
  </si>
  <si>
    <t>102</t>
    <phoneticPr fontId="4" type="noConversion"/>
  </si>
  <si>
    <t>103</t>
    <phoneticPr fontId="4" type="noConversion"/>
  </si>
  <si>
    <t>201</t>
    <phoneticPr fontId="4" type="noConversion"/>
  </si>
  <si>
    <t>202</t>
    <phoneticPr fontId="4" type="noConversion"/>
  </si>
  <si>
    <t>204</t>
    <phoneticPr fontId="4" type="noConversion"/>
  </si>
  <si>
    <t>30201</t>
    <phoneticPr fontId="4" type="noConversion"/>
  </si>
  <si>
    <t>30202</t>
    <phoneticPr fontId="4" type="noConversion"/>
  </si>
  <si>
    <t>30203</t>
    <phoneticPr fontId="4" type="noConversion"/>
  </si>
  <si>
    <t>3020301</t>
    <phoneticPr fontId="4" type="noConversion"/>
  </si>
  <si>
    <t>3020302</t>
    <phoneticPr fontId="4" type="noConversion"/>
  </si>
  <si>
    <t>3020303</t>
    <phoneticPr fontId="4" type="noConversion"/>
  </si>
  <si>
    <t>30205</t>
    <phoneticPr fontId="4" type="noConversion"/>
  </si>
  <si>
    <t>30502</t>
    <phoneticPr fontId="4" type="noConversion"/>
  </si>
  <si>
    <t>30601</t>
    <phoneticPr fontId="4" type="noConversion"/>
  </si>
  <si>
    <t>5020302</t>
    <phoneticPr fontId="4" type="noConversion"/>
  </si>
  <si>
    <t>16040401</t>
    <phoneticPr fontId="4" type="noConversion"/>
  </si>
  <si>
    <t>16030101</t>
    <phoneticPr fontId="4" type="noConversion"/>
  </si>
  <si>
    <t>13070201</t>
    <phoneticPr fontId="4" type="noConversion"/>
  </si>
  <si>
    <t>OP2</t>
  </si>
  <si>
    <t>OP3</t>
  </si>
  <si>
    <t>OP8</t>
  </si>
  <si>
    <t>AR2</t>
  </si>
  <si>
    <t>SAE</t>
  </si>
  <si>
    <t>AT1</t>
    <phoneticPr fontId="4" type="noConversion"/>
  </si>
  <si>
    <t>OP1</t>
    <phoneticPr fontId="4" type="noConversion"/>
  </si>
  <si>
    <t>OP6</t>
    <phoneticPr fontId="4" type="noConversion"/>
  </si>
  <si>
    <t>OP8</t>
    <phoneticPr fontId="4" type="noConversion"/>
  </si>
  <si>
    <t>EB0</t>
    <phoneticPr fontId="4" type="noConversion"/>
  </si>
  <si>
    <t>KO0</t>
    <phoneticPr fontId="4" type="noConversion"/>
  </si>
  <si>
    <t>DV0</t>
    <phoneticPr fontId="4" type="noConversion"/>
  </si>
  <si>
    <t>IT1</t>
    <phoneticPr fontId="4" type="noConversion"/>
  </si>
  <si>
    <t>CM1</t>
  </si>
  <si>
    <t>CM1</t>
    <phoneticPr fontId="4" type="noConversion"/>
  </si>
  <si>
    <t>350</t>
    <phoneticPr fontId="4" type="noConversion"/>
  </si>
  <si>
    <t>F01003</t>
  </si>
  <si>
    <t>Chuansha (川沙)</t>
  </si>
  <si>
    <t>Hongqiao (虹桥)</t>
  </si>
  <si>
    <t>Jinan (静安)</t>
  </si>
  <si>
    <t>Jinqiao (金桥)</t>
  </si>
  <si>
    <t>Pudong (浦东)</t>
  </si>
  <si>
    <t>F01011</t>
  </si>
  <si>
    <t>Putuo Caoyanglu (普陀曹阳路)</t>
  </si>
  <si>
    <t>F01013</t>
  </si>
  <si>
    <t>Shanghai Shangchenglu (上海商城路)</t>
  </si>
  <si>
    <t>F01016</t>
  </si>
  <si>
    <t>Xuhui (徐汇)</t>
  </si>
  <si>
    <t>Yangpu (杨浦)</t>
  </si>
  <si>
    <t>CN1112</t>
  </si>
  <si>
    <t>CN1113</t>
  </si>
  <si>
    <t>CN1101</t>
  </si>
  <si>
    <t>CN1102</t>
  </si>
  <si>
    <t>CN1103</t>
  </si>
  <si>
    <t>CN1104</t>
  </si>
  <si>
    <t>CN1105</t>
  </si>
  <si>
    <t>CN1106</t>
  </si>
  <si>
    <t>CN1107</t>
  </si>
  <si>
    <t>CN1108</t>
  </si>
  <si>
    <t>CN1109</t>
  </si>
  <si>
    <t>CN1110</t>
  </si>
  <si>
    <t>CN1111</t>
  </si>
  <si>
    <t>F01022</t>
    <phoneticPr fontId="4" type="noConversion"/>
  </si>
  <si>
    <t>CN11</t>
    <phoneticPr fontId="4" type="noConversion"/>
  </si>
  <si>
    <t>FFACC008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</si>
</sst>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.00_);\(#,##0.00\);0.00_);"/>
    <numFmt numFmtId="177" formatCode="0.000000000_ "/>
  </numFmts>
  <fonts count="25" x14ac:knownFonts="1">
    <font>
      <sz val="11"/>
      <color theme="1"/>
      <name val="等线"/>
      <family val="2"/>
      <scheme val="minor"/>
    </font>
    <font>
      <sz val="18"/>
      <color theme="3"/>
      <name val="等线 Light"/>
      <family val="2"/>
      <charset val="134"/>
      <scheme val="major"/>
    </font>
    <font>
      <sz val="11"/>
      <color theme="1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4"/>
      <color theme="0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sz val="10"/>
      <color theme="1"/>
      <name val="Arial"/>
      <family val="3"/>
      <charset val="134"/>
    </font>
    <font>
      <sz val="10"/>
      <color theme="0"/>
      <name val="等线"/>
      <family val="2"/>
      <charset val="134"/>
    </font>
    <font>
      <sz val="9"/>
      <name val="等线"/>
      <family val="2"/>
      <charset val="134"/>
    </font>
    <font>
      <sz val="10"/>
      <color theme="1"/>
      <name val="等线"/>
      <family val="2"/>
      <charset val="134"/>
    </font>
    <font>
      <sz val="10"/>
      <color theme="1"/>
      <name val="等线"/>
      <family val="2"/>
    </font>
    <font>
      <sz val="10"/>
      <name val="Arial"/>
      <family val="2"/>
    </font>
    <font>
      <sz val="11"/>
      <color theme="1"/>
      <name val="等线"/>
      <family val="2"/>
      <scheme val="minor"/>
    </font>
    <font>
      <sz val="14"/>
      <name val="微软雅黑"/>
      <family val="2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1"/>
      <color theme="1"/>
      <name val="等线"/>
      <family val="2"/>
      <scheme val="minor"/>
    </font>
    <font>
      <sz val="12"/>
      <name val="宋体"/>
      <family val="3"/>
      <charset val="134"/>
    </font>
    <font>
      <sz val="12"/>
      <name val="Times New Roman"/>
      <family val="1"/>
    </font>
    <font>
      <sz val="11"/>
      <color rgb="FF000000"/>
      <name val="等线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D3114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7" fillId="0" borderId="0"/>
    <xf numFmtId="0" fontId="22" fillId="0" borderId="0" applyNumberFormat="0" applyFill="0" applyBorder="0" applyAlignment="0" applyProtection="0"/>
    <xf numFmtId="0" fontId="23" fillId="0" borderId="0"/>
    <xf numFmtId="0" fontId="17" fillId="0" borderId="0"/>
  </cellStyleXfs>
  <cellXfs count="86">
    <xf numFmtId="0" fontId="0" fillId="0" borderId="0" xfId="0"/>
    <xf numFmtId="0" fontId="6" fillId="0" borderId="0" xfId="1" applyFont="1">
      <alignment vertical="center"/>
    </xf>
    <xf numFmtId="0" fontId="7" fillId="2" borderId="2" xfId="1" applyFont="1" applyFill="1" applyBorder="1" applyAlignment="1">
      <alignment horizontal="center" vertical="center" wrapText="1"/>
    </xf>
    <xf numFmtId="0" fontId="8" fillId="3" borderId="2" xfId="1" applyFont="1" applyFill="1" applyBorder="1" applyAlignment="1">
      <alignment horizontal="center" vertical="center"/>
    </xf>
    <xf numFmtId="0" fontId="6" fillId="0" borderId="2" xfId="1" applyFont="1" applyBorder="1">
      <alignment vertical="center"/>
    </xf>
    <xf numFmtId="0" fontId="6" fillId="4" borderId="2" xfId="1" applyFont="1" applyFill="1" applyBorder="1" applyAlignment="1">
      <alignment horizontal="center" vertical="center"/>
    </xf>
    <xf numFmtId="0" fontId="6" fillId="0" borderId="2" xfId="1" applyFont="1" applyFill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2" xfId="1" applyFont="1" applyBorder="1" applyAlignment="1">
      <alignment vertical="center" wrapText="1"/>
    </xf>
    <xf numFmtId="0" fontId="6" fillId="0" borderId="2" xfId="1" applyFont="1" applyBorder="1" applyAlignment="1">
      <alignment horizontal="left" vertical="center"/>
    </xf>
    <xf numFmtId="0" fontId="6" fillId="0" borderId="2" xfId="1" quotePrefix="1" applyFont="1" applyBorder="1" applyAlignment="1">
      <alignment horizontal="left" vertical="center"/>
    </xf>
    <xf numFmtId="0" fontId="9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left" vertical="center" wrapText="1"/>
    </xf>
    <xf numFmtId="0" fontId="6" fillId="0" borderId="0" xfId="1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12" fillId="2" borderId="2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/>
    <xf numFmtId="0" fontId="0" fillId="0" borderId="0" xfId="0" applyFill="1"/>
    <xf numFmtId="0" fontId="15" fillId="0" borderId="2" xfId="0" applyFont="1" applyFill="1" applyBorder="1" applyAlignment="1">
      <alignment horizontal="left" vertical="center" wrapText="1"/>
    </xf>
    <xf numFmtId="0" fontId="0" fillId="0" borderId="2" xfId="0" quotePrefix="1" applyFill="1" applyBorder="1"/>
    <xf numFmtId="0" fontId="6" fillId="5" borderId="2" xfId="1" applyFont="1" applyFill="1" applyBorder="1">
      <alignment vertical="center"/>
    </xf>
    <xf numFmtId="0" fontId="6" fillId="5" borderId="2" xfId="1" applyFont="1" applyFill="1" applyBorder="1" applyAlignment="1">
      <alignment vertical="center" wrapText="1"/>
    </xf>
    <xf numFmtId="0" fontId="6" fillId="5" borderId="0" xfId="1" applyFont="1" applyFill="1">
      <alignment vertical="center"/>
    </xf>
    <xf numFmtId="0" fontId="6" fillId="5" borderId="2" xfId="1" applyFont="1" applyFill="1" applyBorder="1" applyAlignment="1">
      <alignment horizontal="left" vertical="center"/>
    </xf>
    <xf numFmtId="0" fontId="6" fillId="5" borderId="2" xfId="1" quotePrefix="1" applyFont="1" applyFill="1" applyBorder="1" applyAlignment="1">
      <alignment horizontal="left" vertical="center"/>
    </xf>
    <xf numFmtId="0" fontId="6" fillId="5" borderId="0" xfId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6" fillId="0" borderId="2" xfId="1" applyFont="1" applyFill="1" applyBorder="1" applyAlignment="1">
      <alignment horizontal="left" vertical="center"/>
    </xf>
    <xf numFmtId="0" fontId="18" fillId="0" borderId="2" xfId="1" applyFont="1" applyFill="1" applyBorder="1" applyAlignment="1">
      <alignment horizontal="center" vertical="center" wrapText="1"/>
    </xf>
    <xf numFmtId="0" fontId="6" fillId="0" borderId="2" xfId="1" applyFont="1" applyFill="1" applyBorder="1" applyAlignment="1">
      <alignment vertical="center" wrapText="1"/>
    </xf>
    <xf numFmtId="0" fontId="6" fillId="6" borderId="0" xfId="1" applyFont="1" applyFill="1">
      <alignment vertical="center"/>
    </xf>
    <xf numFmtId="0" fontId="0" fillId="6" borderId="0" xfId="0" applyNumberFormat="1" applyFont="1" applyFill="1" applyBorder="1" applyAlignment="1">
      <alignment vertical="center"/>
    </xf>
    <xf numFmtId="0" fontId="6" fillId="0" borderId="0" xfId="1" applyFont="1" applyFill="1">
      <alignment vertical="center"/>
    </xf>
    <xf numFmtId="0" fontId="0" fillId="4" borderId="0" xfId="0" applyFill="1" applyAlignment="1">
      <alignment vertic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vertical="center"/>
    </xf>
    <xf numFmtId="2" fontId="6" fillId="6" borderId="0" xfId="1" applyNumberFormat="1" applyFont="1" applyFill="1">
      <alignment vertical="center"/>
    </xf>
    <xf numFmtId="176" fontId="0" fillId="6" borderId="0" xfId="0" applyNumberFormat="1" applyFill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2" fontId="6" fillId="0" borderId="0" xfId="1" applyNumberFormat="1" applyFont="1">
      <alignment vertical="center"/>
    </xf>
    <xf numFmtId="176" fontId="0" fillId="0" borderId="0" xfId="0" applyNumberFormat="1" applyAlignment="1">
      <alignment vertical="center"/>
    </xf>
    <xf numFmtId="0" fontId="6" fillId="7" borderId="0" xfId="1" applyFont="1" applyFill="1">
      <alignment vertical="center"/>
    </xf>
    <xf numFmtId="0" fontId="0" fillId="7" borderId="0" xfId="0" applyNumberFormat="1" applyFont="1" applyFill="1" applyBorder="1" applyAlignment="1">
      <alignment vertical="center"/>
    </xf>
    <xf numFmtId="0" fontId="6" fillId="7" borderId="0" xfId="1" applyNumberFormat="1" applyFont="1" applyFill="1">
      <alignment vertical="center"/>
    </xf>
    <xf numFmtId="0" fontId="6" fillId="7" borderId="0" xfId="2" applyNumberFormat="1" applyFont="1" applyFill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center"/>
    </xf>
    <xf numFmtId="2" fontId="6" fillId="7" borderId="0" xfId="1" applyNumberFormat="1" applyFont="1" applyFill="1">
      <alignment vertical="center"/>
    </xf>
    <xf numFmtId="176" fontId="0" fillId="7" borderId="0" xfId="0" applyNumberFormat="1" applyFill="1" applyAlignment="1">
      <alignment vertical="center"/>
    </xf>
    <xf numFmtId="0" fontId="0" fillId="8" borderId="0" xfId="0" applyNumberFormat="1" applyFont="1" applyFill="1" applyBorder="1" applyAlignment="1">
      <alignment vertical="center"/>
    </xf>
    <xf numFmtId="0" fontId="6" fillId="4" borderId="0" xfId="1" applyFont="1" applyFill="1">
      <alignment vertical="center"/>
    </xf>
    <xf numFmtId="0" fontId="0" fillId="4" borderId="0" xfId="0" applyFill="1" applyAlignment="1">
      <alignment horizontal="center"/>
    </xf>
    <xf numFmtId="0" fontId="0" fillId="9" borderId="0" xfId="0" applyFill="1" applyAlignment="1">
      <alignment vertical="center"/>
    </xf>
    <xf numFmtId="0" fontId="6" fillId="9" borderId="0" xfId="1" applyNumberFormat="1" applyFont="1" applyFill="1">
      <alignment vertical="center"/>
    </xf>
    <xf numFmtId="0" fontId="6" fillId="9" borderId="0" xfId="1" applyFont="1" applyFill="1">
      <alignment vertical="center"/>
    </xf>
    <xf numFmtId="0" fontId="0" fillId="9" borderId="0" xfId="0" applyFill="1" applyAlignment="1">
      <alignment horizontal="center"/>
    </xf>
    <xf numFmtId="0" fontId="6" fillId="0" borderId="0" xfId="1" quotePrefix="1" applyFont="1" applyFill="1">
      <alignment vertical="center"/>
    </xf>
    <xf numFmtId="0" fontId="6" fillId="0" borderId="0" xfId="1" quotePrefix="1" applyFont="1">
      <alignment vertical="center"/>
    </xf>
    <xf numFmtId="0" fontId="6" fillId="10" borderId="0" xfId="1" applyFont="1" applyFill="1">
      <alignment vertical="center"/>
    </xf>
    <xf numFmtId="0" fontId="0" fillId="9" borderId="0" xfId="0" applyNumberFormat="1" applyFont="1" applyFill="1" applyBorder="1" applyAlignment="1">
      <alignment vertical="center"/>
    </xf>
    <xf numFmtId="0" fontId="6" fillId="10" borderId="0" xfId="2" applyNumberFormat="1" applyFont="1" applyFill="1">
      <alignment vertical="center"/>
    </xf>
    <xf numFmtId="0" fontId="0" fillId="10" borderId="0" xfId="0" applyNumberFormat="1" applyFont="1" applyFill="1" applyBorder="1" applyAlignment="1">
      <alignment vertical="center"/>
    </xf>
    <xf numFmtId="177" fontId="6" fillId="0" borderId="0" xfId="1" applyNumberFormat="1" applyFont="1">
      <alignment vertical="center"/>
    </xf>
    <xf numFmtId="0" fontId="0" fillId="0" borderId="2" xfId="0" applyBorder="1"/>
    <xf numFmtId="0" fontId="9" fillId="0" borderId="3" xfId="0" applyFont="1" applyBorder="1" applyAlignment="1">
      <alignment horizontal="left" vertical="center" wrapText="1"/>
    </xf>
    <xf numFmtId="0" fontId="19" fillId="0" borderId="2" xfId="0" quotePrefix="1" applyNumberFormat="1" applyFont="1" applyFill="1" applyBorder="1" applyAlignment="1">
      <alignment horizontal="left" vertical="center"/>
    </xf>
    <xf numFmtId="0" fontId="19" fillId="0" borderId="2" xfId="0" applyFont="1" applyFill="1" applyBorder="1" applyAlignment="1">
      <alignment vertical="center"/>
    </xf>
    <xf numFmtId="0" fontId="19" fillId="0" borderId="2" xfId="0" quotePrefix="1" applyNumberFormat="1" applyFont="1" applyBorder="1" applyAlignment="1">
      <alignment horizontal="left" vertical="center"/>
    </xf>
    <xf numFmtId="0" fontId="19" fillId="0" borderId="2" xfId="0" applyFont="1" applyBorder="1" applyAlignment="1">
      <alignment vertical="center"/>
    </xf>
    <xf numFmtId="0" fontId="7" fillId="2" borderId="4" xfId="1" applyFont="1" applyFill="1" applyBorder="1" applyAlignment="1">
      <alignment vertical="center" wrapText="1"/>
    </xf>
    <xf numFmtId="0" fontId="7" fillId="2" borderId="1" xfId="1" applyFont="1" applyFill="1" applyBorder="1" applyAlignment="1">
      <alignment vertical="center" wrapText="1"/>
    </xf>
    <xf numFmtId="0" fontId="21" fillId="0" borderId="2" xfId="0" applyFont="1" applyBorder="1" applyAlignment="1"/>
    <xf numFmtId="0" fontId="0" fillId="4" borderId="5" xfId="0" applyFill="1" applyBorder="1"/>
    <xf numFmtId="0" fontId="0" fillId="4" borderId="0" xfId="0" applyFill="1"/>
    <xf numFmtId="0" fontId="0" fillId="4" borderId="0" xfId="0" quotePrefix="1" applyFill="1"/>
    <xf numFmtId="0" fontId="9" fillId="0" borderId="6" xfId="0" applyFont="1" applyBorder="1" applyAlignment="1">
      <alignment vertical="center" wrapText="1"/>
    </xf>
    <xf numFmtId="0" fontId="0" fillId="0" borderId="7" xfId="0" applyBorder="1"/>
    <xf numFmtId="0" fontId="0" fillId="0" borderId="2" xfId="0" quotePrefix="1" applyBorder="1"/>
    <xf numFmtId="0" fontId="0" fillId="4" borderId="0" xfId="0" quotePrefix="1" applyFill="1" applyAlignment="1">
      <alignment horizontal="center"/>
    </xf>
    <xf numFmtId="0" fontId="3" fillId="0" borderId="0" xfId="1" applyFont="1" applyAlignment="1">
      <alignment horizontal="left" vertical="center"/>
    </xf>
    <xf numFmtId="0" fontId="3" fillId="0" borderId="1" xfId="1" applyFont="1" applyBorder="1" applyAlignment="1">
      <alignment horizontal="left" vertical="center"/>
    </xf>
    <xf numFmtId="0" fontId="0" fillId="6" borderId="0" xfId="0" quotePrefix="1" applyFill="1" applyAlignment="1">
      <alignment horizontal="center"/>
    </xf>
  </cellXfs>
  <cellStyles count="8">
    <cellStyle name="Normal" xfId="0" builtinId="0"/>
    <cellStyle name="Normal 10 2 2 2" xfId="5" xr:uid="{00000000-0005-0000-0000-000001000000}"/>
    <cellStyle name="Normal 2" xfId="4" xr:uid="{00000000-0005-0000-0000-000002000000}"/>
    <cellStyle name="Normal 3" xfId="3" xr:uid="{00000000-0005-0000-0000-000003000000}"/>
    <cellStyle name="Percent" xfId="2" builtinId="5"/>
    <cellStyle name="常规 2" xfId="1" xr:uid="{00000000-0005-0000-0000-000005000000}"/>
    <cellStyle name="常规 3" xfId="7" xr:uid="{00000000-0005-0000-0000-000006000000}"/>
    <cellStyle name="常规_SunMaster1212" xfId="6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60A9BA3B-22B2-4C01-9A31-BBCCDBBC8C2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This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38100</xdr:rowOff>
        </xdr:from>
        <xdr:to>
          <xdr:col>28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插入数据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u%20Zihao/Desktop/SH&#160;AIA_FA_&#20027;&#25968;&#25454;&#20869;&#23481;SAP-US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以前年度购置的资产"/>
      <sheetName val="以前年度USD"/>
      <sheetName val="本年购置的资产 "/>
      <sheetName val="本年购置USD"/>
      <sheetName val="SUN"/>
      <sheetName val="2017.12"/>
      <sheetName val="残值"/>
      <sheetName val="mapping"/>
      <sheetName val="Location"/>
      <sheetName val="Company code"/>
      <sheetName val="Asset parameter"/>
      <sheetName val="Depreciation area"/>
      <sheetName val="Cost cent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E3"/>
          <cell r="AF3" t="str">
            <v>累计折旧2018</v>
          </cell>
          <cell r="AG3" t="str">
            <v>残值</v>
          </cell>
          <cell r="AH3" t="str">
            <v>子资产编号</v>
          </cell>
        </row>
        <row r="4">
          <cell r="B4" t="str">
            <v>101</v>
          </cell>
          <cell r="N4" t="str">
            <v>SA8</v>
          </cell>
          <cell r="Q4" t="str">
            <v>F01015</v>
          </cell>
          <cell r="S4">
            <v>20</v>
          </cell>
          <cell r="T4" t="str">
            <v>CN02</v>
          </cell>
          <cell r="U4" t="str">
            <v>20071201</v>
          </cell>
          <cell r="V4" t="str">
            <v>20131101</v>
          </cell>
          <cell r="Y4">
            <v>33600</v>
          </cell>
          <cell r="AB4">
            <v>33600</v>
          </cell>
          <cell r="AE4" t="str">
            <v>FFACC008</v>
          </cell>
          <cell r="AF4">
            <v>0</v>
          </cell>
          <cell r="AG4">
            <v>0</v>
          </cell>
          <cell r="AH4">
            <v>0</v>
          </cell>
        </row>
        <row r="5">
          <cell r="B5" t="str">
            <v>101</v>
          </cell>
          <cell r="N5" t="str">
            <v>IT3</v>
          </cell>
          <cell r="Q5" t="str">
            <v>F01019</v>
          </cell>
          <cell r="S5">
            <v>20</v>
          </cell>
          <cell r="T5" t="str">
            <v>CN02</v>
          </cell>
          <cell r="U5" t="str">
            <v>20130701</v>
          </cell>
          <cell r="V5" t="str">
            <v>20180101</v>
          </cell>
          <cell r="Y5">
            <v>55500</v>
          </cell>
          <cell r="AB5">
            <v>55500</v>
          </cell>
          <cell r="AE5" t="str">
            <v>F0000103</v>
          </cell>
          <cell r="AF5">
            <v>1009.0899999999965</v>
          </cell>
          <cell r="AG5">
            <v>0</v>
          </cell>
          <cell r="AH5">
            <v>0</v>
          </cell>
        </row>
        <row r="6">
          <cell r="B6" t="str">
            <v>101</v>
          </cell>
          <cell r="N6" t="str">
            <v>FS0</v>
          </cell>
          <cell r="Q6" t="str">
            <v>F01022</v>
          </cell>
          <cell r="T6" t="str">
            <v>CN02</v>
          </cell>
          <cell r="U6" t="str">
            <v>20160801</v>
          </cell>
          <cell r="V6" t="str">
            <v>20180901</v>
          </cell>
          <cell r="Y6">
            <v>574533.45600000001</v>
          </cell>
          <cell r="AB6">
            <v>486143.69399999996</v>
          </cell>
          <cell r="AE6" t="str">
            <v xml:space="preserve">F00001211    </v>
          </cell>
          <cell r="AF6">
            <v>120353.74399999995</v>
          </cell>
          <cell r="AG6">
            <v>0</v>
          </cell>
          <cell r="AH6">
            <v>0</v>
          </cell>
        </row>
        <row r="7">
          <cell r="AE7" t="str">
            <v xml:space="preserve">F00001212    </v>
          </cell>
          <cell r="AF7">
            <v>280825.39599999983</v>
          </cell>
          <cell r="AG7">
            <v>0</v>
          </cell>
          <cell r="AH7">
            <v>0</v>
          </cell>
        </row>
        <row r="8">
          <cell r="AE8" t="str">
            <v xml:space="preserve">F00000661    </v>
          </cell>
          <cell r="AF8">
            <v>0</v>
          </cell>
          <cell r="AG8">
            <v>0</v>
          </cell>
          <cell r="AH8">
            <v>0</v>
          </cell>
        </row>
        <row r="9">
          <cell r="AE9" t="str">
            <v xml:space="preserve">F00000662    </v>
          </cell>
          <cell r="AF9">
            <v>0</v>
          </cell>
          <cell r="AG9">
            <v>0</v>
          </cell>
          <cell r="AH9">
            <v>0</v>
          </cell>
        </row>
        <row r="10">
          <cell r="AE10" t="str">
            <v xml:space="preserve">F00000663    </v>
          </cell>
          <cell r="AF10">
            <v>-1.0000000002037268E-2</v>
          </cell>
          <cell r="AG10">
            <v>0</v>
          </cell>
          <cell r="AH10">
            <v>0</v>
          </cell>
        </row>
        <row r="11">
          <cell r="AE11" t="str">
            <v xml:space="preserve">F00000664    </v>
          </cell>
          <cell r="AF11">
            <v>0</v>
          </cell>
          <cell r="AG11">
            <v>0</v>
          </cell>
          <cell r="AH11">
            <v>0</v>
          </cell>
        </row>
        <row r="12">
          <cell r="AE12" t="str">
            <v xml:space="preserve">F00000665    </v>
          </cell>
          <cell r="AF12">
            <v>0</v>
          </cell>
          <cell r="AG12">
            <v>0</v>
          </cell>
          <cell r="AH12">
            <v>0</v>
          </cell>
        </row>
        <row r="13">
          <cell r="AE13" t="str">
            <v xml:space="preserve">F00000666    </v>
          </cell>
          <cell r="AF13">
            <v>0</v>
          </cell>
          <cell r="AG13">
            <v>0</v>
          </cell>
          <cell r="AH13">
            <v>0</v>
          </cell>
        </row>
        <row r="14">
          <cell r="AE14" t="str">
            <v xml:space="preserve">F00000721    </v>
          </cell>
          <cell r="AF14">
            <v>-9.9999999802093953E-3</v>
          </cell>
          <cell r="AG14">
            <v>0</v>
          </cell>
          <cell r="AH14">
            <v>0</v>
          </cell>
        </row>
        <row r="15">
          <cell r="AE15" t="str">
            <v xml:space="preserve">F000007210   </v>
          </cell>
          <cell r="AF15">
            <v>0</v>
          </cell>
          <cell r="AG15">
            <v>0</v>
          </cell>
          <cell r="AH15">
            <v>0</v>
          </cell>
        </row>
        <row r="16">
          <cell r="AE16" t="str">
            <v xml:space="preserve">F000007211   </v>
          </cell>
          <cell r="AF16">
            <v>0</v>
          </cell>
          <cell r="AG16">
            <v>0</v>
          </cell>
          <cell r="AH16">
            <v>0</v>
          </cell>
        </row>
        <row r="17">
          <cell r="AE17" t="str">
            <v xml:space="preserve">F000007212   </v>
          </cell>
          <cell r="AF17">
            <v>0</v>
          </cell>
          <cell r="AG17">
            <v>0</v>
          </cell>
          <cell r="AH17">
            <v>0</v>
          </cell>
        </row>
        <row r="18">
          <cell r="AE18" t="str">
            <v xml:space="preserve">F000007213   </v>
          </cell>
          <cell r="AF18">
            <v>0</v>
          </cell>
          <cell r="AG18">
            <v>0</v>
          </cell>
          <cell r="AH18">
            <v>0</v>
          </cell>
        </row>
        <row r="19">
          <cell r="AE19" t="str">
            <v xml:space="preserve">F000007214   </v>
          </cell>
          <cell r="AF19">
            <v>0</v>
          </cell>
          <cell r="AG19">
            <v>0</v>
          </cell>
          <cell r="AH19">
            <v>0</v>
          </cell>
        </row>
        <row r="20">
          <cell r="AE20" t="str">
            <v xml:space="preserve">F000007215   </v>
          </cell>
          <cell r="AF20">
            <v>0</v>
          </cell>
          <cell r="AG20">
            <v>0</v>
          </cell>
          <cell r="AH20">
            <v>0</v>
          </cell>
        </row>
        <row r="21">
          <cell r="AE21" t="str">
            <v xml:space="preserve">F000007216   </v>
          </cell>
          <cell r="AF21">
            <v>0</v>
          </cell>
          <cell r="AG21">
            <v>0</v>
          </cell>
          <cell r="AH21">
            <v>0</v>
          </cell>
        </row>
        <row r="22">
          <cell r="AE22" t="str">
            <v xml:space="preserve">F000007217   </v>
          </cell>
          <cell r="AF22">
            <v>0</v>
          </cell>
          <cell r="AG22">
            <v>0</v>
          </cell>
          <cell r="AH22">
            <v>0</v>
          </cell>
        </row>
        <row r="23">
          <cell r="AE23" t="str">
            <v xml:space="preserve">F00000722    </v>
          </cell>
          <cell r="AF23">
            <v>0</v>
          </cell>
          <cell r="AG23">
            <v>0</v>
          </cell>
          <cell r="AH23">
            <v>0</v>
          </cell>
        </row>
        <row r="24">
          <cell r="AE24" t="str">
            <v xml:space="preserve">F00000723    </v>
          </cell>
          <cell r="AF24">
            <v>0</v>
          </cell>
          <cell r="AG24">
            <v>0</v>
          </cell>
          <cell r="AH24">
            <v>0</v>
          </cell>
        </row>
        <row r="25">
          <cell r="AE25" t="str">
            <v xml:space="preserve">F00000724    </v>
          </cell>
          <cell r="AF25">
            <v>0</v>
          </cell>
          <cell r="AG25">
            <v>0</v>
          </cell>
          <cell r="AH25">
            <v>0</v>
          </cell>
        </row>
        <row r="26">
          <cell r="AE26" t="str">
            <v xml:space="preserve">F00000725    </v>
          </cell>
          <cell r="AF26">
            <v>0</v>
          </cell>
          <cell r="AG26">
            <v>0</v>
          </cell>
          <cell r="AH26">
            <v>0</v>
          </cell>
        </row>
        <row r="27">
          <cell r="AE27" t="str">
            <v xml:space="preserve">F00000726    </v>
          </cell>
          <cell r="AF27">
            <v>0</v>
          </cell>
          <cell r="AG27">
            <v>0</v>
          </cell>
          <cell r="AH27">
            <v>0</v>
          </cell>
        </row>
        <row r="28">
          <cell r="AE28" t="str">
            <v xml:space="preserve">F00000727    </v>
          </cell>
          <cell r="AF28">
            <v>0</v>
          </cell>
          <cell r="AG28">
            <v>0</v>
          </cell>
          <cell r="AH28">
            <v>0</v>
          </cell>
        </row>
        <row r="29">
          <cell r="AE29" t="str">
            <v xml:space="preserve">F00000728    </v>
          </cell>
          <cell r="AF29">
            <v>0</v>
          </cell>
          <cell r="AG29">
            <v>0</v>
          </cell>
          <cell r="AH29">
            <v>0</v>
          </cell>
        </row>
        <row r="30">
          <cell r="AE30" t="str">
            <v xml:space="preserve">F00000729    </v>
          </cell>
          <cell r="AF30">
            <v>0</v>
          </cell>
          <cell r="AG30">
            <v>0</v>
          </cell>
          <cell r="AH30">
            <v>0</v>
          </cell>
        </row>
        <row r="31">
          <cell r="AE31" t="str">
            <v>F0000063</v>
          </cell>
          <cell r="AF31">
            <v>0</v>
          </cell>
          <cell r="AG31">
            <v>0</v>
          </cell>
          <cell r="AH31">
            <v>0</v>
          </cell>
        </row>
        <row r="32">
          <cell r="AE32" t="str">
            <v xml:space="preserve">F00000971    </v>
          </cell>
          <cell r="AF32">
            <v>52382.829999999958</v>
          </cell>
          <cell r="AG32">
            <v>0</v>
          </cell>
          <cell r="AH32">
            <v>0</v>
          </cell>
        </row>
        <row r="33">
          <cell r="AE33" t="str">
            <v xml:space="preserve">F000009710   </v>
          </cell>
          <cell r="AF33">
            <v>5628.3199999999924</v>
          </cell>
          <cell r="AG33">
            <v>0</v>
          </cell>
          <cell r="AH33">
            <v>0</v>
          </cell>
        </row>
        <row r="34">
          <cell r="AE34" t="str">
            <v xml:space="preserve">F000009711   </v>
          </cell>
          <cell r="AF34">
            <v>7504.4100000000035</v>
          </cell>
          <cell r="AG34">
            <v>0</v>
          </cell>
          <cell r="AH34">
            <v>0</v>
          </cell>
        </row>
        <row r="35">
          <cell r="AE35" t="str">
            <v xml:space="preserve">F000009712   </v>
          </cell>
          <cell r="AF35">
            <v>1876.1100000000006</v>
          </cell>
          <cell r="AG35">
            <v>0</v>
          </cell>
          <cell r="AH35">
            <v>0</v>
          </cell>
        </row>
        <row r="36">
          <cell r="AE36" t="str">
            <v xml:space="preserve">F000009713   </v>
          </cell>
          <cell r="AF36">
            <v>31795.040000000037</v>
          </cell>
          <cell r="AG36">
            <v>0</v>
          </cell>
          <cell r="AH36">
            <v>0</v>
          </cell>
        </row>
        <row r="37">
          <cell r="AE37" t="str">
            <v xml:space="preserve">F000009714   </v>
          </cell>
          <cell r="AF37">
            <v>33671.150000000023</v>
          </cell>
          <cell r="AG37">
            <v>0</v>
          </cell>
          <cell r="AH37">
            <v>0</v>
          </cell>
        </row>
        <row r="38">
          <cell r="AE38" t="str">
            <v xml:space="preserve">F000009715   </v>
          </cell>
          <cell r="AF38">
            <v>7504.4100000000035</v>
          </cell>
          <cell r="AG38">
            <v>0</v>
          </cell>
          <cell r="AH38">
            <v>0</v>
          </cell>
        </row>
        <row r="39">
          <cell r="AE39" t="str">
            <v xml:space="preserve">F000009716   </v>
          </cell>
          <cell r="AF39">
            <v>3752.2099999999991</v>
          </cell>
          <cell r="AG39">
            <v>0</v>
          </cell>
          <cell r="AH39">
            <v>0</v>
          </cell>
        </row>
        <row r="40">
          <cell r="AE40" t="str">
            <v xml:space="preserve">F000009717   </v>
          </cell>
          <cell r="AF40">
            <v>14959.470000000001</v>
          </cell>
          <cell r="AG40">
            <v>0</v>
          </cell>
          <cell r="AH40">
            <v>0</v>
          </cell>
        </row>
        <row r="41">
          <cell r="AE41" t="str">
            <v xml:space="preserve">F000009718   </v>
          </cell>
          <cell r="AF41">
            <v>18711.669999999984</v>
          </cell>
          <cell r="AG41">
            <v>0</v>
          </cell>
          <cell r="AH41">
            <v>0</v>
          </cell>
        </row>
        <row r="42">
          <cell r="AE42" t="str">
            <v xml:space="preserve">F000009719   </v>
          </cell>
          <cell r="AF42">
            <v>9331.1500000000087</v>
          </cell>
          <cell r="AG42">
            <v>0</v>
          </cell>
          <cell r="AH42">
            <v>0</v>
          </cell>
        </row>
        <row r="43">
          <cell r="AE43" t="str">
            <v xml:space="preserve">F00000972    </v>
          </cell>
          <cell r="AF43">
            <v>3752.2099999999991</v>
          </cell>
          <cell r="AG43">
            <v>0</v>
          </cell>
          <cell r="AH43">
            <v>0</v>
          </cell>
        </row>
        <row r="44">
          <cell r="AE44" t="str">
            <v xml:space="preserve">F000009720   </v>
          </cell>
          <cell r="AF44">
            <v>3752.2099999999991</v>
          </cell>
          <cell r="AG44">
            <v>0</v>
          </cell>
          <cell r="AH44">
            <v>0</v>
          </cell>
        </row>
        <row r="45">
          <cell r="AE45" t="str">
            <v xml:space="preserve">F000009721   </v>
          </cell>
          <cell r="AF45">
            <v>13083.369999999995</v>
          </cell>
          <cell r="AG45">
            <v>0</v>
          </cell>
          <cell r="AH45">
            <v>0</v>
          </cell>
        </row>
        <row r="46">
          <cell r="AE46" t="str">
            <v xml:space="preserve">F000009722   </v>
          </cell>
          <cell r="AF46">
            <v>7504.4100000000035</v>
          </cell>
          <cell r="AG46">
            <v>0</v>
          </cell>
          <cell r="AH46">
            <v>0</v>
          </cell>
        </row>
        <row r="47">
          <cell r="AE47" t="str">
            <v xml:space="preserve">F000009723   </v>
          </cell>
          <cell r="AF47">
            <v>18711.669999999984</v>
          </cell>
          <cell r="AG47">
            <v>0</v>
          </cell>
          <cell r="AH47">
            <v>0</v>
          </cell>
        </row>
        <row r="48">
          <cell r="AE48" t="str">
            <v xml:space="preserve">F000009724   </v>
          </cell>
          <cell r="AF48">
            <v>9331.1500000000087</v>
          </cell>
          <cell r="AG48">
            <v>0</v>
          </cell>
          <cell r="AH48">
            <v>0</v>
          </cell>
        </row>
        <row r="49">
          <cell r="AE49" t="str">
            <v xml:space="preserve">F000009725   </v>
          </cell>
          <cell r="AF49">
            <v>9331.1500000000087</v>
          </cell>
          <cell r="AG49">
            <v>0</v>
          </cell>
          <cell r="AH49">
            <v>0</v>
          </cell>
        </row>
        <row r="50">
          <cell r="AE50" t="str">
            <v xml:space="preserve">F000009726   </v>
          </cell>
          <cell r="AF50">
            <v>13083.369999999995</v>
          </cell>
          <cell r="AG50">
            <v>0</v>
          </cell>
          <cell r="AH50">
            <v>0</v>
          </cell>
        </row>
        <row r="51">
          <cell r="AE51" t="str">
            <v xml:space="preserve">F000009727   </v>
          </cell>
          <cell r="AF51">
            <v>24290.619999999995</v>
          </cell>
          <cell r="AG51">
            <v>0</v>
          </cell>
          <cell r="AH51">
            <v>0</v>
          </cell>
        </row>
        <row r="52">
          <cell r="AE52" t="str">
            <v xml:space="preserve">F000009728   </v>
          </cell>
          <cell r="AF52">
            <v>9232.4100000000035</v>
          </cell>
          <cell r="AG52">
            <v>0</v>
          </cell>
          <cell r="AH52">
            <v>0</v>
          </cell>
        </row>
        <row r="53">
          <cell r="AE53" t="str">
            <v xml:space="preserve">F000009729   </v>
          </cell>
          <cell r="AF53">
            <v>59837.869999999995</v>
          </cell>
          <cell r="AG53">
            <v>0</v>
          </cell>
          <cell r="AH53">
            <v>0</v>
          </cell>
        </row>
        <row r="54">
          <cell r="AE54" t="str">
            <v xml:space="preserve">F00000973    </v>
          </cell>
          <cell r="AF54">
            <v>46754.5</v>
          </cell>
          <cell r="AG54">
            <v>0</v>
          </cell>
          <cell r="AH54">
            <v>0</v>
          </cell>
        </row>
        <row r="55">
          <cell r="AE55" t="str">
            <v xml:space="preserve">F000009730   </v>
          </cell>
          <cell r="AF55">
            <v>1876.1100000000006</v>
          </cell>
          <cell r="AG55">
            <v>0</v>
          </cell>
          <cell r="AH55">
            <v>0</v>
          </cell>
        </row>
        <row r="56">
          <cell r="AE56" t="str">
            <v xml:space="preserve">F000009731   </v>
          </cell>
          <cell r="AF56">
            <v>13083.369999999995</v>
          </cell>
          <cell r="AG56">
            <v>0</v>
          </cell>
          <cell r="AH56">
            <v>0</v>
          </cell>
        </row>
        <row r="57">
          <cell r="AE57" t="str">
            <v xml:space="preserve">F000009732   </v>
          </cell>
          <cell r="AF57">
            <v>7504.4100000000035</v>
          </cell>
          <cell r="AG57">
            <v>0</v>
          </cell>
          <cell r="AH57">
            <v>0</v>
          </cell>
        </row>
        <row r="58">
          <cell r="AE58" t="str">
            <v xml:space="preserve">F000009733   </v>
          </cell>
          <cell r="AF58">
            <v>14959.470000000001</v>
          </cell>
          <cell r="AG58">
            <v>0</v>
          </cell>
          <cell r="AH58">
            <v>0</v>
          </cell>
        </row>
        <row r="59">
          <cell r="AE59" t="str">
            <v xml:space="preserve">F00000974    </v>
          </cell>
          <cell r="AF59">
            <v>7504.4100000000035</v>
          </cell>
          <cell r="AG59">
            <v>0</v>
          </cell>
          <cell r="AH59">
            <v>0</v>
          </cell>
        </row>
        <row r="60">
          <cell r="AE60" t="str">
            <v xml:space="preserve">F00000975    </v>
          </cell>
          <cell r="AF60">
            <v>3752.2099999999991</v>
          </cell>
          <cell r="AG60">
            <v>0</v>
          </cell>
          <cell r="AH60">
            <v>0</v>
          </cell>
        </row>
        <row r="61">
          <cell r="AE61" t="str">
            <v xml:space="preserve">F00000976    </v>
          </cell>
          <cell r="AF61">
            <v>11207.260000000009</v>
          </cell>
          <cell r="AG61">
            <v>0</v>
          </cell>
          <cell r="AH61">
            <v>0</v>
          </cell>
        </row>
        <row r="62">
          <cell r="AE62" t="str">
            <v xml:space="preserve">F00000977    </v>
          </cell>
          <cell r="AF62">
            <v>11207.260000000009</v>
          </cell>
          <cell r="AG62">
            <v>0</v>
          </cell>
          <cell r="AH62">
            <v>0</v>
          </cell>
        </row>
        <row r="63">
          <cell r="AE63" t="str">
            <v xml:space="preserve">F00000978    </v>
          </cell>
          <cell r="AF63">
            <v>3752.2099999999991</v>
          </cell>
          <cell r="AG63">
            <v>0</v>
          </cell>
          <cell r="AH63">
            <v>0</v>
          </cell>
        </row>
        <row r="64">
          <cell r="AE64" t="str">
            <v xml:space="preserve">F00000979    </v>
          </cell>
          <cell r="AF64">
            <v>13083.369999999995</v>
          </cell>
          <cell r="AG64">
            <v>0</v>
          </cell>
          <cell r="AH64">
            <v>0</v>
          </cell>
        </row>
        <row r="65">
          <cell r="AE65" t="str">
            <v xml:space="preserve">F00000341    </v>
          </cell>
          <cell r="AF65">
            <v>0</v>
          </cell>
          <cell r="AG65">
            <v>0</v>
          </cell>
          <cell r="AH65">
            <v>0</v>
          </cell>
        </row>
        <row r="66">
          <cell r="AE66" t="str">
            <v xml:space="preserve">F00000342    </v>
          </cell>
          <cell r="AF66">
            <v>0</v>
          </cell>
          <cell r="AG66">
            <v>0</v>
          </cell>
          <cell r="AH66">
            <v>0</v>
          </cell>
        </row>
        <row r="67">
          <cell r="AE67" t="str">
            <v xml:space="preserve">F00000343    </v>
          </cell>
          <cell r="AF67">
            <v>0</v>
          </cell>
          <cell r="AG67">
            <v>0</v>
          </cell>
          <cell r="AH67">
            <v>0</v>
          </cell>
        </row>
        <row r="68">
          <cell r="AE68" t="str">
            <v>F0000024</v>
          </cell>
          <cell r="AF68">
            <v>0</v>
          </cell>
          <cell r="AG68">
            <v>0</v>
          </cell>
          <cell r="AH68">
            <v>0</v>
          </cell>
        </row>
        <row r="69">
          <cell r="AE69" t="str">
            <v>F0000025</v>
          </cell>
          <cell r="AF69">
            <v>0</v>
          </cell>
          <cell r="AG69">
            <v>0</v>
          </cell>
          <cell r="AH69">
            <v>0</v>
          </cell>
        </row>
        <row r="70">
          <cell r="AE70" t="str">
            <v>F0000026</v>
          </cell>
          <cell r="AF70">
            <v>0</v>
          </cell>
          <cell r="AG70">
            <v>0</v>
          </cell>
          <cell r="AH70">
            <v>0</v>
          </cell>
        </row>
        <row r="71">
          <cell r="AE71" t="str">
            <v>F0000090</v>
          </cell>
          <cell r="AF71">
            <v>0</v>
          </cell>
          <cell r="AG71">
            <v>0</v>
          </cell>
          <cell r="AH71">
            <v>0</v>
          </cell>
        </row>
        <row r="72">
          <cell r="AE72" t="str">
            <v>F0000091</v>
          </cell>
          <cell r="AF72">
            <v>0</v>
          </cell>
          <cell r="AG72">
            <v>0</v>
          </cell>
          <cell r="AH72">
            <v>0</v>
          </cell>
        </row>
        <row r="73">
          <cell r="AE73" t="str">
            <v>F0000092</v>
          </cell>
          <cell r="AF73">
            <v>0</v>
          </cell>
          <cell r="AG73">
            <v>0</v>
          </cell>
          <cell r="AH73">
            <v>0</v>
          </cell>
        </row>
        <row r="74">
          <cell r="AE74" t="str">
            <v>F0000027</v>
          </cell>
          <cell r="AF74">
            <v>0</v>
          </cell>
          <cell r="AG74">
            <v>0</v>
          </cell>
          <cell r="AH74">
            <v>0</v>
          </cell>
        </row>
        <row r="75">
          <cell r="AE75" t="str">
            <v xml:space="preserve">F00001151    </v>
          </cell>
          <cell r="AF75">
            <v>860.04000000000087</v>
          </cell>
          <cell r="AG75">
            <v>0</v>
          </cell>
          <cell r="AH75">
            <v>0</v>
          </cell>
        </row>
        <row r="76">
          <cell r="AE76" t="str">
            <v xml:space="preserve">F00001152    </v>
          </cell>
          <cell r="AF76">
            <v>864.43000000000029</v>
          </cell>
          <cell r="AG76">
            <v>0</v>
          </cell>
          <cell r="AH76">
            <v>0</v>
          </cell>
        </row>
        <row r="77">
          <cell r="AE77" t="str">
            <v xml:space="preserve">F00001153    </v>
          </cell>
          <cell r="AF77">
            <v>864.43000000000029</v>
          </cell>
          <cell r="AG77">
            <v>0</v>
          </cell>
          <cell r="AH77">
            <v>0</v>
          </cell>
        </row>
        <row r="78">
          <cell r="AE78" t="str">
            <v>F0000125</v>
          </cell>
          <cell r="AF78">
            <v>46481.31</v>
          </cell>
          <cell r="AG78">
            <v>0</v>
          </cell>
          <cell r="AH78">
            <v>0</v>
          </cell>
        </row>
        <row r="79">
          <cell r="AE79" t="str">
            <v>F0000087</v>
          </cell>
          <cell r="AF79">
            <v>0</v>
          </cell>
          <cell r="AG79">
            <v>0</v>
          </cell>
          <cell r="AH79">
            <v>0</v>
          </cell>
        </row>
        <row r="80">
          <cell r="AE80" t="str">
            <v>FFACC002</v>
          </cell>
          <cell r="AF80">
            <v>0</v>
          </cell>
          <cell r="AG80">
            <v>0</v>
          </cell>
          <cell r="AH80">
            <v>0</v>
          </cell>
        </row>
        <row r="81">
          <cell r="AE81" t="str">
            <v xml:space="preserve">F00001121    </v>
          </cell>
          <cell r="AF81">
            <v>1376.5</v>
          </cell>
          <cell r="AG81">
            <v>0</v>
          </cell>
          <cell r="AH81">
            <v>0</v>
          </cell>
        </row>
        <row r="82">
          <cell r="AE82" t="str">
            <v xml:space="preserve">F00001122    </v>
          </cell>
          <cell r="AF82">
            <v>727.34000000000378</v>
          </cell>
          <cell r="AG82">
            <v>0</v>
          </cell>
          <cell r="AH82">
            <v>0</v>
          </cell>
        </row>
        <row r="83">
          <cell r="AE83" t="str">
            <v xml:space="preserve">F00001123    </v>
          </cell>
          <cell r="AF83">
            <v>52.110000000000127</v>
          </cell>
          <cell r="AG83">
            <v>0</v>
          </cell>
          <cell r="AH83">
            <v>0</v>
          </cell>
        </row>
        <row r="84">
          <cell r="AE84" t="str">
            <v xml:space="preserve">F00001124    </v>
          </cell>
          <cell r="AF84">
            <v>362.51000000000204</v>
          </cell>
          <cell r="AG84">
            <v>0</v>
          </cell>
          <cell r="AH84">
            <v>0</v>
          </cell>
        </row>
        <row r="85">
          <cell r="AE85" t="str">
            <v xml:space="preserve">F00001125    </v>
          </cell>
          <cell r="AF85">
            <v>130.3100000000004</v>
          </cell>
          <cell r="AG85">
            <v>0</v>
          </cell>
          <cell r="AH85">
            <v>0</v>
          </cell>
        </row>
        <row r="86">
          <cell r="AE86" t="str">
            <v xml:space="preserve">F00001126    </v>
          </cell>
          <cell r="AF86">
            <v>78.200000000000273</v>
          </cell>
          <cell r="AG86">
            <v>0</v>
          </cell>
          <cell r="AH86">
            <v>0</v>
          </cell>
        </row>
        <row r="87">
          <cell r="AE87" t="str">
            <v xml:space="preserve">F00001127    </v>
          </cell>
          <cell r="AF87">
            <v>130.3100000000004</v>
          </cell>
          <cell r="AG87">
            <v>0</v>
          </cell>
          <cell r="AH87">
            <v>0</v>
          </cell>
        </row>
        <row r="88">
          <cell r="AE88" t="str">
            <v>F00001128</v>
          </cell>
          <cell r="AF88">
            <v>570.97999999999956</v>
          </cell>
          <cell r="AG88">
            <v>0</v>
          </cell>
          <cell r="AH88">
            <v>0</v>
          </cell>
        </row>
        <row r="89">
          <cell r="AE89" t="str">
            <v>F0000105</v>
          </cell>
          <cell r="AF89">
            <v>184371.8900000006</v>
          </cell>
          <cell r="AG89">
            <v>0</v>
          </cell>
          <cell r="AH89">
            <v>0</v>
          </cell>
        </row>
        <row r="90">
          <cell r="AE90" t="str">
            <v>F0000102</v>
          </cell>
          <cell r="AF90">
            <v>1842.2799999999988</v>
          </cell>
          <cell r="AG90">
            <v>0</v>
          </cell>
          <cell r="AH90">
            <v>0</v>
          </cell>
        </row>
        <row r="91">
          <cell r="AE91" t="str">
            <v>F0000101</v>
          </cell>
          <cell r="AF91">
            <v>2526.3099999999977</v>
          </cell>
          <cell r="AG91">
            <v>0</v>
          </cell>
          <cell r="AH91">
            <v>0</v>
          </cell>
        </row>
        <row r="92">
          <cell r="AE92" t="str">
            <v>F0000048</v>
          </cell>
          <cell r="AF92">
            <v>0</v>
          </cell>
          <cell r="AG92">
            <v>0</v>
          </cell>
          <cell r="AH92">
            <v>0</v>
          </cell>
        </row>
        <row r="93">
          <cell r="AE93" t="str">
            <v>F0000083</v>
          </cell>
          <cell r="AF93">
            <v>0</v>
          </cell>
          <cell r="AG93">
            <v>0</v>
          </cell>
          <cell r="AH93">
            <v>0</v>
          </cell>
        </row>
        <row r="94">
          <cell r="AE94" t="str">
            <v>F0000106</v>
          </cell>
          <cell r="AF94">
            <v>0</v>
          </cell>
          <cell r="AG94">
            <v>0</v>
          </cell>
          <cell r="AH94">
            <v>0</v>
          </cell>
        </row>
        <row r="95">
          <cell r="AE95" t="str">
            <v>2017002</v>
          </cell>
          <cell r="AF95">
            <v>138957.83999999997</v>
          </cell>
          <cell r="AG95">
            <v>0</v>
          </cell>
          <cell r="AH95">
            <v>0</v>
          </cell>
        </row>
        <row r="96">
          <cell r="AE96" t="str">
            <v>F0000108</v>
          </cell>
          <cell r="AF96">
            <v>0</v>
          </cell>
          <cell r="AG96">
            <v>0</v>
          </cell>
          <cell r="AH96">
            <v>0</v>
          </cell>
        </row>
        <row r="97">
          <cell r="AE97" t="str">
            <v>F0000051</v>
          </cell>
          <cell r="AF97">
            <v>0</v>
          </cell>
          <cell r="AG97">
            <v>0</v>
          </cell>
          <cell r="AH97">
            <v>0</v>
          </cell>
        </row>
        <row r="98">
          <cell r="AE98" t="str">
            <v>F0000110</v>
          </cell>
          <cell r="AF98">
            <v>3506.2000000000116</v>
          </cell>
          <cell r="AG98">
            <v>0</v>
          </cell>
          <cell r="AH98">
            <v>0</v>
          </cell>
        </row>
        <row r="99">
          <cell r="AE99" t="str">
            <v>F0000124</v>
          </cell>
          <cell r="AF99">
            <v>9866.3800000000047</v>
          </cell>
          <cell r="AG99">
            <v>0</v>
          </cell>
          <cell r="AH99">
            <v>0</v>
          </cell>
        </row>
        <row r="100">
          <cell r="AE100" t="str">
            <v xml:space="preserve">20160021    </v>
          </cell>
          <cell r="AF100">
            <v>20414.900000000001</v>
          </cell>
          <cell r="AG100">
            <v>0</v>
          </cell>
          <cell r="AH100">
            <v>0</v>
          </cell>
        </row>
        <row r="101">
          <cell r="AE101" t="str">
            <v xml:space="preserve">20160022    </v>
          </cell>
          <cell r="AF101">
            <v>20414.900000000001</v>
          </cell>
          <cell r="AG101">
            <v>0</v>
          </cell>
          <cell r="AH101">
            <v>0</v>
          </cell>
        </row>
        <row r="102">
          <cell r="AE102" t="str">
            <v xml:space="preserve">F00001161    </v>
          </cell>
          <cell r="AF102">
            <v>0</v>
          </cell>
          <cell r="AG102">
            <v>0</v>
          </cell>
          <cell r="AH102">
            <v>0</v>
          </cell>
        </row>
        <row r="103">
          <cell r="AE103" t="str">
            <v xml:space="preserve">F00001162    </v>
          </cell>
          <cell r="AF103">
            <v>0</v>
          </cell>
          <cell r="AG103">
            <v>0</v>
          </cell>
          <cell r="AH103">
            <v>0</v>
          </cell>
        </row>
        <row r="104">
          <cell r="AE104" t="str">
            <v xml:space="preserve">F00001163    </v>
          </cell>
          <cell r="AF104">
            <v>0</v>
          </cell>
          <cell r="AG104">
            <v>0</v>
          </cell>
          <cell r="AH104">
            <v>0</v>
          </cell>
        </row>
        <row r="105">
          <cell r="AE105" t="str">
            <v xml:space="preserve">SH150011    </v>
          </cell>
          <cell r="AF105">
            <v>71899.460000000196</v>
          </cell>
          <cell r="AG105">
            <v>0</v>
          </cell>
          <cell r="AH105">
            <v>0</v>
          </cell>
        </row>
        <row r="106">
          <cell r="AE106" t="str">
            <v xml:space="preserve">SH150012    </v>
          </cell>
          <cell r="AF106">
            <v>9460.4500000000116</v>
          </cell>
          <cell r="AG106">
            <v>0</v>
          </cell>
          <cell r="AH106">
            <v>0</v>
          </cell>
        </row>
        <row r="107">
          <cell r="AE107" t="str">
            <v xml:space="preserve">SH150013    </v>
          </cell>
          <cell r="AF107">
            <v>13244.639999999985</v>
          </cell>
          <cell r="AG107">
            <v>0</v>
          </cell>
          <cell r="AH107">
            <v>0</v>
          </cell>
        </row>
        <row r="108">
          <cell r="AE108" t="str">
            <v>F0000117</v>
          </cell>
          <cell r="AF108">
            <v>218758.05</v>
          </cell>
          <cell r="AG108">
            <v>0</v>
          </cell>
          <cell r="AH108">
            <v>0</v>
          </cell>
        </row>
        <row r="109">
          <cell r="AE109" t="str">
            <v>F0000100</v>
          </cell>
          <cell r="AF109">
            <v>27479.09999999986</v>
          </cell>
          <cell r="AG109">
            <v>0</v>
          </cell>
          <cell r="AH109">
            <v>0</v>
          </cell>
        </row>
        <row r="110">
          <cell r="AE110" t="str">
            <v>F0000119</v>
          </cell>
          <cell r="AF110">
            <v>175168.05000000005</v>
          </cell>
          <cell r="AG110">
            <v>0</v>
          </cell>
          <cell r="AH110">
            <v>0</v>
          </cell>
        </row>
        <row r="111">
          <cell r="AE111" t="str">
            <v>2015003</v>
          </cell>
          <cell r="AF111">
            <v>46434.700000000012</v>
          </cell>
          <cell r="AG111">
            <v>0</v>
          </cell>
          <cell r="AH111">
            <v>0</v>
          </cell>
        </row>
        <row r="112">
          <cell r="AE112" t="str">
            <v xml:space="preserve">CHO170011    </v>
          </cell>
          <cell r="AF112">
            <v>-4.5100000000000051</v>
          </cell>
          <cell r="AG112">
            <v>0</v>
          </cell>
          <cell r="AH112">
            <v>0</v>
          </cell>
        </row>
        <row r="113">
          <cell r="AE113" t="str">
            <v xml:space="preserve">CHO1700110   </v>
          </cell>
          <cell r="AF113">
            <v>115.91999999999999</v>
          </cell>
          <cell r="AG113">
            <v>0</v>
          </cell>
          <cell r="AH113">
            <v>0</v>
          </cell>
        </row>
        <row r="114">
          <cell r="AE114" t="str">
            <v xml:space="preserve">CHO1700111   </v>
          </cell>
          <cell r="AF114">
            <v>84.710000000000008</v>
          </cell>
          <cell r="AG114">
            <v>0</v>
          </cell>
          <cell r="AH114">
            <v>0</v>
          </cell>
        </row>
        <row r="115">
          <cell r="AE115" t="str">
            <v xml:space="preserve">CHO1700112   </v>
          </cell>
          <cell r="AF115">
            <v>53.5</v>
          </cell>
          <cell r="AG115">
            <v>0</v>
          </cell>
          <cell r="AH115">
            <v>0</v>
          </cell>
        </row>
        <row r="116">
          <cell r="AE116" t="str">
            <v xml:space="preserve">CHO1700113   </v>
          </cell>
          <cell r="AF116">
            <v>107</v>
          </cell>
          <cell r="AG116">
            <v>0</v>
          </cell>
          <cell r="AH116">
            <v>0</v>
          </cell>
        </row>
        <row r="117">
          <cell r="AE117" t="str">
            <v xml:space="preserve">CHO1700114   </v>
          </cell>
          <cell r="AF117">
            <v>75.799999999999983</v>
          </cell>
          <cell r="AG117">
            <v>0</v>
          </cell>
          <cell r="AH117">
            <v>0</v>
          </cell>
        </row>
        <row r="118">
          <cell r="AE118" t="str">
            <v xml:space="preserve">CHO1700115   </v>
          </cell>
          <cell r="AF118">
            <v>22.299999999999997</v>
          </cell>
          <cell r="AG118">
            <v>0</v>
          </cell>
          <cell r="AH118">
            <v>0</v>
          </cell>
        </row>
        <row r="119">
          <cell r="AE119" t="str">
            <v xml:space="preserve">CHO1700116   </v>
          </cell>
          <cell r="AF119">
            <v>84.710000000000008</v>
          </cell>
          <cell r="AG119">
            <v>0</v>
          </cell>
          <cell r="AH119">
            <v>0</v>
          </cell>
        </row>
        <row r="120">
          <cell r="AE120" t="str">
            <v xml:space="preserve">CHO1700117   </v>
          </cell>
          <cell r="AF120">
            <v>84.710000000000008</v>
          </cell>
          <cell r="AG120">
            <v>0</v>
          </cell>
          <cell r="AH120">
            <v>0</v>
          </cell>
        </row>
        <row r="121">
          <cell r="AE121" t="str">
            <v xml:space="preserve">CHO1700118   </v>
          </cell>
          <cell r="AF121">
            <v>115.91999999999999</v>
          </cell>
          <cell r="AG121">
            <v>0</v>
          </cell>
          <cell r="AH121">
            <v>0</v>
          </cell>
        </row>
        <row r="122">
          <cell r="AE122" t="str">
            <v xml:space="preserve">CHO1700119   </v>
          </cell>
          <cell r="AF122">
            <v>200.63</v>
          </cell>
          <cell r="AG122">
            <v>0</v>
          </cell>
          <cell r="AH122">
            <v>0</v>
          </cell>
        </row>
        <row r="123">
          <cell r="AE123" t="str">
            <v xml:space="preserve">CHO170012    </v>
          </cell>
          <cell r="AF123">
            <v>477.04000000000008</v>
          </cell>
          <cell r="AG123">
            <v>0</v>
          </cell>
          <cell r="AH123">
            <v>0</v>
          </cell>
        </row>
        <row r="124">
          <cell r="AE124" t="str">
            <v xml:space="preserve">CHO1700120   </v>
          </cell>
          <cell r="AF124">
            <v>231.82999999999998</v>
          </cell>
          <cell r="AG124">
            <v>0</v>
          </cell>
          <cell r="AH124">
            <v>0</v>
          </cell>
        </row>
        <row r="125">
          <cell r="AE125" t="str">
            <v xml:space="preserve">CHO1700121   </v>
          </cell>
          <cell r="AF125">
            <v>169.42000000000002</v>
          </cell>
          <cell r="AG125">
            <v>0</v>
          </cell>
          <cell r="AH125">
            <v>0</v>
          </cell>
        </row>
        <row r="126">
          <cell r="AE126" t="str">
            <v xml:space="preserve">CHO1700122   </v>
          </cell>
          <cell r="AF126">
            <v>62.42</v>
          </cell>
          <cell r="AG126">
            <v>0</v>
          </cell>
          <cell r="AH126">
            <v>0</v>
          </cell>
        </row>
        <row r="127">
          <cell r="AE127" t="str">
            <v xml:space="preserve">CHO1700123   </v>
          </cell>
          <cell r="AF127">
            <v>31.209999999999994</v>
          </cell>
          <cell r="AG127">
            <v>0</v>
          </cell>
          <cell r="AH127">
            <v>0</v>
          </cell>
        </row>
        <row r="128">
          <cell r="AE128" t="str">
            <v xml:space="preserve">CHO1700124   </v>
          </cell>
          <cell r="AF128">
            <v>401.25</v>
          </cell>
          <cell r="AG128">
            <v>0</v>
          </cell>
          <cell r="AH128">
            <v>0</v>
          </cell>
        </row>
        <row r="129">
          <cell r="AE129" t="str">
            <v xml:space="preserve">CHO1700125   </v>
          </cell>
          <cell r="AF129">
            <v>22.299999999999997</v>
          </cell>
          <cell r="AG129">
            <v>0</v>
          </cell>
          <cell r="AH129">
            <v>0</v>
          </cell>
        </row>
        <row r="130">
          <cell r="AE130" t="str">
            <v xml:space="preserve">CHO1700126   </v>
          </cell>
          <cell r="AF130">
            <v>75.799999999999983</v>
          </cell>
          <cell r="AG130">
            <v>0</v>
          </cell>
          <cell r="AH130">
            <v>0</v>
          </cell>
        </row>
        <row r="131">
          <cell r="AE131" t="str">
            <v xml:space="preserve">CHO1700127   </v>
          </cell>
          <cell r="AF131">
            <v>124.83000000000001</v>
          </cell>
          <cell r="AG131">
            <v>0</v>
          </cell>
          <cell r="AH131">
            <v>0</v>
          </cell>
        </row>
        <row r="132">
          <cell r="AE132" t="str">
            <v xml:space="preserve">CHO1700128   </v>
          </cell>
          <cell r="AF132">
            <v>93.63</v>
          </cell>
          <cell r="AG132">
            <v>0</v>
          </cell>
          <cell r="AH132">
            <v>0</v>
          </cell>
        </row>
        <row r="133">
          <cell r="AE133" t="str">
            <v xml:space="preserve">CHO1700129   </v>
          </cell>
          <cell r="AF133">
            <v>75.799999999999983</v>
          </cell>
          <cell r="AG133">
            <v>0</v>
          </cell>
          <cell r="AH133">
            <v>0</v>
          </cell>
        </row>
        <row r="134">
          <cell r="AE134" t="str">
            <v xml:space="preserve">CHO170013    </v>
          </cell>
          <cell r="AF134">
            <v>138.20999999999998</v>
          </cell>
          <cell r="AG134">
            <v>0</v>
          </cell>
          <cell r="AH134">
            <v>0</v>
          </cell>
        </row>
        <row r="135">
          <cell r="AE135" t="str">
            <v xml:space="preserve">CHO1700130   </v>
          </cell>
          <cell r="AF135">
            <v>53.5</v>
          </cell>
          <cell r="AG135">
            <v>0</v>
          </cell>
          <cell r="AH135">
            <v>0</v>
          </cell>
        </row>
        <row r="136">
          <cell r="AE136" t="str">
            <v xml:space="preserve">CHO1700131   </v>
          </cell>
          <cell r="AF136">
            <v>570.67000000000007</v>
          </cell>
          <cell r="AG136">
            <v>0</v>
          </cell>
          <cell r="AH136">
            <v>0</v>
          </cell>
        </row>
        <row r="137">
          <cell r="AE137" t="str">
            <v xml:space="preserve">CHO1700132   </v>
          </cell>
          <cell r="AF137">
            <v>8.9200000000000017</v>
          </cell>
          <cell r="AG137">
            <v>0</v>
          </cell>
          <cell r="AH137">
            <v>0</v>
          </cell>
        </row>
        <row r="138">
          <cell r="AE138" t="str">
            <v xml:space="preserve">CHO1700133   </v>
          </cell>
          <cell r="AF138">
            <v>115.91999999999999</v>
          </cell>
          <cell r="AG138">
            <v>0</v>
          </cell>
          <cell r="AH138">
            <v>0</v>
          </cell>
        </row>
        <row r="139">
          <cell r="AE139" t="str">
            <v xml:space="preserve">CHO1700134   </v>
          </cell>
          <cell r="AF139">
            <v>84.710000000000008</v>
          </cell>
          <cell r="AG139">
            <v>0</v>
          </cell>
          <cell r="AH139">
            <v>0</v>
          </cell>
        </row>
        <row r="140">
          <cell r="AE140" t="str">
            <v xml:space="preserve">CHO170014    </v>
          </cell>
          <cell r="AF140">
            <v>75.799999999999983</v>
          </cell>
          <cell r="AG140">
            <v>0</v>
          </cell>
          <cell r="AH140">
            <v>0</v>
          </cell>
        </row>
        <row r="141">
          <cell r="AE141" t="str">
            <v xml:space="preserve">CHO170015    </v>
          </cell>
          <cell r="AF141">
            <v>75.799999999999983</v>
          </cell>
          <cell r="AG141">
            <v>0</v>
          </cell>
          <cell r="AH141">
            <v>0</v>
          </cell>
        </row>
        <row r="142">
          <cell r="AE142" t="str">
            <v xml:space="preserve">CHO170016    </v>
          </cell>
          <cell r="AF142">
            <v>40.129999999999995</v>
          </cell>
          <cell r="AG142">
            <v>0</v>
          </cell>
          <cell r="AH142">
            <v>0</v>
          </cell>
        </row>
        <row r="143">
          <cell r="AE143" t="str">
            <v xml:space="preserve">CHO170017    </v>
          </cell>
          <cell r="AF143">
            <v>392.33000000000004</v>
          </cell>
          <cell r="AG143">
            <v>0</v>
          </cell>
          <cell r="AH143">
            <v>0</v>
          </cell>
        </row>
        <row r="144">
          <cell r="AE144" t="str">
            <v xml:space="preserve">CHO170018    </v>
          </cell>
          <cell r="AF144">
            <v>93.63</v>
          </cell>
          <cell r="AG144">
            <v>0</v>
          </cell>
          <cell r="AH144">
            <v>0</v>
          </cell>
        </row>
        <row r="145">
          <cell r="AE145" t="str">
            <v xml:space="preserve">CHO170019    </v>
          </cell>
          <cell r="AF145">
            <v>84.710000000000008</v>
          </cell>
          <cell r="AG145">
            <v>0</v>
          </cell>
          <cell r="AH145">
            <v>0</v>
          </cell>
        </row>
        <row r="146">
          <cell r="AE146" t="str">
            <v>F0000015</v>
          </cell>
          <cell r="AF146">
            <v>0</v>
          </cell>
          <cell r="AG146">
            <v>0</v>
          </cell>
          <cell r="AH146">
            <v>0</v>
          </cell>
        </row>
        <row r="147">
          <cell r="AE147" t="str">
            <v>F0000118</v>
          </cell>
          <cell r="AF147">
            <v>0</v>
          </cell>
          <cell r="AG147">
            <v>0</v>
          </cell>
          <cell r="AH147">
            <v>0</v>
          </cell>
        </row>
        <row r="148">
          <cell r="AE148" t="str">
            <v>2017004</v>
          </cell>
          <cell r="AF148">
            <v>36228.12999999999</v>
          </cell>
          <cell r="AG148">
            <v>0</v>
          </cell>
          <cell r="AH148">
            <v>0</v>
          </cell>
        </row>
        <row r="149">
          <cell r="AE149" t="str">
            <v xml:space="preserve">F00001111    </v>
          </cell>
          <cell r="AF149">
            <v>32093.700000000012</v>
          </cell>
          <cell r="AG149">
            <v>0</v>
          </cell>
          <cell r="AH149">
            <v>0</v>
          </cell>
        </row>
        <row r="150">
          <cell r="AE150" t="str">
            <v xml:space="preserve">F00001112    </v>
          </cell>
          <cell r="AF150">
            <v>16046.850000000006</v>
          </cell>
          <cell r="AG150">
            <v>0</v>
          </cell>
          <cell r="AH150">
            <v>0</v>
          </cell>
        </row>
        <row r="151">
          <cell r="AE151" t="str">
            <v xml:space="preserve">F00001113    </v>
          </cell>
          <cell r="AF151">
            <v>7227.489999999998</v>
          </cell>
          <cell r="AG151">
            <v>0</v>
          </cell>
          <cell r="AH151">
            <v>0</v>
          </cell>
        </row>
        <row r="152">
          <cell r="AE152" t="str">
            <v xml:space="preserve">F00001114    </v>
          </cell>
          <cell r="AF152">
            <v>5623.4100000000035</v>
          </cell>
          <cell r="AG152">
            <v>0</v>
          </cell>
          <cell r="AH152">
            <v>0</v>
          </cell>
        </row>
        <row r="153">
          <cell r="AE153" t="str">
            <v>F0000113</v>
          </cell>
          <cell r="AF153">
            <v>44771.25</v>
          </cell>
          <cell r="AG153">
            <v>0</v>
          </cell>
          <cell r="AH153">
            <v>0</v>
          </cell>
        </row>
        <row r="154">
          <cell r="AE154" t="str">
            <v>F0000109</v>
          </cell>
          <cell r="AF154">
            <v>0</v>
          </cell>
          <cell r="AG154">
            <v>0</v>
          </cell>
          <cell r="AH154">
            <v>0</v>
          </cell>
        </row>
        <row r="155">
          <cell r="AE155" t="str">
            <v>F0000114</v>
          </cell>
          <cell r="AF155">
            <v>0</v>
          </cell>
          <cell r="AG155">
            <v>0</v>
          </cell>
          <cell r="AH155">
            <v>0</v>
          </cell>
        </row>
        <row r="156">
          <cell r="AE156" t="str">
            <v xml:space="preserve">F00001201    </v>
          </cell>
          <cell r="AF156">
            <v>15273.500000000004</v>
          </cell>
          <cell r="AG156">
            <v>0</v>
          </cell>
          <cell r="AH156">
            <v>0</v>
          </cell>
        </row>
        <row r="157">
          <cell r="AE157" t="str">
            <v xml:space="preserve">F00001202    </v>
          </cell>
          <cell r="AF157">
            <v>137461.56999999998</v>
          </cell>
          <cell r="AG157">
            <v>0</v>
          </cell>
          <cell r="AH157">
            <v>0</v>
          </cell>
        </row>
        <row r="158">
          <cell r="AE158" t="str">
            <v>F0000104</v>
          </cell>
          <cell r="AF158">
            <v>0</v>
          </cell>
          <cell r="AG158">
            <v>0</v>
          </cell>
          <cell r="AH158">
            <v>0</v>
          </cell>
        </row>
        <row r="159">
          <cell r="AE159" t="str">
            <v>F0000107</v>
          </cell>
          <cell r="AF159">
            <v>0</v>
          </cell>
          <cell r="AG159">
            <v>0</v>
          </cell>
          <cell r="AH159">
            <v>0</v>
          </cell>
        </row>
        <row r="160">
          <cell r="AE160" t="str">
            <v>2016001</v>
          </cell>
          <cell r="AF160">
            <v>14431.019999999997</v>
          </cell>
          <cell r="AG160">
            <v>0</v>
          </cell>
          <cell r="AH160">
            <v>0</v>
          </cell>
        </row>
        <row r="161">
          <cell r="AE161" t="str">
            <v>F0000094</v>
          </cell>
          <cell r="AF161">
            <v>0</v>
          </cell>
          <cell r="AG161">
            <v>0</v>
          </cell>
          <cell r="AH161">
            <v>0</v>
          </cell>
        </row>
        <row r="162">
          <cell r="AE162" t="str">
            <v>4</v>
          </cell>
          <cell r="AF162">
            <v>0</v>
          </cell>
          <cell r="AG162">
            <v>0</v>
          </cell>
          <cell r="AH162">
            <v>0</v>
          </cell>
        </row>
        <row r="163">
          <cell r="AE163" t="str">
            <v>5</v>
          </cell>
          <cell r="AF163">
            <v>0</v>
          </cell>
          <cell r="AG163">
            <v>0</v>
          </cell>
          <cell r="AH163">
            <v>0</v>
          </cell>
        </row>
        <row r="164">
          <cell r="AE164" t="str">
            <v>Q5555555</v>
          </cell>
          <cell r="AF164">
            <v>0</v>
          </cell>
          <cell r="AG164">
            <v>0</v>
          </cell>
          <cell r="AH164">
            <v>0</v>
          </cell>
        </row>
        <row r="165">
          <cell r="AE165" t="str">
            <v>Q6666666</v>
          </cell>
          <cell r="AF165">
            <v>0</v>
          </cell>
          <cell r="AG165">
            <v>0</v>
          </cell>
          <cell r="AH165">
            <v>0</v>
          </cell>
        </row>
        <row r="166">
          <cell r="AE166" t="str">
            <v>1</v>
          </cell>
          <cell r="AF166">
            <v>0</v>
          </cell>
          <cell r="AG166">
            <v>0</v>
          </cell>
          <cell r="AH166">
            <v>0</v>
          </cell>
        </row>
        <row r="167">
          <cell r="AE167" t="str">
            <v>2</v>
          </cell>
          <cell r="AF167">
            <v>0</v>
          </cell>
          <cell r="AG167">
            <v>0</v>
          </cell>
          <cell r="AH167">
            <v>0</v>
          </cell>
        </row>
        <row r="168">
          <cell r="AE168" t="str">
            <v>3</v>
          </cell>
          <cell r="AF168">
            <v>0</v>
          </cell>
          <cell r="AG168">
            <v>0</v>
          </cell>
          <cell r="AH168">
            <v>0</v>
          </cell>
        </row>
        <row r="169">
          <cell r="AE169" t="str">
            <v>6</v>
          </cell>
          <cell r="AF169">
            <v>0</v>
          </cell>
          <cell r="AG169">
            <v>0</v>
          </cell>
          <cell r="AH169">
            <v>0</v>
          </cell>
        </row>
        <row r="170">
          <cell r="AE170" t="str">
            <v>ESAML001</v>
          </cell>
          <cell r="AF170">
            <v>395966.7799999998</v>
          </cell>
          <cell r="AG170">
            <v>0</v>
          </cell>
          <cell r="AH170">
            <v>0</v>
          </cell>
        </row>
        <row r="171">
          <cell r="AE171" t="str">
            <v>ESEST001</v>
          </cell>
          <cell r="AF171">
            <v>244178.5</v>
          </cell>
          <cell r="AG171">
            <v>0</v>
          </cell>
          <cell r="AH171">
            <v>0</v>
          </cell>
        </row>
        <row r="172">
          <cell r="AE172" t="str">
            <v>ESPLC001</v>
          </cell>
          <cell r="AF172">
            <v>182767.7799999998</v>
          </cell>
          <cell r="AG172">
            <v>0</v>
          </cell>
          <cell r="AH172">
            <v>0</v>
          </cell>
        </row>
        <row r="173">
          <cell r="AE173" t="str">
            <v>ESITC001</v>
          </cell>
          <cell r="AF173">
            <v>310298.96999999997</v>
          </cell>
          <cell r="AG173">
            <v>0</v>
          </cell>
          <cell r="AH173">
            <v>0</v>
          </cell>
        </row>
        <row r="174">
          <cell r="AE174" t="str">
            <v>ESATC001</v>
          </cell>
          <cell r="AF174">
            <v>0</v>
          </cell>
          <cell r="AG174">
            <v>0</v>
          </cell>
          <cell r="AH174">
            <v>0</v>
          </cell>
        </row>
        <row r="175">
          <cell r="AE175" t="str">
            <v>ESATP001</v>
          </cell>
          <cell r="AF175">
            <v>98715.5</v>
          </cell>
          <cell r="AG175">
            <v>0</v>
          </cell>
          <cell r="AH175">
            <v>0</v>
          </cell>
        </row>
        <row r="176">
          <cell r="AE176" t="str">
            <v>ESCLM001</v>
          </cell>
          <cell r="AF176">
            <v>254582.02000000002</v>
          </cell>
          <cell r="AG176">
            <v>0</v>
          </cell>
          <cell r="AH176">
            <v>0</v>
          </cell>
        </row>
        <row r="177">
          <cell r="AE177" t="str">
            <v>ESBPR001</v>
          </cell>
          <cell r="AF177">
            <v>0</v>
          </cell>
          <cell r="AG177">
            <v>0</v>
          </cell>
          <cell r="AH177">
            <v>0</v>
          </cell>
        </row>
        <row r="178">
          <cell r="AE178" t="str">
            <v>ESBPR002</v>
          </cell>
          <cell r="AF178">
            <v>0</v>
          </cell>
          <cell r="AG178">
            <v>0</v>
          </cell>
          <cell r="AH178">
            <v>0</v>
          </cell>
        </row>
        <row r="179">
          <cell r="AE179" t="str">
            <v>ESISP001</v>
          </cell>
          <cell r="AF179">
            <v>538494.5</v>
          </cell>
          <cell r="AG179">
            <v>0</v>
          </cell>
          <cell r="AH179">
            <v>0</v>
          </cell>
        </row>
        <row r="180">
          <cell r="AE180" t="str">
            <v>ESPOSA02</v>
          </cell>
          <cell r="AF180">
            <v>285095.88000000035</v>
          </cell>
          <cell r="AG180">
            <v>0</v>
          </cell>
          <cell r="AH180">
            <v>0</v>
          </cell>
        </row>
        <row r="181">
          <cell r="AE181" t="str">
            <v>ESCCC001</v>
          </cell>
          <cell r="AF181">
            <v>162087.10000000009</v>
          </cell>
          <cell r="AG181">
            <v>0</v>
          </cell>
          <cell r="AH181">
            <v>0</v>
          </cell>
        </row>
        <row r="182">
          <cell r="AE182" t="str">
            <v>ESCCP001</v>
          </cell>
          <cell r="AF182">
            <v>146645.54999999999</v>
          </cell>
          <cell r="AG182">
            <v>0</v>
          </cell>
          <cell r="AH182">
            <v>0</v>
          </cell>
        </row>
        <row r="183">
          <cell r="AE183" t="str">
            <v>ESITC002</v>
          </cell>
          <cell r="AF183">
            <v>668820.62999999989</v>
          </cell>
          <cell r="AG183">
            <v>0</v>
          </cell>
          <cell r="AH183">
            <v>0</v>
          </cell>
        </row>
        <row r="184">
          <cell r="AE184" t="str">
            <v>CSFP0001</v>
          </cell>
          <cell r="AF184">
            <v>278624.87</v>
          </cell>
          <cell r="AG184">
            <v>0</v>
          </cell>
          <cell r="AH184">
            <v>0</v>
          </cell>
        </row>
        <row r="185">
          <cell r="AE185" t="str">
            <v>CSBPR001</v>
          </cell>
          <cell r="AF185">
            <v>408365.33000000007</v>
          </cell>
          <cell r="AG185">
            <v>0</v>
          </cell>
          <cell r="AH185">
            <v>0</v>
          </cell>
        </row>
        <row r="186">
          <cell r="AE186" t="str">
            <v>CABPM001</v>
          </cell>
          <cell r="AF186">
            <v>254220.43000000017</v>
          </cell>
          <cell r="AG186">
            <v>0</v>
          </cell>
          <cell r="AH186">
            <v>0</v>
          </cell>
        </row>
        <row r="187">
          <cell r="AE187" t="str">
            <v xml:space="preserve">ESCLDS021    </v>
          </cell>
          <cell r="AF187">
            <v>111830.84000000008</v>
          </cell>
          <cell r="AG187">
            <v>0</v>
          </cell>
          <cell r="AH187">
            <v>0</v>
          </cell>
        </row>
        <row r="188">
          <cell r="AE188" t="str">
            <v xml:space="preserve">ESCLDS022    </v>
          </cell>
          <cell r="AF188">
            <v>111830.84000000008</v>
          </cell>
          <cell r="AG188">
            <v>0</v>
          </cell>
          <cell r="AH188">
            <v>0</v>
          </cell>
        </row>
        <row r="189">
          <cell r="AE189" t="str">
            <v>ESCMP001</v>
          </cell>
          <cell r="AF189">
            <v>371339.55</v>
          </cell>
          <cell r="AG189">
            <v>0</v>
          </cell>
          <cell r="AH189">
            <v>0</v>
          </cell>
        </row>
        <row r="190">
          <cell r="AE190" t="str">
            <v>ESTRN001</v>
          </cell>
          <cell r="AF190">
            <v>151847.91000000003</v>
          </cell>
          <cell r="AG190">
            <v>0</v>
          </cell>
          <cell r="AH190">
            <v>0</v>
          </cell>
        </row>
        <row r="191">
          <cell r="AE191" t="str">
            <v>ESCWC001</v>
          </cell>
          <cell r="AF191">
            <v>575637.52</v>
          </cell>
          <cell r="AG191">
            <v>0</v>
          </cell>
          <cell r="AH191">
            <v>0</v>
          </cell>
        </row>
        <row r="192">
          <cell r="AE192" t="str">
            <v>ESDMS001</v>
          </cell>
          <cell r="AF192">
            <v>626491.96</v>
          </cell>
          <cell r="AG192">
            <v>0</v>
          </cell>
          <cell r="AH192">
            <v>0</v>
          </cell>
        </row>
        <row r="193">
          <cell r="AE193" t="str">
            <v xml:space="preserve">ESFPOD011    </v>
          </cell>
          <cell r="AF193">
            <v>52650.060000000056</v>
          </cell>
          <cell r="AG193">
            <v>0</v>
          </cell>
          <cell r="AH193">
            <v>0</v>
          </cell>
        </row>
        <row r="194">
          <cell r="AE194" t="str">
            <v xml:space="preserve">ESFPOD012    </v>
          </cell>
          <cell r="AF194">
            <v>10783.75</v>
          </cell>
          <cell r="AG194">
            <v>0</v>
          </cell>
          <cell r="AH194">
            <v>0</v>
          </cell>
        </row>
        <row r="195">
          <cell r="AE195" t="str">
            <v>ESERV001</v>
          </cell>
          <cell r="AF195">
            <v>315268.02</v>
          </cell>
          <cell r="AG195">
            <v>0</v>
          </cell>
          <cell r="AH195">
            <v>0</v>
          </cell>
        </row>
        <row r="196">
          <cell r="AE196" t="str">
            <v>ESOSP001</v>
          </cell>
          <cell r="AF196">
            <v>1222974.05</v>
          </cell>
          <cell r="AG196">
            <v>0</v>
          </cell>
          <cell r="AH196">
            <v>0</v>
          </cell>
        </row>
        <row r="197">
          <cell r="AE197" t="str">
            <v>ESEPO001</v>
          </cell>
          <cell r="AF197">
            <v>281902.03000000003</v>
          </cell>
          <cell r="AG197">
            <v>0</v>
          </cell>
          <cell r="AH197">
            <v>0</v>
          </cell>
        </row>
        <row r="198">
          <cell r="AE198" t="str">
            <v>ESEIS001</v>
          </cell>
          <cell r="AF198">
            <v>785980</v>
          </cell>
          <cell r="AG198">
            <v>0</v>
          </cell>
          <cell r="AH198">
            <v>0</v>
          </cell>
        </row>
        <row r="199">
          <cell r="AE199" t="str">
            <v>ESB00001</v>
          </cell>
          <cell r="AF199">
            <v>372746.65</v>
          </cell>
          <cell r="AG199">
            <v>0</v>
          </cell>
          <cell r="AH199">
            <v>0</v>
          </cell>
        </row>
        <row r="200">
          <cell r="AE200" t="str">
            <v>ESHBRD01</v>
          </cell>
          <cell r="AF200">
            <v>0</v>
          </cell>
          <cell r="AG200">
            <v>0</v>
          </cell>
          <cell r="AH200">
            <v>0</v>
          </cell>
        </row>
        <row r="201">
          <cell r="AE201" t="str">
            <v>ESIGM003</v>
          </cell>
          <cell r="AF201">
            <v>0</v>
          </cell>
          <cell r="AG201">
            <v>0</v>
          </cell>
          <cell r="AH201">
            <v>0</v>
          </cell>
        </row>
        <row r="202">
          <cell r="AE202" t="str">
            <v>ESIGM002</v>
          </cell>
          <cell r="AF202">
            <v>0</v>
          </cell>
          <cell r="AG202">
            <v>0</v>
          </cell>
          <cell r="AH202">
            <v>0</v>
          </cell>
        </row>
        <row r="203">
          <cell r="AE203" t="str">
            <v>ESIGM002-1</v>
          </cell>
          <cell r="AF203">
            <v>0</v>
          </cell>
          <cell r="AG203">
            <v>0</v>
          </cell>
          <cell r="AH203">
            <v>0</v>
          </cell>
        </row>
        <row r="204">
          <cell r="AE204" t="str">
            <v>ESFPOD02</v>
          </cell>
          <cell r="AF204">
            <v>2821.1300000000047</v>
          </cell>
          <cell r="AG204">
            <v>0</v>
          </cell>
          <cell r="AH204">
            <v>0</v>
          </cell>
        </row>
        <row r="205">
          <cell r="AE205" t="str">
            <v>ESIGM001</v>
          </cell>
          <cell r="AF205">
            <v>0</v>
          </cell>
          <cell r="AG205">
            <v>0</v>
          </cell>
          <cell r="AH205">
            <v>0</v>
          </cell>
        </row>
        <row r="206">
          <cell r="AE206" t="str">
            <v>ESIGM001-1</v>
          </cell>
          <cell r="AF206">
            <v>0</v>
          </cell>
          <cell r="AG206">
            <v>0</v>
          </cell>
          <cell r="AH206">
            <v>0</v>
          </cell>
        </row>
        <row r="207">
          <cell r="AE207" t="str">
            <v>ESCIB001</v>
          </cell>
          <cell r="AF207">
            <v>1097460.25</v>
          </cell>
          <cell r="AG207">
            <v>0</v>
          </cell>
          <cell r="AH207">
            <v>0</v>
          </cell>
        </row>
        <row r="208">
          <cell r="AE208" t="str">
            <v>ESPUP001</v>
          </cell>
          <cell r="AF208">
            <v>124924.5</v>
          </cell>
          <cell r="AG208">
            <v>0</v>
          </cell>
          <cell r="AH208">
            <v>0</v>
          </cell>
        </row>
        <row r="209">
          <cell r="AE209" t="str">
            <v>ESNBIWS2</v>
          </cell>
          <cell r="AF209">
            <v>0</v>
          </cell>
          <cell r="AG209">
            <v>0</v>
          </cell>
          <cell r="AH209">
            <v>0</v>
          </cell>
        </row>
        <row r="210">
          <cell r="AE210" t="str">
            <v>ESNBIWS1</v>
          </cell>
          <cell r="AF210">
            <v>0</v>
          </cell>
          <cell r="AG210">
            <v>0</v>
          </cell>
          <cell r="AH210">
            <v>0</v>
          </cell>
        </row>
        <row r="211">
          <cell r="AE211" t="str">
            <v>ESNBR001</v>
          </cell>
          <cell r="AF211">
            <v>465754.06999999983</v>
          </cell>
          <cell r="AG211">
            <v>0</v>
          </cell>
          <cell r="AH211">
            <v>0</v>
          </cell>
        </row>
        <row r="212">
          <cell r="AE212" t="str">
            <v>ESHLG001</v>
          </cell>
          <cell r="AF212">
            <v>172622.17000000004</v>
          </cell>
          <cell r="AG212">
            <v>0</v>
          </cell>
          <cell r="AH212">
            <v>0</v>
          </cell>
        </row>
        <row r="213">
          <cell r="AE213" t="str">
            <v xml:space="preserve">ESPDC0011    </v>
          </cell>
          <cell r="AF213">
            <v>90041.050000000047</v>
          </cell>
          <cell r="AG213">
            <v>0</v>
          </cell>
          <cell r="AH213">
            <v>0</v>
          </cell>
        </row>
        <row r="214">
          <cell r="AE214" t="str">
            <v xml:space="preserve">ESPDC0012    </v>
          </cell>
          <cell r="AF214">
            <v>90041.050000000047</v>
          </cell>
          <cell r="AG214">
            <v>0</v>
          </cell>
          <cell r="AH214">
            <v>0</v>
          </cell>
        </row>
        <row r="215">
          <cell r="AE215" t="str">
            <v>ESPDK001</v>
          </cell>
          <cell r="AF215">
            <v>62044.949999999983</v>
          </cell>
          <cell r="AG215">
            <v>0</v>
          </cell>
          <cell r="AH215">
            <v>0</v>
          </cell>
        </row>
        <row r="216">
          <cell r="AE216" t="str">
            <v>ESVAT001</v>
          </cell>
          <cell r="AF216">
            <v>643920.17999999993</v>
          </cell>
          <cell r="AG216">
            <v>0</v>
          </cell>
          <cell r="AH216">
            <v>0</v>
          </cell>
        </row>
        <row r="217">
          <cell r="AE217" t="str">
            <v>ESFIN001</v>
          </cell>
          <cell r="AF217">
            <v>123671.05</v>
          </cell>
          <cell r="AG217">
            <v>0</v>
          </cell>
          <cell r="AH217">
            <v>0</v>
          </cell>
        </row>
        <row r="218">
          <cell r="AE218" t="str">
            <v>ESZBX001</v>
          </cell>
          <cell r="AF218">
            <v>162236.65000000002</v>
          </cell>
          <cell r="AG218">
            <v>0</v>
          </cell>
          <cell r="AH218">
            <v>0</v>
          </cell>
        </row>
        <row r="219">
          <cell r="AE219" t="str">
            <v>8C000001</v>
          </cell>
          <cell r="AF219">
            <v>363425.94999999995</v>
          </cell>
          <cell r="AG219">
            <v>0</v>
          </cell>
          <cell r="AH219">
            <v>0</v>
          </cell>
        </row>
        <row r="220">
          <cell r="AE220" t="str">
            <v>E2000184</v>
          </cell>
          <cell r="AF220">
            <v>0</v>
          </cell>
          <cell r="AG220">
            <v>0</v>
          </cell>
          <cell r="AH220">
            <v>0</v>
          </cell>
        </row>
        <row r="221">
          <cell r="AE221" t="str">
            <v>ES000003</v>
          </cell>
          <cell r="AF221">
            <v>0</v>
          </cell>
          <cell r="AG221">
            <v>165</v>
          </cell>
          <cell r="AH221">
            <v>165</v>
          </cell>
        </row>
        <row r="222">
          <cell r="AE222" t="str">
            <v>ESACT001</v>
          </cell>
          <cell r="AF222">
            <v>427167.54999999993</v>
          </cell>
          <cell r="AG222">
            <v>0</v>
          </cell>
          <cell r="AH222">
            <v>0</v>
          </cell>
        </row>
        <row r="223">
          <cell r="AE223" t="str">
            <v>E2000297</v>
          </cell>
          <cell r="AF223">
            <v>0</v>
          </cell>
          <cell r="AG223">
            <v>0</v>
          </cell>
          <cell r="AH223">
            <v>0</v>
          </cell>
        </row>
        <row r="224">
          <cell r="AE224" t="str">
            <v>E0008118</v>
          </cell>
          <cell r="AF224">
            <v>0</v>
          </cell>
          <cell r="AG224">
            <v>0</v>
          </cell>
          <cell r="AH224">
            <v>0</v>
          </cell>
        </row>
        <row r="225">
          <cell r="AE225" t="str">
            <v>ES000302</v>
          </cell>
          <cell r="AF225">
            <v>0</v>
          </cell>
          <cell r="AG225">
            <v>0</v>
          </cell>
          <cell r="AH225">
            <v>0</v>
          </cell>
        </row>
        <row r="226">
          <cell r="AE226" t="str">
            <v>ESDAT001</v>
          </cell>
          <cell r="AF226">
            <v>219949.75</v>
          </cell>
          <cell r="AG226">
            <v>0</v>
          </cell>
          <cell r="AH226">
            <v>0</v>
          </cell>
        </row>
        <row r="227">
          <cell r="AE227" t="str">
            <v>ESS00055</v>
          </cell>
          <cell r="AF227">
            <v>0</v>
          </cell>
          <cell r="AG227">
            <v>0</v>
          </cell>
          <cell r="AH227">
            <v>0</v>
          </cell>
        </row>
        <row r="228">
          <cell r="AE228" t="str">
            <v>CBYBT001</v>
          </cell>
          <cell r="AF228">
            <v>89396.049999999988</v>
          </cell>
          <cell r="AG228">
            <v>0</v>
          </cell>
          <cell r="AH228">
            <v>0</v>
          </cell>
        </row>
        <row r="229">
          <cell r="AE229" t="str">
            <v>ESCEB001</v>
          </cell>
          <cell r="AF229">
            <v>168142.15000000002</v>
          </cell>
          <cell r="AG229">
            <v>0</v>
          </cell>
          <cell r="AH229">
            <v>0</v>
          </cell>
        </row>
        <row r="230">
          <cell r="AE230" t="str">
            <v>ES000118</v>
          </cell>
          <cell r="AF230">
            <v>0</v>
          </cell>
          <cell r="AG230">
            <v>0</v>
          </cell>
          <cell r="AH230">
            <v>0</v>
          </cell>
        </row>
        <row r="231">
          <cell r="AE231" t="str">
            <v>ESCTU001</v>
          </cell>
          <cell r="AF231">
            <v>252147.94999999995</v>
          </cell>
          <cell r="AG231">
            <v>0</v>
          </cell>
          <cell r="AH231">
            <v>0</v>
          </cell>
        </row>
        <row r="232">
          <cell r="AE232" t="str">
            <v>ESCTP001</v>
          </cell>
          <cell r="AF232">
            <v>81388.350000000035</v>
          </cell>
          <cell r="AG232">
            <v>0</v>
          </cell>
          <cell r="AH232">
            <v>0</v>
          </cell>
        </row>
        <row r="233">
          <cell r="AE233" t="str">
            <v>E2000320</v>
          </cell>
          <cell r="AF233">
            <v>0</v>
          </cell>
          <cell r="AG233">
            <v>0</v>
          </cell>
          <cell r="AH233">
            <v>0</v>
          </cell>
        </row>
        <row r="234">
          <cell r="AE234" t="str">
            <v>ESS00097</v>
          </cell>
          <cell r="AF234">
            <v>0</v>
          </cell>
          <cell r="AG234">
            <v>0</v>
          </cell>
          <cell r="AH234">
            <v>0</v>
          </cell>
        </row>
        <row r="235">
          <cell r="AE235" t="str">
            <v>ESS00020</v>
          </cell>
          <cell r="AF235">
            <v>0</v>
          </cell>
          <cell r="AG235">
            <v>0</v>
          </cell>
          <cell r="AH235">
            <v>0</v>
          </cell>
        </row>
        <row r="236">
          <cell r="AE236" t="str">
            <v>EX000003</v>
          </cell>
          <cell r="AF236">
            <v>0</v>
          </cell>
          <cell r="AG236">
            <v>0</v>
          </cell>
          <cell r="AH236">
            <v>0</v>
          </cell>
        </row>
        <row r="237">
          <cell r="AE237" t="str">
            <v>EX000004</v>
          </cell>
          <cell r="AF237">
            <v>0</v>
          </cell>
          <cell r="AG237">
            <v>0</v>
          </cell>
          <cell r="AH237">
            <v>0</v>
          </cell>
        </row>
        <row r="238">
          <cell r="AE238" t="str">
            <v>EFLOW001</v>
          </cell>
          <cell r="AF238">
            <v>193285.35000000009</v>
          </cell>
          <cell r="AG238">
            <v>0</v>
          </cell>
          <cell r="AH238">
            <v>0</v>
          </cell>
        </row>
        <row r="239">
          <cell r="AE239" t="str">
            <v>ESNCA001</v>
          </cell>
          <cell r="AF239">
            <v>247388.45000000007</v>
          </cell>
          <cell r="AG239">
            <v>0</v>
          </cell>
          <cell r="AH239">
            <v>0</v>
          </cell>
        </row>
        <row r="240">
          <cell r="AE240" t="str">
            <v xml:space="preserve">ESFCP0011    </v>
          </cell>
          <cell r="AF240">
            <v>57694</v>
          </cell>
          <cell r="AG240">
            <v>0</v>
          </cell>
          <cell r="AH240">
            <v>0</v>
          </cell>
        </row>
        <row r="241">
          <cell r="AE241" t="str">
            <v xml:space="preserve">ESFCP0012    </v>
          </cell>
          <cell r="AF241">
            <v>102567.10000000003</v>
          </cell>
          <cell r="AG241">
            <v>0</v>
          </cell>
          <cell r="AH241">
            <v>0</v>
          </cell>
        </row>
        <row r="242">
          <cell r="AE242" t="str">
            <v>ESGSF001</v>
          </cell>
          <cell r="AF242">
            <v>208285.52999999991</v>
          </cell>
          <cell r="AG242">
            <v>0</v>
          </cell>
          <cell r="AH242">
            <v>0</v>
          </cell>
        </row>
        <row r="243">
          <cell r="AE243" t="str">
            <v>E2000149</v>
          </cell>
          <cell r="AF243">
            <v>0</v>
          </cell>
          <cell r="AG243">
            <v>125.91</v>
          </cell>
          <cell r="AH243">
            <v>125.91</v>
          </cell>
        </row>
        <row r="244">
          <cell r="AE244" t="str">
            <v>ESS00103</v>
          </cell>
          <cell r="AF244">
            <v>0</v>
          </cell>
          <cell r="AG244">
            <v>0</v>
          </cell>
          <cell r="AH244">
            <v>0</v>
          </cell>
        </row>
        <row r="245">
          <cell r="AE245" t="str">
            <v>ESIMO001</v>
          </cell>
          <cell r="AF245">
            <v>289665.80000000005</v>
          </cell>
          <cell r="AG245">
            <v>0</v>
          </cell>
          <cell r="AH245">
            <v>0</v>
          </cell>
        </row>
        <row r="246">
          <cell r="AE246" t="str">
            <v>ES000112</v>
          </cell>
          <cell r="AF246">
            <v>0</v>
          </cell>
          <cell r="AG246">
            <v>0</v>
          </cell>
          <cell r="AH246">
            <v>0</v>
          </cell>
        </row>
        <row r="247">
          <cell r="AE247" t="str">
            <v>E2000137</v>
          </cell>
          <cell r="AF247">
            <v>0</v>
          </cell>
          <cell r="AG247">
            <v>375</v>
          </cell>
          <cell r="AH247">
            <v>375</v>
          </cell>
        </row>
        <row r="248">
          <cell r="AE248" t="str">
            <v>E2000019</v>
          </cell>
          <cell r="AF248">
            <v>0</v>
          </cell>
          <cell r="AG248">
            <v>11079.3</v>
          </cell>
          <cell r="AH248">
            <v>11079.3</v>
          </cell>
        </row>
        <row r="249">
          <cell r="AE249" t="str">
            <v>ESS00050</v>
          </cell>
          <cell r="AF249">
            <v>0</v>
          </cell>
          <cell r="AG249">
            <v>0</v>
          </cell>
          <cell r="AH249">
            <v>0</v>
          </cell>
        </row>
        <row r="250">
          <cell r="AE250" t="str">
            <v>ESS00098</v>
          </cell>
          <cell r="AF250">
            <v>0</v>
          </cell>
          <cell r="AG250">
            <v>0</v>
          </cell>
          <cell r="AH250">
            <v>0</v>
          </cell>
        </row>
        <row r="251">
          <cell r="AE251" t="str">
            <v>E2000181</v>
          </cell>
          <cell r="AF251">
            <v>0</v>
          </cell>
          <cell r="AG251">
            <v>0</v>
          </cell>
          <cell r="AH251">
            <v>0</v>
          </cell>
        </row>
        <row r="252">
          <cell r="AE252" t="str">
            <v>ES000120</v>
          </cell>
          <cell r="AF252">
            <v>0</v>
          </cell>
          <cell r="AG252">
            <v>0</v>
          </cell>
          <cell r="AH252">
            <v>0</v>
          </cell>
        </row>
        <row r="253">
          <cell r="AE253" t="str">
            <v>ES000121</v>
          </cell>
          <cell r="AF253">
            <v>0</v>
          </cell>
          <cell r="AG253">
            <v>0</v>
          </cell>
          <cell r="AH253">
            <v>0</v>
          </cell>
        </row>
        <row r="254">
          <cell r="AE254" t="str">
            <v>ES000122</v>
          </cell>
          <cell r="AF254">
            <v>0</v>
          </cell>
          <cell r="AG254">
            <v>0</v>
          </cell>
          <cell r="AH254">
            <v>0</v>
          </cell>
        </row>
        <row r="255">
          <cell r="AE255" t="str">
            <v>ES000123</v>
          </cell>
          <cell r="AF255">
            <v>0</v>
          </cell>
          <cell r="AG255">
            <v>0</v>
          </cell>
          <cell r="AH255">
            <v>0</v>
          </cell>
        </row>
        <row r="256">
          <cell r="AE256" t="str">
            <v>ES000125</v>
          </cell>
          <cell r="AF256">
            <v>0</v>
          </cell>
          <cell r="AG256">
            <v>0</v>
          </cell>
          <cell r="AH256">
            <v>0</v>
          </cell>
        </row>
        <row r="257">
          <cell r="AE257" t="str">
            <v>ES000126</v>
          </cell>
          <cell r="AF257">
            <v>0</v>
          </cell>
          <cell r="AG257">
            <v>0</v>
          </cell>
          <cell r="AH257">
            <v>0</v>
          </cell>
        </row>
        <row r="258">
          <cell r="AE258" t="str">
            <v>ES000127</v>
          </cell>
          <cell r="AF258">
            <v>0</v>
          </cell>
          <cell r="AG258">
            <v>0</v>
          </cell>
          <cell r="AH258">
            <v>0</v>
          </cell>
        </row>
        <row r="259">
          <cell r="AE259" t="str">
            <v>ES002007</v>
          </cell>
          <cell r="AF259">
            <v>0</v>
          </cell>
          <cell r="AG259">
            <v>0</v>
          </cell>
          <cell r="AH259">
            <v>0</v>
          </cell>
        </row>
        <row r="260">
          <cell r="AE260" t="str">
            <v>ES002021</v>
          </cell>
          <cell r="AF260">
            <v>0</v>
          </cell>
          <cell r="AG260">
            <v>0</v>
          </cell>
          <cell r="AH260">
            <v>0</v>
          </cell>
        </row>
        <row r="261">
          <cell r="AE261" t="str">
            <v>ESMPC001</v>
          </cell>
          <cell r="AF261">
            <v>218436.68</v>
          </cell>
          <cell r="AG261">
            <v>0</v>
          </cell>
          <cell r="AH261">
            <v>0</v>
          </cell>
        </row>
        <row r="262">
          <cell r="AE262" t="str">
            <v>ESGDA001</v>
          </cell>
          <cell r="AF262">
            <v>187382.2699999999</v>
          </cell>
          <cell r="AG262">
            <v>0</v>
          </cell>
          <cell r="AH262">
            <v>0</v>
          </cell>
        </row>
        <row r="263">
          <cell r="AE263" t="str">
            <v>ES000119</v>
          </cell>
          <cell r="AF263">
            <v>0</v>
          </cell>
          <cell r="AG263">
            <v>0</v>
          </cell>
          <cell r="AH263">
            <v>0</v>
          </cell>
        </row>
        <row r="264">
          <cell r="AE264" t="str">
            <v>ESS00048</v>
          </cell>
          <cell r="AF264">
            <v>0</v>
          </cell>
          <cell r="AG264">
            <v>0</v>
          </cell>
          <cell r="AH264">
            <v>0</v>
          </cell>
        </row>
        <row r="265">
          <cell r="AE265" t="str">
            <v>E2000109</v>
          </cell>
          <cell r="AF265">
            <v>0</v>
          </cell>
          <cell r="AG265">
            <v>1570</v>
          </cell>
          <cell r="AH265">
            <v>1570</v>
          </cell>
        </row>
        <row r="266">
          <cell r="AE266" t="str">
            <v>E2000298</v>
          </cell>
          <cell r="AF266">
            <v>0</v>
          </cell>
          <cell r="AG266">
            <v>0</v>
          </cell>
          <cell r="AH266">
            <v>0</v>
          </cell>
        </row>
        <row r="267">
          <cell r="AE267" t="str">
            <v>E2000156</v>
          </cell>
          <cell r="AF267">
            <v>0</v>
          </cell>
          <cell r="AG267">
            <v>2362.5</v>
          </cell>
          <cell r="AH267">
            <v>2362.5</v>
          </cell>
        </row>
        <row r="268">
          <cell r="AE268" t="str">
            <v>ESPSE001</v>
          </cell>
          <cell r="AF268">
            <v>101753.34999999999</v>
          </cell>
          <cell r="AG268">
            <v>0</v>
          </cell>
          <cell r="AH268">
            <v>0</v>
          </cell>
        </row>
        <row r="269">
          <cell r="AE269" t="str">
            <v>ES000142</v>
          </cell>
          <cell r="AF269">
            <v>0</v>
          </cell>
          <cell r="AG269">
            <v>0</v>
          </cell>
          <cell r="AH269">
            <v>0</v>
          </cell>
        </row>
        <row r="270">
          <cell r="AE270" t="str">
            <v>ESRCT001</v>
          </cell>
          <cell r="AF270">
            <v>151841.43999999994</v>
          </cell>
          <cell r="AG270">
            <v>0</v>
          </cell>
          <cell r="AH270">
            <v>0</v>
          </cell>
        </row>
        <row r="271">
          <cell r="AE271" t="str">
            <v>ES000114</v>
          </cell>
          <cell r="AF271">
            <v>0</v>
          </cell>
          <cell r="AG271">
            <v>0</v>
          </cell>
          <cell r="AH271">
            <v>0</v>
          </cell>
        </row>
        <row r="272">
          <cell r="AE272" t="str">
            <v>ES000138</v>
          </cell>
          <cell r="AF272">
            <v>0</v>
          </cell>
          <cell r="AG272">
            <v>0</v>
          </cell>
          <cell r="AH272">
            <v>0</v>
          </cell>
        </row>
        <row r="273">
          <cell r="AE273" t="str">
            <v>ES000116</v>
          </cell>
          <cell r="AF273">
            <v>0</v>
          </cell>
          <cell r="AG273">
            <v>0</v>
          </cell>
          <cell r="AH273">
            <v>0</v>
          </cell>
        </row>
        <row r="274">
          <cell r="AE274" t="str">
            <v>ES000117</v>
          </cell>
          <cell r="AF274">
            <v>0</v>
          </cell>
          <cell r="AG274">
            <v>0</v>
          </cell>
          <cell r="AH274">
            <v>0</v>
          </cell>
        </row>
        <row r="275">
          <cell r="AE275" t="str">
            <v>ES000128</v>
          </cell>
          <cell r="AF275">
            <v>0</v>
          </cell>
          <cell r="AG275">
            <v>0</v>
          </cell>
          <cell r="AH275">
            <v>0</v>
          </cell>
        </row>
        <row r="276">
          <cell r="AE276" t="str">
            <v>ES000115</v>
          </cell>
          <cell r="AF276">
            <v>0</v>
          </cell>
          <cell r="AG276">
            <v>0</v>
          </cell>
          <cell r="AH276">
            <v>0</v>
          </cell>
        </row>
        <row r="277">
          <cell r="AE277" t="str">
            <v>ESS00047</v>
          </cell>
          <cell r="AF277">
            <v>0</v>
          </cell>
          <cell r="AG277">
            <v>0</v>
          </cell>
          <cell r="AH277">
            <v>0</v>
          </cell>
        </row>
        <row r="278">
          <cell r="AE278" t="str">
            <v>ESS00066</v>
          </cell>
          <cell r="AF278">
            <v>0</v>
          </cell>
          <cell r="AG278">
            <v>0</v>
          </cell>
          <cell r="AH278">
            <v>0</v>
          </cell>
        </row>
        <row r="279">
          <cell r="AE279" t="str">
            <v>ESS00095</v>
          </cell>
          <cell r="AF279">
            <v>0</v>
          </cell>
          <cell r="AG279">
            <v>0</v>
          </cell>
          <cell r="AH279">
            <v>0</v>
          </cell>
        </row>
        <row r="280">
          <cell r="AE280" t="str">
            <v>ESS00096</v>
          </cell>
          <cell r="AF280">
            <v>0</v>
          </cell>
          <cell r="AG280">
            <v>0</v>
          </cell>
          <cell r="AH280">
            <v>0</v>
          </cell>
        </row>
        <row r="281">
          <cell r="AE281" t="str">
            <v>ES000135</v>
          </cell>
          <cell r="AF281">
            <v>0</v>
          </cell>
          <cell r="AG281">
            <v>0</v>
          </cell>
          <cell r="AH281">
            <v>0</v>
          </cell>
        </row>
        <row r="282">
          <cell r="AE282" t="str">
            <v>ES000131</v>
          </cell>
          <cell r="AF282">
            <v>0</v>
          </cell>
          <cell r="AG282">
            <v>0</v>
          </cell>
          <cell r="AH282">
            <v>0</v>
          </cell>
        </row>
        <row r="283">
          <cell r="AE283" t="str">
            <v>ES000132</v>
          </cell>
          <cell r="AF283">
            <v>0</v>
          </cell>
          <cell r="AG283">
            <v>0</v>
          </cell>
          <cell r="AH283">
            <v>0</v>
          </cell>
        </row>
        <row r="284">
          <cell r="AE284" t="str">
            <v>ES000137</v>
          </cell>
          <cell r="AF284">
            <v>0</v>
          </cell>
          <cell r="AG284">
            <v>0</v>
          </cell>
          <cell r="AH284">
            <v>0</v>
          </cell>
        </row>
        <row r="285">
          <cell r="AE285" t="str">
            <v>ES000134</v>
          </cell>
          <cell r="AF285">
            <v>0</v>
          </cell>
          <cell r="AG285">
            <v>0</v>
          </cell>
          <cell r="AH285">
            <v>0</v>
          </cell>
        </row>
        <row r="286">
          <cell r="AE286" t="str">
            <v>ESS00094</v>
          </cell>
          <cell r="AF286">
            <v>0</v>
          </cell>
          <cell r="AG286">
            <v>0</v>
          </cell>
          <cell r="AH286">
            <v>0</v>
          </cell>
        </row>
        <row r="287">
          <cell r="AE287" t="str">
            <v>E2000168</v>
          </cell>
          <cell r="AF287">
            <v>0</v>
          </cell>
          <cell r="AG287">
            <v>0</v>
          </cell>
          <cell r="AH287">
            <v>0</v>
          </cell>
        </row>
        <row r="288">
          <cell r="AE288" t="str">
            <v>ES000133</v>
          </cell>
          <cell r="AF288">
            <v>0</v>
          </cell>
          <cell r="AG288">
            <v>0</v>
          </cell>
          <cell r="AH288">
            <v>0</v>
          </cell>
        </row>
        <row r="289">
          <cell r="AE289" t="str">
            <v>ES000130</v>
          </cell>
          <cell r="AF289">
            <v>0</v>
          </cell>
          <cell r="AG289">
            <v>0</v>
          </cell>
          <cell r="AH289">
            <v>0</v>
          </cell>
        </row>
        <row r="290">
          <cell r="AE290" t="str">
            <v>ES000129</v>
          </cell>
          <cell r="AF290">
            <v>0</v>
          </cell>
          <cell r="AG290">
            <v>0</v>
          </cell>
          <cell r="AH290">
            <v>0</v>
          </cell>
        </row>
        <row r="291">
          <cell r="AE291" t="str">
            <v>ES000141</v>
          </cell>
          <cell r="AF291">
            <v>0</v>
          </cell>
          <cell r="AG291">
            <v>0</v>
          </cell>
          <cell r="AH291">
            <v>0</v>
          </cell>
        </row>
        <row r="292">
          <cell r="AE292" t="str">
            <v>ESS00051</v>
          </cell>
          <cell r="AF292">
            <v>0</v>
          </cell>
          <cell r="AG292">
            <v>0</v>
          </cell>
          <cell r="AH292">
            <v>0</v>
          </cell>
        </row>
        <row r="293">
          <cell r="AE293" t="str">
            <v>ESS00052</v>
          </cell>
          <cell r="AF293">
            <v>0</v>
          </cell>
          <cell r="AG293">
            <v>0</v>
          </cell>
          <cell r="AH293">
            <v>0</v>
          </cell>
        </row>
        <row r="294">
          <cell r="AE294" t="str">
            <v>ESS00057</v>
          </cell>
          <cell r="AF294">
            <v>0</v>
          </cell>
          <cell r="AG294">
            <v>0</v>
          </cell>
          <cell r="AH294">
            <v>0</v>
          </cell>
        </row>
        <row r="295">
          <cell r="AE295" t="str">
            <v>ESS00058</v>
          </cell>
          <cell r="AF295">
            <v>0</v>
          </cell>
          <cell r="AG295">
            <v>0</v>
          </cell>
          <cell r="AH295">
            <v>0</v>
          </cell>
        </row>
        <row r="296">
          <cell r="AE296" t="str">
            <v>E2000150</v>
          </cell>
          <cell r="AF296">
            <v>0</v>
          </cell>
          <cell r="AG296">
            <v>219.38</v>
          </cell>
          <cell r="AH296">
            <v>219.38</v>
          </cell>
        </row>
        <row r="297">
          <cell r="AE297" t="str">
            <v>ES000136</v>
          </cell>
          <cell r="AF297">
            <v>0</v>
          </cell>
          <cell r="AG297">
            <v>0</v>
          </cell>
          <cell r="AH297">
            <v>0</v>
          </cell>
        </row>
        <row r="298">
          <cell r="AE298" t="str">
            <v>ES100001</v>
          </cell>
          <cell r="AF298">
            <v>0</v>
          </cell>
          <cell r="AG298">
            <v>1000</v>
          </cell>
          <cell r="AH298">
            <v>1000</v>
          </cell>
        </row>
        <row r="299">
          <cell r="AE299" t="str">
            <v>ESHWC001</v>
          </cell>
          <cell r="AF299">
            <v>114687.14999999997</v>
          </cell>
          <cell r="AG299">
            <v>0</v>
          </cell>
          <cell r="AH299">
            <v>0</v>
          </cell>
        </row>
        <row r="300">
          <cell r="AE300" t="str">
            <v>ESS00059</v>
          </cell>
          <cell r="AF300">
            <v>0</v>
          </cell>
          <cell r="AG300">
            <v>0</v>
          </cell>
          <cell r="AH300">
            <v>0</v>
          </cell>
        </row>
        <row r="301">
          <cell r="AE301" t="str">
            <v>ESS00060</v>
          </cell>
          <cell r="AF301">
            <v>0</v>
          </cell>
          <cell r="AG301">
            <v>0</v>
          </cell>
          <cell r="AH301">
            <v>0</v>
          </cell>
        </row>
        <row r="302">
          <cell r="AE302" t="str">
            <v>ESS00061</v>
          </cell>
          <cell r="AF302">
            <v>0</v>
          </cell>
          <cell r="AG302">
            <v>0</v>
          </cell>
          <cell r="AH302">
            <v>0</v>
          </cell>
        </row>
        <row r="303">
          <cell r="AE303" t="str">
            <v>ESS00062</v>
          </cell>
          <cell r="AF303">
            <v>0</v>
          </cell>
          <cell r="AG303">
            <v>0</v>
          </cell>
          <cell r="AH303">
            <v>0</v>
          </cell>
        </row>
        <row r="304">
          <cell r="AE304" t="str">
            <v>ESS00063</v>
          </cell>
          <cell r="AF304">
            <v>0</v>
          </cell>
          <cell r="AG304">
            <v>0</v>
          </cell>
          <cell r="AH304">
            <v>0</v>
          </cell>
        </row>
        <row r="305">
          <cell r="AE305" t="str">
            <v>ESS00064</v>
          </cell>
          <cell r="AF305">
            <v>0</v>
          </cell>
          <cell r="AG305">
            <v>0</v>
          </cell>
          <cell r="AH305">
            <v>0</v>
          </cell>
        </row>
        <row r="306">
          <cell r="AE306" t="str">
            <v>ESS00065</v>
          </cell>
          <cell r="AF306">
            <v>0</v>
          </cell>
          <cell r="AG306">
            <v>0</v>
          </cell>
          <cell r="AH306">
            <v>0</v>
          </cell>
        </row>
        <row r="307">
          <cell r="AE307" t="str">
            <v>E0010006</v>
          </cell>
          <cell r="AF307">
            <v>0</v>
          </cell>
          <cell r="AG307">
            <v>120</v>
          </cell>
          <cell r="AH307">
            <v>120</v>
          </cell>
        </row>
        <row r="308">
          <cell r="AE308" t="str">
            <v>ES000001</v>
          </cell>
          <cell r="AF308">
            <v>0</v>
          </cell>
          <cell r="AG308">
            <v>465</v>
          </cell>
          <cell r="AH308">
            <v>465</v>
          </cell>
        </row>
        <row r="309">
          <cell r="AE309" t="str">
            <v>ES000140</v>
          </cell>
          <cell r="AF309">
            <v>0</v>
          </cell>
          <cell r="AG309">
            <v>0</v>
          </cell>
          <cell r="AH309">
            <v>0</v>
          </cell>
        </row>
        <row r="310">
          <cell r="AE310" t="str">
            <v>ESS00056</v>
          </cell>
          <cell r="AF310">
            <v>0</v>
          </cell>
          <cell r="AG310">
            <v>0</v>
          </cell>
          <cell r="AH310">
            <v>0</v>
          </cell>
        </row>
        <row r="311">
          <cell r="AE311" t="str">
            <v>ESESI001</v>
          </cell>
          <cell r="AF311">
            <v>424843.85000000009</v>
          </cell>
          <cell r="AG311">
            <v>0</v>
          </cell>
          <cell r="AH311">
            <v>0</v>
          </cell>
        </row>
        <row r="312">
          <cell r="AE312" t="str">
            <v>ES000147</v>
          </cell>
          <cell r="AF312">
            <v>0</v>
          </cell>
          <cell r="AG312">
            <v>0</v>
          </cell>
          <cell r="AH312">
            <v>0</v>
          </cell>
        </row>
        <row r="313">
          <cell r="AE313" t="str">
            <v>ES000139</v>
          </cell>
          <cell r="AF313">
            <v>0</v>
          </cell>
          <cell r="AG313">
            <v>0</v>
          </cell>
          <cell r="AH313">
            <v>0</v>
          </cell>
        </row>
        <row r="314">
          <cell r="AE314" t="str">
            <v>ESS00099</v>
          </cell>
          <cell r="AF314">
            <v>0</v>
          </cell>
          <cell r="AG314">
            <v>0</v>
          </cell>
          <cell r="AH314">
            <v>0</v>
          </cell>
        </row>
        <row r="315">
          <cell r="AE315" t="str">
            <v>ESS00087</v>
          </cell>
          <cell r="AF315">
            <v>0</v>
          </cell>
          <cell r="AG315">
            <v>0</v>
          </cell>
          <cell r="AH315">
            <v>0</v>
          </cell>
        </row>
        <row r="316">
          <cell r="AE316" t="str">
            <v>ESS00088</v>
          </cell>
          <cell r="AF316">
            <v>0</v>
          </cell>
          <cell r="AG316">
            <v>0</v>
          </cell>
          <cell r="AH316">
            <v>0</v>
          </cell>
        </row>
        <row r="317">
          <cell r="AE317" t="str">
            <v>ESS00089</v>
          </cell>
          <cell r="AF317">
            <v>0</v>
          </cell>
          <cell r="AG317">
            <v>0</v>
          </cell>
          <cell r="AH317">
            <v>0</v>
          </cell>
        </row>
        <row r="318">
          <cell r="AE318" t="str">
            <v>ESS00090</v>
          </cell>
          <cell r="AF318">
            <v>0</v>
          </cell>
          <cell r="AG318">
            <v>0</v>
          </cell>
          <cell r="AH318">
            <v>0</v>
          </cell>
        </row>
        <row r="319">
          <cell r="AE319" t="str">
            <v>IT000147</v>
          </cell>
          <cell r="AF319">
            <v>1227.9000000000005</v>
          </cell>
          <cell r="AG319">
            <v>0</v>
          </cell>
          <cell r="AH319">
            <v>0</v>
          </cell>
        </row>
        <row r="320">
          <cell r="AE320" t="str">
            <v>IT000184</v>
          </cell>
          <cell r="AF320">
            <v>26443.32</v>
          </cell>
          <cell r="AG320">
            <v>0</v>
          </cell>
          <cell r="AH320">
            <v>0</v>
          </cell>
        </row>
        <row r="321">
          <cell r="AE321" t="str">
            <v>IT000030</v>
          </cell>
          <cell r="AF321">
            <v>0</v>
          </cell>
          <cell r="AG321">
            <v>0</v>
          </cell>
          <cell r="AH321">
            <v>0</v>
          </cell>
        </row>
        <row r="322">
          <cell r="AE322" t="str">
            <v>IT000122</v>
          </cell>
          <cell r="AF322">
            <v>0</v>
          </cell>
          <cell r="AG322">
            <v>0</v>
          </cell>
          <cell r="AH322">
            <v>0</v>
          </cell>
        </row>
        <row r="323">
          <cell r="AE323" t="str">
            <v>IT000144</v>
          </cell>
          <cell r="AF323">
            <v>708.31999999999971</v>
          </cell>
          <cell r="AG323">
            <v>0</v>
          </cell>
          <cell r="AH323">
            <v>0</v>
          </cell>
        </row>
        <row r="324">
          <cell r="AE324" t="str">
            <v>IT000118</v>
          </cell>
          <cell r="AF324">
            <v>0</v>
          </cell>
          <cell r="AG324">
            <v>0</v>
          </cell>
          <cell r="AH324">
            <v>0</v>
          </cell>
        </row>
        <row r="325">
          <cell r="AE325" t="str">
            <v>IT000117</v>
          </cell>
          <cell r="AF325">
            <v>0</v>
          </cell>
          <cell r="AG325">
            <v>0</v>
          </cell>
          <cell r="AH325">
            <v>0</v>
          </cell>
        </row>
        <row r="326">
          <cell r="AE326" t="str">
            <v>IT000173</v>
          </cell>
          <cell r="AF326">
            <v>51826.420000000006</v>
          </cell>
          <cell r="AG326">
            <v>0</v>
          </cell>
          <cell r="AH326">
            <v>0</v>
          </cell>
        </row>
        <row r="327">
          <cell r="AE327" t="str">
            <v>IT000029</v>
          </cell>
          <cell r="AF327">
            <v>0</v>
          </cell>
          <cell r="AG327">
            <v>0</v>
          </cell>
          <cell r="AH327">
            <v>0</v>
          </cell>
        </row>
        <row r="328">
          <cell r="AE328" t="str">
            <v>IT000028</v>
          </cell>
          <cell r="AF328">
            <v>0</v>
          </cell>
          <cell r="AG328">
            <v>0</v>
          </cell>
          <cell r="AH328">
            <v>0</v>
          </cell>
        </row>
        <row r="329">
          <cell r="AE329" t="str">
            <v>IT000154</v>
          </cell>
          <cell r="AF329">
            <v>27631.820000000007</v>
          </cell>
          <cell r="AG329">
            <v>0</v>
          </cell>
          <cell r="AH329">
            <v>0</v>
          </cell>
        </row>
        <row r="330">
          <cell r="AE330" t="str">
            <v xml:space="preserve">IT0001531    </v>
          </cell>
          <cell r="AF330">
            <v>2688.5599999999995</v>
          </cell>
          <cell r="AG330">
            <v>0</v>
          </cell>
          <cell r="AH330">
            <v>0</v>
          </cell>
        </row>
        <row r="331">
          <cell r="AE331" t="str">
            <v xml:space="preserve">IT0001532    </v>
          </cell>
          <cell r="AF331">
            <v>1447.6899999999996</v>
          </cell>
          <cell r="AG331">
            <v>0</v>
          </cell>
          <cell r="AH331">
            <v>0</v>
          </cell>
        </row>
        <row r="332">
          <cell r="AE332" t="str">
            <v>IT000165</v>
          </cell>
          <cell r="AF332">
            <v>427.78</v>
          </cell>
          <cell r="AG332">
            <v>0</v>
          </cell>
          <cell r="AH332">
            <v>0</v>
          </cell>
        </row>
        <row r="333">
          <cell r="AE333" t="str">
            <v>IT000015</v>
          </cell>
          <cell r="AF333">
            <v>0</v>
          </cell>
          <cell r="AG333">
            <v>0</v>
          </cell>
          <cell r="AH333">
            <v>0</v>
          </cell>
        </row>
        <row r="334">
          <cell r="AE334" t="str">
            <v>IT000116</v>
          </cell>
          <cell r="AF334">
            <v>0</v>
          </cell>
          <cell r="AG334">
            <v>0</v>
          </cell>
          <cell r="AH334">
            <v>0</v>
          </cell>
        </row>
        <row r="335">
          <cell r="AE335" t="str">
            <v>IT000031</v>
          </cell>
          <cell r="AF335">
            <v>0</v>
          </cell>
          <cell r="AG335">
            <v>0</v>
          </cell>
          <cell r="AH335">
            <v>0</v>
          </cell>
        </row>
        <row r="336">
          <cell r="AE336" t="str">
            <v>IT000134</v>
          </cell>
          <cell r="AF336">
            <v>12833.329999999987</v>
          </cell>
          <cell r="AG336">
            <v>0</v>
          </cell>
          <cell r="AH336">
            <v>0</v>
          </cell>
        </row>
        <row r="337">
          <cell r="AE337" t="str">
            <v>IT000016</v>
          </cell>
          <cell r="AF337">
            <v>0</v>
          </cell>
          <cell r="AG337">
            <v>0</v>
          </cell>
          <cell r="AH337">
            <v>0</v>
          </cell>
        </row>
        <row r="338">
          <cell r="AE338" t="str">
            <v>IT000065</v>
          </cell>
          <cell r="AF338">
            <v>0</v>
          </cell>
          <cell r="AG338">
            <v>0</v>
          </cell>
          <cell r="AH338">
            <v>0</v>
          </cell>
        </row>
        <row r="339">
          <cell r="AE339" t="str">
            <v>IT000018</v>
          </cell>
          <cell r="AF339">
            <v>0</v>
          </cell>
          <cell r="AG339">
            <v>0</v>
          </cell>
          <cell r="AH339">
            <v>0</v>
          </cell>
        </row>
        <row r="340">
          <cell r="AE340" t="str">
            <v>IT000108</v>
          </cell>
          <cell r="AF340">
            <v>0</v>
          </cell>
          <cell r="AG340">
            <v>0</v>
          </cell>
          <cell r="AH340">
            <v>0</v>
          </cell>
        </row>
        <row r="341">
          <cell r="AE341" t="str">
            <v>IT000013</v>
          </cell>
          <cell r="AF341">
            <v>0</v>
          </cell>
          <cell r="AG341">
            <v>0</v>
          </cell>
          <cell r="AH341">
            <v>0</v>
          </cell>
        </row>
        <row r="342">
          <cell r="AE342" t="str">
            <v>IT000176</v>
          </cell>
          <cell r="AF342">
            <v>13256.400000000001</v>
          </cell>
          <cell r="AG342">
            <v>0</v>
          </cell>
          <cell r="AH342">
            <v>0</v>
          </cell>
        </row>
        <row r="343">
          <cell r="AE343" t="str">
            <v>IT000103</v>
          </cell>
          <cell r="AF343">
            <v>0</v>
          </cell>
          <cell r="AG343">
            <v>0</v>
          </cell>
          <cell r="AH343">
            <v>0</v>
          </cell>
        </row>
        <row r="344">
          <cell r="AE344" t="str">
            <v>IT000126</v>
          </cell>
          <cell r="AF344">
            <v>0</v>
          </cell>
          <cell r="AG344">
            <v>0</v>
          </cell>
          <cell r="AH344">
            <v>0</v>
          </cell>
        </row>
        <row r="345">
          <cell r="AE345" t="str">
            <v>IT000167</v>
          </cell>
          <cell r="AF345">
            <v>62500</v>
          </cell>
          <cell r="AG345">
            <v>0</v>
          </cell>
          <cell r="AH345">
            <v>0</v>
          </cell>
        </row>
        <row r="346">
          <cell r="AE346" t="str">
            <v>IT000110</v>
          </cell>
          <cell r="AF346">
            <v>0</v>
          </cell>
          <cell r="AG346">
            <v>0</v>
          </cell>
          <cell r="AH346">
            <v>0</v>
          </cell>
        </row>
        <row r="347">
          <cell r="AE347" t="str">
            <v>IT000001</v>
          </cell>
          <cell r="AF347">
            <v>0</v>
          </cell>
          <cell r="AG347">
            <v>0</v>
          </cell>
          <cell r="AH347">
            <v>0</v>
          </cell>
        </row>
        <row r="348">
          <cell r="AE348" t="str">
            <v>IT000107</v>
          </cell>
          <cell r="AF348">
            <v>0</v>
          </cell>
          <cell r="AG348">
            <v>0</v>
          </cell>
          <cell r="AH348">
            <v>0</v>
          </cell>
        </row>
        <row r="349">
          <cell r="AE349" t="str">
            <v>IT000106</v>
          </cell>
          <cell r="AF349">
            <v>0</v>
          </cell>
          <cell r="AG349">
            <v>0</v>
          </cell>
          <cell r="AH349">
            <v>0</v>
          </cell>
        </row>
        <row r="350">
          <cell r="AE350" t="str">
            <v>IT000125</v>
          </cell>
          <cell r="AF350">
            <v>0</v>
          </cell>
          <cell r="AG350">
            <v>0</v>
          </cell>
          <cell r="AH350">
            <v>0</v>
          </cell>
        </row>
        <row r="351">
          <cell r="AE351" t="str">
            <v>IT000025</v>
          </cell>
          <cell r="AF351">
            <v>0</v>
          </cell>
          <cell r="AG351">
            <v>0</v>
          </cell>
          <cell r="AH351">
            <v>0</v>
          </cell>
        </row>
        <row r="352">
          <cell r="AE352" t="str">
            <v>IT000159</v>
          </cell>
          <cell r="AF352">
            <v>33119.650000000009</v>
          </cell>
          <cell r="AG352">
            <v>0</v>
          </cell>
          <cell r="AH352">
            <v>0</v>
          </cell>
        </row>
        <row r="353">
          <cell r="AE353" t="str">
            <v>IT000172</v>
          </cell>
          <cell r="AF353">
            <v>3311.9499999999989</v>
          </cell>
          <cell r="AG353">
            <v>0</v>
          </cell>
          <cell r="AH353">
            <v>0</v>
          </cell>
        </row>
        <row r="354">
          <cell r="AE354" t="str">
            <v>IT000180</v>
          </cell>
          <cell r="AF354">
            <v>23250</v>
          </cell>
          <cell r="AG354">
            <v>0</v>
          </cell>
          <cell r="AH354">
            <v>0</v>
          </cell>
        </row>
        <row r="355">
          <cell r="AE355" t="str">
            <v>IT000050</v>
          </cell>
          <cell r="AF355">
            <v>0</v>
          </cell>
          <cell r="AG355">
            <v>0</v>
          </cell>
          <cell r="AH355">
            <v>0</v>
          </cell>
        </row>
        <row r="356">
          <cell r="AE356" t="str">
            <v>IT000067</v>
          </cell>
          <cell r="AF356">
            <v>0</v>
          </cell>
          <cell r="AG356">
            <v>0</v>
          </cell>
          <cell r="AH356">
            <v>0</v>
          </cell>
        </row>
        <row r="357">
          <cell r="AE357" t="str">
            <v xml:space="preserve">IT0000611    </v>
          </cell>
          <cell r="AF357">
            <v>0</v>
          </cell>
          <cell r="AG357">
            <v>0</v>
          </cell>
          <cell r="AH357">
            <v>0</v>
          </cell>
        </row>
        <row r="358">
          <cell r="AE358" t="str">
            <v xml:space="preserve">IT0000612    </v>
          </cell>
          <cell r="AF358">
            <v>0</v>
          </cell>
          <cell r="AG358">
            <v>0</v>
          </cell>
          <cell r="AH358">
            <v>0</v>
          </cell>
        </row>
        <row r="359">
          <cell r="AE359" t="str">
            <v>IT000046</v>
          </cell>
          <cell r="AF359">
            <v>0</v>
          </cell>
          <cell r="AG359">
            <v>0</v>
          </cell>
          <cell r="AH359">
            <v>0</v>
          </cell>
        </row>
        <row r="360">
          <cell r="AE360" t="str">
            <v>IT000096</v>
          </cell>
          <cell r="AF360">
            <v>0</v>
          </cell>
          <cell r="AG360">
            <v>0</v>
          </cell>
          <cell r="AH360">
            <v>0</v>
          </cell>
        </row>
        <row r="361">
          <cell r="AE361" t="str">
            <v>IT000079</v>
          </cell>
          <cell r="AF361">
            <v>0</v>
          </cell>
          <cell r="AG361">
            <v>0</v>
          </cell>
          <cell r="AH361">
            <v>0</v>
          </cell>
        </row>
        <row r="362">
          <cell r="AE362" t="str">
            <v>IT000166</v>
          </cell>
          <cell r="AF362">
            <v>68242.16</v>
          </cell>
          <cell r="AG362">
            <v>0</v>
          </cell>
          <cell r="AH362">
            <v>0</v>
          </cell>
        </row>
        <row r="363">
          <cell r="AE363" t="str">
            <v>IT000135</v>
          </cell>
          <cell r="AF363">
            <v>5000</v>
          </cell>
          <cell r="AG363">
            <v>0</v>
          </cell>
          <cell r="AH363">
            <v>0</v>
          </cell>
        </row>
        <row r="364">
          <cell r="AE364" t="str">
            <v>IT000037</v>
          </cell>
          <cell r="AF364">
            <v>0</v>
          </cell>
          <cell r="AG364">
            <v>0</v>
          </cell>
          <cell r="AH364">
            <v>0</v>
          </cell>
        </row>
        <row r="365">
          <cell r="AE365" t="str">
            <v>IT000081</v>
          </cell>
          <cell r="AF365">
            <v>0</v>
          </cell>
          <cell r="AG365">
            <v>0</v>
          </cell>
          <cell r="AH365">
            <v>0</v>
          </cell>
        </row>
        <row r="366">
          <cell r="AE366" t="str">
            <v>IT000062</v>
          </cell>
          <cell r="AF366">
            <v>0</v>
          </cell>
          <cell r="AG366">
            <v>0</v>
          </cell>
          <cell r="AH366">
            <v>0</v>
          </cell>
        </row>
        <row r="367">
          <cell r="AE367" t="str">
            <v>IT000087</v>
          </cell>
          <cell r="AF367">
            <v>0</v>
          </cell>
          <cell r="AG367">
            <v>0</v>
          </cell>
          <cell r="AH367">
            <v>0</v>
          </cell>
        </row>
        <row r="368">
          <cell r="AE368" t="str">
            <v>IT000174</v>
          </cell>
          <cell r="AF368">
            <v>24230.839999999997</v>
          </cell>
          <cell r="AG368">
            <v>0</v>
          </cell>
          <cell r="AH368">
            <v>0</v>
          </cell>
        </row>
        <row r="369">
          <cell r="AE369" t="str">
            <v>IT000164</v>
          </cell>
          <cell r="AF369">
            <v>11609.7</v>
          </cell>
          <cell r="AG369">
            <v>0</v>
          </cell>
          <cell r="AH369">
            <v>0</v>
          </cell>
        </row>
        <row r="370">
          <cell r="AE370" t="str">
            <v>IT000088</v>
          </cell>
          <cell r="AF370">
            <v>0</v>
          </cell>
          <cell r="AG370">
            <v>0</v>
          </cell>
          <cell r="AH370">
            <v>0</v>
          </cell>
        </row>
        <row r="371">
          <cell r="AE371" t="str">
            <v>IT000157</v>
          </cell>
          <cell r="AF371">
            <v>58404.550000000017</v>
          </cell>
          <cell r="AG371">
            <v>0</v>
          </cell>
          <cell r="AH371">
            <v>0</v>
          </cell>
        </row>
        <row r="372">
          <cell r="AE372" t="str">
            <v>IT000054</v>
          </cell>
          <cell r="AF372">
            <v>0</v>
          </cell>
          <cell r="AG372">
            <v>0</v>
          </cell>
          <cell r="AH372">
            <v>0</v>
          </cell>
        </row>
        <row r="373">
          <cell r="AE373" t="str">
            <v>IT000042</v>
          </cell>
          <cell r="AF373">
            <v>0</v>
          </cell>
          <cell r="AG373">
            <v>0</v>
          </cell>
          <cell r="AH373">
            <v>0</v>
          </cell>
        </row>
        <row r="374">
          <cell r="AE374" t="str">
            <v>IT000075</v>
          </cell>
          <cell r="AF374">
            <v>0</v>
          </cell>
          <cell r="AG374">
            <v>0</v>
          </cell>
          <cell r="AH374">
            <v>0</v>
          </cell>
        </row>
        <row r="375">
          <cell r="AE375" t="str">
            <v>IT000112</v>
          </cell>
          <cell r="AF375">
            <v>0</v>
          </cell>
          <cell r="AG375">
            <v>0</v>
          </cell>
          <cell r="AH375">
            <v>0</v>
          </cell>
        </row>
        <row r="376">
          <cell r="AE376" t="str">
            <v>IT000170</v>
          </cell>
          <cell r="AF376">
            <v>106362.78</v>
          </cell>
          <cell r="AG376">
            <v>0</v>
          </cell>
          <cell r="AH376">
            <v>0</v>
          </cell>
        </row>
        <row r="377">
          <cell r="AE377" t="str">
            <v>IT000171</v>
          </cell>
          <cell r="AF377">
            <v>28490.020000000004</v>
          </cell>
          <cell r="AG377">
            <v>0</v>
          </cell>
          <cell r="AH377">
            <v>0</v>
          </cell>
        </row>
        <row r="378">
          <cell r="AE378" t="str">
            <v>IT000158</v>
          </cell>
          <cell r="AF378">
            <v>26923.069999999992</v>
          </cell>
          <cell r="AG378">
            <v>0</v>
          </cell>
          <cell r="AH378">
            <v>0</v>
          </cell>
        </row>
        <row r="379">
          <cell r="AE379" t="str">
            <v>IT000145</v>
          </cell>
          <cell r="AF379">
            <v>62887.75</v>
          </cell>
          <cell r="AG379">
            <v>0</v>
          </cell>
          <cell r="AH379">
            <v>0</v>
          </cell>
        </row>
        <row r="380">
          <cell r="AE380" t="str">
            <v>IT000148</v>
          </cell>
          <cell r="AF380">
            <v>33333.330000000016</v>
          </cell>
          <cell r="AG380">
            <v>0</v>
          </cell>
          <cell r="AH380">
            <v>0</v>
          </cell>
        </row>
        <row r="381">
          <cell r="AE381" t="str">
            <v>IT000006</v>
          </cell>
          <cell r="AF381">
            <v>0</v>
          </cell>
          <cell r="AG381">
            <v>0</v>
          </cell>
          <cell r="AH381">
            <v>0</v>
          </cell>
        </row>
        <row r="382">
          <cell r="AE382" t="str">
            <v>IT000155</v>
          </cell>
          <cell r="AF382">
            <v>192008.25</v>
          </cell>
          <cell r="AG382">
            <v>0</v>
          </cell>
          <cell r="AH382">
            <v>0</v>
          </cell>
        </row>
        <row r="383">
          <cell r="AE383" t="str">
            <v>IT000059</v>
          </cell>
          <cell r="AF383">
            <v>0</v>
          </cell>
          <cell r="AG383">
            <v>0</v>
          </cell>
          <cell r="AH383">
            <v>0</v>
          </cell>
        </row>
        <row r="384">
          <cell r="AE384" t="str">
            <v>IT000047</v>
          </cell>
          <cell r="AF384">
            <v>0</v>
          </cell>
          <cell r="AG384">
            <v>0</v>
          </cell>
          <cell r="AH384">
            <v>0</v>
          </cell>
        </row>
        <row r="385">
          <cell r="AE385" t="str">
            <v>IT000086</v>
          </cell>
          <cell r="AF385">
            <v>0</v>
          </cell>
          <cell r="AG385">
            <v>0</v>
          </cell>
          <cell r="AH385">
            <v>0</v>
          </cell>
        </row>
        <row r="386">
          <cell r="AE386" t="str">
            <v>IT000014</v>
          </cell>
          <cell r="AF386">
            <v>0</v>
          </cell>
          <cell r="AG386">
            <v>0</v>
          </cell>
          <cell r="AH386">
            <v>0</v>
          </cell>
        </row>
        <row r="387">
          <cell r="AE387" t="str">
            <v>IT000051</v>
          </cell>
          <cell r="AF387">
            <v>0</v>
          </cell>
          <cell r="AG387">
            <v>0</v>
          </cell>
          <cell r="AH387">
            <v>0</v>
          </cell>
        </row>
        <row r="388">
          <cell r="AE388" t="str">
            <v xml:space="preserve">IT0000891    </v>
          </cell>
          <cell r="AF388">
            <v>0</v>
          </cell>
          <cell r="AG388">
            <v>0</v>
          </cell>
          <cell r="AH388">
            <v>0</v>
          </cell>
        </row>
        <row r="389">
          <cell r="AE389" t="str">
            <v xml:space="preserve">IT0000892    </v>
          </cell>
          <cell r="AF389">
            <v>0</v>
          </cell>
          <cell r="AG389">
            <v>0</v>
          </cell>
          <cell r="AH389">
            <v>0</v>
          </cell>
        </row>
        <row r="390">
          <cell r="AE390" t="str">
            <v>IT000136</v>
          </cell>
          <cell r="AF390">
            <v>2704.17</v>
          </cell>
          <cell r="AG390">
            <v>0</v>
          </cell>
          <cell r="AH390">
            <v>0</v>
          </cell>
        </row>
        <row r="391">
          <cell r="AE391" t="str">
            <v>IT000066</v>
          </cell>
          <cell r="AF391">
            <v>0</v>
          </cell>
          <cell r="AG391">
            <v>0</v>
          </cell>
          <cell r="AH391">
            <v>0</v>
          </cell>
        </row>
        <row r="392">
          <cell r="AE392" t="str">
            <v>IT000026</v>
          </cell>
          <cell r="AF392">
            <v>0</v>
          </cell>
          <cell r="AG392">
            <v>0</v>
          </cell>
          <cell r="AH392">
            <v>0</v>
          </cell>
        </row>
        <row r="393">
          <cell r="AE393" t="str">
            <v>IT000027</v>
          </cell>
          <cell r="AF393">
            <v>0</v>
          </cell>
          <cell r="AG393">
            <v>0</v>
          </cell>
          <cell r="AH393">
            <v>0</v>
          </cell>
        </row>
        <row r="394">
          <cell r="AE394" t="str">
            <v>IT000146</v>
          </cell>
          <cell r="AF394">
            <v>4876.1699999999983</v>
          </cell>
          <cell r="AG394">
            <v>0</v>
          </cell>
          <cell r="AH394">
            <v>0</v>
          </cell>
        </row>
        <row r="395">
          <cell r="AE395" t="str">
            <v>IT000160</v>
          </cell>
          <cell r="AF395">
            <v>131367.91999999998</v>
          </cell>
          <cell r="AG395">
            <v>0</v>
          </cell>
          <cell r="AH395">
            <v>0</v>
          </cell>
        </row>
        <row r="396">
          <cell r="AE396" t="str">
            <v>IT000071</v>
          </cell>
          <cell r="AF396">
            <v>0</v>
          </cell>
          <cell r="AG396">
            <v>0</v>
          </cell>
          <cell r="AH396">
            <v>0</v>
          </cell>
        </row>
        <row r="397">
          <cell r="AE397" t="str">
            <v>IT000023</v>
          </cell>
          <cell r="AF397">
            <v>0</v>
          </cell>
          <cell r="AG397">
            <v>0</v>
          </cell>
          <cell r="AH397">
            <v>0</v>
          </cell>
        </row>
        <row r="398">
          <cell r="AE398" t="str">
            <v>IT000021</v>
          </cell>
          <cell r="AF398">
            <v>0</v>
          </cell>
          <cell r="AG398">
            <v>0</v>
          </cell>
          <cell r="AH398">
            <v>0</v>
          </cell>
        </row>
        <row r="399">
          <cell r="AE399" t="str">
            <v>IT000022</v>
          </cell>
          <cell r="AF399">
            <v>0</v>
          </cell>
          <cell r="AG399">
            <v>0</v>
          </cell>
          <cell r="AH399">
            <v>0</v>
          </cell>
        </row>
        <row r="400">
          <cell r="AE400" t="str">
            <v>IT000109</v>
          </cell>
          <cell r="AF400">
            <v>0</v>
          </cell>
          <cell r="AG400">
            <v>0</v>
          </cell>
          <cell r="AH400">
            <v>0</v>
          </cell>
        </row>
        <row r="401">
          <cell r="AE401" t="str">
            <v>IT000179</v>
          </cell>
          <cell r="AF401">
            <v>17877.3</v>
          </cell>
          <cell r="AG401">
            <v>0</v>
          </cell>
          <cell r="AH401">
            <v>0</v>
          </cell>
        </row>
        <row r="402">
          <cell r="AE402" t="str">
            <v>IT000105</v>
          </cell>
          <cell r="AF402">
            <v>0</v>
          </cell>
          <cell r="AG402">
            <v>0</v>
          </cell>
          <cell r="AH402">
            <v>0</v>
          </cell>
        </row>
        <row r="403">
          <cell r="AE403" t="str">
            <v>IT000099</v>
          </cell>
          <cell r="AF403">
            <v>0</v>
          </cell>
          <cell r="AG403">
            <v>0</v>
          </cell>
          <cell r="AH403">
            <v>0</v>
          </cell>
        </row>
        <row r="404">
          <cell r="AE404" t="str">
            <v>IT000168</v>
          </cell>
          <cell r="AF404">
            <v>32800.850000000006</v>
          </cell>
          <cell r="AG404">
            <v>0</v>
          </cell>
          <cell r="AH404">
            <v>0</v>
          </cell>
        </row>
        <row r="405">
          <cell r="AE405" t="str">
            <v>IT000053</v>
          </cell>
          <cell r="AF405">
            <v>0</v>
          </cell>
          <cell r="AG405">
            <v>0</v>
          </cell>
          <cell r="AH405">
            <v>0</v>
          </cell>
        </row>
        <row r="406">
          <cell r="AE406" t="str">
            <v>IT000113</v>
          </cell>
          <cell r="AF406">
            <v>0</v>
          </cell>
          <cell r="AG406">
            <v>0</v>
          </cell>
          <cell r="AH406">
            <v>0</v>
          </cell>
        </row>
        <row r="407">
          <cell r="AE407" t="str">
            <v>IT000052</v>
          </cell>
          <cell r="AF407">
            <v>0</v>
          </cell>
          <cell r="AG407">
            <v>0</v>
          </cell>
          <cell r="AH407">
            <v>0</v>
          </cell>
        </row>
        <row r="408">
          <cell r="AE408" t="str">
            <v>IT000161</v>
          </cell>
          <cell r="AF408">
            <v>42735.050000000017</v>
          </cell>
          <cell r="AG408">
            <v>0</v>
          </cell>
          <cell r="AH408">
            <v>0</v>
          </cell>
        </row>
        <row r="409">
          <cell r="AE409" t="str">
            <v>IT000002</v>
          </cell>
          <cell r="AF409">
            <v>0</v>
          </cell>
          <cell r="AG409">
            <v>0</v>
          </cell>
          <cell r="AH409">
            <v>0</v>
          </cell>
        </row>
        <row r="410">
          <cell r="AE410" t="str">
            <v>IT000137</v>
          </cell>
          <cell r="AF410">
            <v>833.32000000000062</v>
          </cell>
          <cell r="AG410">
            <v>0</v>
          </cell>
          <cell r="AH410">
            <v>0</v>
          </cell>
        </row>
        <row r="411">
          <cell r="AE411" t="str">
            <v>IT000041</v>
          </cell>
          <cell r="AF411">
            <v>0</v>
          </cell>
          <cell r="AG411">
            <v>0</v>
          </cell>
          <cell r="AH411">
            <v>0</v>
          </cell>
        </row>
        <row r="412">
          <cell r="AE412" t="str">
            <v>IT000017</v>
          </cell>
          <cell r="AF412">
            <v>0</v>
          </cell>
          <cell r="AG412">
            <v>0</v>
          </cell>
          <cell r="AH412">
            <v>0</v>
          </cell>
        </row>
        <row r="413">
          <cell r="AE413" t="str">
            <v>IT000078</v>
          </cell>
          <cell r="AF413">
            <v>0</v>
          </cell>
          <cell r="AG413">
            <v>0</v>
          </cell>
          <cell r="AH413">
            <v>0</v>
          </cell>
        </row>
        <row r="414">
          <cell r="AE414" t="str">
            <v>IT000049</v>
          </cell>
          <cell r="AF414">
            <v>0</v>
          </cell>
          <cell r="AG414">
            <v>0</v>
          </cell>
          <cell r="AH414">
            <v>0</v>
          </cell>
        </row>
        <row r="415">
          <cell r="AE415" t="str">
            <v>IT000175</v>
          </cell>
          <cell r="AF415">
            <v>3954.8999999999996</v>
          </cell>
          <cell r="AG415">
            <v>0</v>
          </cell>
          <cell r="AH415">
            <v>0</v>
          </cell>
        </row>
        <row r="416">
          <cell r="AE416" t="str">
            <v xml:space="preserve">IT0001001    </v>
          </cell>
          <cell r="AF416">
            <v>0</v>
          </cell>
          <cell r="AG416">
            <v>0</v>
          </cell>
          <cell r="AH416">
            <v>0</v>
          </cell>
        </row>
        <row r="417">
          <cell r="AE417" t="str">
            <v xml:space="preserve">IT0001002    </v>
          </cell>
          <cell r="AF417">
            <v>0</v>
          </cell>
          <cell r="AG417">
            <v>0</v>
          </cell>
          <cell r="AH417">
            <v>0</v>
          </cell>
        </row>
        <row r="418">
          <cell r="AE418" t="str">
            <v>IT000163</v>
          </cell>
          <cell r="AF418">
            <v>46267.37000000001</v>
          </cell>
          <cell r="AG418">
            <v>0</v>
          </cell>
          <cell r="AH418">
            <v>0</v>
          </cell>
        </row>
        <row r="419">
          <cell r="AE419" t="str">
            <v>IT000003</v>
          </cell>
          <cell r="AF419">
            <v>0</v>
          </cell>
          <cell r="AG419">
            <v>0</v>
          </cell>
          <cell r="AH419">
            <v>0</v>
          </cell>
        </row>
        <row r="420">
          <cell r="AE420" t="str">
            <v>IT000004</v>
          </cell>
          <cell r="AF420">
            <v>0</v>
          </cell>
          <cell r="AG420">
            <v>0</v>
          </cell>
          <cell r="AH420">
            <v>0</v>
          </cell>
        </row>
        <row r="421">
          <cell r="AE421" t="str">
            <v>IT000076</v>
          </cell>
          <cell r="AF421">
            <v>0</v>
          </cell>
          <cell r="AG421">
            <v>0</v>
          </cell>
          <cell r="AH421">
            <v>0</v>
          </cell>
        </row>
        <row r="422">
          <cell r="AE422" t="str">
            <v>IT000077</v>
          </cell>
          <cell r="AF422">
            <v>0</v>
          </cell>
          <cell r="AG422">
            <v>0</v>
          </cell>
          <cell r="AH422">
            <v>0</v>
          </cell>
        </row>
        <row r="423">
          <cell r="AE423" t="str">
            <v>IT000124</v>
          </cell>
          <cell r="AF423">
            <v>0</v>
          </cell>
          <cell r="AG423">
            <v>0</v>
          </cell>
          <cell r="AH423">
            <v>0</v>
          </cell>
        </row>
        <row r="424">
          <cell r="AE424" t="str">
            <v>IT000133</v>
          </cell>
          <cell r="AF424">
            <v>2026.4300000000003</v>
          </cell>
          <cell r="AG424">
            <v>0</v>
          </cell>
          <cell r="AH424">
            <v>0</v>
          </cell>
        </row>
        <row r="425">
          <cell r="AE425" t="str">
            <v>IT000141</v>
          </cell>
          <cell r="AF425">
            <v>2500</v>
          </cell>
          <cell r="AG425">
            <v>0</v>
          </cell>
          <cell r="AH425">
            <v>0</v>
          </cell>
        </row>
        <row r="426">
          <cell r="AE426" t="str">
            <v>IT000143</v>
          </cell>
          <cell r="AF426">
            <v>7391.6699999999983</v>
          </cell>
          <cell r="AG426">
            <v>0</v>
          </cell>
          <cell r="AH426">
            <v>0</v>
          </cell>
        </row>
        <row r="427">
          <cell r="AE427" t="str">
            <v>IT000181</v>
          </cell>
          <cell r="AF427">
            <v>2512.5</v>
          </cell>
          <cell r="AG427">
            <v>0</v>
          </cell>
          <cell r="AH427">
            <v>0</v>
          </cell>
        </row>
        <row r="428">
          <cell r="AE428" t="str">
            <v>IT000128</v>
          </cell>
          <cell r="AF428">
            <v>0</v>
          </cell>
          <cell r="AG428">
            <v>0</v>
          </cell>
          <cell r="AH428">
            <v>0</v>
          </cell>
        </row>
        <row r="429">
          <cell r="AE429" t="str">
            <v>IT000095</v>
          </cell>
          <cell r="AF429">
            <v>0</v>
          </cell>
          <cell r="AG429">
            <v>0</v>
          </cell>
          <cell r="AH429">
            <v>0</v>
          </cell>
        </row>
        <row r="430">
          <cell r="AE430" t="str">
            <v xml:space="preserve">IT0001191    </v>
          </cell>
          <cell r="AF430">
            <v>0</v>
          </cell>
          <cell r="AG430">
            <v>0</v>
          </cell>
          <cell r="AH430">
            <v>0</v>
          </cell>
        </row>
        <row r="431">
          <cell r="AE431" t="str">
            <v xml:space="preserve">IT0001192    </v>
          </cell>
          <cell r="AF431">
            <v>0</v>
          </cell>
          <cell r="AG431">
            <v>0</v>
          </cell>
          <cell r="AH431">
            <v>0</v>
          </cell>
        </row>
        <row r="432">
          <cell r="AE432" t="str">
            <v>IT000129</v>
          </cell>
          <cell r="AF432">
            <v>0</v>
          </cell>
          <cell r="AG432">
            <v>0</v>
          </cell>
          <cell r="AH432">
            <v>0</v>
          </cell>
        </row>
        <row r="433">
          <cell r="AE433" t="str">
            <v>IT000007</v>
          </cell>
          <cell r="AF433">
            <v>0</v>
          </cell>
          <cell r="AG433">
            <v>0</v>
          </cell>
          <cell r="AH433">
            <v>0</v>
          </cell>
        </row>
        <row r="434">
          <cell r="AE434" t="str">
            <v>IT000033</v>
          </cell>
          <cell r="AF434">
            <v>0</v>
          </cell>
          <cell r="AG434">
            <v>0</v>
          </cell>
          <cell r="AH434">
            <v>0</v>
          </cell>
        </row>
        <row r="435">
          <cell r="AE435" t="str">
            <v>IT000035</v>
          </cell>
          <cell r="AF435">
            <v>0</v>
          </cell>
          <cell r="AG435">
            <v>0</v>
          </cell>
          <cell r="AH435">
            <v>0</v>
          </cell>
        </row>
        <row r="436">
          <cell r="AE436" t="str">
            <v>IT000034</v>
          </cell>
          <cell r="AF436">
            <v>0</v>
          </cell>
          <cell r="AG436">
            <v>0</v>
          </cell>
          <cell r="AH436">
            <v>0</v>
          </cell>
        </row>
        <row r="437">
          <cell r="AE437" t="str">
            <v>IT000036</v>
          </cell>
          <cell r="AF437">
            <v>0</v>
          </cell>
          <cell r="AG437">
            <v>0</v>
          </cell>
          <cell r="AH437">
            <v>0</v>
          </cell>
        </row>
        <row r="438">
          <cell r="AE438" t="str">
            <v>IT000056</v>
          </cell>
          <cell r="AF438">
            <v>0</v>
          </cell>
          <cell r="AG438">
            <v>0</v>
          </cell>
          <cell r="AH438">
            <v>0</v>
          </cell>
        </row>
        <row r="439">
          <cell r="AE439" t="str">
            <v>IT000057</v>
          </cell>
          <cell r="AF439">
            <v>0</v>
          </cell>
          <cell r="AG439">
            <v>0</v>
          </cell>
          <cell r="AH439">
            <v>0</v>
          </cell>
        </row>
        <row r="440">
          <cell r="AE440" t="str">
            <v>IT000058</v>
          </cell>
          <cell r="AF440">
            <v>0</v>
          </cell>
          <cell r="AG440">
            <v>0</v>
          </cell>
          <cell r="AH440">
            <v>0</v>
          </cell>
        </row>
        <row r="441">
          <cell r="AE441" t="str">
            <v>IT000127</v>
          </cell>
          <cell r="AF441">
            <v>0</v>
          </cell>
          <cell r="AG441">
            <v>0</v>
          </cell>
          <cell r="AH441">
            <v>0</v>
          </cell>
        </row>
        <row r="442">
          <cell r="AE442" t="str">
            <v>IT000032</v>
          </cell>
          <cell r="AF442">
            <v>0</v>
          </cell>
          <cell r="AG442">
            <v>0</v>
          </cell>
          <cell r="AH442">
            <v>0</v>
          </cell>
        </row>
        <row r="443">
          <cell r="AE443" t="str">
            <v>IT000178</v>
          </cell>
          <cell r="AF443">
            <v>12006.05</v>
          </cell>
          <cell r="AG443">
            <v>0</v>
          </cell>
          <cell r="AH443">
            <v>0</v>
          </cell>
        </row>
        <row r="444">
          <cell r="AE444" t="str">
            <v>IT000080</v>
          </cell>
          <cell r="AF444">
            <v>0</v>
          </cell>
          <cell r="AG444">
            <v>0</v>
          </cell>
          <cell r="AH444">
            <v>0</v>
          </cell>
        </row>
        <row r="445">
          <cell r="AE445" t="str">
            <v>IT000055</v>
          </cell>
          <cell r="AF445">
            <v>0</v>
          </cell>
          <cell r="AG445">
            <v>0</v>
          </cell>
          <cell r="AH445">
            <v>0</v>
          </cell>
        </row>
        <row r="446">
          <cell r="AE446" t="str">
            <v>IT000063</v>
          </cell>
          <cell r="AF446">
            <v>0</v>
          </cell>
          <cell r="AG446">
            <v>0</v>
          </cell>
          <cell r="AH446">
            <v>0</v>
          </cell>
        </row>
        <row r="447">
          <cell r="AE447" t="str">
            <v>IT000156</v>
          </cell>
          <cell r="AF447">
            <v>5508.3500000000022</v>
          </cell>
          <cell r="AG447">
            <v>0</v>
          </cell>
          <cell r="AH447">
            <v>0</v>
          </cell>
        </row>
        <row r="448">
          <cell r="AE448" t="str">
            <v>IT000098</v>
          </cell>
          <cell r="AF448">
            <v>0</v>
          </cell>
          <cell r="AG448">
            <v>0</v>
          </cell>
          <cell r="AH448">
            <v>0</v>
          </cell>
        </row>
        <row r="449">
          <cell r="AE449" t="str">
            <v>IT000152</v>
          </cell>
          <cell r="AF449">
            <v>26666.670000000013</v>
          </cell>
          <cell r="AG449">
            <v>0</v>
          </cell>
          <cell r="AH449">
            <v>0</v>
          </cell>
        </row>
        <row r="450">
          <cell r="AE450" t="str">
            <v>IT000020</v>
          </cell>
          <cell r="AF450">
            <v>0</v>
          </cell>
          <cell r="AG450">
            <v>0</v>
          </cell>
          <cell r="AH450">
            <v>0</v>
          </cell>
        </row>
        <row r="451">
          <cell r="AE451" t="str">
            <v>IT000169</v>
          </cell>
          <cell r="AF451">
            <v>23333.320000000007</v>
          </cell>
          <cell r="AG451">
            <v>0</v>
          </cell>
          <cell r="AH451">
            <v>0</v>
          </cell>
        </row>
        <row r="452">
          <cell r="AE452" t="str">
            <v>IT000182</v>
          </cell>
          <cell r="AF452">
            <v>1666.65</v>
          </cell>
          <cell r="AG452">
            <v>0</v>
          </cell>
          <cell r="AH452">
            <v>0</v>
          </cell>
        </row>
        <row r="453">
          <cell r="AE453" t="str">
            <v>IT000064</v>
          </cell>
          <cell r="AF453">
            <v>0</v>
          </cell>
          <cell r="AG453">
            <v>0</v>
          </cell>
          <cell r="AH453">
            <v>0</v>
          </cell>
        </row>
        <row r="454">
          <cell r="AE454" t="str">
            <v>IT000072</v>
          </cell>
          <cell r="AF454">
            <v>0</v>
          </cell>
          <cell r="AG454">
            <v>0</v>
          </cell>
          <cell r="AH454">
            <v>0</v>
          </cell>
        </row>
        <row r="455">
          <cell r="AE455" t="str">
            <v>IT000177</v>
          </cell>
          <cell r="AF455">
            <v>45833.35</v>
          </cell>
          <cell r="AG455">
            <v>0</v>
          </cell>
          <cell r="AH455">
            <v>0</v>
          </cell>
        </row>
        <row r="456">
          <cell r="AE456" t="str">
            <v>IT000048</v>
          </cell>
          <cell r="AF456">
            <v>0</v>
          </cell>
          <cell r="AG456">
            <v>0</v>
          </cell>
          <cell r="AH456">
            <v>0</v>
          </cell>
        </row>
        <row r="457">
          <cell r="AE457" t="str">
            <v>0M4HPFC</v>
          </cell>
          <cell r="AF457">
            <v>560.25</v>
          </cell>
          <cell r="AG457">
            <v>353.85</v>
          </cell>
          <cell r="AH457">
            <v>353.85</v>
          </cell>
        </row>
        <row r="458">
          <cell r="AE458" t="str">
            <v>0JNF8J8</v>
          </cell>
          <cell r="AF458">
            <v>1902.12</v>
          </cell>
          <cell r="AG458">
            <v>720.8</v>
          </cell>
          <cell r="AH458">
            <v>720.8</v>
          </cell>
        </row>
        <row r="459">
          <cell r="AE459" t="str">
            <v>E100131</v>
          </cell>
          <cell r="AF459">
            <v>2145.8700000000003</v>
          </cell>
          <cell r="AG459">
            <v>960</v>
          </cell>
          <cell r="AH459">
            <v>960</v>
          </cell>
        </row>
        <row r="460">
          <cell r="AE460" t="str">
            <v>E100132</v>
          </cell>
          <cell r="AF460">
            <v>2145.8699999999994</v>
          </cell>
          <cell r="AG460">
            <v>960</v>
          </cell>
          <cell r="AH460">
            <v>960</v>
          </cell>
        </row>
        <row r="461">
          <cell r="AE461" t="str">
            <v>6HP23LED</v>
          </cell>
          <cell r="AF461">
            <v>1266.6800000000003</v>
          </cell>
          <cell r="AG461">
            <v>480</v>
          </cell>
          <cell r="AH461">
            <v>480</v>
          </cell>
        </row>
        <row r="462">
          <cell r="AE462" t="str">
            <v>002H23F</v>
          </cell>
          <cell r="AF462">
            <v>578.14999999999986</v>
          </cell>
          <cell r="AG462">
            <v>258.64999999999998</v>
          </cell>
          <cell r="AH462">
            <v>258.64999999999998</v>
          </cell>
        </row>
        <row r="463">
          <cell r="AE463" t="str">
            <v>IT000038</v>
          </cell>
          <cell r="AF463">
            <v>0</v>
          </cell>
          <cell r="AG463">
            <v>6105</v>
          </cell>
          <cell r="AH463">
            <v>6105</v>
          </cell>
        </row>
        <row r="464">
          <cell r="AE464" t="str">
            <v>E0008553</v>
          </cell>
          <cell r="AF464">
            <v>0</v>
          </cell>
          <cell r="AG464">
            <v>1966.25</v>
          </cell>
          <cell r="AH464">
            <v>1966.25</v>
          </cell>
        </row>
        <row r="465">
          <cell r="AE465" t="str">
            <v>E0008554</v>
          </cell>
          <cell r="AF465">
            <v>0</v>
          </cell>
          <cell r="AG465">
            <v>1966.25</v>
          </cell>
          <cell r="AH465">
            <v>1966.25</v>
          </cell>
        </row>
        <row r="466">
          <cell r="AE466" t="str">
            <v>EE100056</v>
          </cell>
          <cell r="AF466">
            <v>0</v>
          </cell>
          <cell r="AG466">
            <v>3191.78</v>
          </cell>
          <cell r="AH466">
            <v>3191.78</v>
          </cell>
        </row>
        <row r="467">
          <cell r="AE467" t="str">
            <v>E0008416</v>
          </cell>
          <cell r="AF467">
            <v>0</v>
          </cell>
          <cell r="AG467">
            <v>449.7</v>
          </cell>
          <cell r="AH467">
            <v>449.7</v>
          </cell>
        </row>
        <row r="468">
          <cell r="AE468" t="str">
            <v>E0008417</v>
          </cell>
          <cell r="AF468">
            <v>0</v>
          </cell>
          <cell r="AG468">
            <v>449.7</v>
          </cell>
          <cell r="AH468">
            <v>449.7</v>
          </cell>
        </row>
        <row r="469">
          <cell r="AE469" t="str">
            <v>E2000152</v>
          </cell>
          <cell r="AF469">
            <v>0</v>
          </cell>
          <cell r="AG469">
            <v>1864.91</v>
          </cell>
          <cell r="AH469">
            <v>1864.91</v>
          </cell>
        </row>
        <row r="470">
          <cell r="AE470" t="str">
            <v>E0008418</v>
          </cell>
          <cell r="AF470">
            <v>0</v>
          </cell>
          <cell r="AG470">
            <v>859.75</v>
          </cell>
          <cell r="AH470">
            <v>859.75</v>
          </cell>
        </row>
        <row r="471">
          <cell r="AE471" t="str">
            <v>E0008419</v>
          </cell>
          <cell r="AF471">
            <v>0</v>
          </cell>
          <cell r="AG471">
            <v>859.75</v>
          </cell>
          <cell r="AH471">
            <v>859.75</v>
          </cell>
        </row>
        <row r="472">
          <cell r="AE472" t="str">
            <v>E2000322</v>
          </cell>
          <cell r="AF472">
            <v>0</v>
          </cell>
          <cell r="AG472">
            <v>6583.3</v>
          </cell>
          <cell r="AH472">
            <v>6583.3</v>
          </cell>
        </row>
        <row r="473">
          <cell r="AE473" t="str">
            <v>EE100560</v>
          </cell>
          <cell r="AF473">
            <v>0</v>
          </cell>
          <cell r="AG473">
            <v>408.4</v>
          </cell>
          <cell r="AH473">
            <v>408.4</v>
          </cell>
        </row>
        <row r="474">
          <cell r="AE474" t="str">
            <v>EE100561</v>
          </cell>
          <cell r="AF474">
            <v>0</v>
          </cell>
          <cell r="AG474">
            <v>408.4</v>
          </cell>
          <cell r="AH474">
            <v>408.4</v>
          </cell>
        </row>
        <row r="475">
          <cell r="AE475" t="str">
            <v>EE100562</v>
          </cell>
          <cell r="AF475">
            <v>0</v>
          </cell>
          <cell r="AG475">
            <v>408.4</v>
          </cell>
          <cell r="AH475">
            <v>408.4</v>
          </cell>
        </row>
        <row r="476">
          <cell r="AE476" t="str">
            <v>E0008708</v>
          </cell>
          <cell r="AF476">
            <v>0</v>
          </cell>
          <cell r="AG476">
            <v>229752</v>
          </cell>
          <cell r="AH476">
            <v>229752</v>
          </cell>
        </row>
        <row r="477">
          <cell r="AE477" t="str">
            <v>E0008896</v>
          </cell>
          <cell r="AF477">
            <v>0</v>
          </cell>
          <cell r="AG477">
            <v>5539.25</v>
          </cell>
          <cell r="AH477">
            <v>5539.25</v>
          </cell>
        </row>
        <row r="478">
          <cell r="AE478" t="str">
            <v xml:space="preserve">E00087181    </v>
          </cell>
          <cell r="AF478">
            <v>0</v>
          </cell>
          <cell r="AG478">
            <v>20100</v>
          </cell>
          <cell r="AH478">
            <v>16080</v>
          </cell>
        </row>
        <row r="479">
          <cell r="AE479" t="str">
            <v xml:space="preserve">E00087182    </v>
          </cell>
          <cell r="AF479">
            <v>0</v>
          </cell>
          <cell r="AG479">
            <v>20100</v>
          </cell>
          <cell r="AH479">
            <v>4020</v>
          </cell>
        </row>
        <row r="480">
          <cell r="AE480" t="str">
            <v>EE100570</v>
          </cell>
          <cell r="AF480">
            <v>0</v>
          </cell>
          <cell r="AG480">
            <v>4351.75</v>
          </cell>
          <cell r="AH480">
            <v>4351.75</v>
          </cell>
        </row>
        <row r="481">
          <cell r="AE481" t="str">
            <v>33NHHJF</v>
          </cell>
          <cell r="AF481">
            <v>218.73000000000002</v>
          </cell>
          <cell r="AG481">
            <v>102.65</v>
          </cell>
          <cell r="AH481">
            <v>102.65</v>
          </cell>
        </row>
        <row r="482">
          <cell r="AE482" t="str">
            <v>7RXHDX5</v>
          </cell>
          <cell r="AF482">
            <v>323.90000000000009</v>
          </cell>
          <cell r="AG482">
            <v>142.5</v>
          </cell>
          <cell r="AH482">
            <v>142.5</v>
          </cell>
        </row>
        <row r="483">
          <cell r="AE483" t="str">
            <v>85HHDX5</v>
          </cell>
          <cell r="AF483">
            <v>323.90000000000009</v>
          </cell>
          <cell r="AG483">
            <v>142.5</v>
          </cell>
          <cell r="AH483">
            <v>142.5</v>
          </cell>
        </row>
        <row r="484">
          <cell r="AE484" t="str">
            <v>E0009098</v>
          </cell>
          <cell r="AF484">
            <v>0</v>
          </cell>
          <cell r="AG484">
            <v>1225</v>
          </cell>
          <cell r="AH484">
            <v>1225</v>
          </cell>
        </row>
        <row r="485">
          <cell r="AE485" t="str">
            <v>E0009099</v>
          </cell>
          <cell r="AF485">
            <v>0</v>
          </cell>
          <cell r="AG485">
            <v>1225</v>
          </cell>
          <cell r="AH485">
            <v>1225</v>
          </cell>
        </row>
        <row r="486">
          <cell r="AE486" t="str">
            <v>E0010009</v>
          </cell>
          <cell r="AF486">
            <v>0</v>
          </cell>
          <cell r="AG486">
            <v>1240</v>
          </cell>
          <cell r="AH486">
            <v>1240</v>
          </cell>
        </row>
        <row r="487">
          <cell r="AE487" t="str">
            <v>E0010010</v>
          </cell>
          <cell r="AF487">
            <v>0</v>
          </cell>
          <cell r="AG487">
            <v>1240</v>
          </cell>
          <cell r="AH487">
            <v>1240</v>
          </cell>
        </row>
        <row r="488">
          <cell r="AE488" t="str">
            <v>E0008899</v>
          </cell>
          <cell r="AF488">
            <v>0</v>
          </cell>
          <cell r="AG488">
            <v>2863.59</v>
          </cell>
          <cell r="AH488">
            <v>2863.59</v>
          </cell>
        </row>
        <row r="489">
          <cell r="AE489" t="str">
            <v>EE100667</v>
          </cell>
          <cell r="AF489">
            <v>0</v>
          </cell>
          <cell r="AG489">
            <v>7770</v>
          </cell>
          <cell r="AH489">
            <v>7770</v>
          </cell>
        </row>
        <row r="490">
          <cell r="AE490" t="str">
            <v>EE100668</v>
          </cell>
          <cell r="AF490">
            <v>0</v>
          </cell>
          <cell r="AG490">
            <v>7770</v>
          </cell>
          <cell r="AH490">
            <v>7770</v>
          </cell>
        </row>
        <row r="491">
          <cell r="AE491" t="str">
            <v>150A0MU</v>
          </cell>
          <cell r="AF491">
            <v>0</v>
          </cell>
          <cell r="AG491">
            <v>2344.0500000000002</v>
          </cell>
          <cell r="AH491">
            <v>2344.0500000000002</v>
          </cell>
        </row>
        <row r="492">
          <cell r="AE492" t="str">
            <v>150B17K</v>
          </cell>
          <cell r="AF492">
            <v>0</v>
          </cell>
          <cell r="AG492">
            <v>2482.6999999999998</v>
          </cell>
          <cell r="AH492">
            <v>2482.6999999999998</v>
          </cell>
        </row>
        <row r="493">
          <cell r="AE493" t="str">
            <v>150B17M</v>
          </cell>
          <cell r="AF493">
            <v>0</v>
          </cell>
          <cell r="AG493">
            <v>2344.0500000000002</v>
          </cell>
          <cell r="AH493">
            <v>2344.0500000000002</v>
          </cell>
        </row>
        <row r="494">
          <cell r="AE494" t="str">
            <v>150B17Q</v>
          </cell>
          <cell r="AF494">
            <v>0</v>
          </cell>
          <cell r="AG494">
            <v>2315.5500000000002</v>
          </cell>
          <cell r="AH494">
            <v>2315.5500000000002</v>
          </cell>
        </row>
        <row r="495">
          <cell r="AE495" t="str">
            <v>150S088</v>
          </cell>
          <cell r="AF495">
            <v>0</v>
          </cell>
          <cell r="AG495">
            <v>2769.45</v>
          </cell>
          <cell r="AH495">
            <v>2769.45</v>
          </cell>
        </row>
        <row r="496">
          <cell r="AE496" t="str">
            <v>150S089</v>
          </cell>
          <cell r="AF496">
            <v>0</v>
          </cell>
          <cell r="AG496">
            <v>2522.5500000000002</v>
          </cell>
          <cell r="AH496">
            <v>2522.5500000000002</v>
          </cell>
        </row>
        <row r="497">
          <cell r="AE497" t="str">
            <v>150V0DD</v>
          </cell>
          <cell r="AF497">
            <v>0</v>
          </cell>
          <cell r="AG497">
            <v>2769.45</v>
          </cell>
          <cell r="AH497">
            <v>2769.45</v>
          </cell>
        </row>
        <row r="498">
          <cell r="AE498" t="str">
            <v>150V0DE</v>
          </cell>
          <cell r="AF498">
            <v>0</v>
          </cell>
          <cell r="AG498">
            <v>2522.5500000000002</v>
          </cell>
          <cell r="AH498">
            <v>2522.5500000000002</v>
          </cell>
        </row>
        <row r="499">
          <cell r="AE499" t="str">
            <v>117D1T2</v>
          </cell>
          <cell r="AF499">
            <v>2995.47</v>
          </cell>
          <cell r="AG499">
            <v>1891.88</v>
          </cell>
          <cell r="AH499">
            <v>1891.88</v>
          </cell>
        </row>
        <row r="500">
          <cell r="AE500" t="str">
            <v>150C0DQ</v>
          </cell>
          <cell r="AF500">
            <v>2995.47</v>
          </cell>
          <cell r="AG500">
            <v>1891.88</v>
          </cell>
          <cell r="AH500">
            <v>1891.88</v>
          </cell>
        </row>
        <row r="501">
          <cell r="AE501" t="str">
            <v>150U08U</v>
          </cell>
          <cell r="AF501">
            <v>2904.63</v>
          </cell>
          <cell r="AG501">
            <v>1834.5</v>
          </cell>
          <cell r="AH501">
            <v>1834.5</v>
          </cell>
        </row>
        <row r="502">
          <cell r="AE502" t="str">
            <v>207005H</v>
          </cell>
          <cell r="AF502">
            <v>3034.72</v>
          </cell>
          <cell r="AG502">
            <v>5750</v>
          </cell>
          <cell r="AH502">
            <v>5750</v>
          </cell>
        </row>
        <row r="503">
          <cell r="AE503" t="str">
            <v>2070061</v>
          </cell>
          <cell r="AF503">
            <v>3034.72</v>
          </cell>
          <cell r="AG503">
            <v>5750</v>
          </cell>
          <cell r="AH503">
            <v>5750</v>
          </cell>
        </row>
        <row r="504">
          <cell r="AE504" t="str">
            <v>E0008694</v>
          </cell>
          <cell r="AF504">
            <v>0</v>
          </cell>
          <cell r="AG504">
            <v>1870</v>
          </cell>
          <cell r="AH504">
            <v>1870</v>
          </cell>
        </row>
        <row r="505">
          <cell r="AE505" t="str">
            <v>E0008695</v>
          </cell>
          <cell r="AF505">
            <v>0</v>
          </cell>
          <cell r="AG505">
            <v>1870</v>
          </cell>
          <cell r="AH505">
            <v>1870</v>
          </cell>
        </row>
        <row r="506">
          <cell r="AE506" t="str">
            <v>E0008696</v>
          </cell>
          <cell r="AF506">
            <v>0</v>
          </cell>
          <cell r="AG506">
            <v>1870</v>
          </cell>
          <cell r="AH506">
            <v>1870</v>
          </cell>
        </row>
        <row r="507">
          <cell r="AE507" t="str">
            <v>EE100095</v>
          </cell>
          <cell r="AF507">
            <v>0</v>
          </cell>
          <cell r="AG507">
            <v>1643</v>
          </cell>
          <cell r="AH507">
            <v>1643</v>
          </cell>
        </row>
        <row r="508">
          <cell r="AE508" t="str">
            <v>EE100096</v>
          </cell>
          <cell r="AF508">
            <v>0</v>
          </cell>
          <cell r="AG508">
            <v>1643</v>
          </cell>
          <cell r="AH508">
            <v>1643</v>
          </cell>
        </row>
        <row r="509">
          <cell r="AE509" t="str">
            <v>EE100097</v>
          </cell>
          <cell r="AF509">
            <v>0</v>
          </cell>
          <cell r="AG509">
            <v>1643</v>
          </cell>
          <cell r="AH509">
            <v>1643</v>
          </cell>
        </row>
        <row r="510">
          <cell r="AE510" t="str">
            <v>EE100098</v>
          </cell>
          <cell r="AF510">
            <v>0</v>
          </cell>
          <cell r="AG510">
            <v>1643</v>
          </cell>
          <cell r="AH510">
            <v>1643</v>
          </cell>
        </row>
        <row r="511">
          <cell r="AE511" t="str">
            <v>EE100099</v>
          </cell>
          <cell r="AF511">
            <v>0</v>
          </cell>
          <cell r="AG511">
            <v>1051</v>
          </cell>
          <cell r="AH511">
            <v>1051</v>
          </cell>
        </row>
        <row r="512">
          <cell r="AE512" t="str">
            <v>E0008754</v>
          </cell>
          <cell r="AF512">
            <v>0</v>
          </cell>
          <cell r="AG512">
            <v>2995</v>
          </cell>
          <cell r="AH512">
            <v>2995</v>
          </cell>
        </row>
        <row r="513">
          <cell r="AE513" t="str">
            <v>E0008596</v>
          </cell>
          <cell r="AF513">
            <v>0</v>
          </cell>
          <cell r="AG513">
            <v>664.63</v>
          </cell>
          <cell r="AH513">
            <v>664.63</v>
          </cell>
        </row>
        <row r="514">
          <cell r="AE514" t="str">
            <v>E0008597</v>
          </cell>
          <cell r="AF514">
            <v>0</v>
          </cell>
          <cell r="AG514">
            <v>664.63</v>
          </cell>
          <cell r="AH514">
            <v>664.63</v>
          </cell>
        </row>
        <row r="515">
          <cell r="AE515" t="str">
            <v>E0008691</v>
          </cell>
          <cell r="AF515">
            <v>0</v>
          </cell>
          <cell r="AG515">
            <v>641.20000000000005</v>
          </cell>
          <cell r="AH515">
            <v>641.20000000000005</v>
          </cell>
        </row>
        <row r="516">
          <cell r="AE516" t="str">
            <v>E0008972</v>
          </cell>
          <cell r="AF516">
            <v>0</v>
          </cell>
          <cell r="AG516">
            <v>3072.63</v>
          </cell>
          <cell r="AH516">
            <v>3072.63</v>
          </cell>
        </row>
        <row r="517">
          <cell r="AE517" t="str">
            <v>E0008973</v>
          </cell>
          <cell r="AF517">
            <v>0</v>
          </cell>
          <cell r="AG517">
            <v>3072.63</v>
          </cell>
          <cell r="AH517">
            <v>3072.63</v>
          </cell>
        </row>
        <row r="518">
          <cell r="AE518" t="str">
            <v>E0008548</v>
          </cell>
          <cell r="AF518">
            <v>0</v>
          </cell>
          <cell r="AG518">
            <v>445</v>
          </cell>
          <cell r="AH518">
            <v>445</v>
          </cell>
        </row>
        <row r="519">
          <cell r="AE519" t="str">
            <v xml:space="preserve">EE1001001    </v>
          </cell>
          <cell r="AF519">
            <v>0</v>
          </cell>
          <cell r="AG519">
            <v>2700</v>
          </cell>
          <cell r="AH519">
            <v>1512</v>
          </cell>
        </row>
        <row r="520">
          <cell r="AE520" t="str">
            <v xml:space="preserve">EE1001002    </v>
          </cell>
          <cell r="AF520">
            <v>0</v>
          </cell>
          <cell r="AG520">
            <v>2700</v>
          </cell>
          <cell r="AH520">
            <v>1188</v>
          </cell>
        </row>
        <row r="521">
          <cell r="AE521" t="str">
            <v xml:space="preserve">EE1005241    </v>
          </cell>
          <cell r="AF521">
            <v>0</v>
          </cell>
          <cell r="AG521">
            <v>2700</v>
          </cell>
          <cell r="AH521">
            <v>1809</v>
          </cell>
        </row>
        <row r="522">
          <cell r="AE522" t="str">
            <v xml:space="preserve">EE1005242    </v>
          </cell>
          <cell r="AF522">
            <v>0</v>
          </cell>
          <cell r="AG522">
            <v>2700</v>
          </cell>
          <cell r="AH522">
            <v>891</v>
          </cell>
        </row>
        <row r="523">
          <cell r="AE523" t="str">
            <v>E0008927</v>
          </cell>
          <cell r="AF523">
            <v>0</v>
          </cell>
          <cell r="AG523">
            <v>2385</v>
          </cell>
          <cell r="AH523">
            <v>2385</v>
          </cell>
        </row>
        <row r="524">
          <cell r="AE524" t="str">
            <v>E0008928</v>
          </cell>
          <cell r="AF524">
            <v>0</v>
          </cell>
          <cell r="AG524">
            <v>2710</v>
          </cell>
          <cell r="AH524">
            <v>2710</v>
          </cell>
        </row>
        <row r="525">
          <cell r="AE525" t="str">
            <v>EE100739</v>
          </cell>
          <cell r="AF525">
            <v>0</v>
          </cell>
          <cell r="AG525">
            <v>2485</v>
          </cell>
          <cell r="AH525">
            <v>2485</v>
          </cell>
        </row>
        <row r="526">
          <cell r="AE526" t="str">
            <v>EE100740</v>
          </cell>
          <cell r="AF526">
            <v>0</v>
          </cell>
          <cell r="AG526">
            <v>2485</v>
          </cell>
          <cell r="AH526">
            <v>2485</v>
          </cell>
        </row>
        <row r="527">
          <cell r="AE527" t="str">
            <v>E0008756</v>
          </cell>
          <cell r="AF527">
            <v>0</v>
          </cell>
          <cell r="AG527">
            <v>2005</v>
          </cell>
          <cell r="AH527">
            <v>2005</v>
          </cell>
        </row>
        <row r="528">
          <cell r="AE528" t="str">
            <v>EE100664</v>
          </cell>
          <cell r="AF528">
            <v>0</v>
          </cell>
          <cell r="AG528">
            <v>1222</v>
          </cell>
          <cell r="AH528">
            <v>1222</v>
          </cell>
        </row>
        <row r="529">
          <cell r="AE529" t="str">
            <v>147V0NZ</v>
          </cell>
          <cell r="AF529">
            <v>2175.27</v>
          </cell>
          <cell r="AG529">
            <v>1373.85</v>
          </cell>
          <cell r="AH529">
            <v>1373.85</v>
          </cell>
        </row>
        <row r="530">
          <cell r="AE530" t="str">
            <v>147V0P5</v>
          </cell>
          <cell r="AF530">
            <v>2175.27</v>
          </cell>
          <cell r="AG530">
            <v>1373.85</v>
          </cell>
          <cell r="AH530">
            <v>1373.85</v>
          </cell>
        </row>
        <row r="531">
          <cell r="AE531" t="str">
            <v>048Q1P0</v>
          </cell>
          <cell r="AF531">
            <v>2846.08</v>
          </cell>
          <cell r="AG531">
            <v>1348.15</v>
          </cell>
          <cell r="AH531">
            <v>1348.15</v>
          </cell>
        </row>
        <row r="532">
          <cell r="AE532" t="str">
            <v>108E1UC</v>
          </cell>
          <cell r="AF532">
            <v>2846.08</v>
          </cell>
          <cell r="AG532">
            <v>1348.15</v>
          </cell>
          <cell r="AH532">
            <v>1348.15</v>
          </cell>
        </row>
        <row r="533">
          <cell r="AE533" t="str">
            <v>108Q10Y</v>
          </cell>
          <cell r="AF533">
            <v>2846.08</v>
          </cell>
          <cell r="AG533">
            <v>1348.15</v>
          </cell>
          <cell r="AH533">
            <v>1348.15</v>
          </cell>
        </row>
        <row r="534">
          <cell r="AE534" t="str">
            <v>E0008195</v>
          </cell>
          <cell r="AF534">
            <v>0</v>
          </cell>
          <cell r="AG534">
            <v>20004.599999999999</v>
          </cell>
          <cell r="AH534">
            <v>20004.599999999999</v>
          </cell>
        </row>
        <row r="535">
          <cell r="AE535" t="str">
            <v xml:space="preserve">E10000071    </v>
          </cell>
          <cell r="AF535">
            <v>0</v>
          </cell>
          <cell r="AG535">
            <v>3205</v>
          </cell>
          <cell r="AH535">
            <v>1602.5</v>
          </cell>
        </row>
        <row r="536">
          <cell r="AE536" t="str">
            <v xml:space="preserve">E10000072    </v>
          </cell>
          <cell r="AF536">
            <v>0</v>
          </cell>
          <cell r="AG536">
            <v>3205</v>
          </cell>
          <cell r="AH536">
            <v>801.25</v>
          </cell>
        </row>
        <row r="537">
          <cell r="AE537" t="str">
            <v xml:space="preserve">E10000073    </v>
          </cell>
          <cell r="AF537">
            <v>0</v>
          </cell>
          <cell r="AG537">
            <v>3205</v>
          </cell>
          <cell r="AH537">
            <v>801.25</v>
          </cell>
        </row>
        <row r="538">
          <cell r="AE538" t="str">
            <v xml:space="preserve">E10000081    </v>
          </cell>
          <cell r="AF538">
            <v>0</v>
          </cell>
          <cell r="AG538">
            <v>3205</v>
          </cell>
          <cell r="AH538">
            <v>1602.5</v>
          </cell>
        </row>
        <row r="539">
          <cell r="AE539" t="str">
            <v xml:space="preserve">E10000082    </v>
          </cell>
          <cell r="AF539">
            <v>0</v>
          </cell>
          <cell r="AG539">
            <v>3205</v>
          </cell>
          <cell r="AH539">
            <v>801.25</v>
          </cell>
        </row>
        <row r="540">
          <cell r="AE540" t="str">
            <v xml:space="preserve">E10000083    </v>
          </cell>
          <cell r="AF540">
            <v>0</v>
          </cell>
          <cell r="AG540">
            <v>3205</v>
          </cell>
          <cell r="AH540">
            <v>801.25</v>
          </cell>
        </row>
        <row r="541">
          <cell r="AE541" t="str">
            <v>E0008486</v>
          </cell>
          <cell r="AF541">
            <v>0</v>
          </cell>
          <cell r="AG541">
            <v>5000</v>
          </cell>
          <cell r="AH541">
            <v>5000</v>
          </cell>
        </row>
        <row r="542">
          <cell r="AE542" t="str">
            <v>E0008487</v>
          </cell>
          <cell r="AF542">
            <v>0</v>
          </cell>
          <cell r="AG542">
            <v>5000</v>
          </cell>
          <cell r="AH542">
            <v>5000</v>
          </cell>
        </row>
        <row r="543">
          <cell r="AE543" t="str">
            <v>E0008484</v>
          </cell>
          <cell r="AF543">
            <v>0</v>
          </cell>
          <cell r="AG543">
            <v>1872.98</v>
          </cell>
          <cell r="AH543">
            <v>1872.98</v>
          </cell>
        </row>
        <row r="544">
          <cell r="AE544" t="str">
            <v>E0008485</v>
          </cell>
          <cell r="AF544">
            <v>0</v>
          </cell>
          <cell r="AG544">
            <v>1872.98</v>
          </cell>
          <cell r="AH544">
            <v>1872.98</v>
          </cell>
        </row>
        <row r="545">
          <cell r="AE545" t="str">
            <v>EE100724</v>
          </cell>
          <cell r="AF545">
            <v>0</v>
          </cell>
          <cell r="AG545">
            <v>598.75</v>
          </cell>
          <cell r="AH545">
            <v>598.75</v>
          </cell>
        </row>
        <row r="546">
          <cell r="AE546" t="str">
            <v>EE100725</v>
          </cell>
          <cell r="AF546">
            <v>0</v>
          </cell>
          <cell r="AG546">
            <v>598.75</v>
          </cell>
          <cell r="AH546">
            <v>598.75</v>
          </cell>
        </row>
        <row r="547">
          <cell r="AE547" t="str">
            <v>EE100685</v>
          </cell>
          <cell r="AF547">
            <v>0</v>
          </cell>
          <cell r="AG547">
            <v>515</v>
          </cell>
          <cell r="AH547">
            <v>515</v>
          </cell>
        </row>
        <row r="548">
          <cell r="AE548" t="str">
            <v>EE100686</v>
          </cell>
          <cell r="AF548">
            <v>0</v>
          </cell>
          <cell r="AG548">
            <v>515</v>
          </cell>
          <cell r="AH548">
            <v>515</v>
          </cell>
        </row>
        <row r="549">
          <cell r="AE549" t="str">
            <v>EE100669</v>
          </cell>
          <cell r="AF549">
            <v>0</v>
          </cell>
          <cell r="AG549">
            <v>512.5</v>
          </cell>
          <cell r="AH549">
            <v>512.5</v>
          </cell>
        </row>
        <row r="550">
          <cell r="AE550" t="str">
            <v>EE100670</v>
          </cell>
          <cell r="AF550">
            <v>0</v>
          </cell>
          <cell r="AG550">
            <v>512.5</v>
          </cell>
          <cell r="AH550">
            <v>512.5</v>
          </cell>
        </row>
        <row r="551">
          <cell r="AE551" t="str">
            <v>EE100671</v>
          </cell>
          <cell r="AF551">
            <v>0</v>
          </cell>
          <cell r="AG551">
            <v>512.5</v>
          </cell>
          <cell r="AH551">
            <v>512.5</v>
          </cell>
        </row>
        <row r="552">
          <cell r="AE552" t="str">
            <v>EE100672</v>
          </cell>
          <cell r="AF552">
            <v>0</v>
          </cell>
          <cell r="AG552">
            <v>512.5</v>
          </cell>
          <cell r="AH552">
            <v>512.5</v>
          </cell>
        </row>
        <row r="553">
          <cell r="AE553" t="str">
            <v>E0009046</v>
          </cell>
          <cell r="AF553">
            <v>0</v>
          </cell>
          <cell r="AG553">
            <v>1475</v>
          </cell>
          <cell r="AH553">
            <v>1475</v>
          </cell>
        </row>
        <row r="554">
          <cell r="AE554" t="str">
            <v>E1000004</v>
          </cell>
          <cell r="AF554">
            <v>0</v>
          </cell>
          <cell r="AG554">
            <v>1838.4</v>
          </cell>
          <cell r="AH554">
            <v>1838.4</v>
          </cell>
        </row>
        <row r="555">
          <cell r="AE555" t="str">
            <v>E1000005</v>
          </cell>
          <cell r="AF555">
            <v>0</v>
          </cell>
          <cell r="AG555">
            <v>1838.4</v>
          </cell>
          <cell r="AH555">
            <v>1838.4</v>
          </cell>
        </row>
        <row r="556">
          <cell r="AE556" t="str">
            <v>E1000006</v>
          </cell>
          <cell r="AF556">
            <v>0</v>
          </cell>
          <cell r="AG556">
            <v>1313.8</v>
          </cell>
          <cell r="AH556">
            <v>1313.8</v>
          </cell>
        </row>
        <row r="557">
          <cell r="AE557" t="str">
            <v>147A3W2</v>
          </cell>
          <cell r="AF557">
            <v>120.28</v>
          </cell>
          <cell r="AG557">
            <v>227.9</v>
          </cell>
          <cell r="AH557">
            <v>227.9</v>
          </cell>
        </row>
        <row r="558">
          <cell r="AE558" t="str">
            <v>EZJE0003</v>
          </cell>
          <cell r="AF558">
            <v>0</v>
          </cell>
          <cell r="AG558">
            <v>29981.02</v>
          </cell>
          <cell r="AH558">
            <v>29981.02</v>
          </cell>
        </row>
        <row r="559">
          <cell r="AE559" t="str">
            <v>W2040B2B2</v>
          </cell>
          <cell r="AF559">
            <v>720.04000000000008</v>
          </cell>
          <cell r="AG559">
            <v>376.5</v>
          </cell>
          <cell r="AH559">
            <v>376.5</v>
          </cell>
        </row>
        <row r="560">
          <cell r="AE560" t="str">
            <v>E0008753</v>
          </cell>
          <cell r="AF560">
            <v>0</v>
          </cell>
          <cell r="AG560">
            <v>2047.5</v>
          </cell>
          <cell r="AH560">
            <v>2047.5</v>
          </cell>
        </row>
        <row r="561">
          <cell r="AE561" t="str">
            <v>EC2JFYN1</v>
          </cell>
          <cell r="AF561">
            <v>0</v>
          </cell>
          <cell r="AG561">
            <v>415</v>
          </cell>
          <cell r="AH561">
            <v>415</v>
          </cell>
        </row>
        <row r="562">
          <cell r="AE562" t="str">
            <v>E8H61FV1</v>
          </cell>
          <cell r="AF562">
            <v>0</v>
          </cell>
          <cell r="AG562">
            <v>428</v>
          </cell>
          <cell r="AH562">
            <v>428</v>
          </cell>
        </row>
        <row r="563">
          <cell r="AE563" t="str">
            <v>EB7V93Q1</v>
          </cell>
          <cell r="AF563">
            <v>0</v>
          </cell>
          <cell r="AG563">
            <v>428</v>
          </cell>
          <cell r="AH563">
            <v>428</v>
          </cell>
        </row>
        <row r="564">
          <cell r="AE564" t="str">
            <v>EC31Q4Q1</v>
          </cell>
          <cell r="AF564">
            <v>0</v>
          </cell>
          <cell r="AG564">
            <v>415</v>
          </cell>
          <cell r="AH564">
            <v>415</v>
          </cell>
        </row>
        <row r="565">
          <cell r="AE565" t="str">
            <v>EDY9843X</v>
          </cell>
          <cell r="AF565">
            <v>0</v>
          </cell>
          <cell r="AG565">
            <v>686.19</v>
          </cell>
          <cell r="AH565">
            <v>686.19</v>
          </cell>
        </row>
        <row r="566">
          <cell r="AE566" t="str">
            <v>E9RG40P1</v>
          </cell>
          <cell r="AF566">
            <v>0</v>
          </cell>
          <cell r="AG566">
            <v>405</v>
          </cell>
          <cell r="AH566">
            <v>405</v>
          </cell>
        </row>
        <row r="567">
          <cell r="AE567" t="str">
            <v>E9SV40P1</v>
          </cell>
          <cell r="AF567">
            <v>0</v>
          </cell>
          <cell r="AG567">
            <v>418</v>
          </cell>
          <cell r="AH567">
            <v>418</v>
          </cell>
        </row>
        <row r="568">
          <cell r="AE568" t="str">
            <v>EBHV40P1</v>
          </cell>
          <cell r="AF568">
            <v>0</v>
          </cell>
          <cell r="AG568">
            <v>418</v>
          </cell>
          <cell r="AH568">
            <v>418</v>
          </cell>
        </row>
        <row r="569">
          <cell r="AE569" t="str">
            <v>ECRV40P1</v>
          </cell>
          <cell r="AF569">
            <v>0</v>
          </cell>
          <cell r="AG569">
            <v>418</v>
          </cell>
          <cell r="AH569">
            <v>418</v>
          </cell>
        </row>
        <row r="570">
          <cell r="AE570" t="str">
            <v>EDOH40P1</v>
          </cell>
          <cell r="AF570">
            <v>0</v>
          </cell>
          <cell r="AG570">
            <v>405</v>
          </cell>
          <cell r="AH570">
            <v>405</v>
          </cell>
        </row>
        <row r="571">
          <cell r="AE571" t="str">
            <v>EINV40P1</v>
          </cell>
          <cell r="AF571">
            <v>0</v>
          </cell>
          <cell r="AG571">
            <v>418</v>
          </cell>
          <cell r="AH571">
            <v>418</v>
          </cell>
        </row>
        <row r="572">
          <cell r="AE572" t="str">
            <v>EJJV40P1</v>
          </cell>
          <cell r="AF572">
            <v>0</v>
          </cell>
          <cell r="AG572">
            <v>418</v>
          </cell>
          <cell r="AH572">
            <v>418</v>
          </cell>
        </row>
        <row r="573">
          <cell r="AE573" t="str">
            <v>EGVTXWP1</v>
          </cell>
          <cell r="AF573">
            <v>0</v>
          </cell>
          <cell r="AG573">
            <v>413.02</v>
          </cell>
          <cell r="AH573">
            <v>413.02</v>
          </cell>
        </row>
        <row r="574">
          <cell r="AE574" t="str">
            <v>EGVZVWP1</v>
          </cell>
          <cell r="AF574">
            <v>0</v>
          </cell>
          <cell r="AG574">
            <v>448</v>
          </cell>
          <cell r="AH574">
            <v>448</v>
          </cell>
        </row>
        <row r="575">
          <cell r="AE575" t="str">
            <v>EHNGOXP1</v>
          </cell>
          <cell r="AF575">
            <v>0</v>
          </cell>
          <cell r="AG575">
            <v>448</v>
          </cell>
          <cell r="AH575">
            <v>448</v>
          </cell>
        </row>
        <row r="576">
          <cell r="AE576" t="str">
            <v>E1SP5BS1</v>
          </cell>
          <cell r="AF576">
            <v>0</v>
          </cell>
          <cell r="AG576">
            <v>418.3</v>
          </cell>
          <cell r="AH576">
            <v>418.3</v>
          </cell>
        </row>
        <row r="577">
          <cell r="AE577" t="str">
            <v>E2QD6BS1</v>
          </cell>
          <cell r="AF577">
            <v>0</v>
          </cell>
          <cell r="AG577">
            <v>418.3</v>
          </cell>
          <cell r="AH577">
            <v>418.3</v>
          </cell>
        </row>
        <row r="578">
          <cell r="AE578" t="str">
            <v>EE100651</v>
          </cell>
          <cell r="AF578">
            <v>0</v>
          </cell>
          <cell r="AG578">
            <v>2316.67</v>
          </cell>
          <cell r="AH578">
            <v>2316.67</v>
          </cell>
        </row>
        <row r="579">
          <cell r="AE579" t="str">
            <v>EE100652</v>
          </cell>
          <cell r="AF579">
            <v>0</v>
          </cell>
          <cell r="AG579">
            <v>2316.67</v>
          </cell>
          <cell r="AH579">
            <v>2316.67</v>
          </cell>
        </row>
        <row r="580">
          <cell r="AE580" t="str">
            <v>EE100653</v>
          </cell>
          <cell r="AF580">
            <v>0</v>
          </cell>
          <cell r="AG580">
            <v>2316.67</v>
          </cell>
          <cell r="AH580">
            <v>2316.67</v>
          </cell>
        </row>
        <row r="581">
          <cell r="AE581" t="str">
            <v>EE100679</v>
          </cell>
          <cell r="AF581">
            <v>0</v>
          </cell>
          <cell r="AG581">
            <v>2942.55</v>
          </cell>
          <cell r="AH581">
            <v>2942.55</v>
          </cell>
        </row>
        <row r="582">
          <cell r="AE582" t="str">
            <v>63H5YM2</v>
          </cell>
          <cell r="AF582">
            <v>5594.44</v>
          </cell>
          <cell r="AG582">
            <v>2650</v>
          </cell>
          <cell r="AH582">
            <v>2650</v>
          </cell>
        </row>
        <row r="583">
          <cell r="AE583" t="str">
            <v>63H6YM2</v>
          </cell>
          <cell r="AF583">
            <v>5594.44</v>
          </cell>
          <cell r="AG583">
            <v>2650</v>
          </cell>
          <cell r="AH583">
            <v>2650</v>
          </cell>
        </row>
        <row r="584">
          <cell r="AE584" t="str">
            <v>63H9YM2</v>
          </cell>
          <cell r="AF584">
            <v>5594.44</v>
          </cell>
          <cell r="AG584">
            <v>2650</v>
          </cell>
          <cell r="AH584">
            <v>2650</v>
          </cell>
        </row>
        <row r="585">
          <cell r="AE585" t="str">
            <v>63KCYM2</v>
          </cell>
          <cell r="AF585">
            <v>6913.88</v>
          </cell>
          <cell r="AG585">
            <v>3275</v>
          </cell>
          <cell r="AH585">
            <v>3275</v>
          </cell>
        </row>
        <row r="586">
          <cell r="AE586" t="str">
            <v>63VBYM2</v>
          </cell>
          <cell r="AF586">
            <v>6913.88</v>
          </cell>
          <cell r="AG586">
            <v>3275</v>
          </cell>
          <cell r="AH586">
            <v>3275</v>
          </cell>
        </row>
        <row r="587">
          <cell r="AE587" t="str">
            <v>63W7YM2</v>
          </cell>
          <cell r="AF587">
            <v>6913.88</v>
          </cell>
          <cell r="AG587">
            <v>3275</v>
          </cell>
          <cell r="AH587">
            <v>3275</v>
          </cell>
        </row>
        <row r="588">
          <cell r="AE588" t="str">
            <v>EE100696</v>
          </cell>
          <cell r="AF588">
            <v>0</v>
          </cell>
          <cell r="AG588">
            <v>974.2</v>
          </cell>
          <cell r="AH588">
            <v>974.2</v>
          </cell>
        </row>
        <row r="589">
          <cell r="AE589" t="str">
            <v>EE100755</v>
          </cell>
          <cell r="AF589">
            <v>0</v>
          </cell>
          <cell r="AG589">
            <v>2150</v>
          </cell>
          <cell r="AH589">
            <v>2150</v>
          </cell>
        </row>
        <row r="590">
          <cell r="AE590" t="str">
            <v>EE100758</v>
          </cell>
          <cell r="AF590">
            <v>0</v>
          </cell>
          <cell r="AG590">
            <v>1125</v>
          </cell>
          <cell r="AH590">
            <v>1125</v>
          </cell>
        </row>
        <row r="591">
          <cell r="AE591" t="str">
            <v>EE100792</v>
          </cell>
          <cell r="AF591">
            <v>0</v>
          </cell>
          <cell r="AG591">
            <v>1663.66</v>
          </cell>
          <cell r="AH591">
            <v>1663.66</v>
          </cell>
        </row>
        <row r="592">
          <cell r="AE592" t="str">
            <v>EE100793</v>
          </cell>
          <cell r="AF592">
            <v>0</v>
          </cell>
          <cell r="AG592">
            <v>1663.66</v>
          </cell>
          <cell r="AH592">
            <v>1663.66</v>
          </cell>
        </row>
        <row r="593">
          <cell r="AE593" t="str">
            <v>EE100794</v>
          </cell>
          <cell r="AF593">
            <v>0</v>
          </cell>
          <cell r="AG593">
            <v>1663.66</v>
          </cell>
          <cell r="AH593">
            <v>1663.66</v>
          </cell>
        </row>
        <row r="594">
          <cell r="AE594" t="str">
            <v>EE100795</v>
          </cell>
          <cell r="AF594">
            <v>0</v>
          </cell>
          <cell r="AG594">
            <v>1663.66</v>
          </cell>
          <cell r="AH594">
            <v>1663.66</v>
          </cell>
        </row>
        <row r="595">
          <cell r="AE595" t="str">
            <v>EE100796</v>
          </cell>
          <cell r="AF595">
            <v>0</v>
          </cell>
          <cell r="AG595">
            <v>1663.66</v>
          </cell>
          <cell r="AH595">
            <v>1663.66</v>
          </cell>
        </row>
        <row r="596">
          <cell r="AE596" t="str">
            <v>EE100797</v>
          </cell>
          <cell r="AF596">
            <v>0</v>
          </cell>
          <cell r="AG596">
            <v>3309.62</v>
          </cell>
          <cell r="AH596">
            <v>3309.62</v>
          </cell>
        </row>
        <row r="597">
          <cell r="AE597" t="str">
            <v>EE100798</v>
          </cell>
          <cell r="AF597">
            <v>0</v>
          </cell>
          <cell r="AG597">
            <v>3309.62</v>
          </cell>
          <cell r="AH597">
            <v>3309.62</v>
          </cell>
        </row>
        <row r="598">
          <cell r="AE598" t="str">
            <v>EE100638</v>
          </cell>
          <cell r="AF598">
            <v>0</v>
          </cell>
          <cell r="AG598">
            <v>1503.65</v>
          </cell>
          <cell r="AH598">
            <v>1503.65</v>
          </cell>
        </row>
        <row r="599">
          <cell r="AE599" t="str">
            <v>EE100639</v>
          </cell>
          <cell r="AF599">
            <v>0</v>
          </cell>
          <cell r="AG599">
            <v>1503.65</v>
          </cell>
          <cell r="AH599">
            <v>1503.65</v>
          </cell>
        </row>
        <row r="600">
          <cell r="AE600" t="str">
            <v xml:space="preserve">E7M4Q63X1    </v>
          </cell>
          <cell r="AF600">
            <v>0</v>
          </cell>
          <cell r="AG600">
            <v>580.71</v>
          </cell>
          <cell r="AH600">
            <v>481.99</v>
          </cell>
        </row>
        <row r="601">
          <cell r="AE601" t="str">
            <v xml:space="preserve">E7M4Q63X2    </v>
          </cell>
          <cell r="AF601">
            <v>0</v>
          </cell>
          <cell r="AG601">
            <v>580.71</v>
          </cell>
          <cell r="AH601">
            <v>98.72</v>
          </cell>
        </row>
        <row r="602">
          <cell r="AE602" t="str">
            <v>E3GZJ4X1</v>
          </cell>
          <cell r="AF602">
            <v>0</v>
          </cell>
          <cell r="AG602">
            <v>530</v>
          </cell>
          <cell r="AH602">
            <v>530</v>
          </cell>
        </row>
        <row r="603">
          <cell r="AE603" t="str">
            <v>EHFZJ4X1</v>
          </cell>
          <cell r="AF603">
            <v>0</v>
          </cell>
          <cell r="AG603">
            <v>530</v>
          </cell>
          <cell r="AH603">
            <v>530</v>
          </cell>
        </row>
        <row r="604">
          <cell r="AE604" t="str">
            <v>EFX74D51</v>
          </cell>
          <cell r="AF604">
            <v>0</v>
          </cell>
          <cell r="AG604">
            <v>418.3</v>
          </cell>
          <cell r="AH604">
            <v>418.3</v>
          </cell>
        </row>
        <row r="605">
          <cell r="AE605" t="str">
            <v>EE100745</v>
          </cell>
          <cell r="AF605">
            <v>0</v>
          </cell>
          <cell r="AG605">
            <v>1511.07</v>
          </cell>
          <cell r="AH605">
            <v>1511.07</v>
          </cell>
        </row>
        <row r="606">
          <cell r="AE606" t="str">
            <v>AN06213</v>
          </cell>
          <cell r="AF606">
            <v>45574.299999999988</v>
          </cell>
          <cell r="AG606">
            <v>17270.259999999998</v>
          </cell>
          <cell r="AH606">
            <v>17270.259999999998</v>
          </cell>
        </row>
        <row r="607">
          <cell r="AE607" t="str">
            <v>AT09419</v>
          </cell>
          <cell r="AF607">
            <v>51267.619999999995</v>
          </cell>
          <cell r="AG607">
            <v>19427.73</v>
          </cell>
          <cell r="AH607">
            <v>19427.73</v>
          </cell>
        </row>
        <row r="608">
          <cell r="AE608" t="str">
            <v>AT09205</v>
          </cell>
          <cell r="AF608">
            <v>16999.07</v>
          </cell>
          <cell r="AG608">
            <v>6441.75</v>
          </cell>
          <cell r="AH608">
            <v>6441.75</v>
          </cell>
        </row>
        <row r="609">
          <cell r="AE609" t="str">
            <v>AT09208</v>
          </cell>
          <cell r="AF609">
            <v>16999.07</v>
          </cell>
          <cell r="AG609">
            <v>6441.75</v>
          </cell>
          <cell r="AH609">
            <v>6441.75</v>
          </cell>
        </row>
        <row r="610">
          <cell r="AE610" t="str">
            <v>AT09211</v>
          </cell>
          <cell r="AF610">
            <v>16999.07</v>
          </cell>
          <cell r="AG610">
            <v>6441.75</v>
          </cell>
          <cell r="AH610">
            <v>6441.75</v>
          </cell>
        </row>
        <row r="611">
          <cell r="AE611" t="str">
            <v>AT09204</v>
          </cell>
          <cell r="AF611">
            <v>16999.07</v>
          </cell>
          <cell r="AG611">
            <v>6441.75</v>
          </cell>
          <cell r="AH611">
            <v>6441.75</v>
          </cell>
        </row>
        <row r="612">
          <cell r="AE612" t="str">
            <v>AT09209</v>
          </cell>
          <cell r="AF612">
            <v>16999.07</v>
          </cell>
          <cell r="AG612">
            <v>6441.75</v>
          </cell>
          <cell r="AH612">
            <v>6441.75</v>
          </cell>
        </row>
        <row r="613">
          <cell r="AE613" t="str">
            <v>AT09206</v>
          </cell>
          <cell r="AF613">
            <v>16999.07</v>
          </cell>
          <cell r="AG613">
            <v>6441.75</v>
          </cell>
          <cell r="AH613">
            <v>6441.75</v>
          </cell>
        </row>
        <row r="614">
          <cell r="AE614" t="str">
            <v>E0009000</v>
          </cell>
          <cell r="AF614">
            <v>0</v>
          </cell>
          <cell r="AG614">
            <v>230</v>
          </cell>
          <cell r="AH614">
            <v>230</v>
          </cell>
        </row>
        <row r="615">
          <cell r="AE615" t="str">
            <v>5202G1X</v>
          </cell>
          <cell r="AF615">
            <v>1065.08</v>
          </cell>
          <cell r="AG615">
            <v>235.61</v>
          </cell>
          <cell r="AH615">
            <v>235.61</v>
          </cell>
        </row>
        <row r="616">
          <cell r="AE616" t="str">
            <v>5245726</v>
          </cell>
          <cell r="AF616">
            <v>1065.08</v>
          </cell>
          <cell r="AG616">
            <v>235.61</v>
          </cell>
          <cell r="AH616">
            <v>235.61</v>
          </cell>
        </row>
        <row r="617">
          <cell r="AE617" t="str">
            <v>524572D</v>
          </cell>
          <cell r="AF617">
            <v>1065.0700000000002</v>
          </cell>
          <cell r="AG617">
            <v>235.61</v>
          </cell>
          <cell r="AH617">
            <v>235.61</v>
          </cell>
        </row>
        <row r="618">
          <cell r="AE618" t="str">
            <v>5301M3X</v>
          </cell>
          <cell r="AF618">
            <v>621.75</v>
          </cell>
          <cell r="AG618">
            <v>235.61</v>
          </cell>
          <cell r="AH618">
            <v>235.61</v>
          </cell>
        </row>
        <row r="619">
          <cell r="AE619" t="str">
            <v>5311QD4</v>
          </cell>
          <cell r="AF619">
            <v>1299.3999999999996</v>
          </cell>
          <cell r="AG619">
            <v>235.61</v>
          </cell>
          <cell r="AH619">
            <v>235.61</v>
          </cell>
        </row>
        <row r="620">
          <cell r="AE620" t="str">
            <v>5311QDB</v>
          </cell>
          <cell r="AF620">
            <v>621.75</v>
          </cell>
          <cell r="AG620">
            <v>235.61</v>
          </cell>
          <cell r="AH620">
            <v>235.61</v>
          </cell>
        </row>
        <row r="621">
          <cell r="AE621" t="str">
            <v>5311QDF</v>
          </cell>
          <cell r="AF621">
            <v>621.75</v>
          </cell>
          <cell r="AG621">
            <v>235.61</v>
          </cell>
          <cell r="AH621">
            <v>235.61</v>
          </cell>
        </row>
        <row r="622">
          <cell r="AE622" t="str">
            <v>5311QDK</v>
          </cell>
          <cell r="AF622">
            <v>621.80000000000018</v>
          </cell>
          <cell r="AG622">
            <v>235.63</v>
          </cell>
          <cell r="AH622">
            <v>235.63</v>
          </cell>
        </row>
        <row r="623">
          <cell r="AE623" t="str">
            <v>5311QDQ</v>
          </cell>
          <cell r="AF623">
            <v>621.75</v>
          </cell>
          <cell r="AG623">
            <v>235.61</v>
          </cell>
          <cell r="AH623">
            <v>235.61</v>
          </cell>
        </row>
        <row r="624">
          <cell r="AE624" t="str">
            <v>5354JYM</v>
          </cell>
          <cell r="AF624">
            <v>621.75</v>
          </cell>
          <cell r="AG624">
            <v>235.61</v>
          </cell>
          <cell r="AH624">
            <v>235.61</v>
          </cell>
        </row>
        <row r="625">
          <cell r="AE625" t="str">
            <v>5354JYP</v>
          </cell>
          <cell r="AF625">
            <v>621.75</v>
          </cell>
          <cell r="AG625">
            <v>235.61</v>
          </cell>
          <cell r="AH625">
            <v>235.61</v>
          </cell>
        </row>
        <row r="626">
          <cell r="AE626" t="str">
            <v>5354JYT?</v>
          </cell>
          <cell r="AF626">
            <v>621.75</v>
          </cell>
          <cell r="AG626">
            <v>235.61</v>
          </cell>
          <cell r="AH626">
            <v>235.61</v>
          </cell>
        </row>
        <row r="627">
          <cell r="AE627" t="str">
            <v>5354JYV?</v>
          </cell>
          <cell r="AF627">
            <v>621.75</v>
          </cell>
          <cell r="AG627">
            <v>235.61</v>
          </cell>
          <cell r="AH627">
            <v>235.61</v>
          </cell>
        </row>
        <row r="628">
          <cell r="AE628" t="str">
            <v>5354OYR?</v>
          </cell>
          <cell r="AF628">
            <v>621.75</v>
          </cell>
          <cell r="AG628">
            <v>235.61</v>
          </cell>
          <cell r="AH628">
            <v>235.61</v>
          </cell>
        </row>
        <row r="629">
          <cell r="AE629" t="str">
            <v>5356LRM</v>
          </cell>
          <cell r="AF629">
            <v>621.75</v>
          </cell>
          <cell r="AG629">
            <v>235.61</v>
          </cell>
          <cell r="AH629">
            <v>235.61</v>
          </cell>
        </row>
        <row r="630">
          <cell r="AE630" t="str">
            <v>5365CCY?</v>
          </cell>
          <cell r="AF630">
            <v>621.75</v>
          </cell>
          <cell r="AG630">
            <v>235.61</v>
          </cell>
          <cell r="AH630">
            <v>235.61</v>
          </cell>
        </row>
        <row r="631">
          <cell r="AE631" t="str">
            <v>5365CN1</v>
          </cell>
          <cell r="AF631">
            <v>621.75</v>
          </cell>
          <cell r="AG631">
            <v>235.61</v>
          </cell>
          <cell r="AH631">
            <v>235.61</v>
          </cell>
        </row>
        <row r="632">
          <cell r="AE632" t="str">
            <v>5365CNC</v>
          </cell>
          <cell r="AF632">
            <v>621.75</v>
          </cell>
          <cell r="AG632">
            <v>235.61</v>
          </cell>
          <cell r="AH632">
            <v>235.61</v>
          </cell>
        </row>
        <row r="633">
          <cell r="AE633" t="str">
            <v>5365LMF</v>
          </cell>
          <cell r="AF633">
            <v>621.75</v>
          </cell>
          <cell r="AG633">
            <v>235.61</v>
          </cell>
          <cell r="AH633">
            <v>235.61</v>
          </cell>
        </row>
        <row r="634">
          <cell r="AE634" t="str">
            <v>5365LMG</v>
          </cell>
          <cell r="AF634">
            <v>621.75</v>
          </cell>
          <cell r="AG634">
            <v>235.61</v>
          </cell>
          <cell r="AH634">
            <v>235.61</v>
          </cell>
        </row>
        <row r="635">
          <cell r="AE635" t="str">
            <v>5365LMJ</v>
          </cell>
          <cell r="AF635">
            <v>621.75</v>
          </cell>
          <cell r="AG635">
            <v>235.61</v>
          </cell>
          <cell r="AH635">
            <v>235.61</v>
          </cell>
        </row>
        <row r="636">
          <cell r="AE636" t="str">
            <v>5365LMK</v>
          </cell>
          <cell r="AF636">
            <v>621.75</v>
          </cell>
          <cell r="AG636">
            <v>235.61</v>
          </cell>
          <cell r="AH636">
            <v>235.61</v>
          </cell>
        </row>
        <row r="637">
          <cell r="AE637" t="str">
            <v>5365LMN</v>
          </cell>
          <cell r="AF637">
            <v>621.75</v>
          </cell>
          <cell r="AG637">
            <v>235.61</v>
          </cell>
          <cell r="AH637">
            <v>235.61</v>
          </cell>
        </row>
        <row r="638">
          <cell r="AE638" t="str">
            <v>5365LMP</v>
          </cell>
          <cell r="AF638">
            <v>621.75</v>
          </cell>
          <cell r="AG638">
            <v>235.61</v>
          </cell>
          <cell r="AH638">
            <v>235.61</v>
          </cell>
        </row>
        <row r="639">
          <cell r="AE639" t="str">
            <v>5365LMQ</v>
          </cell>
          <cell r="AF639">
            <v>621.75</v>
          </cell>
          <cell r="AG639">
            <v>235.61</v>
          </cell>
          <cell r="AH639">
            <v>235.61</v>
          </cell>
        </row>
        <row r="640">
          <cell r="AE640" t="str">
            <v>5365LMR</v>
          </cell>
          <cell r="AF640">
            <v>621.75</v>
          </cell>
          <cell r="AG640">
            <v>235.61</v>
          </cell>
          <cell r="AH640">
            <v>235.61</v>
          </cell>
        </row>
        <row r="641">
          <cell r="AE641" t="str">
            <v>5365LMV</v>
          </cell>
          <cell r="AF641">
            <v>621.75</v>
          </cell>
          <cell r="AG641">
            <v>235.61</v>
          </cell>
          <cell r="AH641">
            <v>235.61</v>
          </cell>
        </row>
        <row r="642">
          <cell r="AE642" t="str">
            <v>5365LMW</v>
          </cell>
          <cell r="AF642">
            <v>621.75</v>
          </cell>
          <cell r="AG642">
            <v>235.61</v>
          </cell>
          <cell r="AH642">
            <v>235.61</v>
          </cell>
        </row>
        <row r="643">
          <cell r="AE643" t="str">
            <v>5365LN2</v>
          </cell>
          <cell r="AF643">
            <v>621.75</v>
          </cell>
          <cell r="AG643">
            <v>235.61</v>
          </cell>
          <cell r="AH643">
            <v>235.61</v>
          </cell>
        </row>
        <row r="644">
          <cell r="AE644" t="str">
            <v>5365LN3</v>
          </cell>
          <cell r="AF644">
            <v>621.75</v>
          </cell>
          <cell r="AG644">
            <v>235.61</v>
          </cell>
          <cell r="AH644">
            <v>235.61</v>
          </cell>
        </row>
        <row r="645">
          <cell r="AE645" t="str">
            <v>5365LN4</v>
          </cell>
          <cell r="AF645">
            <v>621.75</v>
          </cell>
          <cell r="AG645">
            <v>235.61</v>
          </cell>
          <cell r="AH645">
            <v>235.61</v>
          </cell>
        </row>
        <row r="646">
          <cell r="AE646" t="str">
            <v>5365LN6</v>
          </cell>
          <cell r="AF646">
            <v>621.75</v>
          </cell>
          <cell r="AG646">
            <v>235.61</v>
          </cell>
          <cell r="AH646">
            <v>235.61</v>
          </cell>
        </row>
        <row r="647">
          <cell r="AE647" t="str">
            <v>5365LN7</v>
          </cell>
          <cell r="AF647">
            <v>621.75</v>
          </cell>
          <cell r="AG647">
            <v>235.61</v>
          </cell>
          <cell r="AH647">
            <v>235.61</v>
          </cell>
        </row>
        <row r="648">
          <cell r="AE648" t="str">
            <v>5365LN9</v>
          </cell>
          <cell r="AF648">
            <v>1299.3999999999996</v>
          </cell>
          <cell r="AG648">
            <v>235.61</v>
          </cell>
          <cell r="AH648">
            <v>235.61</v>
          </cell>
        </row>
        <row r="649">
          <cell r="AE649" t="str">
            <v>5365LNB</v>
          </cell>
          <cell r="AF649">
            <v>621.75</v>
          </cell>
          <cell r="AG649">
            <v>235.61</v>
          </cell>
          <cell r="AH649">
            <v>235.61</v>
          </cell>
        </row>
        <row r="650">
          <cell r="AE650" t="str">
            <v>5365LNG</v>
          </cell>
          <cell r="AF650">
            <v>621.75</v>
          </cell>
          <cell r="AG650">
            <v>235.61</v>
          </cell>
          <cell r="AH650">
            <v>235.61</v>
          </cell>
        </row>
        <row r="651">
          <cell r="AE651" t="str">
            <v>5365LNO</v>
          </cell>
          <cell r="AF651">
            <v>621.75</v>
          </cell>
          <cell r="AG651">
            <v>235.61</v>
          </cell>
          <cell r="AH651">
            <v>235.61</v>
          </cell>
        </row>
        <row r="652">
          <cell r="AE652" t="str">
            <v>5365LPL</v>
          </cell>
          <cell r="AF652">
            <v>621.75</v>
          </cell>
          <cell r="AG652">
            <v>235.61</v>
          </cell>
          <cell r="AH652">
            <v>235.61</v>
          </cell>
        </row>
        <row r="653">
          <cell r="AE653" t="str">
            <v>5365LPM</v>
          </cell>
          <cell r="AF653">
            <v>621.75</v>
          </cell>
          <cell r="AG653">
            <v>235.61</v>
          </cell>
          <cell r="AH653">
            <v>235.61</v>
          </cell>
        </row>
        <row r="654">
          <cell r="AE654" t="str">
            <v>5365LPN</v>
          </cell>
          <cell r="AF654">
            <v>621.75</v>
          </cell>
          <cell r="AG654">
            <v>235.61</v>
          </cell>
          <cell r="AH654">
            <v>235.61</v>
          </cell>
        </row>
        <row r="655">
          <cell r="AE655" t="str">
            <v>5365LPP</v>
          </cell>
          <cell r="AF655">
            <v>621.75</v>
          </cell>
          <cell r="AG655">
            <v>235.61</v>
          </cell>
          <cell r="AH655">
            <v>235.61</v>
          </cell>
        </row>
        <row r="656">
          <cell r="AE656" t="str">
            <v>5365LPQ</v>
          </cell>
          <cell r="AF656">
            <v>621.75</v>
          </cell>
          <cell r="AG656">
            <v>235.61</v>
          </cell>
          <cell r="AH656">
            <v>235.61</v>
          </cell>
        </row>
        <row r="657">
          <cell r="AE657" t="str">
            <v>5365LPR</v>
          </cell>
          <cell r="AF657">
            <v>621.75</v>
          </cell>
          <cell r="AG657">
            <v>235.61</v>
          </cell>
          <cell r="AH657">
            <v>235.61</v>
          </cell>
        </row>
        <row r="658">
          <cell r="AE658" t="str">
            <v>5365LPS</v>
          </cell>
          <cell r="AF658">
            <v>621.75</v>
          </cell>
          <cell r="AG658">
            <v>235.61</v>
          </cell>
          <cell r="AH658">
            <v>235.61</v>
          </cell>
        </row>
        <row r="659">
          <cell r="AE659" t="str">
            <v>5365LPT</v>
          </cell>
          <cell r="AF659">
            <v>621.75</v>
          </cell>
          <cell r="AG659">
            <v>235.61</v>
          </cell>
          <cell r="AH659">
            <v>235.61</v>
          </cell>
        </row>
        <row r="660">
          <cell r="AE660" t="str">
            <v>5365LPV</v>
          </cell>
          <cell r="AF660">
            <v>621.75</v>
          </cell>
          <cell r="AG660">
            <v>235.61</v>
          </cell>
          <cell r="AH660">
            <v>235.61</v>
          </cell>
        </row>
        <row r="661">
          <cell r="AE661" t="str">
            <v>5365LPW</v>
          </cell>
          <cell r="AF661">
            <v>621.75</v>
          </cell>
          <cell r="AG661">
            <v>235.61</v>
          </cell>
          <cell r="AH661">
            <v>235.61</v>
          </cell>
        </row>
        <row r="662">
          <cell r="AE662" t="str">
            <v>5365LPX</v>
          </cell>
          <cell r="AF662">
            <v>621.75</v>
          </cell>
          <cell r="AG662">
            <v>235.61</v>
          </cell>
          <cell r="AH662">
            <v>235.61</v>
          </cell>
        </row>
        <row r="663">
          <cell r="AE663" t="str">
            <v>5365LPY</v>
          </cell>
          <cell r="AF663">
            <v>621.75</v>
          </cell>
          <cell r="AG663">
            <v>235.61</v>
          </cell>
          <cell r="AH663">
            <v>235.61</v>
          </cell>
        </row>
        <row r="664">
          <cell r="AE664" t="str">
            <v>5365LPZ</v>
          </cell>
          <cell r="AF664">
            <v>1276.2200000000003</v>
          </cell>
          <cell r="AG664">
            <v>235.61</v>
          </cell>
          <cell r="AH664">
            <v>235.61</v>
          </cell>
        </row>
        <row r="665">
          <cell r="AE665" t="str">
            <v>5365LQ0</v>
          </cell>
          <cell r="AF665">
            <v>621.75</v>
          </cell>
          <cell r="AG665">
            <v>235.61</v>
          </cell>
          <cell r="AH665">
            <v>235.61</v>
          </cell>
        </row>
        <row r="666">
          <cell r="AE666" t="str">
            <v>5365LQ1</v>
          </cell>
          <cell r="AF666">
            <v>621.75</v>
          </cell>
          <cell r="AG666">
            <v>235.61</v>
          </cell>
          <cell r="AH666">
            <v>235.61</v>
          </cell>
        </row>
        <row r="667">
          <cell r="AE667" t="str">
            <v>5365LQ2</v>
          </cell>
          <cell r="AF667">
            <v>621.75</v>
          </cell>
          <cell r="AG667">
            <v>235.61</v>
          </cell>
          <cell r="AH667">
            <v>235.61</v>
          </cell>
        </row>
        <row r="668">
          <cell r="AE668" t="str">
            <v>5365LQ3</v>
          </cell>
          <cell r="AF668">
            <v>621.75</v>
          </cell>
          <cell r="AG668">
            <v>235.61</v>
          </cell>
          <cell r="AH668">
            <v>235.61</v>
          </cell>
        </row>
        <row r="669">
          <cell r="AE669" t="str">
            <v>5365LQ4</v>
          </cell>
          <cell r="AF669">
            <v>621.75</v>
          </cell>
          <cell r="AG669">
            <v>235.61</v>
          </cell>
          <cell r="AH669">
            <v>235.61</v>
          </cell>
        </row>
        <row r="670">
          <cell r="AE670" t="str">
            <v>5365LQ5</v>
          </cell>
          <cell r="AF670">
            <v>621.75</v>
          </cell>
          <cell r="AG670">
            <v>235.61</v>
          </cell>
          <cell r="AH670">
            <v>235.61</v>
          </cell>
        </row>
        <row r="671">
          <cell r="AE671" t="str">
            <v>5365LQ6</v>
          </cell>
          <cell r="AF671">
            <v>621.75</v>
          </cell>
          <cell r="AG671">
            <v>235.61</v>
          </cell>
          <cell r="AH671">
            <v>235.61</v>
          </cell>
        </row>
        <row r="672">
          <cell r="AE672" t="str">
            <v>5365LQ7</v>
          </cell>
          <cell r="AF672">
            <v>621.75</v>
          </cell>
          <cell r="AG672">
            <v>235.61</v>
          </cell>
          <cell r="AH672">
            <v>235.61</v>
          </cell>
        </row>
        <row r="673">
          <cell r="AE673" t="str">
            <v>5365LQ8</v>
          </cell>
          <cell r="AF673">
            <v>621.75</v>
          </cell>
          <cell r="AG673">
            <v>235.61</v>
          </cell>
          <cell r="AH673">
            <v>235.61</v>
          </cell>
        </row>
        <row r="674">
          <cell r="AE674" t="str">
            <v>5365LQ9</v>
          </cell>
          <cell r="AF674">
            <v>1276.2200000000003</v>
          </cell>
          <cell r="AG674">
            <v>235.61</v>
          </cell>
          <cell r="AH674">
            <v>235.61</v>
          </cell>
        </row>
        <row r="675">
          <cell r="AE675" t="str">
            <v>5365LQB</v>
          </cell>
          <cell r="AF675">
            <v>621.75</v>
          </cell>
          <cell r="AG675">
            <v>235.61</v>
          </cell>
          <cell r="AH675">
            <v>235.61</v>
          </cell>
        </row>
        <row r="676">
          <cell r="AE676" t="str">
            <v>5365LQC</v>
          </cell>
          <cell r="AF676">
            <v>621.75</v>
          </cell>
          <cell r="AG676">
            <v>235.61</v>
          </cell>
          <cell r="AH676">
            <v>235.61</v>
          </cell>
        </row>
        <row r="677">
          <cell r="AE677" t="str">
            <v>5365LQD</v>
          </cell>
          <cell r="AF677">
            <v>621.75</v>
          </cell>
          <cell r="AG677">
            <v>235.61</v>
          </cell>
          <cell r="AH677">
            <v>235.61</v>
          </cell>
        </row>
        <row r="678">
          <cell r="AE678" t="str">
            <v>5365LQF</v>
          </cell>
          <cell r="AF678">
            <v>621.75</v>
          </cell>
          <cell r="AG678">
            <v>235.61</v>
          </cell>
          <cell r="AH678">
            <v>235.61</v>
          </cell>
        </row>
        <row r="679">
          <cell r="AE679" t="str">
            <v>5365LQG</v>
          </cell>
          <cell r="AF679">
            <v>621.75</v>
          </cell>
          <cell r="AG679">
            <v>235.61</v>
          </cell>
          <cell r="AH679">
            <v>235.61</v>
          </cell>
        </row>
        <row r="680">
          <cell r="AE680" t="str">
            <v>5365LQH</v>
          </cell>
          <cell r="AF680">
            <v>621.75</v>
          </cell>
          <cell r="AG680">
            <v>235.61</v>
          </cell>
          <cell r="AH680">
            <v>235.61</v>
          </cell>
        </row>
        <row r="681">
          <cell r="AE681" t="str">
            <v>5365LQJ</v>
          </cell>
          <cell r="AF681">
            <v>621.75</v>
          </cell>
          <cell r="AG681">
            <v>235.61</v>
          </cell>
          <cell r="AH681">
            <v>235.61</v>
          </cell>
        </row>
        <row r="682">
          <cell r="AE682" t="str">
            <v>5365LQK</v>
          </cell>
          <cell r="AF682">
            <v>1276.2200000000003</v>
          </cell>
          <cell r="AG682">
            <v>235.61</v>
          </cell>
          <cell r="AH682">
            <v>235.61</v>
          </cell>
        </row>
        <row r="683">
          <cell r="AE683" t="str">
            <v>5365LQM</v>
          </cell>
          <cell r="AF683">
            <v>621.75</v>
          </cell>
          <cell r="AG683">
            <v>235.61</v>
          </cell>
          <cell r="AH683">
            <v>235.61</v>
          </cell>
        </row>
        <row r="684">
          <cell r="AE684" t="str">
            <v>5365LQP</v>
          </cell>
          <cell r="AF684">
            <v>621.75</v>
          </cell>
          <cell r="AG684">
            <v>235.61</v>
          </cell>
          <cell r="AH684">
            <v>235.61</v>
          </cell>
        </row>
        <row r="685">
          <cell r="AE685" t="str">
            <v>5365LQQ</v>
          </cell>
          <cell r="AF685">
            <v>621.75</v>
          </cell>
          <cell r="AG685">
            <v>235.61</v>
          </cell>
          <cell r="AH685">
            <v>235.61</v>
          </cell>
        </row>
        <row r="686">
          <cell r="AE686" t="str">
            <v>5365LQR</v>
          </cell>
          <cell r="AF686">
            <v>621.75</v>
          </cell>
          <cell r="AG686">
            <v>235.61</v>
          </cell>
          <cell r="AH686">
            <v>235.61</v>
          </cell>
        </row>
        <row r="687">
          <cell r="AE687" t="str">
            <v>5365LQS</v>
          </cell>
          <cell r="AF687">
            <v>621.75</v>
          </cell>
          <cell r="AG687">
            <v>235.61</v>
          </cell>
          <cell r="AH687">
            <v>235.61</v>
          </cell>
        </row>
        <row r="688">
          <cell r="AE688" t="str">
            <v>5365LQT</v>
          </cell>
          <cell r="AF688">
            <v>621.75</v>
          </cell>
          <cell r="AG688">
            <v>235.61</v>
          </cell>
          <cell r="AH688">
            <v>235.61</v>
          </cell>
        </row>
        <row r="689">
          <cell r="AE689" t="str">
            <v>5365LQV</v>
          </cell>
          <cell r="AF689">
            <v>621.75</v>
          </cell>
          <cell r="AG689">
            <v>235.61</v>
          </cell>
          <cell r="AH689">
            <v>235.61</v>
          </cell>
        </row>
        <row r="690">
          <cell r="AE690" t="str">
            <v>5365LQW</v>
          </cell>
          <cell r="AF690">
            <v>621.75</v>
          </cell>
          <cell r="AG690">
            <v>235.61</v>
          </cell>
          <cell r="AH690">
            <v>235.61</v>
          </cell>
        </row>
        <row r="691">
          <cell r="AE691" t="str">
            <v>5365LQX</v>
          </cell>
          <cell r="AF691">
            <v>621.75</v>
          </cell>
          <cell r="AG691">
            <v>235.61</v>
          </cell>
          <cell r="AH691">
            <v>235.61</v>
          </cell>
        </row>
        <row r="692">
          <cell r="AE692" t="str">
            <v>5365LQY</v>
          </cell>
          <cell r="AF692">
            <v>621.75</v>
          </cell>
          <cell r="AG692">
            <v>235.61</v>
          </cell>
          <cell r="AH692">
            <v>235.61</v>
          </cell>
        </row>
        <row r="693">
          <cell r="AE693" t="str">
            <v>5365LQZ</v>
          </cell>
          <cell r="AF693">
            <v>621.75</v>
          </cell>
          <cell r="AG693">
            <v>235.61</v>
          </cell>
          <cell r="AH693">
            <v>235.61</v>
          </cell>
        </row>
        <row r="694">
          <cell r="AE694" t="str">
            <v>5365LR0</v>
          </cell>
          <cell r="AF694">
            <v>621.75</v>
          </cell>
          <cell r="AG694">
            <v>235.61</v>
          </cell>
          <cell r="AH694">
            <v>235.61</v>
          </cell>
        </row>
        <row r="695">
          <cell r="AE695" t="str">
            <v>5365LR1</v>
          </cell>
          <cell r="AF695">
            <v>621.75</v>
          </cell>
          <cell r="AG695">
            <v>235.61</v>
          </cell>
          <cell r="AH695">
            <v>235.61</v>
          </cell>
        </row>
        <row r="696">
          <cell r="AE696" t="str">
            <v>5365LR2</v>
          </cell>
          <cell r="AF696">
            <v>621.75</v>
          </cell>
          <cell r="AG696">
            <v>235.61</v>
          </cell>
          <cell r="AH696">
            <v>235.61</v>
          </cell>
        </row>
        <row r="697">
          <cell r="AE697" t="str">
            <v>5365LR3</v>
          </cell>
          <cell r="AF697">
            <v>621.75</v>
          </cell>
          <cell r="AG697">
            <v>235.61</v>
          </cell>
          <cell r="AH697">
            <v>235.61</v>
          </cell>
        </row>
        <row r="698">
          <cell r="AE698" t="str">
            <v>5365LR4</v>
          </cell>
          <cell r="AF698">
            <v>621.75</v>
          </cell>
          <cell r="AG698">
            <v>235.61</v>
          </cell>
          <cell r="AH698">
            <v>235.61</v>
          </cell>
        </row>
        <row r="699">
          <cell r="AE699" t="str">
            <v>5365LR5</v>
          </cell>
          <cell r="AF699">
            <v>621.75</v>
          </cell>
          <cell r="AG699">
            <v>235.61</v>
          </cell>
          <cell r="AH699">
            <v>235.61</v>
          </cell>
        </row>
        <row r="700">
          <cell r="AE700" t="str">
            <v>5365LR6</v>
          </cell>
          <cell r="AF700">
            <v>621.75</v>
          </cell>
          <cell r="AG700">
            <v>235.61</v>
          </cell>
          <cell r="AH700">
            <v>235.61</v>
          </cell>
        </row>
        <row r="701">
          <cell r="AE701" t="str">
            <v>5365LR7</v>
          </cell>
          <cell r="AF701">
            <v>621.75</v>
          </cell>
          <cell r="AG701">
            <v>235.61</v>
          </cell>
          <cell r="AH701">
            <v>235.61</v>
          </cell>
        </row>
        <row r="702">
          <cell r="AE702" t="str">
            <v>5365LR8</v>
          </cell>
          <cell r="AF702">
            <v>621.75</v>
          </cell>
          <cell r="AG702">
            <v>235.61</v>
          </cell>
          <cell r="AH702">
            <v>235.61</v>
          </cell>
        </row>
        <row r="703">
          <cell r="AE703" t="str">
            <v>5365LR9</v>
          </cell>
          <cell r="AF703">
            <v>621.75</v>
          </cell>
          <cell r="AG703">
            <v>235.61</v>
          </cell>
          <cell r="AH703">
            <v>235.61</v>
          </cell>
        </row>
        <row r="704">
          <cell r="AE704" t="str">
            <v>5365LRB</v>
          </cell>
          <cell r="AF704">
            <v>621.75</v>
          </cell>
          <cell r="AG704">
            <v>235.61</v>
          </cell>
          <cell r="AH704">
            <v>235.61</v>
          </cell>
        </row>
        <row r="705">
          <cell r="AE705" t="str">
            <v>5365LRC</v>
          </cell>
          <cell r="AF705">
            <v>621.75</v>
          </cell>
          <cell r="AG705">
            <v>235.61</v>
          </cell>
          <cell r="AH705">
            <v>235.61</v>
          </cell>
        </row>
        <row r="706">
          <cell r="AE706" t="str">
            <v>5365LRD</v>
          </cell>
          <cell r="AF706">
            <v>1214.1000000000004</v>
          </cell>
          <cell r="AG706">
            <v>235.61</v>
          </cell>
          <cell r="AH706">
            <v>235.61</v>
          </cell>
        </row>
        <row r="707">
          <cell r="AE707" t="str">
            <v>5365LRF</v>
          </cell>
          <cell r="AF707">
            <v>621.75</v>
          </cell>
          <cell r="AG707">
            <v>235.61</v>
          </cell>
          <cell r="AH707">
            <v>235.61</v>
          </cell>
        </row>
        <row r="708">
          <cell r="AE708" t="str">
            <v>5365LRG</v>
          </cell>
          <cell r="AF708">
            <v>621.75</v>
          </cell>
          <cell r="AG708">
            <v>235.61</v>
          </cell>
          <cell r="AH708">
            <v>235.61</v>
          </cell>
        </row>
        <row r="709">
          <cell r="AE709" t="str">
            <v>5365LRH</v>
          </cell>
          <cell r="AF709">
            <v>621.75</v>
          </cell>
          <cell r="AG709">
            <v>235.61</v>
          </cell>
          <cell r="AH709">
            <v>235.61</v>
          </cell>
        </row>
        <row r="710">
          <cell r="AE710" t="str">
            <v>5365LRJ</v>
          </cell>
          <cell r="AF710">
            <v>621.75</v>
          </cell>
          <cell r="AG710">
            <v>235.61</v>
          </cell>
          <cell r="AH710">
            <v>235.61</v>
          </cell>
        </row>
        <row r="711">
          <cell r="AE711" t="str">
            <v>5365LRL</v>
          </cell>
          <cell r="AF711">
            <v>1276.2200000000003</v>
          </cell>
          <cell r="AG711">
            <v>235.61</v>
          </cell>
          <cell r="AH711">
            <v>235.61</v>
          </cell>
        </row>
        <row r="712">
          <cell r="AE712" t="str">
            <v>5365LRN</v>
          </cell>
          <cell r="AF712">
            <v>621.75</v>
          </cell>
          <cell r="AG712">
            <v>235.61</v>
          </cell>
          <cell r="AH712">
            <v>235.61</v>
          </cell>
        </row>
        <row r="713">
          <cell r="AE713" t="str">
            <v>5365LRP</v>
          </cell>
          <cell r="AF713">
            <v>621.75</v>
          </cell>
          <cell r="AG713">
            <v>235.61</v>
          </cell>
          <cell r="AH713">
            <v>235.61</v>
          </cell>
        </row>
        <row r="714">
          <cell r="AE714" t="str">
            <v>5365LRQ</v>
          </cell>
          <cell r="AF714">
            <v>621.75</v>
          </cell>
          <cell r="AG714">
            <v>235.61</v>
          </cell>
          <cell r="AH714">
            <v>235.61</v>
          </cell>
        </row>
        <row r="715">
          <cell r="AE715" t="str">
            <v>5365LRR</v>
          </cell>
          <cell r="AF715">
            <v>621.75</v>
          </cell>
          <cell r="AG715">
            <v>235.61</v>
          </cell>
          <cell r="AH715">
            <v>235.61</v>
          </cell>
        </row>
        <row r="716">
          <cell r="AE716" t="str">
            <v>5365LRS</v>
          </cell>
          <cell r="AF716">
            <v>621.75</v>
          </cell>
          <cell r="AG716">
            <v>235.61</v>
          </cell>
          <cell r="AH716">
            <v>235.61</v>
          </cell>
        </row>
        <row r="717">
          <cell r="AE717" t="str">
            <v>5365LRT</v>
          </cell>
          <cell r="AF717">
            <v>621.75</v>
          </cell>
          <cell r="AG717">
            <v>235.61</v>
          </cell>
          <cell r="AH717">
            <v>235.61</v>
          </cell>
        </row>
        <row r="718">
          <cell r="AE718" t="str">
            <v>5365LRV</v>
          </cell>
          <cell r="AF718">
            <v>621.75</v>
          </cell>
          <cell r="AG718">
            <v>235.61</v>
          </cell>
          <cell r="AH718">
            <v>235.61</v>
          </cell>
        </row>
        <row r="719">
          <cell r="AE719" t="str">
            <v>5365LRX</v>
          </cell>
          <cell r="AF719">
            <v>621.75</v>
          </cell>
          <cell r="AG719">
            <v>235.61</v>
          </cell>
          <cell r="AH719">
            <v>235.61</v>
          </cell>
        </row>
        <row r="720">
          <cell r="AE720" t="str">
            <v>5365LRY</v>
          </cell>
          <cell r="AF720">
            <v>621.75</v>
          </cell>
          <cell r="AG720">
            <v>235.61</v>
          </cell>
          <cell r="AH720">
            <v>235.61</v>
          </cell>
        </row>
        <row r="721">
          <cell r="AE721" t="str">
            <v>5365LRZ</v>
          </cell>
          <cell r="AF721">
            <v>621.75</v>
          </cell>
          <cell r="AG721">
            <v>235.61</v>
          </cell>
          <cell r="AH721">
            <v>235.61</v>
          </cell>
        </row>
        <row r="722">
          <cell r="AE722" t="str">
            <v>5365LS1</v>
          </cell>
          <cell r="AF722">
            <v>621.75</v>
          </cell>
          <cell r="AG722">
            <v>235.61</v>
          </cell>
          <cell r="AH722">
            <v>235.61</v>
          </cell>
        </row>
        <row r="723">
          <cell r="AE723" t="str">
            <v>5365LS2</v>
          </cell>
          <cell r="AF723">
            <v>621.75</v>
          </cell>
          <cell r="AG723">
            <v>235.61</v>
          </cell>
          <cell r="AH723">
            <v>235.61</v>
          </cell>
        </row>
        <row r="724">
          <cell r="AE724" t="str">
            <v>5365LS3</v>
          </cell>
          <cell r="AF724">
            <v>621.75</v>
          </cell>
          <cell r="AG724">
            <v>235.61</v>
          </cell>
          <cell r="AH724">
            <v>235.61</v>
          </cell>
        </row>
        <row r="725">
          <cell r="AE725" t="str">
            <v>5365LS4</v>
          </cell>
          <cell r="AF725">
            <v>621.75</v>
          </cell>
          <cell r="AG725">
            <v>235.61</v>
          </cell>
          <cell r="AH725">
            <v>235.61</v>
          </cell>
        </row>
        <row r="726">
          <cell r="AE726" t="str">
            <v>5365LS5</v>
          </cell>
          <cell r="AF726">
            <v>621.75</v>
          </cell>
          <cell r="AG726">
            <v>235.61</v>
          </cell>
          <cell r="AH726">
            <v>235.61</v>
          </cell>
        </row>
        <row r="727">
          <cell r="AE727" t="str">
            <v>5365LSO</v>
          </cell>
          <cell r="AF727">
            <v>621.75</v>
          </cell>
          <cell r="AG727">
            <v>235.61</v>
          </cell>
          <cell r="AH727">
            <v>235.61</v>
          </cell>
        </row>
        <row r="728">
          <cell r="AE728" t="str">
            <v>53767R2</v>
          </cell>
          <cell r="AF728">
            <v>621.75</v>
          </cell>
          <cell r="AG728">
            <v>235.61</v>
          </cell>
          <cell r="AH728">
            <v>235.61</v>
          </cell>
        </row>
        <row r="729">
          <cell r="AE729" t="str">
            <v>53767R7?</v>
          </cell>
          <cell r="AF729">
            <v>621.75</v>
          </cell>
          <cell r="AG729">
            <v>235.61</v>
          </cell>
          <cell r="AH729">
            <v>235.61</v>
          </cell>
        </row>
        <row r="730">
          <cell r="AE730" t="str">
            <v>5376H5V</v>
          </cell>
          <cell r="AF730">
            <v>621.75</v>
          </cell>
          <cell r="AG730">
            <v>235.61</v>
          </cell>
          <cell r="AH730">
            <v>235.61</v>
          </cell>
        </row>
        <row r="731">
          <cell r="AE731" t="str">
            <v>5376H5W</v>
          </cell>
          <cell r="AF731">
            <v>621.75</v>
          </cell>
          <cell r="AG731">
            <v>235.61</v>
          </cell>
          <cell r="AH731">
            <v>235.61</v>
          </cell>
        </row>
        <row r="732">
          <cell r="AE732" t="str">
            <v>5376HST</v>
          </cell>
          <cell r="AF732">
            <v>621.75</v>
          </cell>
          <cell r="AG732">
            <v>235.61</v>
          </cell>
          <cell r="AH732">
            <v>235.61</v>
          </cell>
        </row>
        <row r="733">
          <cell r="AE733" t="str">
            <v>5410GDM??</v>
          </cell>
          <cell r="AF733">
            <v>621.75</v>
          </cell>
          <cell r="AG733">
            <v>235.61</v>
          </cell>
          <cell r="AH733">
            <v>235.61</v>
          </cell>
        </row>
        <row r="734">
          <cell r="AE734" t="str">
            <v>5410GDN</v>
          </cell>
          <cell r="AF734">
            <v>621.75</v>
          </cell>
          <cell r="AG734">
            <v>235.61</v>
          </cell>
          <cell r="AH734">
            <v>235.61</v>
          </cell>
        </row>
        <row r="735">
          <cell r="AE735" t="str">
            <v>5410GDR</v>
          </cell>
          <cell r="AF735">
            <v>621.75</v>
          </cell>
          <cell r="AG735">
            <v>235.61</v>
          </cell>
          <cell r="AH735">
            <v>235.61</v>
          </cell>
        </row>
        <row r="736">
          <cell r="AE736" t="str">
            <v>5410GF6??</v>
          </cell>
          <cell r="AF736">
            <v>621.75</v>
          </cell>
          <cell r="AG736">
            <v>235.61</v>
          </cell>
          <cell r="AH736">
            <v>235.61</v>
          </cell>
        </row>
        <row r="737">
          <cell r="AE737" t="str">
            <v>5410GFM?</v>
          </cell>
          <cell r="AF737">
            <v>621.75</v>
          </cell>
          <cell r="AG737">
            <v>235.61</v>
          </cell>
          <cell r="AH737">
            <v>235.61</v>
          </cell>
        </row>
        <row r="738">
          <cell r="AE738" t="str">
            <v>5410GFO</v>
          </cell>
          <cell r="AF738">
            <v>621.75</v>
          </cell>
          <cell r="AG738">
            <v>235.61</v>
          </cell>
          <cell r="AH738">
            <v>235.61</v>
          </cell>
        </row>
        <row r="739">
          <cell r="AE739" t="str">
            <v>5410GFX</v>
          </cell>
          <cell r="AF739">
            <v>621.75</v>
          </cell>
          <cell r="AG739">
            <v>235.61</v>
          </cell>
          <cell r="AH739">
            <v>235.61</v>
          </cell>
        </row>
        <row r="740">
          <cell r="AE740" t="str">
            <v>54215X9</v>
          </cell>
          <cell r="AF740">
            <v>621.75</v>
          </cell>
          <cell r="AG740">
            <v>235.61</v>
          </cell>
          <cell r="AH740">
            <v>235.61</v>
          </cell>
        </row>
        <row r="741">
          <cell r="AE741" t="str">
            <v>54215XD</v>
          </cell>
          <cell r="AF741">
            <v>621.75</v>
          </cell>
          <cell r="AG741">
            <v>235.61</v>
          </cell>
          <cell r="AH741">
            <v>235.61</v>
          </cell>
        </row>
        <row r="742">
          <cell r="AE742" t="str">
            <v>54215XF</v>
          </cell>
          <cell r="AF742">
            <v>621.75</v>
          </cell>
          <cell r="AG742">
            <v>235.61</v>
          </cell>
          <cell r="AH742">
            <v>235.61</v>
          </cell>
        </row>
        <row r="743">
          <cell r="AE743" t="str">
            <v>EHBC1517</v>
          </cell>
          <cell r="AF743">
            <v>562.72000000000025</v>
          </cell>
          <cell r="AG743">
            <v>213.24</v>
          </cell>
          <cell r="AH743">
            <v>213.24</v>
          </cell>
        </row>
        <row r="744">
          <cell r="AE744" t="str">
            <v>EHBC1518</v>
          </cell>
          <cell r="AF744">
            <v>562.72000000000025</v>
          </cell>
          <cell r="AG744">
            <v>213.24</v>
          </cell>
          <cell r="AH744">
            <v>213.24</v>
          </cell>
        </row>
        <row r="745">
          <cell r="AE745" t="str">
            <v>EHBC1519</v>
          </cell>
          <cell r="AF745">
            <v>562.72000000000025</v>
          </cell>
          <cell r="AG745">
            <v>213.24</v>
          </cell>
          <cell r="AH745">
            <v>213.24</v>
          </cell>
        </row>
        <row r="746">
          <cell r="AE746" t="str">
            <v>EHBC1520</v>
          </cell>
          <cell r="AF746">
            <v>562.72000000000025</v>
          </cell>
          <cell r="AG746">
            <v>213.24</v>
          </cell>
          <cell r="AH746">
            <v>213.24</v>
          </cell>
        </row>
        <row r="747">
          <cell r="AE747" t="str">
            <v>EHBC1521</v>
          </cell>
          <cell r="AF747">
            <v>562.72000000000025</v>
          </cell>
          <cell r="AG747">
            <v>213.24</v>
          </cell>
          <cell r="AH747">
            <v>213.24</v>
          </cell>
        </row>
        <row r="748">
          <cell r="AE748" t="str">
            <v>EHBC1522</v>
          </cell>
          <cell r="AF748">
            <v>562.72000000000025</v>
          </cell>
          <cell r="AG748">
            <v>213.24</v>
          </cell>
          <cell r="AH748">
            <v>213.24</v>
          </cell>
        </row>
        <row r="749">
          <cell r="AE749" t="str">
            <v>EHBC1523</v>
          </cell>
          <cell r="AF749">
            <v>562.72000000000025</v>
          </cell>
          <cell r="AG749">
            <v>213.24</v>
          </cell>
          <cell r="AH749">
            <v>213.24</v>
          </cell>
        </row>
        <row r="750">
          <cell r="AE750" t="str">
            <v>EHBC1524</v>
          </cell>
          <cell r="AF750">
            <v>562.72000000000025</v>
          </cell>
          <cell r="AG750">
            <v>213.24</v>
          </cell>
          <cell r="AH750">
            <v>213.24</v>
          </cell>
        </row>
        <row r="751">
          <cell r="AE751" t="str">
            <v>EHBC1525</v>
          </cell>
          <cell r="AF751">
            <v>562.72000000000025</v>
          </cell>
          <cell r="AG751">
            <v>213.24</v>
          </cell>
          <cell r="AH751">
            <v>213.24</v>
          </cell>
        </row>
        <row r="752">
          <cell r="AE752" t="str">
            <v>EHBC1526</v>
          </cell>
          <cell r="AF752">
            <v>562.72000000000025</v>
          </cell>
          <cell r="AG752">
            <v>213.24</v>
          </cell>
          <cell r="AH752">
            <v>213.24</v>
          </cell>
        </row>
        <row r="753">
          <cell r="AE753" t="str">
            <v>EHBC1527</v>
          </cell>
          <cell r="AF753">
            <v>562.72000000000025</v>
          </cell>
          <cell r="AG753">
            <v>213.24</v>
          </cell>
          <cell r="AH753">
            <v>213.24</v>
          </cell>
        </row>
        <row r="754">
          <cell r="AE754" t="str">
            <v>EHBC1528</v>
          </cell>
          <cell r="AF754">
            <v>562.72000000000025</v>
          </cell>
          <cell r="AG754">
            <v>213.24</v>
          </cell>
          <cell r="AH754">
            <v>213.24</v>
          </cell>
        </row>
        <row r="755">
          <cell r="AE755" t="str">
            <v>EHBC1529</v>
          </cell>
          <cell r="AF755">
            <v>562.72000000000025</v>
          </cell>
          <cell r="AG755">
            <v>213.24</v>
          </cell>
          <cell r="AH755">
            <v>213.24</v>
          </cell>
        </row>
        <row r="756">
          <cell r="AE756" t="str">
            <v>EHBC1530</v>
          </cell>
          <cell r="AF756">
            <v>562.72000000000025</v>
          </cell>
          <cell r="AG756">
            <v>213.24</v>
          </cell>
          <cell r="AH756">
            <v>213.24</v>
          </cell>
        </row>
        <row r="757">
          <cell r="AE757" t="str">
            <v>EHBC1531</v>
          </cell>
          <cell r="AF757">
            <v>562.72000000000025</v>
          </cell>
          <cell r="AG757">
            <v>213.24</v>
          </cell>
          <cell r="AH757">
            <v>213.24</v>
          </cell>
        </row>
        <row r="758">
          <cell r="AE758" t="str">
            <v>EHBC1532</v>
          </cell>
          <cell r="AF758">
            <v>562.72000000000025</v>
          </cell>
          <cell r="AG758">
            <v>213.24</v>
          </cell>
          <cell r="AH758">
            <v>213.24</v>
          </cell>
        </row>
        <row r="759">
          <cell r="AE759" t="str">
            <v>EHBC1533</v>
          </cell>
          <cell r="AF759">
            <v>562.72000000000025</v>
          </cell>
          <cell r="AG759">
            <v>213.24</v>
          </cell>
          <cell r="AH759">
            <v>213.24</v>
          </cell>
        </row>
        <row r="760">
          <cell r="AE760" t="str">
            <v>EHBC1534</v>
          </cell>
          <cell r="AF760">
            <v>562.72000000000025</v>
          </cell>
          <cell r="AG760">
            <v>213.24</v>
          </cell>
          <cell r="AH760">
            <v>213.24</v>
          </cell>
        </row>
        <row r="761">
          <cell r="AE761" t="str">
            <v>EHBC1535</v>
          </cell>
          <cell r="AF761">
            <v>562.72000000000025</v>
          </cell>
          <cell r="AG761">
            <v>213.24</v>
          </cell>
          <cell r="AH761">
            <v>213.24</v>
          </cell>
        </row>
        <row r="762">
          <cell r="AE762" t="str">
            <v>EHBC1536</v>
          </cell>
          <cell r="AF762">
            <v>562.72000000000025</v>
          </cell>
          <cell r="AG762">
            <v>213.24</v>
          </cell>
          <cell r="AH762">
            <v>213.24</v>
          </cell>
        </row>
        <row r="763">
          <cell r="AE763" t="str">
            <v>EHBC1537</v>
          </cell>
          <cell r="AF763">
            <v>562.72000000000025</v>
          </cell>
          <cell r="AG763">
            <v>213.24</v>
          </cell>
          <cell r="AH763">
            <v>213.24</v>
          </cell>
        </row>
        <row r="764">
          <cell r="AE764" t="str">
            <v>EHBC1538</v>
          </cell>
          <cell r="AF764">
            <v>562.72000000000025</v>
          </cell>
          <cell r="AG764">
            <v>213.24</v>
          </cell>
          <cell r="AH764">
            <v>213.24</v>
          </cell>
        </row>
        <row r="765">
          <cell r="AE765" t="str">
            <v>EHBC1539</v>
          </cell>
          <cell r="AF765">
            <v>562.72000000000025</v>
          </cell>
          <cell r="AG765">
            <v>213.24</v>
          </cell>
          <cell r="AH765">
            <v>213.24</v>
          </cell>
        </row>
        <row r="766">
          <cell r="AE766" t="str">
            <v>EHBC1540</v>
          </cell>
          <cell r="AF766">
            <v>562.72000000000025</v>
          </cell>
          <cell r="AG766">
            <v>213.24</v>
          </cell>
          <cell r="AH766">
            <v>213.24</v>
          </cell>
        </row>
        <row r="767">
          <cell r="AE767" t="str">
            <v>EHBC1541</v>
          </cell>
          <cell r="AF767">
            <v>562.72000000000025</v>
          </cell>
          <cell r="AG767">
            <v>213.24</v>
          </cell>
          <cell r="AH767">
            <v>213.24</v>
          </cell>
        </row>
        <row r="768">
          <cell r="AE768" t="str">
            <v>EHBC1542</v>
          </cell>
          <cell r="AF768">
            <v>562.72000000000025</v>
          </cell>
          <cell r="AG768">
            <v>213.24</v>
          </cell>
          <cell r="AH768">
            <v>213.24</v>
          </cell>
        </row>
        <row r="769">
          <cell r="AE769" t="str">
            <v>EHBC1543</v>
          </cell>
          <cell r="AF769">
            <v>562.72000000000025</v>
          </cell>
          <cell r="AG769">
            <v>213.24</v>
          </cell>
          <cell r="AH769">
            <v>213.24</v>
          </cell>
        </row>
        <row r="770">
          <cell r="AE770" t="str">
            <v>EHBC1544</v>
          </cell>
          <cell r="AF770">
            <v>562.72000000000025</v>
          </cell>
          <cell r="AG770">
            <v>213.24</v>
          </cell>
          <cell r="AH770">
            <v>213.24</v>
          </cell>
        </row>
        <row r="771">
          <cell r="AE771" t="str">
            <v>EHBC1545</v>
          </cell>
          <cell r="AF771">
            <v>562.72000000000025</v>
          </cell>
          <cell r="AG771">
            <v>213.24</v>
          </cell>
          <cell r="AH771">
            <v>213.24</v>
          </cell>
        </row>
        <row r="772">
          <cell r="AE772" t="str">
            <v>EHBC1546</v>
          </cell>
          <cell r="AF772">
            <v>562.72000000000025</v>
          </cell>
          <cell r="AG772">
            <v>213.24</v>
          </cell>
          <cell r="AH772">
            <v>213.24</v>
          </cell>
        </row>
        <row r="773">
          <cell r="AE773" t="str">
            <v>EHBC1547</v>
          </cell>
          <cell r="AF773">
            <v>562.72000000000025</v>
          </cell>
          <cell r="AG773">
            <v>213.24</v>
          </cell>
          <cell r="AH773">
            <v>213.24</v>
          </cell>
        </row>
        <row r="774">
          <cell r="AE774" t="str">
            <v>EHBC1548</v>
          </cell>
          <cell r="AF774">
            <v>562.72000000000025</v>
          </cell>
          <cell r="AG774">
            <v>213.24</v>
          </cell>
          <cell r="AH774">
            <v>213.24</v>
          </cell>
        </row>
        <row r="775">
          <cell r="AE775" t="str">
            <v>EHBC1549</v>
          </cell>
          <cell r="AF775">
            <v>562.72000000000025</v>
          </cell>
          <cell r="AG775">
            <v>213.24</v>
          </cell>
          <cell r="AH775">
            <v>213.24</v>
          </cell>
        </row>
        <row r="776">
          <cell r="AE776" t="str">
            <v>EHBC1550</v>
          </cell>
          <cell r="AF776">
            <v>562.72000000000025</v>
          </cell>
          <cell r="AG776">
            <v>213.24</v>
          </cell>
          <cell r="AH776">
            <v>213.24</v>
          </cell>
        </row>
        <row r="777">
          <cell r="AE777" t="str">
            <v>EHBC1551</v>
          </cell>
          <cell r="AF777">
            <v>562.72000000000025</v>
          </cell>
          <cell r="AG777">
            <v>213.24</v>
          </cell>
          <cell r="AH777">
            <v>213.24</v>
          </cell>
        </row>
        <row r="778">
          <cell r="AE778" t="str">
            <v>EHBC1552</v>
          </cell>
          <cell r="AF778">
            <v>562.72000000000025</v>
          </cell>
          <cell r="AG778">
            <v>213.24</v>
          </cell>
          <cell r="AH778">
            <v>213.24</v>
          </cell>
        </row>
        <row r="779">
          <cell r="AE779" t="str">
            <v>EHBC1553</v>
          </cell>
          <cell r="AF779">
            <v>562.72000000000025</v>
          </cell>
          <cell r="AG779">
            <v>213.24</v>
          </cell>
          <cell r="AH779">
            <v>213.24</v>
          </cell>
        </row>
        <row r="780">
          <cell r="AE780" t="str">
            <v>EHBC1554</v>
          </cell>
          <cell r="AF780">
            <v>562.72000000000025</v>
          </cell>
          <cell r="AG780">
            <v>213.24</v>
          </cell>
          <cell r="AH780">
            <v>213.24</v>
          </cell>
        </row>
        <row r="781">
          <cell r="AE781" t="str">
            <v>EHBC1555</v>
          </cell>
          <cell r="AF781">
            <v>562.72000000000025</v>
          </cell>
          <cell r="AG781">
            <v>213.24</v>
          </cell>
          <cell r="AH781">
            <v>213.24</v>
          </cell>
        </row>
        <row r="782">
          <cell r="AE782" t="str">
            <v>EHBC1556</v>
          </cell>
          <cell r="AF782">
            <v>562.72000000000025</v>
          </cell>
          <cell r="AG782">
            <v>213.24</v>
          </cell>
          <cell r="AH782">
            <v>213.24</v>
          </cell>
        </row>
        <row r="783">
          <cell r="AE783" t="str">
            <v>EHBC1557</v>
          </cell>
          <cell r="AF783">
            <v>562.72000000000025</v>
          </cell>
          <cell r="AG783">
            <v>213.24</v>
          </cell>
          <cell r="AH783">
            <v>213.24</v>
          </cell>
        </row>
        <row r="784">
          <cell r="AE784" t="str">
            <v>EHBC1558</v>
          </cell>
          <cell r="AF784">
            <v>562.72000000000025</v>
          </cell>
          <cell r="AG784">
            <v>213.24</v>
          </cell>
          <cell r="AH784">
            <v>213.24</v>
          </cell>
        </row>
        <row r="785">
          <cell r="AE785" t="str">
            <v>EHBC1559</v>
          </cell>
          <cell r="AF785">
            <v>562.72000000000025</v>
          </cell>
          <cell r="AG785">
            <v>213.24</v>
          </cell>
          <cell r="AH785">
            <v>213.24</v>
          </cell>
        </row>
        <row r="786">
          <cell r="AE786" t="str">
            <v>EHBC1560</v>
          </cell>
          <cell r="AF786">
            <v>562.72000000000025</v>
          </cell>
          <cell r="AG786">
            <v>213.24</v>
          </cell>
          <cell r="AH786">
            <v>213.24</v>
          </cell>
        </row>
        <row r="787">
          <cell r="AE787" t="str">
            <v>EHBC1561</v>
          </cell>
          <cell r="AF787">
            <v>562.72000000000025</v>
          </cell>
          <cell r="AG787">
            <v>213.24</v>
          </cell>
          <cell r="AH787">
            <v>213.24</v>
          </cell>
        </row>
        <row r="788">
          <cell r="AE788" t="str">
            <v>EHBC1562</v>
          </cell>
          <cell r="AF788">
            <v>562.72000000000025</v>
          </cell>
          <cell r="AG788">
            <v>213.24</v>
          </cell>
          <cell r="AH788">
            <v>213.24</v>
          </cell>
        </row>
        <row r="789">
          <cell r="AE789" t="str">
            <v>EHBC1563</v>
          </cell>
          <cell r="AF789">
            <v>562.72000000000025</v>
          </cell>
          <cell r="AG789">
            <v>213.24</v>
          </cell>
          <cell r="AH789">
            <v>213.24</v>
          </cell>
        </row>
        <row r="790">
          <cell r="AE790" t="str">
            <v>EHBC1564</v>
          </cell>
          <cell r="AF790">
            <v>562.72000000000025</v>
          </cell>
          <cell r="AG790">
            <v>213.24</v>
          </cell>
          <cell r="AH790">
            <v>213.24</v>
          </cell>
        </row>
        <row r="791">
          <cell r="AE791" t="str">
            <v>EHBC1565</v>
          </cell>
          <cell r="AF791">
            <v>562.72000000000025</v>
          </cell>
          <cell r="AG791">
            <v>213.24</v>
          </cell>
          <cell r="AH791">
            <v>213.24</v>
          </cell>
        </row>
        <row r="792">
          <cell r="AE792" t="str">
            <v>EHBC1566</v>
          </cell>
          <cell r="AF792">
            <v>562.72000000000025</v>
          </cell>
          <cell r="AG792">
            <v>213.24</v>
          </cell>
          <cell r="AH792">
            <v>213.24</v>
          </cell>
        </row>
        <row r="793">
          <cell r="AE793" t="str">
            <v>EHBC1567</v>
          </cell>
          <cell r="AF793">
            <v>562.72000000000025</v>
          </cell>
          <cell r="AG793">
            <v>213.24</v>
          </cell>
          <cell r="AH793">
            <v>213.24</v>
          </cell>
        </row>
        <row r="794">
          <cell r="AE794" t="str">
            <v>EHBC1568</v>
          </cell>
          <cell r="AF794">
            <v>562.72000000000025</v>
          </cell>
          <cell r="AG794">
            <v>213.24</v>
          </cell>
          <cell r="AH794">
            <v>213.24</v>
          </cell>
        </row>
        <row r="795">
          <cell r="AE795" t="str">
            <v>EHBC1569</v>
          </cell>
          <cell r="AF795">
            <v>562.72000000000025</v>
          </cell>
          <cell r="AG795">
            <v>213.24</v>
          </cell>
          <cell r="AH795">
            <v>213.24</v>
          </cell>
        </row>
        <row r="796">
          <cell r="AE796" t="str">
            <v>EHBC1570</v>
          </cell>
          <cell r="AF796">
            <v>562.72000000000025</v>
          </cell>
          <cell r="AG796">
            <v>213.24</v>
          </cell>
          <cell r="AH796">
            <v>213.24</v>
          </cell>
        </row>
        <row r="797">
          <cell r="AE797" t="str">
            <v>EHBC1571</v>
          </cell>
          <cell r="AF797">
            <v>562.72000000000025</v>
          </cell>
          <cell r="AG797">
            <v>213.24</v>
          </cell>
          <cell r="AH797">
            <v>213.24</v>
          </cell>
        </row>
        <row r="798">
          <cell r="AE798" t="str">
            <v>EHBC1572</v>
          </cell>
          <cell r="AF798">
            <v>562.72000000000025</v>
          </cell>
          <cell r="AG798">
            <v>213.24</v>
          </cell>
          <cell r="AH798">
            <v>213.24</v>
          </cell>
        </row>
        <row r="799">
          <cell r="AE799" t="str">
            <v>EHBC1573</v>
          </cell>
          <cell r="AF799">
            <v>562.72000000000025</v>
          </cell>
          <cell r="AG799">
            <v>213.24</v>
          </cell>
          <cell r="AH799">
            <v>213.24</v>
          </cell>
        </row>
        <row r="800">
          <cell r="AE800" t="str">
            <v>EHBC1574</v>
          </cell>
          <cell r="AF800">
            <v>562.72000000000025</v>
          </cell>
          <cell r="AG800">
            <v>213.24</v>
          </cell>
          <cell r="AH800">
            <v>213.24</v>
          </cell>
        </row>
        <row r="801">
          <cell r="AE801" t="str">
            <v>EHBC1575</v>
          </cell>
          <cell r="AF801">
            <v>562.72000000000025</v>
          </cell>
          <cell r="AG801">
            <v>213.24</v>
          </cell>
          <cell r="AH801">
            <v>213.24</v>
          </cell>
        </row>
        <row r="802">
          <cell r="AE802" t="str">
            <v>EHBC1576</v>
          </cell>
          <cell r="AF802">
            <v>562.72000000000025</v>
          </cell>
          <cell r="AG802">
            <v>213.24</v>
          </cell>
          <cell r="AH802">
            <v>213.24</v>
          </cell>
        </row>
        <row r="803">
          <cell r="AE803" t="str">
            <v>EHBC1577</v>
          </cell>
          <cell r="AF803">
            <v>562.72000000000025</v>
          </cell>
          <cell r="AG803">
            <v>213.24</v>
          </cell>
          <cell r="AH803">
            <v>213.24</v>
          </cell>
        </row>
        <row r="804">
          <cell r="AE804" t="str">
            <v>EHBC1578</v>
          </cell>
          <cell r="AF804">
            <v>562.72000000000025</v>
          </cell>
          <cell r="AG804">
            <v>213.24</v>
          </cell>
          <cell r="AH804">
            <v>213.24</v>
          </cell>
        </row>
        <row r="805">
          <cell r="AE805" t="str">
            <v>EHBC1579</v>
          </cell>
          <cell r="AF805">
            <v>562.72000000000025</v>
          </cell>
          <cell r="AG805">
            <v>213.24</v>
          </cell>
          <cell r="AH805">
            <v>213.24</v>
          </cell>
        </row>
        <row r="806">
          <cell r="AE806" t="str">
            <v>EHBC1580</v>
          </cell>
          <cell r="AF806">
            <v>562.72000000000025</v>
          </cell>
          <cell r="AG806">
            <v>213.24</v>
          </cell>
          <cell r="AH806">
            <v>213.24</v>
          </cell>
        </row>
        <row r="807">
          <cell r="AE807" t="str">
            <v>EHBC1581</v>
          </cell>
          <cell r="AF807">
            <v>562.72000000000025</v>
          </cell>
          <cell r="AG807">
            <v>213.24</v>
          </cell>
          <cell r="AH807">
            <v>213.24</v>
          </cell>
        </row>
        <row r="808">
          <cell r="AE808" t="str">
            <v>EHBC1582</v>
          </cell>
          <cell r="AF808">
            <v>562.72000000000025</v>
          </cell>
          <cell r="AG808">
            <v>213.24</v>
          </cell>
          <cell r="AH808">
            <v>213.24</v>
          </cell>
        </row>
        <row r="809">
          <cell r="AE809" t="str">
            <v>EHBC1583</v>
          </cell>
          <cell r="AF809">
            <v>562.72000000000025</v>
          </cell>
          <cell r="AG809">
            <v>213.24</v>
          </cell>
          <cell r="AH809">
            <v>213.24</v>
          </cell>
        </row>
        <row r="810">
          <cell r="AE810" t="str">
            <v>EHBC1584</v>
          </cell>
          <cell r="AF810">
            <v>562.72000000000025</v>
          </cell>
          <cell r="AG810">
            <v>213.24</v>
          </cell>
          <cell r="AH810">
            <v>213.24</v>
          </cell>
        </row>
        <row r="811">
          <cell r="AE811" t="str">
            <v>EHBC1585</v>
          </cell>
          <cell r="AF811">
            <v>562.72000000000025</v>
          </cell>
          <cell r="AG811">
            <v>213.24</v>
          </cell>
          <cell r="AH811">
            <v>213.24</v>
          </cell>
        </row>
        <row r="812">
          <cell r="AE812" t="str">
            <v>EHBC1586</v>
          </cell>
          <cell r="AF812">
            <v>562.72000000000025</v>
          </cell>
          <cell r="AG812">
            <v>213.24</v>
          </cell>
          <cell r="AH812">
            <v>213.24</v>
          </cell>
        </row>
        <row r="813">
          <cell r="AE813" t="str">
            <v>EHBC1587</v>
          </cell>
          <cell r="AF813">
            <v>562.72000000000025</v>
          </cell>
          <cell r="AG813">
            <v>213.24</v>
          </cell>
          <cell r="AH813">
            <v>213.24</v>
          </cell>
        </row>
        <row r="814">
          <cell r="AE814" t="str">
            <v>EHBC1588</v>
          </cell>
          <cell r="AF814">
            <v>562.72000000000025</v>
          </cell>
          <cell r="AG814">
            <v>213.24</v>
          </cell>
          <cell r="AH814">
            <v>213.24</v>
          </cell>
        </row>
        <row r="815">
          <cell r="AE815" t="str">
            <v>EHBC1589</v>
          </cell>
          <cell r="AF815">
            <v>562.72000000000025</v>
          </cell>
          <cell r="AG815">
            <v>213.24</v>
          </cell>
          <cell r="AH815">
            <v>213.24</v>
          </cell>
        </row>
        <row r="816">
          <cell r="AE816" t="str">
            <v>EHBC1590</v>
          </cell>
          <cell r="AF816">
            <v>562.72000000000025</v>
          </cell>
          <cell r="AG816">
            <v>213.24</v>
          </cell>
          <cell r="AH816">
            <v>213.24</v>
          </cell>
        </row>
        <row r="817">
          <cell r="AE817" t="str">
            <v>EHBC1591</v>
          </cell>
          <cell r="AF817">
            <v>562.72000000000025</v>
          </cell>
          <cell r="AG817">
            <v>213.24</v>
          </cell>
          <cell r="AH817">
            <v>213.24</v>
          </cell>
        </row>
        <row r="818">
          <cell r="AE818" t="str">
            <v>EHBC1592</v>
          </cell>
          <cell r="AF818">
            <v>562.72000000000025</v>
          </cell>
          <cell r="AG818">
            <v>213.24</v>
          </cell>
          <cell r="AH818">
            <v>213.24</v>
          </cell>
        </row>
        <row r="819">
          <cell r="AE819" t="str">
            <v>EHBC1593</v>
          </cell>
          <cell r="AF819">
            <v>562.72000000000025</v>
          </cell>
          <cell r="AG819">
            <v>213.24</v>
          </cell>
          <cell r="AH819">
            <v>213.24</v>
          </cell>
        </row>
        <row r="820">
          <cell r="AE820" t="str">
            <v>EHBC1594</v>
          </cell>
          <cell r="AF820">
            <v>562.72000000000025</v>
          </cell>
          <cell r="AG820">
            <v>213.24</v>
          </cell>
          <cell r="AH820">
            <v>213.24</v>
          </cell>
        </row>
        <row r="821">
          <cell r="AE821" t="str">
            <v>EHBC1595</v>
          </cell>
          <cell r="AF821">
            <v>562.72000000000025</v>
          </cell>
          <cell r="AG821">
            <v>213.24</v>
          </cell>
          <cell r="AH821">
            <v>213.24</v>
          </cell>
        </row>
        <row r="822">
          <cell r="AE822" t="str">
            <v>EHBC1596</v>
          </cell>
          <cell r="AF822">
            <v>562.72000000000025</v>
          </cell>
          <cell r="AG822">
            <v>213.24</v>
          </cell>
          <cell r="AH822">
            <v>213.24</v>
          </cell>
        </row>
        <row r="823">
          <cell r="AE823" t="str">
            <v>EHBC1597</v>
          </cell>
          <cell r="AF823">
            <v>562.72000000000025</v>
          </cell>
          <cell r="AG823">
            <v>213.24</v>
          </cell>
          <cell r="AH823">
            <v>213.24</v>
          </cell>
        </row>
        <row r="824">
          <cell r="AE824" t="str">
            <v>EHBC1598</v>
          </cell>
          <cell r="AF824">
            <v>562.72000000000025</v>
          </cell>
          <cell r="AG824">
            <v>213.24</v>
          </cell>
          <cell r="AH824">
            <v>213.24</v>
          </cell>
        </row>
        <row r="825">
          <cell r="AE825" t="str">
            <v>EHBC1599</v>
          </cell>
          <cell r="AF825">
            <v>562.72000000000025</v>
          </cell>
          <cell r="AG825">
            <v>213.24</v>
          </cell>
          <cell r="AH825">
            <v>213.24</v>
          </cell>
        </row>
        <row r="826">
          <cell r="AE826" t="str">
            <v>EHBC1600</v>
          </cell>
          <cell r="AF826">
            <v>562.72000000000025</v>
          </cell>
          <cell r="AG826">
            <v>213.24</v>
          </cell>
          <cell r="AH826">
            <v>213.24</v>
          </cell>
        </row>
        <row r="827">
          <cell r="AE827" t="str">
            <v>EHBC1601</v>
          </cell>
          <cell r="AF827">
            <v>562.72000000000025</v>
          </cell>
          <cell r="AG827">
            <v>213.24</v>
          </cell>
          <cell r="AH827">
            <v>213.24</v>
          </cell>
        </row>
        <row r="828">
          <cell r="AE828" t="str">
            <v>EHBC1602</v>
          </cell>
          <cell r="AF828">
            <v>562.72000000000025</v>
          </cell>
          <cell r="AG828">
            <v>213.24</v>
          </cell>
          <cell r="AH828">
            <v>213.24</v>
          </cell>
        </row>
        <row r="829">
          <cell r="AE829" t="str">
            <v>EHBC1603</v>
          </cell>
          <cell r="AF829">
            <v>562.72000000000025</v>
          </cell>
          <cell r="AG829">
            <v>213.24</v>
          </cell>
          <cell r="AH829">
            <v>213.24</v>
          </cell>
        </row>
        <row r="830">
          <cell r="AE830" t="str">
            <v>EHBC1604</v>
          </cell>
          <cell r="AF830">
            <v>562.72000000000025</v>
          </cell>
          <cell r="AG830">
            <v>213.24</v>
          </cell>
          <cell r="AH830">
            <v>213.24</v>
          </cell>
        </row>
        <row r="831">
          <cell r="AE831" t="str">
            <v>EHBC1605</v>
          </cell>
          <cell r="AF831">
            <v>562.72000000000025</v>
          </cell>
          <cell r="AG831">
            <v>213.24</v>
          </cell>
          <cell r="AH831">
            <v>213.24</v>
          </cell>
        </row>
        <row r="832">
          <cell r="AE832" t="str">
            <v>EHBC1606</v>
          </cell>
          <cell r="AF832">
            <v>562.72000000000025</v>
          </cell>
          <cell r="AG832">
            <v>213.24</v>
          </cell>
          <cell r="AH832">
            <v>213.24</v>
          </cell>
        </row>
        <row r="833">
          <cell r="AE833" t="str">
            <v>EHBC1607</v>
          </cell>
          <cell r="AF833">
            <v>562.72000000000025</v>
          </cell>
          <cell r="AG833">
            <v>213.24</v>
          </cell>
          <cell r="AH833">
            <v>213.24</v>
          </cell>
        </row>
        <row r="834">
          <cell r="AE834" t="str">
            <v>EHBC1608</v>
          </cell>
          <cell r="AF834">
            <v>562.72000000000025</v>
          </cell>
          <cell r="AG834">
            <v>213.24</v>
          </cell>
          <cell r="AH834">
            <v>213.24</v>
          </cell>
        </row>
        <row r="835">
          <cell r="AE835" t="str">
            <v>EHBC1609</v>
          </cell>
          <cell r="AF835">
            <v>562.72000000000025</v>
          </cell>
          <cell r="AG835">
            <v>213.24</v>
          </cell>
          <cell r="AH835">
            <v>213.24</v>
          </cell>
        </row>
        <row r="836">
          <cell r="AE836" t="str">
            <v>EHBC1610</v>
          </cell>
          <cell r="AF836">
            <v>562.72000000000025</v>
          </cell>
          <cell r="AG836">
            <v>213.24</v>
          </cell>
          <cell r="AH836">
            <v>213.24</v>
          </cell>
        </row>
        <row r="837">
          <cell r="AE837" t="str">
            <v>EHBC1611</v>
          </cell>
          <cell r="AF837">
            <v>562.72000000000025</v>
          </cell>
          <cell r="AG837">
            <v>213.24</v>
          </cell>
          <cell r="AH837">
            <v>213.24</v>
          </cell>
        </row>
        <row r="838">
          <cell r="AE838" t="str">
            <v>EHBC1612</v>
          </cell>
          <cell r="AF838">
            <v>562.72000000000025</v>
          </cell>
          <cell r="AG838">
            <v>213.24</v>
          </cell>
          <cell r="AH838">
            <v>213.24</v>
          </cell>
        </row>
        <row r="839">
          <cell r="AE839" t="str">
            <v>EHBC1613</v>
          </cell>
          <cell r="AF839">
            <v>562.72000000000025</v>
          </cell>
          <cell r="AG839">
            <v>213.24</v>
          </cell>
          <cell r="AH839">
            <v>213.24</v>
          </cell>
        </row>
        <row r="840">
          <cell r="AE840" t="str">
            <v>EHBC1614</v>
          </cell>
          <cell r="AF840">
            <v>562.72000000000025</v>
          </cell>
          <cell r="AG840">
            <v>213.24</v>
          </cell>
          <cell r="AH840">
            <v>213.24</v>
          </cell>
        </row>
        <row r="841">
          <cell r="AE841" t="str">
            <v>EHBC1615</v>
          </cell>
          <cell r="AF841">
            <v>562.72000000000025</v>
          </cell>
          <cell r="AG841">
            <v>213.24</v>
          </cell>
          <cell r="AH841">
            <v>213.24</v>
          </cell>
        </row>
        <row r="842">
          <cell r="AE842" t="str">
            <v>EHBC1616</v>
          </cell>
          <cell r="AF842">
            <v>562.72000000000025</v>
          </cell>
          <cell r="AG842">
            <v>213.24</v>
          </cell>
          <cell r="AH842">
            <v>213.24</v>
          </cell>
        </row>
        <row r="843">
          <cell r="AE843" t="str">
            <v>EHBC1617</v>
          </cell>
          <cell r="AF843">
            <v>562.72000000000025</v>
          </cell>
          <cell r="AG843">
            <v>213.24</v>
          </cell>
          <cell r="AH843">
            <v>213.24</v>
          </cell>
        </row>
        <row r="844">
          <cell r="AE844" t="str">
            <v>EHBC1618</v>
          </cell>
          <cell r="AF844">
            <v>562.72000000000025</v>
          </cell>
          <cell r="AG844">
            <v>213.24</v>
          </cell>
          <cell r="AH844">
            <v>213.24</v>
          </cell>
        </row>
        <row r="845">
          <cell r="AE845" t="str">
            <v>EHBC1619</v>
          </cell>
          <cell r="AF845">
            <v>562.72000000000025</v>
          </cell>
          <cell r="AG845">
            <v>213.24</v>
          </cell>
          <cell r="AH845">
            <v>213.24</v>
          </cell>
        </row>
        <row r="846">
          <cell r="AE846" t="str">
            <v>EHBC1620</v>
          </cell>
          <cell r="AF846">
            <v>562.67000000000007</v>
          </cell>
          <cell r="AG846">
            <v>213.24</v>
          </cell>
          <cell r="AH846">
            <v>213.24</v>
          </cell>
        </row>
        <row r="847">
          <cell r="AE847" t="str">
            <v>70204ZJ?</v>
          </cell>
          <cell r="AF847">
            <v>389.08000000000004</v>
          </cell>
          <cell r="AG847">
            <v>147.44</v>
          </cell>
          <cell r="AH847">
            <v>147.44</v>
          </cell>
        </row>
        <row r="848">
          <cell r="AE848" t="str">
            <v>?70204ZG</v>
          </cell>
          <cell r="AF848">
            <v>389.08000000000004</v>
          </cell>
          <cell r="AG848">
            <v>147.44</v>
          </cell>
          <cell r="AH848">
            <v>147.44</v>
          </cell>
        </row>
        <row r="849">
          <cell r="AE849" t="str">
            <v>?70204ZH</v>
          </cell>
          <cell r="AF849">
            <v>389.08000000000004</v>
          </cell>
          <cell r="AG849">
            <v>147.44</v>
          </cell>
          <cell r="AH849">
            <v>147.44</v>
          </cell>
        </row>
        <row r="850">
          <cell r="AE850" t="str">
            <v>?70204ZK</v>
          </cell>
          <cell r="AF850">
            <v>389.08000000000004</v>
          </cell>
          <cell r="AG850">
            <v>147.44</v>
          </cell>
          <cell r="AH850">
            <v>147.44</v>
          </cell>
        </row>
        <row r="851">
          <cell r="AE851" t="str">
            <v>E0010008</v>
          </cell>
          <cell r="AF851">
            <v>0</v>
          </cell>
          <cell r="AG851">
            <v>102090.75</v>
          </cell>
          <cell r="AH851">
            <v>102090.75</v>
          </cell>
        </row>
        <row r="852">
          <cell r="AE852" t="str">
            <v>E0010007</v>
          </cell>
          <cell r="AF852">
            <v>0</v>
          </cell>
          <cell r="AG852">
            <v>95307.57</v>
          </cell>
          <cell r="AH852">
            <v>95307.57</v>
          </cell>
        </row>
        <row r="853">
          <cell r="AE853" t="str">
            <v>EX000001EX000001</v>
          </cell>
          <cell r="AF853" t="e">
            <v>#VALUE!</v>
          </cell>
          <cell r="AG853">
            <v>0</v>
          </cell>
          <cell r="AH853" t="e">
            <v>#VALUE!</v>
          </cell>
        </row>
        <row r="854">
          <cell r="AE854" t="str">
            <v>EX000002EX000002</v>
          </cell>
          <cell r="AF854" t="e">
            <v>#VALUE!</v>
          </cell>
          <cell r="AG854">
            <v>0</v>
          </cell>
          <cell r="AH854" t="e">
            <v>#VALUE!</v>
          </cell>
        </row>
        <row r="855">
          <cell r="AE855" t="str">
            <v>E0008466</v>
          </cell>
          <cell r="AF855">
            <v>0</v>
          </cell>
          <cell r="AG855">
            <v>6372.85</v>
          </cell>
          <cell r="AH855">
            <v>6372.85</v>
          </cell>
        </row>
        <row r="856">
          <cell r="AE856" t="str">
            <v>E100850</v>
          </cell>
          <cell r="AF856">
            <v>0</v>
          </cell>
          <cell r="AG856">
            <v>500</v>
          </cell>
          <cell r="AH856">
            <v>500</v>
          </cell>
        </row>
        <row r="857">
          <cell r="AE857" t="str">
            <v>E100851</v>
          </cell>
          <cell r="AF857">
            <v>0</v>
          </cell>
          <cell r="AG857">
            <v>500</v>
          </cell>
          <cell r="AH857">
            <v>500</v>
          </cell>
        </row>
        <row r="858">
          <cell r="AE858" t="str">
            <v>80440HL</v>
          </cell>
          <cell r="AF858">
            <v>1187.49</v>
          </cell>
          <cell r="AG858">
            <v>750</v>
          </cell>
          <cell r="AH858">
            <v>750</v>
          </cell>
        </row>
        <row r="859">
          <cell r="AE859" t="str">
            <v>80440HM</v>
          </cell>
          <cell r="AF859">
            <v>0</v>
          </cell>
          <cell r="AG859">
            <v>750</v>
          </cell>
          <cell r="AH859">
            <v>750</v>
          </cell>
        </row>
        <row r="860">
          <cell r="AE860" t="str">
            <v>80440HN</v>
          </cell>
          <cell r="AF860">
            <v>0</v>
          </cell>
          <cell r="AG860">
            <v>750</v>
          </cell>
          <cell r="AH860">
            <v>750</v>
          </cell>
        </row>
        <row r="861">
          <cell r="AE861" t="str">
            <v>80440HP</v>
          </cell>
          <cell r="AF861">
            <v>0</v>
          </cell>
          <cell r="AG861">
            <v>750</v>
          </cell>
          <cell r="AH861">
            <v>750</v>
          </cell>
        </row>
        <row r="862">
          <cell r="AE862" t="str">
            <v>80440HQ</v>
          </cell>
          <cell r="AF862">
            <v>0</v>
          </cell>
          <cell r="AG862">
            <v>750</v>
          </cell>
          <cell r="AH862">
            <v>750</v>
          </cell>
        </row>
        <row r="863">
          <cell r="AE863" t="str">
            <v>80440HR</v>
          </cell>
          <cell r="AF863">
            <v>0</v>
          </cell>
          <cell r="AG863">
            <v>750</v>
          </cell>
          <cell r="AH863">
            <v>750</v>
          </cell>
        </row>
        <row r="864">
          <cell r="AE864" t="str">
            <v>80440HS</v>
          </cell>
          <cell r="AF864">
            <v>0</v>
          </cell>
          <cell r="AG864">
            <v>750</v>
          </cell>
          <cell r="AH864">
            <v>750</v>
          </cell>
        </row>
        <row r="865">
          <cell r="AE865" t="str">
            <v>80440HT</v>
          </cell>
          <cell r="AF865">
            <v>0</v>
          </cell>
          <cell r="AG865">
            <v>750</v>
          </cell>
          <cell r="AH865">
            <v>750</v>
          </cell>
        </row>
        <row r="866">
          <cell r="AE866" t="str">
            <v>80440HV</v>
          </cell>
          <cell r="AF866">
            <v>0</v>
          </cell>
          <cell r="AG866">
            <v>750</v>
          </cell>
          <cell r="AH866">
            <v>750</v>
          </cell>
        </row>
        <row r="867">
          <cell r="AE867" t="str">
            <v>80440HW</v>
          </cell>
          <cell r="AF867">
            <v>0</v>
          </cell>
          <cell r="AG867">
            <v>750</v>
          </cell>
          <cell r="AH867">
            <v>750</v>
          </cell>
        </row>
        <row r="868">
          <cell r="AE868" t="str">
            <v>80440HX</v>
          </cell>
          <cell r="AF868">
            <v>1187.49</v>
          </cell>
          <cell r="AG868">
            <v>750</v>
          </cell>
          <cell r="AH868">
            <v>750</v>
          </cell>
        </row>
        <row r="869">
          <cell r="AE869" t="str">
            <v>80440HY</v>
          </cell>
          <cell r="AF869">
            <v>0</v>
          </cell>
          <cell r="AG869">
            <v>750</v>
          </cell>
          <cell r="AH869">
            <v>750</v>
          </cell>
        </row>
        <row r="870">
          <cell r="AE870" t="str">
            <v>E0008477</v>
          </cell>
          <cell r="AF870">
            <v>0</v>
          </cell>
          <cell r="AG870">
            <v>2770</v>
          </cell>
          <cell r="AH870">
            <v>2770</v>
          </cell>
        </row>
        <row r="871">
          <cell r="AE871" t="str">
            <v>E0008478</v>
          </cell>
          <cell r="AF871">
            <v>0</v>
          </cell>
          <cell r="AG871">
            <v>2770</v>
          </cell>
          <cell r="AH871">
            <v>2770</v>
          </cell>
        </row>
        <row r="872">
          <cell r="AE872" t="str">
            <v>E0008479</v>
          </cell>
          <cell r="AF872">
            <v>0</v>
          </cell>
          <cell r="AG872">
            <v>2770</v>
          </cell>
          <cell r="AH872">
            <v>2770</v>
          </cell>
        </row>
        <row r="873">
          <cell r="AE873" t="str">
            <v>E0008451</v>
          </cell>
          <cell r="AF873">
            <v>0</v>
          </cell>
          <cell r="AG873">
            <v>1135.04</v>
          </cell>
          <cell r="AH873">
            <v>1135.04</v>
          </cell>
        </row>
        <row r="874">
          <cell r="AE874" t="str">
            <v>6453DWH</v>
          </cell>
          <cell r="AF874">
            <v>847.27</v>
          </cell>
          <cell r="AG874">
            <v>207.35</v>
          </cell>
          <cell r="AH874">
            <v>207.35</v>
          </cell>
        </row>
        <row r="875">
          <cell r="AE875" t="str">
            <v>6453DWZ</v>
          </cell>
          <cell r="AF875">
            <v>847.27</v>
          </cell>
          <cell r="AG875">
            <v>207.35</v>
          </cell>
          <cell r="AH875">
            <v>207.35</v>
          </cell>
        </row>
        <row r="876">
          <cell r="AE876" t="str">
            <v>6453DXR</v>
          </cell>
          <cell r="AF876">
            <v>847.27</v>
          </cell>
          <cell r="AG876">
            <v>207.35</v>
          </cell>
          <cell r="AH876">
            <v>207.35</v>
          </cell>
        </row>
        <row r="877">
          <cell r="AE877" t="str">
            <v>6453DYM</v>
          </cell>
          <cell r="AF877">
            <v>847.27</v>
          </cell>
          <cell r="AG877">
            <v>207.35</v>
          </cell>
          <cell r="AH877">
            <v>207.35</v>
          </cell>
        </row>
        <row r="878">
          <cell r="AE878" t="str">
            <v>6453DZ6</v>
          </cell>
          <cell r="AF878">
            <v>847.27</v>
          </cell>
          <cell r="AG878">
            <v>207.35</v>
          </cell>
          <cell r="AH878">
            <v>207.35</v>
          </cell>
        </row>
        <row r="879">
          <cell r="AE879" t="str">
            <v>6453DZV</v>
          </cell>
          <cell r="AF879">
            <v>847.27</v>
          </cell>
          <cell r="AG879">
            <v>207.35</v>
          </cell>
          <cell r="AH879">
            <v>207.35</v>
          </cell>
        </row>
        <row r="880">
          <cell r="AE880" t="str">
            <v>6453F05</v>
          </cell>
          <cell r="AF880">
            <v>847.27</v>
          </cell>
          <cell r="AG880">
            <v>207.35</v>
          </cell>
          <cell r="AH880">
            <v>207.35</v>
          </cell>
        </row>
        <row r="881">
          <cell r="AE881" t="str">
            <v>6453F09</v>
          </cell>
          <cell r="AF881">
            <v>847.27</v>
          </cell>
          <cell r="AG881">
            <v>207.35</v>
          </cell>
          <cell r="AH881">
            <v>207.35</v>
          </cell>
        </row>
        <row r="882">
          <cell r="AE882" t="str">
            <v>6453F0M</v>
          </cell>
          <cell r="AF882">
            <v>847.27</v>
          </cell>
          <cell r="AG882">
            <v>207.35</v>
          </cell>
          <cell r="AH882">
            <v>207.35</v>
          </cell>
        </row>
        <row r="883">
          <cell r="AE883" t="str">
            <v>6453F0Z</v>
          </cell>
          <cell r="AF883">
            <v>847.27</v>
          </cell>
          <cell r="AG883">
            <v>207.35</v>
          </cell>
          <cell r="AH883">
            <v>207.35</v>
          </cell>
        </row>
        <row r="884">
          <cell r="AE884" t="str">
            <v>6453F15</v>
          </cell>
          <cell r="AF884">
            <v>847.27</v>
          </cell>
          <cell r="AG884">
            <v>207.35</v>
          </cell>
          <cell r="AH884">
            <v>207.35</v>
          </cell>
        </row>
        <row r="885">
          <cell r="AE885" t="str">
            <v>6453F1W</v>
          </cell>
          <cell r="AF885">
            <v>847.27</v>
          </cell>
          <cell r="AG885">
            <v>207.35</v>
          </cell>
          <cell r="AH885">
            <v>207.35</v>
          </cell>
        </row>
        <row r="886">
          <cell r="AE886" t="str">
            <v>6453F2D</v>
          </cell>
          <cell r="AF886">
            <v>847.27</v>
          </cell>
          <cell r="AG886">
            <v>207.35</v>
          </cell>
          <cell r="AH886">
            <v>207.35</v>
          </cell>
        </row>
        <row r="887">
          <cell r="AE887" t="str">
            <v>6453F2R</v>
          </cell>
          <cell r="AF887">
            <v>847.27</v>
          </cell>
          <cell r="AG887">
            <v>207.35</v>
          </cell>
          <cell r="AH887">
            <v>207.35</v>
          </cell>
        </row>
        <row r="888">
          <cell r="AE888" t="str">
            <v>6453F37</v>
          </cell>
          <cell r="AF888">
            <v>847.27</v>
          </cell>
          <cell r="AG888">
            <v>207.35</v>
          </cell>
          <cell r="AH888">
            <v>207.35</v>
          </cell>
        </row>
        <row r="889">
          <cell r="AE889" t="str">
            <v>6453F3G</v>
          </cell>
          <cell r="AF889">
            <v>847.27</v>
          </cell>
          <cell r="AG889">
            <v>207.35</v>
          </cell>
          <cell r="AH889">
            <v>207.35</v>
          </cell>
        </row>
        <row r="890">
          <cell r="AE890" t="str">
            <v>6453F44</v>
          </cell>
          <cell r="AF890">
            <v>847.27</v>
          </cell>
          <cell r="AG890">
            <v>207.35</v>
          </cell>
          <cell r="AH890">
            <v>207.35</v>
          </cell>
        </row>
        <row r="891">
          <cell r="AE891" t="str">
            <v>6453F4F</v>
          </cell>
          <cell r="AF891">
            <v>847.27</v>
          </cell>
          <cell r="AG891">
            <v>207.35</v>
          </cell>
          <cell r="AH891">
            <v>207.35</v>
          </cell>
        </row>
        <row r="892">
          <cell r="AE892" t="str">
            <v>6453F4Y</v>
          </cell>
          <cell r="AF892">
            <v>847.27</v>
          </cell>
          <cell r="AG892">
            <v>207.35</v>
          </cell>
          <cell r="AH892">
            <v>207.35</v>
          </cell>
        </row>
        <row r="893">
          <cell r="AE893" t="str">
            <v>6453F5L</v>
          </cell>
          <cell r="AF893">
            <v>847.27</v>
          </cell>
          <cell r="AG893">
            <v>207.35</v>
          </cell>
          <cell r="AH893">
            <v>207.35</v>
          </cell>
        </row>
        <row r="894">
          <cell r="AE894" t="str">
            <v>6453F5R</v>
          </cell>
          <cell r="AF894">
            <v>847.27</v>
          </cell>
          <cell r="AG894">
            <v>207.35</v>
          </cell>
          <cell r="AH894">
            <v>207.35</v>
          </cell>
        </row>
        <row r="895">
          <cell r="AE895" t="str">
            <v>6453F64</v>
          </cell>
          <cell r="AF895">
            <v>847.27</v>
          </cell>
          <cell r="AG895">
            <v>207.35</v>
          </cell>
          <cell r="AH895">
            <v>207.35</v>
          </cell>
        </row>
        <row r="896">
          <cell r="AE896" t="str">
            <v>6453F6B</v>
          </cell>
          <cell r="AF896">
            <v>847.27</v>
          </cell>
          <cell r="AG896">
            <v>207.35</v>
          </cell>
          <cell r="AH896">
            <v>207.35</v>
          </cell>
        </row>
        <row r="897">
          <cell r="AE897" t="str">
            <v>6453F8N</v>
          </cell>
          <cell r="AF897">
            <v>847.27</v>
          </cell>
          <cell r="AG897">
            <v>207.35</v>
          </cell>
          <cell r="AH897">
            <v>207.35</v>
          </cell>
        </row>
        <row r="898">
          <cell r="AE898" t="str">
            <v>6453F8T</v>
          </cell>
          <cell r="AF898">
            <v>847.27</v>
          </cell>
          <cell r="AG898">
            <v>207.35</v>
          </cell>
          <cell r="AH898">
            <v>207.35</v>
          </cell>
        </row>
        <row r="899">
          <cell r="AE899" t="str">
            <v>6473KL3</v>
          </cell>
          <cell r="AF899">
            <v>837.77</v>
          </cell>
          <cell r="AG899">
            <v>207.35</v>
          </cell>
          <cell r="AH899">
            <v>207.35</v>
          </cell>
        </row>
        <row r="900">
          <cell r="AE900" t="str">
            <v>6473KLF</v>
          </cell>
          <cell r="AF900">
            <v>837.77</v>
          </cell>
          <cell r="AG900">
            <v>207.35</v>
          </cell>
          <cell r="AH900">
            <v>207.35</v>
          </cell>
        </row>
        <row r="901">
          <cell r="AE901" t="str">
            <v>6473KLT</v>
          </cell>
          <cell r="AF901">
            <v>837.77</v>
          </cell>
          <cell r="AG901">
            <v>207.35</v>
          </cell>
          <cell r="AH901">
            <v>207.35</v>
          </cell>
        </row>
        <row r="902">
          <cell r="AE902" t="str">
            <v>6473KM7</v>
          </cell>
          <cell r="AF902">
            <v>837.77</v>
          </cell>
          <cell r="AG902">
            <v>207.35</v>
          </cell>
          <cell r="AH902">
            <v>207.35</v>
          </cell>
        </row>
        <row r="903">
          <cell r="AE903" t="str">
            <v>6473KMH</v>
          </cell>
          <cell r="AF903">
            <v>837.77</v>
          </cell>
          <cell r="AG903">
            <v>207.35</v>
          </cell>
          <cell r="AH903">
            <v>207.35</v>
          </cell>
        </row>
        <row r="904">
          <cell r="AE904" t="str">
            <v>6473KMR</v>
          </cell>
          <cell r="AF904">
            <v>837.77</v>
          </cell>
          <cell r="AG904">
            <v>207.35</v>
          </cell>
          <cell r="AH904">
            <v>207.35</v>
          </cell>
        </row>
        <row r="905">
          <cell r="AE905" t="str">
            <v>6473KN2</v>
          </cell>
          <cell r="AF905">
            <v>837.77</v>
          </cell>
          <cell r="AG905">
            <v>207.35</v>
          </cell>
          <cell r="AH905">
            <v>207.35</v>
          </cell>
        </row>
        <row r="906">
          <cell r="AE906" t="str">
            <v>7103PDD</v>
          </cell>
          <cell r="AF906">
            <v>407.95000000000005</v>
          </cell>
          <cell r="AG906">
            <v>182.5</v>
          </cell>
          <cell r="AH906">
            <v>182.5</v>
          </cell>
        </row>
        <row r="907">
          <cell r="AE907" t="str">
            <v>7103PDF</v>
          </cell>
          <cell r="AF907">
            <v>407.95000000000005</v>
          </cell>
          <cell r="AG907">
            <v>182.5</v>
          </cell>
          <cell r="AH907">
            <v>182.5</v>
          </cell>
        </row>
        <row r="908">
          <cell r="AE908" t="str">
            <v>7103PDG</v>
          </cell>
          <cell r="AF908">
            <v>407.95000000000005</v>
          </cell>
          <cell r="AG908">
            <v>182.5</v>
          </cell>
          <cell r="AH908">
            <v>182.5</v>
          </cell>
        </row>
        <row r="909">
          <cell r="AE909" t="str">
            <v>7103PDH</v>
          </cell>
          <cell r="AF909">
            <v>407.95000000000005</v>
          </cell>
          <cell r="AG909">
            <v>182.5</v>
          </cell>
          <cell r="AH909">
            <v>182.5</v>
          </cell>
        </row>
        <row r="910">
          <cell r="AE910" t="str">
            <v>7103PDJ</v>
          </cell>
          <cell r="AF910">
            <v>407.95000000000005</v>
          </cell>
          <cell r="AG910">
            <v>182.5</v>
          </cell>
          <cell r="AH910">
            <v>182.5</v>
          </cell>
        </row>
        <row r="911">
          <cell r="AE911" t="str">
            <v>7103PDK</v>
          </cell>
          <cell r="AF911">
            <v>407.95000000000005</v>
          </cell>
          <cell r="AG911">
            <v>182.5</v>
          </cell>
          <cell r="AH911">
            <v>182.5</v>
          </cell>
        </row>
        <row r="912">
          <cell r="AE912" t="str">
            <v>7103PDL</v>
          </cell>
          <cell r="AF912">
            <v>407.95000000000005</v>
          </cell>
          <cell r="AG912">
            <v>182.5</v>
          </cell>
          <cell r="AH912">
            <v>182.5</v>
          </cell>
        </row>
        <row r="913">
          <cell r="AE913" t="str">
            <v>7103PDM</v>
          </cell>
          <cell r="AF913">
            <v>407.95000000000005</v>
          </cell>
          <cell r="AG913">
            <v>182.5</v>
          </cell>
          <cell r="AH913">
            <v>182.5</v>
          </cell>
        </row>
        <row r="914">
          <cell r="AE914" t="str">
            <v>7103PDN</v>
          </cell>
          <cell r="AF914">
            <v>407.95000000000005</v>
          </cell>
          <cell r="AG914">
            <v>182.5</v>
          </cell>
          <cell r="AH914">
            <v>182.5</v>
          </cell>
        </row>
        <row r="915">
          <cell r="AE915" t="str">
            <v>7103PDP</v>
          </cell>
          <cell r="AF915">
            <v>407.95000000000005</v>
          </cell>
          <cell r="AG915">
            <v>182.5</v>
          </cell>
          <cell r="AH915">
            <v>182.5</v>
          </cell>
        </row>
        <row r="916">
          <cell r="AE916" t="str">
            <v>7103PDQ</v>
          </cell>
          <cell r="AF916">
            <v>407.95000000000005</v>
          </cell>
          <cell r="AG916">
            <v>182.5</v>
          </cell>
          <cell r="AH916">
            <v>182.5</v>
          </cell>
        </row>
        <row r="917">
          <cell r="AE917" t="str">
            <v>7103PDR</v>
          </cell>
          <cell r="AF917">
            <v>407.95000000000005</v>
          </cell>
          <cell r="AG917">
            <v>182.5</v>
          </cell>
          <cell r="AH917">
            <v>182.5</v>
          </cell>
        </row>
        <row r="918">
          <cell r="AE918" t="str">
            <v>7103PDS</v>
          </cell>
          <cell r="AF918">
            <v>407.95000000000005</v>
          </cell>
          <cell r="AG918">
            <v>182.5</v>
          </cell>
          <cell r="AH918">
            <v>182.5</v>
          </cell>
        </row>
        <row r="919">
          <cell r="AE919" t="str">
            <v>7104S9N?</v>
          </cell>
          <cell r="AF919">
            <v>407.95000000000005</v>
          </cell>
          <cell r="AG919">
            <v>182.5</v>
          </cell>
          <cell r="AH919">
            <v>182.5</v>
          </cell>
        </row>
        <row r="920">
          <cell r="AE920" t="str">
            <v>?7104S9L</v>
          </cell>
          <cell r="AF920">
            <v>407.95000000000005</v>
          </cell>
          <cell r="AG920">
            <v>182.5</v>
          </cell>
          <cell r="AH920">
            <v>182.5</v>
          </cell>
        </row>
        <row r="921">
          <cell r="AE921" t="str">
            <v>?7104S9R</v>
          </cell>
          <cell r="AF921">
            <v>407.95000000000005</v>
          </cell>
          <cell r="AG921">
            <v>182.5</v>
          </cell>
          <cell r="AH921">
            <v>182.5</v>
          </cell>
        </row>
        <row r="922">
          <cell r="AE922" t="str">
            <v>8044BBK</v>
          </cell>
          <cell r="AF922">
            <v>192.64</v>
          </cell>
          <cell r="AG922">
            <v>182.5</v>
          </cell>
          <cell r="AH922">
            <v>182.5</v>
          </cell>
        </row>
        <row r="923">
          <cell r="AE923" t="str">
            <v>8044BBL</v>
          </cell>
          <cell r="AF923">
            <v>192.64</v>
          </cell>
          <cell r="AG923">
            <v>182.5</v>
          </cell>
          <cell r="AH923">
            <v>182.5</v>
          </cell>
        </row>
        <row r="924">
          <cell r="AE924" t="str">
            <v>8044BBM</v>
          </cell>
          <cell r="AF924">
            <v>192.64</v>
          </cell>
          <cell r="AG924">
            <v>182.5</v>
          </cell>
          <cell r="AH924">
            <v>182.5</v>
          </cell>
        </row>
        <row r="925">
          <cell r="AE925" t="str">
            <v>8044BBR</v>
          </cell>
          <cell r="AF925">
            <v>192.64</v>
          </cell>
          <cell r="AG925">
            <v>182.5</v>
          </cell>
          <cell r="AH925">
            <v>182.5</v>
          </cell>
        </row>
        <row r="926">
          <cell r="AE926" t="str">
            <v>8044BBS</v>
          </cell>
          <cell r="AF926">
            <v>192.64</v>
          </cell>
          <cell r="AG926">
            <v>182.5</v>
          </cell>
          <cell r="AH926">
            <v>182.5</v>
          </cell>
        </row>
        <row r="927">
          <cell r="AE927" t="str">
            <v>8044BBT</v>
          </cell>
          <cell r="AF927">
            <v>192.64</v>
          </cell>
          <cell r="AG927">
            <v>182.5</v>
          </cell>
          <cell r="AH927">
            <v>182.5</v>
          </cell>
        </row>
        <row r="928">
          <cell r="AE928" t="str">
            <v>8044BBV</v>
          </cell>
          <cell r="AF928">
            <v>192.64</v>
          </cell>
          <cell r="AG928">
            <v>182.5</v>
          </cell>
          <cell r="AH928">
            <v>182.5</v>
          </cell>
        </row>
        <row r="929">
          <cell r="AE929" t="str">
            <v>8044BBW</v>
          </cell>
          <cell r="AF929">
            <v>192.64</v>
          </cell>
          <cell r="AG929">
            <v>182.5</v>
          </cell>
          <cell r="AH929">
            <v>182.5</v>
          </cell>
        </row>
        <row r="930">
          <cell r="AE930" t="str">
            <v>8044BBX</v>
          </cell>
          <cell r="AF930">
            <v>192.64</v>
          </cell>
          <cell r="AG930">
            <v>182.5</v>
          </cell>
          <cell r="AH930">
            <v>182.5</v>
          </cell>
        </row>
        <row r="931">
          <cell r="AE931" t="str">
            <v>6CR644N</v>
          </cell>
          <cell r="AF931">
            <v>389.07000000000005</v>
          </cell>
          <cell r="AG931">
            <v>147.44</v>
          </cell>
          <cell r="AH931">
            <v>147.44</v>
          </cell>
        </row>
        <row r="932">
          <cell r="AE932" t="str">
            <v>6CR644Z</v>
          </cell>
          <cell r="AF932">
            <v>389.07000000000005</v>
          </cell>
          <cell r="AG932">
            <v>147.44</v>
          </cell>
          <cell r="AH932">
            <v>147.44</v>
          </cell>
        </row>
        <row r="933">
          <cell r="AE933" t="str">
            <v>7488TKD</v>
          </cell>
          <cell r="AF933">
            <v>1571.7800000000002</v>
          </cell>
          <cell r="AG933">
            <v>551.5</v>
          </cell>
          <cell r="AH933">
            <v>551.5</v>
          </cell>
        </row>
        <row r="934">
          <cell r="AE934" t="str">
            <v>7488TKF</v>
          </cell>
          <cell r="AF934">
            <v>1571.7800000000002</v>
          </cell>
          <cell r="AG934">
            <v>551.5</v>
          </cell>
          <cell r="AH934">
            <v>551.5</v>
          </cell>
        </row>
        <row r="935">
          <cell r="AE935" t="str">
            <v>?7113VLS</v>
          </cell>
          <cell r="AF935">
            <v>799.09999999999991</v>
          </cell>
          <cell r="AG935">
            <v>357.5</v>
          </cell>
          <cell r="AH935">
            <v>357.5</v>
          </cell>
        </row>
        <row r="936">
          <cell r="AE936" t="str">
            <v>805051G</v>
          </cell>
          <cell r="AF936">
            <v>382.12</v>
          </cell>
          <cell r="AG936">
            <v>362</v>
          </cell>
          <cell r="AH936">
            <v>362</v>
          </cell>
        </row>
        <row r="937">
          <cell r="AE937" t="str">
            <v>6231H6X?</v>
          </cell>
          <cell r="AF937">
            <v>772.5</v>
          </cell>
          <cell r="AG937">
            <v>292.74</v>
          </cell>
          <cell r="AH937">
            <v>292.74</v>
          </cell>
        </row>
        <row r="938">
          <cell r="AE938" t="str">
            <v>6231H74</v>
          </cell>
          <cell r="AF938">
            <v>772.5</v>
          </cell>
          <cell r="AG938">
            <v>292.74</v>
          </cell>
          <cell r="AH938">
            <v>292.74</v>
          </cell>
        </row>
        <row r="939">
          <cell r="AE939" t="str">
            <v>6231H7C</v>
          </cell>
          <cell r="AF939">
            <v>772.5</v>
          </cell>
          <cell r="AG939">
            <v>292.74</v>
          </cell>
          <cell r="AH939">
            <v>292.74</v>
          </cell>
        </row>
        <row r="940">
          <cell r="AE940" t="str">
            <v>6231H86?</v>
          </cell>
          <cell r="AF940">
            <v>772.5</v>
          </cell>
          <cell r="AG940">
            <v>292.74</v>
          </cell>
          <cell r="AH940">
            <v>292.74</v>
          </cell>
        </row>
        <row r="941">
          <cell r="AE941" t="str">
            <v>6231H8K</v>
          </cell>
          <cell r="AF941">
            <v>772.5</v>
          </cell>
          <cell r="AG941">
            <v>292.74</v>
          </cell>
          <cell r="AH941">
            <v>292.74</v>
          </cell>
        </row>
        <row r="942">
          <cell r="AE942" t="str">
            <v>6231H8L?</v>
          </cell>
          <cell r="AF942">
            <v>772.5</v>
          </cell>
          <cell r="AG942">
            <v>292.74</v>
          </cell>
          <cell r="AH942">
            <v>292.74</v>
          </cell>
        </row>
        <row r="943">
          <cell r="AE943" t="str">
            <v>62826SK</v>
          </cell>
          <cell r="AF943">
            <v>765.57000000000016</v>
          </cell>
          <cell r="AG943">
            <v>342.5</v>
          </cell>
          <cell r="AH943">
            <v>342.5</v>
          </cell>
        </row>
        <row r="944">
          <cell r="AE944" t="str">
            <v>62826SS</v>
          </cell>
          <cell r="AF944">
            <v>765.57000000000016</v>
          </cell>
          <cell r="AG944">
            <v>342.5</v>
          </cell>
          <cell r="AH944">
            <v>342.5</v>
          </cell>
        </row>
        <row r="945">
          <cell r="AE945" t="str">
            <v>62826TB</v>
          </cell>
          <cell r="AF945">
            <v>765.57000000000016</v>
          </cell>
          <cell r="AG945">
            <v>342.5</v>
          </cell>
          <cell r="AH945">
            <v>342.5</v>
          </cell>
        </row>
        <row r="946">
          <cell r="AE946" t="str">
            <v>7490TL1</v>
          </cell>
          <cell r="AF946">
            <v>732.56</v>
          </cell>
          <cell r="AG946">
            <v>347</v>
          </cell>
          <cell r="AH946">
            <v>347</v>
          </cell>
        </row>
        <row r="947">
          <cell r="AE947" t="str">
            <v>7490TL7</v>
          </cell>
          <cell r="AF947">
            <v>732.56</v>
          </cell>
          <cell r="AG947">
            <v>347</v>
          </cell>
          <cell r="AH947">
            <v>347</v>
          </cell>
        </row>
        <row r="948">
          <cell r="AE948" t="str">
            <v>7490TLF</v>
          </cell>
          <cell r="AF948">
            <v>732.56</v>
          </cell>
          <cell r="AG948">
            <v>347</v>
          </cell>
          <cell r="AH948">
            <v>347</v>
          </cell>
        </row>
        <row r="949">
          <cell r="AE949" t="str">
            <v>?7105DTK</v>
          </cell>
          <cell r="AF949">
            <v>765.59999999999991</v>
          </cell>
          <cell r="AG949">
            <v>342.5</v>
          </cell>
          <cell r="AH949">
            <v>342.5</v>
          </cell>
        </row>
        <row r="950">
          <cell r="AE950" t="str">
            <v>?7105DTS</v>
          </cell>
          <cell r="AF950">
            <v>765.59999999999991</v>
          </cell>
          <cell r="AG950">
            <v>342.5</v>
          </cell>
          <cell r="AH950">
            <v>342.5</v>
          </cell>
        </row>
        <row r="951">
          <cell r="AE951" t="str">
            <v>?7105DTZ</v>
          </cell>
          <cell r="AF951">
            <v>765.59999999999991</v>
          </cell>
          <cell r="AG951">
            <v>342.5</v>
          </cell>
          <cell r="AH951">
            <v>342.5</v>
          </cell>
        </row>
        <row r="952">
          <cell r="AE952" t="str">
            <v>?7105DV8</v>
          </cell>
          <cell r="AF952">
            <v>765.59999999999991</v>
          </cell>
          <cell r="AG952">
            <v>342.5</v>
          </cell>
          <cell r="AH952">
            <v>342.5</v>
          </cell>
        </row>
        <row r="953">
          <cell r="AE953" t="str">
            <v>?7105DVK</v>
          </cell>
          <cell r="AF953">
            <v>765.57999999999993</v>
          </cell>
          <cell r="AG953">
            <v>342.5</v>
          </cell>
          <cell r="AH953">
            <v>342.5</v>
          </cell>
        </row>
        <row r="954">
          <cell r="AE954" t="str">
            <v>8051HVJ</v>
          </cell>
          <cell r="AF954">
            <v>366.28</v>
          </cell>
          <cell r="AG954">
            <v>347</v>
          </cell>
          <cell r="AH954">
            <v>347</v>
          </cell>
        </row>
        <row r="955">
          <cell r="AE955" t="str">
            <v>8051HVS</v>
          </cell>
          <cell r="AF955">
            <v>366.28</v>
          </cell>
          <cell r="AG955">
            <v>347</v>
          </cell>
          <cell r="AH955">
            <v>347</v>
          </cell>
        </row>
        <row r="956">
          <cell r="AE956" t="str">
            <v>8051HVY</v>
          </cell>
          <cell r="AF956">
            <v>366.28</v>
          </cell>
          <cell r="AG956">
            <v>347</v>
          </cell>
          <cell r="AH956">
            <v>347</v>
          </cell>
        </row>
        <row r="957">
          <cell r="AE957" t="str">
            <v>8051HW4</v>
          </cell>
          <cell r="AF957">
            <v>366.28</v>
          </cell>
          <cell r="AG957">
            <v>347</v>
          </cell>
          <cell r="AH957">
            <v>347</v>
          </cell>
        </row>
        <row r="958">
          <cell r="AE958" t="str">
            <v>8051HW8</v>
          </cell>
          <cell r="AF958">
            <v>366.28</v>
          </cell>
          <cell r="AG958">
            <v>347</v>
          </cell>
          <cell r="AH958">
            <v>347</v>
          </cell>
        </row>
        <row r="959">
          <cell r="AE959" t="str">
            <v>8034GQS</v>
          </cell>
          <cell r="AF959">
            <v>549.41999999999996</v>
          </cell>
          <cell r="AG959">
            <v>347</v>
          </cell>
          <cell r="AH959">
            <v>347</v>
          </cell>
        </row>
        <row r="960">
          <cell r="AE960" t="str">
            <v>8034GQW</v>
          </cell>
          <cell r="AF960">
            <v>549.41999999999996</v>
          </cell>
          <cell r="AG960">
            <v>347</v>
          </cell>
          <cell r="AH960">
            <v>347</v>
          </cell>
        </row>
        <row r="961">
          <cell r="AE961" t="str">
            <v>8034GR0</v>
          </cell>
          <cell r="AF961">
            <v>549.41999999999996</v>
          </cell>
          <cell r="AG961">
            <v>347</v>
          </cell>
          <cell r="AH961">
            <v>347</v>
          </cell>
        </row>
        <row r="962">
          <cell r="AE962" t="str">
            <v>8034GR3</v>
          </cell>
          <cell r="AF962">
            <v>549.41999999999996</v>
          </cell>
          <cell r="AG962">
            <v>347</v>
          </cell>
          <cell r="AH962">
            <v>347</v>
          </cell>
        </row>
        <row r="963">
          <cell r="AE963" t="str">
            <v>8034GR6</v>
          </cell>
          <cell r="AF963">
            <v>549.41999999999996</v>
          </cell>
          <cell r="AG963">
            <v>347</v>
          </cell>
          <cell r="AH963">
            <v>347</v>
          </cell>
        </row>
        <row r="964">
          <cell r="AE964" t="str">
            <v>8034GR9</v>
          </cell>
          <cell r="AF964">
            <v>549.41999999999996</v>
          </cell>
          <cell r="AG964">
            <v>347</v>
          </cell>
          <cell r="AH964">
            <v>347</v>
          </cell>
        </row>
        <row r="965">
          <cell r="AE965" t="str">
            <v>8034GRD</v>
          </cell>
          <cell r="AF965">
            <v>549.41999999999996</v>
          </cell>
          <cell r="AG965">
            <v>347</v>
          </cell>
          <cell r="AH965">
            <v>347</v>
          </cell>
        </row>
        <row r="966">
          <cell r="AE966" t="str">
            <v>8034GRJ</v>
          </cell>
          <cell r="AF966">
            <v>549.41999999999996</v>
          </cell>
          <cell r="AG966">
            <v>347</v>
          </cell>
          <cell r="AH966">
            <v>347</v>
          </cell>
        </row>
        <row r="967">
          <cell r="AE967" t="str">
            <v>8034GRM</v>
          </cell>
          <cell r="AF967">
            <v>549.41999999999996</v>
          </cell>
          <cell r="AG967">
            <v>347</v>
          </cell>
          <cell r="AH967">
            <v>347</v>
          </cell>
        </row>
        <row r="968">
          <cell r="AE968" t="str">
            <v>8034GRQ</v>
          </cell>
          <cell r="AF968">
            <v>549.41999999999996</v>
          </cell>
          <cell r="AG968">
            <v>347</v>
          </cell>
          <cell r="AH968">
            <v>347</v>
          </cell>
        </row>
        <row r="969">
          <cell r="AE969" t="str">
            <v>8034GRT</v>
          </cell>
          <cell r="AF969">
            <v>549.41999999999996</v>
          </cell>
          <cell r="AG969">
            <v>347</v>
          </cell>
          <cell r="AH969">
            <v>347</v>
          </cell>
        </row>
        <row r="970">
          <cell r="AE970" t="str">
            <v>8034GRW</v>
          </cell>
          <cell r="AF970">
            <v>549.41999999999996</v>
          </cell>
          <cell r="AG970">
            <v>347</v>
          </cell>
          <cell r="AH970">
            <v>347</v>
          </cell>
        </row>
        <row r="971">
          <cell r="AE971" t="str">
            <v>8034GRZ</v>
          </cell>
          <cell r="AF971">
            <v>549.41999999999996</v>
          </cell>
          <cell r="AG971">
            <v>347</v>
          </cell>
          <cell r="AH971">
            <v>347</v>
          </cell>
        </row>
        <row r="972">
          <cell r="AE972" t="str">
            <v>74660GZ</v>
          </cell>
          <cell r="AF972">
            <v>988.95999999999992</v>
          </cell>
          <cell r="AG972">
            <v>347</v>
          </cell>
          <cell r="AH972">
            <v>347</v>
          </cell>
        </row>
        <row r="973">
          <cell r="AE973" t="str">
            <v>74660H2</v>
          </cell>
          <cell r="AF973">
            <v>988.95999999999992</v>
          </cell>
          <cell r="AG973">
            <v>347</v>
          </cell>
          <cell r="AH973">
            <v>347</v>
          </cell>
        </row>
        <row r="974">
          <cell r="AE974" t="str">
            <v>74660H9</v>
          </cell>
          <cell r="AF974">
            <v>988.95999999999992</v>
          </cell>
          <cell r="AG974">
            <v>347</v>
          </cell>
          <cell r="AH974">
            <v>347</v>
          </cell>
        </row>
        <row r="975">
          <cell r="AE975" t="str">
            <v>74660HG</v>
          </cell>
          <cell r="AF975">
            <v>988.95999999999992</v>
          </cell>
          <cell r="AG975">
            <v>347</v>
          </cell>
          <cell r="AH975">
            <v>347</v>
          </cell>
        </row>
        <row r="976">
          <cell r="AE976" t="str">
            <v>74660HM</v>
          </cell>
          <cell r="AF976">
            <v>988.95999999999992</v>
          </cell>
          <cell r="AG976">
            <v>347</v>
          </cell>
          <cell r="AH976">
            <v>347</v>
          </cell>
        </row>
        <row r="977">
          <cell r="AE977" t="str">
            <v>74660HS</v>
          </cell>
          <cell r="AF977">
            <v>988.95999999999992</v>
          </cell>
          <cell r="AG977">
            <v>347</v>
          </cell>
          <cell r="AH977">
            <v>347</v>
          </cell>
        </row>
        <row r="978">
          <cell r="AE978" t="str">
            <v>74660HW</v>
          </cell>
          <cell r="AF978">
            <v>988.95999999999992</v>
          </cell>
          <cell r="AG978">
            <v>347</v>
          </cell>
          <cell r="AH978">
            <v>347</v>
          </cell>
        </row>
        <row r="979">
          <cell r="AE979" t="str">
            <v xml:space="preserve">IT0001141    </v>
          </cell>
          <cell r="AF979">
            <v>0</v>
          </cell>
          <cell r="AG979">
            <v>793.38</v>
          </cell>
          <cell r="AH979">
            <v>396.69</v>
          </cell>
        </row>
        <row r="980">
          <cell r="AE980" t="str">
            <v xml:space="preserve">IT0001142    </v>
          </cell>
          <cell r="AF980">
            <v>0</v>
          </cell>
          <cell r="AG980">
            <v>793.38</v>
          </cell>
          <cell r="AH980">
            <v>396.69</v>
          </cell>
        </row>
        <row r="981">
          <cell r="AE981" t="str">
            <v>EPC16001</v>
          </cell>
          <cell r="AF981">
            <v>455.20000000000005</v>
          </cell>
          <cell r="AG981">
            <v>172.5</v>
          </cell>
          <cell r="AH981">
            <v>172.5</v>
          </cell>
        </row>
        <row r="982">
          <cell r="AE982" t="str">
            <v>EPC16002</v>
          </cell>
          <cell r="AF982">
            <v>455.20000000000005</v>
          </cell>
          <cell r="AG982">
            <v>172.5</v>
          </cell>
          <cell r="AH982">
            <v>172.5</v>
          </cell>
        </row>
        <row r="983">
          <cell r="AE983" t="str">
            <v>EPC16003</v>
          </cell>
          <cell r="AF983">
            <v>455.20000000000005</v>
          </cell>
          <cell r="AG983">
            <v>172.5</v>
          </cell>
          <cell r="AH983">
            <v>172.5</v>
          </cell>
        </row>
        <row r="984">
          <cell r="AE984" t="str">
            <v>EPC16004</v>
          </cell>
          <cell r="AF984">
            <v>455.20000000000005</v>
          </cell>
          <cell r="AG984">
            <v>172.5</v>
          </cell>
          <cell r="AH984">
            <v>172.5</v>
          </cell>
        </row>
        <row r="985">
          <cell r="AE985" t="str">
            <v>EPC16005</v>
          </cell>
          <cell r="AF985">
            <v>455.20000000000005</v>
          </cell>
          <cell r="AG985">
            <v>172.5</v>
          </cell>
          <cell r="AH985">
            <v>172.5</v>
          </cell>
        </row>
        <row r="986">
          <cell r="AE986" t="str">
            <v>EPC16006</v>
          </cell>
          <cell r="AF986">
            <v>455.20000000000005</v>
          </cell>
          <cell r="AG986">
            <v>172.5</v>
          </cell>
          <cell r="AH986">
            <v>172.5</v>
          </cell>
        </row>
        <row r="987">
          <cell r="AE987" t="str">
            <v>EPC16007</v>
          </cell>
          <cell r="AF987">
            <v>455.20000000000005</v>
          </cell>
          <cell r="AG987">
            <v>172.5</v>
          </cell>
          <cell r="AH987">
            <v>172.5</v>
          </cell>
        </row>
        <row r="988">
          <cell r="AE988" t="str">
            <v>EPC16008</v>
          </cell>
          <cell r="AF988">
            <v>455.20000000000005</v>
          </cell>
          <cell r="AG988">
            <v>172.5</v>
          </cell>
          <cell r="AH988">
            <v>172.5</v>
          </cell>
        </row>
        <row r="989">
          <cell r="AE989" t="str">
            <v>EPC16009</v>
          </cell>
          <cell r="AF989">
            <v>455.20000000000005</v>
          </cell>
          <cell r="AG989">
            <v>172.5</v>
          </cell>
          <cell r="AH989">
            <v>172.5</v>
          </cell>
        </row>
        <row r="990">
          <cell r="AE990" t="str">
            <v>EPC16010</v>
          </cell>
          <cell r="AF990">
            <v>455.20000000000005</v>
          </cell>
          <cell r="AG990">
            <v>172.5</v>
          </cell>
          <cell r="AH990">
            <v>172.5</v>
          </cell>
        </row>
        <row r="991">
          <cell r="AE991" t="str">
            <v>EPC16011</v>
          </cell>
          <cell r="AF991">
            <v>455.20000000000005</v>
          </cell>
          <cell r="AG991">
            <v>172.5</v>
          </cell>
          <cell r="AH991">
            <v>172.5</v>
          </cell>
        </row>
        <row r="992">
          <cell r="AE992" t="str">
            <v>EPC16012</v>
          </cell>
          <cell r="AF992">
            <v>455.20000000000005</v>
          </cell>
          <cell r="AG992">
            <v>172.5</v>
          </cell>
          <cell r="AH992">
            <v>172.5</v>
          </cell>
        </row>
        <row r="993">
          <cell r="AE993" t="str">
            <v>EPC16013</v>
          </cell>
          <cell r="AF993">
            <v>455.20000000000005</v>
          </cell>
          <cell r="AG993">
            <v>172.5</v>
          </cell>
          <cell r="AH993">
            <v>172.5</v>
          </cell>
        </row>
        <row r="994">
          <cell r="AE994" t="str">
            <v>EPC16014</v>
          </cell>
          <cell r="AF994">
            <v>455.20000000000005</v>
          </cell>
          <cell r="AG994">
            <v>172.5</v>
          </cell>
          <cell r="AH994">
            <v>172.5</v>
          </cell>
        </row>
        <row r="995">
          <cell r="AE995" t="str">
            <v>EPC16015</v>
          </cell>
          <cell r="AF995">
            <v>455.20000000000005</v>
          </cell>
          <cell r="AG995">
            <v>172.5</v>
          </cell>
          <cell r="AH995">
            <v>172.5</v>
          </cell>
        </row>
        <row r="996">
          <cell r="AE996" t="str">
            <v>EPC16016</v>
          </cell>
          <cell r="AF996">
            <v>455.20000000000005</v>
          </cell>
          <cell r="AG996">
            <v>172.5</v>
          </cell>
          <cell r="AH996">
            <v>172.5</v>
          </cell>
        </row>
        <row r="997">
          <cell r="AE997" t="str">
            <v>EPC16017</v>
          </cell>
          <cell r="AF997">
            <v>455.20000000000005</v>
          </cell>
          <cell r="AG997">
            <v>172.5</v>
          </cell>
          <cell r="AH997">
            <v>172.5</v>
          </cell>
        </row>
        <row r="998">
          <cell r="AE998" t="str">
            <v>EPC16018</v>
          </cell>
          <cell r="AF998">
            <v>455.20000000000005</v>
          </cell>
          <cell r="AG998">
            <v>172.5</v>
          </cell>
          <cell r="AH998">
            <v>172.5</v>
          </cell>
        </row>
        <row r="999">
          <cell r="AE999" t="str">
            <v>EPC16019</v>
          </cell>
          <cell r="AF999">
            <v>455.20000000000005</v>
          </cell>
          <cell r="AG999">
            <v>172.5</v>
          </cell>
          <cell r="AH999">
            <v>172.5</v>
          </cell>
        </row>
        <row r="1000">
          <cell r="AE1000" t="str">
            <v>EPC16020</v>
          </cell>
          <cell r="AF1000">
            <v>455.20000000000005</v>
          </cell>
          <cell r="AG1000">
            <v>172.5</v>
          </cell>
          <cell r="AH1000">
            <v>172.5</v>
          </cell>
        </row>
        <row r="1001">
          <cell r="AE1001" t="str">
            <v>EPC16021</v>
          </cell>
          <cell r="AF1001">
            <v>455.20000000000005</v>
          </cell>
          <cell r="AG1001">
            <v>172.5</v>
          </cell>
          <cell r="AH1001">
            <v>172.5</v>
          </cell>
        </row>
        <row r="1002">
          <cell r="AE1002" t="str">
            <v>EPC16022</v>
          </cell>
          <cell r="AF1002">
            <v>455.20000000000005</v>
          </cell>
          <cell r="AG1002">
            <v>172.5</v>
          </cell>
          <cell r="AH1002">
            <v>172.5</v>
          </cell>
        </row>
        <row r="1003">
          <cell r="AE1003" t="str">
            <v>EPC16023</v>
          </cell>
          <cell r="AF1003">
            <v>455.20000000000005</v>
          </cell>
          <cell r="AG1003">
            <v>172.5</v>
          </cell>
          <cell r="AH1003">
            <v>172.5</v>
          </cell>
        </row>
        <row r="1004">
          <cell r="AE1004" t="str">
            <v>EPC16024</v>
          </cell>
          <cell r="AF1004">
            <v>455.20000000000005</v>
          </cell>
          <cell r="AG1004">
            <v>172.5</v>
          </cell>
          <cell r="AH1004">
            <v>172.5</v>
          </cell>
        </row>
        <row r="1005">
          <cell r="AE1005" t="str">
            <v>EPC16025</v>
          </cell>
          <cell r="AF1005">
            <v>455.20000000000005</v>
          </cell>
          <cell r="AG1005">
            <v>172.5</v>
          </cell>
          <cell r="AH1005">
            <v>172.5</v>
          </cell>
        </row>
        <row r="1006">
          <cell r="AE1006" t="str">
            <v>EPC16026</v>
          </cell>
          <cell r="AF1006">
            <v>455.20000000000005</v>
          </cell>
          <cell r="AG1006">
            <v>172.5</v>
          </cell>
          <cell r="AH1006">
            <v>172.5</v>
          </cell>
        </row>
        <row r="1007">
          <cell r="AE1007" t="str">
            <v>EPC16027</v>
          </cell>
          <cell r="AF1007">
            <v>455.20000000000005</v>
          </cell>
          <cell r="AG1007">
            <v>172.5</v>
          </cell>
          <cell r="AH1007">
            <v>172.5</v>
          </cell>
        </row>
        <row r="1008">
          <cell r="AE1008" t="str">
            <v>EPC16028</v>
          </cell>
          <cell r="AF1008">
            <v>455.20000000000005</v>
          </cell>
          <cell r="AG1008">
            <v>172.5</v>
          </cell>
          <cell r="AH1008">
            <v>172.5</v>
          </cell>
        </row>
        <row r="1009">
          <cell r="AE1009" t="str">
            <v>EPC16029</v>
          </cell>
          <cell r="AF1009">
            <v>455.20000000000005</v>
          </cell>
          <cell r="AG1009">
            <v>172.5</v>
          </cell>
          <cell r="AH1009">
            <v>172.5</v>
          </cell>
        </row>
        <row r="1010">
          <cell r="AE1010" t="str">
            <v>EPC16030</v>
          </cell>
          <cell r="AF1010">
            <v>455.20000000000005</v>
          </cell>
          <cell r="AG1010">
            <v>172.5</v>
          </cell>
          <cell r="AH1010">
            <v>172.5</v>
          </cell>
        </row>
        <row r="1011">
          <cell r="AE1011" t="str">
            <v>EPC16031</v>
          </cell>
          <cell r="AF1011">
            <v>455.20000000000005</v>
          </cell>
          <cell r="AG1011">
            <v>172.5</v>
          </cell>
          <cell r="AH1011">
            <v>172.5</v>
          </cell>
        </row>
        <row r="1012">
          <cell r="AE1012" t="str">
            <v>EPC16032</v>
          </cell>
          <cell r="AF1012">
            <v>455.20000000000005</v>
          </cell>
          <cell r="AG1012">
            <v>172.5</v>
          </cell>
          <cell r="AH1012">
            <v>172.5</v>
          </cell>
        </row>
        <row r="1013">
          <cell r="AE1013" t="str">
            <v>EPC16033</v>
          </cell>
          <cell r="AF1013">
            <v>455.20000000000005</v>
          </cell>
          <cell r="AG1013">
            <v>172.5</v>
          </cell>
          <cell r="AH1013">
            <v>172.5</v>
          </cell>
        </row>
        <row r="1014">
          <cell r="AE1014" t="str">
            <v>EPC16034</v>
          </cell>
          <cell r="AF1014">
            <v>455.20000000000005</v>
          </cell>
          <cell r="AG1014">
            <v>172.5</v>
          </cell>
          <cell r="AH1014">
            <v>172.5</v>
          </cell>
        </row>
        <row r="1015">
          <cell r="AE1015" t="str">
            <v>EPC16035</v>
          </cell>
          <cell r="AF1015">
            <v>455.20000000000005</v>
          </cell>
          <cell r="AG1015">
            <v>172.5</v>
          </cell>
          <cell r="AH1015">
            <v>172.5</v>
          </cell>
        </row>
        <row r="1016">
          <cell r="AE1016" t="str">
            <v>EPC16036</v>
          </cell>
          <cell r="AF1016">
            <v>455.20000000000005</v>
          </cell>
          <cell r="AG1016">
            <v>172.5</v>
          </cell>
          <cell r="AH1016">
            <v>172.5</v>
          </cell>
        </row>
        <row r="1017">
          <cell r="AE1017" t="str">
            <v>EPC16037</v>
          </cell>
          <cell r="AF1017">
            <v>455.20000000000005</v>
          </cell>
          <cell r="AG1017">
            <v>172.5</v>
          </cell>
          <cell r="AH1017">
            <v>172.5</v>
          </cell>
        </row>
        <row r="1018">
          <cell r="AE1018" t="str">
            <v>EPC16038</v>
          </cell>
          <cell r="AF1018">
            <v>455.20000000000005</v>
          </cell>
          <cell r="AG1018">
            <v>172.5</v>
          </cell>
          <cell r="AH1018">
            <v>172.5</v>
          </cell>
        </row>
        <row r="1019">
          <cell r="AE1019" t="str">
            <v>EPC16039</v>
          </cell>
          <cell r="AF1019">
            <v>455.20000000000005</v>
          </cell>
          <cell r="AG1019">
            <v>172.5</v>
          </cell>
          <cell r="AH1019">
            <v>172.5</v>
          </cell>
        </row>
        <row r="1020">
          <cell r="AE1020" t="str">
            <v>EPC16040</v>
          </cell>
          <cell r="AF1020">
            <v>455.20000000000005</v>
          </cell>
          <cell r="AG1020">
            <v>172.5</v>
          </cell>
          <cell r="AH1020">
            <v>172.5</v>
          </cell>
        </row>
        <row r="1021">
          <cell r="AE1021" t="str">
            <v>EPC16041</v>
          </cell>
          <cell r="AF1021">
            <v>455.20000000000005</v>
          </cell>
          <cell r="AG1021">
            <v>172.5</v>
          </cell>
          <cell r="AH1021">
            <v>172.5</v>
          </cell>
        </row>
        <row r="1022">
          <cell r="AE1022" t="str">
            <v>EPC16042</v>
          </cell>
          <cell r="AF1022">
            <v>455.20000000000005</v>
          </cell>
          <cell r="AG1022">
            <v>172.5</v>
          </cell>
          <cell r="AH1022">
            <v>172.5</v>
          </cell>
        </row>
        <row r="1023">
          <cell r="AE1023" t="str">
            <v>EPC16043</v>
          </cell>
          <cell r="AF1023">
            <v>455.20000000000005</v>
          </cell>
          <cell r="AG1023">
            <v>172.5</v>
          </cell>
          <cell r="AH1023">
            <v>172.5</v>
          </cell>
        </row>
        <row r="1024">
          <cell r="AE1024" t="str">
            <v>EPC16044</v>
          </cell>
          <cell r="AF1024">
            <v>455.20000000000005</v>
          </cell>
          <cell r="AG1024">
            <v>172.5</v>
          </cell>
          <cell r="AH1024">
            <v>172.5</v>
          </cell>
        </row>
        <row r="1025">
          <cell r="AE1025" t="str">
            <v>EPC16045</v>
          </cell>
          <cell r="AF1025">
            <v>455.20000000000005</v>
          </cell>
          <cell r="AG1025">
            <v>172.5</v>
          </cell>
          <cell r="AH1025">
            <v>172.5</v>
          </cell>
        </row>
        <row r="1026">
          <cell r="AE1026" t="str">
            <v>EPC16046</v>
          </cell>
          <cell r="AF1026">
            <v>455.20000000000005</v>
          </cell>
          <cell r="AG1026">
            <v>172.5</v>
          </cell>
          <cell r="AH1026">
            <v>172.5</v>
          </cell>
        </row>
        <row r="1027">
          <cell r="AE1027" t="str">
            <v>EPC16047</v>
          </cell>
          <cell r="AF1027">
            <v>455.20000000000005</v>
          </cell>
          <cell r="AG1027">
            <v>172.5</v>
          </cell>
          <cell r="AH1027">
            <v>172.5</v>
          </cell>
        </row>
        <row r="1028">
          <cell r="AE1028" t="str">
            <v>EPC16048</v>
          </cell>
          <cell r="AF1028">
            <v>455.20000000000005</v>
          </cell>
          <cell r="AG1028">
            <v>172.5</v>
          </cell>
          <cell r="AH1028">
            <v>172.5</v>
          </cell>
        </row>
        <row r="1029">
          <cell r="AE1029" t="str">
            <v>EPC16049</v>
          </cell>
          <cell r="AF1029">
            <v>455.20000000000005</v>
          </cell>
          <cell r="AG1029">
            <v>172.5</v>
          </cell>
          <cell r="AH1029">
            <v>172.5</v>
          </cell>
        </row>
        <row r="1030">
          <cell r="AE1030" t="str">
            <v>EPC16050</v>
          </cell>
          <cell r="AF1030">
            <v>455.20000000000005</v>
          </cell>
          <cell r="AG1030">
            <v>172.5</v>
          </cell>
          <cell r="AH1030">
            <v>172.5</v>
          </cell>
        </row>
        <row r="1031">
          <cell r="AE1031" t="str">
            <v>EPC16051</v>
          </cell>
          <cell r="AF1031">
            <v>455.20000000000005</v>
          </cell>
          <cell r="AG1031">
            <v>172.5</v>
          </cell>
          <cell r="AH1031">
            <v>172.5</v>
          </cell>
        </row>
        <row r="1032">
          <cell r="AE1032" t="str">
            <v>EPC16052</v>
          </cell>
          <cell r="AF1032">
            <v>455.20000000000005</v>
          </cell>
          <cell r="AG1032">
            <v>172.5</v>
          </cell>
          <cell r="AH1032">
            <v>172.5</v>
          </cell>
        </row>
        <row r="1033">
          <cell r="AE1033" t="str">
            <v>EPC16053</v>
          </cell>
          <cell r="AF1033">
            <v>455.20000000000005</v>
          </cell>
          <cell r="AG1033">
            <v>172.5</v>
          </cell>
          <cell r="AH1033">
            <v>172.5</v>
          </cell>
        </row>
        <row r="1034">
          <cell r="AE1034" t="str">
            <v>EPC16054</v>
          </cell>
          <cell r="AF1034">
            <v>455.20000000000005</v>
          </cell>
          <cell r="AG1034">
            <v>172.5</v>
          </cell>
          <cell r="AH1034">
            <v>172.5</v>
          </cell>
        </row>
        <row r="1035">
          <cell r="AE1035" t="str">
            <v>EPC16055</v>
          </cell>
          <cell r="AF1035">
            <v>455.20000000000005</v>
          </cell>
          <cell r="AG1035">
            <v>172.5</v>
          </cell>
          <cell r="AH1035">
            <v>172.5</v>
          </cell>
        </row>
        <row r="1036">
          <cell r="AE1036" t="str">
            <v>EPC16056</v>
          </cell>
          <cell r="AF1036">
            <v>455.20000000000005</v>
          </cell>
          <cell r="AG1036">
            <v>172.5</v>
          </cell>
          <cell r="AH1036">
            <v>172.5</v>
          </cell>
        </row>
        <row r="1037">
          <cell r="AE1037" t="str">
            <v>EPC16057</v>
          </cell>
          <cell r="AF1037">
            <v>455.20000000000005</v>
          </cell>
          <cell r="AG1037">
            <v>172.5</v>
          </cell>
          <cell r="AH1037">
            <v>172.5</v>
          </cell>
        </row>
        <row r="1038">
          <cell r="AE1038" t="str">
            <v>EPC16058</v>
          </cell>
          <cell r="AF1038">
            <v>455.20000000000005</v>
          </cell>
          <cell r="AG1038">
            <v>172.5</v>
          </cell>
          <cell r="AH1038">
            <v>172.5</v>
          </cell>
        </row>
        <row r="1039">
          <cell r="AE1039" t="str">
            <v>EPC16059</v>
          </cell>
          <cell r="AF1039">
            <v>455.20000000000005</v>
          </cell>
          <cell r="AG1039">
            <v>172.5</v>
          </cell>
          <cell r="AH1039">
            <v>172.5</v>
          </cell>
        </row>
        <row r="1040">
          <cell r="AE1040" t="str">
            <v>EPC16060</v>
          </cell>
          <cell r="AF1040">
            <v>455.20000000000005</v>
          </cell>
          <cell r="AG1040">
            <v>172.5</v>
          </cell>
          <cell r="AH1040">
            <v>172.5</v>
          </cell>
        </row>
        <row r="1041">
          <cell r="AE1041" t="str">
            <v>EPC16061</v>
          </cell>
          <cell r="AF1041">
            <v>455.20000000000005</v>
          </cell>
          <cell r="AG1041">
            <v>172.5</v>
          </cell>
          <cell r="AH1041">
            <v>172.5</v>
          </cell>
        </row>
        <row r="1042">
          <cell r="AE1042" t="str">
            <v>EPC16062</v>
          </cell>
          <cell r="AF1042">
            <v>455.20000000000005</v>
          </cell>
          <cell r="AG1042">
            <v>172.5</v>
          </cell>
          <cell r="AH1042">
            <v>172.5</v>
          </cell>
        </row>
        <row r="1043">
          <cell r="AE1043" t="str">
            <v>EPC16063</v>
          </cell>
          <cell r="AF1043">
            <v>455.20000000000005</v>
          </cell>
          <cell r="AG1043">
            <v>172.5</v>
          </cell>
          <cell r="AH1043">
            <v>172.5</v>
          </cell>
        </row>
        <row r="1044">
          <cell r="AE1044" t="str">
            <v>EPC16064</v>
          </cell>
          <cell r="AF1044">
            <v>455.20000000000005</v>
          </cell>
          <cell r="AG1044">
            <v>172.5</v>
          </cell>
          <cell r="AH1044">
            <v>172.5</v>
          </cell>
        </row>
        <row r="1045">
          <cell r="AE1045" t="str">
            <v>EPC16065</v>
          </cell>
          <cell r="AF1045">
            <v>455.20000000000005</v>
          </cell>
          <cell r="AG1045">
            <v>172.5</v>
          </cell>
          <cell r="AH1045">
            <v>172.5</v>
          </cell>
        </row>
        <row r="1046">
          <cell r="AE1046" t="str">
            <v>EPC16066</v>
          </cell>
          <cell r="AF1046">
            <v>455.20000000000005</v>
          </cell>
          <cell r="AG1046">
            <v>172.5</v>
          </cell>
          <cell r="AH1046">
            <v>172.5</v>
          </cell>
        </row>
        <row r="1047">
          <cell r="AE1047" t="str">
            <v>EPC16067</v>
          </cell>
          <cell r="AF1047">
            <v>455.20000000000005</v>
          </cell>
          <cell r="AG1047">
            <v>172.5</v>
          </cell>
          <cell r="AH1047">
            <v>172.5</v>
          </cell>
        </row>
        <row r="1048">
          <cell r="AE1048" t="str">
            <v>EPC16068</v>
          </cell>
          <cell r="AF1048">
            <v>455.20000000000005</v>
          </cell>
          <cell r="AG1048">
            <v>172.5</v>
          </cell>
          <cell r="AH1048">
            <v>172.5</v>
          </cell>
        </row>
        <row r="1049">
          <cell r="AE1049" t="str">
            <v>EPC16069</v>
          </cell>
          <cell r="AF1049">
            <v>455.20000000000005</v>
          </cell>
          <cell r="AG1049">
            <v>172.5</v>
          </cell>
          <cell r="AH1049">
            <v>172.5</v>
          </cell>
        </row>
        <row r="1050">
          <cell r="AE1050" t="str">
            <v>EPC16070</v>
          </cell>
          <cell r="AF1050">
            <v>455.20000000000005</v>
          </cell>
          <cell r="AG1050">
            <v>172.5</v>
          </cell>
          <cell r="AH1050">
            <v>172.5</v>
          </cell>
        </row>
        <row r="1051">
          <cell r="AE1051" t="str">
            <v>EPC16071</v>
          </cell>
          <cell r="AF1051">
            <v>455.20000000000005</v>
          </cell>
          <cell r="AG1051">
            <v>172.5</v>
          </cell>
          <cell r="AH1051">
            <v>172.5</v>
          </cell>
        </row>
        <row r="1052">
          <cell r="AE1052" t="str">
            <v>EPC16072</v>
          </cell>
          <cell r="AF1052">
            <v>455.20000000000005</v>
          </cell>
          <cell r="AG1052">
            <v>172.5</v>
          </cell>
          <cell r="AH1052">
            <v>172.5</v>
          </cell>
        </row>
        <row r="1053">
          <cell r="AE1053" t="str">
            <v>EPC16073</v>
          </cell>
          <cell r="AF1053">
            <v>455.20000000000005</v>
          </cell>
          <cell r="AG1053">
            <v>172.5</v>
          </cell>
          <cell r="AH1053">
            <v>172.5</v>
          </cell>
        </row>
        <row r="1054">
          <cell r="AE1054" t="str">
            <v>EPC16074</v>
          </cell>
          <cell r="AF1054">
            <v>455.20000000000005</v>
          </cell>
          <cell r="AG1054">
            <v>172.5</v>
          </cell>
          <cell r="AH1054">
            <v>172.5</v>
          </cell>
        </row>
        <row r="1055">
          <cell r="AE1055" t="str">
            <v>EPC16075</v>
          </cell>
          <cell r="AF1055">
            <v>455.20000000000005</v>
          </cell>
          <cell r="AG1055">
            <v>172.5</v>
          </cell>
          <cell r="AH1055">
            <v>172.5</v>
          </cell>
        </row>
        <row r="1056">
          <cell r="AE1056" t="str">
            <v>EPC16076</v>
          </cell>
          <cell r="AF1056">
            <v>455.20000000000005</v>
          </cell>
          <cell r="AG1056">
            <v>172.5</v>
          </cell>
          <cell r="AH1056">
            <v>172.5</v>
          </cell>
        </row>
        <row r="1057">
          <cell r="AE1057" t="str">
            <v>EPC16077</v>
          </cell>
          <cell r="AF1057">
            <v>455.20000000000005</v>
          </cell>
          <cell r="AG1057">
            <v>172.5</v>
          </cell>
          <cell r="AH1057">
            <v>172.5</v>
          </cell>
        </row>
        <row r="1058">
          <cell r="AE1058" t="str">
            <v>EPC16078</v>
          </cell>
          <cell r="AF1058">
            <v>455.20000000000005</v>
          </cell>
          <cell r="AG1058">
            <v>172.5</v>
          </cell>
          <cell r="AH1058">
            <v>172.5</v>
          </cell>
        </row>
        <row r="1059">
          <cell r="AE1059" t="str">
            <v>EPC16079</v>
          </cell>
          <cell r="AF1059">
            <v>455.20000000000005</v>
          </cell>
          <cell r="AG1059">
            <v>172.5</v>
          </cell>
          <cell r="AH1059">
            <v>172.5</v>
          </cell>
        </row>
        <row r="1060">
          <cell r="AE1060" t="str">
            <v>EPC16080</v>
          </cell>
          <cell r="AF1060">
            <v>455.20000000000005</v>
          </cell>
          <cell r="AG1060">
            <v>172.5</v>
          </cell>
          <cell r="AH1060">
            <v>172.5</v>
          </cell>
        </row>
        <row r="1061">
          <cell r="AE1061" t="str">
            <v>EPC16081</v>
          </cell>
          <cell r="AF1061">
            <v>455.20000000000005</v>
          </cell>
          <cell r="AG1061">
            <v>172.5</v>
          </cell>
          <cell r="AH1061">
            <v>172.5</v>
          </cell>
        </row>
        <row r="1062">
          <cell r="AE1062" t="str">
            <v>EPC16082</v>
          </cell>
          <cell r="AF1062">
            <v>455.20000000000005</v>
          </cell>
          <cell r="AG1062">
            <v>172.5</v>
          </cell>
          <cell r="AH1062">
            <v>172.5</v>
          </cell>
        </row>
        <row r="1063">
          <cell r="AE1063" t="str">
            <v>EPC16083</v>
          </cell>
          <cell r="AF1063">
            <v>455.20000000000005</v>
          </cell>
          <cell r="AG1063">
            <v>172.5</v>
          </cell>
          <cell r="AH1063">
            <v>172.5</v>
          </cell>
        </row>
        <row r="1064">
          <cell r="AE1064" t="str">
            <v>EPC16084</v>
          </cell>
          <cell r="AF1064">
            <v>455.20000000000005</v>
          </cell>
          <cell r="AG1064">
            <v>172.5</v>
          </cell>
          <cell r="AH1064">
            <v>172.5</v>
          </cell>
        </row>
        <row r="1065">
          <cell r="AE1065" t="str">
            <v>EPC16085</v>
          </cell>
          <cell r="AF1065">
            <v>455.20000000000005</v>
          </cell>
          <cell r="AG1065">
            <v>172.5</v>
          </cell>
          <cell r="AH1065">
            <v>172.5</v>
          </cell>
        </row>
        <row r="1066">
          <cell r="AE1066" t="str">
            <v>EPC16086</v>
          </cell>
          <cell r="AF1066">
            <v>455.20000000000005</v>
          </cell>
          <cell r="AG1066">
            <v>172.5</v>
          </cell>
          <cell r="AH1066">
            <v>172.5</v>
          </cell>
        </row>
        <row r="1067">
          <cell r="AE1067" t="str">
            <v>EPC16087</v>
          </cell>
          <cell r="AF1067">
            <v>455.20000000000005</v>
          </cell>
          <cell r="AG1067">
            <v>172.5</v>
          </cell>
          <cell r="AH1067">
            <v>172.5</v>
          </cell>
        </row>
        <row r="1068">
          <cell r="AE1068" t="str">
            <v>EPC16088</v>
          </cell>
          <cell r="AF1068">
            <v>455.20000000000005</v>
          </cell>
          <cell r="AG1068">
            <v>172.5</v>
          </cell>
          <cell r="AH1068">
            <v>172.5</v>
          </cell>
        </row>
        <row r="1069">
          <cell r="AE1069" t="str">
            <v>EPC16089</v>
          </cell>
          <cell r="AF1069">
            <v>455.20000000000005</v>
          </cell>
          <cell r="AG1069">
            <v>172.5</v>
          </cell>
          <cell r="AH1069">
            <v>172.5</v>
          </cell>
        </row>
        <row r="1070">
          <cell r="AE1070" t="str">
            <v>EPC16090</v>
          </cell>
          <cell r="AF1070">
            <v>455.20000000000005</v>
          </cell>
          <cell r="AG1070">
            <v>172.5</v>
          </cell>
          <cell r="AH1070">
            <v>172.5</v>
          </cell>
        </row>
        <row r="1071">
          <cell r="AE1071" t="str">
            <v>EPC16091</v>
          </cell>
          <cell r="AF1071">
            <v>455.20000000000005</v>
          </cell>
          <cell r="AG1071">
            <v>172.5</v>
          </cell>
          <cell r="AH1071">
            <v>172.5</v>
          </cell>
        </row>
        <row r="1072">
          <cell r="AE1072" t="str">
            <v>EPC16092</v>
          </cell>
          <cell r="AF1072">
            <v>455.20000000000005</v>
          </cell>
          <cell r="AG1072">
            <v>172.5</v>
          </cell>
          <cell r="AH1072">
            <v>172.5</v>
          </cell>
        </row>
        <row r="1073">
          <cell r="AE1073" t="str">
            <v>EPC16093</v>
          </cell>
          <cell r="AF1073">
            <v>455.20000000000005</v>
          </cell>
          <cell r="AG1073">
            <v>172.5</v>
          </cell>
          <cell r="AH1073">
            <v>172.5</v>
          </cell>
        </row>
        <row r="1074">
          <cell r="AE1074" t="str">
            <v>EPC16094</v>
          </cell>
          <cell r="AF1074">
            <v>455.20000000000005</v>
          </cell>
          <cell r="AG1074">
            <v>172.5</v>
          </cell>
          <cell r="AH1074">
            <v>172.5</v>
          </cell>
        </row>
        <row r="1075">
          <cell r="AE1075" t="str">
            <v>EPC16095</v>
          </cell>
          <cell r="AF1075">
            <v>455.20000000000005</v>
          </cell>
          <cell r="AG1075">
            <v>172.5</v>
          </cell>
          <cell r="AH1075">
            <v>172.5</v>
          </cell>
        </row>
        <row r="1076">
          <cell r="AE1076" t="str">
            <v>EPC16096</v>
          </cell>
          <cell r="AF1076">
            <v>455.20000000000005</v>
          </cell>
          <cell r="AG1076">
            <v>172.5</v>
          </cell>
          <cell r="AH1076">
            <v>172.5</v>
          </cell>
        </row>
        <row r="1077">
          <cell r="AE1077" t="str">
            <v>EPC16097</v>
          </cell>
          <cell r="AF1077">
            <v>455.20000000000005</v>
          </cell>
          <cell r="AG1077">
            <v>172.5</v>
          </cell>
          <cell r="AH1077">
            <v>172.5</v>
          </cell>
        </row>
        <row r="1078">
          <cell r="AE1078" t="str">
            <v>EPC16098</v>
          </cell>
          <cell r="AF1078">
            <v>455.20000000000005</v>
          </cell>
          <cell r="AG1078">
            <v>172.5</v>
          </cell>
          <cell r="AH1078">
            <v>172.5</v>
          </cell>
        </row>
        <row r="1079">
          <cell r="AE1079" t="str">
            <v>EPC16099</v>
          </cell>
          <cell r="AF1079">
            <v>455.20000000000005</v>
          </cell>
          <cell r="AG1079">
            <v>172.5</v>
          </cell>
          <cell r="AH1079">
            <v>172.5</v>
          </cell>
        </row>
        <row r="1080">
          <cell r="AE1080" t="str">
            <v>EPC16100</v>
          </cell>
          <cell r="AF1080">
            <v>455.20000000000005</v>
          </cell>
          <cell r="AG1080">
            <v>172.5</v>
          </cell>
          <cell r="AH1080">
            <v>172.5</v>
          </cell>
        </row>
        <row r="1081">
          <cell r="AE1081" t="str">
            <v>EPC16101</v>
          </cell>
          <cell r="AF1081">
            <v>455.20000000000005</v>
          </cell>
          <cell r="AG1081">
            <v>172.5</v>
          </cell>
          <cell r="AH1081">
            <v>172.5</v>
          </cell>
        </row>
        <row r="1082">
          <cell r="AE1082" t="str">
            <v>EPC16102</v>
          </cell>
          <cell r="AF1082">
            <v>455.20000000000005</v>
          </cell>
          <cell r="AG1082">
            <v>172.5</v>
          </cell>
          <cell r="AH1082">
            <v>172.5</v>
          </cell>
        </row>
        <row r="1083">
          <cell r="AE1083" t="str">
            <v>EPC16103</v>
          </cell>
          <cell r="AF1083">
            <v>455.20000000000005</v>
          </cell>
          <cell r="AG1083">
            <v>172.5</v>
          </cell>
          <cell r="AH1083">
            <v>172.5</v>
          </cell>
        </row>
        <row r="1084">
          <cell r="AE1084" t="str">
            <v>EPC16104</v>
          </cell>
          <cell r="AF1084">
            <v>455.20000000000005</v>
          </cell>
          <cell r="AG1084">
            <v>172.5</v>
          </cell>
          <cell r="AH1084">
            <v>172.5</v>
          </cell>
        </row>
        <row r="1085">
          <cell r="AE1085" t="str">
            <v>EPC16105</v>
          </cell>
          <cell r="AF1085">
            <v>455.20000000000005</v>
          </cell>
          <cell r="AG1085">
            <v>172.5</v>
          </cell>
          <cell r="AH1085">
            <v>172.5</v>
          </cell>
        </row>
        <row r="1086">
          <cell r="AE1086" t="str">
            <v>EPC16106</v>
          </cell>
          <cell r="AF1086">
            <v>455.20000000000005</v>
          </cell>
          <cell r="AG1086">
            <v>172.5</v>
          </cell>
          <cell r="AH1086">
            <v>172.5</v>
          </cell>
        </row>
        <row r="1087">
          <cell r="AE1087" t="str">
            <v>EPC16107</v>
          </cell>
          <cell r="AF1087">
            <v>455.20000000000005</v>
          </cell>
          <cell r="AG1087">
            <v>172.5</v>
          </cell>
          <cell r="AH1087">
            <v>172.5</v>
          </cell>
        </row>
        <row r="1088">
          <cell r="AE1088" t="str">
            <v>EPC16108</v>
          </cell>
          <cell r="AF1088">
            <v>455.20000000000005</v>
          </cell>
          <cell r="AG1088">
            <v>172.5</v>
          </cell>
          <cell r="AH1088">
            <v>172.5</v>
          </cell>
        </row>
        <row r="1089">
          <cell r="AE1089" t="str">
            <v>EPC16109</v>
          </cell>
          <cell r="AF1089">
            <v>455.20000000000005</v>
          </cell>
          <cell r="AG1089">
            <v>172.5</v>
          </cell>
          <cell r="AH1089">
            <v>172.5</v>
          </cell>
        </row>
        <row r="1090">
          <cell r="AE1090" t="str">
            <v>EPC16110</v>
          </cell>
          <cell r="AF1090">
            <v>455.20000000000005</v>
          </cell>
          <cell r="AG1090">
            <v>172.5</v>
          </cell>
          <cell r="AH1090">
            <v>172.5</v>
          </cell>
        </row>
        <row r="1091">
          <cell r="AE1091" t="str">
            <v>EPC16111</v>
          </cell>
          <cell r="AF1091">
            <v>455.20000000000005</v>
          </cell>
          <cell r="AG1091">
            <v>172.5</v>
          </cell>
          <cell r="AH1091">
            <v>172.5</v>
          </cell>
        </row>
        <row r="1092">
          <cell r="AE1092" t="str">
            <v>EPC16112</v>
          </cell>
          <cell r="AF1092">
            <v>455.20000000000005</v>
          </cell>
          <cell r="AG1092">
            <v>172.5</v>
          </cell>
          <cell r="AH1092">
            <v>172.5</v>
          </cell>
        </row>
        <row r="1093">
          <cell r="AE1093" t="str">
            <v>EPC16113</v>
          </cell>
          <cell r="AF1093">
            <v>455.20000000000005</v>
          </cell>
          <cell r="AG1093">
            <v>172.5</v>
          </cell>
          <cell r="AH1093">
            <v>172.5</v>
          </cell>
        </row>
        <row r="1094">
          <cell r="AE1094" t="str">
            <v>EPC16114</v>
          </cell>
          <cell r="AF1094">
            <v>455.20000000000005</v>
          </cell>
          <cell r="AG1094">
            <v>172.5</v>
          </cell>
          <cell r="AH1094">
            <v>172.5</v>
          </cell>
        </row>
        <row r="1095">
          <cell r="AE1095" t="str">
            <v>EPC16115</v>
          </cell>
          <cell r="AF1095">
            <v>455.20000000000005</v>
          </cell>
          <cell r="AG1095">
            <v>172.5</v>
          </cell>
          <cell r="AH1095">
            <v>172.5</v>
          </cell>
        </row>
        <row r="1096">
          <cell r="AE1096" t="str">
            <v>EPC16116</v>
          </cell>
          <cell r="AF1096">
            <v>455.20000000000005</v>
          </cell>
          <cell r="AG1096">
            <v>172.5</v>
          </cell>
          <cell r="AH1096">
            <v>172.5</v>
          </cell>
        </row>
        <row r="1097">
          <cell r="AE1097" t="str">
            <v>EPC16117</v>
          </cell>
          <cell r="AF1097">
            <v>455.20000000000005</v>
          </cell>
          <cell r="AG1097">
            <v>172.5</v>
          </cell>
          <cell r="AH1097">
            <v>172.5</v>
          </cell>
        </row>
        <row r="1098">
          <cell r="AE1098" t="str">
            <v>EPC16118</v>
          </cell>
          <cell r="AF1098">
            <v>455.20000000000005</v>
          </cell>
          <cell r="AG1098">
            <v>172.5</v>
          </cell>
          <cell r="AH1098">
            <v>172.5</v>
          </cell>
        </row>
        <row r="1099">
          <cell r="AE1099" t="str">
            <v>EPC16119</v>
          </cell>
          <cell r="AF1099">
            <v>455.20000000000005</v>
          </cell>
          <cell r="AG1099">
            <v>172.5</v>
          </cell>
          <cell r="AH1099">
            <v>172.5</v>
          </cell>
        </row>
        <row r="1100">
          <cell r="AE1100" t="str">
            <v>EPC16120</v>
          </cell>
          <cell r="AF1100">
            <v>455.20000000000005</v>
          </cell>
          <cell r="AG1100">
            <v>172.5</v>
          </cell>
          <cell r="AH1100">
            <v>172.5</v>
          </cell>
        </row>
        <row r="1101">
          <cell r="AE1101" t="str">
            <v>EPC16121</v>
          </cell>
          <cell r="AF1101">
            <v>455.20000000000005</v>
          </cell>
          <cell r="AG1101">
            <v>172.5</v>
          </cell>
          <cell r="AH1101">
            <v>172.5</v>
          </cell>
        </row>
        <row r="1102">
          <cell r="AE1102" t="str">
            <v>EPC16122</v>
          </cell>
          <cell r="AF1102">
            <v>455.20000000000005</v>
          </cell>
          <cell r="AG1102">
            <v>172.5</v>
          </cell>
          <cell r="AH1102">
            <v>172.5</v>
          </cell>
        </row>
        <row r="1103">
          <cell r="AE1103" t="str">
            <v>EPC16123</v>
          </cell>
          <cell r="AF1103">
            <v>455.20000000000005</v>
          </cell>
          <cell r="AG1103">
            <v>172.5</v>
          </cell>
          <cell r="AH1103">
            <v>172.5</v>
          </cell>
        </row>
        <row r="1104">
          <cell r="AE1104" t="str">
            <v>EPC16124</v>
          </cell>
          <cell r="AF1104">
            <v>455.20000000000005</v>
          </cell>
          <cell r="AG1104">
            <v>172.5</v>
          </cell>
          <cell r="AH1104">
            <v>172.5</v>
          </cell>
        </row>
        <row r="1105">
          <cell r="AE1105" t="str">
            <v>EPC16125</v>
          </cell>
          <cell r="AF1105">
            <v>455.20000000000005</v>
          </cell>
          <cell r="AG1105">
            <v>172.5</v>
          </cell>
          <cell r="AH1105">
            <v>172.5</v>
          </cell>
        </row>
        <row r="1106">
          <cell r="AE1106" t="str">
            <v>EPC16126</v>
          </cell>
          <cell r="AF1106">
            <v>455.20000000000005</v>
          </cell>
          <cell r="AG1106">
            <v>172.5</v>
          </cell>
          <cell r="AH1106">
            <v>172.5</v>
          </cell>
        </row>
        <row r="1107">
          <cell r="AE1107" t="str">
            <v>EPC16127</v>
          </cell>
          <cell r="AF1107">
            <v>455.20000000000005</v>
          </cell>
          <cell r="AG1107">
            <v>172.5</v>
          </cell>
          <cell r="AH1107">
            <v>172.5</v>
          </cell>
        </row>
        <row r="1108">
          <cell r="AE1108" t="str">
            <v>EPC16128</v>
          </cell>
          <cell r="AF1108">
            <v>455.20000000000005</v>
          </cell>
          <cell r="AG1108">
            <v>172.5</v>
          </cell>
          <cell r="AH1108">
            <v>172.5</v>
          </cell>
        </row>
        <row r="1109">
          <cell r="AE1109" t="str">
            <v>EPC16129</v>
          </cell>
          <cell r="AF1109">
            <v>455.20000000000005</v>
          </cell>
          <cell r="AG1109">
            <v>172.5</v>
          </cell>
          <cell r="AH1109">
            <v>172.5</v>
          </cell>
        </row>
        <row r="1110">
          <cell r="AE1110" t="str">
            <v>EPC16130</v>
          </cell>
          <cell r="AF1110">
            <v>455.20000000000005</v>
          </cell>
          <cell r="AG1110">
            <v>172.5</v>
          </cell>
          <cell r="AH1110">
            <v>172.5</v>
          </cell>
        </row>
        <row r="1111">
          <cell r="AE1111" t="str">
            <v>EPC16131</v>
          </cell>
          <cell r="AF1111">
            <v>455.20000000000005</v>
          </cell>
          <cell r="AG1111">
            <v>172.5</v>
          </cell>
          <cell r="AH1111">
            <v>172.5</v>
          </cell>
        </row>
        <row r="1112">
          <cell r="AE1112" t="str">
            <v>EPC16132</v>
          </cell>
          <cell r="AF1112">
            <v>455.20000000000005</v>
          </cell>
          <cell r="AG1112">
            <v>172.5</v>
          </cell>
          <cell r="AH1112">
            <v>172.5</v>
          </cell>
        </row>
        <row r="1113">
          <cell r="AE1113" t="str">
            <v>EPC16133</v>
          </cell>
          <cell r="AF1113">
            <v>455.20000000000005</v>
          </cell>
          <cell r="AG1113">
            <v>172.5</v>
          </cell>
          <cell r="AH1113">
            <v>172.5</v>
          </cell>
        </row>
        <row r="1114">
          <cell r="AE1114" t="str">
            <v>EPC16134</v>
          </cell>
          <cell r="AF1114">
            <v>455.20000000000005</v>
          </cell>
          <cell r="AG1114">
            <v>172.5</v>
          </cell>
          <cell r="AH1114">
            <v>172.5</v>
          </cell>
        </row>
        <row r="1115">
          <cell r="AE1115" t="str">
            <v>EPC16135</v>
          </cell>
          <cell r="AF1115">
            <v>455.20000000000005</v>
          </cell>
          <cell r="AG1115">
            <v>172.5</v>
          </cell>
          <cell r="AH1115">
            <v>172.5</v>
          </cell>
        </row>
        <row r="1116">
          <cell r="AE1116" t="str">
            <v>EPC16136</v>
          </cell>
          <cell r="AF1116">
            <v>455.20000000000005</v>
          </cell>
          <cell r="AG1116">
            <v>172.5</v>
          </cell>
          <cell r="AH1116">
            <v>172.5</v>
          </cell>
        </row>
        <row r="1117">
          <cell r="AE1117" t="str">
            <v>EPC16137</v>
          </cell>
          <cell r="AF1117">
            <v>455.20000000000005</v>
          </cell>
          <cell r="AG1117">
            <v>172.5</v>
          </cell>
          <cell r="AH1117">
            <v>172.5</v>
          </cell>
        </row>
        <row r="1118">
          <cell r="AE1118" t="str">
            <v>EPC16138</v>
          </cell>
          <cell r="AF1118">
            <v>455.20000000000005</v>
          </cell>
          <cell r="AG1118">
            <v>172.5</v>
          </cell>
          <cell r="AH1118">
            <v>172.5</v>
          </cell>
        </row>
        <row r="1119">
          <cell r="AE1119" t="str">
            <v>EPC16139</v>
          </cell>
          <cell r="AF1119">
            <v>455.20000000000005</v>
          </cell>
          <cell r="AG1119">
            <v>172.5</v>
          </cell>
          <cell r="AH1119">
            <v>172.5</v>
          </cell>
        </row>
        <row r="1120">
          <cell r="AE1120" t="str">
            <v>EPC16140</v>
          </cell>
          <cell r="AF1120">
            <v>455.20000000000005</v>
          </cell>
          <cell r="AG1120">
            <v>172.5</v>
          </cell>
          <cell r="AH1120">
            <v>172.5</v>
          </cell>
        </row>
        <row r="1121">
          <cell r="AE1121" t="str">
            <v>EPC16141</v>
          </cell>
          <cell r="AF1121">
            <v>455.20000000000005</v>
          </cell>
          <cell r="AG1121">
            <v>172.5</v>
          </cell>
          <cell r="AH1121">
            <v>172.5</v>
          </cell>
        </row>
        <row r="1122">
          <cell r="AE1122" t="str">
            <v>EPC16142</v>
          </cell>
          <cell r="AF1122">
            <v>455.20000000000005</v>
          </cell>
          <cell r="AG1122">
            <v>172.5</v>
          </cell>
          <cell r="AH1122">
            <v>172.5</v>
          </cell>
        </row>
        <row r="1123">
          <cell r="AE1123" t="str">
            <v>EPC16143</v>
          </cell>
          <cell r="AF1123">
            <v>0</v>
          </cell>
          <cell r="AG1123">
            <v>172.5</v>
          </cell>
          <cell r="AH1123">
            <v>172.5</v>
          </cell>
        </row>
        <row r="1124">
          <cell r="AE1124" t="str">
            <v>EPC16144</v>
          </cell>
          <cell r="AF1124">
            <v>455.20000000000005</v>
          </cell>
          <cell r="AG1124">
            <v>172.5</v>
          </cell>
          <cell r="AH1124">
            <v>172.5</v>
          </cell>
        </row>
        <row r="1125">
          <cell r="AE1125" t="str">
            <v>EPC16145</v>
          </cell>
          <cell r="AF1125">
            <v>455.20000000000005</v>
          </cell>
          <cell r="AG1125">
            <v>172.5</v>
          </cell>
          <cell r="AH1125">
            <v>172.5</v>
          </cell>
        </row>
        <row r="1126">
          <cell r="AE1126" t="str">
            <v>EPC16146</v>
          </cell>
          <cell r="AF1126">
            <v>455.20000000000005</v>
          </cell>
          <cell r="AG1126">
            <v>172.5</v>
          </cell>
          <cell r="AH1126">
            <v>172.5</v>
          </cell>
        </row>
        <row r="1127">
          <cell r="AE1127" t="str">
            <v>EPC16147</v>
          </cell>
          <cell r="AF1127">
            <v>455.20000000000005</v>
          </cell>
          <cell r="AG1127">
            <v>172.5</v>
          </cell>
          <cell r="AH1127">
            <v>172.5</v>
          </cell>
        </row>
        <row r="1128">
          <cell r="AE1128" t="str">
            <v>EPC16148</v>
          </cell>
          <cell r="AF1128">
            <v>455.20000000000005</v>
          </cell>
          <cell r="AG1128">
            <v>172.5</v>
          </cell>
          <cell r="AH1128">
            <v>172.5</v>
          </cell>
        </row>
        <row r="1129">
          <cell r="AE1129" t="str">
            <v>EPC16149</v>
          </cell>
          <cell r="AF1129">
            <v>455.20000000000005</v>
          </cell>
          <cell r="AG1129">
            <v>172.5</v>
          </cell>
          <cell r="AH1129">
            <v>172.5</v>
          </cell>
        </row>
        <row r="1130">
          <cell r="AE1130" t="str">
            <v>EPC16150</v>
          </cell>
          <cell r="AF1130">
            <v>455.20000000000005</v>
          </cell>
          <cell r="AG1130">
            <v>172.5</v>
          </cell>
          <cell r="AH1130">
            <v>172.5</v>
          </cell>
        </row>
        <row r="1131">
          <cell r="AE1131" t="str">
            <v>EPC16151</v>
          </cell>
          <cell r="AF1131">
            <v>455.20000000000005</v>
          </cell>
          <cell r="AG1131">
            <v>172.5</v>
          </cell>
          <cell r="AH1131">
            <v>172.5</v>
          </cell>
        </row>
        <row r="1132">
          <cell r="AE1132" t="str">
            <v>EPC16152</v>
          </cell>
          <cell r="AF1132">
            <v>455.20000000000005</v>
          </cell>
          <cell r="AG1132">
            <v>172.5</v>
          </cell>
          <cell r="AH1132">
            <v>172.5</v>
          </cell>
        </row>
        <row r="1133">
          <cell r="AE1133" t="str">
            <v>EPC16153</v>
          </cell>
          <cell r="AF1133">
            <v>455.20000000000005</v>
          </cell>
          <cell r="AG1133">
            <v>172.5</v>
          </cell>
          <cell r="AH1133">
            <v>172.5</v>
          </cell>
        </row>
        <row r="1134">
          <cell r="AE1134" t="str">
            <v>EPC16154</v>
          </cell>
          <cell r="AF1134">
            <v>455.20000000000005</v>
          </cell>
          <cell r="AG1134">
            <v>172.5</v>
          </cell>
          <cell r="AH1134">
            <v>172.5</v>
          </cell>
        </row>
        <row r="1135">
          <cell r="AE1135" t="str">
            <v>EPC16155</v>
          </cell>
          <cell r="AF1135">
            <v>455.20000000000005</v>
          </cell>
          <cell r="AG1135">
            <v>172.5</v>
          </cell>
          <cell r="AH1135">
            <v>172.5</v>
          </cell>
        </row>
        <row r="1136">
          <cell r="AE1136" t="str">
            <v>EPC16156</v>
          </cell>
          <cell r="AF1136">
            <v>455.20000000000005</v>
          </cell>
          <cell r="AG1136">
            <v>172.5</v>
          </cell>
          <cell r="AH1136">
            <v>172.5</v>
          </cell>
        </row>
        <row r="1137">
          <cell r="AE1137" t="str">
            <v>EPC16157</v>
          </cell>
          <cell r="AF1137">
            <v>455.20000000000005</v>
          </cell>
          <cell r="AG1137">
            <v>172.5</v>
          </cell>
          <cell r="AH1137">
            <v>172.5</v>
          </cell>
        </row>
        <row r="1138">
          <cell r="AE1138" t="str">
            <v>EPC16158</v>
          </cell>
          <cell r="AF1138">
            <v>455.20000000000005</v>
          </cell>
          <cell r="AG1138">
            <v>172.5</v>
          </cell>
          <cell r="AH1138">
            <v>172.5</v>
          </cell>
        </row>
        <row r="1139">
          <cell r="AE1139" t="str">
            <v>EPC16159</v>
          </cell>
          <cell r="AF1139">
            <v>455.20000000000005</v>
          </cell>
          <cell r="AG1139">
            <v>172.5</v>
          </cell>
          <cell r="AH1139">
            <v>172.5</v>
          </cell>
        </row>
        <row r="1140">
          <cell r="AE1140" t="str">
            <v>EPC16160</v>
          </cell>
          <cell r="AF1140">
            <v>455.20000000000005</v>
          </cell>
          <cell r="AG1140">
            <v>172.5</v>
          </cell>
          <cell r="AH1140">
            <v>172.5</v>
          </cell>
        </row>
        <row r="1141">
          <cell r="AE1141" t="str">
            <v>EPC16161</v>
          </cell>
          <cell r="AF1141">
            <v>455.20000000000005</v>
          </cell>
          <cell r="AG1141">
            <v>172.5</v>
          </cell>
          <cell r="AH1141">
            <v>172.5</v>
          </cell>
        </row>
        <row r="1142">
          <cell r="AE1142" t="str">
            <v>EPC16162</v>
          </cell>
          <cell r="AF1142">
            <v>455.20000000000005</v>
          </cell>
          <cell r="AG1142">
            <v>172.5</v>
          </cell>
          <cell r="AH1142">
            <v>172.5</v>
          </cell>
        </row>
        <row r="1143">
          <cell r="AE1143" t="str">
            <v>EPC16163</v>
          </cell>
          <cell r="AF1143">
            <v>455.20000000000005</v>
          </cell>
          <cell r="AG1143">
            <v>172.5</v>
          </cell>
          <cell r="AH1143">
            <v>172.5</v>
          </cell>
        </row>
        <row r="1144">
          <cell r="AE1144" t="str">
            <v>EPC16164</v>
          </cell>
          <cell r="AF1144">
            <v>455.20000000000005</v>
          </cell>
          <cell r="AG1144">
            <v>172.5</v>
          </cell>
          <cell r="AH1144">
            <v>172.5</v>
          </cell>
        </row>
        <row r="1145">
          <cell r="AE1145" t="str">
            <v>EPC16165</v>
          </cell>
          <cell r="AF1145">
            <v>455.20000000000005</v>
          </cell>
          <cell r="AG1145">
            <v>172.5</v>
          </cell>
          <cell r="AH1145">
            <v>172.5</v>
          </cell>
        </row>
        <row r="1146">
          <cell r="AE1146" t="str">
            <v>EPC16166</v>
          </cell>
          <cell r="AF1146">
            <v>455.20000000000005</v>
          </cell>
          <cell r="AG1146">
            <v>172.5</v>
          </cell>
          <cell r="AH1146">
            <v>172.5</v>
          </cell>
        </row>
        <row r="1147">
          <cell r="AE1147" t="str">
            <v>EPC16167</v>
          </cell>
          <cell r="AF1147">
            <v>455.20000000000005</v>
          </cell>
          <cell r="AG1147">
            <v>172.5</v>
          </cell>
          <cell r="AH1147">
            <v>172.5</v>
          </cell>
        </row>
        <row r="1148">
          <cell r="AE1148" t="str">
            <v>EPC16168</v>
          </cell>
          <cell r="AF1148">
            <v>455.20000000000005</v>
          </cell>
          <cell r="AG1148">
            <v>172.5</v>
          </cell>
          <cell r="AH1148">
            <v>172.5</v>
          </cell>
        </row>
        <row r="1149">
          <cell r="AE1149" t="str">
            <v>EPC16169</v>
          </cell>
          <cell r="AF1149">
            <v>455.20000000000005</v>
          </cell>
          <cell r="AG1149">
            <v>172.5</v>
          </cell>
          <cell r="AH1149">
            <v>172.5</v>
          </cell>
        </row>
        <row r="1150">
          <cell r="AE1150" t="str">
            <v>EPC16170</v>
          </cell>
          <cell r="AF1150">
            <v>455.20000000000005</v>
          </cell>
          <cell r="AG1150">
            <v>172.5</v>
          </cell>
          <cell r="AH1150">
            <v>172.5</v>
          </cell>
        </row>
        <row r="1151">
          <cell r="AE1151" t="str">
            <v>EPC16171</v>
          </cell>
          <cell r="AF1151">
            <v>455.20000000000005</v>
          </cell>
          <cell r="AG1151">
            <v>172.5</v>
          </cell>
          <cell r="AH1151">
            <v>172.5</v>
          </cell>
        </row>
        <row r="1152">
          <cell r="AE1152" t="str">
            <v>EPC16172</v>
          </cell>
          <cell r="AF1152">
            <v>455.20000000000005</v>
          </cell>
          <cell r="AG1152">
            <v>172.5</v>
          </cell>
          <cell r="AH1152">
            <v>172.5</v>
          </cell>
        </row>
        <row r="1153">
          <cell r="AE1153" t="str">
            <v>EPC16173</v>
          </cell>
          <cell r="AF1153">
            <v>455.20000000000005</v>
          </cell>
          <cell r="AG1153">
            <v>172.5</v>
          </cell>
          <cell r="AH1153">
            <v>172.5</v>
          </cell>
        </row>
        <row r="1154">
          <cell r="AE1154" t="str">
            <v>EPC16174</v>
          </cell>
          <cell r="AF1154">
            <v>455.20000000000005</v>
          </cell>
          <cell r="AG1154">
            <v>172.5</v>
          </cell>
          <cell r="AH1154">
            <v>172.5</v>
          </cell>
        </row>
        <row r="1155">
          <cell r="AE1155" t="str">
            <v>EPC16175</v>
          </cell>
          <cell r="AF1155">
            <v>455.20000000000005</v>
          </cell>
          <cell r="AG1155">
            <v>172.5</v>
          </cell>
          <cell r="AH1155">
            <v>172.5</v>
          </cell>
        </row>
        <row r="1156">
          <cell r="AE1156" t="str">
            <v>EPC16176</v>
          </cell>
          <cell r="AF1156">
            <v>455.20000000000005</v>
          </cell>
          <cell r="AG1156">
            <v>172.5</v>
          </cell>
          <cell r="AH1156">
            <v>172.5</v>
          </cell>
        </row>
        <row r="1157">
          <cell r="AE1157" t="str">
            <v>EPC16177</v>
          </cell>
          <cell r="AF1157">
            <v>455.20000000000005</v>
          </cell>
          <cell r="AG1157">
            <v>172.5</v>
          </cell>
          <cell r="AH1157">
            <v>172.5</v>
          </cell>
        </row>
        <row r="1158">
          <cell r="AE1158" t="str">
            <v>EPC16178</v>
          </cell>
          <cell r="AF1158">
            <v>455.20000000000005</v>
          </cell>
          <cell r="AG1158">
            <v>172.5</v>
          </cell>
          <cell r="AH1158">
            <v>172.5</v>
          </cell>
        </row>
        <row r="1159">
          <cell r="AE1159" t="str">
            <v>EPC16179</v>
          </cell>
          <cell r="AF1159">
            <v>455.20000000000005</v>
          </cell>
          <cell r="AG1159">
            <v>172.5</v>
          </cell>
          <cell r="AH1159">
            <v>172.5</v>
          </cell>
        </row>
        <row r="1160">
          <cell r="AE1160" t="str">
            <v>EPC16180</v>
          </cell>
          <cell r="AF1160">
            <v>455.20000000000005</v>
          </cell>
          <cell r="AG1160">
            <v>172.5</v>
          </cell>
          <cell r="AH1160">
            <v>172.5</v>
          </cell>
        </row>
        <row r="1161">
          <cell r="AE1161" t="str">
            <v>EPC16181</v>
          </cell>
          <cell r="AF1161">
            <v>455.20000000000005</v>
          </cell>
          <cell r="AG1161">
            <v>172.5</v>
          </cell>
          <cell r="AH1161">
            <v>172.5</v>
          </cell>
        </row>
        <row r="1162">
          <cell r="AE1162" t="str">
            <v>EPC16182</v>
          </cell>
          <cell r="AF1162">
            <v>455.20000000000005</v>
          </cell>
          <cell r="AG1162">
            <v>172.5</v>
          </cell>
          <cell r="AH1162">
            <v>172.5</v>
          </cell>
        </row>
        <row r="1163">
          <cell r="AE1163" t="str">
            <v>EPC16183</v>
          </cell>
          <cell r="AF1163">
            <v>455.20000000000005</v>
          </cell>
          <cell r="AG1163">
            <v>172.5</v>
          </cell>
          <cell r="AH1163">
            <v>172.5</v>
          </cell>
        </row>
        <row r="1164">
          <cell r="AE1164" t="str">
            <v>EPC16184</v>
          </cell>
          <cell r="AF1164">
            <v>455.20000000000005</v>
          </cell>
          <cell r="AG1164">
            <v>172.5</v>
          </cell>
          <cell r="AH1164">
            <v>172.5</v>
          </cell>
        </row>
        <row r="1165">
          <cell r="AE1165" t="str">
            <v>EPC16185</v>
          </cell>
          <cell r="AF1165">
            <v>455.20000000000005</v>
          </cell>
          <cell r="AG1165">
            <v>172.5</v>
          </cell>
          <cell r="AH1165">
            <v>172.5</v>
          </cell>
        </row>
        <row r="1166">
          <cell r="AE1166" t="str">
            <v>EPC16186</v>
          </cell>
          <cell r="AF1166">
            <v>455.20000000000005</v>
          </cell>
          <cell r="AG1166">
            <v>172.5</v>
          </cell>
          <cell r="AH1166">
            <v>172.5</v>
          </cell>
        </row>
        <row r="1167">
          <cell r="AE1167" t="str">
            <v>EPC16187</v>
          </cell>
          <cell r="AF1167">
            <v>455.20000000000005</v>
          </cell>
          <cell r="AG1167">
            <v>172.5</v>
          </cell>
          <cell r="AH1167">
            <v>172.5</v>
          </cell>
        </row>
        <row r="1168">
          <cell r="AE1168" t="str">
            <v>EPC16188</v>
          </cell>
          <cell r="AF1168">
            <v>455.20000000000005</v>
          </cell>
          <cell r="AG1168">
            <v>172.5</v>
          </cell>
          <cell r="AH1168">
            <v>172.5</v>
          </cell>
        </row>
        <row r="1169">
          <cell r="AE1169" t="str">
            <v>EPC16189</v>
          </cell>
          <cell r="AF1169">
            <v>455.20000000000005</v>
          </cell>
          <cell r="AG1169">
            <v>172.5</v>
          </cell>
          <cell r="AH1169">
            <v>172.5</v>
          </cell>
        </row>
        <row r="1170">
          <cell r="AE1170" t="str">
            <v>EPC16190</v>
          </cell>
          <cell r="AF1170">
            <v>455.20000000000005</v>
          </cell>
          <cell r="AG1170">
            <v>172.5</v>
          </cell>
          <cell r="AH1170">
            <v>172.5</v>
          </cell>
        </row>
        <row r="1171">
          <cell r="AE1171" t="str">
            <v>EPC16191</v>
          </cell>
          <cell r="AF1171">
            <v>455.20000000000005</v>
          </cell>
          <cell r="AG1171">
            <v>172.5</v>
          </cell>
          <cell r="AH1171">
            <v>172.5</v>
          </cell>
        </row>
        <row r="1172">
          <cell r="AE1172" t="str">
            <v>EPC16192</v>
          </cell>
          <cell r="AF1172">
            <v>455.20000000000005</v>
          </cell>
          <cell r="AG1172">
            <v>172.5</v>
          </cell>
          <cell r="AH1172">
            <v>172.5</v>
          </cell>
        </row>
        <row r="1173">
          <cell r="AE1173" t="str">
            <v>EPC16193</v>
          </cell>
          <cell r="AF1173">
            <v>455.20000000000005</v>
          </cell>
          <cell r="AG1173">
            <v>172.5</v>
          </cell>
          <cell r="AH1173">
            <v>172.5</v>
          </cell>
        </row>
        <row r="1174">
          <cell r="AE1174" t="str">
            <v>EPC16194</v>
          </cell>
          <cell r="AF1174">
            <v>455.20000000000005</v>
          </cell>
          <cell r="AG1174">
            <v>172.5</v>
          </cell>
          <cell r="AH1174">
            <v>172.5</v>
          </cell>
        </row>
        <row r="1175">
          <cell r="AE1175" t="str">
            <v>EPC16195</v>
          </cell>
          <cell r="AF1175">
            <v>455.20000000000005</v>
          </cell>
          <cell r="AG1175">
            <v>172.5</v>
          </cell>
          <cell r="AH1175">
            <v>172.5</v>
          </cell>
        </row>
        <row r="1176">
          <cell r="AE1176" t="str">
            <v>EPC16196</v>
          </cell>
          <cell r="AF1176">
            <v>455.20000000000005</v>
          </cell>
          <cell r="AG1176">
            <v>172.5</v>
          </cell>
          <cell r="AH1176">
            <v>172.5</v>
          </cell>
        </row>
        <row r="1177">
          <cell r="AE1177" t="str">
            <v>EPC16197</v>
          </cell>
          <cell r="AF1177">
            <v>455.20000000000005</v>
          </cell>
          <cell r="AG1177">
            <v>172.5</v>
          </cell>
          <cell r="AH1177">
            <v>172.5</v>
          </cell>
        </row>
        <row r="1178">
          <cell r="AE1178" t="str">
            <v>EPC16198</v>
          </cell>
          <cell r="AF1178">
            <v>455.20000000000005</v>
          </cell>
          <cell r="AG1178">
            <v>172.5</v>
          </cell>
          <cell r="AH1178">
            <v>172.5</v>
          </cell>
        </row>
        <row r="1179">
          <cell r="AE1179" t="str">
            <v>EPC16199</v>
          </cell>
          <cell r="AF1179">
            <v>455.20000000000005</v>
          </cell>
          <cell r="AG1179">
            <v>172.5</v>
          </cell>
          <cell r="AH1179">
            <v>172.5</v>
          </cell>
        </row>
        <row r="1180">
          <cell r="AE1180" t="str">
            <v>EPC16200</v>
          </cell>
          <cell r="AF1180">
            <v>455.20000000000005</v>
          </cell>
          <cell r="AG1180">
            <v>172.5</v>
          </cell>
          <cell r="AH1180">
            <v>172.5</v>
          </cell>
        </row>
        <row r="1181">
          <cell r="AE1181" t="str">
            <v>EPC16201</v>
          </cell>
          <cell r="AF1181">
            <v>455.20000000000005</v>
          </cell>
          <cell r="AG1181">
            <v>172.5</v>
          </cell>
          <cell r="AH1181">
            <v>172.5</v>
          </cell>
        </row>
        <row r="1182">
          <cell r="AE1182" t="str">
            <v>EPC16202</v>
          </cell>
          <cell r="AF1182">
            <v>455.20000000000005</v>
          </cell>
          <cell r="AG1182">
            <v>172.5</v>
          </cell>
          <cell r="AH1182">
            <v>172.5</v>
          </cell>
        </row>
        <row r="1183">
          <cell r="AE1183" t="str">
            <v>EPC16203</v>
          </cell>
          <cell r="AF1183">
            <v>455.20000000000005</v>
          </cell>
          <cell r="AG1183">
            <v>172.5</v>
          </cell>
          <cell r="AH1183">
            <v>172.5</v>
          </cell>
        </row>
        <row r="1184">
          <cell r="AE1184" t="str">
            <v>EPC16204</v>
          </cell>
          <cell r="AF1184">
            <v>455.20000000000005</v>
          </cell>
          <cell r="AG1184">
            <v>172.5</v>
          </cell>
          <cell r="AH1184">
            <v>172.5</v>
          </cell>
        </row>
        <row r="1185">
          <cell r="AE1185" t="str">
            <v>EPC16205</v>
          </cell>
          <cell r="AF1185">
            <v>455.20000000000005</v>
          </cell>
          <cell r="AG1185">
            <v>172.5</v>
          </cell>
          <cell r="AH1185">
            <v>172.5</v>
          </cell>
        </row>
        <row r="1186">
          <cell r="AE1186" t="str">
            <v>EPC16206</v>
          </cell>
          <cell r="AF1186">
            <v>455.20000000000005</v>
          </cell>
          <cell r="AG1186">
            <v>172.5</v>
          </cell>
          <cell r="AH1186">
            <v>172.5</v>
          </cell>
        </row>
        <row r="1187">
          <cell r="AE1187" t="str">
            <v>EPC16207</v>
          </cell>
          <cell r="AF1187">
            <v>455.20000000000005</v>
          </cell>
          <cell r="AG1187">
            <v>172.5</v>
          </cell>
          <cell r="AH1187">
            <v>172.5</v>
          </cell>
        </row>
        <row r="1188">
          <cell r="AE1188" t="str">
            <v>EPC16208</v>
          </cell>
          <cell r="AF1188">
            <v>455.20000000000005</v>
          </cell>
          <cell r="AG1188">
            <v>172.5</v>
          </cell>
          <cell r="AH1188">
            <v>172.5</v>
          </cell>
        </row>
        <row r="1189">
          <cell r="AE1189" t="str">
            <v>EPC16209</v>
          </cell>
          <cell r="AF1189">
            <v>455.20000000000005</v>
          </cell>
          <cell r="AG1189">
            <v>172.5</v>
          </cell>
          <cell r="AH1189">
            <v>172.5</v>
          </cell>
        </row>
        <row r="1190">
          <cell r="AE1190" t="str">
            <v>EPC16210</v>
          </cell>
          <cell r="AF1190">
            <v>455.20000000000005</v>
          </cell>
          <cell r="AG1190">
            <v>172.5</v>
          </cell>
          <cell r="AH1190">
            <v>172.5</v>
          </cell>
        </row>
        <row r="1191">
          <cell r="AE1191" t="str">
            <v>EPC16211</v>
          </cell>
          <cell r="AF1191">
            <v>455.20000000000005</v>
          </cell>
          <cell r="AG1191">
            <v>172.5</v>
          </cell>
          <cell r="AH1191">
            <v>172.5</v>
          </cell>
        </row>
        <row r="1192">
          <cell r="AE1192" t="str">
            <v>EPC16212</v>
          </cell>
          <cell r="AF1192">
            <v>455.20000000000005</v>
          </cell>
          <cell r="AG1192">
            <v>172.5</v>
          </cell>
          <cell r="AH1192">
            <v>172.5</v>
          </cell>
        </row>
        <row r="1193">
          <cell r="AE1193" t="str">
            <v>EPC16213</v>
          </cell>
          <cell r="AF1193">
            <v>455.20000000000005</v>
          </cell>
          <cell r="AG1193">
            <v>172.5</v>
          </cell>
          <cell r="AH1193">
            <v>172.5</v>
          </cell>
        </row>
        <row r="1194">
          <cell r="AE1194" t="str">
            <v>EPC16214</v>
          </cell>
          <cell r="AF1194">
            <v>455.20000000000005</v>
          </cell>
          <cell r="AG1194">
            <v>172.5</v>
          </cell>
          <cell r="AH1194">
            <v>172.5</v>
          </cell>
        </row>
        <row r="1195">
          <cell r="AE1195" t="str">
            <v>EPC16215</v>
          </cell>
          <cell r="AF1195">
            <v>455.20000000000005</v>
          </cell>
          <cell r="AG1195">
            <v>172.5</v>
          </cell>
          <cell r="AH1195">
            <v>172.5</v>
          </cell>
        </row>
        <row r="1196">
          <cell r="AE1196" t="str">
            <v>EPC16216</v>
          </cell>
          <cell r="AF1196">
            <v>455.20000000000005</v>
          </cell>
          <cell r="AG1196">
            <v>172.5</v>
          </cell>
          <cell r="AH1196">
            <v>172.5</v>
          </cell>
        </row>
        <row r="1197">
          <cell r="AE1197" t="str">
            <v>EPC16217</v>
          </cell>
          <cell r="AF1197">
            <v>455.20000000000005</v>
          </cell>
          <cell r="AG1197">
            <v>172.5</v>
          </cell>
          <cell r="AH1197">
            <v>172.5</v>
          </cell>
        </row>
        <row r="1198">
          <cell r="AE1198" t="str">
            <v>EPC16218</v>
          </cell>
          <cell r="AF1198">
            <v>455.20000000000005</v>
          </cell>
          <cell r="AG1198">
            <v>172.5</v>
          </cell>
          <cell r="AH1198">
            <v>172.5</v>
          </cell>
        </row>
        <row r="1199">
          <cell r="AE1199" t="str">
            <v>EPC16219</v>
          </cell>
          <cell r="AF1199">
            <v>455.20000000000005</v>
          </cell>
          <cell r="AG1199">
            <v>172.5</v>
          </cell>
          <cell r="AH1199">
            <v>172.5</v>
          </cell>
        </row>
        <row r="1200">
          <cell r="AE1200" t="str">
            <v>EPC16220</v>
          </cell>
          <cell r="AF1200">
            <v>455.20000000000005</v>
          </cell>
          <cell r="AG1200">
            <v>172.5</v>
          </cell>
          <cell r="AH1200">
            <v>172.5</v>
          </cell>
        </row>
        <row r="1201">
          <cell r="AE1201" t="str">
            <v>EPC16221</v>
          </cell>
          <cell r="AF1201">
            <v>455.20000000000005</v>
          </cell>
          <cell r="AG1201">
            <v>172.5</v>
          </cell>
          <cell r="AH1201">
            <v>172.5</v>
          </cell>
        </row>
        <row r="1202">
          <cell r="AE1202" t="str">
            <v>EPC16222</v>
          </cell>
          <cell r="AF1202">
            <v>455.20000000000005</v>
          </cell>
          <cell r="AG1202">
            <v>172.5</v>
          </cell>
          <cell r="AH1202">
            <v>172.5</v>
          </cell>
        </row>
        <row r="1203">
          <cell r="AE1203" t="str">
            <v>EPC16223</v>
          </cell>
          <cell r="AF1203">
            <v>455.20000000000005</v>
          </cell>
          <cell r="AG1203">
            <v>172.5</v>
          </cell>
          <cell r="AH1203">
            <v>172.5</v>
          </cell>
        </row>
        <row r="1204">
          <cell r="AE1204" t="str">
            <v>EPC16224</v>
          </cell>
          <cell r="AF1204">
            <v>455.20000000000005</v>
          </cell>
          <cell r="AG1204">
            <v>172.5</v>
          </cell>
          <cell r="AH1204">
            <v>172.5</v>
          </cell>
        </row>
        <row r="1205">
          <cell r="AE1205" t="str">
            <v>EPC16225</v>
          </cell>
          <cell r="AF1205">
            <v>455.20000000000005</v>
          </cell>
          <cell r="AG1205">
            <v>172.5</v>
          </cell>
          <cell r="AH1205">
            <v>172.5</v>
          </cell>
        </row>
        <row r="1206">
          <cell r="AE1206" t="str">
            <v>EPC16226</v>
          </cell>
          <cell r="AF1206">
            <v>455.20000000000005</v>
          </cell>
          <cell r="AG1206">
            <v>172.5</v>
          </cell>
          <cell r="AH1206">
            <v>172.5</v>
          </cell>
        </row>
        <row r="1207">
          <cell r="AE1207" t="str">
            <v>EPC16227</v>
          </cell>
          <cell r="AF1207">
            <v>455.20000000000005</v>
          </cell>
          <cell r="AG1207">
            <v>172.5</v>
          </cell>
          <cell r="AH1207">
            <v>172.5</v>
          </cell>
        </row>
        <row r="1208">
          <cell r="AE1208" t="str">
            <v>EPC16228</v>
          </cell>
          <cell r="AF1208">
            <v>455.20000000000005</v>
          </cell>
          <cell r="AG1208">
            <v>172.5</v>
          </cell>
          <cell r="AH1208">
            <v>172.5</v>
          </cell>
        </row>
        <row r="1209">
          <cell r="AE1209" t="str">
            <v>EPC16229</v>
          </cell>
          <cell r="AF1209">
            <v>455.20000000000005</v>
          </cell>
          <cell r="AG1209">
            <v>172.5</v>
          </cell>
          <cell r="AH1209">
            <v>172.5</v>
          </cell>
        </row>
        <row r="1210">
          <cell r="AE1210" t="str">
            <v>EPC16230</v>
          </cell>
          <cell r="AF1210">
            <v>455.20000000000005</v>
          </cell>
          <cell r="AG1210">
            <v>172.5</v>
          </cell>
          <cell r="AH1210">
            <v>172.5</v>
          </cell>
        </row>
        <row r="1211">
          <cell r="AE1211" t="str">
            <v>EPC16231</v>
          </cell>
          <cell r="AF1211">
            <v>455.20000000000005</v>
          </cell>
          <cell r="AG1211">
            <v>172.5</v>
          </cell>
          <cell r="AH1211">
            <v>172.5</v>
          </cell>
        </row>
        <row r="1212">
          <cell r="AE1212" t="str">
            <v>EPC16232</v>
          </cell>
          <cell r="AF1212">
            <v>455.20000000000005</v>
          </cell>
          <cell r="AG1212">
            <v>172.5</v>
          </cell>
          <cell r="AH1212">
            <v>172.5</v>
          </cell>
        </row>
        <row r="1213">
          <cell r="AE1213" t="str">
            <v>EPC16233</v>
          </cell>
          <cell r="AF1213">
            <v>455.20000000000005</v>
          </cell>
          <cell r="AG1213">
            <v>172.5</v>
          </cell>
          <cell r="AH1213">
            <v>172.5</v>
          </cell>
        </row>
        <row r="1214">
          <cell r="AE1214" t="str">
            <v>EPC16234</v>
          </cell>
          <cell r="AF1214">
            <v>455.20000000000005</v>
          </cell>
          <cell r="AG1214">
            <v>172.5</v>
          </cell>
          <cell r="AH1214">
            <v>172.5</v>
          </cell>
        </row>
        <row r="1215">
          <cell r="AE1215" t="str">
            <v>EPC16235</v>
          </cell>
          <cell r="AF1215">
            <v>455.20000000000005</v>
          </cell>
          <cell r="AG1215">
            <v>172.5</v>
          </cell>
          <cell r="AH1215">
            <v>172.5</v>
          </cell>
        </row>
        <row r="1216">
          <cell r="AE1216" t="str">
            <v>EPC16236</v>
          </cell>
          <cell r="AF1216">
            <v>455.20000000000005</v>
          </cell>
          <cell r="AG1216">
            <v>172.5</v>
          </cell>
          <cell r="AH1216">
            <v>172.5</v>
          </cell>
        </row>
        <row r="1217">
          <cell r="AE1217" t="str">
            <v>EPC16237</v>
          </cell>
          <cell r="AF1217">
            <v>455.20000000000005</v>
          </cell>
          <cell r="AG1217">
            <v>172.5</v>
          </cell>
          <cell r="AH1217">
            <v>172.5</v>
          </cell>
        </row>
        <row r="1218">
          <cell r="AE1218" t="str">
            <v>EPC16238</v>
          </cell>
          <cell r="AF1218">
            <v>455.20000000000005</v>
          </cell>
          <cell r="AG1218">
            <v>172.5</v>
          </cell>
          <cell r="AH1218">
            <v>172.5</v>
          </cell>
        </row>
        <row r="1219">
          <cell r="AE1219" t="str">
            <v>EPC16239</v>
          </cell>
          <cell r="AF1219">
            <v>455.20000000000005</v>
          </cell>
          <cell r="AG1219">
            <v>172.5</v>
          </cell>
          <cell r="AH1219">
            <v>172.5</v>
          </cell>
        </row>
        <row r="1220">
          <cell r="AE1220" t="str">
            <v>EPC16240</v>
          </cell>
          <cell r="AF1220">
            <v>455.20000000000005</v>
          </cell>
          <cell r="AG1220">
            <v>172.5</v>
          </cell>
          <cell r="AH1220">
            <v>172.5</v>
          </cell>
        </row>
        <row r="1221">
          <cell r="AE1221" t="str">
            <v>EPC16241</v>
          </cell>
          <cell r="AF1221">
            <v>455.20000000000005</v>
          </cell>
          <cell r="AG1221">
            <v>172.5</v>
          </cell>
          <cell r="AH1221">
            <v>172.5</v>
          </cell>
        </row>
        <row r="1222">
          <cell r="AE1222" t="str">
            <v>EPC16242</v>
          </cell>
          <cell r="AF1222">
            <v>455.20000000000005</v>
          </cell>
          <cell r="AG1222">
            <v>172.5</v>
          </cell>
          <cell r="AH1222">
            <v>172.5</v>
          </cell>
        </row>
        <row r="1223">
          <cell r="AE1223" t="str">
            <v>EPC16243</v>
          </cell>
          <cell r="AF1223">
            <v>455.20000000000005</v>
          </cell>
          <cell r="AG1223">
            <v>172.5</v>
          </cell>
          <cell r="AH1223">
            <v>172.5</v>
          </cell>
        </row>
        <row r="1224">
          <cell r="AE1224" t="str">
            <v>EPC16244</v>
          </cell>
          <cell r="AF1224">
            <v>455.20000000000005</v>
          </cell>
          <cell r="AG1224">
            <v>172.5</v>
          </cell>
          <cell r="AH1224">
            <v>172.5</v>
          </cell>
        </row>
        <row r="1225">
          <cell r="AE1225" t="str">
            <v>EPC16245</v>
          </cell>
          <cell r="AF1225">
            <v>455.20000000000005</v>
          </cell>
          <cell r="AG1225">
            <v>172.5</v>
          </cell>
          <cell r="AH1225">
            <v>172.5</v>
          </cell>
        </row>
        <row r="1226">
          <cell r="AE1226" t="str">
            <v>EPC16246</v>
          </cell>
          <cell r="AF1226">
            <v>455.20000000000005</v>
          </cell>
          <cell r="AG1226">
            <v>172.5</v>
          </cell>
          <cell r="AH1226">
            <v>172.5</v>
          </cell>
        </row>
        <row r="1227">
          <cell r="AE1227" t="str">
            <v>EPC16247</v>
          </cell>
          <cell r="AF1227">
            <v>455.20000000000005</v>
          </cell>
          <cell r="AG1227">
            <v>172.5</v>
          </cell>
          <cell r="AH1227">
            <v>172.5</v>
          </cell>
        </row>
        <row r="1228">
          <cell r="AE1228" t="str">
            <v>EPC16248</v>
          </cell>
          <cell r="AF1228">
            <v>455.20000000000005</v>
          </cell>
          <cell r="AG1228">
            <v>172.5</v>
          </cell>
          <cell r="AH1228">
            <v>172.5</v>
          </cell>
        </row>
        <row r="1229">
          <cell r="AE1229" t="str">
            <v>EPC16249</v>
          </cell>
          <cell r="AF1229">
            <v>455.20000000000005</v>
          </cell>
          <cell r="AG1229">
            <v>172.5</v>
          </cell>
          <cell r="AH1229">
            <v>172.5</v>
          </cell>
        </row>
        <row r="1230">
          <cell r="AE1230" t="str">
            <v>EPC16250</v>
          </cell>
          <cell r="AF1230">
            <v>455.20000000000005</v>
          </cell>
          <cell r="AG1230">
            <v>172.5</v>
          </cell>
          <cell r="AH1230">
            <v>172.5</v>
          </cell>
        </row>
        <row r="1231">
          <cell r="AE1231" t="str">
            <v>EPC16251</v>
          </cell>
          <cell r="AF1231">
            <v>455.20000000000005</v>
          </cell>
          <cell r="AG1231">
            <v>172.5</v>
          </cell>
          <cell r="AH1231">
            <v>172.5</v>
          </cell>
        </row>
        <row r="1232">
          <cell r="AE1232" t="str">
            <v>EPC16252</v>
          </cell>
          <cell r="AF1232">
            <v>455.20000000000005</v>
          </cell>
          <cell r="AG1232">
            <v>172.5</v>
          </cell>
          <cell r="AH1232">
            <v>172.5</v>
          </cell>
        </row>
        <row r="1233">
          <cell r="AE1233" t="str">
            <v>EPC16253</v>
          </cell>
          <cell r="AF1233">
            <v>455.20000000000005</v>
          </cell>
          <cell r="AG1233">
            <v>172.5</v>
          </cell>
          <cell r="AH1233">
            <v>172.5</v>
          </cell>
        </row>
        <row r="1234">
          <cell r="AE1234" t="str">
            <v>EPC16254</v>
          </cell>
          <cell r="AF1234">
            <v>455.20000000000005</v>
          </cell>
          <cell r="AG1234">
            <v>172.5</v>
          </cell>
          <cell r="AH1234">
            <v>172.5</v>
          </cell>
        </row>
        <row r="1235">
          <cell r="AE1235" t="str">
            <v>EPC16255</v>
          </cell>
          <cell r="AF1235">
            <v>455.20000000000005</v>
          </cell>
          <cell r="AG1235">
            <v>172.5</v>
          </cell>
          <cell r="AH1235">
            <v>172.5</v>
          </cell>
        </row>
        <row r="1236">
          <cell r="AE1236" t="str">
            <v>EPC16256</v>
          </cell>
          <cell r="AF1236">
            <v>455.20000000000005</v>
          </cell>
          <cell r="AG1236">
            <v>172.5</v>
          </cell>
          <cell r="AH1236">
            <v>172.5</v>
          </cell>
        </row>
        <row r="1237">
          <cell r="AE1237" t="str">
            <v>EPC16257</v>
          </cell>
          <cell r="AF1237">
            <v>455.20000000000005</v>
          </cell>
          <cell r="AG1237">
            <v>172.5</v>
          </cell>
          <cell r="AH1237">
            <v>172.5</v>
          </cell>
        </row>
        <row r="1238">
          <cell r="AE1238" t="str">
            <v>EPC16258</v>
          </cell>
          <cell r="AF1238">
            <v>455.20000000000005</v>
          </cell>
          <cell r="AG1238">
            <v>172.5</v>
          </cell>
          <cell r="AH1238">
            <v>172.5</v>
          </cell>
        </row>
        <row r="1239">
          <cell r="AE1239" t="str">
            <v>EPC16259</v>
          </cell>
          <cell r="AF1239">
            <v>455.20000000000005</v>
          </cell>
          <cell r="AG1239">
            <v>172.5</v>
          </cell>
          <cell r="AH1239">
            <v>172.5</v>
          </cell>
        </row>
        <row r="1240">
          <cell r="AE1240" t="str">
            <v>EPC16260</v>
          </cell>
          <cell r="AF1240">
            <v>455.20000000000005</v>
          </cell>
          <cell r="AG1240">
            <v>172.5</v>
          </cell>
          <cell r="AH1240">
            <v>172.5</v>
          </cell>
        </row>
        <row r="1241">
          <cell r="AE1241" t="str">
            <v>EPC16261</v>
          </cell>
          <cell r="AF1241">
            <v>455.20000000000005</v>
          </cell>
          <cell r="AG1241">
            <v>172.5</v>
          </cell>
          <cell r="AH1241">
            <v>172.5</v>
          </cell>
        </row>
        <row r="1242">
          <cell r="AE1242" t="str">
            <v>EPC16262</v>
          </cell>
          <cell r="AF1242">
            <v>455.20000000000005</v>
          </cell>
          <cell r="AG1242">
            <v>172.5</v>
          </cell>
          <cell r="AH1242">
            <v>172.5</v>
          </cell>
        </row>
        <row r="1243">
          <cell r="AE1243" t="str">
            <v>EPC16263</v>
          </cell>
          <cell r="AF1243">
            <v>455.20000000000005</v>
          </cell>
          <cell r="AG1243">
            <v>172.5</v>
          </cell>
          <cell r="AH1243">
            <v>172.5</v>
          </cell>
        </row>
        <row r="1244">
          <cell r="AE1244" t="str">
            <v>EPC16264</v>
          </cell>
          <cell r="AF1244">
            <v>455.20000000000005</v>
          </cell>
          <cell r="AG1244">
            <v>172.5</v>
          </cell>
          <cell r="AH1244">
            <v>172.5</v>
          </cell>
        </row>
        <row r="1245">
          <cell r="AE1245" t="str">
            <v>EPC16265</v>
          </cell>
          <cell r="AF1245">
            <v>455.20000000000005</v>
          </cell>
          <cell r="AG1245">
            <v>172.5</v>
          </cell>
          <cell r="AH1245">
            <v>172.5</v>
          </cell>
        </row>
        <row r="1246">
          <cell r="AE1246" t="str">
            <v>EPC16266</v>
          </cell>
          <cell r="AF1246">
            <v>455.20000000000005</v>
          </cell>
          <cell r="AG1246">
            <v>172.5</v>
          </cell>
          <cell r="AH1246">
            <v>172.5</v>
          </cell>
        </row>
        <row r="1247">
          <cell r="AE1247" t="str">
            <v>EPC16267</v>
          </cell>
          <cell r="AF1247">
            <v>455.20000000000005</v>
          </cell>
          <cell r="AG1247">
            <v>172.5</v>
          </cell>
          <cell r="AH1247">
            <v>172.5</v>
          </cell>
        </row>
        <row r="1248">
          <cell r="AE1248" t="str">
            <v>EPC16268</v>
          </cell>
          <cell r="AF1248">
            <v>455.20000000000005</v>
          </cell>
          <cell r="AG1248">
            <v>172.5</v>
          </cell>
          <cell r="AH1248">
            <v>172.5</v>
          </cell>
        </row>
        <row r="1249">
          <cell r="AE1249" t="str">
            <v>EPC16269</v>
          </cell>
          <cell r="AF1249">
            <v>455.20000000000005</v>
          </cell>
          <cell r="AG1249">
            <v>172.5</v>
          </cell>
          <cell r="AH1249">
            <v>172.5</v>
          </cell>
        </row>
        <row r="1250">
          <cell r="AE1250" t="str">
            <v>EPC16270</v>
          </cell>
          <cell r="AF1250">
            <v>455.20000000000005</v>
          </cell>
          <cell r="AG1250">
            <v>172.5</v>
          </cell>
          <cell r="AH1250">
            <v>172.5</v>
          </cell>
        </row>
        <row r="1251">
          <cell r="AE1251" t="str">
            <v>EPC16271</v>
          </cell>
          <cell r="AF1251">
            <v>455.20000000000005</v>
          </cell>
          <cell r="AG1251">
            <v>172.5</v>
          </cell>
          <cell r="AH1251">
            <v>172.5</v>
          </cell>
        </row>
        <row r="1252">
          <cell r="AE1252" t="str">
            <v>EPC16272</v>
          </cell>
          <cell r="AF1252">
            <v>455.20000000000005</v>
          </cell>
          <cell r="AG1252">
            <v>172.5</v>
          </cell>
          <cell r="AH1252">
            <v>172.5</v>
          </cell>
        </row>
        <row r="1253">
          <cell r="AE1253" t="str">
            <v>EPC16273</v>
          </cell>
          <cell r="AF1253">
            <v>455.20000000000005</v>
          </cell>
          <cell r="AG1253">
            <v>172.5</v>
          </cell>
          <cell r="AH1253">
            <v>172.5</v>
          </cell>
        </row>
        <row r="1254">
          <cell r="AE1254" t="str">
            <v>EPC16274</v>
          </cell>
          <cell r="AF1254">
            <v>455.20000000000005</v>
          </cell>
          <cell r="AG1254">
            <v>172.5</v>
          </cell>
          <cell r="AH1254">
            <v>172.5</v>
          </cell>
        </row>
        <row r="1255">
          <cell r="AE1255" t="str">
            <v>EPC16275</v>
          </cell>
          <cell r="AF1255">
            <v>455.20000000000005</v>
          </cell>
          <cell r="AG1255">
            <v>172.5</v>
          </cell>
          <cell r="AH1255">
            <v>172.5</v>
          </cell>
        </row>
        <row r="1256">
          <cell r="AE1256" t="str">
            <v>EPC16276</v>
          </cell>
          <cell r="AF1256">
            <v>455.20000000000005</v>
          </cell>
          <cell r="AG1256">
            <v>172.5</v>
          </cell>
          <cell r="AH1256">
            <v>172.5</v>
          </cell>
        </row>
        <row r="1257">
          <cell r="AE1257" t="str">
            <v>EPC16277</v>
          </cell>
          <cell r="AF1257">
            <v>455.20000000000005</v>
          </cell>
          <cell r="AG1257">
            <v>172.5</v>
          </cell>
          <cell r="AH1257">
            <v>172.5</v>
          </cell>
        </row>
        <row r="1258">
          <cell r="AE1258" t="str">
            <v>EPC16278</v>
          </cell>
          <cell r="AF1258">
            <v>455.20000000000005</v>
          </cell>
          <cell r="AG1258">
            <v>172.5</v>
          </cell>
          <cell r="AH1258">
            <v>172.5</v>
          </cell>
        </row>
        <row r="1259">
          <cell r="AE1259" t="str">
            <v>EPC16279</v>
          </cell>
          <cell r="AF1259">
            <v>455.20000000000005</v>
          </cell>
          <cell r="AG1259">
            <v>172.5</v>
          </cell>
          <cell r="AH1259">
            <v>172.5</v>
          </cell>
        </row>
        <row r="1260">
          <cell r="AE1260" t="str">
            <v>EPC16280</v>
          </cell>
          <cell r="AF1260">
            <v>455.20000000000005</v>
          </cell>
          <cell r="AG1260">
            <v>172.5</v>
          </cell>
          <cell r="AH1260">
            <v>172.5</v>
          </cell>
        </row>
        <row r="1261">
          <cell r="AE1261" t="str">
            <v>EPC16281</v>
          </cell>
          <cell r="AF1261">
            <v>455.20000000000005</v>
          </cell>
          <cell r="AG1261">
            <v>172.5</v>
          </cell>
          <cell r="AH1261">
            <v>172.5</v>
          </cell>
        </row>
        <row r="1262">
          <cell r="AE1262" t="str">
            <v>5365LMH</v>
          </cell>
          <cell r="AF1262">
            <v>644.11999999999989</v>
          </cell>
          <cell r="AG1262">
            <v>244.09</v>
          </cell>
          <cell r="AH1262">
            <v>244.09</v>
          </cell>
        </row>
        <row r="1263">
          <cell r="AE1263" t="str">
            <v>5365LMM</v>
          </cell>
          <cell r="AF1263">
            <v>644.11999999999989</v>
          </cell>
          <cell r="AG1263">
            <v>244.09</v>
          </cell>
          <cell r="AH1263">
            <v>244.09</v>
          </cell>
        </row>
        <row r="1264">
          <cell r="AE1264" t="str">
            <v>5365LMT</v>
          </cell>
          <cell r="AF1264">
            <v>562.9699999999998</v>
          </cell>
          <cell r="AG1264">
            <v>213.33</v>
          </cell>
          <cell r="AH1264">
            <v>213.33</v>
          </cell>
        </row>
        <row r="1265">
          <cell r="AE1265" t="str">
            <v>5365LMZ</v>
          </cell>
          <cell r="AF1265">
            <v>644.11999999999989</v>
          </cell>
          <cell r="AG1265">
            <v>244.09</v>
          </cell>
          <cell r="AH1265">
            <v>244.09</v>
          </cell>
        </row>
        <row r="1266">
          <cell r="AE1266" t="str">
            <v>5365LND</v>
          </cell>
          <cell r="AF1266">
            <v>562.9699999999998</v>
          </cell>
          <cell r="AG1266">
            <v>213.33</v>
          </cell>
          <cell r="AH1266">
            <v>213.33</v>
          </cell>
        </row>
        <row r="1267">
          <cell r="AE1267" t="str">
            <v>54215X8</v>
          </cell>
          <cell r="AF1267">
            <v>644.11999999999989</v>
          </cell>
          <cell r="AG1267">
            <v>244.09</v>
          </cell>
          <cell r="AH1267">
            <v>244.09</v>
          </cell>
        </row>
        <row r="1268">
          <cell r="AE1268" t="str">
            <v>54215XC</v>
          </cell>
          <cell r="AF1268">
            <v>644.11999999999989</v>
          </cell>
          <cell r="AG1268">
            <v>244.09</v>
          </cell>
          <cell r="AH1268">
            <v>244.09</v>
          </cell>
        </row>
        <row r="1269">
          <cell r="AE1269" t="str">
            <v>E4129RKX</v>
          </cell>
          <cell r="AF1269">
            <v>0</v>
          </cell>
          <cell r="AG1269">
            <v>335.97</v>
          </cell>
          <cell r="AH1269">
            <v>335.97</v>
          </cell>
        </row>
        <row r="1270">
          <cell r="AE1270" t="str">
            <v>E4069V9G</v>
          </cell>
          <cell r="AF1270">
            <v>0</v>
          </cell>
          <cell r="AG1270">
            <v>396.69</v>
          </cell>
          <cell r="AH1270">
            <v>396.69</v>
          </cell>
        </row>
        <row r="1271">
          <cell r="AE1271" t="str">
            <v>E0009701</v>
          </cell>
          <cell r="AF1271">
            <v>0</v>
          </cell>
          <cell r="AG1271">
            <v>435.75</v>
          </cell>
          <cell r="AH1271">
            <v>435.75</v>
          </cell>
        </row>
        <row r="1272">
          <cell r="AE1272" t="str">
            <v>ENBR1601</v>
          </cell>
          <cell r="AF1272">
            <v>973.75</v>
          </cell>
          <cell r="AG1272">
            <v>369</v>
          </cell>
          <cell r="AH1272">
            <v>369</v>
          </cell>
        </row>
        <row r="1273">
          <cell r="AE1273" t="str">
            <v>ENBR1602</v>
          </cell>
          <cell r="AF1273">
            <v>973.75</v>
          </cell>
          <cell r="AG1273">
            <v>369</v>
          </cell>
          <cell r="AH1273">
            <v>369</v>
          </cell>
        </row>
        <row r="1274">
          <cell r="AE1274" t="str">
            <v>ENBR1603</v>
          </cell>
          <cell r="AF1274">
            <v>973.75</v>
          </cell>
          <cell r="AG1274">
            <v>369</v>
          </cell>
          <cell r="AH1274">
            <v>369</v>
          </cell>
        </row>
        <row r="1275">
          <cell r="AE1275" t="str">
            <v>ENBR1604</v>
          </cell>
          <cell r="AF1275">
            <v>963.19999999999982</v>
          </cell>
          <cell r="AG1275">
            <v>365</v>
          </cell>
          <cell r="AH1275">
            <v>365</v>
          </cell>
        </row>
        <row r="1276">
          <cell r="AE1276" t="str">
            <v>ENBR1605</v>
          </cell>
          <cell r="AF1276">
            <v>963.19999999999982</v>
          </cell>
          <cell r="AG1276">
            <v>365</v>
          </cell>
          <cell r="AH1276">
            <v>365</v>
          </cell>
        </row>
        <row r="1277">
          <cell r="AE1277" t="str">
            <v>ENBR1606</v>
          </cell>
          <cell r="AF1277">
            <v>963.19999999999982</v>
          </cell>
          <cell r="AG1277">
            <v>365</v>
          </cell>
          <cell r="AH1277">
            <v>365</v>
          </cell>
        </row>
        <row r="1278">
          <cell r="AE1278" t="str">
            <v>5202G1W</v>
          </cell>
          <cell r="AF1278">
            <v>421.1700000000003</v>
          </cell>
          <cell r="AG1278">
            <v>159.6</v>
          </cell>
          <cell r="AH1278">
            <v>159.6</v>
          </cell>
        </row>
        <row r="1279">
          <cell r="AE1279" t="str">
            <v>5202G1Z</v>
          </cell>
          <cell r="AF1279">
            <v>998.09999999999945</v>
          </cell>
          <cell r="AG1279">
            <v>159.6</v>
          </cell>
          <cell r="AH1279">
            <v>159.6</v>
          </cell>
        </row>
        <row r="1280">
          <cell r="AE1280" t="str">
            <v>5202G20</v>
          </cell>
          <cell r="AF1280">
            <v>421.1700000000003</v>
          </cell>
          <cell r="AG1280">
            <v>159.6</v>
          </cell>
          <cell r="AH1280">
            <v>159.6</v>
          </cell>
        </row>
        <row r="1281">
          <cell r="AE1281" t="str">
            <v>5202G21</v>
          </cell>
          <cell r="AF1281">
            <v>998.09999999999945</v>
          </cell>
          <cell r="AG1281">
            <v>159.6</v>
          </cell>
          <cell r="AH1281">
            <v>159.6</v>
          </cell>
        </row>
        <row r="1282">
          <cell r="AE1282" t="str">
            <v>5202G23</v>
          </cell>
          <cell r="AF1282">
            <v>421.1700000000003</v>
          </cell>
          <cell r="AG1282">
            <v>159.6</v>
          </cell>
          <cell r="AH1282">
            <v>159.6</v>
          </cell>
        </row>
        <row r="1283">
          <cell r="AE1283" t="str">
            <v>5202G24</v>
          </cell>
          <cell r="AF1283">
            <v>998.09999999999945</v>
          </cell>
          <cell r="AG1283">
            <v>159.6</v>
          </cell>
          <cell r="AH1283">
            <v>159.6</v>
          </cell>
        </row>
        <row r="1284">
          <cell r="AE1284" t="str">
            <v>5202G28</v>
          </cell>
          <cell r="AF1284">
            <v>421.1700000000003</v>
          </cell>
          <cell r="AG1284">
            <v>159.6</v>
          </cell>
          <cell r="AH1284">
            <v>159.6</v>
          </cell>
        </row>
        <row r="1285">
          <cell r="AE1285" t="str">
            <v>5202G2B</v>
          </cell>
          <cell r="AF1285">
            <v>998.09999999999945</v>
          </cell>
          <cell r="AG1285">
            <v>159.6</v>
          </cell>
          <cell r="AH1285">
            <v>159.6</v>
          </cell>
        </row>
        <row r="1286">
          <cell r="AE1286" t="str">
            <v>5202G2C</v>
          </cell>
          <cell r="AF1286">
            <v>998.09999999999945</v>
          </cell>
          <cell r="AG1286">
            <v>159.6</v>
          </cell>
          <cell r="AH1286">
            <v>159.6</v>
          </cell>
        </row>
        <row r="1287">
          <cell r="AE1287" t="str">
            <v>5245724</v>
          </cell>
          <cell r="AF1287">
            <v>421.1700000000003</v>
          </cell>
          <cell r="AG1287">
            <v>159.6</v>
          </cell>
          <cell r="AH1287">
            <v>159.6</v>
          </cell>
        </row>
        <row r="1288">
          <cell r="AE1288" t="str">
            <v>EHBN1515</v>
          </cell>
          <cell r="AF1288">
            <v>1442.9300000000003</v>
          </cell>
          <cell r="AG1288">
            <v>546.79999999999995</v>
          </cell>
          <cell r="AH1288">
            <v>546.79999999999995</v>
          </cell>
        </row>
        <row r="1289">
          <cell r="AE1289" t="str">
            <v>E0001201</v>
          </cell>
          <cell r="AF1289">
            <v>0</v>
          </cell>
          <cell r="AG1289">
            <v>699</v>
          </cell>
          <cell r="AH1289">
            <v>699</v>
          </cell>
        </row>
        <row r="1290">
          <cell r="AE1290" t="str">
            <v>E0001202</v>
          </cell>
          <cell r="AF1290">
            <v>0</v>
          </cell>
          <cell r="AG1290">
            <v>699</v>
          </cell>
          <cell r="AH1290">
            <v>699</v>
          </cell>
        </row>
        <row r="1291">
          <cell r="AE1291" t="str">
            <v>E0001203</v>
          </cell>
          <cell r="AF1291">
            <v>0</v>
          </cell>
          <cell r="AG1291">
            <v>700</v>
          </cell>
          <cell r="AH1291">
            <v>700</v>
          </cell>
        </row>
        <row r="1292">
          <cell r="AE1292" t="str">
            <v>E0009700</v>
          </cell>
          <cell r="AF1292">
            <v>0</v>
          </cell>
          <cell r="AG1292">
            <v>1190</v>
          </cell>
          <cell r="AH1292">
            <v>1190</v>
          </cell>
        </row>
        <row r="1293">
          <cell r="AE1293" t="str">
            <v>EE100799</v>
          </cell>
          <cell r="AF1293">
            <v>0</v>
          </cell>
          <cell r="AG1293">
            <v>725</v>
          </cell>
          <cell r="AH1293">
            <v>725</v>
          </cell>
        </row>
        <row r="1294">
          <cell r="AE1294" t="str">
            <v>70204Z2?</v>
          </cell>
          <cell r="AF1294">
            <v>509.75</v>
          </cell>
          <cell r="AG1294">
            <v>193.16</v>
          </cell>
          <cell r="AH1294">
            <v>193.16</v>
          </cell>
        </row>
        <row r="1295">
          <cell r="AE1295" t="str">
            <v>?70204Z7</v>
          </cell>
          <cell r="AF1295">
            <v>673.83000000000015</v>
          </cell>
          <cell r="AG1295">
            <v>255.34</v>
          </cell>
          <cell r="AH1295">
            <v>255.34</v>
          </cell>
        </row>
        <row r="1296">
          <cell r="AE1296" t="str">
            <v>EE100714</v>
          </cell>
          <cell r="AF1296">
            <v>0</v>
          </cell>
          <cell r="AG1296">
            <v>1675</v>
          </cell>
          <cell r="AH1296">
            <v>1675</v>
          </cell>
        </row>
        <row r="1297">
          <cell r="AE1297" t="str">
            <v>EE100715</v>
          </cell>
          <cell r="AF1297">
            <v>0</v>
          </cell>
          <cell r="AG1297">
            <v>1675</v>
          </cell>
          <cell r="AH1297">
            <v>1675</v>
          </cell>
        </row>
        <row r="1298">
          <cell r="AE1298" t="str">
            <v>751W4CT</v>
          </cell>
          <cell r="AF1298">
            <v>3097.96</v>
          </cell>
          <cell r="AG1298">
            <v>1467.45</v>
          </cell>
          <cell r="AH1298">
            <v>1467.45</v>
          </cell>
        </row>
        <row r="1299">
          <cell r="AE1299" t="str">
            <v>E100893</v>
          </cell>
          <cell r="AF1299">
            <v>1166.17</v>
          </cell>
          <cell r="AG1299">
            <v>441.92</v>
          </cell>
          <cell r="AH1299">
            <v>441.92</v>
          </cell>
        </row>
        <row r="1300">
          <cell r="AE1300" t="str">
            <v>E100912</v>
          </cell>
          <cell r="AF1300">
            <v>1166.17</v>
          </cell>
          <cell r="AG1300">
            <v>441.92</v>
          </cell>
          <cell r="AH1300">
            <v>441.92</v>
          </cell>
        </row>
        <row r="1301">
          <cell r="AE1301" t="str">
            <v>E100913</v>
          </cell>
          <cell r="AF1301">
            <v>1166.17</v>
          </cell>
          <cell r="AG1301">
            <v>441.92</v>
          </cell>
          <cell r="AH1301">
            <v>441.92</v>
          </cell>
        </row>
        <row r="1302">
          <cell r="AE1302" t="str">
            <v>E100914</v>
          </cell>
          <cell r="AF1302">
            <v>1166.17</v>
          </cell>
          <cell r="AG1302">
            <v>441.92</v>
          </cell>
          <cell r="AH1302">
            <v>441.92</v>
          </cell>
        </row>
        <row r="1303">
          <cell r="AE1303" t="str">
            <v>E100915</v>
          </cell>
          <cell r="AF1303">
            <v>1166.17</v>
          </cell>
          <cell r="AG1303">
            <v>441.92</v>
          </cell>
          <cell r="AH1303">
            <v>441.92</v>
          </cell>
        </row>
        <row r="1304">
          <cell r="AE1304" t="str">
            <v>E100916</v>
          </cell>
          <cell r="AF1304">
            <v>1166.17</v>
          </cell>
          <cell r="AG1304">
            <v>441.92</v>
          </cell>
          <cell r="AH1304">
            <v>441.92</v>
          </cell>
        </row>
        <row r="1305">
          <cell r="AE1305" t="str">
            <v>E100917</v>
          </cell>
          <cell r="AF1305">
            <v>1166.17</v>
          </cell>
          <cell r="AG1305">
            <v>441.92</v>
          </cell>
          <cell r="AH1305">
            <v>441.92</v>
          </cell>
        </row>
        <row r="1306">
          <cell r="AE1306" t="str">
            <v>E100918</v>
          </cell>
          <cell r="AF1306">
            <v>1166.17</v>
          </cell>
          <cell r="AG1306">
            <v>441.92</v>
          </cell>
          <cell r="AH1306">
            <v>441.92</v>
          </cell>
        </row>
        <row r="1307">
          <cell r="AE1307" t="str">
            <v>E100919</v>
          </cell>
          <cell r="AF1307">
            <v>1166.17</v>
          </cell>
          <cell r="AG1307">
            <v>441.92</v>
          </cell>
          <cell r="AH1307">
            <v>441.92</v>
          </cell>
        </row>
        <row r="1308">
          <cell r="AE1308" t="str">
            <v>Z816W01</v>
          </cell>
          <cell r="AF1308">
            <v>2360.8499999999995</v>
          </cell>
          <cell r="AG1308">
            <v>894.63</v>
          </cell>
          <cell r="AH1308">
            <v>894.63</v>
          </cell>
        </row>
        <row r="1309">
          <cell r="AE1309" t="str">
            <v>Z816W02</v>
          </cell>
          <cell r="AF1309">
            <v>2360.8499999999995</v>
          </cell>
          <cell r="AG1309">
            <v>894.63</v>
          </cell>
          <cell r="AH1309">
            <v>894.63</v>
          </cell>
        </row>
        <row r="1310">
          <cell r="AE1310" t="str">
            <v>Z816W03</v>
          </cell>
          <cell r="AF1310">
            <v>2360.8499999999995</v>
          </cell>
          <cell r="AG1310">
            <v>894.63</v>
          </cell>
          <cell r="AH1310">
            <v>894.63</v>
          </cell>
        </row>
        <row r="1311">
          <cell r="AE1311" t="str">
            <v>Z816W04</v>
          </cell>
          <cell r="AF1311">
            <v>2360.8499999999995</v>
          </cell>
          <cell r="AG1311">
            <v>894.63</v>
          </cell>
          <cell r="AH1311">
            <v>894.63</v>
          </cell>
        </row>
        <row r="1312">
          <cell r="AE1312" t="str">
            <v>Z816W05</v>
          </cell>
          <cell r="AF1312">
            <v>2360.8499999999995</v>
          </cell>
          <cell r="AG1312">
            <v>894.63</v>
          </cell>
          <cell r="AH1312">
            <v>894.63</v>
          </cell>
        </row>
        <row r="1313">
          <cell r="AE1313" t="str">
            <v>EE100726</v>
          </cell>
          <cell r="AF1313">
            <v>0</v>
          </cell>
          <cell r="AG1313">
            <v>520</v>
          </cell>
          <cell r="AH1313">
            <v>520</v>
          </cell>
        </row>
        <row r="1314">
          <cell r="AE1314" t="str">
            <v>EE100727</v>
          </cell>
          <cell r="AF1314">
            <v>0</v>
          </cell>
          <cell r="AG1314">
            <v>520</v>
          </cell>
          <cell r="AH1314">
            <v>520</v>
          </cell>
        </row>
        <row r="1315">
          <cell r="AE1315" t="str">
            <v>EE100728</v>
          </cell>
          <cell r="AF1315">
            <v>0</v>
          </cell>
          <cell r="AG1315">
            <v>520</v>
          </cell>
          <cell r="AH1315">
            <v>520</v>
          </cell>
        </row>
        <row r="1316">
          <cell r="AE1316" t="str">
            <v>1600179</v>
          </cell>
          <cell r="AF1316">
            <v>380.75</v>
          </cell>
          <cell r="AG1316">
            <v>207.35</v>
          </cell>
          <cell r="AH1316">
            <v>207.35</v>
          </cell>
        </row>
        <row r="1317">
          <cell r="AE1317" t="str">
            <v>1600239</v>
          </cell>
          <cell r="AF1317">
            <v>380.75</v>
          </cell>
          <cell r="AG1317">
            <v>207.35</v>
          </cell>
          <cell r="AH1317">
            <v>207.35</v>
          </cell>
        </row>
        <row r="1318">
          <cell r="AE1318" t="str">
            <v>1600299</v>
          </cell>
          <cell r="AF1318">
            <v>380.75</v>
          </cell>
          <cell r="AG1318">
            <v>207.35</v>
          </cell>
          <cell r="AH1318">
            <v>207.35</v>
          </cell>
        </row>
        <row r="1319">
          <cell r="AE1319" t="str">
            <v>1600322</v>
          </cell>
          <cell r="AF1319">
            <v>380.75</v>
          </cell>
          <cell r="AG1319">
            <v>207.35</v>
          </cell>
          <cell r="AH1319">
            <v>207.35</v>
          </cell>
        </row>
        <row r="1320">
          <cell r="AE1320" t="str">
            <v>1600323</v>
          </cell>
          <cell r="AF1320">
            <v>380.75</v>
          </cell>
          <cell r="AG1320">
            <v>207.35</v>
          </cell>
          <cell r="AH1320">
            <v>207.35</v>
          </cell>
        </row>
        <row r="1321">
          <cell r="AE1321" t="str">
            <v>1600325</v>
          </cell>
          <cell r="AF1321">
            <v>380.75</v>
          </cell>
          <cell r="AG1321">
            <v>207.35</v>
          </cell>
          <cell r="AH1321">
            <v>207.35</v>
          </cell>
        </row>
        <row r="1322">
          <cell r="AE1322" t="str">
            <v>1600329</v>
          </cell>
          <cell r="AF1322">
            <v>380.75</v>
          </cell>
          <cell r="AG1322">
            <v>207.35</v>
          </cell>
          <cell r="AH1322">
            <v>207.35</v>
          </cell>
        </row>
        <row r="1323">
          <cell r="AE1323" t="str">
            <v>1600330</v>
          </cell>
          <cell r="AF1323">
            <v>380.75</v>
          </cell>
          <cell r="AG1323">
            <v>207.35</v>
          </cell>
          <cell r="AH1323">
            <v>207.35</v>
          </cell>
        </row>
        <row r="1324">
          <cell r="AE1324" t="str">
            <v>1600331</v>
          </cell>
          <cell r="AF1324">
            <v>380.75</v>
          </cell>
          <cell r="AG1324">
            <v>207.35</v>
          </cell>
          <cell r="AH1324">
            <v>207.35</v>
          </cell>
        </row>
        <row r="1325">
          <cell r="AE1325" t="str">
            <v>1600332</v>
          </cell>
          <cell r="AF1325">
            <v>380.75</v>
          </cell>
          <cell r="AG1325">
            <v>207.35</v>
          </cell>
          <cell r="AH1325">
            <v>207.35</v>
          </cell>
        </row>
        <row r="1326">
          <cell r="AE1326" t="str">
            <v>1600334</v>
          </cell>
          <cell r="AF1326">
            <v>380.75</v>
          </cell>
          <cell r="AG1326">
            <v>207.35</v>
          </cell>
          <cell r="AH1326">
            <v>207.35</v>
          </cell>
        </row>
        <row r="1327">
          <cell r="AE1327" t="str">
            <v>1600336</v>
          </cell>
          <cell r="AF1327">
            <v>380.75</v>
          </cell>
          <cell r="AG1327">
            <v>207.35</v>
          </cell>
          <cell r="AH1327">
            <v>207.35</v>
          </cell>
        </row>
        <row r="1328">
          <cell r="AE1328" t="str">
            <v>1600337</v>
          </cell>
          <cell r="AF1328">
            <v>380.75</v>
          </cell>
          <cell r="AG1328">
            <v>207.35</v>
          </cell>
          <cell r="AH1328">
            <v>207.35</v>
          </cell>
        </row>
        <row r="1329">
          <cell r="AE1329" t="str">
            <v>1600338</v>
          </cell>
          <cell r="AF1329">
            <v>380.75</v>
          </cell>
          <cell r="AG1329">
            <v>207.35</v>
          </cell>
          <cell r="AH1329">
            <v>207.35</v>
          </cell>
        </row>
        <row r="1330">
          <cell r="AE1330" t="str">
            <v>1600339</v>
          </cell>
          <cell r="AF1330">
            <v>380.75</v>
          </cell>
          <cell r="AG1330">
            <v>207.35</v>
          </cell>
          <cell r="AH1330">
            <v>207.35</v>
          </cell>
        </row>
        <row r="1331">
          <cell r="AE1331" t="str">
            <v>1600341</v>
          </cell>
          <cell r="AF1331">
            <v>380.75</v>
          </cell>
          <cell r="AG1331">
            <v>207.35</v>
          </cell>
          <cell r="AH1331">
            <v>207.35</v>
          </cell>
        </row>
        <row r="1332">
          <cell r="AE1332" t="str">
            <v>1600342</v>
          </cell>
          <cell r="AF1332">
            <v>380.75</v>
          </cell>
          <cell r="AG1332">
            <v>207.35</v>
          </cell>
          <cell r="AH1332">
            <v>207.35</v>
          </cell>
        </row>
        <row r="1333">
          <cell r="AE1333" t="str">
            <v>1600343</v>
          </cell>
          <cell r="AF1333">
            <v>380.75</v>
          </cell>
          <cell r="AG1333">
            <v>207.35</v>
          </cell>
          <cell r="AH1333">
            <v>207.35</v>
          </cell>
        </row>
        <row r="1334">
          <cell r="AE1334" t="str">
            <v>1600344</v>
          </cell>
          <cell r="AF1334">
            <v>380.75</v>
          </cell>
          <cell r="AG1334">
            <v>207.35</v>
          </cell>
          <cell r="AH1334">
            <v>207.35</v>
          </cell>
        </row>
        <row r="1335">
          <cell r="AE1335" t="str">
            <v>1600345</v>
          </cell>
          <cell r="AF1335">
            <v>380.75</v>
          </cell>
          <cell r="AG1335">
            <v>207.35</v>
          </cell>
          <cell r="AH1335">
            <v>207.35</v>
          </cell>
        </row>
        <row r="1336">
          <cell r="AE1336" t="str">
            <v>1600346</v>
          </cell>
          <cell r="AF1336">
            <v>380.75</v>
          </cell>
          <cell r="AG1336">
            <v>207.35</v>
          </cell>
          <cell r="AH1336">
            <v>207.35</v>
          </cell>
        </row>
        <row r="1337">
          <cell r="AE1337" t="str">
            <v>1600347</v>
          </cell>
          <cell r="AF1337">
            <v>380.75</v>
          </cell>
          <cell r="AG1337">
            <v>207.35</v>
          </cell>
          <cell r="AH1337">
            <v>207.35</v>
          </cell>
        </row>
        <row r="1338">
          <cell r="AE1338" t="str">
            <v>1600349</v>
          </cell>
          <cell r="AF1338">
            <v>380.75</v>
          </cell>
          <cell r="AG1338">
            <v>207.35</v>
          </cell>
          <cell r="AH1338">
            <v>207.35</v>
          </cell>
        </row>
        <row r="1339">
          <cell r="AE1339" t="str">
            <v>1600350</v>
          </cell>
          <cell r="AF1339">
            <v>380.75</v>
          </cell>
          <cell r="AG1339">
            <v>207.35</v>
          </cell>
          <cell r="AH1339">
            <v>207.35</v>
          </cell>
        </row>
        <row r="1340">
          <cell r="AE1340" t="str">
            <v>1600351</v>
          </cell>
          <cell r="AF1340">
            <v>380.75</v>
          </cell>
          <cell r="AG1340">
            <v>207.35</v>
          </cell>
          <cell r="AH1340">
            <v>207.35</v>
          </cell>
        </row>
        <row r="1341">
          <cell r="AE1341" t="str">
            <v>1600500</v>
          </cell>
          <cell r="AF1341">
            <v>380.75</v>
          </cell>
          <cell r="AG1341">
            <v>207.35</v>
          </cell>
          <cell r="AH1341">
            <v>207.35</v>
          </cell>
        </row>
        <row r="1342">
          <cell r="AE1342" t="str">
            <v>1600501</v>
          </cell>
          <cell r="AF1342">
            <v>380.75</v>
          </cell>
          <cell r="AG1342">
            <v>207.35</v>
          </cell>
          <cell r="AH1342">
            <v>207.35</v>
          </cell>
        </row>
        <row r="1343">
          <cell r="AE1343" t="str">
            <v>1600502</v>
          </cell>
          <cell r="AF1343">
            <v>380.75</v>
          </cell>
          <cell r="AG1343">
            <v>207.35</v>
          </cell>
          <cell r="AH1343">
            <v>207.35</v>
          </cell>
        </row>
        <row r="1344">
          <cell r="AE1344" t="str">
            <v>1600504</v>
          </cell>
          <cell r="AF1344">
            <v>380.75</v>
          </cell>
          <cell r="AG1344">
            <v>207.35</v>
          </cell>
          <cell r="AH1344">
            <v>207.35</v>
          </cell>
        </row>
        <row r="1345">
          <cell r="AE1345" t="str">
            <v>1600505</v>
          </cell>
          <cell r="AF1345">
            <v>380.75</v>
          </cell>
          <cell r="AG1345">
            <v>207.35</v>
          </cell>
          <cell r="AH1345">
            <v>207.35</v>
          </cell>
        </row>
        <row r="1346">
          <cell r="AE1346" t="str">
            <v>1700310</v>
          </cell>
          <cell r="AF1346">
            <v>380.75</v>
          </cell>
          <cell r="AG1346">
            <v>207.35</v>
          </cell>
          <cell r="AH1346">
            <v>207.35</v>
          </cell>
        </row>
        <row r="1347">
          <cell r="AE1347" t="str">
            <v>1700311</v>
          </cell>
          <cell r="AF1347">
            <v>380.75</v>
          </cell>
          <cell r="AG1347">
            <v>207.35</v>
          </cell>
          <cell r="AH1347">
            <v>207.35</v>
          </cell>
        </row>
        <row r="1348">
          <cell r="AE1348" t="str">
            <v>1700500</v>
          </cell>
          <cell r="AF1348">
            <v>380.75</v>
          </cell>
          <cell r="AG1348">
            <v>207.35</v>
          </cell>
          <cell r="AH1348">
            <v>207.35</v>
          </cell>
        </row>
        <row r="1349">
          <cell r="AE1349" t="str">
            <v>1700501</v>
          </cell>
          <cell r="AF1349">
            <v>380.75</v>
          </cell>
          <cell r="AG1349">
            <v>207.35</v>
          </cell>
          <cell r="AH1349">
            <v>207.35</v>
          </cell>
        </row>
        <row r="1350">
          <cell r="AE1350" t="str">
            <v>1700503</v>
          </cell>
          <cell r="AF1350">
            <v>380.75</v>
          </cell>
          <cell r="AG1350">
            <v>207.35</v>
          </cell>
          <cell r="AH1350">
            <v>207.35</v>
          </cell>
        </row>
        <row r="1351">
          <cell r="AE1351" t="str">
            <v>1700504</v>
          </cell>
          <cell r="AF1351">
            <v>380.75</v>
          </cell>
          <cell r="AG1351">
            <v>207.35</v>
          </cell>
          <cell r="AH1351">
            <v>207.35</v>
          </cell>
        </row>
        <row r="1352">
          <cell r="AE1352" t="str">
            <v>1700506</v>
          </cell>
          <cell r="AF1352">
            <v>380.75</v>
          </cell>
          <cell r="AG1352">
            <v>207.35</v>
          </cell>
          <cell r="AH1352">
            <v>207.35</v>
          </cell>
        </row>
        <row r="1353">
          <cell r="AE1353" t="str">
            <v>6175KZ3</v>
          </cell>
          <cell r="AF1353">
            <v>455.20999999999981</v>
          </cell>
          <cell r="AG1353">
            <v>172.5</v>
          </cell>
          <cell r="AH1353">
            <v>172.5</v>
          </cell>
        </row>
        <row r="1354">
          <cell r="AE1354" t="str">
            <v>6175KZ6</v>
          </cell>
          <cell r="AF1354">
            <v>455.20999999999981</v>
          </cell>
          <cell r="AG1354">
            <v>172.5</v>
          </cell>
          <cell r="AH1354">
            <v>172.5</v>
          </cell>
        </row>
        <row r="1355">
          <cell r="AE1355" t="str">
            <v>6175KZG</v>
          </cell>
          <cell r="AF1355">
            <v>455.20999999999981</v>
          </cell>
          <cell r="AG1355">
            <v>172.5</v>
          </cell>
          <cell r="AH1355">
            <v>172.5</v>
          </cell>
        </row>
        <row r="1356">
          <cell r="AE1356" t="str">
            <v>6238KTH</v>
          </cell>
          <cell r="AF1356">
            <v>864.75</v>
          </cell>
          <cell r="AG1356">
            <v>172.5</v>
          </cell>
          <cell r="AH1356">
            <v>172.5</v>
          </cell>
        </row>
        <row r="1357">
          <cell r="AE1357" t="str">
            <v>6238KTJ</v>
          </cell>
          <cell r="AF1357">
            <v>864.75</v>
          </cell>
          <cell r="AG1357">
            <v>172.5</v>
          </cell>
          <cell r="AH1357">
            <v>172.5</v>
          </cell>
        </row>
        <row r="1358">
          <cell r="AE1358" t="str">
            <v>6238KTK?</v>
          </cell>
          <cell r="AF1358">
            <v>1010.1699999999996</v>
          </cell>
          <cell r="AG1358">
            <v>172.5</v>
          </cell>
          <cell r="AH1358">
            <v>172.5</v>
          </cell>
        </row>
        <row r="1359">
          <cell r="AE1359" t="str">
            <v>6238KTL</v>
          </cell>
          <cell r="AF1359">
            <v>864.75</v>
          </cell>
          <cell r="AG1359">
            <v>172.5</v>
          </cell>
          <cell r="AH1359">
            <v>172.5</v>
          </cell>
        </row>
        <row r="1360">
          <cell r="AE1360" t="str">
            <v>6238KTM</v>
          </cell>
          <cell r="AF1360">
            <v>1010.1700000000001</v>
          </cell>
          <cell r="AG1360">
            <v>172.5</v>
          </cell>
          <cell r="AH1360">
            <v>172.5</v>
          </cell>
        </row>
        <row r="1361">
          <cell r="AE1361" t="str">
            <v>6238KTN</v>
          </cell>
          <cell r="AF1361">
            <v>389.07000000000016</v>
          </cell>
          <cell r="AG1361">
            <v>147.44</v>
          </cell>
          <cell r="AH1361">
            <v>147.44</v>
          </cell>
        </row>
        <row r="1362">
          <cell r="AE1362" t="str">
            <v>6238KTN?</v>
          </cell>
          <cell r="AF1362">
            <v>455.19999999999982</v>
          </cell>
          <cell r="AG1362">
            <v>172.5</v>
          </cell>
          <cell r="AH1362">
            <v>172.5</v>
          </cell>
        </row>
        <row r="1363">
          <cell r="AE1363" t="str">
            <v>62834F0</v>
          </cell>
          <cell r="AF1363">
            <v>385.57999999999993</v>
          </cell>
          <cell r="AG1363">
            <v>172.5</v>
          </cell>
          <cell r="AH1363">
            <v>172.5</v>
          </cell>
        </row>
        <row r="1364">
          <cell r="AE1364" t="str">
            <v>62834FQ</v>
          </cell>
          <cell r="AF1364">
            <v>385.57999999999993</v>
          </cell>
          <cell r="AG1364">
            <v>172.5</v>
          </cell>
          <cell r="AH1364">
            <v>172.5</v>
          </cell>
        </row>
        <row r="1365">
          <cell r="AE1365" t="str">
            <v>62834FT</v>
          </cell>
          <cell r="AF1365">
            <v>385.57999999999993</v>
          </cell>
          <cell r="AG1365">
            <v>172.5</v>
          </cell>
          <cell r="AH1365">
            <v>172.5</v>
          </cell>
        </row>
        <row r="1366">
          <cell r="AE1366" t="str">
            <v>62834FV</v>
          </cell>
          <cell r="AF1366">
            <v>385.57999999999993</v>
          </cell>
          <cell r="AG1366">
            <v>172.5</v>
          </cell>
          <cell r="AH1366">
            <v>172.5</v>
          </cell>
        </row>
        <row r="1367">
          <cell r="AE1367" t="str">
            <v>62834FY</v>
          </cell>
          <cell r="AF1367">
            <v>385.56999999999994</v>
          </cell>
          <cell r="AG1367">
            <v>172.5</v>
          </cell>
          <cell r="AH1367">
            <v>172.5</v>
          </cell>
        </row>
        <row r="1368">
          <cell r="AE1368" t="str">
            <v>62834FZ</v>
          </cell>
          <cell r="AF1368">
            <v>385.57999999999993</v>
          </cell>
          <cell r="AG1368">
            <v>172.5</v>
          </cell>
          <cell r="AH1368">
            <v>172.5</v>
          </cell>
        </row>
        <row r="1369">
          <cell r="AE1369" t="str">
            <v>62834G1</v>
          </cell>
          <cell r="AF1369">
            <v>385.57999999999993</v>
          </cell>
          <cell r="AG1369">
            <v>172.5</v>
          </cell>
          <cell r="AH1369">
            <v>172.5</v>
          </cell>
        </row>
        <row r="1370">
          <cell r="AE1370" t="str">
            <v>6448TQH</v>
          </cell>
          <cell r="AF1370">
            <v>380.75</v>
          </cell>
          <cell r="AG1370">
            <v>207.35</v>
          </cell>
          <cell r="AH1370">
            <v>207.35</v>
          </cell>
        </row>
        <row r="1371">
          <cell r="AE1371" t="str">
            <v>6448TQK</v>
          </cell>
          <cell r="AF1371">
            <v>380.75</v>
          </cell>
          <cell r="AG1371">
            <v>207.35</v>
          </cell>
          <cell r="AH1371">
            <v>207.35</v>
          </cell>
        </row>
        <row r="1372">
          <cell r="AE1372" t="str">
            <v>6448TQM</v>
          </cell>
          <cell r="AF1372">
            <v>380.75</v>
          </cell>
          <cell r="AG1372">
            <v>207.35</v>
          </cell>
          <cell r="AH1372">
            <v>207.35</v>
          </cell>
        </row>
        <row r="1373">
          <cell r="AE1373" t="str">
            <v>6448TQP</v>
          </cell>
          <cell r="AF1373">
            <v>380.75</v>
          </cell>
          <cell r="AG1373">
            <v>207.35</v>
          </cell>
          <cell r="AH1373">
            <v>207.35</v>
          </cell>
        </row>
        <row r="1374">
          <cell r="AE1374" t="str">
            <v>6448TQT</v>
          </cell>
          <cell r="AF1374">
            <v>380.75</v>
          </cell>
          <cell r="AG1374">
            <v>207.35</v>
          </cell>
          <cell r="AH1374">
            <v>207.35</v>
          </cell>
        </row>
        <row r="1375">
          <cell r="AE1375" t="str">
            <v>6448TQV</v>
          </cell>
          <cell r="AF1375">
            <v>380.75</v>
          </cell>
          <cell r="AG1375">
            <v>207.35</v>
          </cell>
          <cell r="AH1375">
            <v>207.35</v>
          </cell>
        </row>
        <row r="1376">
          <cell r="AE1376" t="str">
            <v>6448TQW</v>
          </cell>
          <cell r="AF1376">
            <v>380.75</v>
          </cell>
          <cell r="AG1376">
            <v>207.35</v>
          </cell>
          <cell r="AH1376">
            <v>207.35</v>
          </cell>
        </row>
        <row r="1377">
          <cell r="AE1377" t="str">
            <v>6448TQX</v>
          </cell>
          <cell r="AF1377">
            <v>380.75</v>
          </cell>
          <cell r="AG1377">
            <v>207.35</v>
          </cell>
          <cell r="AH1377">
            <v>207.35</v>
          </cell>
        </row>
        <row r="1378">
          <cell r="AE1378" t="str">
            <v>6448TQY</v>
          </cell>
          <cell r="AF1378">
            <v>380.75</v>
          </cell>
          <cell r="AG1378">
            <v>207.35</v>
          </cell>
          <cell r="AH1378">
            <v>207.35</v>
          </cell>
        </row>
        <row r="1379">
          <cell r="AE1379" t="str">
            <v>6448TQZ</v>
          </cell>
          <cell r="AF1379">
            <v>380.75</v>
          </cell>
          <cell r="AG1379">
            <v>207.35</v>
          </cell>
          <cell r="AH1379">
            <v>207.35</v>
          </cell>
        </row>
        <row r="1380">
          <cell r="AE1380" t="str">
            <v>6448TR0</v>
          </cell>
          <cell r="AF1380">
            <v>380.75</v>
          </cell>
          <cell r="AG1380">
            <v>207.35</v>
          </cell>
          <cell r="AH1380">
            <v>207.35</v>
          </cell>
        </row>
        <row r="1381">
          <cell r="AE1381" t="str">
            <v>6448TR1</v>
          </cell>
          <cell r="AF1381">
            <v>380.75</v>
          </cell>
          <cell r="AG1381">
            <v>207.35</v>
          </cell>
          <cell r="AH1381">
            <v>207.35</v>
          </cell>
        </row>
        <row r="1382">
          <cell r="AE1382" t="str">
            <v>6448TR2</v>
          </cell>
          <cell r="AF1382">
            <v>380.75</v>
          </cell>
          <cell r="AG1382">
            <v>207.35</v>
          </cell>
          <cell r="AH1382">
            <v>207.35</v>
          </cell>
        </row>
        <row r="1383">
          <cell r="AE1383" t="str">
            <v>6448TR3</v>
          </cell>
          <cell r="AF1383">
            <v>380.75</v>
          </cell>
          <cell r="AG1383">
            <v>207.35</v>
          </cell>
          <cell r="AH1383">
            <v>207.35</v>
          </cell>
        </row>
        <row r="1384">
          <cell r="AE1384" t="str">
            <v>6448TR4</v>
          </cell>
          <cell r="AF1384">
            <v>380.75</v>
          </cell>
          <cell r="AG1384">
            <v>207.35</v>
          </cell>
          <cell r="AH1384">
            <v>207.35</v>
          </cell>
        </row>
        <row r="1385">
          <cell r="AE1385" t="str">
            <v>6448TR5</v>
          </cell>
          <cell r="AF1385">
            <v>380.75</v>
          </cell>
          <cell r="AG1385">
            <v>207.35</v>
          </cell>
          <cell r="AH1385">
            <v>207.35</v>
          </cell>
        </row>
        <row r="1386">
          <cell r="AE1386" t="str">
            <v>6448TR6</v>
          </cell>
          <cell r="AF1386">
            <v>380.75</v>
          </cell>
          <cell r="AG1386">
            <v>207.35</v>
          </cell>
          <cell r="AH1386">
            <v>207.35</v>
          </cell>
        </row>
        <row r="1387">
          <cell r="AE1387" t="str">
            <v>6448TR7</v>
          </cell>
          <cell r="AF1387">
            <v>380.75</v>
          </cell>
          <cell r="AG1387">
            <v>207.35</v>
          </cell>
          <cell r="AH1387">
            <v>207.35</v>
          </cell>
        </row>
        <row r="1388">
          <cell r="AE1388" t="str">
            <v>6448TR8</v>
          </cell>
          <cell r="AF1388">
            <v>380.75</v>
          </cell>
          <cell r="AG1388">
            <v>207.35</v>
          </cell>
          <cell r="AH1388">
            <v>207.35</v>
          </cell>
        </row>
        <row r="1389">
          <cell r="AE1389" t="str">
            <v>6448TR9</v>
          </cell>
          <cell r="AF1389">
            <v>380.75</v>
          </cell>
          <cell r="AG1389">
            <v>207.35</v>
          </cell>
          <cell r="AH1389">
            <v>207.35</v>
          </cell>
        </row>
        <row r="1390">
          <cell r="AE1390" t="str">
            <v>6448TRB</v>
          </cell>
          <cell r="AF1390">
            <v>380.75</v>
          </cell>
          <cell r="AG1390">
            <v>207.35</v>
          </cell>
          <cell r="AH1390">
            <v>207.35</v>
          </cell>
        </row>
        <row r="1391">
          <cell r="AE1391" t="str">
            <v>6448TRD</v>
          </cell>
          <cell r="AF1391">
            <v>380.75</v>
          </cell>
          <cell r="AG1391">
            <v>207.35</v>
          </cell>
          <cell r="AH1391">
            <v>207.35</v>
          </cell>
        </row>
        <row r="1392">
          <cell r="AE1392" t="str">
            <v>6448TRF</v>
          </cell>
          <cell r="AF1392">
            <v>380.75</v>
          </cell>
          <cell r="AG1392">
            <v>207.35</v>
          </cell>
          <cell r="AH1392">
            <v>207.35</v>
          </cell>
        </row>
        <row r="1393">
          <cell r="AE1393" t="str">
            <v>6448TRG</v>
          </cell>
          <cell r="AF1393">
            <v>380.75</v>
          </cell>
          <cell r="AG1393">
            <v>207.35</v>
          </cell>
          <cell r="AH1393">
            <v>207.35</v>
          </cell>
        </row>
        <row r="1394">
          <cell r="AE1394" t="str">
            <v>6448TRH</v>
          </cell>
          <cell r="AF1394">
            <v>380.75</v>
          </cell>
          <cell r="AG1394">
            <v>207.35</v>
          </cell>
          <cell r="AH1394">
            <v>207.35</v>
          </cell>
        </row>
        <row r="1395">
          <cell r="AE1395" t="str">
            <v>6448TRJ</v>
          </cell>
          <cell r="AF1395">
            <v>380.75</v>
          </cell>
          <cell r="AG1395">
            <v>207.35</v>
          </cell>
          <cell r="AH1395">
            <v>207.35</v>
          </cell>
        </row>
        <row r="1396">
          <cell r="AE1396" t="str">
            <v>6448TRK</v>
          </cell>
          <cell r="AF1396">
            <v>380.75</v>
          </cell>
          <cell r="AG1396">
            <v>207.35</v>
          </cell>
          <cell r="AH1396">
            <v>207.35</v>
          </cell>
        </row>
        <row r="1397">
          <cell r="AE1397" t="str">
            <v>6448TRL</v>
          </cell>
          <cell r="AF1397">
            <v>380.75</v>
          </cell>
          <cell r="AG1397">
            <v>207.35</v>
          </cell>
          <cell r="AH1397">
            <v>207.35</v>
          </cell>
        </row>
        <row r="1398">
          <cell r="AE1398" t="str">
            <v>6448TRM</v>
          </cell>
          <cell r="AF1398">
            <v>380.75</v>
          </cell>
          <cell r="AG1398">
            <v>207.35</v>
          </cell>
          <cell r="AH1398">
            <v>207.35</v>
          </cell>
        </row>
        <row r="1399">
          <cell r="AE1399" t="str">
            <v>6448TRN</v>
          </cell>
          <cell r="AF1399">
            <v>380.75</v>
          </cell>
          <cell r="AG1399">
            <v>207.35</v>
          </cell>
          <cell r="AH1399">
            <v>207.35</v>
          </cell>
        </row>
        <row r="1400">
          <cell r="AE1400" t="str">
            <v>6448TRP</v>
          </cell>
          <cell r="AF1400">
            <v>380.75</v>
          </cell>
          <cell r="AG1400">
            <v>207.35</v>
          </cell>
          <cell r="AH1400">
            <v>207.35</v>
          </cell>
        </row>
        <row r="1401">
          <cell r="AE1401" t="str">
            <v>6448TRR</v>
          </cell>
          <cell r="AF1401">
            <v>380.75</v>
          </cell>
          <cell r="AG1401">
            <v>207.35</v>
          </cell>
          <cell r="AH1401">
            <v>207.35</v>
          </cell>
        </row>
        <row r="1402">
          <cell r="AE1402" t="str">
            <v>6448TRS</v>
          </cell>
          <cell r="AF1402">
            <v>380.75</v>
          </cell>
          <cell r="AG1402">
            <v>207.35</v>
          </cell>
          <cell r="AH1402">
            <v>207.35</v>
          </cell>
        </row>
        <row r="1403">
          <cell r="AE1403" t="str">
            <v>6448TRT</v>
          </cell>
          <cell r="AF1403">
            <v>380.75</v>
          </cell>
          <cell r="AG1403">
            <v>207.35</v>
          </cell>
          <cell r="AH1403">
            <v>207.35</v>
          </cell>
        </row>
        <row r="1404">
          <cell r="AE1404" t="str">
            <v>6448TRV</v>
          </cell>
          <cell r="AF1404">
            <v>380.75</v>
          </cell>
          <cell r="AG1404">
            <v>207.35</v>
          </cell>
          <cell r="AH1404">
            <v>207.35</v>
          </cell>
        </row>
        <row r="1405">
          <cell r="AE1405" t="str">
            <v>6448TRW</v>
          </cell>
          <cell r="AF1405">
            <v>380.75</v>
          </cell>
          <cell r="AG1405">
            <v>207.35</v>
          </cell>
          <cell r="AH1405">
            <v>207.35</v>
          </cell>
        </row>
        <row r="1406">
          <cell r="AE1406" t="str">
            <v>6448TRX</v>
          </cell>
          <cell r="AF1406">
            <v>380.75</v>
          </cell>
          <cell r="AG1406">
            <v>207.35</v>
          </cell>
          <cell r="AH1406">
            <v>207.35</v>
          </cell>
        </row>
        <row r="1407">
          <cell r="AE1407" t="str">
            <v>6448TRY</v>
          </cell>
          <cell r="AF1407">
            <v>380.75</v>
          </cell>
          <cell r="AG1407">
            <v>207.35</v>
          </cell>
          <cell r="AH1407">
            <v>207.35</v>
          </cell>
        </row>
        <row r="1408">
          <cell r="AE1408" t="str">
            <v>6448TRZ</v>
          </cell>
          <cell r="AF1408">
            <v>380.75</v>
          </cell>
          <cell r="AG1408">
            <v>207.35</v>
          </cell>
          <cell r="AH1408">
            <v>207.35</v>
          </cell>
        </row>
        <row r="1409">
          <cell r="AE1409" t="str">
            <v>6448TS0</v>
          </cell>
          <cell r="AF1409">
            <v>380.75</v>
          </cell>
          <cell r="AG1409">
            <v>207.35</v>
          </cell>
          <cell r="AH1409">
            <v>207.35</v>
          </cell>
        </row>
        <row r="1410">
          <cell r="AE1410" t="str">
            <v>6448TS1</v>
          </cell>
          <cell r="AF1410">
            <v>380.75</v>
          </cell>
          <cell r="AG1410">
            <v>207.35</v>
          </cell>
          <cell r="AH1410">
            <v>207.35</v>
          </cell>
        </row>
        <row r="1411">
          <cell r="AE1411" t="str">
            <v>6448TS2</v>
          </cell>
          <cell r="AF1411">
            <v>380.75</v>
          </cell>
          <cell r="AG1411">
            <v>207.35</v>
          </cell>
          <cell r="AH1411">
            <v>207.35</v>
          </cell>
        </row>
        <row r="1412">
          <cell r="AE1412" t="str">
            <v>6448TS3</v>
          </cell>
          <cell r="AF1412">
            <v>380.75</v>
          </cell>
          <cell r="AG1412">
            <v>207.35</v>
          </cell>
          <cell r="AH1412">
            <v>207.35</v>
          </cell>
        </row>
        <row r="1413">
          <cell r="AE1413" t="str">
            <v>6448TS4</v>
          </cell>
          <cell r="AF1413">
            <v>380.75</v>
          </cell>
          <cell r="AG1413">
            <v>207.35</v>
          </cell>
          <cell r="AH1413">
            <v>207.35</v>
          </cell>
        </row>
        <row r="1414">
          <cell r="AE1414" t="str">
            <v>6448TS5</v>
          </cell>
          <cell r="AF1414">
            <v>380.75</v>
          </cell>
          <cell r="AG1414">
            <v>207.35</v>
          </cell>
          <cell r="AH1414">
            <v>207.35</v>
          </cell>
        </row>
        <row r="1415">
          <cell r="AE1415" t="str">
            <v>6448TS6</v>
          </cell>
          <cell r="AF1415">
            <v>380.75</v>
          </cell>
          <cell r="AG1415">
            <v>207.35</v>
          </cell>
          <cell r="AH1415">
            <v>207.35</v>
          </cell>
        </row>
        <row r="1416">
          <cell r="AE1416" t="str">
            <v>6448TS7</v>
          </cell>
          <cell r="AF1416">
            <v>380.75</v>
          </cell>
          <cell r="AG1416">
            <v>207.35</v>
          </cell>
          <cell r="AH1416">
            <v>207.35</v>
          </cell>
        </row>
        <row r="1417">
          <cell r="AE1417" t="str">
            <v>6448TS8</v>
          </cell>
          <cell r="AF1417">
            <v>380.75</v>
          </cell>
          <cell r="AG1417">
            <v>207.35</v>
          </cell>
          <cell r="AH1417">
            <v>207.35</v>
          </cell>
        </row>
        <row r="1418">
          <cell r="AE1418" t="str">
            <v>6448VMZ</v>
          </cell>
          <cell r="AF1418">
            <v>380.75</v>
          </cell>
          <cell r="AG1418">
            <v>207.35</v>
          </cell>
          <cell r="AH1418">
            <v>207.35</v>
          </cell>
        </row>
        <row r="1419">
          <cell r="AE1419" t="str">
            <v>6448VN0</v>
          </cell>
          <cell r="AF1419">
            <v>380.75</v>
          </cell>
          <cell r="AG1419">
            <v>207.35</v>
          </cell>
          <cell r="AH1419">
            <v>207.35</v>
          </cell>
        </row>
        <row r="1420">
          <cell r="AE1420" t="str">
            <v>6448VN1</v>
          </cell>
          <cell r="AF1420">
            <v>380.75</v>
          </cell>
          <cell r="AG1420">
            <v>207.35</v>
          </cell>
          <cell r="AH1420">
            <v>207.35</v>
          </cell>
        </row>
        <row r="1421">
          <cell r="AE1421" t="str">
            <v>6448VN2</v>
          </cell>
          <cell r="AF1421">
            <v>380.75</v>
          </cell>
          <cell r="AG1421">
            <v>207.35</v>
          </cell>
          <cell r="AH1421">
            <v>207.35</v>
          </cell>
        </row>
        <row r="1422">
          <cell r="AE1422" t="str">
            <v>6448VN3</v>
          </cell>
          <cell r="AF1422">
            <v>380.75</v>
          </cell>
          <cell r="AG1422">
            <v>207.35</v>
          </cell>
          <cell r="AH1422">
            <v>207.35</v>
          </cell>
        </row>
        <row r="1423">
          <cell r="AE1423" t="str">
            <v>6448VN4</v>
          </cell>
          <cell r="AF1423">
            <v>380.75</v>
          </cell>
          <cell r="AG1423">
            <v>207.35</v>
          </cell>
          <cell r="AH1423">
            <v>207.35</v>
          </cell>
        </row>
        <row r="1424">
          <cell r="AE1424" t="str">
            <v>6448VN5</v>
          </cell>
          <cell r="AF1424">
            <v>380.75</v>
          </cell>
          <cell r="AG1424">
            <v>207.35</v>
          </cell>
          <cell r="AH1424">
            <v>207.35</v>
          </cell>
        </row>
        <row r="1425">
          <cell r="AE1425" t="str">
            <v>6448VN6</v>
          </cell>
          <cell r="AF1425">
            <v>380.75</v>
          </cell>
          <cell r="AG1425">
            <v>207.35</v>
          </cell>
          <cell r="AH1425">
            <v>207.35</v>
          </cell>
        </row>
        <row r="1426">
          <cell r="AE1426" t="str">
            <v>6448VN7</v>
          </cell>
          <cell r="AF1426">
            <v>380.75</v>
          </cell>
          <cell r="AG1426">
            <v>207.35</v>
          </cell>
          <cell r="AH1426">
            <v>207.35</v>
          </cell>
        </row>
        <row r="1427">
          <cell r="AE1427" t="str">
            <v>6448VN8</v>
          </cell>
          <cell r="AF1427">
            <v>380.75</v>
          </cell>
          <cell r="AG1427">
            <v>207.35</v>
          </cell>
          <cell r="AH1427">
            <v>207.35</v>
          </cell>
        </row>
        <row r="1428">
          <cell r="AE1428" t="str">
            <v>6448VNC</v>
          </cell>
          <cell r="AF1428">
            <v>380.75</v>
          </cell>
          <cell r="AG1428">
            <v>207.35</v>
          </cell>
          <cell r="AH1428">
            <v>207.35</v>
          </cell>
        </row>
        <row r="1429">
          <cell r="AE1429" t="str">
            <v>6448VND</v>
          </cell>
          <cell r="AF1429">
            <v>380.75</v>
          </cell>
          <cell r="AG1429">
            <v>207.35</v>
          </cell>
          <cell r="AH1429">
            <v>207.35</v>
          </cell>
        </row>
        <row r="1430">
          <cell r="AE1430" t="str">
            <v>6448VNF</v>
          </cell>
          <cell r="AF1430">
            <v>380.75</v>
          </cell>
          <cell r="AG1430">
            <v>207.35</v>
          </cell>
          <cell r="AH1430">
            <v>207.35</v>
          </cell>
        </row>
        <row r="1431">
          <cell r="AE1431" t="str">
            <v>6448VNG</v>
          </cell>
          <cell r="AF1431">
            <v>380.75</v>
          </cell>
          <cell r="AG1431">
            <v>207.35</v>
          </cell>
          <cell r="AH1431">
            <v>207.35</v>
          </cell>
        </row>
        <row r="1432">
          <cell r="AE1432" t="str">
            <v>6448VNH</v>
          </cell>
          <cell r="AF1432">
            <v>380.75</v>
          </cell>
          <cell r="AG1432">
            <v>207.35</v>
          </cell>
          <cell r="AH1432">
            <v>207.35</v>
          </cell>
        </row>
        <row r="1433">
          <cell r="AE1433" t="str">
            <v>6448VNJ</v>
          </cell>
          <cell r="AF1433">
            <v>380.75</v>
          </cell>
          <cell r="AG1433">
            <v>207.35</v>
          </cell>
          <cell r="AH1433">
            <v>207.35</v>
          </cell>
        </row>
        <row r="1434">
          <cell r="AE1434" t="str">
            <v>6448VNL</v>
          </cell>
          <cell r="AF1434">
            <v>380.75</v>
          </cell>
          <cell r="AG1434">
            <v>207.35</v>
          </cell>
          <cell r="AH1434">
            <v>207.35</v>
          </cell>
        </row>
        <row r="1435">
          <cell r="AE1435" t="str">
            <v>6448VNM</v>
          </cell>
          <cell r="AF1435">
            <v>380.75</v>
          </cell>
          <cell r="AG1435">
            <v>207.35</v>
          </cell>
          <cell r="AH1435">
            <v>207.35</v>
          </cell>
        </row>
        <row r="1436">
          <cell r="AE1436" t="str">
            <v>6448VNN</v>
          </cell>
          <cell r="AF1436">
            <v>380.75</v>
          </cell>
          <cell r="AG1436">
            <v>207.35</v>
          </cell>
          <cell r="AH1436">
            <v>207.35</v>
          </cell>
        </row>
        <row r="1437">
          <cell r="AE1437" t="str">
            <v>6448VNP</v>
          </cell>
          <cell r="AF1437">
            <v>380.75</v>
          </cell>
          <cell r="AG1437">
            <v>207.35</v>
          </cell>
          <cell r="AH1437">
            <v>207.35</v>
          </cell>
        </row>
        <row r="1438">
          <cell r="AE1438" t="str">
            <v>6448VNQ</v>
          </cell>
          <cell r="AF1438">
            <v>380.75</v>
          </cell>
          <cell r="AG1438">
            <v>207.35</v>
          </cell>
          <cell r="AH1438">
            <v>207.35</v>
          </cell>
        </row>
        <row r="1439">
          <cell r="AE1439" t="str">
            <v>6448VNR</v>
          </cell>
          <cell r="AF1439">
            <v>380.75</v>
          </cell>
          <cell r="AG1439">
            <v>207.35</v>
          </cell>
          <cell r="AH1439">
            <v>207.35</v>
          </cell>
        </row>
        <row r="1440">
          <cell r="AE1440" t="str">
            <v>6448VNS</v>
          </cell>
          <cell r="AF1440">
            <v>380.75</v>
          </cell>
          <cell r="AG1440">
            <v>207.35</v>
          </cell>
          <cell r="AH1440">
            <v>207.35</v>
          </cell>
        </row>
        <row r="1441">
          <cell r="AE1441" t="str">
            <v>6448VNT</v>
          </cell>
          <cell r="AF1441">
            <v>380.75</v>
          </cell>
          <cell r="AG1441">
            <v>207.35</v>
          </cell>
          <cell r="AH1441">
            <v>207.35</v>
          </cell>
        </row>
        <row r="1442">
          <cell r="AE1442" t="str">
            <v>6448VNW</v>
          </cell>
          <cell r="AF1442">
            <v>380.75</v>
          </cell>
          <cell r="AG1442">
            <v>207.35</v>
          </cell>
          <cell r="AH1442">
            <v>207.35</v>
          </cell>
        </row>
        <row r="1443">
          <cell r="AE1443" t="str">
            <v>6448VNX</v>
          </cell>
          <cell r="AF1443">
            <v>380.75</v>
          </cell>
          <cell r="AG1443">
            <v>207.35</v>
          </cell>
          <cell r="AH1443">
            <v>207.35</v>
          </cell>
        </row>
        <row r="1444">
          <cell r="AE1444" t="str">
            <v>6448VNY</v>
          </cell>
          <cell r="AF1444">
            <v>380.75</v>
          </cell>
          <cell r="AG1444">
            <v>207.35</v>
          </cell>
          <cell r="AH1444">
            <v>207.35</v>
          </cell>
        </row>
        <row r="1445">
          <cell r="AE1445" t="str">
            <v>6448VNZ</v>
          </cell>
          <cell r="AF1445">
            <v>380.75</v>
          </cell>
          <cell r="AG1445">
            <v>207.35</v>
          </cell>
          <cell r="AH1445">
            <v>207.35</v>
          </cell>
        </row>
        <row r="1446">
          <cell r="AE1446" t="str">
            <v>6448VP1</v>
          </cell>
          <cell r="AF1446">
            <v>380.75</v>
          </cell>
          <cell r="AG1446">
            <v>207.35</v>
          </cell>
          <cell r="AH1446">
            <v>207.35</v>
          </cell>
        </row>
        <row r="1447">
          <cell r="AE1447" t="str">
            <v>6448VP3</v>
          </cell>
          <cell r="AF1447">
            <v>380.75</v>
          </cell>
          <cell r="AG1447">
            <v>207.35</v>
          </cell>
          <cell r="AH1447">
            <v>207.35</v>
          </cell>
        </row>
        <row r="1448">
          <cell r="AE1448" t="str">
            <v>6448VP4</v>
          </cell>
          <cell r="AF1448">
            <v>380.75</v>
          </cell>
          <cell r="AG1448">
            <v>207.35</v>
          </cell>
          <cell r="AH1448">
            <v>207.35</v>
          </cell>
        </row>
        <row r="1449">
          <cell r="AE1449" t="str">
            <v>6448VP5</v>
          </cell>
          <cell r="AF1449">
            <v>380.75</v>
          </cell>
          <cell r="AG1449">
            <v>207.35</v>
          </cell>
          <cell r="AH1449">
            <v>207.35</v>
          </cell>
        </row>
        <row r="1450">
          <cell r="AE1450" t="str">
            <v>6448VP6</v>
          </cell>
          <cell r="AF1450">
            <v>380.75</v>
          </cell>
          <cell r="AG1450">
            <v>207.35</v>
          </cell>
          <cell r="AH1450">
            <v>207.35</v>
          </cell>
        </row>
        <row r="1451">
          <cell r="AE1451" t="str">
            <v>6448VP7</v>
          </cell>
          <cell r="AF1451">
            <v>380.75</v>
          </cell>
          <cell r="AG1451">
            <v>207.35</v>
          </cell>
          <cell r="AH1451">
            <v>207.35</v>
          </cell>
        </row>
        <row r="1452">
          <cell r="AE1452" t="str">
            <v>6448VP8</v>
          </cell>
          <cell r="AF1452">
            <v>380.75</v>
          </cell>
          <cell r="AG1452">
            <v>207.35</v>
          </cell>
          <cell r="AH1452">
            <v>207.35</v>
          </cell>
        </row>
        <row r="1453">
          <cell r="AE1453" t="str">
            <v>6448VP9</v>
          </cell>
          <cell r="AF1453">
            <v>380.75</v>
          </cell>
          <cell r="AG1453">
            <v>207.35</v>
          </cell>
          <cell r="AH1453">
            <v>207.35</v>
          </cell>
        </row>
        <row r="1454">
          <cell r="AE1454" t="str">
            <v>6448VPB</v>
          </cell>
          <cell r="AF1454">
            <v>380.75</v>
          </cell>
          <cell r="AG1454">
            <v>207.35</v>
          </cell>
          <cell r="AH1454">
            <v>207.35</v>
          </cell>
        </row>
        <row r="1455">
          <cell r="AE1455" t="str">
            <v>6448VPC</v>
          </cell>
          <cell r="AF1455">
            <v>380.75</v>
          </cell>
          <cell r="AG1455">
            <v>207.35</v>
          </cell>
          <cell r="AH1455">
            <v>207.35</v>
          </cell>
        </row>
        <row r="1456">
          <cell r="AE1456" t="str">
            <v>6448VPD</v>
          </cell>
          <cell r="AF1456">
            <v>380.75</v>
          </cell>
          <cell r="AG1456">
            <v>207.35</v>
          </cell>
          <cell r="AH1456">
            <v>207.35</v>
          </cell>
        </row>
        <row r="1457">
          <cell r="AE1457" t="str">
            <v>6448VPF</v>
          </cell>
          <cell r="AF1457">
            <v>380.75</v>
          </cell>
          <cell r="AG1457">
            <v>207.35</v>
          </cell>
          <cell r="AH1457">
            <v>207.35</v>
          </cell>
        </row>
        <row r="1458">
          <cell r="AE1458" t="str">
            <v>6448VPG</v>
          </cell>
          <cell r="AF1458">
            <v>380.75</v>
          </cell>
          <cell r="AG1458">
            <v>207.35</v>
          </cell>
          <cell r="AH1458">
            <v>207.35</v>
          </cell>
        </row>
        <row r="1459">
          <cell r="AE1459" t="str">
            <v>6448VPH</v>
          </cell>
          <cell r="AF1459">
            <v>380.75</v>
          </cell>
          <cell r="AG1459">
            <v>207.35</v>
          </cell>
          <cell r="AH1459">
            <v>207.35</v>
          </cell>
        </row>
        <row r="1460">
          <cell r="AE1460" t="str">
            <v>6448VPJ</v>
          </cell>
          <cell r="AF1460">
            <v>380.75</v>
          </cell>
          <cell r="AG1460">
            <v>207.35</v>
          </cell>
          <cell r="AH1460">
            <v>207.35</v>
          </cell>
        </row>
        <row r="1461">
          <cell r="AE1461" t="str">
            <v>6448VPK</v>
          </cell>
          <cell r="AF1461">
            <v>380.75</v>
          </cell>
          <cell r="AG1461">
            <v>207.35</v>
          </cell>
          <cell r="AH1461">
            <v>207.35</v>
          </cell>
        </row>
        <row r="1462">
          <cell r="AE1462" t="str">
            <v>6448VPL</v>
          </cell>
          <cell r="AF1462">
            <v>380.75</v>
          </cell>
          <cell r="AG1462">
            <v>207.35</v>
          </cell>
          <cell r="AH1462">
            <v>207.35</v>
          </cell>
        </row>
        <row r="1463">
          <cell r="AE1463" t="str">
            <v>6448VPN</v>
          </cell>
          <cell r="AF1463">
            <v>380.75</v>
          </cell>
          <cell r="AG1463">
            <v>207.35</v>
          </cell>
          <cell r="AH1463">
            <v>207.35</v>
          </cell>
        </row>
        <row r="1464">
          <cell r="AE1464" t="str">
            <v>6448VPP</v>
          </cell>
          <cell r="AF1464">
            <v>380.75</v>
          </cell>
          <cell r="AG1464">
            <v>207.35</v>
          </cell>
          <cell r="AH1464">
            <v>207.35</v>
          </cell>
        </row>
        <row r="1465">
          <cell r="AE1465" t="str">
            <v>6448VPS</v>
          </cell>
          <cell r="AF1465">
            <v>380.75</v>
          </cell>
          <cell r="AG1465">
            <v>207.35</v>
          </cell>
          <cell r="AH1465">
            <v>207.35</v>
          </cell>
        </row>
        <row r="1466">
          <cell r="AE1466" t="str">
            <v>6448VPT</v>
          </cell>
          <cell r="AF1466">
            <v>380.75</v>
          </cell>
          <cell r="AG1466">
            <v>207.35</v>
          </cell>
          <cell r="AH1466">
            <v>207.35</v>
          </cell>
        </row>
        <row r="1467">
          <cell r="AE1467" t="str">
            <v>6448VPV</v>
          </cell>
          <cell r="AF1467">
            <v>380.75</v>
          </cell>
          <cell r="AG1467">
            <v>207.35</v>
          </cell>
          <cell r="AH1467">
            <v>207.35</v>
          </cell>
        </row>
        <row r="1468">
          <cell r="AE1468" t="str">
            <v>6448VPX</v>
          </cell>
          <cell r="AF1468">
            <v>380.75</v>
          </cell>
          <cell r="AG1468">
            <v>207.35</v>
          </cell>
          <cell r="AH1468">
            <v>207.35</v>
          </cell>
        </row>
        <row r="1469">
          <cell r="AE1469" t="str">
            <v>6448VPY</v>
          </cell>
          <cell r="AF1469">
            <v>380.75</v>
          </cell>
          <cell r="AG1469">
            <v>207.35</v>
          </cell>
          <cell r="AH1469">
            <v>207.35</v>
          </cell>
        </row>
        <row r="1470">
          <cell r="AE1470" t="str">
            <v>6448VQ1</v>
          </cell>
          <cell r="AF1470">
            <v>380.75</v>
          </cell>
          <cell r="AG1470">
            <v>207.35</v>
          </cell>
          <cell r="AH1470">
            <v>207.35</v>
          </cell>
        </row>
        <row r="1471">
          <cell r="AE1471" t="str">
            <v>6448VQ2</v>
          </cell>
          <cell r="AF1471">
            <v>380.75</v>
          </cell>
          <cell r="AG1471">
            <v>207.35</v>
          </cell>
          <cell r="AH1471">
            <v>207.35</v>
          </cell>
        </row>
        <row r="1472">
          <cell r="AE1472" t="str">
            <v>6448VQ3</v>
          </cell>
          <cell r="AF1472">
            <v>380.75</v>
          </cell>
          <cell r="AG1472">
            <v>207.35</v>
          </cell>
          <cell r="AH1472">
            <v>207.35</v>
          </cell>
        </row>
        <row r="1473">
          <cell r="AE1473" t="str">
            <v>6448VQ4</v>
          </cell>
          <cell r="AF1473">
            <v>380.75</v>
          </cell>
          <cell r="AG1473">
            <v>207.35</v>
          </cell>
          <cell r="AH1473">
            <v>207.35</v>
          </cell>
        </row>
        <row r="1474">
          <cell r="AE1474" t="str">
            <v>6448VQ5</v>
          </cell>
          <cell r="AF1474">
            <v>380.75</v>
          </cell>
          <cell r="AG1474">
            <v>207.35</v>
          </cell>
          <cell r="AH1474">
            <v>207.35</v>
          </cell>
        </row>
        <row r="1475">
          <cell r="AE1475" t="str">
            <v>6448VQ6</v>
          </cell>
          <cell r="AF1475">
            <v>380.75</v>
          </cell>
          <cell r="AG1475">
            <v>207.35</v>
          </cell>
          <cell r="AH1475">
            <v>207.35</v>
          </cell>
        </row>
        <row r="1476">
          <cell r="AE1476" t="str">
            <v>6448VQ8</v>
          </cell>
          <cell r="AF1476">
            <v>380.75</v>
          </cell>
          <cell r="AG1476">
            <v>207.35</v>
          </cell>
          <cell r="AH1476">
            <v>207.35</v>
          </cell>
        </row>
        <row r="1477">
          <cell r="AE1477" t="str">
            <v>6448VQ9</v>
          </cell>
          <cell r="AF1477">
            <v>380.75</v>
          </cell>
          <cell r="AG1477">
            <v>207.35</v>
          </cell>
          <cell r="AH1477">
            <v>207.35</v>
          </cell>
        </row>
        <row r="1478">
          <cell r="AE1478" t="str">
            <v>6448VQB</v>
          </cell>
          <cell r="AF1478">
            <v>380.75</v>
          </cell>
          <cell r="AG1478">
            <v>207.35</v>
          </cell>
          <cell r="AH1478">
            <v>207.35</v>
          </cell>
        </row>
        <row r="1479">
          <cell r="AE1479" t="str">
            <v>6448VQC</v>
          </cell>
          <cell r="AF1479">
            <v>380.75</v>
          </cell>
          <cell r="AG1479">
            <v>207.35</v>
          </cell>
          <cell r="AH1479">
            <v>207.35</v>
          </cell>
        </row>
        <row r="1480">
          <cell r="AE1480" t="str">
            <v>6448VQD</v>
          </cell>
          <cell r="AF1480">
            <v>380.75</v>
          </cell>
          <cell r="AG1480">
            <v>207.35</v>
          </cell>
          <cell r="AH1480">
            <v>207.35</v>
          </cell>
        </row>
        <row r="1481">
          <cell r="AE1481" t="str">
            <v>6448VQH</v>
          </cell>
          <cell r="AF1481">
            <v>380.75</v>
          </cell>
          <cell r="AG1481">
            <v>207.35</v>
          </cell>
          <cell r="AH1481">
            <v>207.35</v>
          </cell>
        </row>
        <row r="1482">
          <cell r="AE1482" t="str">
            <v>6448VQJ</v>
          </cell>
          <cell r="AF1482">
            <v>380.75</v>
          </cell>
          <cell r="AG1482">
            <v>207.35</v>
          </cell>
          <cell r="AH1482">
            <v>207.35</v>
          </cell>
        </row>
        <row r="1483">
          <cell r="AE1483" t="str">
            <v>6448VQK</v>
          </cell>
          <cell r="AF1483">
            <v>380.75</v>
          </cell>
          <cell r="AG1483">
            <v>207.35</v>
          </cell>
          <cell r="AH1483">
            <v>207.35</v>
          </cell>
        </row>
        <row r="1484">
          <cell r="AE1484" t="str">
            <v>6448VQL</v>
          </cell>
          <cell r="AF1484">
            <v>380.75</v>
          </cell>
          <cell r="AG1484">
            <v>207.35</v>
          </cell>
          <cell r="AH1484">
            <v>207.35</v>
          </cell>
        </row>
        <row r="1485">
          <cell r="AE1485" t="str">
            <v>6448VQM</v>
          </cell>
          <cell r="AF1485">
            <v>0</v>
          </cell>
          <cell r="AG1485">
            <v>207.35</v>
          </cell>
          <cell r="AH1485">
            <v>207.35</v>
          </cell>
        </row>
        <row r="1486">
          <cell r="AE1486" t="str">
            <v>6448VQR</v>
          </cell>
          <cell r="AF1486">
            <v>380.75</v>
          </cell>
          <cell r="AG1486">
            <v>207.35</v>
          </cell>
          <cell r="AH1486">
            <v>207.35</v>
          </cell>
        </row>
        <row r="1487">
          <cell r="AE1487" t="str">
            <v>6448VQS</v>
          </cell>
          <cell r="AF1487">
            <v>380.75</v>
          </cell>
          <cell r="AG1487">
            <v>207.35</v>
          </cell>
          <cell r="AH1487">
            <v>207.35</v>
          </cell>
        </row>
        <row r="1488">
          <cell r="AE1488" t="str">
            <v>6448VQT</v>
          </cell>
          <cell r="AF1488">
            <v>380.75</v>
          </cell>
          <cell r="AG1488">
            <v>207.35</v>
          </cell>
          <cell r="AH1488">
            <v>207.35</v>
          </cell>
        </row>
        <row r="1489">
          <cell r="AE1489" t="str">
            <v>6448VQX</v>
          </cell>
          <cell r="AF1489">
            <v>380.75</v>
          </cell>
          <cell r="AG1489">
            <v>207.35</v>
          </cell>
          <cell r="AH1489">
            <v>207.35</v>
          </cell>
        </row>
        <row r="1490">
          <cell r="AE1490" t="str">
            <v>6448VQY</v>
          </cell>
          <cell r="AF1490">
            <v>380.75</v>
          </cell>
          <cell r="AG1490">
            <v>207.35</v>
          </cell>
          <cell r="AH1490">
            <v>207.35</v>
          </cell>
        </row>
        <row r="1491">
          <cell r="AE1491" t="str">
            <v>6448VR0</v>
          </cell>
          <cell r="AF1491">
            <v>380.75</v>
          </cell>
          <cell r="AG1491">
            <v>207.35</v>
          </cell>
          <cell r="AH1491">
            <v>207.35</v>
          </cell>
        </row>
        <row r="1492">
          <cell r="AE1492" t="str">
            <v>6448VR1</v>
          </cell>
          <cell r="AF1492">
            <v>380.75</v>
          </cell>
          <cell r="AG1492">
            <v>207.35</v>
          </cell>
          <cell r="AH1492">
            <v>207.35</v>
          </cell>
        </row>
        <row r="1493">
          <cell r="AE1493" t="str">
            <v>6448VR2</v>
          </cell>
          <cell r="AF1493">
            <v>380.75</v>
          </cell>
          <cell r="AG1493">
            <v>207.35</v>
          </cell>
          <cell r="AH1493">
            <v>207.35</v>
          </cell>
        </row>
        <row r="1494">
          <cell r="AE1494" t="str">
            <v>6448VR3</v>
          </cell>
          <cell r="AF1494">
            <v>380.75</v>
          </cell>
          <cell r="AG1494">
            <v>207.35</v>
          </cell>
          <cell r="AH1494">
            <v>207.35</v>
          </cell>
        </row>
        <row r="1495">
          <cell r="AE1495" t="str">
            <v>6448VR4</v>
          </cell>
          <cell r="AF1495">
            <v>380.75</v>
          </cell>
          <cell r="AG1495">
            <v>207.35</v>
          </cell>
          <cell r="AH1495">
            <v>207.35</v>
          </cell>
        </row>
        <row r="1496">
          <cell r="AE1496" t="str">
            <v>6448VR6</v>
          </cell>
          <cell r="AF1496">
            <v>380.75</v>
          </cell>
          <cell r="AG1496">
            <v>207.35</v>
          </cell>
          <cell r="AH1496">
            <v>207.35</v>
          </cell>
        </row>
        <row r="1497">
          <cell r="AE1497" t="str">
            <v>6448VR8</v>
          </cell>
          <cell r="AF1497">
            <v>380.75</v>
          </cell>
          <cell r="AG1497">
            <v>207.35</v>
          </cell>
          <cell r="AH1497">
            <v>207.35</v>
          </cell>
        </row>
        <row r="1498">
          <cell r="AE1498" t="str">
            <v>6448VR9</v>
          </cell>
          <cell r="AF1498">
            <v>380.75</v>
          </cell>
          <cell r="AG1498">
            <v>207.35</v>
          </cell>
          <cell r="AH1498">
            <v>207.35</v>
          </cell>
        </row>
        <row r="1499">
          <cell r="AE1499" t="str">
            <v>6448VRC</v>
          </cell>
          <cell r="AF1499">
            <v>380.75</v>
          </cell>
          <cell r="AG1499">
            <v>207.35</v>
          </cell>
          <cell r="AH1499">
            <v>207.35</v>
          </cell>
        </row>
        <row r="1500">
          <cell r="AE1500" t="str">
            <v>6448VRD</v>
          </cell>
          <cell r="AF1500">
            <v>380.75</v>
          </cell>
          <cell r="AG1500">
            <v>207.35</v>
          </cell>
          <cell r="AH1500">
            <v>207.35</v>
          </cell>
        </row>
        <row r="1501">
          <cell r="AE1501" t="str">
            <v>6448VRF</v>
          </cell>
          <cell r="AF1501">
            <v>380.75</v>
          </cell>
          <cell r="AG1501">
            <v>207.35</v>
          </cell>
          <cell r="AH1501">
            <v>207.35</v>
          </cell>
        </row>
        <row r="1502">
          <cell r="AE1502" t="str">
            <v>6448VRG</v>
          </cell>
          <cell r="AF1502">
            <v>380.75</v>
          </cell>
          <cell r="AG1502">
            <v>207.35</v>
          </cell>
          <cell r="AH1502">
            <v>207.35</v>
          </cell>
        </row>
        <row r="1503">
          <cell r="AE1503" t="str">
            <v>6448VRK</v>
          </cell>
          <cell r="AF1503">
            <v>380.75</v>
          </cell>
          <cell r="AG1503">
            <v>207.35</v>
          </cell>
          <cell r="AH1503">
            <v>207.35</v>
          </cell>
        </row>
        <row r="1504">
          <cell r="AE1504" t="str">
            <v>6448VRL</v>
          </cell>
          <cell r="AF1504">
            <v>380.75</v>
          </cell>
          <cell r="AG1504">
            <v>207.35</v>
          </cell>
          <cell r="AH1504">
            <v>207.35</v>
          </cell>
        </row>
        <row r="1505">
          <cell r="AE1505" t="str">
            <v>6448VRM</v>
          </cell>
          <cell r="AF1505">
            <v>380.75</v>
          </cell>
          <cell r="AG1505">
            <v>207.35</v>
          </cell>
          <cell r="AH1505">
            <v>207.35</v>
          </cell>
        </row>
        <row r="1506">
          <cell r="AE1506" t="str">
            <v>6448VRN</v>
          </cell>
          <cell r="AF1506">
            <v>380.75</v>
          </cell>
          <cell r="AG1506">
            <v>207.35</v>
          </cell>
          <cell r="AH1506">
            <v>207.35</v>
          </cell>
        </row>
        <row r="1507">
          <cell r="AE1507" t="str">
            <v>6448VRQ</v>
          </cell>
          <cell r="AF1507">
            <v>380.75</v>
          </cell>
          <cell r="AG1507">
            <v>207.35</v>
          </cell>
          <cell r="AH1507">
            <v>207.35</v>
          </cell>
        </row>
        <row r="1508">
          <cell r="AE1508" t="str">
            <v>6448VRT</v>
          </cell>
          <cell r="AF1508">
            <v>380.75</v>
          </cell>
          <cell r="AG1508">
            <v>207.35</v>
          </cell>
          <cell r="AH1508">
            <v>207.35</v>
          </cell>
        </row>
        <row r="1509">
          <cell r="AE1509" t="str">
            <v>6448VRW</v>
          </cell>
          <cell r="AF1509">
            <v>380.75</v>
          </cell>
          <cell r="AG1509">
            <v>207.35</v>
          </cell>
          <cell r="AH1509">
            <v>207.35</v>
          </cell>
        </row>
        <row r="1510">
          <cell r="AE1510" t="str">
            <v>6448VRX</v>
          </cell>
          <cell r="AF1510">
            <v>380.75</v>
          </cell>
          <cell r="AG1510">
            <v>207.35</v>
          </cell>
          <cell r="AH1510">
            <v>207.35</v>
          </cell>
        </row>
        <row r="1511">
          <cell r="AE1511" t="str">
            <v>6448VRY</v>
          </cell>
          <cell r="AF1511">
            <v>380.75</v>
          </cell>
          <cell r="AG1511">
            <v>207.35</v>
          </cell>
          <cell r="AH1511">
            <v>207.35</v>
          </cell>
        </row>
        <row r="1512">
          <cell r="AE1512" t="str">
            <v>6448VS1</v>
          </cell>
          <cell r="AF1512">
            <v>380.75</v>
          </cell>
          <cell r="AG1512">
            <v>207.35</v>
          </cell>
          <cell r="AH1512">
            <v>207.35</v>
          </cell>
        </row>
        <row r="1513">
          <cell r="AE1513" t="str">
            <v>6448VS2</v>
          </cell>
          <cell r="AF1513">
            <v>380.75</v>
          </cell>
          <cell r="AG1513">
            <v>207.35</v>
          </cell>
          <cell r="AH1513">
            <v>207.35</v>
          </cell>
        </row>
        <row r="1514">
          <cell r="AE1514" t="str">
            <v>6448VS4</v>
          </cell>
          <cell r="AF1514">
            <v>380.75</v>
          </cell>
          <cell r="AG1514">
            <v>207.35</v>
          </cell>
          <cell r="AH1514">
            <v>207.35</v>
          </cell>
        </row>
        <row r="1515">
          <cell r="AE1515" t="str">
            <v>6448VS5</v>
          </cell>
          <cell r="AF1515">
            <v>380.75</v>
          </cell>
          <cell r="AG1515">
            <v>207.35</v>
          </cell>
          <cell r="AH1515">
            <v>207.35</v>
          </cell>
        </row>
        <row r="1516">
          <cell r="AE1516" t="str">
            <v>6448VS7</v>
          </cell>
          <cell r="AF1516">
            <v>380.75</v>
          </cell>
          <cell r="AG1516">
            <v>207.35</v>
          </cell>
          <cell r="AH1516">
            <v>207.35</v>
          </cell>
        </row>
        <row r="1517">
          <cell r="AE1517" t="str">
            <v>6448VS9</v>
          </cell>
          <cell r="AF1517">
            <v>380.75</v>
          </cell>
          <cell r="AG1517">
            <v>207.35</v>
          </cell>
          <cell r="AH1517">
            <v>207.35</v>
          </cell>
        </row>
        <row r="1518">
          <cell r="AE1518" t="str">
            <v>6448VSB</v>
          </cell>
          <cell r="AF1518">
            <v>380.75</v>
          </cell>
          <cell r="AG1518">
            <v>207.35</v>
          </cell>
          <cell r="AH1518">
            <v>207.35</v>
          </cell>
        </row>
        <row r="1519">
          <cell r="AE1519" t="str">
            <v>6448VSC</v>
          </cell>
          <cell r="AF1519">
            <v>380.75</v>
          </cell>
          <cell r="AG1519">
            <v>207.35</v>
          </cell>
          <cell r="AH1519">
            <v>207.35</v>
          </cell>
        </row>
        <row r="1520">
          <cell r="AE1520" t="str">
            <v>6448VSF</v>
          </cell>
          <cell r="AF1520">
            <v>380.75</v>
          </cell>
          <cell r="AG1520">
            <v>207.35</v>
          </cell>
          <cell r="AH1520">
            <v>207.35</v>
          </cell>
        </row>
        <row r="1521">
          <cell r="AE1521" t="str">
            <v>6448VSG</v>
          </cell>
          <cell r="AF1521">
            <v>380.75</v>
          </cell>
          <cell r="AG1521">
            <v>207.35</v>
          </cell>
          <cell r="AH1521">
            <v>207.35</v>
          </cell>
        </row>
        <row r="1522">
          <cell r="AE1522" t="str">
            <v>6448VSH</v>
          </cell>
          <cell r="AF1522">
            <v>380.75</v>
          </cell>
          <cell r="AG1522">
            <v>207.35</v>
          </cell>
          <cell r="AH1522">
            <v>207.35</v>
          </cell>
        </row>
        <row r="1523">
          <cell r="AE1523" t="str">
            <v>6448VSJ</v>
          </cell>
          <cell r="AF1523">
            <v>380.75</v>
          </cell>
          <cell r="AG1523">
            <v>207.35</v>
          </cell>
          <cell r="AH1523">
            <v>207.35</v>
          </cell>
        </row>
        <row r="1524">
          <cell r="AE1524" t="str">
            <v>6448VSK</v>
          </cell>
          <cell r="AF1524">
            <v>380.75</v>
          </cell>
          <cell r="AG1524">
            <v>207.35</v>
          </cell>
          <cell r="AH1524">
            <v>207.35</v>
          </cell>
        </row>
        <row r="1525">
          <cell r="AE1525" t="str">
            <v>6448VSL</v>
          </cell>
          <cell r="AF1525">
            <v>380.75</v>
          </cell>
          <cell r="AG1525">
            <v>207.35</v>
          </cell>
          <cell r="AH1525">
            <v>207.35</v>
          </cell>
        </row>
        <row r="1526">
          <cell r="AE1526" t="str">
            <v>6448VSM</v>
          </cell>
          <cell r="AF1526">
            <v>380.75</v>
          </cell>
          <cell r="AG1526">
            <v>207.35</v>
          </cell>
          <cell r="AH1526">
            <v>207.35</v>
          </cell>
        </row>
        <row r="1527">
          <cell r="AE1527" t="str">
            <v>6448VSP</v>
          </cell>
          <cell r="AF1527">
            <v>380.75</v>
          </cell>
          <cell r="AG1527">
            <v>207.35</v>
          </cell>
          <cell r="AH1527">
            <v>207.35</v>
          </cell>
        </row>
        <row r="1528">
          <cell r="AE1528" t="str">
            <v>6448VSQ</v>
          </cell>
          <cell r="AF1528">
            <v>380.75</v>
          </cell>
          <cell r="AG1528">
            <v>207.35</v>
          </cell>
          <cell r="AH1528">
            <v>207.35</v>
          </cell>
        </row>
        <row r="1529">
          <cell r="AE1529" t="str">
            <v>6448VSR</v>
          </cell>
          <cell r="AF1529">
            <v>380.75</v>
          </cell>
          <cell r="AG1529">
            <v>207.35</v>
          </cell>
          <cell r="AH1529">
            <v>207.35</v>
          </cell>
        </row>
        <row r="1530">
          <cell r="AE1530" t="str">
            <v>6448VSS</v>
          </cell>
          <cell r="AF1530">
            <v>380.75</v>
          </cell>
          <cell r="AG1530">
            <v>207.35</v>
          </cell>
          <cell r="AH1530">
            <v>207.35</v>
          </cell>
        </row>
        <row r="1531">
          <cell r="AE1531" t="str">
            <v>6448VST</v>
          </cell>
          <cell r="AF1531">
            <v>380.75</v>
          </cell>
          <cell r="AG1531">
            <v>207.35</v>
          </cell>
          <cell r="AH1531">
            <v>207.35</v>
          </cell>
        </row>
        <row r="1532">
          <cell r="AE1532" t="str">
            <v>6448VSV</v>
          </cell>
          <cell r="AF1532">
            <v>380.75</v>
          </cell>
          <cell r="AG1532">
            <v>207.35</v>
          </cell>
          <cell r="AH1532">
            <v>207.35</v>
          </cell>
        </row>
        <row r="1533">
          <cell r="AE1533" t="str">
            <v>6448VSX</v>
          </cell>
          <cell r="AF1533">
            <v>380.75</v>
          </cell>
          <cell r="AG1533">
            <v>207.35</v>
          </cell>
          <cell r="AH1533">
            <v>207.35</v>
          </cell>
        </row>
        <row r="1534">
          <cell r="AE1534" t="str">
            <v>6448VSY</v>
          </cell>
          <cell r="AF1534">
            <v>380.75</v>
          </cell>
          <cell r="AG1534">
            <v>207.35</v>
          </cell>
          <cell r="AH1534">
            <v>207.35</v>
          </cell>
        </row>
        <row r="1535">
          <cell r="AE1535" t="str">
            <v>6448VSZ</v>
          </cell>
          <cell r="AF1535">
            <v>380.75</v>
          </cell>
          <cell r="AG1535">
            <v>207.35</v>
          </cell>
          <cell r="AH1535">
            <v>207.35</v>
          </cell>
        </row>
        <row r="1536">
          <cell r="AE1536" t="str">
            <v>6448VT0</v>
          </cell>
          <cell r="AF1536">
            <v>380.75</v>
          </cell>
          <cell r="AG1536">
            <v>207.35</v>
          </cell>
          <cell r="AH1536">
            <v>207.35</v>
          </cell>
        </row>
        <row r="1537">
          <cell r="AE1537" t="str">
            <v>6448VT1</v>
          </cell>
          <cell r="AF1537">
            <v>380.75</v>
          </cell>
          <cell r="AG1537">
            <v>207.35</v>
          </cell>
          <cell r="AH1537">
            <v>207.35</v>
          </cell>
        </row>
        <row r="1538">
          <cell r="AE1538" t="str">
            <v>6448VT2</v>
          </cell>
          <cell r="AF1538">
            <v>380.75</v>
          </cell>
          <cell r="AG1538">
            <v>207.35</v>
          </cell>
          <cell r="AH1538">
            <v>207.35</v>
          </cell>
        </row>
        <row r="1539">
          <cell r="AE1539" t="str">
            <v>6448VT3</v>
          </cell>
          <cell r="AF1539">
            <v>380.75</v>
          </cell>
          <cell r="AG1539">
            <v>207.35</v>
          </cell>
          <cell r="AH1539">
            <v>207.35</v>
          </cell>
        </row>
        <row r="1540">
          <cell r="AE1540" t="str">
            <v>6448VT4</v>
          </cell>
          <cell r="AF1540">
            <v>380.75</v>
          </cell>
          <cell r="AG1540">
            <v>207.35</v>
          </cell>
          <cell r="AH1540">
            <v>207.35</v>
          </cell>
        </row>
        <row r="1541">
          <cell r="AE1541" t="str">
            <v>6448VT5</v>
          </cell>
          <cell r="AF1541">
            <v>380.75</v>
          </cell>
          <cell r="AG1541">
            <v>207.35</v>
          </cell>
          <cell r="AH1541">
            <v>207.35</v>
          </cell>
        </row>
        <row r="1542">
          <cell r="AE1542" t="str">
            <v>6448VT6</v>
          </cell>
          <cell r="AF1542">
            <v>380.75</v>
          </cell>
          <cell r="AG1542">
            <v>207.35</v>
          </cell>
          <cell r="AH1542">
            <v>207.35</v>
          </cell>
        </row>
        <row r="1543">
          <cell r="AE1543" t="str">
            <v>6448VT7</v>
          </cell>
          <cell r="AF1543">
            <v>380.75</v>
          </cell>
          <cell r="AG1543">
            <v>207.35</v>
          </cell>
          <cell r="AH1543">
            <v>207.35</v>
          </cell>
        </row>
        <row r="1544">
          <cell r="AE1544" t="str">
            <v>6448VT8</v>
          </cell>
          <cell r="AF1544">
            <v>380.75</v>
          </cell>
          <cell r="AG1544">
            <v>207.35</v>
          </cell>
          <cell r="AH1544">
            <v>207.35</v>
          </cell>
        </row>
        <row r="1545">
          <cell r="AE1545" t="str">
            <v>6448VT9</v>
          </cell>
          <cell r="AF1545">
            <v>380.75</v>
          </cell>
          <cell r="AG1545">
            <v>207.35</v>
          </cell>
          <cell r="AH1545">
            <v>207.35</v>
          </cell>
        </row>
        <row r="1546">
          <cell r="AE1546" t="str">
            <v>6448VTB</v>
          </cell>
          <cell r="AF1546">
            <v>380.75</v>
          </cell>
          <cell r="AG1546">
            <v>207.35</v>
          </cell>
          <cell r="AH1546">
            <v>207.35</v>
          </cell>
        </row>
        <row r="1547">
          <cell r="AE1547" t="str">
            <v>6448VTC</v>
          </cell>
          <cell r="AF1547">
            <v>380.75</v>
          </cell>
          <cell r="AG1547">
            <v>207.35</v>
          </cell>
          <cell r="AH1547">
            <v>207.35</v>
          </cell>
        </row>
        <row r="1548">
          <cell r="AE1548" t="str">
            <v>644WGPF</v>
          </cell>
          <cell r="AF1548">
            <v>380.75</v>
          </cell>
          <cell r="AG1548">
            <v>207.35</v>
          </cell>
          <cell r="AH1548">
            <v>207.35</v>
          </cell>
        </row>
        <row r="1549">
          <cell r="AE1549" t="str">
            <v>644WGPG</v>
          </cell>
          <cell r="AF1549">
            <v>380.75</v>
          </cell>
          <cell r="AG1549">
            <v>207.35</v>
          </cell>
          <cell r="AH1549">
            <v>207.35</v>
          </cell>
        </row>
        <row r="1550">
          <cell r="AE1550" t="str">
            <v>644WGPH</v>
          </cell>
          <cell r="AF1550">
            <v>380.75</v>
          </cell>
          <cell r="AG1550">
            <v>207.35</v>
          </cell>
          <cell r="AH1550">
            <v>207.35</v>
          </cell>
        </row>
        <row r="1551">
          <cell r="AE1551" t="str">
            <v>644WGPJ</v>
          </cell>
          <cell r="AF1551">
            <v>380.75</v>
          </cell>
          <cell r="AG1551">
            <v>207.35</v>
          </cell>
          <cell r="AH1551">
            <v>207.35</v>
          </cell>
        </row>
        <row r="1552">
          <cell r="AE1552" t="str">
            <v>644WGPK</v>
          </cell>
          <cell r="AF1552">
            <v>380.75</v>
          </cell>
          <cell r="AG1552">
            <v>207.35</v>
          </cell>
          <cell r="AH1552">
            <v>207.35</v>
          </cell>
        </row>
        <row r="1553">
          <cell r="AE1553" t="str">
            <v>6460MCH</v>
          </cell>
          <cell r="AF1553">
            <v>380.75</v>
          </cell>
          <cell r="AG1553">
            <v>207.35</v>
          </cell>
          <cell r="AH1553">
            <v>207.35</v>
          </cell>
        </row>
        <row r="1554">
          <cell r="AE1554" t="str">
            <v>6460MCJ</v>
          </cell>
          <cell r="AF1554">
            <v>380.75</v>
          </cell>
          <cell r="AG1554">
            <v>207.35</v>
          </cell>
          <cell r="AH1554">
            <v>207.35</v>
          </cell>
        </row>
        <row r="1555">
          <cell r="AE1555" t="str">
            <v>6460MCK</v>
          </cell>
          <cell r="AF1555">
            <v>380.75</v>
          </cell>
          <cell r="AG1555">
            <v>207.35</v>
          </cell>
          <cell r="AH1555">
            <v>207.35</v>
          </cell>
        </row>
        <row r="1556">
          <cell r="AE1556" t="str">
            <v>6460MCL</v>
          </cell>
          <cell r="AF1556">
            <v>380.75</v>
          </cell>
          <cell r="AG1556">
            <v>207.35</v>
          </cell>
          <cell r="AH1556">
            <v>207.35</v>
          </cell>
        </row>
        <row r="1557">
          <cell r="AE1557" t="str">
            <v>6460MCM</v>
          </cell>
          <cell r="AF1557">
            <v>380.75</v>
          </cell>
          <cell r="AG1557">
            <v>207.35</v>
          </cell>
          <cell r="AH1557">
            <v>207.35</v>
          </cell>
        </row>
        <row r="1558">
          <cell r="AE1558" t="str">
            <v>6460MCN</v>
          </cell>
          <cell r="AF1558">
            <v>380.75</v>
          </cell>
          <cell r="AG1558">
            <v>207.35</v>
          </cell>
          <cell r="AH1558">
            <v>207.35</v>
          </cell>
        </row>
        <row r="1559">
          <cell r="AE1559" t="str">
            <v>6460MCP</v>
          </cell>
          <cell r="AF1559">
            <v>380.75</v>
          </cell>
          <cell r="AG1559">
            <v>207.35</v>
          </cell>
          <cell r="AH1559">
            <v>207.35</v>
          </cell>
        </row>
        <row r="1560">
          <cell r="AE1560" t="str">
            <v>6460MCQ</v>
          </cell>
          <cell r="AF1560">
            <v>380.75</v>
          </cell>
          <cell r="AG1560">
            <v>207.35</v>
          </cell>
          <cell r="AH1560">
            <v>207.35</v>
          </cell>
        </row>
        <row r="1561">
          <cell r="AE1561" t="str">
            <v>6460MCR</v>
          </cell>
          <cell r="AF1561">
            <v>380.75</v>
          </cell>
          <cell r="AG1561">
            <v>207.35</v>
          </cell>
          <cell r="AH1561">
            <v>207.35</v>
          </cell>
        </row>
        <row r="1562">
          <cell r="AE1562" t="str">
            <v>6460MCS</v>
          </cell>
          <cell r="AF1562">
            <v>380.75</v>
          </cell>
          <cell r="AG1562">
            <v>207.35</v>
          </cell>
          <cell r="AH1562">
            <v>207.35</v>
          </cell>
        </row>
        <row r="1563">
          <cell r="AE1563" t="str">
            <v>6460MCT</v>
          </cell>
          <cell r="AF1563">
            <v>380.75</v>
          </cell>
          <cell r="AG1563">
            <v>207.35</v>
          </cell>
          <cell r="AH1563">
            <v>207.35</v>
          </cell>
        </row>
        <row r="1564">
          <cell r="AE1564" t="str">
            <v>6460MCV</v>
          </cell>
          <cell r="AF1564">
            <v>380.75</v>
          </cell>
          <cell r="AG1564">
            <v>207.35</v>
          </cell>
          <cell r="AH1564">
            <v>207.35</v>
          </cell>
        </row>
        <row r="1565">
          <cell r="AE1565" t="str">
            <v>6460MCW</v>
          </cell>
          <cell r="AF1565">
            <v>380.75</v>
          </cell>
          <cell r="AG1565">
            <v>207.35</v>
          </cell>
          <cell r="AH1565">
            <v>207.35</v>
          </cell>
        </row>
        <row r="1566">
          <cell r="AE1566" t="str">
            <v>6460MCX</v>
          </cell>
          <cell r="AF1566">
            <v>380.75</v>
          </cell>
          <cell r="AG1566">
            <v>207.35</v>
          </cell>
          <cell r="AH1566">
            <v>207.35</v>
          </cell>
        </row>
        <row r="1567">
          <cell r="AE1567" t="str">
            <v>6460MCY</v>
          </cell>
          <cell r="AF1567">
            <v>380.75</v>
          </cell>
          <cell r="AG1567">
            <v>207.35</v>
          </cell>
          <cell r="AH1567">
            <v>207.35</v>
          </cell>
        </row>
        <row r="1568">
          <cell r="AE1568" t="str">
            <v>6460MCZ</v>
          </cell>
          <cell r="AF1568">
            <v>380.75</v>
          </cell>
          <cell r="AG1568">
            <v>207.35</v>
          </cell>
          <cell r="AH1568">
            <v>207.35</v>
          </cell>
        </row>
        <row r="1569">
          <cell r="AE1569" t="str">
            <v>6460MD1</v>
          </cell>
          <cell r="AF1569">
            <v>380.75</v>
          </cell>
          <cell r="AG1569">
            <v>207.35</v>
          </cell>
          <cell r="AH1569">
            <v>207.35</v>
          </cell>
        </row>
        <row r="1570">
          <cell r="AE1570" t="str">
            <v>6460MD2</v>
          </cell>
          <cell r="AF1570">
            <v>380.75</v>
          </cell>
          <cell r="AG1570">
            <v>207.35</v>
          </cell>
          <cell r="AH1570">
            <v>207.35</v>
          </cell>
        </row>
        <row r="1571">
          <cell r="AE1571" t="str">
            <v>6460MD3</v>
          </cell>
          <cell r="AF1571">
            <v>380.75</v>
          </cell>
          <cell r="AG1571">
            <v>207.35</v>
          </cell>
          <cell r="AH1571">
            <v>207.35</v>
          </cell>
        </row>
        <row r="1572">
          <cell r="AE1572" t="str">
            <v>6460MD5</v>
          </cell>
          <cell r="AF1572">
            <v>380.75</v>
          </cell>
          <cell r="AG1572">
            <v>207.35</v>
          </cell>
          <cell r="AH1572">
            <v>207.35</v>
          </cell>
        </row>
        <row r="1573">
          <cell r="AE1573" t="str">
            <v>6460MD6</v>
          </cell>
          <cell r="AF1573">
            <v>380.75</v>
          </cell>
          <cell r="AG1573">
            <v>207.35</v>
          </cell>
          <cell r="AH1573">
            <v>207.35</v>
          </cell>
        </row>
        <row r="1574">
          <cell r="AE1574" t="str">
            <v>6460MD7</v>
          </cell>
          <cell r="AF1574">
            <v>380.75</v>
          </cell>
          <cell r="AG1574">
            <v>207.35</v>
          </cell>
          <cell r="AH1574">
            <v>207.35</v>
          </cell>
        </row>
        <row r="1575">
          <cell r="AE1575" t="str">
            <v>6460MD8</v>
          </cell>
          <cell r="AF1575">
            <v>380.75</v>
          </cell>
          <cell r="AG1575">
            <v>207.35</v>
          </cell>
          <cell r="AH1575">
            <v>207.35</v>
          </cell>
        </row>
        <row r="1576">
          <cell r="AE1576" t="str">
            <v>6460MD9</v>
          </cell>
          <cell r="AF1576">
            <v>380.75</v>
          </cell>
          <cell r="AG1576">
            <v>207.35</v>
          </cell>
          <cell r="AH1576">
            <v>207.35</v>
          </cell>
        </row>
        <row r="1577">
          <cell r="AE1577" t="str">
            <v>6460MDB</v>
          </cell>
          <cell r="AF1577">
            <v>380.75</v>
          </cell>
          <cell r="AG1577">
            <v>207.35</v>
          </cell>
          <cell r="AH1577">
            <v>207.35</v>
          </cell>
        </row>
        <row r="1578">
          <cell r="AE1578" t="str">
            <v>6460MDC</v>
          </cell>
          <cell r="AF1578">
            <v>380.75</v>
          </cell>
          <cell r="AG1578">
            <v>207.35</v>
          </cell>
          <cell r="AH1578">
            <v>207.35</v>
          </cell>
        </row>
        <row r="1579">
          <cell r="AE1579" t="str">
            <v>6460MDD</v>
          </cell>
          <cell r="AF1579">
            <v>380.75</v>
          </cell>
          <cell r="AG1579">
            <v>207.35</v>
          </cell>
          <cell r="AH1579">
            <v>207.35</v>
          </cell>
        </row>
        <row r="1580">
          <cell r="AE1580" t="str">
            <v>6460MDF</v>
          </cell>
          <cell r="AF1580">
            <v>380.75</v>
          </cell>
          <cell r="AG1580">
            <v>207.35</v>
          </cell>
          <cell r="AH1580">
            <v>207.35</v>
          </cell>
        </row>
        <row r="1581">
          <cell r="AE1581" t="str">
            <v>6460MDG</v>
          </cell>
          <cell r="AF1581">
            <v>380.75</v>
          </cell>
          <cell r="AG1581">
            <v>207.35</v>
          </cell>
          <cell r="AH1581">
            <v>207.35</v>
          </cell>
        </row>
        <row r="1582">
          <cell r="AE1582" t="str">
            <v>6460MDH</v>
          </cell>
          <cell r="AF1582">
            <v>380.75</v>
          </cell>
          <cell r="AG1582">
            <v>207.35</v>
          </cell>
          <cell r="AH1582">
            <v>207.35</v>
          </cell>
        </row>
        <row r="1583">
          <cell r="AE1583" t="str">
            <v>6460MDJ</v>
          </cell>
          <cell r="AF1583">
            <v>380.75</v>
          </cell>
          <cell r="AG1583">
            <v>207.35</v>
          </cell>
          <cell r="AH1583">
            <v>207.35</v>
          </cell>
        </row>
        <row r="1584">
          <cell r="AE1584" t="str">
            <v>6460MDL</v>
          </cell>
          <cell r="AF1584">
            <v>380.75</v>
          </cell>
          <cell r="AG1584">
            <v>207.35</v>
          </cell>
          <cell r="AH1584">
            <v>207.35</v>
          </cell>
        </row>
        <row r="1585">
          <cell r="AE1585" t="str">
            <v>6460MDM</v>
          </cell>
          <cell r="AF1585">
            <v>380.75</v>
          </cell>
          <cell r="AG1585">
            <v>207.35</v>
          </cell>
          <cell r="AH1585">
            <v>207.35</v>
          </cell>
        </row>
        <row r="1586">
          <cell r="AE1586" t="str">
            <v>6460MDN</v>
          </cell>
          <cell r="AF1586">
            <v>380.75</v>
          </cell>
          <cell r="AG1586">
            <v>207.35</v>
          </cell>
          <cell r="AH1586">
            <v>207.35</v>
          </cell>
        </row>
        <row r="1587">
          <cell r="AE1587" t="str">
            <v>6460MDP</v>
          </cell>
          <cell r="AF1587">
            <v>380.75</v>
          </cell>
          <cell r="AG1587">
            <v>207.35</v>
          </cell>
          <cell r="AH1587">
            <v>207.35</v>
          </cell>
        </row>
        <row r="1588">
          <cell r="AE1588" t="str">
            <v>6460MDQ</v>
          </cell>
          <cell r="AF1588">
            <v>380.75</v>
          </cell>
          <cell r="AG1588">
            <v>207.35</v>
          </cell>
          <cell r="AH1588">
            <v>207.35</v>
          </cell>
        </row>
        <row r="1589">
          <cell r="AE1589" t="str">
            <v>6460MDR</v>
          </cell>
          <cell r="AF1589">
            <v>380.75</v>
          </cell>
          <cell r="AG1589">
            <v>207.35</v>
          </cell>
          <cell r="AH1589">
            <v>207.35</v>
          </cell>
        </row>
        <row r="1590">
          <cell r="AE1590" t="str">
            <v>6460MDS</v>
          </cell>
          <cell r="AF1590">
            <v>380.75</v>
          </cell>
          <cell r="AG1590">
            <v>207.35</v>
          </cell>
          <cell r="AH1590">
            <v>207.35</v>
          </cell>
        </row>
        <row r="1591">
          <cell r="AE1591" t="str">
            <v>6460MDT</v>
          </cell>
          <cell r="AF1591">
            <v>380.75</v>
          </cell>
          <cell r="AG1591">
            <v>207.35</v>
          </cell>
          <cell r="AH1591">
            <v>207.35</v>
          </cell>
        </row>
        <row r="1592">
          <cell r="AE1592" t="str">
            <v>6460MDV</v>
          </cell>
          <cell r="AF1592">
            <v>380.75</v>
          </cell>
          <cell r="AG1592">
            <v>207.35</v>
          </cell>
          <cell r="AH1592">
            <v>207.35</v>
          </cell>
        </row>
        <row r="1593">
          <cell r="AE1593" t="str">
            <v>6460MDW</v>
          </cell>
          <cell r="AF1593">
            <v>380.75</v>
          </cell>
          <cell r="AG1593">
            <v>207.35</v>
          </cell>
          <cell r="AH1593">
            <v>207.35</v>
          </cell>
        </row>
        <row r="1594">
          <cell r="AE1594" t="str">
            <v>6460MDX</v>
          </cell>
          <cell r="AF1594">
            <v>380.75</v>
          </cell>
          <cell r="AG1594">
            <v>207.35</v>
          </cell>
          <cell r="AH1594">
            <v>207.35</v>
          </cell>
        </row>
        <row r="1595">
          <cell r="AE1595" t="str">
            <v>6460MDZ</v>
          </cell>
          <cell r="AF1595">
            <v>380.75</v>
          </cell>
          <cell r="AG1595">
            <v>207.35</v>
          </cell>
          <cell r="AH1595">
            <v>207.35</v>
          </cell>
        </row>
        <row r="1596">
          <cell r="AE1596" t="str">
            <v>6460MF0</v>
          </cell>
          <cell r="AF1596">
            <v>380.75</v>
          </cell>
          <cell r="AG1596">
            <v>207.35</v>
          </cell>
          <cell r="AH1596">
            <v>207.35</v>
          </cell>
        </row>
        <row r="1597">
          <cell r="AE1597" t="str">
            <v>6460MF1</v>
          </cell>
          <cell r="AF1597">
            <v>380.75</v>
          </cell>
          <cell r="AG1597">
            <v>207.35</v>
          </cell>
          <cell r="AH1597">
            <v>207.35</v>
          </cell>
        </row>
        <row r="1598">
          <cell r="AE1598" t="str">
            <v>6460MF2</v>
          </cell>
          <cell r="AF1598">
            <v>380.75</v>
          </cell>
          <cell r="AG1598">
            <v>207.35</v>
          </cell>
          <cell r="AH1598">
            <v>207.35</v>
          </cell>
        </row>
        <row r="1599">
          <cell r="AE1599" t="str">
            <v>6471H89</v>
          </cell>
          <cell r="AF1599">
            <v>393.02</v>
          </cell>
          <cell r="AG1599">
            <v>148.94</v>
          </cell>
          <cell r="AH1599">
            <v>148.94</v>
          </cell>
        </row>
        <row r="1600">
          <cell r="AE1600" t="str">
            <v>6471H8B</v>
          </cell>
          <cell r="AF1600">
            <v>393.02</v>
          </cell>
          <cell r="AG1600">
            <v>148.94</v>
          </cell>
          <cell r="AH1600">
            <v>148.94</v>
          </cell>
        </row>
        <row r="1601">
          <cell r="AE1601" t="str">
            <v>6471H8C</v>
          </cell>
          <cell r="AF1601">
            <v>393.02</v>
          </cell>
          <cell r="AG1601">
            <v>148.94</v>
          </cell>
          <cell r="AH1601">
            <v>148.94</v>
          </cell>
        </row>
        <row r="1602">
          <cell r="AE1602" t="str">
            <v>6471H8D</v>
          </cell>
          <cell r="AF1602">
            <v>393.02</v>
          </cell>
          <cell r="AG1602">
            <v>148.94</v>
          </cell>
          <cell r="AH1602">
            <v>148.94</v>
          </cell>
        </row>
        <row r="1603">
          <cell r="AE1603" t="str">
            <v>6471H8F</v>
          </cell>
          <cell r="AF1603">
            <v>393.02</v>
          </cell>
          <cell r="AG1603">
            <v>148.94</v>
          </cell>
          <cell r="AH1603">
            <v>148.94</v>
          </cell>
        </row>
        <row r="1604">
          <cell r="AE1604" t="str">
            <v>6471H8G</v>
          </cell>
          <cell r="AF1604">
            <v>393.02</v>
          </cell>
          <cell r="AG1604">
            <v>148.94</v>
          </cell>
          <cell r="AH1604">
            <v>148.94</v>
          </cell>
        </row>
        <row r="1605">
          <cell r="AE1605" t="str">
            <v>70204Z2</v>
          </cell>
          <cell r="AF1605">
            <v>380.75</v>
          </cell>
          <cell r="AG1605">
            <v>207.35</v>
          </cell>
          <cell r="AH1605">
            <v>207.35</v>
          </cell>
        </row>
        <row r="1606">
          <cell r="AE1606" t="str">
            <v>70204Z7</v>
          </cell>
          <cell r="AF1606">
            <v>380.75</v>
          </cell>
          <cell r="AG1606">
            <v>207.35</v>
          </cell>
          <cell r="AH1606">
            <v>207.35</v>
          </cell>
        </row>
        <row r="1607">
          <cell r="AE1607" t="str">
            <v>65061TG</v>
          </cell>
          <cell r="AF1607">
            <v>428.54999999999995</v>
          </cell>
          <cell r="AG1607">
            <v>162.38999999999999</v>
          </cell>
          <cell r="AH1607">
            <v>162.38999999999999</v>
          </cell>
        </row>
        <row r="1608">
          <cell r="AE1608" t="str">
            <v>65061TH</v>
          </cell>
          <cell r="AF1608">
            <v>428.54999999999995</v>
          </cell>
          <cell r="AG1608">
            <v>162.38999999999999</v>
          </cell>
          <cell r="AH1608">
            <v>162.38999999999999</v>
          </cell>
        </row>
        <row r="1609">
          <cell r="AE1609" t="str">
            <v>65061TJ</v>
          </cell>
          <cell r="AF1609">
            <v>428.54999999999995</v>
          </cell>
          <cell r="AG1609">
            <v>162.38999999999999</v>
          </cell>
          <cell r="AH1609">
            <v>162.38999999999999</v>
          </cell>
        </row>
        <row r="1610">
          <cell r="AE1610" t="str">
            <v>65061TK?</v>
          </cell>
          <cell r="AF1610">
            <v>428.54999999999995</v>
          </cell>
          <cell r="AG1610">
            <v>162.38999999999999</v>
          </cell>
          <cell r="AH1610">
            <v>162.38999999999999</v>
          </cell>
        </row>
        <row r="1611">
          <cell r="AE1611" t="str">
            <v>5137CXX</v>
          </cell>
          <cell r="AF1611">
            <v>630.92999999999984</v>
          </cell>
          <cell r="AG1611">
            <v>239.09</v>
          </cell>
          <cell r="AH1611">
            <v>239.09</v>
          </cell>
        </row>
        <row r="1612">
          <cell r="AE1612" t="str">
            <v>5137CXY</v>
          </cell>
          <cell r="AF1612">
            <v>630.92999999999984</v>
          </cell>
          <cell r="AG1612">
            <v>239.09</v>
          </cell>
          <cell r="AH1612">
            <v>239.09</v>
          </cell>
        </row>
        <row r="1613">
          <cell r="AE1613" t="str">
            <v>5137CXZ</v>
          </cell>
          <cell r="AF1613">
            <v>630.92999999999984</v>
          </cell>
          <cell r="AG1613">
            <v>239.09</v>
          </cell>
          <cell r="AH1613">
            <v>239.09</v>
          </cell>
        </row>
        <row r="1614">
          <cell r="AE1614" t="str">
            <v>5137CY0</v>
          </cell>
          <cell r="AF1614">
            <v>630.92999999999984</v>
          </cell>
          <cell r="AG1614">
            <v>239.09</v>
          </cell>
          <cell r="AH1614">
            <v>239.09</v>
          </cell>
        </row>
        <row r="1615">
          <cell r="AE1615" t="str">
            <v>5137CYD</v>
          </cell>
          <cell r="AF1615">
            <v>419.83000000000038</v>
          </cell>
          <cell r="AG1615">
            <v>159.09</v>
          </cell>
          <cell r="AH1615">
            <v>159.09</v>
          </cell>
        </row>
        <row r="1616">
          <cell r="AE1616" t="str">
            <v>5137CYF</v>
          </cell>
          <cell r="AF1616">
            <v>419.83000000000038</v>
          </cell>
          <cell r="AG1616">
            <v>159.09</v>
          </cell>
          <cell r="AH1616">
            <v>159.09</v>
          </cell>
        </row>
        <row r="1617">
          <cell r="AE1617" t="str">
            <v>5137CYG</v>
          </cell>
          <cell r="AF1617">
            <v>419.83000000000038</v>
          </cell>
          <cell r="AG1617">
            <v>159.09</v>
          </cell>
          <cell r="AH1617">
            <v>159.09</v>
          </cell>
        </row>
        <row r="1618">
          <cell r="AE1618" t="str">
            <v>5137CYH</v>
          </cell>
          <cell r="AF1618">
            <v>536.13000000000011</v>
          </cell>
          <cell r="AG1618">
            <v>203.17</v>
          </cell>
          <cell r="AH1618">
            <v>203.17</v>
          </cell>
        </row>
        <row r="1619">
          <cell r="AE1619" t="str">
            <v>5137CYJ</v>
          </cell>
          <cell r="AF1619">
            <v>419.83000000000038</v>
          </cell>
          <cell r="AG1619">
            <v>159.09</v>
          </cell>
          <cell r="AH1619">
            <v>159.09</v>
          </cell>
        </row>
        <row r="1620">
          <cell r="AE1620" t="str">
            <v>5137CYK</v>
          </cell>
          <cell r="AF1620">
            <v>419.83000000000038</v>
          </cell>
          <cell r="AG1620">
            <v>159.09</v>
          </cell>
          <cell r="AH1620">
            <v>159.09</v>
          </cell>
        </row>
        <row r="1621">
          <cell r="AE1621" t="str">
            <v>5137CYL</v>
          </cell>
          <cell r="AF1621">
            <v>419.83000000000038</v>
          </cell>
          <cell r="AG1621">
            <v>159.09</v>
          </cell>
          <cell r="AH1621">
            <v>159.09</v>
          </cell>
        </row>
        <row r="1622">
          <cell r="AE1622" t="str">
            <v>5137CYM</v>
          </cell>
          <cell r="AF1622">
            <v>419.83000000000038</v>
          </cell>
          <cell r="AG1622">
            <v>159.09</v>
          </cell>
          <cell r="AH1622">
            <v>159.09</v>
          </cell>
        </row>
        <row r="1623">
          <cell r="AE1623" t="str">
            <v>5137CYN</v>
          </cell>
          <cell r="AF1623">
            <v>419.83000000000038</v>
          </cell>
          <cell r="AG1623">
            <v>159.09</v>
          </cell>
          <cell r="AH1623">
            <v>159.09</v>
          </cell>
        </row>
        <row r="1624">
          <cell r="AE1624" t="str">
            <v>5137CYP</v>
          </cell>
          <cell r="AF1624">
            <v>536.12999999999965</v>
          </cell>
          <cell r="AG1624">
            <v>203.17</v>
          </cell>
          <cell r="AH1624">
            <v>203.17</v>
          </cell>
        </row>
        <row r="1625">
          <cell r="AE1625" t="str">
            <v>5137CYQ</v>
          </cell>
          <cell r="AF1625">
            <v>419.83000000000038</v>
          </cell>
          <cell r="AG1625">
            <v>159.09</v>
          </cell>
          <cell r="AH1625">
            <v>159.09</v>
          </cell>
        </row>
        <row r="1626">
          <cell r="AE1626" t="str">
            <v>5137CYR</v>
          </cell>
          <cell r="AF1626">
            <v>419.83000000000038</v>
          </cell>
          <cell r="AG1626">
            <v>159.09</v>
          </cell>
          <cell r="AH1626">
            <v>159.09</v>
          </cell>
        </row>
        <row r="1627">
          <cell r="AE1627" t="str">
            <v>5137CYS</v>
          </cell>
          <cell r="AF1627">
            <v>419.83000000000038</v>
          </cell>
          <cell r="AG1627">
            <v>159.09</v>
          </cell>
          <cell r="AH1627">
            <v>159.09</v>
          </cell>
        </row>
        <row r="1628">
          <cell r="AE1628" t="str">
            <v>6245Y0J</v>
          </cell>
          <cell r="AF1628">
            <v>943.40000000000009</v>
          </cell>
          <cell r="AG1628">
            <v>357.5</v>
          </cell>
          <cell r="AH1628">
            <v>357.5</v>
          </cell>
        </row>
        <row r="1629">
          <cell r="AE1629" t="str">
            <v>6245Y0T</v>
          </cell>
          <cell r="AF1629">
            <v>943.40000000000009</v>
          </cell>
          <cell r="AG1629">
            <v>357.5</v>
          </cell>
          <cell r="AH1629">
            <v>357.5</v>
          </cell>
        </row>
        <row r="1630">
          <cell r="AE1630" t="str">
            <v>6245Y10</v>
          </cell>
          <cell r="AF1630">
            <v>943.40000000000009</v>
          </cell>
          <cell r="AG1630">
            <v>357.5</v>
          </cell>
          <cell r="AH1630">
            <v>357.5</v>
          </cell>
        </row>
        <row r="1631">
          <cell r="AE1631" t="str">
            <v>6245Y16</v>
          </cell>
          <cell r="AF1631">
            <v>943.40000000000009</v>
          </cell>
          <cell r="AG1631">
            <v>357.5</v>
          </cell>
          <cell r="AH1631">
            <v>357.5</v>
          </cell>
        </row>
        <row r="1632">
          <cell r="AE1632" t="str">
            <v>6245Y1H</v>
          </cell>
          <cell r="AF1632">
            <v>943.40000000000009</v>
          </cell>
          <cell r="AG1632">
            <v>357.5</v>
          </cell>
          <cell r="AH1632">
            <v>357.5</v>
          </cell>
        </row>
        <row r="1633">
          <cell r="AE1633" t="str">
            <v>G614203</v>
          </cell>
          <cell r="AF1633">
            <v>943.39999999999964</v>
          </cell>
          <cell r="AG1633">
            <v>357.5</v>
          </cell>
          <cell r="AH1633">
            <v>357.5</v>
          </cell>
        </row>
        <row r="1634">
          <cell r="AE1634" t="str">
            <v>62475QG</v>
          </cell>
          <cell r="AF1634">
            <v>469.10000000000014</v>
          </cell>
          <cell r="AG1634">
            <v>177.77</v>
          </cell>
          <cell r="AH1634">
            <v>177.77</v>
          </cell>
        </row>
        <row r="1635">
          <cell r="AE1635" t="str">
            <v>62475QK</v>
          </cell>
          <cell r="AF1635">
            <v>469.10000000000014</v>
          </cell>
          <cell r="AG1635">
            <v>177.77</v>
          </cell>
          <cell r="AH1635">
            <v>177.77</v>
          </cell>
        </row>
        <row r="1636">
          <cell r="AE1636" t="str">
            <v>62475QX</v>
          </cell>
          <cell r="AF1636">
            <v>469.10000000000014</v>
          </cell>
          <cell r="AG1636">
            <v>177.77</v>
          </cell>
          <cell r="AH1636">
            <v>177.77</v>
          </cell>
        </row>
        <row r="1637">
          <cell r="AE1637" t="str">
            <v>62475R0?</v>
          </cell>
          <cell r="AF1637">
            <v>903.82000000000016</v>
          </cell>
          <cell r="AG1637">
            <v>342.5</v>
          </cell>
          <cell r="AH1637">
            <v>342.5</v>
          </cell>
        </row>
        <row r="1638">
          <cell r="AE1638" t="str">
            <v>62475RC</v>
          </cell>
          <cell r="AF1638">
            <v>469.10000000000014</v>
          </cell>
          <cell r="AG1638">
            <v>177.77</v>
          </cell>
          <cell r="AH1638">
            <v>177.77</v>
          </cell>
        </row>
        <row r="1639">
          <cell r="AE1639" t="str">
            <v>6473KL3-1</v>
          </cell>
          <cell r="AF1639">
            <v>831.62000000000012</v>
          </cell>
          <cell r="AG1639">
            <v>315.14</v>
          </cell>
          <cell r="AH1639">
            <v>315.14</v>
          </cell>
        </row>
        <row r="1640">
          <cell r="AE1640" t="str">
            <v>6473KLF-1</v>
          </cell>
          <cell r="AF1640">
            <v>831.62000000000012</v>
          </cell>
          <cell r="AG1640">
            <v>315.14</v>
          </cell>
          <cell r="AH1640">
            <v>315.14</v>
          </cell>
        </row>
        <row r="1641">
          <cell r="AE1641" t="str">
            <v>6473KLT-1</v>
          </cell>
          <cell r="AF1641">
            <v>831.62000000000012</v>
          </cell>
          <cell r="AG1641">
            <v>315.14</v>
          </cell>
          <cell r="AH1641">
            <v>315.14</v>
          </cell>
        </row>
        <row r="1642">
          <cell r="AE1642" t="str">
            <v>6473KM7-1</v>
          </cell>
          <cell r="AF1642">
            <v>831.62000000000012</v>
          </cell>
          <cell r="AG1642">
            <v>315.14</v>
          </cell>
          <cell r="AH1642">
            <v>315.14</v>
          </cell>
        </row>
        <row r="1643">
          <cell r="AE1643" t="str">
            <v>6473KMH-1</v>
          </cell>
          <cell r="AF1643">
            <v>831.62000000000012</v>
          </cell>
          <cell r="AG1643">
            <v>315.14</v>
          </cell>
          <cell r="AH1643">
            <v>315.14</v>
          </cell>
        </row>
        <row r="1644">
          <cell r="AE1644" t="str">
            <v>6473KMR-1</v>
          </cell>
          <cell r="AF1644">
            <v>831.62000000000012</v>
          </cell>
          <cell r="AG1644">
            <v>315.14</v>
          </cell>
          <cell r="AH1644">
            <v>315.14</v>
          </cell>
        </row>
        <row r="1645">
          <cell r="AE1645" t="str">
            <v>6473KN2-1</v>
          </cell>
          <cell r="AF1645">
            <v>831.61999999999989</v>
          </cell>
          <cell r="AG1645">
            <v>315.14</v>
          </cell>
          <cell r="AH1645">
            <v>315.14</v>
          </cell>
        </row>
        <row r="1646">
          <cell r="AE1646" t="str">
            <v>61832SY</v>
          </cell>
          <cell r="AF1646">
            <v>903.82999999999993</v>
          </cell>
          <cell r="AG1646">
            <v>342.5</v>
          </cell>
          <cell r="AH1646">
            <v>342.5</v>
          </cell>
        </row>
        <row r="1647">
          <cell r="AE1647" t="str">
            <v>61832T3</v>
          </cell>
          <cell r="AF1647">
            <v>903.82999999999993</v>
          </cell>
          <cell r="AG1647">
            <v>342.5</v>
          </cell>
          <cell r="AH1647">
            <v>342.5</v>
          </cell>
        </row>
        <row r="1648">
          <cell r="AE1648" t="str">
            <v>61832TC</v>
          </cell>
          <cell r="AF1648">
            <v>903.82999999999993</v>
          </cell>
          <cell r="AG1648">
            <v>342.5</v>
          </cell>
          <cell r="AH1648">
            <v>342.5</v>
          </cell>
        </row>
        <row r="1649">
          <cell r="AE1649" t="str">
            <v>61832TQ</v>
          </cell>
          <cell r="AF1649">
            <v>903.82999999999993</v>
          </cell>
          <cell r="AG1649">
            <v>342.5</v>
          </cell>
          <cell r="AH1649">
            <v>342.5</v>
          </cell>
        </row>
        <row r="1650">
          <cell r="AE1650" t="str">
            <v>41398FJ</v>
          </cell>
          <cell r="AF1650">
            <v>0</v>
          </cell>
          <cell r="AG1650">
            <v>214.6</v>
          </cell>
          <cell r="AH1650">
            <v>214.6</v>
          </cell>
        </row>
        <row r="1651">
          <cell r="AE1651" t="str">
            <v>41398FK</v>
          </cell>
          <cell r="AF1651">
            <v>0</v>
          </cell>
          <cell r="AG1651">
            <v>214.6</v>
          </cell>
          <cell r="AH1651">
            <v>214.6</v>
          </cell>
        </row>
        <row r="1652">
          <cell r="AE1652" t="str">
            <v>41398FL</v>
          </cell>
          <cell r="AF1652">
            <v>0</v>
          </cell>
          <cell r="AG1652">
            <v>214.6</v>
          </cell>
          <cell r="AH1652">
            <v>214.6</v>
          </cell>
        </row>
        <row r="1653">
          <cell r="AE1653" t="str">
            <v>41398FM</v>
          </cell>
          <cell r="AF1653">
            <v>0</v>
          </cell>
          <cell r="AG1653">
            <v>214.6</v>
          </cell>
          <cell r="AH1653">
            <v>214.6</v>
          </cell>
        </row>
        <row r="1654">
          <cell r="AE1654" t="str">
            <v>41398FN</v>
          </cell>
          <cell r="AF1654">
            <v>0</v>
          </cell>
          <cell r="AG1654">
            <v>214.6</v>
          </cell>
          <cell r="AH1654">
            <v>214.6</v>
          </cell>
        </row>
        <row r="1655">
          <cell r="AE1655" t="str">
            <v>41398FP</v>
          </cell>
          <cell r="AF1655">
            <v>0</v>
          </cell>
          <cell r="AG1655">
            <v>214.6</v>
          </cell>
          <cell r="AH1655">
            <v>214.6</v>
          </cell>
        </row>
        <row r="1656">
          <cell r="AE1656" t="str">
            <v>41398FQ</v>
          </cell>
          <cell r="AF1656">
            <v>0</v>
          </cell>
          <cell r="AG1656">
            <v>214.6</v>
          </cell>
          <cell r="AH1656">
            <v>214.6</v>
          </cell>
        </row>
        <row r="1657">
          <cell r="AE1657" t="str">
            <v>41398FR</v>
          </cell>
          <cell r="AF1657">
            <v>0</v>
          </cell>
          <cell r="AG1657">
            <v>214.6</v>
          </cell>
          <cell r="AH1657">
            <v>214.6</v>
          </cell>
        </row>
        <row r="1658">
          <cell r="AE1658" t="str">
            <v>41398FS</v>
          </cell>
          <cell r="AF1658">
            <v>0</v>
          </cell>
          <cell r="AG1658">
            <v>214.6</v>
          </cell>
          <cell r="AH1658">
            <v>214.6</v>
          </cell>
        </row>
        <row r="1659">
          <cell r="AE1659" t="str">
            <v>41398FT</v>
          </cell>
          <cell r="AF1659">
            <v>0</v>
          </cell>
          <cell r="AG1659">
            <v>214.6</v>
          </cell>
          <cell r="AH1659">
            <v>214.6</v>
          </cell>
        </row>
        <row r="1660">
          <cell r="AE1660" t="str">
            <v>41398FV</v>
          </cell>
          <cell r="AF1660">
            <v>0</v>
          </cell>
          <cell r="AG1660">
            <v>214.6</v>
          </cell>
          <cell r="AH1660">
            <v>214.6</v>
          </cell>
        </row>
        <row r="1661">
          <cell r="AE1661" t="str">
            <v>41398FW</v>
          </cell>
          <cell r="AF1661">
            <v>0</v>
          </cell>
          <cell r="AG1661">
            <v>214.6</v>
          </cell>
          <cell r="AH1661">
            <v>214.6</v>
          </cell>
        </row>
        <row r="1662">
          <cell r="AE1662" t="str">
            <v>41398FX</v>
          </cell>
          <cell r="AF1662">
            <v>0</v>
          </cell>
          <cell r="AG1662">
            <v>214.6</v>
          </cell>
          <cell r="AH1662">
            <v>214.6</v>
          </cell>
        </row>
        <row r="1663">
          <cell r="AE1663" t="str">
            <v>41398FY</v>
          </cell>
          <cell r="AF1663">
            <v>0</v>
          </cell>
          <cell r="AG1663">
            <v>214.6</v>
          </cell>
          <cell r="AH1663">
            <v>214.6</v>
          </cell>
        </row>
        <row r="1664">
          <cell r="AE1664" t="str">
            <v>41398FZ</v>
          </cell>
          <cell r="AF1664">
            <v>0</v>
          </cell>
          <cell r="AG1664">
            <v>214.6</v>
          </cell>
          <cell r="AH1664">
            <v>214.6</v>
          </cell>
        </row>
        <row r="1665">
          <cell r="AE1665" t="str">
            <v>41398G0</v>
          </cell>
          <cell r="AF1665">
            <v>0</v>
          </cell>
          <cell r="AG1665">
            <v>214.6</v>
          </cell>
          <cell r="AH1665">
            <v>214.6</v>
          </cell>
        </row>
        <row r="1666">
          <cell r="AE1666" t="str">
            <v>41398G1</v>
          </cell>
          <cell r="AF1666">
            <v>0</v>
          </cell>
          <cell r="AG1666">
            <v>214.6</v>
          </cell>
          <cell r="AH1666">
            <v>214.6</v>
          </cell>
        </row>
        <row r="1667">
          <cell r="AE1667" t="str">
            <v>41398G2</v>
          </cell>
          <cell r="AF1667">
            <v>0</v>
          </cell>
          <cell r="AG1667">
            <v>214.6</v>
          </cell>
          <cell r="AH1667">
            <v>214.6</v>
          </cell>
        </row>
        <row r="1668">
          <cell r="AE1668" t="str">
            <v>41398G3</v>
          </cell>
          <cell r="AF1668">
            <v>0</v>
          </cell>
          <cell r="AG1668">
            <v>214.6</v>
          </cell>
          <cell r="AH1668">
            <v>214.6</v>
          </cell>
        </row>
        <row r="1669">
          <cell r="AE1669" t="str">
            <v>41398G4</v>
          </cell>
          <cell r="AF1669">
            <v>0</v>
          </cell>
          <cell r="AG1669">
            <v>214.6</v>
          </cell>
          <cell r="AH1669">
            <v>214.6</v>
          </cell>
        </row>
        <row r="1670">
          <cell r="AE1670" t="str">
            <v>41398G5</v>
          </cell>
          <cell r="AF1670">
            <v>0</v>
          </cell>
          <cell r="AG1670">
            <v>214.6</v>
          </cell>
          <cell r="AH1670">
            <v>214.6</v>
          </cell>
        </row>
        <row r="1671">
          <cell r="AE1671" t="str">
            <v>41398G6</v>
          </cell>
          <cell r="AF1671">
            <v>0</v>
          </cell>
          <cell r="AG1671">
            <v>214.6</v>
          </cell>
          <cell r="AH1671">
            <v>214.6</v>
          </cell>
        </row>
        <row r="1672">
          <cell r="AE1672" t="str">
            <v>41398G7</v>
          </cell>
          <cell r="AF1672">
            <v>0</v>
          </cell>
          <cell r="AG1672">
            <v>214.6</v>
          </cell>
          <cell r="AH1672">
            <v>214.6</v>
          </cell>
        </row>
        <row r="1673">
          <cell r="AE1673" t="str">
            <v>41398G8</v>
          </cell>
          <cell r="AF1673">
            <v>0</v>
          </cell>
          <cell r="AG1673">
            <v>214.6</v>
          </cell>
          <cell r="AH1673">
            <v>214.6</v>
          </cell>
        </row>
        <row r="1674">
          <cell r="AE1674" t="str">
            <v>41398G9</v>
          </cell>
          <cell r="AF1674">
            <v>0</v>
          </cell>
          <cell r="AG1674">
            <v>214.6</v>
          </cell>
          <cell r="AH1674">
            <v>214.6</v>
          </cell>
        </row>
        <row r="1675">
          <cell r="AE1675" t="str">
            <v>EHPO1601</v>
          </cell>
          <cell r="AF1675">
            <v>1081.9500000000007</v>
          </cell>
          <cell r="AG1675">
            <v>410</v>
          </cell>
          <cell r="AH1675">
            <v>410</v>
          </cell>
        </row>
        <row r="1676">
          <cell r="AE1676" t="str">
            <v>EHPO1602</v>
          </cell>
          <cell r="AF1676">
            <v>1081.9500000000007</v>
          </cell>
          <cell r="AG1676">
            <v>410</v>
          </cell>
          <cell r="AH1676">
            <v>410</v>
          </cell>
        </row>
        <row r="1677">
          <cell r="AE1677" t="str">
            <v>EHPO1603</v>
          </cell>
          <cell r="AF1677">
            <v>1081.9499999999998</v>
          </cell>
          <cell r="AG1677">
            <v>410</v>
          </cell>
          <cell r="AH1677">
            <v>410</v>
          </cell>
        </row>
        <row r="1678">
          <cell r="AE1678" t="str">
            <v>E0009422</v>
          </cell>
          <cell r="AF1678">
            <v>0</v>
          </cell>
          <cell r="AG1678">
            <v>220</v>
          </cell>
          <cell r="AH1678">
            <v>220</v>
          </cell>
        </row>
        <row r="1679">
          <cell r="AE1679" t="str">
            <v>E0009423</v>
          </cell>
          <cell r="AF1679">
            <v>0</v>
          </cell>
          <cell r="AG1679">
            <v>220</v>
          </cell>
          <cell r="AH1679">
            <v>220</v>
          </cell>
        </row>
        <row r="1680">
          <cell r="AE1680" t="str">
            <v>E0009424</v>
          </cell>
          <cell r="AF1680">
            <v>0</v>
          </cell>
          <cell r="AG1680">
            <v>220</v>
          </cell>
          <cell r="AH1680">
            <v>220</v>
          </cell>
        </row>
        <row r="1681">
          <cell r="AE1681" t="str">
            <v>EE100662</v>
          </cell>
          <cell r="AF1681">
            <v>0</v>
          </cell>
          <cell r="AG1681">
            <v>490.06</v>
          </cell>
          <cell r="AH1681">
            <v>490.06</v>
          </cell>
        </row>
        <row r="1682">
          <cell r="AE1682" t="str">
            <v>EE100663</v>
          </cell>
          <cell r="AF1682">
            <v>0</v>
          </cell>
          <cell r="AG1682">
            <v>490.06</v>
          </cell>
          <cell r="AH1682">
            <v>490.06</v>
          </cell>
        </row>
        <row r="1683">
          <cell r="AE1683" t="str">
            <v>EE100565</v>
          </cell>
          <cell r="AF1683">
            <v>0</v>
          </cell>
          <cell r="AG1683">
            <v>39602.9</v>
          </cell>
          <cell r="AH1683">
            <v>39602.9</v>
          </cell>
        </row>
        <row r="1684">
          <cell r="AE1684" t="str">
            <v>EE100689</v>
          </cell>
          <cell r="AF1684">
            <v>0</v>
          </cell>
          <cell r="AG1684">
            <v>619</v>
          </cell>
          <cell r="AH1684">
            <v>619</v>
          </cell>
        </row>
        <row r="1685">
          <cell r="AE1685" t="str">
            <v>E0008081</v>
          </cell>
          <cell r="AF1685">
            <v>0</v>
          </cell>
          <cell r="AG1685">
            <v>320</v>
          </cell>
          <cell r="AH1685">
            <v>320</v>
          </cell>
        </row>
        <row r="1686">
          <cell r="AE1686" t="str">
            <v>E2000269</v>
          </cell>
          <cell r="AF1686">
            <v>0</v>
          </cell>
          <cell r="AG1686">
            <v>374.67</v>
          </cell>
          <cell r="AH1686">
            <v>374.67</v>
          </cell>
        </row>
        <row r="1687">
          <cell r="AE1687" t="str">
            <v>4CJ9408</v>
          </cell>
          <cell r="AF1687">
            <v>616.54</v>
          </cell>
          <cell r="AG1687">
            <v>389.4</v>
          </cell>
          <cell r="AH1687">
            <v>389.4</v>
          </cell>
        </row>
        <row r="1688">
          <cell r="AE1688" t="str">
            <v xml:space="preserve">E13200011    </v>
          </cell>
          <cell r="AF1688">
            <v>0</v>
          </cell>
          <cell r="AG1688">
            <v>4428</v>
          </cell>
          <cell r="AH1688">
            <v>265.68</v>
          </cell>
        </row>
        <row r="1689">
          <cell r="AE1689" t="str">
            <v xml:space="preserve">E13200012    </v>
          </cell>
          <cell r="AF1689">
            <v>0</v>
          </cell>
          <cell r="AG1689">
            <v>4428</v>
          </cell>
          <cell r="AH1689">
            <v>841.32</v>
          </cell>
        </row>
        <row r="1690">
          <cell r="AE1690" t="str">
            <v xml:space="preserve">E13200013    </v>
          </cell>
          <cell r="AF1690">
            <v>0</v>
          </cell>
          <cell r="AG1690">
            <v>4428</v>
          </cell>
          <cell r="AH1690">
            <v>841.32</v>
          </cell>
        </row>
        <row r="1691">
          <cell r="AE1691" t="str">
            <v xml:space="preserve">E13200014    </v>
          </cell>
          <cell r="AF1691">
            <v>0</v>
          </cell>
          <cell r="AG1691">
            <v>4428</v>
          </cell>
          <cell r="AH1691">
            <v>1372.68</v>
          </cell>
        </row>
        <row r="1692">
          <cell r="AE1692" t="str">
            <v xml:space="preserve">E13200015    </v>
          </cell>
          <cell r="AF1692">
            <v>0</v>
          </cell>
          <cell r="AG1692">
            <v>4428</v>
          </cell>
          <cell r="AH1692">
            <v>265.68</v>
          </cell>
        </row>
        <row r="1693">
          <cell r="AE1693" t="str">
            <v xml:space="preserve">E13200016    </v>
          </cell>
          <cell r="AF1693">
            <v>0</v>
          </cell>
          <cell r="AG1693">
            <v>4428</v>
          </cell>
          <cell r="AH1693">
            <v>575.64</v>
          </cell>
        </row>
        <row r="1694">
          <cell r="AE1694" t="str">
            <v xml:space="preserve">E13200017    </v>
          </cell>
          <cell r="AF1694">
            <v>0</v>
          </cell>
          <cell r="AG1694">
            <v>4428</v>
          </cell>
          <cell r="AH1694">
            <v>265.68</v>
          </cell>
        </row>
        <row r="1695">
          <cell r="AE1695" t="str">
            <v>0CCFTTW</v>
          </cell>
          <cell r="AF1695">
            <v>149.70000000000073</v>
          </cell>
          <cell r="AG1695">
            <v>283.64999999999998</v>
          </cell>
          <cell r="AH1695">
            <v>283.64999999999998</v>
          </cell>
        </row>
        <row r="1696">
          <cell r="AE1696" t="str">
            <v>6YAG5YR</v>
          </cell>
          <cell r="AF1696">
            <v>149.70000000000073</v>
          </cell>
          <cell r="AG1696">
            <v>283.64999999999998</v>
          </cell>
          <cell r="AH1696">
            <v>283.64999999999998</v>
          </cell>
        </row>
        <row r="1697">
          <cell r="AE1697" t="str">
            <v>08LG5YP</v>
          </cell>
          <cell r="AF1697">
            <v>202.44999999999982</v>
          </cell>
          <cell r="AG1697">
            <v>383.6</v>
          </cell>
          <cell r="AH1697">
            <v>383.6</v>
          </cell>
        </row>
        <row r="1698">
          <cell r="AE1698" t="str">
            <v>0AYG5YR</v>
          </cell>
          <cell r="AF1698">
            <v>202.44999999999982</v>
          </cell>
          <cell r="AG1698">
            <v>383.6</v>
          </cell>
          <cell r="AH1698">
            <v>383.6</v>
          </cell>
        </row>
        <row r="1699">
          <cell r="AE1699" t="str">
            <v>0G5G5YR</v>
          </cell>
          <cell r="AF1699">
            <v>202.44999999999982</v>
          </cell>
          <cell r="AG1699">
            <v>383.6</v>
          </cell>
          <cell r="AH1699">
            <v>383.6</v>
          </cell>
        </row>
        <row r="1700">
          <cell r="AE1700" t="str">
            <v>0J9G5YR</v>
          </cell>
          <cell r="AF1700">
            <v>202.44999999999982</v>
          </cell>
          <cell r="AG1700">
            <v>383.6</v>
          </cell>
          <cell r="AH1700">
            <v>383.6</v>
          </cell>
        </row>
        <row r="1701">
          <cell r="AE1701" t="str">
            <v>0M1G5YQ</v>
          </cell>
          <cell r="AF1701">
            <v>202.44999999999982</v>
          </cell>
          <cell r="AG1701">
            <v>383.6</v>
          </cell>
          <cell r="AH1701">
            <v>383.6</v>
          </cell>
        </row>
        <row r="1702">
          <cell r="AE1702" t="str">
            <v>0NMG5YR</v>
          </cell>
          <cell r="AF1702">
            <v>202.44999999999982</v>
          </cell>
          <cell r="AG1702">
            <v>383.6</v>
          </cell>
          <cell r="AH1702">
            <v>383.6</v>
          </cell>
        </row>
        <row r="1703">
          <cell r="AE1703" t="str">
            <v>0U8G5YQ</v>
          </cell>
          <cell r="AF1703">
            <v>202.44999999999982</v>
          </cell>
          <cell r="AG1703">
            <v>383.6</v>
          </cell>
          <cell r="AH1703">
            <v>383.6</v>
          </cell>
        </row>
        <row r="1704">
          <cell r="AE1704" t="str">
            <v>0X3G5YR</v>
          </cell>
          <cell r="AF1704">
            <v>202.44999999999982</v>
          </cell>
          <cell r="AG1704">
            <v>383.6</v>
          </cell>
          <cell r="AH1704">
            <v>383.6</v>
          </cell>
        </row>
        <row r="1705">
          <cell r="AE1705" t="str">
            <v>12TG5YR</v>
          </cell>
          <cell r="AF1705">
            <v>202.44999999999982</v>
          </cell>
          <cell r="AG1705">
            <v>383.6</v>
          </cell>
          <cell r="AH1705">
            <v>383.6</v>
          </cell>
        </row>
        <row r="1706">
          <cell r="AE1706" t="str">
            <v>15YG5YR</v>
          </cell>
          <cell r="AF1706">
            <v>202.44999999999982</v>
          </cell>
          <cell r="AG1706">
            <v>383.6</v>
          </cell>
          <cell r="AH1706">
            <v>383.6</v>
          </cell>
        </row>
        <row r="1707">
          <cell r="AE1707" t="str">
            <v>16RG5YR</v>
          </cell>
          <cell r="AF1707">
            <v>202.44999999999982</v>
          </cell>
          <cell r="AG1707">
            <v>383.6</v>
          </cell>
          <cell r="AH1707">
            <v>383.6</v>
          </cell>
        </row>
        <row r="1708">
          <cell r="AE1708" t="str">
            <v>1TCG5YR</v>
          </cell>
          <cell r="AF1708">
            <v>202.44999999999982</v>
          </cell>
          <cell r="AG1708">
            <v>383.6</v>
          </cell>
          <cell r="AH1708">
            <v>383.6</v>
          </cell>
        </row>
        <row r="1709">
          <cell r="AE1709" t="str">
            <v>1ZSG5YQ</v>
          </cell>
          <cell r="AF1709">
            <v>202.44999999999982</v>
          </cell>
          <cell r="AG1709">
            <v>383.6</v>
          </cell>
          <cell r="AH1709">
            <v>383.6</v>
          </cell>
        </row>
        <row r="1710">
          <cell r="AE1710" t="str">
            <v>23JG5YQ</v>
          </cell>
          <cell r="AF1710">
            <v>202.44999999999982</v>
          </cell>
          <cell r="AG1710">
            <v>383.6</v>
          </cell>
          <cell r="AH1710">
            <v>383.6</v>
          </cell>
        </row>
        <row r="1711">
          <cell r="AE1711" t="str">
            <v>24RG5YQ</v>
          </cell>
          <cell r="AF1711">
            <v>202.44999999999982</v>
          </cell>
          <cell r="AG1711">
            <v>383.6</v>
          </cell>
          <cell r="AH1711">
            <v>383.6</v>
          </cell>
        </row>
        <row r="1712">
          <cell r="AE1712" t="str">
            <v>25MG5YP</v>
          </cell>
          <cell r="AF1712">
            <v>202.44999999999982</v>
          </cell>
          <cell r="AG1712">
            <v>383.6</v>
          </cell>
          <cell r="AH1712">
            <v>383.6</v>
          </cell>
        </row>
        <row r="1713">
          <cell r="AE1713" t="str">
            <v>2BHG5YQ</v>
          </cell>
          <cell r="AF1713">
            <v>202.44999999999982</v>
          </cell>
          <cell r="AG1713">
            <v>383.6</v>
          </cell>
          <cell r="AH1713">
            <v>383.6</v>
          </cell>
        </row>
        <row r="1714">
          <cell r="AE1714" t="str">
            <v>2RKG5YQ</v>
          </cell>
          <cell r="AF1714">
            <v>202.44999999999982</v>
          </cell>
          <cell r="AG1714">
            <v>383.6</v>
          </cell>
          <cell r="AH1714">
            <v>383.6</v>
          </cell>
        </row>
        <row r="1715">
          <cell r="AE1715" t="str">
            <v>2RPG5YP</v>
          </cell>
          <cell r="AF1715">
            <v>202.44999999999982</v>
          </cell>
          <cell r="AG1715">
            <v>383.6</v>
          </cell>
          <cell r="AH1715">
            <v>383.6</v>
          </cell>
        </row>
        <row r="1716">
          <cell r="AE1716" t="str">
            <v>2Z9G5YQ</v>
          </cell>
          <cell r="AF1716">
            <v>202.44999999999982</v>
          </cell>
          <cell r="AG1716">
            <v>383.6</v>
          </cell>
          <cell r="AH1716">
            <v>383.6</v>
          </cell>
        </row>
        <row r="1717">
          <cell r="AE1717" t="str">
            <v>4ADG5YP</v>
          </cell>
          <cell r="AF1717">
            <v>202.44999999999982</v>
          </cell>
          <cell r="AG1717">
            <v>383.6</v>
          </cell>
          <cell r="AH1717">
            <v>383.6</v>
          </cell>
        </row>
        <row r="1718">
          <cell r="AE1718" t="str">
            <v>E1420051</v>
          </cell>
          <cell r="AF1718">
            <v>0</v>
          </cell>
          <cell r="AG1718">
            <v>179.4</v>
          </cell>
          <cell r="AH1718">
            <v>179.4</v>
          </cell>
        </row>
        <row r="1719">
          <cell r="AE1719" t="str">
            <v>E1420052</v>
          </cell>
          <cell r="AF1719">
            <v>0</v>
          </cell>
          <cell r="AG1719">
            <v>179.4</v>
          </cell>
          <cell r="AH1719">
            <v>179.4</v>
          </cell>
        </row>
        <row r="1720">
          <cell r="AE1720" t="str">
            <v>E1420053</v>
          </cell>
          <cell r="AF1720">
            <v>0</v>
          </cell>
          <cell r="AG1720">
            <v>179.4</v>
          </cell>
          <cell r="AH1720">
            <v>179.4</v>
          </cell>
        </row>
        <row r="1721">
          <cell r="AE1721" t="str">
            <v>E1420054</v>
          </cell>
          <cell r="AF1721">
            <v>0</v>
          </cell>
          <cell r="AG1721">
            <v>179.4</v>
          </cell>
          <cell r="AH1721">
            <v>179.4</v>
          </cell>
        </row>
        <row r="1722">
          <cell r="AE1722" t="str">
            <v>E1420055</v>
          </cell>
          <cell r="AF1722">
            <v>0</v>
          </cell>
          <cell r="AG1722">
            <v>179.4</v>
          </cell>
          <cell r="AH1722">
            <v>179.4</v>
          </cell>
        </row>
        <row r="1723">
          <cell r="AE1723" t="str">
            <v>F7KG5W0</v>
          </cell>
          <cell r="AF1723">
            <v>110.88000000000011</v>
          </cell>
          <cell r="AG1723">
            <v>210.1</v>
          </cell>
          <cell r="AH1723">
            <v>210.1</v>
          </cell>
        </row>
        <row r="1724">
          <cell r="AE1724" t="str">
            <v>G1JG5YP</v>
          </cell>
          <cell r="AF1724">
            <v>159.32999999999993</v>
          </cell>
          <cell r="AG1724">
            <v>301.89999999999998</v>
          </cell>
          <cell r="AH1724">
            <v>301.89999999999998</v>
          </cell>
        </row>
        <row r="1725">
          <cell r="AE1725" t="str">
            <v>E1420001</v>
          </cell>
          <cell r="AF1725">
            <v>0</v>
          </cell>
          <cell r="AG1725">
            <v>178.51</v>
          </cell>
          <cell r="AH1725">
            <v>178.51</v>
          </cell>
        </row>
        <row r="1726">
          <cell r="AE1726" t="str">
            <v>E1420002</v>
          </cell>
          <cell r="AF1726">
            <v>0</v>
          </cell>
          <cell r="AG1726">
            <v>178.51</v>
          </cell>
          <cell r="AH1726">
            <v>178.51</v>
          </cell>
        </row>
        <row r="1727">
          <cell r="AE1727" t="str">
            <v>E1420003</v>
          </cell>
          <cell r="AF1727">
            <v>0</v>
          </cell>
          <cell r="AG1727">
            <v>178.51</v>
          </cell>
          <cell r="AH1727">
            <v>178.51</v>
          </cell>
        </row>
        <row r="1728">
          <cell r="AE1728" t="str">
            <v>E1420004</v>
          </cell>
          <cell r="AF1728">
            <v>0</v>
          </cell>
          <cell r="AG1728">
            <v>178.51</v>
          </cell>
          <cell r="AH1728">
            <v>178.51</v>
          </cell>
        </row>
        <row r="1729">
          <cell r="AE1729" t="str">
            <v>E1420005</v>
          </cell>
          <cell r="AF1729">
            <v>0</v>
          </cell>
          <cell r="AG1729">
            <v>178.51</v>
          </cell>
          <cell r="AH1729">
            <v>178.51</v>
          </cell>
        </row>
        <row r="1730">
          <cell r="AE1730" t="str">
            <v>E1420006</v>
          </cell>
          <cell r="AF1730">
            <v>0</v>
          </cell>
          <cell r="AG1730">
            <v>178.51</v>
          </cell>
          <cell r="AH1730">
            <v>178.51</v>
          </cell>
        </row>
        <row r="1731">
          <cell r="AE1731" t="str">
            <v>E1420007</v>
          </cell>
          <cell r="AF1731">
            <v>0</v>
          </cell>
          <cell r="AG1731">
            <v>178.51</v>
          </cell>
          <cell r="AH1731">
            <v>178.51</v>
          </cell>
        </row>
        <row r="1732">
          <cell r="AE1732" t="str">
            <v>E1420008</v>
          </cell>
          <cell r="AF1732">
            <v>0</v>
          </cell>
          <cell r="AG1732">
            <v>178.51</v>
          </cell>
          <cell r="AH1732">
            <v>178.51</v>
          </cell>
        </row>
        <row r="1733">
          <cell r="AE1733" t="str">
            <v>0KQH1MD</v>
          </cell>
          <cell r="AF1733">
            <v>601.94999999999993</v>
          </cell>
          <cell r="AG1733">
            <v>258.60000000000002</v>
          </cell>
          <cell r="AH1733">
            <v>258.60000000000002</v>
          </cell>
        </row>
        <row r="1734">
          <cell r="AE1734" t="str">
            <v>01QH23Y</v>
          </cell>
          <cell r="AF1734">
            <v>475.28000000000009</v>
          </cell>
          <cell r="AG1734">
            <v>210.6</v>
          </cell>
          <cell r="AH1734">
            <v>210.6</v>
          </cell>
        </row>
        <row r="1735">
          <cell r="AE1735" t="str">
            <v>4GBHLFC</v>
          </cell>
          <cell r="AF1735">
            <v>259.95</v>
          </cell>
          <cell r="AG1735">
            <v>129</v>
          </cell>
          <cell r="AH1735">
            <v>129</v>
          </cell>
        </row>
        <row r="1736">
          <cell r="AE1736" t="str">
            <v xml:space="preserve">EE1000941    </v>
          </cell>
          <cell r="AF1736">
            <v>0</v>
          </cell>
          <cell r="AG1736">
            <v>10680</v>
          </cell>
          <cell r="AH1736">
            <v>2136</v>
          </cell>
        </row>
        <row r="1737">
          <cell r="AE1737" t="str">
            <v xml:space="preserve">EE1000942    </v>
          </cell>
          <cell r="AF1737">
            <v>0</v>
          </cell>
          <cell r="AG1737">
            <v>10680</v>
          </cell>
          <cell r="AH1737">
            <v>4272</v>
          </cell>
        </row>
        <row r="1738">
          <cell r="AE1738" t="str">
            <v xml:space="preserve">EE1000943    </v>
          </cell>
          <cell r="AF1738">
            <v>0</v>
          </cell>
          <cell r="AG1738">
            <v>10680</v>
          </cell>
          <cell r="AH1738">
            <v>2136</v>
          </cell>
        </row>
        <row r="1739">
          <cell r="AE1739" t="str">
            <v xml:space="preserve">EE1000944    </v>
          </cell>
          <cell r="AF1739">
            <v>0</v>
          </cell>
          <cell r="AG1739">
            <v>10680</v>
          </cell>
          <cell r="AH1739">
            <v>1068</v>
          </cell>
        </row>
        <row r="1740">
          <cell r="AE1740" t="str">
            <v xml:space="preserve">EE1000945    </v>
          </cell>
          <cell r="AF1740">
            <v>0</v>
          </cell>
          <cell r="AG1740">
            <v>10680</v>
          </cell>
          <cell r="AH1740">
            <v>1068</v>
          </cell>
        </row>
        <row r="1741">
          <cell r="AE1741" t="str">
            <v>E100883</v>
          </cell>
          <cell r="AF1741">
            <v>29555.559999999998</v>
          </cell>
          <cell r="AG1741">
            <v>11200</v>
          </cell>
          <cell r="AH1741">
            <v>11200</v>
          </cell>
        </row>
        <row r="1742">
          <cell r="AE1742" t="str">
            <v>EE100563</v>
          </cell>
          <cell r="AF1742">
            <v>0</v>
          </cell>
          <cell r="AG1742">
            <v>65097.23</v>
          </cell>
          <cell r="AH1742">
            <v>65097.23</v>
          </cell>
        </row>
        <row r="1743">
          <cell r="AE1743" t="str">
            <v xml:space="preserve">EE1001131    </v>
          </cell>
          <cell r="AF1743">
            <v>2.0000000004074536E-2</v>
          </cell>
          <cell r="AG1743">
            <v>48822.73</v>
          </cell>
          <cell r="AH1743">
            <v>6781.48</v>
          </cell>
        </row>
        <row r="1744">
          <cell r="AE1744" t="str">
            <v xml:space="preserve">EE10011310   </v>
          </cell>
          <cell r="AF1744">
            <v>0</v>
          </cell>
          <cell r="AG1744">
            <v>48822.73</v>
          </cell>
          <cell r="AH1744">
            <v>3388.3</v>
          </cell>
        </row>
        <row r="1745">
          <cell r="AE1745" t="str">
            <v xml:space="preserve">EE1001132    </v>
          </cell>
          <cell r="AF1745">
            <v>0</v>
          </cell>
          <cell r="AG1745">
            <v>48822.73</v>
          </cell>
          <cell r="AH1745">
            <v>8138.75</v>
          </cell>
        </row>
        <row r="1746">
          <cell r="AE1746" t="str">
            <v xml:space="preserve">EE1001133    </v>
          </cell>
          <cell r="AF1746">
            <v>0</v>
          </cell>
          <cell r="AG1746">
            <v>48822.73</v>
          </cell>
          <cell r="AH1746">
            <v>7460.11</v>
          </cell>
        </row>
        <row r="1747">
          <cell r="AE1747" t="str">
            <v xml:space="preserve">EE1001134    </v>
          </cell>
          <cell r="AF1747">
            <v>0</v>
          </cell>
          <cell r="AG1747">
            <v>48822.73</v>
          </cell>
          <cell r="AH1747">
            <v>7796.99</v>
          </cell>
        </row>
        <row r="1748">
          <cell r="AE1748" t="str">
            <v xml:space="preserve">EE1001135    </v>
          </cell>
          <cell r="AF1748">
            <v>0</v>
          </cell>
          <cell r="AG1748">
            <v>48822.73</v>
          </cell>
          <cell r="AH1748">
            <v>678.64</v>
          </cell>
        </row>
        <row r="1749">
          <cell r="AE1749" t="str">
            <v xml:space="preserve">EE1001136    </v>
          </cell>
          <cell r="AF1749">
            <v>0</v>
          </cell>
          <cell r="AG1749">
            <v>48822.73</v>
          </cell>
          <cell r="AH1749">
            <v>2035.91</v>
          </cell>
        </row>
        <row r="1750">
          <cell r="AE1750" t="str">
            <v xml:space="preserve">EE1001137    </v>
          </cell>
          <cell r="AF1750">
            <v>0</v>
          </cell>
          <cell r="AG1750">
            <v>48822.73</v>
          </cell>
          <cell r="AH1750">
            <v>5087.33</v>
          </cell>
        </row>
        <row r="1751">
          <cell r="AE1751" t="str">
            <v xml:space="preserve">EE1001138    </v>
          </cell>
          <cell r="AF1751">
            <v>0</v>
          </cell>
          <cell r="AG1751">
            <v>48822.73</v>
          </cell>
          <cell r="AH1751">
            <v>4066.93</v>
          </cell>
        </row>
        <row r="1752">
          <cell r="AE1752" t="str">
            <v xml:space="preserve">EE1001139    </v>
          </cell>
          <cell r="AF1752">
            <v>0</v>
          </cell>
          <cell r="AG1752">
            <v>48822.73</v>
          </cell>
          <cell r="AH1752">
            <v>3388.3</v>
          </cell>
        </row>
        <row r="1753">
          <cell r="AE1753" t="str">
            <v>AY8HLFC</v>
          </cell>
          <cell r="AF1753">
            <v>333.43</v>
          </cell>
          <cell r="AG1753">
            <v>126.35</v>
          </cell>
          <cell r="AH1753">
            <v>126.35</v>
          </cell>
        </row>
        <row r="1754">
          <cell r="AE1754" t="str">
            <v>B1LHLFC</v>
          </cell>
          <cell r="AF1754">
            <v>333.43</v>
          </cell>
          <cell r="AG1754">
            <v>126.35</v>
          </cell>
          <cell r="AH1754">
            <v>126.35</v>
          </cell>
        </row>
        <row r="1755">
          <cell r="AE1755" t="str">
            <v>BL7HLFC</v>
          </cell>
          <cell r="AF1755">
            <v>333.43</v>
          </cell>
          <cell r="AG1755">
            <v>126.35</v>
          </cell>
          <cell r="AH1755">
            <v>126.35</v>
          </cell>
        </row>
        <row r="1756">
          <cell r="AE1756" t="str">
            <v>BS1HLFC</v>
          </cell>
          <cell r="AF1756">
            <v>333.43</v>
          </cell>
          <cell r="AG1756">
            <v>126.35</v>
          </cell>
          <cell r="AH1756">
            <v>126.35</v>
          </cell>
        </row>
        <row r="1757">
          <cell r="AE1757" t="str">
            <v>CA6HLFC</v>
          </cell>
          <cell r="AF1757">
            <v>333.43</v>
          </cell>
          <cell r="AG1757">
            <v>126.35</v>
          </cell>
          <cell r="AH1757">
            <v>126.35</v>
          </cell>
        </row>
        <row r="1758">
          <cell r="AE1758" t="str">
            <v>EUSHLFC</v>
          </cell>
          <cell r="AF1758">
            <v>333.43</v>
          </cell>
          <cell r="AG1758">
            <v>126.35</v>
          </cell>
          <cell r="AH1758">
            <v>126.35</v>
          </cell>
        </row>
        <row r="1759">
          <cell r="AE1759" t="str">
            <v>2SDHLFC</v>
          </cell>
          <cell r="AF1759">
            <v>333.43</v>
          </cell>
          <cell r="AG1759">
            <v>126.35</v>
          </cell>
          <cell r="AH1759">
            <v>126.35</v>
          </cell>
        </row>
        <row r="1760">
          <cell r="AE1760" t="str">
            <v>4T9HLFC</v>
          </cell>
          <cell r="AF1760">
            <v>333.43</v>
          </cell>
          <cell r="AG1760">
            <v>126.35</v>
          </cell>
          <cell r="AH1760">
            <v>126.35</v>
          </cell>
        </row>
        <row r="1761">
          <cell r="AE1761" t="str">
            <v>5MGHLFC</v>
          </cell>
          <cell r="AF1761">
            <v>333.43</v>
          </cell>
          <cell r="AG1761">
            <v>126.35</v>
          </cell>
          <cell r="AH1761">
            <v>126.35</v>
          </cell>
        </row>
        <row r="1762">
          <cell r="AE1762" t="str">
            <v>6DAHLFC</v>
          </cell>
          <cell r="AF1762">
            <v>333.43</v>
          </cell>
          <cell r="AG1762">
            <v>126.35</v>
          </cell>
          <cell r="AH1762">
            <v>126.35</v>
          </cell>
        </row>
        <row r="1763">
          <cell r="AE1763" t="str">
            <v>6E5HLFC</v>
          </cell>
          <cell r="AF1763">
            <v>333.43</v>
          </cell>
          <cell r="AG1763">
            <v>126.35</v>
          </cell>
          <cell r="AH1763">
            <v>126.35</v>
          </cell>
        </row>
        <row r="1764">
          <cell r="AE1764" t="str">
            <v>A9HHLFC</v>
          </cell>
          <cell r="AF1764">
            <v>333.43</v>
          </cell>
          <cell r="AG1764">
            <v>126.35</v>
          </cell>
          <cell r="AH1764">
            <v>126.35</v>
          </cell>
        </row>
        <row r="1765">
          <cell r="AE1765" t="str">
            <v>AB7HLFC</v>
          </cell>
          <cell r="AF1765">
            <v>333.43</v>
          </cell>
          <cell r="AG1765">
            <v>126.35</v>
          </cell>
          <cell r="AH1765">
            <v>126.35</v>
          </cell>
        </row>
        <row r="1766">
          <cell r="AE1766" t="str">
            <v>AC2HLFC</v>
          </cell>
          <cell r="AF1766">
            <v>333.43</v>
          </cell>
          <cell r="AG1766">
            <v>126.35</v>
          </cell>
          <cell r="AH1766">
            <v>126.35</v>
          </cell>
        </row>
        <row r="1767">
          <cell r="AE1767" t="str">
            <v>AUFHLFC</v>
          </cell>
          <cell r="AF1767">
            <v>333.43</v>
          </cell>
          <cell r="AG1767">
            <v>126.35</v>
          </cell>
          <cell r="AH1767">
            <v>126.35</v>
          </cell>
        </row>
        <row r="1768">
          <cell r="AE1768" t="str">
            <v>AZNHLFC</v>
          </cell>
          <cell r="AF1768">
            <v>333.43</v>
          </cell>
          <cell r="AG1768">
            <v>126.35</v>
          </cell>
          <cell r="AH1768">
            <v>126.35</v>
          </cell>
        </row>
        <row r="1769">
          <cell r="AE1769" t="str">
            <v>D3AHLFC</v>
          </cell>
          <cell r="AF1769">
            <v>333.43</v>
          </cell>
          <cell r="AG1769">
            <v>126.35</v>
          </cell>
          <cell r="AH1769">
            <v>126.35</v>
          </cell>
        </row>
        <row r="1770">
          <cell r="AE1770" t="str">
            <v>D6KHLFC</v>
          </cell>
          <cell r="AF1770">
            <v>333.43</v>
          </cell>
          <cell r="AG1770">
            <v>126.35</v>
          </cell>
          <cell r="AH1770">
            <v>126.35</v>
          </cell>
        </row>
        <row r="1771">
          <cell r="AE1771" t="str">
            <v>DA2HLFC</v>
          </cell>
          <cell r="AF1771">
            <v>333.43</v>
          </cell>
          <cell r="AG1771">
            <v>126.35</v>
          </cell>
          <cell r="AH1771">
            <v>126.35</v>
          </cell>
        </row>
        <row r="1772">
          <cell r="AE1772" t="str">
            <v>DJXHLFC</v>
          </cell>
          <cell r="AF1772">
            <v>333.43</v>
          </cell>
          <cell r="AG1772">
            <v>126.35</v>
          </cell>
          <cell r="AH1772">
            <v>126.35</v>
          </cell>
        </row>
        <row r="1773">
          <cell r="AE1773" t="str">
            <v>77UHLFC</v>
          </cell>
          <cell r="AF1773">
            <v>333.43</v>
          </cell>
          <cell r="AG1773">
            <v>126.35</v>
          </cell>
          <cell r="AH1773">
            <v>126.35</v>
          </cell>
        </row>
        <row r="1774">
          <cell r="AE1774" t="str">
            <v>EAAHLFC</v>
          </cell>
          <cell r="AF1774">
            <v>333.43</v>
          </cell>
          <cell r="AG1774">
            <v>126.35</v>
          </cell>
          <cell r="AH1774">
            <v>126.35</v>
          </cell>
        </row>
        <row r="1775">
          <cell r="AE1775" t="str">
            <v>EFMHLFC</v>
          </cell>
          <cell r="AF1775">
            <v>333.43</v>
          </cell>
          <cell r="AG1775">
            <v>126.35</v>
          </cell>
          <cell r="AH1775">
            <v>126.35</v>
          </cell>
        </row>
        <row r="1776">
          <cell r="AE1776" t="str">
            <v>EL3HLFC</v>
          </cell>
          <cell r="AF1776">
            <v>333.43</v>
          </cell>
          <cell r="AG1776">
            <v>126.35</v>
          </cell>
          <cell r="AH1776">
            <v>126.35</v>
          </cell>
        </row>
        <row r="1777">
          <cell r="AE1777" t="str">
            <v>EMPHLFC</v>
          </cell>
          <cell r="AF1777">
            <v>333.43</v>
          </cell>
          <cell r="AG1777">
            <v>126.35</v>
          </cell>
          <cell r="AH1777">
            <v>126.35</v>
          </cell>
        </row>
        <row r="1778">
          <cell r="AE1778" t="str">
            <v>EVDHLFC</v>
          </cell>
          <cell r="AF1778">
            <v>333.43</v>
          </cell>
          <cell r="AG1778">
            <v>126.35</v>
          </cell>
          <cell r="AH1778">
            <v>126.35</v>
          </cell>
        </row>
        <row r="1779">
          <cell r="AE1779" t="str">
            <v>F56HLFC</v>
          </cell>
          <cell r="AF1779">
            <v>333.43</v>
          </cell>
          <cell r="AG1779">
            <v>126.35</v>
          </cell>
          <cell r="AH1779">
            <v>126.35</v>
          </cell>
        </row>
        <row r="1780">
          <cell r="AE1780" t="str">
            <v>F5KHLFC</v>
          </cell>
          <cell r="AF1780">
            <v>333.43</v>
          </cell>
          <cell r="AG1780">
            <v>126.35</v>
          </cell>
          <cell r="AH1780">
            <v>126.35</v>
          </cell>
        </row>
        <row r="1781">
          <cell r="AE1781" t="str">
            <v>FARHLFC</v>
          </cell>
          <cell r="AF1781">
            <v>333.43</v>
          </cell>
          <cell r="AG1781">
            <v>126.35</v>
          </cell>
          <cell r="AH1781">
            <v>126.35</v>
          </cell>
        </row>
        <row r="1782">
          <cell r="AE1782" t="str">
            <v>FL3HLFC</v>
          </cell>
          <cell r="AF1782">
            <v>333.43</v>
          </cell>
          <cell r="AG1782">
            <v>126.35</v>
          </cell>
          <cell r="AH1782">
            <v>126.35</v>
          </cell>
        </row>
        <row r="1783">
          <cell r="AE1783" t="str">
            <v>FQ0HLFC</v>
          </cell>
          <cell r="AF1783">
            <v>333.43</v>
          </cell>
          <cell r="AG1783">
            <v>126.35</v>
          </cell>
          <cell r="AH1783">
            <v>126.35</v>
          </cell>
        </row>
        <row r="1784">
          <cell r="AE1784" t="str">
            <v>8MPHLFC</v>
          </cell>
          <cell r="AF1784">
            <v>333.43</v>
          </cell>
          <cell r="AG1784">
            <v>126.35</v>
          </cell>
          <cell r="AH1784">
            <v>126.35</v>
          </cell>
        </row>
        <row r="1785">
          <cell r="AE1785" t="str">
            <v>FT6HLFC</v>
          </cell>
          <cell r="AF1785">
            <v>333.43</v>
          </cell>
          <cell r="AG1785">
            <v>126.35</v>
          </cell>
          <cell r="AH1785">
            <v>126.35</v>
          </cell>
        </row>
        <row r="1786">
          <cell r="AE1786" t="str">
            <v>G1RHLFC</v>
          </cell>
          <cell r="AF1786">
            <v>333.43</v>
          </cell>
          <cell r="AG1786">
            <v>126.35</v>
          </cell>
          <cell r="AH1786">
            <v>126.35</v>
          </cell>
        </row>
        <row r="1787">
          <cell r="AE1787" t="str">
            <v>GJ3HLFC</v>
          </cell>
          <cell r="AF1787">
            <v>333.43</v>
          </cell>
          <cell r="AG1787">
            <v>126.35</v>
          </cell>
          <cell r="AH1787">
            <v>126.35</v>
          </cell>
        </row>
        <row r="1788">
          <cell r="AE1788" t="str">
            <v>GKTHLFC</v>
          </cell>
          <cell r="AF1788">
            <v>333.43</v>
          </cell>
          <cell r="AG1788">
            <v>126.35</v>
          </cell>
          <cell r="AH1788">
            <v>126.35</v>
          </cell>
        </row>
        <row r="1789">
          <cell r="AE1789" t="str">
            <v>GLUHLFC</v>
          </cell>
          <cell r="AF1789">
            <v>333.43</v>
          </cell>
          <cell r="AG1789">
            <v>126.35</v>
          </cell>
          <cell r="AH1789">
            <v>126.35</v>
          </cell>
        </row>
        <row r="1790">
          <cell r="AE1790" t="str">
            <v>GPKHLFC</v>
          </cell>
          <cell r="AF1790">
            <v>333.43</v>
          </cell>
          <cell r="AG1790">
            <v>126.35</v>
          </cell>
          <cell r="AH1790">
            <v>126.35</v>
          </cell>
        </row>
        <row r="1791">
          <cell r="AE1791" t="str">
            <v>7U6HLFC</v>
          </cell>
          <cell r="AF1791">
            <v>333.43</v>
          </cell>
          <cell r="AG1791">
            <v>126.35</v>
          </cell>
          <cell r="AH1791">
            <v>126.35</v>
          </cell>
        </row>
        <row r="1792">
          <cell r="AE1792" t="str">
            <v>A07HLFC</v>
          </cell>
          <cell r="AF1792">
            <v>333.43</v>
          </cell>
          <cell r="AG1792">
            <v>126.35</v>
          </cell>
          <cell r="AH1792">
            <v>126.35</v>
          </cell>
        </row>
        <row r="1793">
          <cell r="AE1793" t="str">
            <v>AA2HLFC</v>
          </cell>
          <cell r="AF1793">
            <v>333.43</v>
          </cell>
          <cell r="AG1793">
            <v>126.35</v>
          </cell>
          <cell r="AH1793">
            <v>126.35</v>
          </cell>
        </row>
        <row r="1794">
          <cell r="AE1794" t="str">
            <v>ACQHLFC</v>
          </cell>
          <cell r="AF1794">
            <v>333.43</v>
          </cell>
          <cell r="AG1794">
            <v>126.35</v>
          </cell>
          <cell r="AH1794">
            <v>126.35</v>
          </cell>
        </row>
        <row r="1795">
          <cell r="AE1795" t="str">
            <v>ADZHLFC</v>
          </cell>
          <cell r="AF1795">
            <v>333.43</v>
          </cell>
          <cell r="AG1795">
            <v>126.35</v>
          </cell>
          <cell r="AH1795">
            <v>126.35</v>
          </cell>
        </row>
        <row r="1796">
          <cell r="AE1796" t="str">
            <v>AE5HLFC</v>
          </cell>
          <cell r="AF1796">
            <v>333.43</v>
          </cell>
          <cell r="AG1796">
            <v>126.35</v>
          </cell>
          <cell r="AH1796">
            <v>126.35</v>
          </cell>
        </row>
        <row r="1797">
          <cell r="AE1797" t="str">
            <v>AEBHLFC</v>
          </cell>
          <cell r="AF1797">
            <v>333.43</v>
          </cell>
          <cell r="AG1797">
            <v>126.35</v>
          </cell>
          <cell r="AH1797">
            <v>126.35</v>
          </cell>
        </row>
        <row r="1798">
          <cell r="AE1798" t="str">
            <v>0EZHLJM</v>
          </cell>
          <cell r="AF1798">
            <v>331.78</v>
          </cell>
          <cell r="AG1798">
            <v>216.8</v>
          </cell>
          <cell r="AH1798">
            <v>216.8</v>
          </cell>
        </row>
        <row r="1799">
          <cell r="AE1799" t="str">
            <v>20VG5W3</v>
          </cell>
          <cell r="AF1799">
            <v>618.69000000000005</v>
          </cell>
          <cell r="AG1799">
            <v>234.45</v>
          </cell>
          <cell r="AH1799">
            <v>234.45</v>
          </cell>
        </row>
        <row r="1800">
          <cell r="AE1800" t="str">
            <v>DB9G5W3</v>
          </cell>
          <cell r="AF1800">
            <v>387.5</v>
          </cell>
          <cell r="AG1800">
            <v>173.35</v>
          </cell>
          <cell r="AH1800">
            <v>173.35</v>
          </cell>
        </row>
        <row r="1801">
          <cell r="AE1801" t="str">
            <v>J6WG5YM</v>
          </cell>
          <cell r="AF1801">
            <v>726.62000000000035</v>
          </cell>
          <cell r="AG1801">
            <v>275.35000000000002</v>
          </cell>
          <cell r="AH1801">
            <v>275.35000000000002</v>
          </cell>
        </row>
        <row r="1802">
          <cell r="AE1802" t="str">
            <v>0P9GHKH</v>
          </cell>
          <cell r="AF1802">
            <v>358.23</v>
          </cell>
          <cell r="AG1802">
            <v>135.75</v>
          </cell>
          <cell r="AH1802">
            <v>135.75</v>
          </cell>
        </row>
        <row r="1803">
          <cell r="AE1803" t="str">
            <v>47SGHKC</v>
          </cell>
          <cell r="AF1803">
            <v>358.23</v>
          </cell>
          <cell r="AG1803">
            <v>135.75</v>
          </cell>
          <cell r="AH1803">
            <v>135.75</v>
          </cell>
        </row>
        <row r="1804">
          <cell r="AE1804" t="str">
            <v>48AGHKC</v>
          </cell>
          <cell r="AF1804">
            <v>358.23</v>
          </cell>
          <cell r="AG1804">
            <v>135.75</v>
          </cell>
          <cell r="AH1804">
            <v>135.75</v>
          </cell>
        </row>
        <row r="1805">
          <cell r="AE1805" t="str">
            <v>7WWGHKC</v>
          </cell>
          <cell r="AF1805">
            <v>358.23</v>
          </cell>
          <cell r="AG1805">
            <v>135.75</v>
          </cell>
          <cell r="AH1805">
            <v>135.75</v>
          </cell>
        </row>
        <row r="1806">
          <cell r="AE1806" t="str">
            <v>86NGHKC</v>
          </cell>
          <cell r="AF1806">
            <v>358.23</v>
          </cell>
          <cell r="AG1806">
            <v>135.75</v>
          </cell>
          <cell r="AH1806">
            <v>135.75</v>
          </cell>
        </row>
        <row r="1807">
          <cell r="AE1807" t="str">
            <v>HYMGHKH</v>
          </cell>
          <cell r="AF1807">
            <v>358.23</v>
          </cell>
          <cell r="AG1807">
            <v>135.75</v>
          </cell>
          <cell r="AH1807">
            <v>135.75</v>
          </cell>
        </row>
        <row r="1808">
          <cell r="AE1808" t="str">
            <v>LQ1GHKH</v>
          </cell>
          <cell r="AF1808">
            <v>358.23</v>
          </cell>
          <cell r="AG1808">
            <v>135.75</v>
          </cell>
          <cell r="AH1808">
            <v>135.75</v>
          </cell>
        </row>
        <row r="1809">
          <cell r="AE1809" t="str">
            <v>GJ7GHKK</v>
          </cell>
          <cell r="AF1809">
            <v>410.09999999999997</v>
          </cell>
          <cell r="AG1809">
            <v>155.4</v>
          </cell>
          <cell r="AH1809">
            <v>155.4</v>
          </cell>
        </row>
        <row r="1810">
          <cell r="AE1810" t="str">
            <v>OREH1MV</v>
          </cell>
          <cell r="AF1810">
            <v>668.30000000000018</v>
          </cell>
          <cell r="AG1810">
            <v>253.25</v>
          </cell>
          <cell r="AH1810">
            <v>253.25</v>
          </cell>
        </row>
        <row r="1811">
          <cell r="AE1811" t="str">
            <v>6JZGRY7</v>
          </cell>
          <cell r="AF1811">
            <v>662.86999999999989</v>
          </cell>
          <cell r="AG1811">
            <v>251.2</v>
          </cell>
          <cell r="AH1811">
            <v>251.2</v>
          </cell>
        </row>
        <row r="1812">
          <cell r="AE1812" t="str">
            <v>6UJGRY7</v>
          </cell>
          <cell r="AF1812">
            <v>662.86999999999989</v>
          </cell>
          <cell r="AG1812">
            <v>251.2</v>
          </cell>
          <cell r="AH1812">
            <v>251.2</v>
          </cell>
        </row>
        <row r="1813">
          <cell r="AE1813" t="str">
            <v>Z49GRY7</v>
          </cell>
          <cell r="AF1813">
            <v>662.86999999999989</v>
          </cell>
          <cell r="AG1813">
            <v>251.2</v>
          </cell>
          <cell r="AH1813">
            <v>251.2</v>
          </cell>
        </row>
        <row r="1814">
          <cell r="AE1814" t="str">
            <v>0142687</v>
          </cell>
          <cell r="AF1814">
            <v>755.12000000000035</v>
          </cell>
          <cell r="AG1814">
            <v>286.14999999999998</v>
          </cell>
          <cell r="AH1814">
            <v>286.14999999999998</v>
          </cell>
        </row>
        <row r="1815">
          <cell r="AE1815" t="str">
            <v>0429132</v>
          </cell>
          <cell r="AF1815">
            <v>755.12000000000035</v>
          </cell>
          <cell r="AG1815">
            <v>286.14999999999998</v>
          </cell>
          <cell r="AH1815">
            <v>286.14999999999998</v>
          </cell>
        </row>
        <row r="1816">
          <cell r="AE1816" t="str">
            <v>2772418</v>
          </cell>
          <cell r="AF1816">
            <v>854.34999999999991</v>
          </cell>
          <cell r="AG1816">
            <v>323.7</v>
          </cell>
          <cell r="AH1816">
            <v>323.7</v>
          </cell>
        </row>
        <row r="1817">
          <cell r="AE1817" t="str">
            <v>9622285</v>
          </cell>
          <cell r="AF1817">
            <v>854.34999999999991</v>
          </cell>
          <cell r="AG1817">
            <v>323.7</v>
          </cell>
          <cell r="AH1817">
            <v>323.7</v>
          </cell>
        </row>
        <row r="1818">
          <cell r="AE1818" t="str">
            <v>9699507</v>
          </cell>
          <cell r="AF1818">
            <v>854.34999999999991</v>
          </cell>
          <cell r="AG1818">
            <v>323.7</v>
          </cell>
          <cell r="AH1818">
            <v>323.7</v>
          </cell>
        </row>
        <row r="1819">
          <cell r="AE1819" t="str">
            <v>ER9LPRAC</v>
          </cell>
          <cell r="AF1819">
            <v>0</v>
          </cell>
          <cell r="AG1819">
            <v>474.75</v>
          </cell>
          <cell r="AH1819">
            <v>474.75</v>
          </cell>
        </row>
        <row r="1820">
          <cell r="AE1820" t="str">
            <v>EFFDPB2X</v>
          </cell>
          <cell r="AF1820">
            <v>0</v>
          </cell>
          <cell r="AG1820">
            <v>635.78</v>
          </cell>
          <cell r="AH1820">
            <v>635.78</v>
          </cell>
        </row>
        <row r="1821">
          <cell r="AE1821" t="str">
            <v>EGFDPB2X</v>
          </cell>
          <cell r="AF1821">
            <v>0</v>
          </cell>
          <cell r="AG1821">
            <v>635.78</v>
          </cell>
          <cell r="AH1821">
            <v>635.78</v>
          </cell>
        </row>
        <row r="1822">
          <cell r="AE1822" t="str">
            <v>E9FSZB2X</v>
          </cell>
          <cell r="AF1822">
            <v>0</v>
          </cell>
          <cell r="AG1822">
            <v>549.78</v>
          </cell>
          <cell r="AH1822">
            <v>549.78</v>
          </cell>
        </row>
        <row r="1823">
          <cell r="AE1823" t="str">
            <v>EGDDSH2X</v>
          </cell>
          <cell r="AF1823">
            <v>0</v>
          </cell>
          <cell r="AG1823">
            <v>457.53</v>
          </cell>
          <cell r="AH1823">
            <v>457.53</v>
          </cell>
        </row>
        <row r="1824">
          <cell r="AE1824" t="str">
            <v>ECB1R3Q1</v>
          </cell>
          <cell r="AF1824">
            <v>0</v>
          </cell>
          <cell r="AG1824">
            <v>428</v>
          </cell>
          <cell r="AH1824">
            <v>428</v>
          </cell>
        </row>
        <row r="1825">
          <cell r="AE1825" t="str">
            <v>EF4HQ3Q1</v>
          </cell>
          <cell r="AF1825">
            <v>0</v>
          </cell>
          <cell r="AG1825">
            <v>428</v>
          </cell>
          <cell r="AH1825">
            <v>428</v>
          </cell>
        </row>
        <row r="1826">
          <cell r="AE1826" t="str">
            <v>EE100600</v>
          </cell>
          <cell r="AF1826">
            <v>0</v>
          </cell>
          <cell r="AG1826">
            <v>474.5</v>
          </cell>
          <cell r="AH1826">
            <v>474.5</v>
          </cell>
        </row>
        <row r="1827">
          <cell r="AE1827" t="str">
            <v>EE100602</v>
          </cell>
          <cell r="AF1827">
            <v>0</v>
          </cell>
          <cell r="AG1827">
            <v>474.5</v>
          </cell>
          <cell r="AH1827">
            <v>474.5</v>
          </cell>
        </row>
        <row r="1828">
          <cell r="AE1828" t="str">
            <v>EE100603</v>
          </cell>
          <cell r="AF1828">
            <v>0</v>
          </cell>
          <cell r="AG1828">
            <v>474.5</v>
          </cell>
          <cell r="AH1828">
            <v>474.5</v>
          </cell>
        </row>
        <row r="1829">
          <cell r="AE1829" t="str">
            <v>EE100604</v>
          </cell>
          <cell r="AF1829">
            <v>0</v>
          </cell>
          <cell r="AG1829">
            <v>474.5</v>
          </cell>
          <cell r="AH1829">
            <v>474.5</v>
          </cell>
        </row>
        <row r="1830">
          <cell r="AE1830" t="str">
            <v>EE100606</v>
          </cell>
          <cell r="AF1830">
            <v>0</v>
          </cell>
          <cell r="AG1830">
            <v>474.5</v>
          </cell>
          <cell r="AH1830">
            <v>474.5</v>
          </cell>
        </row>
        <row r="1831">
          <cell r="AE1831" t="str">
            <v xml:space="preserve">IT0000971    </v>
          </cell>
          <cell r="AF1831">
            <v>9.9999999983992893E-3</v>
          </cell>
          <cell r="AG1831">
            <v>14171.45</v>
          </cell>
          <cell r="AH1831">
            <v>1717.58</v>
          </cell>
        </row>
        <row r="1832">
          <cell r="AE1832" t="str">
            <v xml:space="preserve">IT00009710   </v>
          </cell>
          <cell r="AF1832">
            <v>0</v>
          </cell>
          <cell r="AG1832">
            <v>14171.45</v>
          </cell>
          <cell r="AH1832">
            <v>429.39</v>
          </cell>
        </row>
        <row r="1833">
          <cell r="AE1833" t="str">
            <v xml:space="preserve">IT00009711   </v>
          </cell>
          <cell r="AF1833">
            <v>0</v>
          </cell>
          <cell r="AG1833">
            <v>14171.45</v>
          </cell>
          <cell r="AH1833">
            <v>429.39</v>
          </cell>
        </row>
        <row r="1834">
          <cell r="AE1834" t="str">
            <v xml:space="preserve">IT00009712   </v>
          </cell>
          <cell r="AF1834">
            <v>0</v>
          </cell>
          <cell r="AG1834">
            <v>14171.45</v>
          </cell>
          <cell r="AH1834">
            <v>858.79</v>
          </cell>
        </row>
        <row r="1835">
          <cell r="AE1835" t="str">
            <v xml:space="preserve">IT00009713   </v>
          </cell>
          <cell r="AF1835">
            <v>0</v>
          </cell>
          <cell r="AG1835">
            <v>14171.45</v>
          </cell>
          <cell r="AH1835">
            <v>858.79</v>
          </cell>
        </row>
        <row r="1836">
          <cell r="AE1836" t="str">
            <v xml:space="preserve">IT00009714   </v>
          </cell>
          <cell r="AF1836">
            <v>0</v>
          </cell>
          <cell r="AG1836">
            <v>14171.45</v>
          </cell>
          <cell r="AH1836">
            <v>1719</v>
          </cell>
        </row>
        <row r="1837">
          <cell r="AE1837" t="str">
            <v xml:space="preserve">IT00009715   </v>
          </cell>
          <cell r="AF1837">
            <v>0</v>
          </cell>
          <cell r="AG1837">
            <v>14171.45</v>
          </cell>
          <cell r="AH1837">
            <v>429.39</v>
          </cell>
        </row>
        <row r="1838">
          <cell r="AE1838" t="str">
            <v xml:space="preserve">IT00009716   </v>
          </cell>
          <cell r="AF1838">
            <v>0</v>
          </cell>
          <cell r="AG1838">
            <v>14171.45</v>
          </cell>
          <cell r="AH1838">
            <v>858.79</v>
          </cell>
        </row>
        <row r="1839">
          <cell r="AE1839" t="str">
            <v xml:space="preserve">IT00009717   </v>
          </cell>
          <cell r="AF1839">
            <v>0</v>
          </cell>
          <cell r="AG1839">
            <v>14171.45</v>
          </cell>
          <cell r="AH1839">
            <v>429.39</v>
          </cell>
        </row>
        <row r="1840">
          <cell r="AE1840" t="str">
            <v xml:space="preserve">IT0000972    </v>
          </cell>
          <cell r="AF1840">
            <v>0</v>
          </cell>
          <cell r="AG1840">
            <v>14171.45</v>
          </cell>
          <cell r="AH1840">
            <v>429.39</v>
          </cell>
        </row>
        <row r="1841">
          <cell r="AE1841" t="str">
            <v xml:space="preserve">IT0000973    </v>
          </cell>
          <cell r="AF1841">
            <v>0</v>
          </cell>
          <cell r="AG1841">
            <v>14171.45</v>
          </cell>
          <cell r="AH1841">
            <v>429.39</v>
          </cell>
        </row>
        <row r="1842">
          <cell r="AE1842" t="str">
            <v xml:space="preserve">IT0000974    </v>
          </cell>
          <cell r="AF1842">
            <v>0</v>
          </cell>
          <cell r="AG1842">
            <v>14171.45</v>
          </cell>
          <cell r="AH1842">
            <v>429.39</v>
          </cell>
        </row>
        <row r="1843">
          <cell r="AE1843" t="str">
            <v xml:space="preserve">IT0000975    </v>
          </cell>
          <cell r="AF1843">
            <v>0</v>
          </cell>
          <cell r="AG1843">
            <v>14171.45</v>
          </cell>
          <cell r="AH1843">
            <v>429.39</v>
          </cell>
        </row>
        <row r="1844">
          <cell r="AE1844" t="str">
            <v xml:space="preserve">IT0000976    </v>
          </cell>
          <cell r="AF1844">
            <v>0</v>
          </cell>
          <cell r="AG1844">
            <v>14171.45</v>
          </cell>
          <cell r="AH1844">
            <v>1717.58</v>
          </cell>
        </row>
        <row r="1845">
          <cell r="AE1845" t="str">
            <v xml:space="preserve">IT0000977    </v>
          </cell>
          <cell r="AF1845">
            <v>0</v>
          </cell>
          <cell r="AG1845">
            <v>14171.45</v>
          </cell>
          <cell r="AH1845">
            <v>858.79</v>
          </cell>
        </row>
        <row r="1846">
          <cell r="AE1846" t="str">
            <v xml:space="preserve">IT0000978    </v>
          </cell>
          <cell r="AF1846">
            <v>0</v>
          </cell>
          <cell r="AG1846">
            <v>14171.45</v>
          </cell>
          <cell r="AH1846">
            <v>1717.58</v>
          </cell>
        </row>
        <row r="1847">
          <cell r="AE1847" t="str">
            <v xml:space="preserve">IT0000979    </v>
          </cell>
          <cell r="AF1847">
            <v>0</v>
          </cell>
          <cell r="AG1847">
            <v>14171.45</v>
          </cell>
          <cell r="AH1847">
            <v>429.39</v>
          </cell>
        </row>
        <row r="1848">
          <cell r="AE1848" t="str">
            <v>EPK04XVR</v>
          </cell>
          <cell r="AF1848">
            <v>0</v>
          </cell>
          <cell r="AG1848">
            <v>408.1</v>
          </cell>
          <cell r="AH1848">
            <v>408.1</v>
          </cell>
        </row>
        <row r="1849">
          <cell r="AE1849" t="str">
            <v>ER9ZDLA7</v>
          </cell>
          <cell r="AF1849">
            <v>0</v>
          </cell>
          <cell r="AG1849">
            <v>408.1</v>
          </cell>
          <cell r="AH1849">
            <v>408.1</v>
          </cell>
        </row>
        <row r="1850">
          <cell r="AE1850" t="str">
            <v>IT000111</v>
          </cell>
          <cell r="AF1850">
            <v>0</v>
          </cell>
          <cell r="AG1850">
            <v>816.2</v>
          </cell>
          <cell r="AH1850">
            <v>816.2</v>
          </cell>
        </row>
        <row r="1851">
          <cell r="AE1851" t="str">
            <v>ER9MT4V6</v>
          </cell>
          <cell r="AF1851">
            <v>0</v>
          </cell>
          <cell r="AG1851">
            <v>474.75</v>
          </cell>
          <cell r="AH1851">
            <v>474.75</v>
          </cell>
        </row>
        <row r="1852">
          <cell r="AE1852" t="str">
            <v>ER9P0F9C</v>
          </cell>
          <cell r="AF1852">
            <v>0</v>
          </cell>
          <cell r="AG1852">
            <v>446.25</v>
          </cell>
          <cell r="AH1852">
            <v>446.25</v>
          </cell>
        </row>
        <row r="1853">
          <cell r="AE1853" t="str">
            <v>ER9PAE8Z</v>
          </cell>
          <cell r="AF1853">
            <v>0</v>
          </cell>
          <cell r="AG1853">
            <v>432.5</v>
          </cell>
          <cell r="AH1853">
            <v>432.5</v>
          </cell>
        </row>
        <row r="1854">
          <cell r="AE1854" t="str">
            <v>73549K8</v>
          </cell>
          <cell r="AF1854">
            <v>691.62</v>
          </cell>
          <cell r="AG1854">
            <v>347</v>
          </cell>
          <cell r="AH1854">
            <v>347</v>
          </cell>
        </row>
        <row r="1855">
          <cell r="AE1855" t="str">
            <v>73549KF</v>
          </cell>
          <cell r="AF1855">
            <v>691.62</v>
          </cell>
          <cell r="AG1855">
            <v>347</v>
          </cell>
          <cell r="AH1855">
            <v>347</v>
          </cell>
        </row>
        <row r="1856">
          <cell r="AE1856" t="str">
            <v>73549KR</v>
          </cell>
          <cell r="AF1856">
            <v>691.62</v>
          </cell>
          <cell r="AG1856">
            <v>347</v>
          </cell>
          <cell r="AH1856">
            <v>347</v>
          </cell>
        </row>
        <row r="1857">
          <cell r="AE1857" t="str">
            <v>73549KY</v>
          </cell>
          <cell r="AF1857">
            <v>691.62</v>
          </cell>
          <cell r="AG1857">
            <v>347</v>
          </cell>
          <cell r="AH1857">
            <v>347</v>
          </cell>
        </row>
        <row r="1858">
          <cell r="AE1858" t="str">
            <v>73549L7</v>
          </cell>
          <cell r="AF1858">
            <v>691.62</v>
          </cell>
          <cell r="AG1858">
            <v>347</v>
          </cell>
          <cell r="AH1858">
            <v>347</v>
          </cell>
        </row>
        <row r="1859">
          <cell r="AE1859" t="str">
            <v>73549LD</v>
          </cell>
          <cell r="AF1859">
            <v>691.62</v>
          </cell>
          <cell r="AG1859">
            <v>347</v>
          </cell>
          <cell r="AH1859">
            <v>347</v>
          </cell>
        </row>
        <row r="1860">
          <cell r="AE1860" t="str">
            <v>7024MYN?</v>
          </cell>
          <cell r="AF1860">
            <v>772.5</v>
          </cell>
          <cell r="AG1860">
            <v>292.74</v>
          </cell>
          <cell r="AH1860">
            <v>292.74</v>
          </cell>
        </row>
        <row r="1861">
          <cell r="AE1861" t="str">
            <v>?7024MXM</v>
          </cell>
          <cell r="AF1861">
            <v>772.5</v>
          </cell>
          <cell r="AG1861">
            <v>292.74</v>
          </cell>
          <cell r="AH1861">
            <v>292.74</v>
          </cell>
        </row>
        <row r="1862">
          <cell r="AE1862" t="str">
            <v>?7024MXX</v>
          </cell>
          <cell r="AF1862">
            <v>772.5</v>
          </cell>
          <cell r="AG1862">
            <v>292.74</v>
          </cell>
          <cell r="AH1862">
            <v>292.74</v>
          </cell>
        </row>
        <row r="1863">
          <cell r="AE1863" t="str">
            <v>?7024MY2</v>
          </cell>
          <cell r="AF1863">
            <v>772.5</v>
          </cell>
          <cell r="AG1863">
            <v>292.74</v>
          </cell>
          <cell r="AH1863">
            <v>292.74</v>
          </cell>
        </row>
        <row r="1864">
          <cell r="AE1864" t="str">
            <v>?7024MYH</v>
          </cell>
          <cell r="AF1864">
            <v>772.5</v>
          </cell>
          <cell r="AG1864">
            <v>292.74</v>
          </cell>
          <cell r="AH1864">
            <v>292.74</v>
          </cell>
        </row>
        <row r="1865">
          <cell r="AE1865" t="str">
            <v>MS46T00</v>
          </cell>
          <cell r="AF1865">
            <v>1133.3999999999999</v>
          </cell>
          <cell r="AG1865">
            <v>429.5</v>
          </cell>
          <cell r="AH1865">
            <v>429.5</v>
          </cell>
        </row>
        <row r="1866">
          <cell r="AE1866" t="str">
            <v>C0HP9JC</v>
          </cell>
          <cell r="AF1866">
            <v>1453.42</v>
          </cell>
          <cell r="AG1866">
            <v>550.77</v>
          </cell>
          <cell r="AH1866">
            <v>550.77</v>
          </cell>
        </row>
        <row r="1867">
          <cell r="AE1867" t="str">
            <v>00716SH</v>
          </cell>
          <cell r="AF1867">
            <v>1158.7199999999993</v>
          </cell>
          <cell r="AG1867">
            <v>439.1</v>
          </cell>
          <cell r="AH1867">
            <v>439.1</v>
          </cell>
        </row>
        <row r="1868">
          <cell r="AE1868" t="str">
            <v>00716SM</v>
          </cell>
          <cell r="AF1868">
            <v>1158.7199999999993</v>
          </cell>
          <cell r="AG1868">
            <v>439.1</v>
          </cell>
          <cell r="AH1868">
            <v>439.1</v>
          </cell>
        </row>
        <row r="1869">
          <cell r="AE1869" t="str">
            <v>00716SR</v>
          </cell>
          <cell r="AF1869">
            <v>1158.7199999999993</v>
          </cell>
          <cell r="AG1869">
            <v>439.1</v>
          </cell>
          <cell r="AH1869">
            <v>439.1</v>
          </cell>
        </row>
        <row r="1870">
          <cell r="AE1870" t="str">
            <v>00716ST</v>
          </cell>
          <cell r="AF1870">
            <v>1158.7199999999993</v>
          </cell>
          <cell r="AG1870">
            <v>439.1</v>
          </cell>
          <cell r="AH1870">
            <v>439.1</v>
          </cell>
        </row>
        <row r="1871">
          <cell r="AE1871" t="str">
            <v>0073F1Y</v>
          </cell>
          <cell r="AF1871">
            <v>1158.7199999999993</v>
          </cell>
          <cell r="AG1871">
            <v>439.1</v>
          </cell>
          <cell r="AH1871">
            <v>439.1</v>
          </cell>
        </row>
        <row r="1872">
          <cell r="AE1872" t="str">
            <v>0073F1Z</v>
          </cell>
          <cell r="AF1872">
            <v>1158.7199999999993</v>
          </cell>
          <cell r="AG1872">
            <v>439.1</v>
          </cell>
          <cell r="AH1872">
            <v>439.1</v>
          </cell>
        </row>
        <row r="1873">
          <cell r="AE1873" t="str">
            <v>0073F26?</v>
          </cell>
          <cell r="AF1873">
            <v>1158.7199999999993</v>
          </cell>
          <cell r="AG1873">
            <v>439.1</v>
          </cell>
          <cell r="AH1873">
            <v>439.1</v>
          </cell>
        </row>
        <row r="1874">
          <cell r="AE1874" t="str">
            <v>0079WS7</v>
          </cell>
          <cell r="AF1874">
            <v>1158.7199999999993</v>
          </cell>
          <cell r="AG1874">
            <v>439.1</v>
          </cell>
          <cell r="AH1874">
            <v>439.1</v>
          </cell>
        </row>
        <row r="1875">
          <cell r="AE1875" t="str">
            <v>007JEHG</v>
          </cell>
          <cell r="AF1875">
            <v>1158.7199999999993</v>
          </cell>
          <cell r="AG1875">
            <v>439.1</v>
          </cell>
          <cell r="AH1875">
            <v>439.1</v>
          </cell>
        </row>
        <row r="1876">
          <cell r="AE1876" t="str">
            <v>?C0DLJQK</v>
          </cell>
          <cell r="AF1876">
            <v>1700.5</v>
          </cell>
          <cell r="AG1876">
            <v>644.4</v>
          </cell>
          <cell r="AH1876">
            <v>644.4</v>
          </cell>
        </row>
        <row r="1877">
          <cell r="AE1877" t="str">
            <v>C0DLLUT</v>
          </cell>
          <cell r="AF1877">
            <v>1700.5</v>
          </cell>
          <cell r="AG1877">
            <v>644.4</v>
          </cell>
          <cell r="AH1877">
            <v>644.4</v>
          </cell>
        </row>
        <row r="1878">
          <cell r="AE1878" t="str">
            <v>E0008556</v>
          </cell>
          <cell r="AF1878">
            <v>0</v>
          </cell>
          <cell r="AG1878">
            <v>983.15</v>
          </cell>
          <cell r="AH1878">
            <v>983.15</v>
          </cell>
        </row>
        <row r="1879">
          <cell r="AE1879" t="str">
            <v>EE100057</v>
          </cell>
          <cell r="AF1879">
            <v>0</v>
          </cell>
          <cell r="AG1879">
            <v>1735.46</v>
          </cell>
          <cell r="AH1879">
            <v>1735.46</v>
          </cell>
        </row>
        <row r="1880">
          <cell r="AE1880" t="str">
            <v xml:space="preserve">EE1001141    </v>
          </cell>
          <cell r="AF1880">
            <v>-9.9999999983992893E-3</v>
          </cell>
          <cell r="AG1880">
            <v>6885</v>
          </cell>
          <cell r="AH1880">
            <v>1595.25</v>
          </cell>
        </row>
        <row r="1881">
          <cell r="AE1881" t="str">
            <v xml:space="preserve">EE1001142    </v>
          </cell>
          <cell r="AF1881">
            <v>0</v>
          </cell>
          <cell r="AG1881">
            <v>6885</v>
          </cell>
          <cell r="AH1881">
            <v>4015.33</v>
          </cell>
        </row>
        <row r="1882">
          <cell r="AE1882" t="str">
            <v xml:space="preserve">EE1001143    </v>
          </cell>
          <cell r="AF1882">
            <v>0</v>
          </cell>
          <cell r="AG1882">
            <v>6885</v>
          </cell>
          <cell r="AH1882">
            <v>333.23</v>
          </cell>
        </row>
        <row r="1883">
          <cell r="AE1883" t="str">
            <v xml:space="preserve">EE1001144    </v>
          </cell>
          <cell r="AF1883">
            <v>0</v>
          </cell>
          <cell r="AG1883">
            <v>6885</v>
          </cell>
          <cell r="AH1883">
            <v>244.42</v>
          </cell>
        </row>
        <row r="1884">
          <cell r="AE1884" t="str">
            <v xml:space="preserve">EE1001145    </v>
          </cell>
          <cell r="AF1884">
            <v>0</v>
          </cell>
          <cell r="AG1884">
            <v>6885</v>
          </cell>
          <cell r="AH1884">
            <v>269.89</v>
          </cell>
        </row>
        <row r="1885">
          <cell r="AE1885" t="str">
            <v xml:space="preserve">EE1001146    </v>
          </cell>
          <cell r="AF1885">
            <v>0</v>
          </cell>
          <cell r="AG1885">
            <v>6885</v>
          </cell>
          <cell r="AH1885">
            <v>426.87</v>
          </cell>
        </row>
        <row r="1886">
          <cell r="AE1886" t="str">
            <v>0DUF9VM</v>
          </cell>
          <cell r="AF1886">
            <v>2625.7000000000007</v>
          </cell>
          <cell r="AG1886">
            <v>995</v>
          </cell>
          <cell r="AH1886">
            <v>995</v>
          </cell>
        </row>
        <row r="1887">
          <cell r="AE1887" t="str">
            <v>A0JFVH5</v>
          </cell>
          <cell r="AF1887">
            <v>1109.25</v>
          </cell>
          <cell r="AG1887">
            <v>496.25</v>
          </cell>
          <cell r="AH1887">
            <v>496.25</v>
          </cell>
        </row>
        <row r="1888">
          <cell r="AE1888" t="str">
            <v>E0008946</v>
          </cell>
          <cell r="AF1888">
            <v>0</v>
          </cell>
          <cell r="AG1888">
            <v>7604.88</v>
          </cell>
          <cell r="AH1888">
            <v>7604.88</v>
          </cell>
        </row>
        <row r="1889">
          <cell r="AE1889" t="str">
            <v>E0008947</v>
          </cell>
          <cell r="AF1889">
            <v>0</v>
          </cell>
          <cell r="AG1889">
            <v>7604.88</v>
          </cell>
          <cell r="AH1889">
            <v>7604.88</v>
          </cell>
        </row>
        <row r="1890">
          <cell r="AE1890" t="str">
            <v>E0008948</v>
          </cell>
          <cell r="AF1890">
            <v>0</v>
          </cell>
          <cell r="AG1890">
            <v>3770.48</v>
          </cell>
          <cell r="AH1890">
            <v>3770.48</v>
          </cell>
        </row>
        <row r="1891">
          <cell r="AE1891" t="str">
            <v>E0008949</v>
          </cell>
          <cell r="AF1891">
            <v>0</v>
          </cell>
          <cell r="AG1891">
            <v>3770.48</v>
          </cell>
          <cell r="AH1891">
            <v>3770.48</v>
          </cell>
        </row>
        <row r="1892">
          <cell r="AE1892" t="str">
            <v>E0008950</v>
          </cell>
          <cell r="AF1892">
            <v>0</v>
          </cell>
          <cell r="AG1892">
            <v>4729.08</v>
          </cell>
          <cell r="AH1892">
            <v>4729.08</v>
          </cell>
        </row>
        <row r="1893">
          <cell r="AE1893" t="str">
            <v>E0008951</v>
          </cell>
          <cell r="AF1893">
            <v>0</v>
          </cell>
          <cell r="AG1893">
            <v>4729.08</v>
          </cell>
          <cell r="AH1893">
            <v>4729.08</v>
          </cell>
        </row>
        <row r="1894">
          <cell r="AE1894" t="str">
            <v>E0008952</v>
          </cell>
          <cell r="AF1894">
            <v>0</v>
          </cell>
          <cell r="AG1894">
            <v>4729.08</v>
          </cell>
          <cell r="AH1894">
            <v>4729.08</v>
          </cell>
        </row>
        <row r="1895">
          <cell r="AE1895" t="str">
            <v>E0008953</v>
          </cell>
          <cell r="AF1895">
            <v>0</v>
          </cell>
          <cell r="AG1895">
            <v>4729.08</v>
          </cell>
          <cell r="AH1895">
            <v>4729.08</v>
          </cell>
        </row>
        <row r="1896">
          <cell r="AE1896" t="str">
            <v>E0008954</v>
          </cell>
          <cell r="AF1896">
            <v>0</v>
          </cell>
          <cell r="AG1896">
            <v>4729.08</v>
          </cell>
          <cell r="AH1896">
            <v>4729.08</v>
          </cell>
        </row>
        <row r="1897">
          <cell r="AE1897" t="str">
            <v>E0008955</v>
          </cell>
          <cell r="AF1897">
            <v>0</v>
          </cell>
          <cell r="AG1897">
            <v>4729.08</v>
          </cell>
          <cell r="AH1897">
            <v>4729.08</v>
          </cell>
        </row>
        <row r="1898">
          <cell r="AE1898" t="str">
            <v>E0008956</v>
          </cell>
          <cell r="AF1898">
            <v>0</v>
          </cell>
          <cell r="AG1898">
            <v>4729.08</v>
          </cell>
          <cell r="AH1898">
            <v>4729.08</v>
          </cell>
        </row>
        <row r="1899">
          <cell r="AE1899" t="str">
            <v>499B6ED</v>
          </cell>
          <cell r="AF1899">
            <v>174.12</v>
          </cell>
          <cell r="AG1899">
            <v>164.95</v>
          </cell>
          <cell r="AH1899">
            <v>164.95</v>
          </cell>
        </row>
        <row r="1900">
          <cell r="AE1900" t="str">
            <v>4592138</v>
          </cell>
          <cell r="AF1900">
            <v>293.72000000000003</v>
          </cell>
          <cell r="AG1900">
            <v>131.4</v>
          </cell>
          <cell r="AH1900">
            <v>131.4</v>
          </cell>
        </row>
        <row r="1901">
          <cell r="AE1901" t="str">
            <v>EPC18001</v>
          </cell>
          <cell r="AF1901">
            <v>427.86</v>
          </cell>
          <cell r="AG1901">
            <v>169.54</v>
          </cell>
          <cell r="AH1901">
            <v>169.54</v>
          </cell>
        </row>
        <row r="1902">
          <cell r="AE1902" t="str">
            <v>EPC18002</v>
          </cell>
          <cell r="AF1902">
            <v>427.86</v>
          </cell>
          <cell r="AG1902">
            <v>169.54</v>
          </cell>
          <cell r="AH1902">
            <v>169.54</v>
          </cell>
        </row>
        <row r="1903">
          <cell r="AE1903" t="str">
            <v>EPC18003</v>
          </cell>
          <cell r="AF1903">
            <v>118.22</v>
          </cell>
          <cell r="AG1903">
            <v>224</v>
          </cell>
          <cell r="AH1903">
            <v>224</v>
          </cell>
        </row>
        <row r="1904">
          <cell r="AE1904" t="str">
            <v>EPC18004</v>
          </cell>
          <cell r="AF1904">
            <v>118.22</v>
          </cell>
          <cell r="AG1904">
            <v>224</v>
          </cell>
          <cell r="AH1904">
            <v>224</v>
          </cell>
        </row>
        <row r="1905">
          <cell r="AE1905" t="str">
            <v>EPC18005</v>
          </cell>
          <cell r="AF1905">
            <v>118.22</v>
          </cell>
          <cell r="AG1905">
            <v>224</v>
          </cell>
          <cell r="AH1905">
            <v>224</v>
          </cell>
        </row>
        <row r="1906">
          <cell r="AE1906" t="str">
            <v>EPC18006</v>
          </cell>
          <cell r="AF1906">
            <v>118.22</v>
          </cell>
          <cell r="AG1906">
            <v>224</v>
          </cell>
          <cell r="AH1906">
            <v>224</v>
          </cell>
        </row>
        <row r="1907">
          <cell r="AE1907" t="str">
            <v>EPC18007</v>
          </cell>
          <cell r="AF1907">
            <v>118.22</v>
          </cell>
          <cell r="AG1907">
            <v>224</v>
          </cell>
          <cell r="AH1907">
            <v>224</v>
          </cell>
        </row>
        <row r="1908">
          <cell r="AE1908" t="str">
            <v>EPC18008</v>
          </cell>
          <cell r="AF1908">
            <v>118.22</v>
          </cell>
          <cell r="AG1908">
            <v>224</v>
          </cell>
          <cell r="AH1908">
            <v>224</v>
          </cell>
        </row>
        <row r="1909">
          <cell r="AE1909" t="str">
            <v>EPC18009</v>
          </cell>
          <cell r="AF1909">
            <v>118.22</v>
          </cell>
          <cell r="AG1909">
            <v>224</v>
          </cell>
          <cell r="AH1909">
            <v>224</v>
          </cell>
        </row>
        <row r="1910">
          <cell r="AE1910" t="str">
            <v xml:space="preserve">IT0000941    </v>
          </cell>
          <cell r="AF1910">
            <v>5.0000000002910383E-2</v>
          </cell>
          <cell r="AG1910">
            <v>47023.5</v>
          </cell>
          <cell r="AH1910">
            <v>6169.48</v>
          </cell>
        </row>
        <row r="1911">
          <cell r="AE1911" t="str">
            <v xml:space="preserve">IT00009410   </v>
          </cell>
          <cell r="AF1911">
            <v>0</v>
          </cell>
          <cell r="AG1911">
            <v>47023.5</v>
          </cell>
          <cell r="AH1911">
            <v>164.58</v>
          </cell>
        </row>
        <row r="1912">
          <cell r="AE1912" t="str">
            <v xml:space="preserve">IT00009411   </v>
          </cell>
          <cell r="AF1912">
            <v>0</v>
          </cell>
          <cell r="AG1912">
            <v>47023.5</v>
          </cell>
          <cell r="AH1912">
            <v>333.87</v>
          </cell>
        </row>
        <row r="1913">
          <cell r="AE1913" t="str">
            <v xml:space="preserve">IT00009412   </v>
          </cell>
          <cell r="AF1913">
            <v>0</v>
          </cell>
          <cell r="AG1913">
            <v>47023.5</v>
          </cell>
          <cell r="AH1913">
            <v>498.45</v>
          </cell>
        </row>
        <row r="1914">
          <cell r="AE1914" t="str">
            <v xml:space="preserve">IT00009413   </v>
          </cell>
          <cell r="AF1914">
            <v>0</v>
          </cell>
          <cell r="AG1914">
            <v>47023.5</v>
          </cell>
          <cell r="AH1914">
            <v>498.45</v>
          </cell>
        </row>
        <row r="1915">
          <cell r="AE1915" t="str">
            <v xml:space="preserve">IT00009414   </v>
          </cell>
          <cell r="AF1915">
            <v>0</v>
          </cell>
          <cell r="AG1915">
            <v>47023.5</v>
          </cell>
          <cell r="AH1915">
            <v>1669.33</v>
          </cell>
        </row>
        <row r="1916">
          <cell r="AE1916" t="str">
            <v xml:space="preserve">IT00009415   </v>
          </cell>
          <cell r="AF1916">
            <v>0</v>
          </cell>
          <cell r="AG1916">
            <v>47023.5</v>
          </cell>
          <cell r="AH1916">
            <v>667.73</v>
          </cell>
        </row>
        <row r="1917">
          <cell r="AE1917" t="str">
            <v xml:space="preserve">IT00009416   </v>
          </cell>
          <cell r="AF1917">
            <v>0</v>
          </cell>
          <cell r="AG1917">
            <v>47023.5</v>
          </cell>
          <cell r="AH1917">
            <v>498.45</v>
          </cell>
        </row>
        <row r="1918">
          <cell r="AE1918" t="str">
            <v xml:space="preserve">IT00009417   </v>
          </cell>
          <cell r="AF1918">
            <v>0</v>
          </cell>
          <cell r="AG1918">
            <v>47023.5</v>
          </cell>
          <cell r="AH1918">
            <v>338.57</v>
          </cell>
        </row>
        <row r="1919">
          <cell r="AE1919" t="str">
            <v xml:space="preserve">IT00009418   </v>
          </cell>
          <cell r="AF1919">
            <v>0</v>
          </cell>
          <cell r="AG1919">
            <v>47023.5</v>
          </cell>
          <cell r="AH1919">
            <v>3333.97</v>
          </cell>
        </row>
        <row r="1920">
          <cell r="AE1920" t="str">
            <v xml:space="preserve">IT00009419   </v>
          </cell>
          <cell r="AF1920">
            <v>0</v>
          </cell>
          <cell r="AG1920">
            <v>47023.5</v>
          </cell>
          <cell r="AH1920">
            <v>1166.18</v>
          </cell>
        </row>
        <row r="1921">
          <cell r="AE1921" t="str">
            <v xml:space="preserve">IT0000942    </v>
          </cell>
          <cell r="AF1921">
            <v>0</v>
          </cell>
          <cell r="AG1921">
            <v>47023.5</v>
          </cell>
          <cell r="AH1921">
            <v>3503.25</v>
          </cell>
        </row>
        <row r="1922">
          <cell r="AE1922" t="str">
            <v xml:space="preserve">IT00009420   </v>
          </cell>
          <cell r="AF1922">
            <v>0</v>
          </cell>
          <cell r="AG1922">
            <v>47023.5</v>
          </cell>
          <cell r="AH1922">
            <v>333.87</v>
          </cell>
        </row>
        <row r="1923">
          <cell r="AE1923" t="str">
            <v xml:space="preserve">IT00009421   </v>
          </cell>
          <cell r="AF1923">
            <v>0</v>
          </cell>
          <cell r="AG1923">
            <v>47023.5</v>
          </cell>
          <cell r="AH1923">
            <v>2167.7800000000002</v>
          </cell>
        </row>
        <row r="1924">
          <cell r="AE1924" t="str">
            <v xml:space="preserve">IT00009422   </v>
          </cell>
          <cell r="AF1924">
            <v>0</v>
          </cell>
          <cell r="AG1924">
            <v>47023.5</v>
          </cell>
          <cell r="AH1924">
            <v>832.32</v>
          </cell>
        </row>
        <row r="1925">
          <cell r="AE1925" t="str">
            <v xml:space="preserve">IT00009423   </v>
          </cell>
          <cell r="AF1925">
            <v>0</v>
          </cell>
          <cell r="AG1925">
            <v>47023.5</v>
          </cell>
          <cell r="AH1925">
            <v>338.57</v>
          </cell>
        </row>
        <row r="1926">
          <cell r="AE1926" t="str">
            <v xml:space="preserve">IT00009424   </v>
          </cell>
          <cell r="AF1926">
            <v>0</v>
          </cell>
          <cell r="AG1926">
            <v>47023.5</v>
          </cell>
          <cell r="AH1926">
            <v>667.73</v>
          </cell>
        </row>
        <row r="1927">
          <cell r="AE1927" t="str">
            <v xml:space="preserve">IT0000943    </v>
          </cell>
          <cell r="AF1927">
            <v>0</v>
          </cell>
          <cell r="AG1927">
            <v>47023.5</v>
          </cell>
          <cell r="AH1927">
            <v>832.32</v>
          </cell>
        </row>
        <row r="1928">
          <cell r="AE1928" t="str">
            <v xml:space="preserve">IT0000944    </v>
          </cell>
          <cell r="AF1928">
            <v>0</v>
          </cell>
          <cell r="AG1928">
            <v>47023.5</v>
          </cell>
          <cell r="AH1928">
            <v>5003.3</v>
          </cell>
        </row>
        <row r="1929">
          <cell r="AE1929" t="str">
            <v xml:space="preserve">IT0000945    </v>
          </cell>
          <cell r="AF1929">
            <v>0</v>
          </cell>
          <cell r="AG1929">
            <v>47023.5</v>
          </cell>
          <cell r="AH1929">
            <v>2501.65</v>
          </cell>
        </row>
        <row r="1930">
          <cell r="AE1930" t="str">
            <v xml:space="preserve">IT0000946    </v>
          </cell>
          <cell r="AF1930">
            <v>0</v>
          </cell>
          <cell r="AG1930">
            <v>47023.5</v>
          </cell>
          <cell r="AH1930">
            <v>832.32</v>
          </cell>
        </row>
        <row r="1931">
          <cell r="AE1931" t="str">
            <v xml:space="preserve">IT0000947    </v>
          </cell>
          <cell r="AF1931">
            <v>0</v>
          </cell>
          <cell r="AG1931">
            <v>47023.5</v>
          </cell>
          <cell r="AH1931">
            <v>7001.8</v>
          </cell>
        </row>
        <row r="1932">
          <cell r="AE1932" t="str">
            <v xml:space="preserve">IT0000948    </v>
          </cell>
          <cell r="AF1932">
            <v>0</v>
          </cell>
          <cell r="AG1932">
            <v>47023.5</v>
          </cell>
          <cell r="AH1932">
            <v>7171.08</v>
          </cell>
        </row>
        <row r="1933">
          <cell r="AE1933" t="str">
            <v xml:space="preserve">IT0000949    </v>
          </cell>
          <cell r="AF1933">
            <v>0</v>
          </cell>
          <cell r="AG1933">
            <v>47023.5</v>
          </cell>
          <cell r="AH1933">
            <v>498.45</v>
          </cell>
        </row>
        <row r="1934">
          <cell r="AE1934" t="str">
            <v xml:space="preserve">IT0000851    </v>
          </cell>
          <cell r="AF1934">
            <v>0</v>
          </cell>
          <cell r="AG1934">
            <v>6641.9</v>
          </cell>
          <cell r="AH1934">
            <v>797.03</v>
          </cell>
        </row>
        <row r="1935">
          <cell r="AE1935" t="str">
            <v xml:space="preserve">IT00008510   </v>
          </cell>
          <cell r="AF1935">
            <v>0</v>
          </cell>
          <cell r="AG1935">
            <v>6641.9</v>
          </cell>
          <cell r="AH1935">
            <v>398.51</v>
          </cell>
        </row>
        <row r="1936">
          <cell r="AE1936" t="str">
            <v xml:space="preserve">IT00008511   </v>
          </cell>
          <cell r="AF1936">
            <v>0</v>
          </cell>
          <cell r="AG1936">
            <v>6641.9</v>
          </cell>
          <cell r="AH1936">
            <v>398.51</v>
          </cell>
        </row>
        <row r="1937">
          <cell r="AE1937" t="str">
            <v xml:space="preserve">IT00008512   </v>
          </cell>
          <cell r="AF1937">
            <v>0</v>
          </cell>
          <cell r="AG1937">
            <v>6641.9</v>
          </cell>
          <cell r="AH1937">
            <v>199.26</v>
          </cell>
        </row>
        <row r="1938">
          <cell r="AE1938" t="str">
            <v xml:space="preserve">IT00008513   </v>
          </cell>
          <cell r="AF1938">
            <v>0</v>
          </cell>
          <cell r="AG1938">
            <v>6641.9</v>
          </cell>
          <cell r="AH1938">
            <v>199.26</v>
          </cell>
        </row>
        <row r="1939">
          <cell r="AE1939" t="str">
            <v xml:space="preserve">IT0000852    </v>
          </cell>
          <cell r="AF1939">
            <v>0</v>
          </cell>
          <cell r="AG1939">
            <v>6641.9</v>
          </cell>
          <cell r="AH1939">
            <v>398.51</v>
          </cell>
        </row>
        <row r="1940">
          <cell r="AE1940" t="str">
            <v xml:space="preserve">IT0000853    </v>
          </cell>
          <cell r="AF1940">
            <v>0</v>
          </cell>
          <cell r="AG1940">
            <v>6641.9</v>
          </cell>
          <cell r="AH1940">
            <v>863.45</v>
          </cell>
        </row>
        <row r="1941">
          <cell r="AE1941" t="str">
            <v xml:space="preserve">IT0000854    </v>
          </cell>
          <cell r="AF1941">
            <v>0</v>
          </cell>
          <cell r="AG1941">
            <v>6641.9</v>
          </cell>
          <cell r="AH1941">
            <v>597.77</v>
          </cell>
        </row>
        <row r="1942">
          <cell r="AE1942" t="str">
            <v xml:space="preserve">IT0000855    </v>
          </cell>
          <cell r="AF1942">
            <v>0</v>
          </cell>
          <cell r="AG1942">
            <v>6641.9</v>
          </cell>
          <cell r="AH1942">
            <v>199.26</v>
          </cell>
        </row>
        <row r="1943">
          <cell r="AE1943" t="str">
            <v xml:space="preserve">IT0000856    </v>
          </cell>
          <cell r="AF1943">
            <v>0</v>
          </cell>
          <cell r="AG1943">
            <v>6641.9</v>
          </cell>
          <cell r="AH1943">
            <v>664.19</v>
          </cell>
        </row>
        <row r="1944">
          <cell r="AE1944" t="str">
            <v xml:space="preserve">IT0000857    </v>
          </cell>
          <cell r="AF1944">
            <v>0</v>
          </cell>
          <cell r="AG1944">
            <v>6641.9</v>
          </cell>
          <cell r="AH1944">
            <v>1328.38</v>
          </cell>
        </row>
        <row r="1945">
          <cell r="AE1945" t="str">
            <v xml:space="preserve">IT0000858    </v>
          </cell>
          <cell r="AF1945">
            <v>0</v>
          </cell>
          <cell r="AG1945">
            <v>6641.9</v>
          </cell>
          <cell r="AH1945">
            <v>398.51</v>
          </cell>
        </row>
        <row r="1946">
          <cell r="AE1946" t="str">
            <v xml:space="preserve">IT0000859    </v>
          </cell>
          <cell r="AF1946">
            <v>0</v>
          </cell>
          <cell r="AG1946">
            <v>6641.9</v>
          </cell>
          <cell r="AH1946">
            <v>199.26</v>
          </cell>
        </row>
        <row r="1947">
          <cell r="AE1947" t="str">
            <v xml:space="preserve">IT0001201    </v>
          </cell>
          <cell r="AF1947">
            <v>0</v>
          </cell>
          <cell r="AG1947">
            <v>18694.900000000001</v>
          </cell>
          <cell r="AH1947">
            <v>934.75</v>
          </cell>
        </row>
        <row r="1948">
          <cell r="AE1948" t="str">
            <v xml:space="preserve">IT00012010   </v>
          </cell>
          <cell r="AF1948">
            <v>0</v>
          </cell>
          <cell r="AG1948">
            <v>18694.900000000001</v>
          </cell>
          <cell r="AH1948">
            <v>1308.6400000000001</v>
          </cell>
        </row>
        <row r="1949">
          <cell r="AE1949" t="str">
            <v xml:space="preserve">IT00012011   </v>
          </cell>
          <cell r="AF1949">
            <v>0</v>
          </cell>
          <cell r="AG1949">
            <v>18694.900000000001</v>
          </cell>
          <cell r="AH1949">
            <v>934.75</v>
          </cell>
        </row>
        <row r="1950">
          <cell r="AE1950" t="str">
            <v xml:space="preserve">IT00012012   </v>
          </cell>
          <cell r="AF1950">
            <v>0</v>
          </cell>
          <cell r="AG1950">
            <v>18694.900000000001</v>
          </cell>
          <cell r="AH1950">
            <v>560.85</v>
          </cell>
        </row>
        <row r="1951">
          <cell r="AE1951" t="str">
            <v xml:space="preserve">IT00012013   </v>
          </cell>
          <cell r="AF1951">
            <v>0</v>
          </cell>
          <cell r="AG1951">
            <v>18694.900000000001</v>
          </cell>
          <cell r="AH1951">
            <v>186.95</v>
          </cell>
        </row>
        <row r="1952">
          <cell r="AE1952" t="str">
            <v xml:space="preserve">IT00012014   </v>
          </cell>
          <cell r="AF1952">
            <v>0</v>
          </cell>
          <cell r="AG1952">
            <v>18694.900000000001</v>
          </cell>
          <cell r="AH1952">
            <v>560.85</v>
          </cell>
        </row>
        <row r="1953">
          <cell r="AE1953" t="str">
            <v xml:space="preserve">IT00012015   </v>
          </cell>
          <cell r="AF1953">
            <v>0</v>
          </cell>
          <cell r="AG1953">
            <v>18694.900000000001</v>
          </cell>
          <cell r="AH1953">
            <v>186.95</v>
          </cell>
        </row>
        <row r="1954">
          <cell r="AE1954" t="str">
            <v xml:space="preserve">IT00012016   </v>
          </cell>
          <cell r="AF1954">
            <v>0</v>
          </cell>
          <cell r="AG1954">
            <v>18694.900000000001</v>
          </cell>
          <cell r="AH1954">
            <v>560.85</v>
          </cell>
        </row>
        <row r="1955">
          <cell r="AE1955" t="str">
            <v xml:space="preserve">IT00012017   </v>
          </cell>
          <cell r="AF1955">
            <v>0</v>
          </cell>
          <cell r="AG1955">
            <v>18694.900000000001</v>
          </cell>
          <cell r="AH1955">
            <v>186.95</v>
          </cell>
        </row>
        <row r="1956">
          <cell r="AE1956" t="str">
            <v xml:space="preserve">IT00012018   </v>
          </cell>
          <cell r="AF1956">
            <v>0</v>
          </cell>
          <cell r="AG1956">
            <v>18694.900000000001</v>
          </cell>
          <cell r="AH1956">
            <v>1869.49</v>
          </cell>
        </row>
        <row r="1957">
          <cell r="AE1957" t="str">
            <v xml:space="preserve">IT00012019   </v>
          </cell>
          <cell r="AF1957">
            <v>0</v>
          </cell>
          <cell r="AG1957">
            <v>18694.900000000001</v>
          </cell>
          <cell r="AH1957">
            <v>1121.69</v>
          </cell>
        </row>
        <row r="1958">
          <cell r="AE1958" t="str">
            <v xml:space="preserve">IT0001202    </v>
          </cell>
          <cell r="AF1958">
            <v>0</v>
          </cell>
          <cell r="AG1958">
            <v>18694.900000000001</v>
          </cell>
          <cell r="AH1958">
            <v>186.95</v>
          </cell>
        </row>
        <row r="1959">
          <cell r="AE1959" t="str">
            <v xml:space="preserve">IT00012020   </v>
          </cell>
          <cell r="AF1959">
            <v>0</v>
          </cell>
          <cell r="AG1959">
            <v>18694.900000000001</v>
          </cell>
          <cell r="AH1959">
            <v>186.95</v>
          </cell>
        </row>
        <row r="1960">
          <cell r="AE1960" t="str">
            <v xml:space="preserve">IT00012021   </v>
          </cell>
          <cell r="AF1960">
            <v>0</v>
          </cell>
          <cell r="AG1960">
            <v>18694.900000000001</v>
          </cell>
          <cell r="AH1960">
            <v>560.85</v>
          </cell>
        </row>
        <row r="1961">
          <cell r="AE1961" t="str">
            <v xml:space="preserve">IT00012022   </v>
          </cell>
          <cell r="AF1961">
            <v>0</v>
          </cell>
          <cell r="AG1961">
            <v>18694.900000000001</v>
          </cell>
          <cell r="AH1961">
            <v>2804.24</v>
          </cell>
        </row>
        <row r="1962">
          <cell r="AE1962" t="str">
            <v xml:space="preserve">IT00012023   </v>
          </cell>
          <cell r="AF1962">
            <v>0</v>
          </cell>
          <cell r="AG1962">
            <v>18694.900000000001</v>
          </cell>
          <cell r="AH1962">
            <v>560.85</v>
          </cell>
        </row>
        <row r="1963">
          <cell r="AE1963" t="str">
            <v xml:space="preserve">IT0001203    </v>
          </cell>
          <cell r="AF1963">
            <v>0</v>
          </cell>
          <cell r="AG1963">
            <v>18694.900000000001</v>
          </cell>
          <cell r="AH1963">
            <v>1869.49</v>
          </cell>
        </row>
        <row r="1964">
          <cell r="AE1964" t="str">
            <v xml:space="preserve">IT0001204    </v>
          </cell>
          <cell r="AF1964">
            <v>0</v>
          </cell>
          <cell r="AG1964">
            <v>18694.900000000001</v>
          </cell>
          <cell r="AH1964">
            <v>186.95</v>
          </cell>
        </row>
        <row r="1965">
          <cell r="AE1965" t="str">
            <v xml:space="preserve">IT0001205    </v>
          </cell>
          <cell r="AF1965">
            <v>0</v>
          </cell>
          <cell r="AG1965">
            <v>18694.900000000001</v>
          </cell>
          <cell r="AH1965">
            <v>560.85</v>
          </cell>
        </row>
        <row r="1966">
          <cell r="AE1966" t="str">
            <v xml:space="preserve">IT0001206    </v>
          </cell>
          <cell r="AF1966">
            <v>0</v>
          </cell>
          <cell r="AG1966">
            <v>18694.900000000001</v>
          </cell>
          <cell r="AH1966">
            <v>1308.6400000000001</v>
          </cell>
        </row>
        <row r="1967">
          <cell r="AE1967" t="str">
            <v xml:space="preserve">IT0001207    </v>
          </cell>
          <cell r="AF1967">
            <v>0</v>
          </cell>
          <cell r="AG1967">
            <v>18694.900000000001</v>
          </cell>
          <cell r="AH1967">
            <v>560.85</v>
          </cell>
        </row>
        <row r="1968">
          <cell r="AE1968" t="str">
            <v xml:space="preserve">IT0001208    </v>
          </cell>
          <cell r="AF1968">
            <v>0</v>
          </cell>
          <cell r="AG1968">
            <v>18694.900000000001</v>
          </cell>
          <cell r="AH1968">
            <v>1121.69</v>
          </cell>
        </row>
        <row r="1969">
          <cell r="AE1969" t="str">
            <v xml:space="preserve">IT0001209    </v>
          </cell>
          <cell r="AF1969">
            <v>0</v>
          </cell>
          <cell r="AG1969">
            <v>18694.900000000001</v>
          </cell>
          <cell r="AH1969">
            <v>373.9</v>
          </cell>
        </row>
        <row r="1970">
          <cell r="AE1970" t="str">
            <v xml:space="preserve">IT0001151    </v>
          </cell>
          <cell r="AF1970">
            <v>1.999999999998181E-2</v>
          </cell>
          <cell r="AG1970">
            <v>15395.8</v>
          </cell>
          <cell r="AH1970">
            <v>153.96</v>
          </cell>
        </row>
        <row r="1971">
          <cell r="AE1971" t="str">
            <v xml:space="preserve">IT00011510   </v>
          </cell>
          <cell r="AF1971">
            <v>0</v>
          </cell>
          <cell r="AG1971">
            <v>15395.8</v>
          </cell>
          <cell r="AH1971">
            <v>153.96</v>
          </cell>
        </row>
        <row r="1972">
          <cell r="AE1972" t="str">
            <v xml:space="preserve">IT00011511   </v>
          </cell>
          <cell r="AF1972">
            <v>0</v>
          </cell>
          <cell r="AG1972">
            <v>15395.8</v>
          </cell>
          <cell r="AH1972">
            <v>153.96</v>
          </cell>
        </row>
        <row r="1973">
          <cell r="AE1973" t="str">
            <v xml:space="preserve">IT00011512   </v>
          </cell>
          <cell r="AF1973">
            <v>0</v>
          </cell>
          <cell r="AG1973">
            <v>15395.8</v>
          </cell>
          <cell r="AH1973">
            <v>461.87</v>
          </cell>
        </row>
        <row r="1974">
          <cell r="AE1974" t="str">
            <v xml:space="preserve">IT00011513   </v>
          </cell>
          <cell r="AF1974">
            <v>0</v>
          </cell>
          <cell r="AG1974">
            <v>15395.8</v>
          </cell>
          <cell r="AH1974">
            <v>461.87</v>
          </cell>
        </row>
        <row r="1975">
          <cell r="AE1975" t="str">
            <v xml:space="preserve">IT00011514   </v>
          </cell>
          <cell r="AF1975">
            <v>0</v>
          </cell>
          <cell r="AG1975">
            <v>15395.8</v>
          </cell>
          <cell r="AH1975">
            <v>307.92</v>
          </cell>
        </row>
        <row r="1976">
          <cell r="AE1976" t="str">
            <v xml:space="preserve">IT00011515   </v>
          </cell>
          <cell r="AF1976">
            <v>0</v>
          </cell>
          <cell r="AG1976">
            <v>15395.8</v>
          </cell>
          <cell r="AH1976">
            <v>153.96</v>
          </cell>
        </row>
        <row r="1977">
          <cell r="AE1977" t="str">
            <v xml:space="preserve">IT00011516   </v>
          </cell>
          <cell r="AF1977">
            <v>0</v>
          </cell>
          <cell r="AG1977">
            <v>15395.8</v>
          </cell>
          <cell r="AH1977">
            <v>153.96</v>
          </cell>
        </row>
        <row r="1978">
          <cell r="AE1978" t="str">
            <v xml:space="preserve">IT00011517   </v>
          </cell>
          <cell r="AF1978">
            <v>0</v>
          </cell>
          <cell r="AG1978">
            <v>15395.8</v>
          </cell>
          <cell r="AH1978">
            <v>153.96</v>
          </cell>
        </row>
        <row r="1979">
          <cell r="AE1979" t="str">
            <v xml:space="preserve">IT00011518   </v>
          </cell>
          <cell r="AF1979">
            <v>0</v>
          </cell>
          <cell r="AG1979">
            <v>15395.8</v>
          </cell>
          <cell r="AH1979">
            <v>153.96</v>
          </cell>
        </row>
        <row r="1980">
          <cell r="AE1980" t="str">
            <v xml:space="preserve">IT00011519   </v>
          </cell>
          <cell r="AF1980">
            <v>0</v>
          </cell>
          <cell r="AG1980">
            <v>15395.8</v>
          </cell>
          <cell r="AH1980">
            <v>153.96</v>
          </cell>
        </row>
        <row r="1981">
          <cell r="AE1981" t="str">
            <v xml:space="preserve">IT0001152    </v>
          </cell>
          <cell r="AF1981">
            <v>0</v>
          </cell>
          <cell r="AG1981">
            <v>15395.8</v>
          </cell>
          <cell r="AH1981">
            <v>3387.08</v>
          </cell>
        </row>
        <row r="1982">
          <cell r="AE1982" t="str">
            <v xml:space="preserve">IT00011520   </v>
          </cell>
          <cell r="AF1982">
            <v>0</v>
          </cell>
          <cell r="AG1982">
            <v>15395.8</v>
          </cell>
          <cell r="AH1982">
            <v>769.79</v>
          </cell>
        </row>
        <row r="1983">
          <cell r="AE1983" t="str">
            <v xml:space="preserve">IT00011521   </v>
          </cell>
          <cell r="AF1983">
            <v>0</v>
          </cell>
          <cell r="AG1983">
            <v>15395.8</v>
          </cell>
          <cell r="AH1983">
            <v>461.87</v>
          </cell>
        </row>
        <row r="1984">
          <cell r="AE1984" t="str">
            <v xml:space="preserve">IT00011522   </v>
          </cell>
          <cell r="AF1984">
            <v>0</v>
          </cell>
          <cell r="AG1984">
            <v>15395.8</v>
          </cell>
          <cell r="AH1984">
            <v>153.96</v>
          </cell>
        </row>
        <row r="1985">
          <cell r="AE1985" t="str">
            <v xml:space="preserve">IT00011523   </v>
          </cell>
          <cell r="AF1985">
            <v>0</v>
          </cell>
          <cell r="AG1985">
            <v>15395.8</v>
          </cell>
          <cell r="AH1985">
            <v>153.96</v>
          </cell>
        </row>
        <row r="1986">
          <cell r="AE1986" t="str">
            <v xml:space="preserve">IT00011524   </v>
          </cell>
          <cell r="AF1986">
            <v>0</v>
          </cell>
          <cell r="AG1986">
            <v>15395.8</v>
          </cell>
          <cell r="AH1986">
            <v>153.96</v>
          </cell>
        </row>
        <row r="1987">
          <cell r="AE1987" t="str">
            <v xml:space="preserve">IT00011525   </v>
          </cell>
          <cell r="AF1987">
            <v>0</v>
          </cell>
          <cell r="AG1987">
            <v>15395.8</v>
          </cell>
          <cell r="AH1987">
            <v>153.96</v>
          </cell>
        </row>
        <row r="1988">
          <cell r="AE1988" t="str">
            <v xml:space="preserve">IT00011526   </v>
          </cell>
          <cell r="AF1988">
            <v>0</v>
          </cell>
          <cell r="AG1988">
            <v>15395.8</v>
          </cell>
          <cell r="AH1988">
            <v>153.96</v>
          </cell>
        </row>
        <row r="1989">
          <cell r="AE1989" t="str">
            <v xml:space="preserve">IT0001153    </v>
          </cell>
          <cell r="AF1989">
            <v>0</v>
          </cell>
          <cell r="AG1989">
            <v>15395.8</v>
          </cell>
          <cell r="AH1989">
            <v>153.96</v>
          </cell>
        </row>
        <row r="1990">
          <cell r="AE1990" t="str">
            <v xml:space="preserve">IT0001154    </v>
          </cell>
          <cell r="AF1990">
            <v>0</v>
          </cell>
          <cell r="AG1990">
            <v>15395.8</v>
          </cell>
          <cell r="AH1990">
            <v>461.87</v>
          </cell>
        </row>
        <row r="1991">
          <cell r="AE1991" t="str">
            <v xml:space="preserve">IT0001155    </v>
          </cell>
          <cell r="AF1991">
            <v>0</v>
          </cell>
          <cell r="AG1991">
            <v>15395.8</v>
          </cell>
          <cell r="AH1991">
            <v>615.83000000000004</v>
          </cell>
        </row>
        <row r="1992">
          <cell r="AE1992" t="str">
            <v xml:space="preserve">IT0001156    </v>
          </cell>
          <cell r="AF1992">
            <v>0</v>
          </cell>
          <cell r="AG1992">
            <v>15395.8</v>
          </cell>
          <cell r="AH1992">
            <v>3079.16</v>
          </cell>
        </row>
        <row r="1993">
          <cell r="AE1993" t="str">
            <v xml:space="preserve">IT0001157    </v>
          </cell>
          <cell r="AF1993">
            <v>0</v>
          </cell>
          <cell r="AG1993">
            <v>15395.8</v>
          </cell>
          <cell r="AH1993">
            <v>615.83000000000004</v>
          </cell>
        </row>
        <row r="1994">
          <cell r="AE1994" t="str">
            <v xml:space="preserve">IT0001158    </v>
          </cell>
          <cell r="AF1994">
            <v>0</v>
          </cell>
          <cell r="AG1994">
            <v>15395.8</v>
          </cell>
          <cell r="AH1994">
            <v>1539.58</v>
          </cell>
        </row>
        <row r="1995">
          <cell r="AE1995" t="str">
            <v xml:space="preserve">IT0001159    </v>
          </cell>
          <cell r="AF1995">
            <v>0</v>
          </cell>
          <cell r="AG1995">
            <v>15395.8</v>
          </cell>
          <cell r="AH1995">
            <v>1077.71</v>
          </cell>
        </row>
        <row r="1996">
          <cell r="AE1996" t="str">
            <v>E0009242</v>
          </cell>
          <cell r="AF1996">
            <v>0</v>
          </cell>
          <cell r="AG1996">
            <v>725</v>
          </cell>
          <cell r="AH1996">
            <v>725</v>
          </cell>
        </row>
        <row r="1997">
          <cell r="AE1997" t="str">
            <v>E0008272</v>
          </cell>
          <cell r="AF1997">
            <v>0</v>
          </cell>
          <cell r="AG1997">
            <v>100</v>
          </cell>
          <cell r="AH1997">
            <v>100</v>
          </cell>
        </row>
        <row r="1998">
          <cell r="AE1998" t="str">
            <v xml:space="preserve">EE1005001    </v>
          </cell>
          <cell r="AF1998">
            <v>0</v>
          </cell>
          <cell r="AG1998">
            <v>579</v>
          </cell>
          <cell r="AH1998">
            <v>196.86</v>
          </cell>
        </row>
        <row r="1999">
          <cell r="AE1999" t="str">
            <v xml:space="preserve">EE1005002    </v>
          </cell>
          <cell r="AF1999">
            <v>0</v>
          </cell>
          <cell r="AG1999">
            <v>579</v>
          </cell>
          <cell r="AH1999">
            <v>191.07</v>
          </cell>
        </row>
        <row r="2000">
          <cell r="AE2000" t="str">
            <v xml:space="preserve">EE1005003    </v>
          </cell>
          <cell r="AF2000">
            <v>0</v>
          </cell>
          <cell r="AG2000">
            <v>579</v>
          </cell>
          <cell r="AH2000">
            <v>191.07</v>
          </cell>
        </row>
        <row r="2001">
          <cell r="AE2001" t="str">
            <v>EE100595</v>
          </cell>
          <cell r="AF2001">
            <v>0</v>
          </cell>
          <cell r="AG2001">
            <v>1550</v>
          </cell>
          <cell r="AH2001">
            <v>1550</v>
          </cell>
        </row>
        <row r="2002">
          <cell r="AE2002" t="str">
            <v>E2000166</v>
          </cell>
          <cell r="AF2002">
            <v>0</v>
          </cell>
          <cell r="AG2002">
            <v>11912.18</v>
          </cell>
          <cell r="AH2002">
            <v>11912.18</v>
          </cell>
        </row>
        <row r="2003">
          <cell r="AE2003" t="str">
            <v>E100126</v>
          </cell>
          <cell r="AF2003">
            <v>6993.0499999999993</v>
          </cell>
          <cell r="AG2003">
            <v>2650</v>
          </cell>
          <cell r="AH2003">
            <v>2650</v>
          </cell>
        </row>
        <row r="2004">
          <cell r="AE2004" t="str">
            <v>E100127</v>
          </cell>
          <cell r="AF2004">
            <v>6993.0499999999993</v>
          </cell>
          <cell r="AG2004">
            <v>2650</v>
          </cell>
          <cell r="AH2004">
            <v>2650</v>
          </cell>
        </row>
        <row r="2005">
          <cell r="AE2005" t="str">
            <v>CBRZ8K2</v>
          </cell>
          <cell r="AF2005">
            <v>9741.9</v>
          </cell>
          <cell r="AG2005">
            <v>4358.25</v>
          </cell>
          <cell r="AH2005">
            <v>4358.25</v>
          </cell>
        </row>
        <row r="2006">
          <cell r="AE2006" t="str">
            <v>CCF69K2</v>
          </cell>
          <cell r="AF2006">
            <v>11350.3</v>
          </cell>
          <cell r="AG2006">
            <v>5077.8</v>
          </cell>
          <cell r="AH2006">
            <v>5077.8</v>
          </cell>
        </row>
        <row r="2007">
          <cell r="AE2007" t="str">
            <v>74674D4</v>
          </cell>
          <cell r="AF2007">
            <v>1208.4100000000001</v>
          </cell>
          <cell r="AG2007">
            <v>424</v>
          </cell>
          <cell r="AH2007">
            <v>424</v>
          </cell>
        </row>
        <row r="2008">
          <cell r="AE2008" t="str">
            <v>74674D8</v>
          </cell>
          <cell r="AF2008">
            <v>1208.4100000000001</v>
          </cell>
          <cell r="AG2008">
            <v>424</v>
          </cell>
          <cell r="AH2008">
            <v>424</v>
          </cell>
        </row>
        <row r="2009">
          <cell r="AE2009" t="str">
            <v>74674DG</v>
          </cell>
          <cell r="AF2009">
            <v>1208.4100000000001</v>
          </cell>
          <cell r="AG2009">
            <v>424</v>
          </cell>
          <cell r="AH2009">
            <v>424</v>
          </cell>
        </row>
        <row r="2010">
          <cell r="AE2010" t="str">
            <v>EE100055</v>
          </cell>
          <cell r="AF2010">
            <v>0</v>
          </cell>
          <cell r="AG2010">
            <v>1251.78</v>
          </cell>
          <cell r="AH2010">
            <v>1251.78</v>
          </cell>
        </row>
        <row r="2011">
          <cell r="AE2011" t="str">
            <v>EE100547</v>
          </cell>
          <cell r="AF2011">
            <v>0</v>
          </cell>
          <cell r="AG2011">
            <v>966.38</v>
          </cell>
          <cell r="AH2011">
            <v>966.38</v>
          </cell>
        </row>
        <row r="2012">
          <cell r="AE2012" t="str">
            <v>EE100548</v>
          </cell>
          <cell r="AF2012">
            <v>0</v>
          </cell>
          <cell r="AG2012">
            <v>966.38</v>
          </cell>
          <cell r="AH2012">
            <v>966.38</v>
          </cell>
        </row>
        <row r="2013">
          <cell r="AE2013" t="str">
            <v>EE100549</v>
          </cell>
          <cell r="AF2013">
            <v>0</v>
          </cell>
          <cell r="AG2013">
            <v>966.38</v>
          </cell>
          <cell r="AH2013">
            <v>966.38</v>
          </cell>
        </row>
        <row r="2014">
          <cell r="AE2014" t="str">
            <v>EE100550</v>
          </cell>
          <cell r="AF2014">
            <v>0</v>
          </cell>
          <cell r="AG2014">
            <v>966.38</v>
          </cell>
          <cell r="AH2014">
            <v>966.38</v>
          </cell>
        </row>
        <row r="2015">
          <cell r="AE2015" t="str">
            <v>EE100511</v>
          </cell>
          <cell r="AF2015">
            <v>0</v>
          </cell>
          <cell r="AG2015">
            <v>502.5</v>
          </cell>
          <cell r="AH2015">
            <v>502.5</v>
          </cell>
        </row>
        <row r="2016">
          <cell r="AE2016" t="str">
            <v xml:space="preserve">EE1000681    </v>
          </cell>
          <cell r="AF2016">
            <v>0</v>
          </cell>
          <cell r="AG2016">
            <v>895.14</v>
          </cell>
          <cell r="AH2016">
            <v>447.57</v>
          </cell>
        </row>
        <row r="2017">
          <cell r="AE2017" t="str">
            <v xml:space="preserve">EE1000682    </v>
          </cell>
          <cell r="AF2017">
            <v>0</v>
          </cell>
          <cell r="AG2017">
            <v>895.14</v>
          </cell>
          <cell r="AH2017">
            <v>447.57</v>
          </cell>
        </row>
        <row r="2018">
          <cell r="AE2018" t="str">
            <v xml:space="preserve">EE1000691    </v>
          </cell>
          <cell r="AF2018">
            <v>0</v>
          </cell>
          <cell r="AG2018">
            <v>895.14</v>
          </cell>
          <cell r="AH2018">
            <v>447.57</v>
          </cell>
        </row>
        <row r="2019">
          <cell r="AE2019" t="str">
            <v xml:space="preserve">EE1000692    </v>
          </cell>
          <cell r="AF2019">
            <v>0</v>
          </cell>
          <cell r="AG2019">
            <v>895.14</v>
          </cell>
          <cell r="AH2019">
            <v>447.57</v>
          </cell>
        </row>
        <row r="2020">
          <cell r="AE2020" t="str">
            <v xml:space="preserve">EE1000701    </v>
          </cell>
          <cell r="AF2020">
            <v>0</v>
          </cell>
          <cell r="AG2020">
            <v>895.14</v>
          </cell>
          <cell r="AH2020">
            <v>447.57</v>
          </cell>
        </row>
        <row r="2021">
          <cell r="AE2021" t="str">
            <v xml:space="preserve">EE1000702    </v>
          </cell>
          <cell r="AF2021">
            <v>0</v>
          </cell>
          <cell r="AG2021">
            <v>895.14</v>
          </cell>
          <cell r="AH2021">
            <v>447.57</v>
          </cell>
        </row>
        <row r="2022">
          <cell r="AE2022" t="str">
            <v xml:space="preserve">EE1000711    </v>
          </cell>
          <cell r="AF2022">
            <v>0</v>
          </cell>
          <cell r="AG2022">
            <v>895.14</v>
          </cell>
          <cell r="AH2022">
            <v>447.57</v>
          </cell>
        </row>
        <row r="2023">
          <cell r="AE2023" t="str">
            <v xml:space="preserve">EE1000712    </v>
          </cell>
          <cell r="AF2023">
            <v>0</v>
          </cell>
          <cell r="AG2023">
            <v>895.14</v>
          </cell>
          <cell r="AH2023">
            <v>447.57</v>
          </cell>
        </row>
        <row r="2024">
          <cell r="AE2024" t="str">
            <v xml:space="preserve">EE1000721    </v>
          </cell>
          <cell r="AF2024">
            <v>-9.999999999308784E-3</v>
          </cell>
          <cell r="AG2024">
            <v>725.14</v>
          </cell>
          <cell r="AH2024">
            <v>362.57</v>
          </cell>
        </row>
        <row r="2025">
          <cell r="AE2025" t="str">
            <v xml:space="preserve">EE1000722    </v>
          </cell>
          <cell r="AF2025">
            <v>0</v>
          </cell>
          <cell r="AG2025">
            <v>725.14</v>
          </cell>
          <cell r="AH2025">
            <v>362.57</v>
          </cell>
        </row>
        <row r="2026">
          <cell r="AE2026" t="str">
            <v xml:space="preserve">EE1000731    </v>
          </cell>
          <cell r="AF2026">
            <v>-9.999999999308784E-3</v>
          </cell>
          <cell r="AG2026">
            <v>725.14</v>
          </cell>
          <cell r="AH2026">
            <v>362.57</v>
          </cell>
        </row>
        <row r="2027">
          <cell r="AE2027" t="str">
            <v xml:space="preserve">EE1000732    </v>
          </cell>
          <cell r="AF2027">
            <v>0</v>
          </cell>
          <cell r="AG2027">
            <v>725.14</v>
          </cell>
          <cell r="AH2027">
            <v>362.57</v>
          </cell>
        </row>
        <row r="2028">
          <cell r="AE2028" t="str">
            <v xml:space="preserve">EE1000741    </v>
          </cell>
          <cell r="AF2028">
            <v>-9.999999999308784E-3</v>
          </cell>
          <cell r="AG2028">
            <v>725.14</v>
          </cell>
          <cell r="AH2028">
            <v>362.57</v>
          </cell>
        </row>
        <row r="2029">
          <cell r="AE2029" t="str">
            <v xml:space="preserve">EE1000742    </v>
          </cell>
          <cell r="AF2029">
            <v>0</v>
          </cell>
          <cell r="AG2029">
            <v>725.14</v>
          </cell>
          <cell r="AH2029">
            <v>362.57</v>
          </cell>
        </row>
        <row r="2030">
          <cell r="AE2030" t="str">
            <v xml:space="preserve">EE1000751    </v>
          </cell>
          <cell r="AF2030">
            <v>-9.999999999308784E-3</v>
          </cell>
          <cell r="AG2030">
            <v>725.14</v>
          </cell>
          <cell r="AH2030">
            <v>362.57</v>
          </cell>
        </row>
        <row r="2031">
          <cell r="AE2031" t="str">
            <v xml:space="preserve">EE1000752    </v>
          </cell>
          <cell r="AF2031">
            <v>0</v>
          </cell>
          <cell r="AG2031">
            <v>725.14</v>
          </cell>
          <cell r="AH2031">
            <v>362.57</v>
          </cell>
        </row>
        <row r="2032">
          <cell r="AE2032" t="str">
            <v xml:space="preserve">EE1000761    </v>
          </cell>
          <cell r="AF2032">
            <v>-9.999999999308784E-3</v>
          </cell>
          <cell r="AG2032">
            <v>725.14</v>
          </cell>
          <cell r="AH2032">
            <v>362.57</v>
          </cell>
        </row>
        <row r="2033">
          <cell r="AE2033" t="str">
            <v xml:space="preserve">EE1000762    </v>
          </cell>
          <cell r="AF2033">
            <v>0</v>
          </cell>
          <cell r="AG2033">
            <v>725.14</v>
          </cell>
          <cell r="AH2033">
            <v>362.57</v>
          </cell>
        </row>
        <row r="2034">
          <cell r="AE2034" t="str">
            <v xml:space="preserve">EE1000771    </v>
          </cell>
          <cell r="AF2034">
            <v>-9.999999999308784E-3</v>
          </cell>
          <cell r="AG2034">
            <v>725.14</v>
          </cell>
          <cell r="AH2034">
            <v>362.57</v>
          </cell>
        </row>
        <row r="2035">
          <cell r="AE2035" t="str">
            <v xml:space="preserve">EE1000772    </v>
          </cell>
          <cell r="AF2035">
            <v>0</v>
          </cell>
          <cell r="AG2035">
            <v>725.14</v>
          </cell>
          <cell r="AH2035">
            <v>362.57</v>
          </cell>
        </row>
        <row r="2036">
          <cell r="AE2036" t="str">
            <v xml:space="preserve">EE1000781    </v>
          </cell>
          <cell r="AF2036">
            <v>-9.999999999308784E-3</v>
          </cell>
          <cell r="AG2036">
            <v>725.14</v>
          </cell>
          <cell r="AH2036">
            <v>362.57</v>
          </cell>
        </row>
        <row r="2037">
          <cell r="AE2037" t="str">
            <v xml:space="preserve">EE1000782    </v>
          </cell>
          <cell r="AF2037">
            <v>0</v>
          </cell>
          <cell r="AG2037">
            <v>725.14</v>
          </cell>
          <cell r="AH2037">
            <v>362.57</v>
          </cell>
        </row>
        <row r="2038">
          <cell r="AE2038" t="str">
            <v xml:space="preserve">EE1000791    </v>
          </cell>
          <cell r="AF2038">
            <v>-9.999999999308784E-3</v>
          </cell>
          <cell r="AG2038">
            <v>725.14</v>
          </cell>
          <cell r="AH2038">
            <v>362.57</v>
          </cell>
        </row>
        <row r="2039">
          <cell r="AE2039" t="str">
            <v xml:space="preserve">EE1000792    </v>
          </cell>
          <cell r="AF2039">
            <v>0</v>
          </cell>
          <cell r="AG2039">
            <v>725.14</v>
          </cell>
          <cell r="AH2039">
            <v>362.57</v>
          </cell>
        </row>
        <row r="2040">
          <cell r="AE2040" t="str">
            <v xml:space="preserve">EE1000801    </v>
          </cell>
          <cell r="AF2040">
            <v>0</v>
          </cell>
          <cell r="AG2040">
            <v>725.14</v>
          </cell>
          <cell r="AH2040">
            <v>362.57</v>
          </cell>
        </row>
        <row r="2041">
          <cell r="AE2041" t="str">
            <v xml:space="preserve">EE1000802    </v>
          </cell>
          <cell r="AF2041">
            <v>0</v>
          </cell>
          <cell r="AG2041">
            <v>725.14</v>
          </cell>
          <cell r="AH2041">
            <v>362.57</v>
          </cell>
        </row>
        <row r="2042">
          <cell r="AE2042" t="str">
            <v>E0008432</v>
          </cell>
          <cell r="AF2042">
            <v>0</v>
          </cell>
          <cell r="AG2042">
            <v>3581.9</v>
          </cell>
          <cell r="AH2042">
            <v>3581.9</v>
          </cell>
        </row>
        <row r="2043">
          <cell r="AE2043" t="str">
            <v>E0008722</v>
          </cell>
          <cell r="AF2043">
            <v>0</v>
          </cell>
          <cell r="AG2043">
            <v>38591.42</v>
          </cell>
          <cell r="AH2043">
            <v>38591.42</v>
          </cell>
        </row>
        <row r="2044">
          <cell r="AE2044" t="str">
            <v>E0008723</v>
          </cell>
          <cell r="AF2044">
            <v>0</v>
          </cell>
          <cell r="AG2044">
            <v>38591.42</v>
          </cell>
          <cell r="AH2044">
            <v>38591.42</v>
          </cell>
        </row>
        <row r="2045">
          <cell r="AE2045" t="str">
            <v>E0008729</v>
          </cell>
          <cell r="AF2045">
            <v>0</v>
          </cell>
          <cell r="AG2045">
            <v>3130.67</v>
          </cell>
          <cell r="AH2045">
            <v>3130.67</v>
          </cell>
        </row>
        <row r="2046">
          <cell r="AE2046" t="str">
            <v>E0008730</v>
          </cell>
          <cell r="AF2046">
            <v>0</v>
          </cell>
          <cell r="AG2046">
            <v>3130.67</v>
          </cell>
          <cell r="AH2046">
            <v>3130.67</v>
          </cell>
        </row>
        <row r="2047">
          <cell r="AE2047" t="str">
            <v>E0008731</v>
          </cell>
          <cell r="AF2047">
            <v>0</v>
          </cell>
          <cell r="AG2047">
            <v>3130.67</v>
          </cell>
          <cell r="AH2047">
            <v>3130.67</v>
          </cell>
        </row>
        <row r="2048">
          <cell r="AE2048" t="str">
            <v>E0008732</v>
          </cell>
          <cell r="AF2048">
            <v>0</v>
          </cell>
          <cell r="AG2048">
            <v>3130.67</v>
          </cell>
          <cell r="AH2048">
            <v>3130.67</v>
          </cell>
        </row>
        <row r="2049">
          <cell r="AE2049" t="str">
            <v>E0008733</v>
          </cell>
          <cell r="AF2049">
            <v>0</v>
          </cell>
          <cell r="AG2049">
            <v>3628.27</v>
          </cell>
          <cell r="AH2049">
            <v>3628.27</v>
          </cell>
        </row>
        <row r="2050">
          <cell r="AE2050" t="str">
            <v>E0008734</v>
          </cell>
          <cell r="AF2050">
            <v>0</v>
          </cell>
          <cell r="AG2050">
            <v>3628.27</v>
          </cell>
          <cell r="AH2050">
            <v>3628.27</v>
          </cell>
        </row>
        <row r="2051">
          <cell r="AE2051" t="str">
            <v>E0008735</v>
          </cell>
          <cell r="AF2051">
            <v>0</v>
          </cell>
          <cell r="AG2051">
            <v>3192.71</v>
          </cell>
          <cell r="AH2051">
            <v>3192.71</v>
          </cell>
        </row>
        <row r="2052">
          <cell r="AE2052" t="str">
            <v>E0008736</v>
          </cell>
          <cell r="AF2052">
            <v>0</v>
          </cell>
          <cell r="AG2052">
            <v>3192.71</v>
          </cell>
          <cell r="AH2052">
            <v>3192.71</v>
          </cell>
        </row>
        <row r="2053">
          <cell r="AE2053" t="str">
            <v xml:space="preserve">EE1000611    </v>
          </cell>
          <cell r="AF2053">
            <v>-1.0000000002037268E-2</v>
          </cell>
          <cell r="AG2053">
            <v>2701.23</v>
          </cell>
          <cell r="AH2053">
            <v>891.41</v>
          </cell>
        </row>
        <row r="2054">
          <cell r="AE2054" t="str">
            <v xml:space="preserve">EE1000612    </v>
          </cell>
          <cell r="AF2054">
            <v>0</v>
          </cell>
          <cell r="AG2054">
            <v>2701.23</v>
          </cell>
          <cell r="AH2054">
            <v>108.05</v>
          </cell>
        </row>
        <row r="2055">
          <cell r="AE2055" t="str">
            <v xml:space="preserve">EE1000613    </v>
          </cell>
          <cell r="AF2055">
            <v>0</v>
          </cell>
          <cell r="AG2055">
            <v>2701.23</v>
          </cell>
          <cell r="AH2055">
            <v>351.16</v>
          </cell>
        </row>
        <row r="2056">
          <cell r="AE2056" t="str">
            <v xml:space="preserve">EE1000614    </v>
          </cell>
          <cell r="AF2056">
            <v>0</v>
          </cell>
          <cell r="AG2056">
            <v>2701.23</v>
          </cell>
          <cell r="AH2056">
            <v>81.040000000000006</v>
          </cell>
        </row>
        <row r="2057">
          <cell r="AE2057" t="str">
            <v xml:space="preserve">EE1000615    </v>
          </cell>
          <cell r="AF2057">
            <v>0</v>
          </cell>
          <cell r="AG2057">
            <v>2701.23</v>
          </cell>
          <cell r="AH2057">
            <v>1269.58</v>
          </cell>
        </row>
        <row r="2058">
          <cell r="AE2058" t="str">
            <v xml:space="preserve">EE1000621    </v>
          </cell>
          <cell r="AF2058">
            <v>-1.0000000002037268E-2</v>
          </cell>
          <cell r="AG2058">
            <v>2701.23</v>
          </cell>
          <cell r="AH2058">
            <v>891.41</v>
          </cell>
        </row>
        <row r="2059">
          <cell r="AE2059" t="str">
            <v xml:space="preserve">EE1000622    </v>
          </cell>
          <cell r="AF2059">
            <v>0</v>
          </cell>
          <cell r="AG2059">
            <v>2701.23</v>
          </cell>
          <cell r="AH2059">
            <v>108.05</v>
          </cell>
        </row>
        <row r="2060">
          <cell r="AE2060" t="str">
            <v xml:space="preserve">EE1000623    </v>
          </cell>
          <cell r="AF2060">
            <v>0</v>
          </cell>
          <cell r="AG2060">
            <v>2701.23</v>
          </cell>
          <cell r="AH2060">
            <v>351.16</v>
          </cell>
        </row>
        <row r="2061">
          <cell r="AE2061" t="str">
            <v xml:space="preserve">EE1000624    </v>
          </cell>
          <cell r="AF2061">
            <v>0</v>
          </cell>
          <cell r="AG2061">
            <v>2701.23</v>
          </cell>
          <cell r="AH2061">
            <v>81.040000000000006</v>
          </cell>
        </row>
        <row r="2062">
          <cell r="AE2062" t="str">
            <v xml:space="preserve">EE1000625    </v>
          </cell>
          <cell r="AF2062">
            <v>0</v>
          </cell>
          <cell r="AG2062">
            <v>2701.23</v>
          </cell>
          <cell r="AH2062">
            <v>1269.58</v>
          </cell>
        </row>
        <row r="2063">
          <cell r="AE2063" t="str">
            <v>EE100044</v>
          </cell>
          <cell r="AF2063">
            <v>0</v>
          </cell>
          <cell r="AG2063">
            <v>1062.5</v>
          </cell>
          <cell r="AH2063">
            <v>1062.5</v>
          </cell>
        </row>
        <row r="2064">
          <cell r="AE2064" t="str">
            <v>EE100045</v>
          </cell>
          <cell r="AF2064">
            <v>0</v>
          </cell>
          <cell r="AG2064">
            <v>1062.5</v>
          </cell>
          <cell r="AH2064">
            <v>1062.5</v>
          </cell>
        </row>
        <row r="2065">
          <cell r="AE2065" t="str">
            <v>EE100046</v>
          </cell>
          <cell r="AF2065">
            <v>0</v>
          </cell>
          <cell r="AG2065">
            <v>1062.5</v>
          </cell>
          <cell r="AH2065">
            <v>1062.5</v>
          </cell>
        </row>
        <row r="2066">
          <cell r="AE2066" t="str">
            <v>EE100047</v>
          </cell>
          <cell r="AF2066">
            <v>0</v>
          </cell>
          <cell r="AG2066">
            <v>1062.5</v>
          </cell>
          <cell r="AH2066">
            <v>1062.5</v>
          </cell>
        </row>
        <row r="2067">
          <cell r="AE2067" t="str">
            <v>EE100048</v>
          </cell>
          <cell r="AF2067">
            <v>0</v>
          </cell>
          <cell r="AG2067">
            <v>1063.53</v>
          </cell>
          <cell r="AH2067">
            <v>1063.53</v>
          </cell>
        </row>
        <row r="2068">
          <cell r="AE2068" t="str">
            <v>EE100049</v>
          </cell>
          <cell r="AF2068">
            <v>0</v>
          </cell>
          <cell r="AG2068">
            <v>1063.53</v>
          </cell>
          <cell r="AH2068">
            <v>1063.53</v>
          </cell>
        </row>
        <row r="2069">
          <cell r="AE2069" t="str">
            <v>E0008941</v>
          </cell>
          <cell r="AF2069">
            <v>0</v>
          </cell>
          <cell r="AG2069">
            <v>600</v>
          </cell>
          <cell r="AH2069">
            <v>600</v>
          </cell>
        </row>
        <row r="2070">
          <cell r="AE2070" t="str">
            <v>EE100058</v>
          </cell>
          <cell r="AF2070">
            <v>0</v>
          </cell>
          <cell r="AG2070">
            <v>1089.29</v>
          </cell>
          <cell r="AH2070">
            <v>1089.29</v>
          </cell>
        </row>
        <row r="2071">
          <cell r="AE2071" t="str">
            <v>EE100059</v>
          </cell>
          <cell r="AF2071">
            <v>0</v>
          </cell>
          <cell r="AG2071">
            <v>1089.29</v>
          </cell>
          <cell r="AH2071">
            <v>1089.29</v>
          </cell>
        </row>
        <row r="2072">
          <cell r="AE2072" t="str">
            <v>EE100037</v>
          </cell>
          <cell r="AF2072">
            <v>0</v>
          </cell>
          <cell r="AG2072">
            <v>1367.12</v>
          </cell>
          <cell r="AH2072">
            <v>1367.12</v>
          </cell>
        </row>
        <row r="2073">
          <cell r="AE2073" t="str">
            <v>EE100038</v>
          </cell>
          <cell r="AF2073">
            <v>0</v>
          </cell>
          <cell r="AG2073">
            <v>1367.12</v>
          </cell>
          <cell r="AH2073">
            <v>1367.12</v>
          </cell>
        </row>
        <row r="2074">
          <cell r="AE2074" t="str">
            <v>EE100039</v>
          </cell>
          <cell r="AF2074">
            <v>0</v>
          </cell>
          <cell r="AG2074">
            <v>1367.12</v>
          </cell>
          <cell r="AH2074">
            <v>1367.12</v>
          </cell>
        </row>
        <row r="2075">
          <cell r="AE2075" t="str">
            <v>EE100022</v>
          </cell>
          <cell r="AF2075">
            <v>0</v>
          </cell>
          <cell r="AG2075">
            <v>1082</v>
          </cell>
          <cell r="AH2075">
            <v>1082</v>
          </cell>
        </row>
        <row r="2076">
          <cell r="AE2076" t="str">
            <v>EE100023</v>
          </cell>
          <cell r="AF2076">
            <v>0</v>
          </cell>
          <cell r="AG2076">
            <v>1082</v>
          </cell>
          <cell r="AH2076">
            <v>1082</v>
          </cell>
        </row>
        <row r="2077">
          <cell r="AE2077" t="str">
            <v>EE100025</v>
          </cell>
          <cell r="AF2077">
            <v>0</v>
          </cell>
          <cell r="AG2077">
            <v>1082</v>
          </cell>
          <cell r="AH2077">
            <v>1082</v>
          </cell>
        </row>
        <row r="2078">
          <cell r="AE2078" t="str">
            <v>EE100026</v>
          </cell>
          <cell r="AF2078">
            <v>0</v>
          </cell>
          <cell r="AG2078">
            <v>1082</v>
          </cell>
          <cell r="AH2078">
            <v>1082</v>
          </cell>
        </row>
        <row r="2079">
          <cell r="AE2079" t="str">
            <v>EE100736</v>
          </cell>
          <cell r="AF2079">
            <v>0</v>
          </cell>
          <cell r="AG2079">
            <v>13600</v>
          </cell>
          <cell r="AH2079">
            <v>13600</v>
          </cell>
        </row>
        <row r="2080">
          <cell r="AE2080" t="str">
            <v>25002PP</v>
          </cell>
          <cell r="AF2080">
            <v>10623.370000000003</v>
          </cell>
          <cell r="AG2080">
            <v>4025.7</v>
          </cell>
          <cell r="AH2080">
            <v>4025.7</v>
          </cell>
        </row>
        <row r="2081">
          <cell r="AE2081" t="str">
            <v>250C324</v>
          </cell>
          <cell r="AF2081">
            <v>10623.370000000003</v>
          </cell>
          <cell r="AG2081">
            <v>4025.7</v>
          </cell>
          <cell r="AH2081">
            <v>4025.7</v>
          </cell>
        </row>
        <row r="2082">
          <cell r="AE2082" t="str">
            <v>250C2N7</v>
          </cell>
          <cell r="AF2082">
            <v>10623.370000000003</v>
          </cell>
          <cell r="AG2082">
            <v>4025.7</v>
          </cell>
          <cell r="AH2082">
            <v>4025.7</v>
          </cell>
        </row>
        <row r="2083">
          <cell r="AE2083" t="str">
            <v>250C31E</v>
          </cell>
          <cell r="AF2083">
            <v>10623.370000000003</v>
          </cell>
          <cell r="AG2083">
            <v>4025.7</v>
          </cell>
          <cell r="AH2083">
            <v>4025.7</v>
          </cell>
        </row>
        <row r="2084">
          <cell r="AE2084" t="str">
            <v>250C2WC</v>
          </cell>
          <cell r="AF2084">
            <v>10623.370000000003</v>
          </cell>
          <cell r="AG2084">
            <v>4025.7</v>
          </cell>
          <cell r="AH2084">
            <v>4025.7</v>
          </cell>
        </row>
        <row r="2085">
          <cell r="AE2085" t="str">
            <v>250C327</v>
          </cell>
          <cell r="AF2085">
            <v>10623.370000000003</v>
          </cell>
          <cell r="AG2085">
            <v>4025.7</v>
          </cell>
          <cell r="AH2085">
            <v>4025.7</v>
          </cell>
        </row>
        <row r="2086">
          <cell r="AE2086" t="str">
            <v>250C32D</v>
          </cell>
          <cell r="AF2086">
            <v>10623.370000000003</v>
          </cell>
          <cell r="AG2086">
            <v>4025.7</v>
          </cell>
          <cell r="AH2086">
            <v>4025.7</v>
          </cell>
        </row>
        <row r="2087">
          <cell r="AE2087" t="str">
            <v>ESACR001</v>
          </cell>
          <cell r="AF2087">
            <v>0</v>
          </cell>
          <cell r="AG2087">
            <v>697.2</v>
          </cell>
          <cell r="AH2087">
            <v>697.2</v>
          </cell>
        </row>
        <row r="2088">
          <cell r="AE2088" t="str">
            <v>E000SA22</v>
          </cell>
          <cell r="AF2088">
            <v>0</v>
          </cell>
          <cell r="AG2088">
            <v>575</v>
          </cell>
          <cell r="AH2088">
            <v>575</v>
          </cell>
        </row>
        <row r="2089">
          <cell r="AE2089" t="str">
            <v>E0009653</v>
          </cell>
          <cell r="AF2089">
            <v>0</v>
          </cell>
          <cell r="AG2089">
            <v>4300</v>
          </cell>
          <cell r="AH2089">
            <v>4300</v>
          </cell>
        </row>
        <row r="2090">
          <cell r="AE2090" t="str">
            <v>E0009654</v>
          </cell>
          <cell r="AF2090">
            <v>0</v>
          </cell>
          <cell r="AG2090">
            <v>4300</v>
          </cell>
          <cell r="AH2090">
            <v>4300</v>
          </cell>
        </row>
        <row r="2091">
          <cell r="AE2091" t="str">
            <v>E0S0P007</v>
          </cell>
          <cell r="AF2091">
            <v>0</v>
          </cell>
          <cell r="AG2091">
            <v>2375</v>
          </cell>
          <cell r="AH2091">
            <v>2375</v>
          </cell>
        </row>
        <row r="2092">
          <cell r="AE2092" t="str">
            <v>E0S0P008</v>
          </cell>
          <cell r="AF2092">
            <v>0</v>
          </cell>
          <cell r="AG2092">
            <v>2375</v>
          </cell>
          <cell r="AH2092">
            <v>2375</v>
          </cell>
        </row>
        <row r="2093">
          <cell r="AE2093" t="str">
            <v>E0SOP005</v>
          </cell>
          <cell r="AF2093">
            <v>0</v>
          </cell>
          <cell r="AG2093">
            <v>2375</v>
          </cell>
          <cell r="AH2093">
            <v>2375</v>
          </cell>
        </row>
        <row r="2094">
          <cell r="AE2094" t="str">
            <v>E0SOP006</v>
          </cell>
          <cell r="AF2094">
            <v>0</v>
          </cell>
          <cell r="AG2094">
            <v>2375</v>
          </cell>
          <cell r="AH2094">
            <v>2375</v>
          </cell>
        </row>
        <row r="2095">
          <cell r="AE2095" t="str">
            <v>E0SAO003</v>
          </cell>
          <cell r="AF2095">
            <v>0</v>
          </cell>
          <cell r="AG2095">
            <v>575</v>
          </cell>
          <cell r="AH2095">
            <v>575</v>
          </cell>
        </row>
        <row r="2096">
          <cell r="AE2096" t="str">
            <v>E0SAO004</v>
          </cell>
          <cell r="AF2096">
            <v>0</v>
          </cell>
          <cell r="AG2096">
            <v>575</v>
          </cell>
          <cell r="AH2096">
            <v>575</v>
          </cell>
        </row>
        <row r="2097">
          <cell r="AE2097" t="str">
            <v>E0008702</v>
          </cell>
          <cell r="AF2097">
            <v>0</v>
          </cell>
          <cell r="AG2097">
            <v>2522.58</v>
          </cell>
          <cell r="AH2097">
            <v>2522.58</v>
          </cell>
        </row>
        <row r="2098">
          <cell r="AE2098" t="str">
            <v>E0008914</v>
          </cell>
          <cell r="AF2098">
            <v>0</v>
          </cell>
          <cell r="AG2098">
            <v>9760.02</v>
          </cell>
          <cell r="AH2098">
            <v>9760.02</v>
          </cell>
        </row>
        <row r="2099">
          <cell r="AE2099" t="str">
            <v>E0008938</v>
          </cell>
          <cell r="AF2099">
            <v>0</v>
          </cell>
          <cell r="AG2099">
            <v>10086.25</v>
          </cell>
          <cell r="AH2099">
            <v>10086.25</v>
          </cell>
        </row>
        <row r="2100">
          <cell r="AE2100" t="str">
            <v>EE100762</v>
          </cell>
          <cell r="AF2100">
            <v>0</v>
          </cell>
          <cell r="AG2100">
            <v>1819.75</v>
          </cell>
          <cell r="AH2100">
            <v>1819.75</v>
          </cell>
        </row>
        <row r="2101">
          <cell r="AE2101" t="str">
            <v>EE100763</v>
          </cell>
          <cell r="AF2101">
            <v>0</v>
          </cell>
          <cell r="AG2101">
            <v>1819.75</v>
          </cell>
          <cell r="AH2101">
            <v>1819.75</v>
          </cell>
        </row>
        <row r="2102">
          <cell r="AE2102" t="str">
            <v>EE100764</v>
          </cell>
          <cell r="AF2102">
            <v>0</v>
          </cell>
          <cell r="AG2102">
            <v>667.75</v>
          </cell>
          <cell r="AH2102">
            <v>667.75</v>
          </cell>
        </row>
        <row r="2103">
          <cell r="AE2103" t="str">
            <v>EE100765</v>
          </cell>
          <cell r="AF2103">
            <v>0</v>
          </cell>
          <cell r="AG2103">
            <v>667.75</v>
          </cell>
          <cell r="AH2103">
            <v>667.75</v>
          </cell>
        </row>
        <row r="2104">
          <cell r="AE2104" t="str">
            <v>EE100766</v>
          </cell>
          <cell r="AF2104">
            <v>0</v>
          </cell>
          <cell r="AG2104">
            <v>412.5</v>
          </cell>
          <cell r="AH2104">
            <v>412.5</v>
          </cell>
        </row>
        <row r="2105">
          <cell r="AE2105" t="str">
            <v>EE100767</v>
          </cell>
          <cell r="AF2105">
            <v>0</v>
          </cell>
          <cell r="AG2105">
            <v>412.5</v>
          </cell>
          <cell r="AH2105">
            <v>412.5</v>
          </cell>
        </row>
        <row r="2106">
          <cell r="AE2106" t="str">
            <v>EE100768</v>
          </cell>
          <cell r="AF2106">
            <v>0</v>
          </cell>
          <cell r="AG2106">
            <v>412.5</v>
          </cell>
          <cell r="AH2106">
            <v>412.5</v>
          </cell>
        </row>
        <row r="2107">
          <cell r="AE2107" t="str">
            <v>EE100769</v>
          </cell>
          <cell r="AF2107">
            <v>0</v>
          </cell>
          <cell r="AG2107">
            <v>412.5</v>
          </cell>
          <cell r="AH2107">
            <v>412.5</v>
          </cell>
        </row>
        <row r="2108">
          <cell r="AE2108" t="str">
            <v>EE100770</v>
          </cell>
          <cell r="AF2108">
            <v>0</v>
          </cell>
          <cell r="AG2108">
            <v>400</v>
          </cell>
          <cell r="AH2108">
            <v>400</v>
          </cell>
        </row>
        <row r="2109">
          <cell r="AE2109" t="str">
            <v>E100847</v>
          </cell>
          <cell r="AF2109">
            <v>0</v>
          </cell>
          <cell r="AG2109">
            <v>3325.99</v>
          </cell>
          <cell r="AH2109">
            <v>3325.99</v>
          </cell>
        </row>
        <row r="2110">
          <cell r="AE2110" t="str">
            <v>E100848</v>
          </cell>
          <cell r="AF2110">
            <v>0</v>
          </cell>
          <cell r="AG2110">
            <v>3626</v>
          </cell>
          <cell r="AH2110">
            <v>3626</v>
          </cell>
        </row>
        <row r="2111">
          <cell r="AE2111" t="str">
            <v>E0008986</v>
          </cell>
          <cell r="AF2111">
            <v>0</v>
          </cell>
          <cell r="AG2111">
            <v>1170.1600000000001</v>
          </cell>
          <cell r="AH2111">
            <v>1170.1600000000001</v>
          </cell>
        </row>
        <row r="2112">
          <cell r="AE2112" t="str">
            <v>E100846</v>
          </cell>
          <cell r="AF2112">
            <v>0</v>
          </cell>
          <cell r="AG2112">
            <v>3820.99</v>
          </cell>
          <cell r="AH2112">
            <v>3820.99</v>
          </cell>
        </row>
        <row r="2113">
          <cell r="AE2113" t="str">
            <v>E0008564</v>
          </cell>
          <cell r="AF2113">
            <v>0</v>
          </cell>
          <cell r="AG2113">
            <v>2457</v>
          </cell>
          <cell r="AH2113">
            <v>2457</v>
          </cell>
        </row>
        <row r="2114">
          <cell r="AE2114" t="str">
            <v>E100849</v>
          </cell>
          <cell r="AF2114">
            <v>0</v>
          </cell>
          <cell r="AG2114">
            <v>6435.99</v>
          </cell>
          <cell r="AH2114">
            <v>6435.99</v>
          </cell>
        </row>
        <row r="2115">
          <cell r="AE2115" t="str">
            <v>E0008490</v>
          </cell>
          <cell r="AF2115">
            <v>0</v>
          </cell>
          <cell r="AG2115">
            <v>5598.45</v>
          </cell>
          <cell r="AH2115">
            <v>5598.45</v>
          </cell>
        </row>
        <row r="2116">
          <cell r="AE2116" t="str">
            <v>E0008411</v>
          </cell>
          <cell r="AF2116">
            <v>0</v>
          </cell>
          <cell r="AG2116">
            <v>1661.11</v>
          </cell>
          <cell r="AH2116">
            <v>1661.11</v>
          </cell>
        </row>
        <row r="2117">
          <cell r="AE2117" t="str">
            <v>EE100582</v>
          </cell>
          <cell r="AF2117">
            <v>0</v>
          </cell>
          <cell r="AG2117">
            <v>7230.2</v>
          </cell>
          <cell r="AH2117">
            <v>7230.2</v>
          </cell>
        </row>
        <row r="2118">
          <cell r="AE2118" t="str">
            <v>EE100571</v>
          </cell>
          <cell r="AF2118">
            <v>0</v>
          </cell>
          <cell r="AG2118">
            <v>6857.7</v>
          </cell>
          <cell r="AH2118">
            <v>6857.7</v>
          </cell>
        </row>
        <row r="2119">
          <cell r="AE2119" t="str">
            <v>EE100572</v>
          </cell>
          <cell r="AF2119">
            <v>0</v>
          </cell>
          <cell r="AG2119">
            <v>3090.7</v>
          </cell>
          <cell r="AH2119">
            <v>3090.7</v>
          </cell>
        </row>
        <row r="2120">
          <cell r="AE2120" t="str">
            <v>EE100573</v>
          </cell>
          <cell r="AF2120">
            <v>0</v>
          </cell>
          <cell r="AG2120">
            <v>3090.7</v>
          </cell>
          <cell r="AH2120">
            <v>3090.7</v>
          </cell>
        </row>
        <row r="2121">
          <cell r="AE2121" t="str">
            <v>EE100575</v>
          </cell>
          <cell r="AF2121">
            <v>0</v>
          </cell>
          <cell r="AG2121">
            <v>2748.25</v>
          </cell>
          <cell r="AH2121">
            <v>2748.25</v>
          </cell>
        </row>
        <row r="2122">
          <cell r="AE2122" t="str">
            <v>EE100576</v>
          </cell>
          <cell r="AF2122">
            <v>0</v>
          </cell>
          <cell r="AG2122">
            <v>2748.25</v>
          </cell>
          <cell r="AH2122">
            <v>2748.25</v>
          </cell>
        </row>
        <row r="2123">
          <cell r="AE2123" t="str">
            <v>EE100577</v>
          </cell>
          <cell r="AF2123">
            <v>0</v>
          </cell>
          <cell r="AG2123">
            <v>2748.25</v>
          </cell>
          <cell r="AH2123">
            <v>2748.25</v>
          </cell>
        </row>
        <row r="2124">
          <cell r="AE2124" t="str">
            <v>EE100578</v>
          </cell>
          <cell r="AF2124">
            <v>0</v>
          </cell>
          <cell r="AG2124">
            <v>2748.25</v>
          </cell>
          <cell r="AH2124">
            <v>2748.25</v>
          </cell>
        </row>
        <row r="2125">
          <cell r="AE2125" t="str">
            <v>E0008579</v>
          </cell>
          <cell r="AF2125">
            <v>0</v>
          </cell>
          <cell r="AG2125">
            <v>5200</v>
          </cell>
          <cell r="AH2125">
            <v>5200</v>
          </cell>
        </row>
        <row r="2126">
          <cell r="AE2126" t="str">
            <v>E0008672</v>
          </cell>
          <cell r="AF2126">
            <v>0</v>
          </cell>
          <cell r="AG2126">
            <v>1617.53</v>
          </cell>
          <cell r="AH2126">
            <v>1617.53</v>
          </cell>
        </row>
        <row r="2127">
          <cell r="AE2127" t="str">
            <v>E0008673</v>
          </cell>
          <cell r="AF2127">
            <v>0</v>
          </cell>
          <cell r="AG2127">
            <v>1617.53</v>
          </cell>
          <cell r="AH2127">
            <v>1617.53</v>
          </cell>
        </row>
        <row r="2128">
          <cell r="AE2128" t="str">
            <v>E0008675</v>
          </cell>
          <cell r="AF2128">
            <v>0</v>
          </cell>
          <cell r="AG2128">
            <v>1617.53</v>
          </cell>
          <cell r="AH2128">
            <v>1617.53</v>
          </cell>
        </row>
        <row r="2129">
          <cell r="AE2129" t="str">
            <v>E0008429</v>
          </cell>
          <cell r="AF2129">
            <v>0</v>
          </cell>
          <cell r="AG2129">
            <v>1321.75</v>
          </cell>
          <cell r="AH2129">
            <v>1321.75</v>
          </cell>
        </row>
        <row r="2130">
          <cell r="AE2130" t="str">
            <v>EE100566</v>
          </cell>
          <cell r="AF2130">
            <v>0</v>
          </cell>
          <cell r="AG2130">
            <v>2097.23</v>
          </cell>
          <cell r="AH2130">
            <v>2097.23</v>
          </cell>
        </row>
        <row r="2131">
          <cell r="AE2131" t="str">
            <v>E3289VZR</v>
          </cell>
          <cell r="AF2131">
            <v>0</v>
          </cell>
          <cell r="AG2131">
            <v>404.19</v>
          </cell>
          <cell r="AH2131">
            <v>404.19</v>
          </cell>
        </row>
        <row r="2132">
          <cell r="AE2132" t="str">
            <v>E3289VZU</v>
          </cell>
          <cell r="AF2132">
            <v>0</v>
          </cell>
          <cell r="AG2132">
            <v>404.19</v>
          </cell>
          <cell r="AH2132">
            <v>404.19</v>
          </cell>
        </row>
        <row r="2133">
          <cell r="AE2133" t="str">
            <v>E3289VZX</v>
          </cell>
          <cell r="AF2133">
            <v>0</v>
          </cell>
          <cell r="AG2133">
            <v>404.19</v>
          </cell>
          <cell r="AH2133">
            <v>404.19</v>
          </cell>
        </row>
        <row r="2134">
          <cell r="AE2134" t="str">
            <v>EE100658</v>
          </cell>
          <cell r="AF2134">
            <v>0</v>
          </cell>
          <cell r="AG2134">
            <v>26490</v>
          </cell>
          <cell r="AH2134">
            <v>26490</v>
          </cell>
        </row>
        <row r="2135">
          <cell r="AE2135" t="str">
            <v>E0009487</v>
          </cell>
          <cell r="AF2135">
            <v>0</v>
          </cell>
          <cell r="AG2135">
            <v>1382.5</v>
          </cell>
          <cell r="AH2135">
            <v>1382.5</v>
          </cell>
        </row>
        <row r="2136">
          <cell r="AE2136" t="str">
            <v>E0008724</v>
          </cell>
          <cell r="AF2136">
            <v>0</v>
          </cell>
          <cell r="AG2136">
            <v>1614.13</v>
          </cell>
          <cell r="AH2136">
            <v>1614.13</v>
          </cell>
        </row>
        <row r="2137">
          <cell r="AE2137" t="str">
            <v>E0008725</v>
          </cell>
          <cell r="AF2137">
            <v>0</v>
          </cell>
          <cell r="AG2137">
            <v>1614.13</v>
          </cell>
          <cell r="AH2137">
            <v>1614.13</v>
          </cell>
        </row>
        <row r="2138">
          <cell r="AE2138" t="str">
            <v>E0008726</v>
          </cell>
          <cell r="AF2138">
            <v>0</v>
          </cell>
          <cell r="AG2138">
            <v>1614.13</v>
          </cell>
          <cell r="AH2138">
            <v>1614.13</v>
          </cell>
        </row>
        <row r="2139">
          <cell r="AE2139" t="str">
            <v>E0008727</v>
          </cell>
          <cell r="AF2139">
            <v>0</v>
          </cell>
          <cell r="AG2139">
            <v>1614.13</v>
          </cell>
          <cell r="AH2139">
            <v>1614.13</v>
          </cell>
        </row>
        <row r="2140">
          <cell r="AE2140" t="str">
            <v>E0008728</v>
          </cell>
          <cell r="AF2140">
            <v>0</v>
          </cell>
          <cell r="AG2140">
            <v>1614.13</v>
          </cell>
          <cell r="AH2140">
            <v>1614.13</v>
          </cell>
        </row>
        <row r="2141">
          <cell r="AE2141" t="str">
            <v>E0008741</v>
          </cell>
          <cell r="AF2141">
            <v>0</v>
          </cell>
          <cell r="AG2141">
            <v>1614.08</v>
          </cell>
          <cell r="AH2141">
            <v>1614.08</v>
          </cell>
        </row>
        <row r="2142">
          <cell r="AE2142" t="str">
            <v>E0008742</v>
          </cell>
          <cell r="AF2142">
            <v>0</v>
          </cell>
          <cell r="AG2142">
            <v>1614.08</v>
          </cell>
          <cell r="AH2142">
            <v>1614.08</v>
          </cell>
        </row>
        <row r="2143">
          <cell r="AE2143" t="str">
            <v>E0008743</v>
          </cell>
          <cell r="AF2143">
            <v>0</v>
          </cell>
          <cell r="AG2143">
            <v>1614.08</v>
          </cell>
          <cell r="AH2143">
            <v>1614.08</v>
          </cell>
        </row>
        <row r="2144">
          <cell r="AE2144" t="str">
            <v>E0008744</v>
          </cell>
          <cell r="AF2144">
            <v>0</v>
          </cell>
          <cell r="AG2144">
            <v>1614.08</v>
          </cell>
          <cell r="AH2144">
            <v>1614.08</v>
          </cell>
        </row>
        <row r="2145">
          <cell r="AE2145" t="str">
            <v>E0008745</v>
          </cell>
          <cell r="AF2145">
            <v>0</v>
          </cell>
          <cell r="AG2145">
            <v>1614.08</v>
          </cell>
          <cell r="AH2145">
            <v>1614.08</v>
          </cell>
        </row>
        <row r="2146">
          <cell r="AE2146" t="str">
            <v>E0008746</v>
          </cell>
          <cell r="AF2146">
            <v>0</v>
          </cell>
          <cell r="AG2146">
            <v>1614.08</v>
          </cell>
          <cell r="AH2146">
            <v>1614.08</v>
          </cell>
        </row>
        <row r="2147">
          <cell r="AE2147" t="str">
            <v>E0008747</v>
          </cell>
          <cell r="AF2147">
            <v>0</v>
          </cell>
          <cell r="AG2147">
            <v>1614.08</v>
          </cell>
          <cell r="AH2147">
            <v>1614.08</v>
          </cell>
        </row>
        <row r="2148">
          <cell r="AE2148" t="str">
            <v>E0008748</v>
          </cell>
          <cell r="AF2148">
            <v>0</v>
          </cell>
          <cell r="AG2148">
            <v>1614.08</v>
          </cell>
          <cell r="AH2148">
            <v>1614.08</v>
          </cell>
        </row>
        <row r="2149">
          <cell r="AE2149" t="str">
            <v>E0008749</v>
          </cell>
          <cell r="AF2149">
            <v>0</v>
          </cell>
          <cell r="AG2149">
            <v>1614.08</v>
          </cell>
          <cell r="AH2149">
            <v>1614.08</v>
          </cell>
        </row>
        <row r="2150">
          <cell r="AE2150" t="str">
            <v>E0008750</v>
          </cell>
          <cell r="AF2150">
            <v>0</v>
          </cell>
          <cell r="AG2150">
            <v>1614.08</v>
          </cell>
          <cell r="AH2150">
            <v>1614.08</v>
          </cell>
        </row>
        <row r="2151">
          <cell r="AE2151" t="str">
            <v>E0008762</v>
          </cell>
          <cell r="AF2151">
            <v>0</v>
          </cell>
          <cell r="AG2151">
            <v>1614.08</v>
          </cell>
          <cell r="AH2151">
            <v>1614.08</v>
          </cell>
        </row>
        <row r="2152">
          <cell r="AE2152" t="str">
            <v>E0008763</v>
          </cell>
          <cell r="AF2152">
            <v>0</v>
          </cell>
          <cell r="AG2152">
            <v>1614.08</v>
          </cell>
          <cell r="AH2152">
            <v>1614.08</v>
          </cell>
        </row>
        <row r="2153">
          <cell r="AE2153" t="str">
            <v>E0008764</v>
          </cell>
          <cell r="AF2153">
            <v>0</v>
          </cell>
          <cell r="AG2153">
            <v>1614.08</v>
          </cell>
          <cell r="AH2153">
            <v>1614.08</v>
          </cell>
        </row>
        <row r="2154">
          <cell r="AE2154" t="str">
            <v>E0008765</v>
          </cell>
          <cell r="AF2154">
            <v>0</v>
          </cell>
          <cell r="AG2154">
            <v>1614.08</v>
          </cell>
          <cell r="AH2154">
            <v>1614.08</v>
          </cell>
        </row>
        <row r="2155">
          <cell r="AE2155" t="str">
            <v>E0008766</v>
          </cell>
          <cell r="AF2155">
            <v>0</v>
          </cell>
          <cell r="AG2155">
            <v>1614.08</v>
          </cell>
          <cell r="AH2155">
            <v>1614.08</v>
          </cell>
        </row>
        <row r="2156">
          <cell r="AE2156" t="str">
            <v>E0008767</v>
          </cell>
          <cell r="AF2156">
            <v>0</v>
          </cell>
          <cell r="AG2156">
            <v>1614.08</v>
          </cell>
          <cell r="AH2156">
            <v>1614.08</v>
          </cell>
        </row>
        <row r="2157">
          <cell r="AE2157" t="str">
            <v>E0008768</v>
          </cell>
          <cell r="AF2157">
            <v>0</v>
          </cell>
          <cell r="AG2157">
            <v>1614.08</v>
          </cell>
          <cell r="AH2157">
            <v>1614.08</v>
          </cell>
        </row>
        <row r="2158">
          <cell r="AE2158" t="str">
            <v>E0008769</v>
          </cell>
          <cell r="AF2158">
            <v>0</v>
          </cell>
          <cell r="AG2158">
            <v>1614.08</v>
          </cell>
          <cell r="AH2158">
            <v>1614.08</v>
          </cell>
        </row>
        <row r="2159">
          <cell r="AE2159" t="str">
            <v>E0008770</v>
          </cell>
          <cell r="AF2159">
            <v>0</v>
          </cell>
          <cell r="AG2159">
            <v>1614.08</v>
          </cell>
          <cell r="AH2159">
            <v>1614.08</v>
          </cell>
        </row>
        <row r="2160">
          <cell r="AE2160" t="str">
            <v>E0008773</v>
          </cell>
          <cell r="AF2160">
            <v>0</v>
          </cell>
          <cell r="AG2160">
            <v>1614.08</v>
          </cell>
          <cell r="AH2160">
            <v>1614.08</v>
          </cell>
        </row>
        <row r="2161">
          <cell r="AE2161" t="str">
            <v>E0008774</v>
          </cell>
          <cell r="AF2161">
            <v>0</v>
          </cell>
          <cell r="AG2161">
            <v>1614.08</v>
          </cell>
          <cell r="AH2161">
            <v>1614.08</v>
          </cell>
        </row>
        <row r="2162">
          <cell r="AE2162" t="str">
            <v>E0008781</v>
          </cell>
          <cell r="AF2162">
            <v>0</v>
          </cell>
          <cell r="AG2162">
            <v>1614.08</v>
          </cell>
          <cell r="AH2162">
            <v>1614.08</v>
          </cell>
        </row>
        <row r="2163">
          <cell r="AE2163" t="str">
            <v>E0008782</v>
          </cell>
          <cell r="AF2163">
            <v>0</v>
          </cell>
          <cell r="AG2163">
            <v>1614.08</v>
          </cell>
          <cell r="AH2163">
            <v>1614.08</v>
          </cell>
        </row>
        <row r="2164">
          <cell r="AE2164" t="str">
            <v>E0008783</v>
          </cell>
          <cell r="AF2164">
            <v>0</v>
          </cell>
          <cell r="AG2164">
            <v>1614.08</v>
          </cell>
          <cell r="AH2164">
            <v>1614.08</v>
          </cell>
        </row>
        <row r="2165">
          <cell r="AE2165" t="str">
            <v>E0008784</v>
          </cell>
          <cell r="AF2165">
            <v>0</v>
          </cell>
          <cell r="AG2165">
            <v>1614.08</v>
          </cell>
          <cell r="AH2165">
            <v>1614.08</v>
          </cell>
        </row>
        <row r="2166">
          <cell r="AE2166" t="str">
            <v>E0008785</v>
          </cell>
          <cell r="AF2166">
            <v>0</v>
          </cell>
          <cell r="AG2166">
            <v>1614.08</v>
          </cell>
          <cell r="AH2166">
            <v>1614.08</v>
          </cell>
        </row>
        <row r="2167">
          <cell r="AE2167" t="str">
            <v>E0008786</v>
          </cell>
          <cell r="AF2167">
            <v>0</v>
          </cell>
          <cell r="AG2167">
            <v>1614.08</v>
          </cell>
          <cell r="AH2167">
            <v>1614.08</v>
          </cell>
        </row>
        <row r="2168">
          <cell r="AE2168" t="str">
            <v>E0008787</v>
          </cell>
          <cell r="AF2168">
            <v>0</v>
          </cell>
          <cell r="AG2168">
            <v>1614.08</v>
          </cell>
          <cell r="AH2168">
            <v>1614.08</v>
          </cell>
        </row>
        <row r="2169">
          <cell r="AE2169" t="str">
            <v>E0008788</v>
          </cell>
          <cell r="AF2169">
            <v>0</v>
          </cell>
          <cell r="AG2169">
            <v>828.55</v>
          </cell>
          <cell r="AH2169">
            <v>828.55</v>
          </cell>
        </row>
        <row r="2170">
          <cell r="AE2170" t="str">
            <v>E0008789</v>
          </cell>
          <cell r="AF2170">
            <v>0</v>
          </cell>
          <cell r="AG2170">
            <v>828.55</v>
          </cell>
          <cell r="AH2170">
            <v>828.55</v>
          </cell>
        </row>
        <row r="2171">
          <cell r="AE2171" t="str">
            <v>E0008790</v>
          </cell>
          <cell r="AF2171">
            <v>0</v>
          </cell>
          <cell r="AG2171">
            <v>828.55</v>
          </cell>
          <cell r="AH2171">
            <v>828.55</v>
          </cell>
        </row>
        <row r="2172">
          <cell r="AE2172" t="str">
            <v>E0009041</v>
          </cell>
          <cell r="AF2172">
            <v>0</v>
          </cell>
          <cell r="AG2172">
            <v>1265</v>
          </cell>
          <cell r="AH2172">
            <v>1265</v>
          </cell>
        </row>
        <row r="2173">
          <cell r="AE2173" t="str">
            <v>E0009042</v>
          </cell>
          <cell r="AF2173">
            <v>0</v>
          </cell>
          <cell r="AG2173">
            <v>1265</v>
          </cell>
          <cell r="AH2173">
            <v>1265</v>
          </cell>
        </row>
        <row r="2174">
          <cell r="AE2174" t="str">
            <v>E0009043</v>
          </cell>
          <cell r="AF2174">
            <v>0</v>
          </cell>
          <cell r="AG2174">
            <v>1160</v>
          </cell>
          <cell r="AH2174">
            <v>1160</v>
          </cell>
        </row>
        <row r="2175">
          <cell r="AE2175" t="str">
            <v>EE100052</v>
          </cell>
          <cell r="AF2175">
            <v>0</v>
          </cell>
          <cell r="AG2175">
            <v>925</v>
          </cell>
          <cell r="AH2175">
            <v>925</v>
          </cell>
        </row>
        <row r="2176">
          <cell r="AE2176" t="str">
            <v>EE100053</v>
          </cell>
          <cell r="AF2176">
            <v>0</v>
          </cell>
          <cell r="AG2176">
            <v>925</v>
          </cell>
          <cell r="AH2176">
            <v>925</v>
          </cell>
        </row>
        <row r="2177">
          <cell r="AE2177" t="str">
            <v>EE100063</v>
          </cell>
          <cell r="AF2177">
            <v>0</v>
          </cell>
          <cell r="AG2177">
            <v>1512.11</v>
          </cell>
          <cell r="AH2177">
            <v>1512.11</v>
          </cell>
        </row>
        <row r="2178">
          <cell r="AE2178" t="str">
            <v>EE100064</v>
          </cell>
          <cell r="AF2178">
            <v>0</v>
          </cell>
          <cell r="AG2178">
            <v>1512.11</v>
          </cell>
          <cell r="AH2178">
            <v>1512.11</v>
          </cell>
        </row>
        <row r="2179">
          <cell r="AE2179" t="str">
            <v>EE100065</v>
          </cell>
          <cell r="AF2179">
            <v>0</v>
          </cell>
          <cell r="AG2179">
            <v>1512.11</v>
          </cell>
          <cell r="AH2179">
            <v>1512.11</v>
          </cell>
        </row>
        <row r="2180">
          <cell r="AE2180" t="str">
            <v>EE100066</v>
          </cell>
          <cell r="AF2180">
            <v>0</v>
          </cell>
          <cell r="AG2180">
            <v>1512.11</v>
          </cell>
          <cell r="AH2180">
            <v>1512.11</v>
          </cell>
        </row>
        <row r="2181">
          <cell r="AE2181" t="str">
            <v xml:space="preserve">EE1000671    </v>
          </cell>
          <cell r="AF2181">
            <v>0</v>
          </cell>
          <cell r="AG2181">
            <v>15649.55</v>
          </cell>
          <cell r="AH2181">
            <v>5164.3500000000004</v>
          </cell>
        </row>
        <row r="2182">
          <cell r="AE2182" t="str">
            <v xml:space="preserve">EE1000672    </v>
          </cell>
          <cell r="AF2182">
            <v>0</v>
          </cell>
          <cell r="AG2182">
            <v>15649.55</v>
          </cell>
          <cell r="AH2182">
            <v>625.98</v>
          </cell>
        </row>
        <row r="2183">
          <cell r="AE2183" t="str">
            <v xml:space="preserve">EE1000673    </v>
          </cell>
          <cell r="AF2183">
            <v>0</v>
          </cell>
          <cell r="AG2183">
            <v>15649.55</v>
          </cell>
          <cell r="AH2183">
            <v>2034.44</v>
          </cell>
        </row>
        <row r="2184">
          <cell r="AE2184" t="str">
            <v xml:space="preserve">EE1000674    </v>
          </cell>
          <cell r="AF2184">
            <v>0</v>
          </cell>
          <cell r="AG2184">
            <v>15649.55</v>
          </cell>
          <cell r="AH2184">
            <v>469.49</v>
          </cell>
        </row>
        <row r="2185">
          <cell r="AE2185" t="str">
            <v xml:space="preserve">EE1000675    </v>
          </cell>
          <cell r="AF2185">
            <v>0</v>
          </cell>
          <cell r="AG2185">
            <v>15649.55</v>
          </cell>
          <cell r="AH2185">
            <v>7355.29</v>
          </cell>
        </row>
        <row r="2186">
          <cell r="AE2186" t="str">
            <v xml:space="preserve">EE1001221    </v>
          </cell>
          <cell r="AF2186">
            <v>0</v>
          </cell>
          <cell r="AG2186">
            <v>15649.55</v>
          </cell>
          <cell r="AH2186">
            <v>5164.3500000000004</v>
          </cell>
        </row>
        <row r="2187">
          <cell r="AE2187" t="str">
            <v xml:space="preserve">EE1001222    </v>
          </cell>
          <cell r="AF2187">
            <v>0</v>
          </cell>
          <cell r="AG2187">
            <v>15649.55</v>
          </cell>
          <cell r="AH2187">
            <v>625.98</v>
          </cell>
        </row>
        <row r="2188">
          <cell r="AE2188" t="str">
            <v xml:space="preserve">EE1001223    </v>
          </cell>
          <cell r="AF2188">
            <v>0</v>
          </cell>
          <cell r="AG2188">
            <v>15649.55</v>
          </cell>
          <cell r="AH2188">
            <v>2034.44</v>
          </cell>
        </row>
        <row r="2189">
          <cell r="AE2189" t="str">
            <v xml:space="preserve">EE1001224    </v>
          </cell>
          <cell r="AF2189">
            <v>0</v>
          </cell>
          <cell r="AG2189">
            <v>15649.55</v>
          </cell>
          <cell r="AH2189">
            <v>469.49</v>
          </cell>
        </row>
        <row r="2190">
          <cell r="AE2190" t="str">
            <v xml:space="preserve">EE1001225    </v>
          </cell>
          <cell r="AF2190">
            <v>0</v>
          </cell>
          <cell r="AG2190">
            <v>15649.55</v>
          </cell>
          <cell r="AH2190">
            <v>7355.29</v>
          </cell>
        </row>
        <row r="2191">
          <cell r="AE2191" t="str">
            <v>EE100520</v>
          </cell>
          <cell r="AF2191">
            <v>0</v>
          </cell>
          <cell r="AG2191">
            <v>7811.67</v>
          </cell>
          <cell r="AH2191">
            <v>7811.67</v>
          </cell>
        </row>
        <row r="2192">
          <cell r="AE2192" t="str">
            <v>EE100545</v>
          </cell>
          <cell r="AF2192">
            <v>0</v>
          </cell>
          <cell r="AG2192">
            <v>20445.099999999999</v>
          </cell>
          <cell r="AH2192">
            <v>20445.099999999999</v>
          </cell>
        </row>
        <row r="2193">
          <cell r="AE2193" t="str">
            <v>EE100546</v>
          </cell>
          <cell r="AF2193">
            <v>0</v>
          </cell>
          <cell r="AG2193">
            <v>20445.099999999999</v>
          </cell>
          <cell r="AH2193">
            <v>20445.099999999999</v>
          </cell>
        </row>
        <row r="2194">
          <cell r="AE2194" t="str">
            <v>ENS00001</v>
          </cell>
          <cell r="AF2194">
            <v>0</v>
          </cell>
          <cell r="AG2194">
            <v>408</v>
          </cell>
          <cell r="AH2194">
            <v>408</v>
          </cell>
        </row>
        <row r="2195">
          <cell r="AE2195" t="str">
            <v>ENS00002</v>
          </cell>
          <cell r="AF2195">
            <v>0</v>
          </cell>
          <cell r="AG2195">
            <v>420</v>
          </cell>
          <cell r="AH2195">
            <v>420</v>
          </cell>
        </row>
        <row r="2196">
          <cell r="AE2196" t="str">
            <v>EE100060</v>
          </cell>
          <cell r="AF2196">
            <v>0</v>
          </cell>
          <cell r="AG2196">
            <v>441.51</v>
          </cell>
          <cell r="AH2196">
            <v>441.51</v>
          </cell>
        </row>
        <row r="2197">
          <cell r="AE2197" t="str">
            <v>EE100050</v>
          </cell>
          <cell r="AF2197">
            <v>0</v>
          </cell>
          <cell r="AG2197">
            <v>872.95</v>
          </cell>
          <cell r="AH2197">
            <v>872.95</v>
          </cell>
        </row>
        <row r="2198">
          <cell r="AE2198" t="str">
            <v xml:space="preserve">E00087111    </v>
          </cell>
          <cell r="AF2198">
            <v>0</v>
          </cell>
          <cell r="AG2198">
            <v>1701.12</v>
          </cell>
          <cell r="AH2198">
            <v>1360.9</v>
          </cell>
        </row>
        <row r="2199">
          <cell r="AE2199" t="str">
            <v xml:space="preserve">E00087112    </v>
          </cell>
          <cell r="AF2199">
            <v>0</v>
          </cell>
          <cell r="AG2199">
            <v>1701.12</v>
          </cell>
          <cell r="AH2199">
            <v>340.22</v>
          </cell>
        </row>
        <row r="2200">
          <cell r="AE2200" t="str">
            <v xml:space="preserve">E00087121    </v>
          </cell>
          <cell r="AF2200">
            <v>0</v>
          </cell>
          <cell r="AG2200">
            <v>1701.12</v>
          </cell>
          <cell r="AH2200">
            <v>1360.9</v>
          </cell>
        </row>
        <row r="2201">
          <cell r="AE2201" t="str">
            <v xml:space="preserve">E00087122    </v>
          </cell>
          <cell r="AF2201">
            <v>0</v>
          </cell>
          <cell r="AG2201">
            <v>1701.12</v>
          </cell>
          <cell r="AH2201">
            <v>340.22</v>
          </cell>
        </row>
        <row r="2202">
          <cell r="AE2202" t="str">
            <v xml:space="preserve">E00087131    </v>
          </cell>
          <cell r="AF2202">
            <v>0</v>
          </cell>
          <cell r="AG2202">
            <v>1701.12</v>
          </cell>
          <cell r="AH2202">
            <v>1360.9</v>
          </cell>
        </row>
        <row r="2203">
          <cell r="AE2203" t="str">
            <v xml:space="preserve">E00087132    </v>
          </cell>
          <cell r="AF2203">
            <v>0</v>
          </cell>
          <cell r="AG2203">
            <v>1701.12</v>
          </cell>
          <cell r="AH2203">
            <v>340.22</v>
          </cell>
        </row>
        <row r="2204">
          <cell r="AE2204" t="str">
            <v xml:space="preserve">E00087141    </v>
          </cell>
          <cell r="AF2204">
            <v>0</v>
          </cell>
          <cell r="AG2204">
            <v>1832.07</v>
          </cell>
          <cell r="AH2204">
            <v>1465.66</v>
          </cell>
        </row>
        <row r="2205">
          <cell r="AE2205" t="str">
            <v xml:space="preserve">E00087142    </v>
          </cell>
          <cell r="AF2205">
            <v>0</v>
          </cell>
          <cell r="AG2205">
            <v>1832.07</v>
          </cell>
          <cell r="AH2205">
            <v>366.41</v>
          </cell>
        </row>
        <row r="2206">
          <cell r="AE2206" t="str">
            <v xml:space="preserve">E00087151    </v>
          </cell>
          <cell r="AF2206">
            <v>0</v>
          </cell>
          <cell r="AG2206">
            <v>1832.07</v>
          </cell>
          <cell r="AH2206">
            <v>1465.66</v>
          </cell>
        </row>
        <row r="2207">
          <cell r="AE2207" t="str">
            <v xml:space="preserve">E00087152    </v>
          </cell>
          <cell r="AF2207">
            <v>0</v>
          </cell>
          <cell r="AG2207">
            <v>1832.07</v>
          </cell>
          <cell r="AH2207">
            <v>366.41</v>
          </cell>
        </row>
        <row r="2208">
          <cell r="AE2208" t="str">
            <v xml:space="preserve">EE1001041    </v>
          </cell>
          <cell r="AF2208">
            <v>0</v>
          </cell>
          <cell r="AG2208">
            <v>1396.39</v>
          </cell>
          <cell r="AH2208">
            <v>781.98</v>
          </cell>
        </row>
        <row r="2209">
          <cell r="AE2209" t="str">
            <v xml:space="preserve">EE1001042    </v>
          </cell>
          <cell r="AF2209">
            <v>0</v>
          </cell>
          <cell r="AG2209">
            <v>1396.39</v>
          </cell>
          <cell r="AH2209">
            <v>614.41</v>
          </cell>
        </row>
        <row r="2210">
          <cell r="AE2210" t="str">
            <v xml:space="preserve">EE1001031    </v>
          </cell>
          <cell r="AF2210">
            <v>0</v>
          </cell>
          <cell r="AG2210">
            <v>2046.99</v>
          </cell>
          <cell r="AH2210">
            <v>1146.31</v>
          </cell>
        </row>
        <row r="2211">
          <cell r="AE2211" t="str">
            <v xml:space="preserve">EE1001032    </v>
          </cell>
          <cell r="AF2211">
            <v>0</v>
          </cell>
          <cell r="AG2211">
            <v>2046.99</v>
          </cell>
          <cell r="AH2211">
            <v>900.68</v>
          </cell>
        </row>
        <row r="2212">
          <cell r="AE2212" t="str">
            <v>EE100521</v>
          </cell>
          <cell r="AF2212">
            <v>0</v>
          </cell>
          <cell r="AG2212">
            <v>2046.99</v>
          </cell>
          <cell r="AH2212">
            <v>2046.99</v>
          </cell>
        </row>
        <row r="2213">
          <cell r="AE2213" t="str">
            <v>EE100522</v>
          </cell>
          <cell r="AF2213">
            <v>0</v>
          </cell>
          <cell r="AG2213">
            <v>1396.39</v>
          </cell>
          <cell r="AH2213">
            <v>1396.39</v>
          </cell>
        </row>
        <row r="2214">
          <cell r="AE2214" t="str">
            <v xml:space="preserve">EE1005251    </v>
          </cell>
          <cell r="AF2214">
            <v>0</v>
          </cell>
          <cell r="AG2214">
            <v>2046.99</v>
          </cell>
          <cell r="AH2214">
            <v>1371.48</v>
          </cell>
        </row>
        <row r="2215">
          <cell r="AE2215" t="str">
            <v xml:space="preserve">EE1005252    </v>
          </cell>
          <cell r="AF2215">
            <v>0</v>
          </cell>
          <cell r="AG2215">
            <v>2046.99</v>
          </cell>
          <cell r="AH2215">
            <v>675.51</v>
          </cell>
        </row>
        <row r="2216">
          <cell r="AE2216" t="str">
            <v xml:space="preserve">E00087161    </v>
          </cell>
          <cell r="AF2216">
            <v>0</v>
          </cell>
          <cell r="AG2216">
            <v>2799.53</v>
          </cell>
          <cell r="AH2216">
            <v>2239.62</v>
          </cell>
        </row>
        <row r="2217">
          <cell r="AE2217" t="str">
            <v xml:space="preserve">E00087162    </v>
          </cell>
          <cell r="AF2217">
            <v>0</v>
          </cell>
          <cell r="AG2217">
            <v>2799.53</v>
          </cell>
          <cell r="AH2217">
            <v>559.91</v>
          </cell>
        </row>
        <row r="2218">
          <cell r="AE2218" t="str">
            <v xml:space="preserve">E00087171    </v>
          </cell>
          <cell r="AF2218">
            <v>0</v>
          </cell>
          <cell r="AG2218">
            <v>2799.53</v>
          </cell>
          <cell r="AH2218">
            <v>2239.62</v>
          </cell>
        </row>
        <row r="2219">
          <cell r="AE2219" t="str">
            <v xml:space="preserve">E00087172    </v>
          </cell>
          <cell r="AF2219">
            <v>0</v>
          </cell>
          <cell r="AG2219">
            <v>2799.53</v>
          </cell>
          <cell r="AH2219">
            <v>559.91</v>
          </cell>
        </row>
        <row r="2220">
          <cell r="AE2220" t="str">
            <v>E100130</v>
          </cell>
          <cell r="AF2220">
            <v>14513.899999999998</v>
          </cell>
          <cell r="AG2220">
            <v>5500</v>
          </cell>
          <cell r="AH2220">
            <v>5500</v>
          </cell>
        </row>
        <row r="2221">
          <cell r="AE2221" t="str">
            <v>E0008489</v>
          </cell>
          <cell r="AF2221">
            <v>0</v>
          </cell>
          <cell r="AG2221">
            <v>1655.55</v>
          </cell>
          <cell r="AH2221">
            <v>1655.55</v>
          </cell>
        </row>
        <row r="2222">
          <cell r="AE2222" t="str">
            <v>EE100543</v>
          </cell>
          <cell r="AF2222">
            <v>0</v>
          </cell>
          <cell r="AG2222">
            <v>5965</v>
          </cell>
          <cell r="AH2222">
            <v>5965</v>
          </cell>
        </row>
        <row r="2223">
          <cell r="AE2223" t="str">
            <v>E1200241</v>
          </cell>
          <cell r="AF2223">
            <v>0</v>
          </cell>
          <cell r="AG2223">
            <v>451.15</v>
          </cell>
          <cell r="AH2223">
            <v>451.15</v>
          </cell>
        </row>
        <row r="2224">
          <cell r="AE2224" t="str">
            <v>E1201127</v>
          </cell>
          <cell r="AF2224">
            <v>0</v>
          </cell>
          <cell r="AG2224">
            <v>451.15</v>
          </cell>
          <cell r="AH2224">
            <v>451.15</v>
          </cell>
        </row>
        <row r="2225">
          <cell r="AE2225" t="str">
            <v>E1201219</v>
          </cell>
          <cell r="AF2225">
            <v>0</v>
          </cell>
          <cell r="AG2225">
            <v>451.15</v>
          </cell>
          <cell r="AH2225">
            <v>451.15</v>
          </cell>
        </row>
        <row r="2226">
          <cell r="AE2226" t="str">
            <v>E1201220</v>
          </cell>
          <cell r="AF2226">
            <v>0</v>
          </cell>
          <cell r="AG2226">
            <v>451.15</v>
          </cell>
          <cell r="AH2226">
            <v>451.15</v>
          </cell>
        </row>
        <row r="2227">
          <cell r="AE2227" t="str">
            <v>ENB201501</v>
          </cell>
          <cell r="AF2227">
            <v>924.26000000000113</v>
          </cell>
          <cell r="AG2227">
            <v>437.8</v>
          </cell>
          <cell r="AH2227">
            <v>437.8</v>
          </cell>
        </row>
        <row r="2228">
          <cell r="AE2228" t="str">
            <v>E1201226</v>
          </cell>
          <cell r="AF2228">
            <v>0</v>
          </cell>
          <cell r="AG2228">
            <v>451.15</v>
          </cell>
          <cell r="AH2228">
            <v>451.15</v>
          </cell>
        </row>
        <row r="2229">
          <cell r="AE2229" t="str">
            <v>E1201227</v>
          </cell>
          <cell r="AF2229">
            <v>0</v>
          </cell>
          <cell r="AG2229">
            <v>451.15</v>
          </cell>
          <cell r="AH2229">
            <v>451.15</v>
          </cell>
        </row>
        <row r="2230">
          <cell r="AE2230" t="str">
            <v>E1201228</v>
          </cell>
          <cell r="AF2230">
            <v>0</v>
          </cell>
          <cell r="AG2230">
            <v>408.1</v>
          </cell>
          <cell r="AH2230">
            <v>408.1</v>
          </cell>
        </row>
        <row r="2231">
          <cell r="AE2231" t="str">
            <v>E1201231</v>
          </cell>
          <cell r="AF2231">
            <v>0</v>
          </cell>
          <cell r="AG2231">
            <v>408.1</v>
          </cell>
          <cell r="AH2231">
            <v>408.1</v>
          </cell>
        </row>
        <row r="2232">
          <cell r="AE2232" t="str">
            <v>EHBN1509</v>
          </cell>
          <cell r="AF2232">
            <v>1123.6199999999999</v>
          </cell>
          <cell r="AG2232">
            <v>425.8</v>
          </cell>
          <cell r="AH2232">
            <v>425.8</v>
          </cell>
        </row>
        <row r="2233">
          <cell r="AE2233" t="str">
            <v>EHBN1510</v>
          </cell>
          <cell r="AF2233">
            <v>1123.6199999999999</v>
          </cell>
          <cell r="AG2233">
            <v>425.8</v>
          </cell>
          <cell r="AH2233">
            <v>425.8</v>
          </cell>
        </row>
        <row r="2234">
          <cell r="AE2234" t="str">
            <v>EHBN1511</v>
          </cell>
          <cell r="AF2234">
            <v>1123.6199999999999</v>
          </cell>
          <cell r="AG2234">
            <v>425.8</v>
          </cell>
          <cell r="AH2234">
            <v>425.8</v>
          </cell>
        </row>
        <row r="2235">
          <cell r="AE2235" t="str">
            <v>EHBN1512</v>
          </cell>
          <cell r="AF2235">
            <v>1123.6199999999999</v>
          </cell>
          <cell r="AG2235">
            <v>425.8</v>
          </cell>
          <cell r="AH2235">
            <v>425.8</v>
          </cell>
        </row>
        <row r="2236">
          <cell r="AE2236" t="str">
            <v>EHBN1513</v>
          </cell>
          <cell r="AF2236">
            <v>1123.6199999999999</v>
          </cell>
          <cell r="AG2236">
            <v>425.8</v>
          </cell>
          <cell r="AH2236">
            <v>425.8</v>
          </cell>
        </row>
        <row r="2237">
          <cell r="AE2237" t="str">
            <v>EHBN1514</v>
          </cell>
          <cell r="AF2237">
            <v>1123.6199999999999</v>
          </cell>
          <cell r="AG2237">
            <v>425.8</v>
          </cell>
          <cell r="AH2237">
            <v>425.8</v>
          </cell>
        </row>
        <row r="2238">
          <cell r="AE2238" t="str">
            <v>E1200807</v>
          </cell>
          <cell r="AF2238">
            <v>0</v>
          </cell>
          <cell r="AG2238">
            <v>700</v>
          </cell>
          <cell r="AH2238">
            <v>700</v>
          </cell>
        </row>
        <row r="2239">
          <cell r="AE2239" t="str">
            <v>ER9NF32H</v>
          </cell>
          <cell r="AF2239">
            <v>0</v>
          </cell>
          <cell r="AG2239">
            <v>446.25</v>
          </cell>
          <cell r="AH2239">
            <v>446.25</v>
          </cell>
        </row>
        <row r="2240">
          <cell r="AE2240" t="str">
            <v>ER9NG80A</v>
          </cell>
          <cell r="AF2240">
            <v>0</v>
          </cell>
          <cell r="AG2240">
            <v>446.25</v>
          </cell>
          <cell r="AH2240">
            <v>446.25</v>
          </cell>
        </row>
        <row r="2241">
          <cell r="AE2241" t="str">
            <v>ER9POF8L</v>
          </cell>
          <cell r="AF2241">
            <v>0</v>
          </cell>
          <cell r="AG2241">
            <v>446.25</v>
          </cell>
          <cell r="AH2241">
            <v>446.25</v>
          </cell>
        </row>
        <row r="2242">
          <cell r="AE2242" t="str">
            <v>EZJE0001</v>
          </cell>
          <cell r="AF2242">
            <v>0</v>
          </cell>
          <cell r="AG2242">
            <v>500520.96000000002</v>
          </cell>
          <cell r="AH2242">
            <v>500520.96000000002</v>
          </cell>
        </row>
        <row r="2243">
          <cell r="AE2243" t="str">
            <v>E0008464</v>
          </cell>
          <cell r="AF2243">
            <v>0</v>
          </cell>
          <cell r="AG2243">
            <v>17767.8</v>
          </cell>
          <cell r="AH2243">
            <v>17767.8</v>
          </cell>
        </row>
        <row r="2244">
          <cell r="AE2244" t="str">
            <v>E0008555</v>
          </cell>
          <cell r="AF2244">
            <v>0</v>
          </cell>
          <cell r="AG2244">
            <v>1549</v>
          </cell>
          <cell r="AH2244">
            <v>1549</v>
          </cell>
        </row>
        <row r="2245">
          <cell r="AE2245" t="str">
            <v>E0008590</v>
          </cell>
          <cell r="AF2245">
            <v>0</v>
          </cell>
          <cell r="AG2245">
            <v>2465.31</v>
          </cell>
          <cell r="AH2245">
            <v>2465.31</v>
          </cell>
        </row>
        <row r="2246">
          <cell r="AE2246" t="str">
            <v>E1000001</v>
          </cell>
          <cell r="AF2246">
            <v>0</v>
          </cell>
          <cell r="AG2246">
            <v>980</v>
          </cell>
          <cell r="AH2246">
            <v>980</v>
          </cell>
        </row>
        <row r="2247">
          <cell r="AE2247" t="str">
            <v>EE100054</v>
          </cell>
          <cell r="AF2247">
            <v>0</v>
          </cell>
          <cell r="AG2247">
            <v>995.98</v>
          </cell>
          <cell r="AH2247">
            <v>995.98</v>
          </cell>
        </row>
        <row r="2248">
          <cell r="AE2248" t="str">
            <v>EE100118</v>
          </cell>
          <cell r="AF2248">
            <v>0</v>
          </cell>
          <cell r="AG2248">
            <v>1279.29</v>
          </cell>
          <cell r="AH2248">
            <v>1279.29</v>
          </cell>
        </row>
        <row r="2249">
          <cell r="AE2249" t="str">
            <v>EE100123</v>
          </cell>
          <cell r="AF2249">
            <v>0</v>
          </cell>
          <cell r="AG2249">
            <v>840</v>
          </cell>
          <cell r="AH2249">
            <v>840</v>
          </cell>
        </row>
        <row r="2250">
          <cell r="AE2250" t="str">
            <v>EE100124</v>
          </cell>
          <cell r="AF2250">
            <v>0</v>
          </cell>
          <cell r="AG2250">
            <v>3975</v>
          </cell>
          <cell r="AH2250">
            <v>3975</v>
          </cell>
        </row>
        <row r="2251">
          <cell r="AE2251" t="str">
            <v>EE100042</v>
          </cell>
          <cell r="AF2251">
            <v>0</v>
          </cell>
          <cell r="AG2251">
            <v>825</v>
          </cell>
          <cell r="AH2251">
            <v>825</v>
          </cell>
        </row>
        <row r="2252">
          <cell r="AE2252" t="str">
            <v>E0009391</v>
          </cell>
          <cell r="AF2252">
            <v>0</v>
          </cell>
          <cell r="AG2252">
            <v>227.5</v>
          </cell>
          <cell r="AH2252">
            <v>227.5</v>
          </cell>
        </row>
        <row r="2253">
          <cell r="AE2253" t="str">
            <v>E0009395</v>
          </cell>
          <cell r="AF2253">
            <v>0</v>
          </cell>
          <cell r="AG2253">
            <v>227.5</v>
          </cell>
          <cell r="AH2253">
            <v>227.5</v>
          </cell>
        </row>
        <row r="2254">
          <cell r="AE2254" t="str">
            <v>E0009396</v>
          </cell>
          <cell r="AF2254">
            <v>0</v>
          </cell>
          <cell r="AG2254">
            <v>227.5</v>
          </cell>
          <cell r="AH2254">
            <v>227.5</v>
          </cell>
        </row>
        <row r="2255">
          <cell r="AE2255" t="str">
            <v>E0009397</v>
          </cell>
          <cell r="AF2255">
            <v>0</v>
          </cell>
          <cell r="AG2255">
            <v>227.5</v>
          </cell>
          <cell r="AH2255">
            <v>227.5</v>
          </cell>
        </row>
        <row r="2256">
          <cell r="AE2256" t="str">
            <v>E0009398</v>
          </cell>
          <cell r="AF2256">
            <v>0</v>
          </cell>
          <cell r="AG2256">
            <v>227.5</v>
          </cell>
          <cell r="AH2256">
            <v>227.5</v>
          </cell>
        </row>
        <row r="2257">
          <cell r="AE2257" t="str">
            <v>E0009399</v>
          </cell>
          <cell r="AF2257">
            <v>0</v>
          </cell>
          <cell r="AG2257">
            <v>227.5</v>
          </cell>
          <cell r="AH2257">
            <v>227.5</v>
          </cell>
        </row>
        <row r="2258">
          <cell r="AE2258" t="str">
            <v>E0009400</v>
          </cell>
          <cell r="AF2258">
            <v>0</v>
          </cell>
          <cell r="AG2258">
            <v>227.5</v>
          </cell>
          <cell r="AH2258">
            <v>227.5</v>
          </cell>
        </row>
        <row r="2259">
          <cell r="AE2259" t="str">
            <v>E0009402</v>
          </cell>
          <cell r="AF2259">
            <v>0</v>
          </cell>
          <cell r="AG2259">
            <v>227.5</v>
          </cell>
          <cell r="AH2259">
            <v>227.5</v>
          </cell>
        </row>
        <row r="2260">
          <cell r="AE2260" t="str">
            <v>E0009403</v>
          </cell>
          <cell r="AF2260">
            <v>0</v>
          </cell>
          <cell r="AG2260">
            <v>227.5</v>
          </cell>
          <cell r="AH2260">
            <v>227.5</v>
          </cell>
        </row>
        <row r="2261">
          <cell r="AE2261" t="str">
            <v>E2000083</v>
          </cell>
          <cell r="AF2261">
            <v>0</v>
          </cell>
          <cell r="AG2261">
            <v>400</v>
          </cell>
          <cell r="AH2261">
            <v>400</v>
          </cell>
        </row>
        <row r="2262">
          <cell r="AE2262" t="str">
            <v>E2000089</v>
          </cell>
          <cell r="AF2262">
            <v>0</v>
          </cell>
          <cell r="AG2262">
            <v>400</v>
          </cell>
          <cell r="AH2262">
            <v>400</v>
          </cell>
        </row>
        <row r="2263">
          <cell r="AE2263" t="str">
            <v>1A06994</v>
          </cell>
          <cell r="AF2263">
            <v>1293.05</v>
          </cell>
          <cell r="AG2263">
            <v>490</v>
          </cell>
          <cell r="AH2263">
            <v>490</v>
          </cell>
        </row>
        <row r="2264">
          <cell r="AE2264" t="str">
            <v>9D3AF00</v>
          </cell>
          <cell r="AF2264">
            <v>168.78</v>
          </cell>
          <cell r="AG2264">
            <v>159.9</v>
          </cell>
          <cell r="AH2264">
            <v>159.9</v>
          </cell>
        </row>
        <row r="2265">
          <cell r="AE2265" t="str">
            <v>3830151</v>
          </cell>
          <cell r="AF2265">
            <v>293.60000000000002</v>
          </cell>
          <cell r="AG2265">
            <v>131.35</v>
          </cell>
          <cell r="AH2265">
            <v>131.35</v>
          </cell>
        </row>
        <row r="2266">
          <cell r="AE2266" t="str">
            <v>860B1B5</v>
          </cell>
          <cell r="AF2266">
            <v>320.70000000000005</v>
          </cell>
          <cell r="AG2266">
            <v>139.9</v>
          </cell>
          <cell r="AH2266">
            <v>139.9</v>
          </cell>
        </row>
        <row r="2267">
          <cell r="AE2267" t="str">
            <v>E2000174</v>
          </cell>
          <cell r="AF2267">
            <v>0</v>
          </cell>
          <cell r="AG2267">
            <v>1713.04</v>
          </cell>
          <cell r="AH2267">
            <v>1713.04</v>
          </cell>
        </row>
        <row r="2268">
          <cell r="AE2268" t="str">
            <v>E100569</v>
          </cell>
          <cell r="AF2268">
            <v>4499.43</v>
          </cell>
          <cell r="AG2268">
            <v>1705.04</v>
          </cell>
          <cell r="AH2268">
            <v>1705.04</v>
          </cell>
        </row>
        <row r="2269">
          <cell r="AE2269" t="str">
            <v>1BYGG76</v>
          </cell>
          <cell r="AF2269">
            <v>1222.0700000000006</v>
          </cell>
          <cell r="AG2269">
            <v>463.1</v>
          </cell>
          <cell r="AH2269">
            <v>463.1</v>
          </cell>
        </row>
        <row r="2270">
          <cell r="AE2270" t="str">
            <v>07DJ1GC</v>
          </cell>
          <cell r="AF2270">
            <v>2946.85</v>
          </cell>
          <cell r="AG2270">
            <v>1116.7</v>
          </cell>
          <cell r="AH2270">
            <v>1116.7</v>
          </cell>
        </row>
        <row r="2271">
          <cell r="AE2271" t="str">
            <v>EPAD1618</v>
          </cell>
          <cell r="AF2271">
            <v>358.22000000000014</v>
          </cell>
          <cell r="AG2271">
            <v>135.75</v>
          </cell>
          <cell r="AH2271">
            <v>135.75</v>
          </cell>
        </row>
        <row r="2272">
          <cell r="AE2272" t="str">
            <v>EPAD1619</v>
          </cell>
          <cell r="AF2272">
            <v>358.22000000000014</v>
          </cell>
          <cell r="AG2272">
            <v>135.75</v>
          </cell>
          <cell r="AH2272">
            <v>135.75</v>
          </cell>
        </row>
        <row r="2273">
          <cell r="AE2273" t="str">
            <v>EPAD1620</v>
          </cell>
          <cell r="AF2273">
            <v>358.22000000000014</v>
          </cell>
          <cell r="AG2273">
            <v>135.75</v>
          </cell>
          <cell r="AH2273">
            <v>135.75</v>
          </cell>
        </row>
        <row r="2274">
          <cell r="AE2274" t="str">
            <v>EPAD1621</v>
          </cell>
          <cell r="AF2274">
            <v>358.22000000000014</v>
          </cell>
          <cell r="AG2274">
            <v>135.75</v>
          </cell>
          <cell r="AH2274">
            <v>135.75</v>
          </cell>
        </row>
        <row r="2275">
          <cell r="AE2275" t="str">
            <v>EPAD1622</v>
          </cell>
          <cell r="AF2275">
            <v>358.22000000000014</v>
          </cell>
          <cell r="AG2275">
            <v>135.75</v>
          </cell>
          <cell r="AH2275">
            <v>135.75</v>
          </cell>
        </row>
        <row r="2276">
          <cell r="AE2276" t="str">
            <v>EPAD1630</v>
          </cell>
          <cell r="AF2276">
            <v>358.22000000000014</v>
          </cell>
          <cell r="AG2276">
            <v>135.75</v>
          </cell>
          <cell r="AH2276">
            <v>135.75</v>
          </cell>
        </row>
        <row r="2277">
          <cell r="AE2277" t="str">
            <v>EPAD1702</v>
          </cell>
          <cell r="AF2277">
            <v>333.42</v>
          </cell>
          <cell r="AG2277">
            <v>126.35</v>
          </cell>
          <cell r="AH2277">
            <v>126.35</v>
          </cell>
        </row>
        <row r="2278">
          <cell r="AE2278" t="str">
            <v>EPAD1703</v>
          </cell>
          <cell r="AF2278">
            <v>333.42</v>
          </cell>
          <cell r="AG2278">
            <v>126.35</v>
          </cell>
          <cell r="AH2278">
            <v>126.35</v>
          </cell>
        </row>
        <row r="2279">
          <cell r="AE2279" t="str">
            <v>EPAD1704</v>
          </cell>
          <cell r="AF2279">
            <v>333.42</v>
          </cell>
          <cell r="AG2279">
            <v>126.35</v>
          </cell>
          <cell r="AH2279">
            <v>126.35</v>
          </cell>
        </row>
        <row r="2280">
          <cell r="AE2280" t="str">
            <v>EPAD1705</v>
          </cell>
          <cell r="AF2280">
            <v>333.42</v>
          </cell>
          <cell r="AG2280">
            <v>126.35</v>
          </cell>
          <cell r="AH2280">
            <v>126.35</v>
          </cell>
        </row>
        <row r="2281">
          <cell r="AE2281" t="str">
            <v>EPAD1706</v>
          </cell>
          <cell r="AF2281">
            <v>333.42</v>
          </cell>
          <cell r="AG2281">
            <v>126.35</v>
          </cell>
          <cell r="AH2281">
            <v>126.35</v>
          </cell>
        </row>
        <row r="2282">
          <cell r="AE2282" t="str">
            <v>EPAD1707</v>
          </cell>
          <cell r="AF2282">
            <v>333.42</v>
          </cell>
          <cell r="AG2282">
            <v>126.35</v>
          </cell>
          <cell r="AH2282">
            <v>126.35</v>
          </cell>
        </row>
        <row r="2283">
          <cell r="AE2283" t="str">
            <v>EPAD1708</v>
          </cell>
          <cell r="AF2283">
            <v>333.42</v>
          </cell>
          <cell r="AG2283">
            <v>126.35</v>
          </cell>
          <cell r="AH2283">
            <v>126.35</v>
          </cell>
        </row>
        <row r="2284">
          <cell r="AE2284" t="str">
            <v>EPAD1709</v>
          </cell>
          <cell r="AF2284">
            <v>333.42</v>
          </cell>
          <cell r="AG2284">
            <v>126.35</v>
          </cell>
          <cell r="AH2284">
            <v>126.35</v>
          </cell>
        </row>
        <row r="2285">
          <cell r="AE2285" t="str">
            <v>EPAD1710</v>
          </cell>
          <cell r="AF2285">
            <v>333.42</v>
          </cell>
          <cell r="AG2285">
            <v>126.35</v>
          </cell>
          <cell r="AH2285">
            <v>126.35</v>
          </cell>
        </row>
        <row r="2286">
          <cell r="AE2286" t="str">
            <v>EPAD1711</v>
          </cell>
          <cell r="AF2286">
            <v>333.42</v>
          </cell>
          <cell r="AG2286">
            <v>126.35</v>
          </cell>
          <cell r="AH2286">
            <v>126.35</v>
          </cell>
        </row>
        <row r="2287">
          <cell r="AE2287" t="str">
            <v>EPAD1712</v>
          </cell>
          <cell r="AF2287">
            <v>333.42</v>
          </cell>
          <cell r="AG2287">
            <v>126.35</v>
          </cell>
          <cell r="AH2287">
            <v>126.35</v>
          </cell>
        </row>
        <row r="2288">
          <cell r="AE2288" t="str">
            <v>EPAD1713</v>
          </cell>
          <cell r="AF2288">
            <v>333.42</v>
          </cell>
          <cell r="AG2288">
            <v>126.35</v>
          </cell>
          <cell r="AH2288">
            <v>126.35</v>
          </cell>
        </row>
        <row r="2289">
          <cell r="AE2289" t="str">
            <v>EPAD1714</v>
          </cell>
          <cell r="AF2289">
            <v>333.42</v>
          </cell>
          <cell r="AG2289">
            <v>126.35</v>
          </cell>
          <cell r="AH2289">
            <v>126.35</v>
          </cell>
        </row>
        <row r="2290">
          <cell r="AE2290" t="str">
            <v>EPAD1715</v>
          </cell>
          <cell r="AF2290">
            <v>333.42</v>
          </cell>
          <cell r="AG2290">
            <v>126.35</v>
          </cell>
          <cell r="AH2290">
            <v>126.35</v>
          </cell>
        </row>
        <row r="2291">
          <cell r="AE2291" t="str">
            <v>EPAD1716</v>
          </cell>
          <cell r="AF2291">
            <v>333.42</v>
          </cell>
          <cell r="AG2291">
            <v>126.35</v>
          </cell>
          <cell r="AH2291">
            <v>126.35</v>
          </cell>
        </row>
        <row r="2292">
          <cell r="AE2292" t="str">
            <v>EPAD1717</v>
          </cell>
          <cell r="AF2292">
            <v>333.42</v>
          </cell>
          <cell r="AG2292">
            <v>126.35</v>
          </cell>
          <cell r="AH2292">
            <v>126.35</v>
          </cell>
        </row>
        <row r="2293">
          <cell r="AE2293" t="str">
            <v>EPAD1718</v>
          </cell>
          <cell r="AF2293">
            <v>333.42</v>
          </cell>
          <cell r="AG2293">
            <v>126.35</v>
          </cell>
          <cell r="AH2293">
            <v>126.35</v>
          </cell>
        </row>
        <row r="2294">
          <cell r="AE2294" t="str">
            <v>EPAD1719</v>
          </cell>
          <cell r="AF2294">
            <v>333.42</v>
          </cell>
          <cell r="AG2294">
            <v>126.35</v>
          </cell>
          <cell r="AH2294">
            <v>126.35</v>
          </cell>
        </row>
        <row r="2295">
          <cell r="AE2295" t="str">
            <v>EPAD1720</v>
          </cell>
          <cell r="AF2295">
            <v>333.42</v>
          </cell>
          <cell r="AG2295">
            <v>126.35</v>
          </cell>
          <cell r="AH2295">
            <v>126.35</v>
          </cell>
        </row>
        <row r="2296">
          <cell r="AE2296" t="str">
            <v>EPAD1721</v>
          </cell>
          <cell r="AF2296">
            <v>333.42</v>
          </cell>
          <cell r="AG2296">
            <v>126.35</v>
          </cell>
          <cell r="AH2296">
            <v>126.35</v>
          </cell>
        </row>
        <row r="2297">
          <cell r="AE2297" t="str">
            <v>60FGHK9</v>
          </cell>
          <cell r="AF2297">
            <v>420.25</v>
          </cell>
          <cell r="AG2297">
            <v>159.25</v>
          </cell>
          <cell r="AH2297">
            <v>159.25</v>
          </cell>
        </row>
        <row r="2298">
          <cell r="AE2298" t="str">
            <v>CCSH1MD</v>
          </cell>
          <cell r="AF2298">
            <v>420.25</v>
          </cell>
          <cell r="AG2298">
            <v>159.25</v>
          </cell>
          <cell r="AH2298">
            <v>159.25</v>
          </cell>
        </row>
        <row r="2299">
          <cell r="AE2299" t="str">
            <v>J00JGSM</v>
          </cell>
          <cell r="AF2299">
            <v>420.25</v>
          </cell>
          <cell r="AG2299">
            <v>159.25</v>
          </cell>
          <cell r="AH2299">
            <v>159.25</v>
          </cell>
        </row>
        <row r="2300">
          <cell r="AE2300" t="str">
            <v>1348164</v>
          </cell>
          <cell r="AF2300">
            <v>472.34999999999997</v>
          </cell>
          <cell r="AG2300">
            <v>179</v>
          </cell>
          <cell r="AH2300">
            <v>179</v>
          </cell>
        </row>
        <row r="2301">
          <cell r="AE2301" t="str">
            <v>1427968</v>
          </cell>
          <cell r="AF2301">
            <v>472.34999999999997</v>
          </cell>
          <cell r="AG2301">
            <v>179</v>
          </cell>
          <cell r="AH2301">
            <v>179</v>
          </cell>
        </row>
        <row r="2302">
          <cell r="AE2302" t="str">
            <v>4WSHLJK</v>
          </cell>
          <cell r="AF2302">
            <v>472.34999999999997</v>
          </cell>
          <cell r="AG2302">
            <v>179</v>
          </cell>
          <cell r="AH2302">
            <v>179</v>
          </cell>
        </row>
        <row r="2303">
          <cell r="AE2303" t="str">
            <v>1GWHLFF</v>
          </cell>
          <cell r="AF2303">
            <v>435.02</v>
          </cell>
          <cell r="AG2303">
            <v>164.85</v>
          </cell>
          <cell r="AH2303">
            <v>164.85</v>
          </cell>
        </row>
        <row r="2304">
          <cell r="AE2304" t="str">
            <v>1NHHLFF</v>
          </cell>
          <cell r="AF2304">
            <v>435.02</v>
          </cell>
          <cell r="AG2304">
            <v>164.85</v>
          </cell>
          <cell r="AH2304">
            <v>164.85</v>
          </cell>
        </row>
        <row r="2305">
          <cell r="AE2305" t="str">
            <v>6FSHP9X</v>
          </cell>
          <cell r="AF2305">
            <v>232.74</v>
          </cell>
          <cell r="AG2305">
            <v>127.05</v>
          </cell>
          <cell r="AH2305">
            <v>127.05</v>
          </cell>
        </row>
        <row r="2306">
          <cell r="AE2306" t="str">
            <v>1VJG5YN</v>
          </cell>
          <cell r="AF2306">
            <v>643.5</v>
          </cell>
          <cell r="AG2306">
            <v>243.85</v>
          </cell>
          <cell r="AH2306">
            <v>243.85</v>
          </cell>
        </row>
        <row r="2307">
          <cell r="AE2307" t="str">
            <v>2AEG5YN</v>
          </cell>
          <cell r="AF2307">
            <v>643.5</v>
          </cell>
          <cell r="AG2307">
            <v>243.85</v>
          </cell>
          <cell r="AH2307">
            <v>243.85</v>
          </cell>
        </row>
        <row r="2308">
          <cell r="AE2308" t="str">
            <v>03AG5YN</v>
          </cell>
          <cell r="AF2308">
            <v>643.5</v>
          </cell>
          <cell r="AG2308">
            <v>243.85</v>
          </cell>
          <cell r="AH2308">
            <v>243.85</v>
          </cell>
        </row>
        <row r="2309">
          <cell r="AE2309" t="str">
            <v>074G5YN</v>
          </cell>
          <cell r="AF2309">
            <v>643.5</v>
          </cell>
          <cell r="AG2309">
            <v>243.85</v>
          </cell>
          <cell r="AH2309">
            <v>243.85</v>
          </cell>
        </row>
        <row r="2310">
          <cell r="AE2310" t="str">
            <v>1P2G5YN</v>
          </cell>
          <cell r="AF2310">
            <v>643.5</v>
          </cell>
          <cell r="AG2310">
            <v>243.85</v>
          </cell>
          <cell r="AH2310">
            <v>243.85</v>
          </cell>
        </row>
        <row r="2311">
          <cell r="AE2311" t="str">
            <v>272G5W0</v>
          </cell>
          <cell r="AF2311">
            <v>445.04999999999995</v>
          </cell>
          <cell r="AG2311">
            <v>168.65</v>
          </cell>
          <cell r="AH2311">
            <v>168.65</v>
          </cell>
        </row>
        <row r="2312">
          <cell r="AE2312" t="str">
            <v>CR9GMW5</v>
          </cell>
          <cell r="AF2312">
            <v>643.5</v>
          </cell>
          <cell r="AG2312">
            <v>243.85</v>
          </cell>
          <cell r="AH2312">
            <v>243.85</v>
          </cell>
        </row>
        <row r="2313">
          <cell r="AE2313" t="str">
            <v>DM3GMW5</v>
          </cell>
          <cell r="AF2313">
            <v>643.5</v>
          </cell>
          <cell r="AG2313">
            <v>243.85</v>
          </cell>
          <cell r="AH2313">
            <v>243.85</v>
          </cell>
        </row>
        <row r="2314">
          <cell r="AE2314" t="str">
            <v>2B2GSYM</v>
          </cell>
          <cell r="AF2314">
            <v>471.52</v>
          </cell>
          <cell r="AG2314">
            <v>210.95</v>
          </cell>
          <cell r="AH2314">
            <v>210.95</v>
          </cell>
        </row>
        <row r="2315">
          <cell r="AE2315" t="str">
            <v>2WFG5YN</v>
          </cell>
          <cell r="AF2315">
            <v>636.61999999999989</v>
          </cell>
          <cell r="AG2315">
            <v>241.25</v>
          </cell>
          <cell r="AH2315">
            <v>241.25</v>
          </cell>
        </row>
        <row r="2316">
          <cell r="AE2316" t="str">
            <v>EPAD1608</v>
          </cell>
          <cell r="AF2316">
            <v>636.22000000000025</v>
          </cell>
          <cell r="AG2316">
            <v>241.1</v>
          </cell>
          <cell r="AH2316">
            <v>241.1</v>
          </cell>
        </row>
        <row r="2317">
          <cell r="AE2317" t="str">
            <v>EPAD1609</v>
          </cell>
          <cell r="AF2317">
            <v>636.22000000000025</v>
          </cell>
          <cell r="AG2317">
            <v>241.1</v>
          </cell>
          <cell r="AH2317">
            <v>241.1</v>
          </cell>
        </row>
        <row r="2318">
          <cell r="AE2318" t="str">
            <v>EHBP1505</v>
          </cell>
          <cell r="AF2318">
            <v>636.61999999999989</v>
          </cell>
          <cell r="AG2318">
            <v>241.25</v>
          </cell>
          <cell r="AH2318">
            <v>241.25</v>
          </cell>
        </row>
        <row r="2319">
          <cell r="AE2319" t="str">
            <v>EHBP1506</v>
          </cell>
          <cell r="AF2319">
            <v>636.61999999999989</v>
          </cell>
          <cell r="AG2319">
            <v>241.25</v>
          </cell>
          <cell r="AH2319">
            <v>241.25</v>
          </cell>
        </row>
        <row r="2320">
          <cell r="AE2320" t="str">
            <v>E1420009</v>
          </cell>
          <cell r="AF2320">
            <v>0</v>
          </cell>
          <cell r="AG2320">
            <v>166.39</v>
          </cell>
          <cell r="AH2320">
            <v>166.39</v>
          </cell>
        </row>
        <row r="2321">
          <cell r="AE2321" t="str">
            <v>E1420010</v>
          </cell>
          <cell r="AF2321">
            <v>0</v>
          </cell>
          <cell r="AG2321">
            <v>166.39</v>
          </cell>
          <cell r="AH2321">
            <v>166.39</v>
          </cell>
        </row>
        <row r="2322">
          <cell r="AE2322" t="str">
            <v>E1420011</v>
          </cell>
          <cell r="AF2322">
            <v>0</v>
          </cell>
          <cell r="AG2322">
            <v>166.39</v>
          </cell>
          <cell r="AH2322">
            <v>166.39</v>
          </cell>
        </row>
        <row r="2323">
          <cell r="AE2323" t="str">
            <v>E1420012</v>
          </cell>
          <cell r="AF2323">
            <v>0</v>
          </cell>
          <cell r="AG2323">
            <v>166.39</v>
          </cell>
          <cell r="AH2323">
            <v>166.39</v>
          </cell>
        </row>
        <row r="2324">
          <cell r="AE2324" t="str">
            <v>E1420013</v>
          </cell>
          <cell r="AF2324">
            <v>0</v>
          </cell>
          <cell r="AG2324">
            <v>166.39</v>
          </cell>
          <cell r="AH2324">
            <v>166.39</v>
          </cell>
        </row>
        <row r="2325">
          <cell r="AE2325" t="str">
            <v>E1420014</v>
          </cell>
          <cell r="AF2325">
            <v>0</v>
          </cell>
          <cell r="AG2325">
            <v>166.39</v>
          </cell>
          <cell r="AH2325">
            <v>166.39</v>
          </cell>
        </row>
        <row r="2326">
          <cell r="AE2326" t="str">
            <v>E1420015</v>
          </cell>
          <cell r="AF2326">
            <v>0</v>
          </cell>
          <cell r="AG2326">
            <v>166.39</v>
          </cell>
          <cell r="AH2326">
            <v>166.39</v>
          </cell>
        </row>
        <row r="2327">
          <cell r="AE2327" t="str">
            <v>E1420016</v>
          </cell>
          <cell r="AF2327">
            <v>0</v>
          </cell>
          <cell r="AG2327">
            <v>166.39</v>
          </cell>
          <cell r="AH2327">
            <v>166.39</v>
          </cell>
        </row>
        <row r="2328">
          <cell r="AE2328" t="str">
            <v>E1420017</v>
          </cell>
          <cell r="AF2328">
            <v>0</v>
          </cell>
          <cell r="AG2328">
            <v>166.39</v>
          </cell>
          <cell r="AH2328">
            <v>166.39</v>
          </cell>
        </row>
        <row r="2329">
          <cell r="AE2329" t="str">
            <v>E1420018</v>
          </cell>
          <cell r="AF2329">
            <v>0</v>
          </cell>
          <cell r="AG2329">
            <v>166.39</v>
          </cell>
          <cell r="AH2329">
            <v>166.39</v>
          </cell>
        </row>
        <row r="2330">
          <cell r="AE2330" t="str">
            <v>E1420019</v>
          </cell>
          <cell r="AF2330">
            <v>0</v>
          </cell>
          <cell r="AG2330">
            <v>166.39</v>
          </cell>
          <cell r="AH2330">
            <v>166.39</v>
          </cell>
        </row>
        <row r="2331">
          <cell r="AE2331" t="str">
            <v>E1420020</v>
          </cell>
          <cell r="AF2331">
            <v>0</v>
          </cell>
          <cell r="AG2331">
            <v>166.39</v>
          </cell>
          <cell r="AH2331">
            <v>166.39</v>
          </cell>
        </row>
        <row r="2332">
          <cell r="AE2332" t="str">
            <v>E1420021</v>
          </cell>
          <cell r="AF2332">
            <v>0</v>
          </cell>
          <cell r="AG2332">
            <v>166.39</v>
          </cell>
          <cell r="AH2332">
            <v>166.39</v>
          </cell>
        </row>
        <row r="2333">
          <cell r="AE2333" t="str">
            <v>E1420022</v>
          </cell>
          <cell r="AF2333">
            <v>0</v>
          </cell>
          <cell r="AG2333">
            <v>166.39</v>
          </cell>
          <cell r="AH2333">
            <v>166.39</v>
          </cell>
        </row>
        <row r="2334">
          <cell r="AE2334" t="str">
            <v>E1420023</v>
          </cell>
          <cell r="AF2334">
            <v>0</v>
          </cell>
          <cell r="AG2334">
            <v>166.39</v>
          </cell>
          <cell r="AH2334">
            <v>166.39</v>
          </cell>
        </row>
        <row r="2335">
          <cell r="AE2335" t="str">
            <v>E1420024</v>
          </cell>
          <cell r="AF2335">
            <v>0</v>
          </cell>
          <cell r="AG2335">
            <v>166.39</v>
          </cell>
          <cell r="AH2335">
            <v>166.39</v>
          </cell>
        </row>
        <row r="2336">
          <cell r="AE2336" t="str">
            <v>E1420025</v>
          </cell>
          <cell r="AF2336">
            <v>0</v>
          </cell>
          <cell r="AG2336">
            <v>166.39</v>
          </cell>
          <cell r="AH2336">
            <v>166.39</v>
          </cell>
        </row>
        <row r="2337">
          <cell r="AE2337" t="str">
            <v>E1420026</v>
          </cell>
          <cell r="AF2337">
            <v>0</v>
          </cell>
          <cell r="AG2337">
            <v>166.39</v>
          </cell>
          <cell r="AH2337">
            <v>166.39</v>
          </cell>
        </row>
        <row r="2338">
          <cell r="AE2338" t="str">
            <v>E1420027</v>
          </cell>
          <cell r="AF2338">
            <v>0</v>
          </cell>
          <cell r="AG2338">
            <v>166.39</v>
          </cell>
          <cell r="AH2338">
            <v>166.39</v>
          </cell>
        </row>
        <row r="2339">
          <cell r="AE2339" t="str">
            <v>E1420028</v>
          </cell>
          <cell r="AF2339">
            <v>0</v>
          </cell>
          <cell r="AG2339">
            <v>166.39</v>
          </cell>
          <cell r="AH2339">
            <v>166.39</v>
          </cell>
        </row>
        <row r="2340">
          <cell r="AE2340" t="str">
            <v>E1420029</v>
          </cell>
          <cell r="AF2340">
            <v>0</v>
          </cell>
          <cell r="AG2340">
            <v>166.39</v>
          </cell>
          <cell r="AH2340">
            <v>166.39</v>
          </cell>
        </row>
        <row r="2341">
          <cell r="AE2341" t="str">
            <v>E1420030</v>
          </cell>
          <cell r="AF2341">
            <v>0</v>
          </cell>
          <cell r="AG2341">
            <v>166.39</v>
          </cell>
          <cell r="AH2341">
            <v>166.39</v>
          </cell>
        </row>
        <row r="2342">
          <cell r="AE2342" t="str">
            <v>E1420031</v>
          </cell>
          <cell r="AF2342">
            <v>0</v>
          </cell>
          <cell r="AG2342">
            <v>166.39</v>
          </cell>
          <cell r="AH2342">
            <v>166.39</v>
          </cell>
        </row>
        <row r="2343">
          <cell r="AE2343" t="str">
            <v>E1420032</v>
          </cell>
          <cell r="AF2343">
            <v>0</v>
          </cell>
          <cell r="AG2343">
            <v>166.39</v>
          </cell>
          <cell r="AH2343">
            <v>166.39</v>
          </cell>
        </row>
        <row r="2344">
          <cell r="AE2344" t="str">
            <v>E1420033</v>
          </cell>
          <cell r="AF2344">
            <v>0</v>
          </cell>
          <cell r="AG2344">
            <v>166.39</v>
          </cell>
          <cell r="AH2344">
            <v>166.39</v>
          </cell>
        </row>
        <row r="2345">
          <cell r="AE2345" t="str">
            <v>E1420034</v>
          </cell>
          <cell r="AF2345">
            <v>0</v>
          </cell>
          <cell r="AG2345">
            <v>166.39</v>
          </cell>
          <cell r="AH2345">
            <v>166.39</v>
          </cell>
        </row>
        <row r="2346">
          <cell r="AE2346" t="str">
            <v>E1420035</v>
          </cell>
          <cell r="AF2346">
            <v>0</v>
          </cell>
          <cell r="AG2346">
            <v>166.39</v>
          </cell>
          <cell r="AH2346">
            <v>166.39</v>
          </cell>
        </row>
        <row r="2347">
          <cell r="AE2347" t="str">
            <v>E1420036</v>
          </cell>
          <cell r="AF2347">
            <v>0</v>
          </cell>
          <cell r="AG2347">
            <v>166.39</v>
          </cell>
          <cell r="AH2347">
            <v>166.39</v>
          </cell>
        </row>
        <row r="2348">
          <cell r="AE2348" t="str">
            <v>E1420037</v>
          </cell>
          <cell r="AF2348">
            <v>0</v>
          </cell>
          <cell r="AG2348">
            <v>166.39</v>
          </cell>
          <cell r="AH2348">
            <v>166.39</v>
          </cell>
        </row>
        <row r="2349">
          <cell r="AE2349" t="str">
            <v>E1420038</v>
          </cell>
          <cell r="AF2349">
            <v>0</v>
          </cell>
          <cell r="AG2349">
            <v>166.39</v>
          </cell>
          <cell r="AH2349">
            <v>166.39</v>
          </cell>
        </row>
        <row r="2350">
          <cell r="AE2350" t="str">
            <v>E1420039</v>
          </cell>
          <cell r="AF2350">
            <v>0</v>
          </cell>
          <cell r="AG2350">
            <v>166.39</v>
          </cell>
          <cell r="AH2350">
            <v>166.39</v>
          </cell>
        </row>
        <row r="2351">
          <cell r="AE2351" t="str">
            <v>E1420040</v>
          </cell>
          <cell r="AF2351">
            <v>0</v>
          </cell>
          <cell r="AG2351">
            <v>166.39</v>
          </cell>
          <cell r="AH2351">
            <v>166.39</v>
          </cell>
        </row>
        <row r="2352">
          <cell r="AE2352" t="str">
            <v>E1420041</v>
          </cell>
          <cell r="AF2352">
            <v>0</v>
          </cell>
          <cell r="AG2352">
            <v>166.39</v>
          </cell>
          <cell r="AH2352">
            <v>166.39</v>
          </cell>
        </row>
        <row r="2353">
          <cell r="AE2353" t="str">
            <v>E1420042</v>
          </cell>
          <cell r="AF2353">
            <v>0</v>
          </cell>
          <cell r="AG2353">
            <v>166.39</v>
          </cell>
          <cell r="AH2353">
            <v>166.39</v>
          </cell>
        </row>
        <row r="2354">
          <cell r="AE2354" t="str">
            <v>E1420043</v>
          </cell>
          <cell r="AF2354">
            <v>0</v>
          </cell>
          <cell r="AG2354">
            <v>166.39</v>
          </cell>
          <cell r="AH2354">
            <v>166.39</v>
          </cell>
        </row>
        <row r="2355">
          <cell r="AE2355" t="str">
            <v>E1420044</v>
          </cell>
          <cell r="AF2355">
            <v>0</v>
          </cell>
          <cell r="AG2355">
            <v>166.39</v>
          </cell>
          <cell r="AH2355">
            <v>166.39</v>
          </cell>
        </row>
        <row r="2356">
          <cell r="AE2356" t="str">
            <v>E1420045</v>
          </cell>
          <cell r="AF2356">
            <v>0</v>
          </cell>
          <cell r="AG2356">
            <v>166.39</v>
          </cell>
          <cell r="AH2356">
            <v>166.39</v>
          </cell>
        </row>
        <row r="2357">
          <cell r="AE2357" t="str">
            <v>E1420046</v>
          </cell>
          <cell r="AF2357">
            <v>0</v>
          </cell>
          <cell r="AG2357">
            <v>166.39</v>
          </cell>
          <cell r="AH2357">
            <v>166.39</v>
          </cell>
        </row>
        <row r="2358">
          <cell r="AE2358" t="str">
            <v>E1420047</v>
          </cell>
          <cell r="AF2358">
            <v>0</v>
          </cell>
          <cell r="AG2358">
            <v>166.39</v>
          </cell>
          <cell r="AH2358">
            <v>166.39</v>
          </cell>
        </row>
        <row r="2359">
          <cell r="AE2359" t="str">
            <v>E1420048</v>
          </cell>
          <cell r="AF2359">
            <v>0</v>
          </cell>
          <cell r="AG2359">
            <v>166.39</v>
          </cell>
          <cell r="AH2359">
            <v>166.39</v>
          </cell>
        </row>
        <row r="2360">
          <cell r="AE2360" t="str">
            <v>V7VG5VJ</v>
          </cell>
          <cell r="AF2360">
            <v>303.45000000000005</v>
          </cell>
          <cell r="AG2360">
            <v>135.75</v>
          </cell>
          <cell r="AH2360">
            <v>135.75</v>
          </cell>
        </row>
        <row r="2361">
          <cell r="AE2361" t="str">
            <v>EHBP1516</v>
          </cell>
          <cell r="AF2361">
            <v>445.04999999999973</v>
          </cell>
          <cell r="AG2361">
            <v>168.65</v>
          </cell>
          <cell r="AH2361">
            <v>168.65</v>
          </cell>
        </row>
        <row r="2362">
          <cell r="AE2362" t="str">
            <v>1VXG5YN</v>
          </cell>
          <cell r="AF2362">
            <v>556.66999999999985</v>
          </cell>
          <cell r="AG2362">
            <v>210.95</v>
          </cell>
          <cell r="AH2362">
            <v>210.95</v>
          </cell>
        </row>
        <row r="2363">
          <cell r="AE2363" t="str">
            <v>5LNGHMM</v>
          </cell>
          <cell r="AF2363">
            <v>556.66999999999985</v>
          </cell>
          <cell r="AG2363">
            <v>210.95</v>
          </cell>
          <cell r="AH2363">
            <v>210.95</v>
          </cell>
        </row>
        <row r="2364">
          <cell r="AE2364" t="str">
            <v>EPAD1610</v>
          </cell>
          <cell r="AF2364">
            <v>358.21999999999991</v>
          </cell>
          <cell r="AG2364">
            <v>135.75</v>
          </cell>
          <cell r="AH2364">
            <v>135.75</v>
          </cell>
        </row>
        <row r="2365">
          <cell r="AE2365" t="str">
            <v>EPAD1624</v>
          </cell>
          <cell r="AF2365">
            <v>358.21999999999991</v>
          </cell>
          <cell r="AG2365">
            <v>135.75</v>
          </cell>
          <cell r="AH2365">
            <v>135.75</v>
          </cell>
        </row>
        <row r="2366">
          <cell r="AE2366" t="str">
            <v>EPAD1625</v>
          </cell>
          <cell r="AF2366">
            <v>358.21999999999991</v>
          </cell>
          <cell r="AG2366">
            <v>135.75</v>
          </cell>
          <cell r="AH2366">
            <v>135.75</v>
          </cell>
        </row>
        <row r="2367">
          <cell r="AE2367" t="str">
            <v>EPAD1626</v>
          </cell>
          <cell r="AF2367">
            <v>358.21999999999991</v>
          </cell>
          <cell r="AG2367">
            <v>135.75</v>
          </cell>
          <cell r="AH2367">
            <v>135.75</v>
          </cell>
        </row>
        <row r="2368">
          <cell r="AE2368" t="str">
            <v>EPAD1627</v>
          </cell>
          <cell r="AF2368">
            <v>358.21999999999991</v>
          </cell>
          <cell r="AG2368">
            <v>135.75</v>
          </cell>
          <cell r="AH2368">
            <v>135.75</v>
          </cell>
        </row>
        <row r="2369">
          <cell r="AE2369" t="str">
            <v>EPAD1628</v>
          </cell>
          <cell r="AF2369">
            <v>358.21999999999991</v>
          </cell>
          <cell r="AG2369">
            <v>135.75</v>
          </cell>
          <cell r="AH2369">
            <v>135.75</v>
          </cell>
        </row>
        <row r="2370">
          <cell r="AE2370" t="str">
            <v>EPAD1629</v>
          </cell>
          <cell r="AF2370">
            <v>358.21999999999991</v>
          </cell>
          <cell r="AG2370">
            <v>135.75</v>
          </cell>
          <cell r="AH2370">
            <v>135.75</v>
          </cell>
        </row>
        <row r="2371">
          <cell r="AE2371" t="str">
            <v>EPAD1602</v>
          </cell>
          <cell r="AF2371">
            <v>556.42000000000007</v>
          </cell>
          <cell r="AG2371">
            <v>210.85</v>
          </cell>
          <cell r="AH2371">
            <v>210.85</v>
          </cell>
        </row>
        <row r="2372">
          <cell r="AE2372" t="str">
            <v>EPAD1603</v>
          </cell>
          <cell r="AF2372">
            <v>556.42000000000007</v>
          </cell>
          <cell r="AG2372">
            <v>210.85</v>
          </cell>
          <cell r="AH2372">
            <v>210.85</v>
          </cell>
        </row>
        <row r="2373">
          <cell r="AE2373" t="str">
            <v>EPAD1604</v>
          </cell>
          <cell r="AF2373">
            <v>556.42000000000007</v>
          </cell>
          <cell r="AG2373">
            <v>210.85</v>
          </cell>
          <cell r="AH2373">
            <v>210.85</v>
          </cell>
        </row>
        <row r="2374">
          <cell r="AE2374" t="str">
            <v>EPAD1605</v>
          </cell>
          <cell r="AF2374">
            <v>556.42000000000007</v>
          </cell>
          <cell r="AG2374">
            <v>210.85</v>
          </cell>
          <cell r="AH2374">
            <v>210.85</v>
          </cell>
        </row>
        <row r="2375">
          <cell r="AE2375" t="str">
            <v>EPAD1606</v>
          </cell>
          <cell r="AF2375">
            <v>556.42000000000007</v>
          </cell>
          <cell r="AG2375">
            <v>210.85</v>
          </cell>
          <cell r="AH2375">
            <v>210.85</v>
          </cell>
        </row>
        <row r="2376">
          <cell r="AE2376" t="str">
            <v>EPAD1607</v>
          </cell>
          <cell r="AF2376">
            <v>556.42000000000007</v>
          </cell>
          <cell r="AG2376">
            <v>210.85</v>
          </cell>
          <cell r="AH2376">
            <v>210.85</v>
          </cell>
        </row>
        <row r="2377">
          <cell r="AE2377" t="str">
            <v>EPAD1623</v>
          </cell>
          <cell r="AF2377">
            <v>556.42000000000007</v>
          </cell>
          <cell r="AG2377">
            <v>210.85</v>
          </cell>
          <cell r="AH2377">
            <v>210.85</v>
          </cell>
        </row>
        <row r="2378">
          <cell r="AE2378" t="str">
            <v>751GHKK</v>
          </cell>
          <cell r="AF2378">
            <v>410.1</v>
          </cell>
          <cell r="AG2378">
            <v>155.4</v>
          </cell>
          <cell r="AH2378">
            <v>155.4</v>
          </cell>
        </row>
        <row r="2379">
          <cell r="AE2379" t="str">
            <v>FKWGHKK</v>
          </cell>
          <cell r="AF2379">
            <v>410.1</v>
          </cell>
          <cell r="AG2379">
            <v>155.4</v>
          </cell>
          <cell r="AH2379">
            <v>155.4</v>
          </cell>
        </row>
        <row r="2380">
          <cell r="AE2380" t="str">
            <v>6GYHGJ2</v>
          </cell>
          <cell r="AF2380">
            <v>309.8</v>
          </cell>
          <cell r="AG2380">
            <v>138.6</v>
          </cell>
          <cell r="AH2380">
            <v>138.6</v>
          </cell>
        </row>
        <row r="2381">
          <cell r="AE2381" t="str">
            <v>4J5HGJ2</v>
          </cell>
          <cell r="AF2381">
            <v>309.8</v>
          </cell>
          <cell r="AG2381">
            <v>138.6</v>
          </cell>
          <cell r="AH2381">
            <v>138.6</v>
          </cell>
        </row>
        <row r="2382">
          <cell r="AE2382" t="str">
            <v>EHBP1503</v>
          </cell>
          <cell r="AF2382">
            <v>358.22</v>
          </cell>
          <cell r="AG2382">
            <v>135.75</v>
          </cell>
          <cell r="AH2382">
            <v>135.75</v>
          </cell>
        </row>
        <row r="2383">
          <cell r="AE2383" t="str">
            <v>53PGHK9</v>
          </cell>
          <cell r="AF2383">
            <v>303.45000000000005</v>
          </cell>
          <cell r="AG2383">
            <v>135.75</v>
          </cell>
          <cell r="AH2383">
            <v>135.75</v>
          </cell>
        </row>
        <row r="2384">
          <cell r="AE2384" t="str">
            <v>1X0G5YN</v>
          </cell>
          <cell r="AF2384">
            <v>1148.3200000000002</v>
          </cell>
          <cell r="AG2384">
            <v>435.15</v>
          </cell>
          <cell r="AH2384">
            <v>435.15</v>
          </cell>
        </row>
        <row r="2385">
          <cell r="AE2385" t="str">
            <v>5Z7GHMM</v>
          </cell>
          <cell r="AF2385">
            <v>1148.3200000000002</v>
          </cell>
          <cell r="AG2385">
            <v>435.15</v>
          </cell>
          <cell r="AH2385">
            <v>435.15</v>
          </cell>
        </row>
        <row r="2386">
          <cell r="AE2386" t="str">
            <v>PDWGMW5</v>
          </cell>
          <cell r="AF2386">
            <v>1024.42</v>
          </cell>
          <cell r="AG2386">
            <v>388.2</v>
          </cell>
          <cell r="AH2386">
            <v>388.2</v>
          </cell>
        </row>
        <row r="2387">
          <cell r="AE2387" t="str">
            <v>08BH246</v>
          </cell>
          <cell r="AF2387">
            <v>1036.6999999999998</v>
          </cell>
          <cell r="AG2387">
            <v>392.85</v>
          </cell>
          <cell r="AH2387">
            <v>392.85</v>
          </cell>
        </row>
        <row r="2388">
          <cell r="AE2388" t="str">
            <v>03LHPT8</v>
          </cell>
          <cell r="AF2388">
            <v>521.28</v>
          </cell>
          <cell r="AG2388">
            <v>493.85</v>
          </cell>
          <cell r="AH2388">
            <v>493.85</v>
          </cell>
        </row>
        <row r="2389">
          <cell r="AE2389" t="str">
            <v>9KUJ28L</v>
          </cell>
          <cell r="AF2389">
            <v>517.54999999999995</v>
          </cell>
          <cell r="AG2389">
            <v>245.15</v>
          </cell>
          <cell r="AH2389">
            <v>245.15</v>
          </cell>
        </row>
        <row r="2390">
          <cell r="AE2390" t="str">
            <v>095HPF8</v>
          </cell>
          <cell r="AF2390">
            <v>373.5</v>
          </cell>
          <cell r="AG2390">
            <v>353.85</v>
          </cell>
          <cell r="AH2390">
            <v>353.85</v>
          </cell>
        </row>
        <row r="2391">
          <cell r="AE2391" t="str">
            <v>1279119</v>
          </cell>
          <cell r="AF2391">
            <v>483.08</v>
          </cell>
          <cell r="AG2391">
            <v>457.65</v>
          </cell>
          <cell r="AH2391">
            <v>457.65</v>
          </cell>
        </row>
        <row r="2392">
          <cell r="AE2392" t="str">
            <v>0VDHLFD</v>
          </cell>
          <cell r="AF2392">
            <v>348.01</v>
          </cell>
          <cell r="AG2392">
            <v>164.85</v>
          </cell>
          <cell r="AH2392">
            <v>164.85</v>
          </cell>
        </row>
        <row r="2393">
          <cell r="AE2393" t="str">
            <v>18JHLFD</v>
          </cell>
          <cell r="AF2393">
            <v>348.01</v>
          </cell>
          <cell r="AG2393">
            <v>164.85</v>
          </cell>
          <cell r="AH2393">
            <v>164.85</v>
          </cell>
        </row>
        <row r="2394">
          <cell r="AE2394" t="str">
            <v>09CMLJL</v>
          </cell>
          <cell r="AF2394">
            <v>405.6400000000001</v>
          </cell>
          <cell r="AG2394">
            <v>231.7</v>
          </cell>
          <cell r="AH2394">
            <v>231.7</v>
          </cell>
        </row>
        <row r="2395">
          <cell r="AE2395" t="str">
            <v>1MGHLJM</v>
          </cell>
          <cell r="AF2395">
            <v>405.6400000000001</v>
          </cell>
          <cell r="AG2395">
            <v>231.7</v>
          </cell>
          <cell r="AH2395">
            <v>231.7</v>
          </cell>
        </row>
        <row r="2396">
          <cell r="AE2396" t="str">
            <v>7MTHLFC</v>
          </cell>
          <cell r="AF2396">
            <v>457.68</v>
          </cell>
          <cell r="AG2396">
            <v>216.8</v>
          </cell>
          <cell r="AH2396">
            <v>216.8</v>
          </cell>
        </row>
        <row r="2397">
          <cell r="AE2397" t="str">
            <v>6ZAHLJK</v>
          </cell>
          <cell r="AF2397">
            <v>472.35</v>
          </cell>
          <cell r="AG2397">
            <v>179</v>
          </cell>
          <cell r="AH2397">
            <v>179</v>
          </cell>
        </row>
        <row r="2398">
          <cell r="AE2398" t="str">
            <v>2MVHLJM</v>
          </cell>
          <cell r="AF2398">
            <v>268.20999999999998</v>
          </cell>
          <cell r="AG2398">
            <v>127.05</v>
          </cell>
          <cell r="AH2398">
            <v>127.05</v>
          </cell>
        </row>
        <row r="2399">
          <cell r="AE2399" t="str">
            <v>5UGGHMM</v>
          </cell>
          <cell r="AF2399">
            <v>556.66999999999985</v>
          </cell>
          <cell r="AG2399">
            <v>210.95</v>
          </cell>
          <cell r="AH2399">
            <v>210.95</v>
          </cell>
        </row>
        <row r="2400">
          <cell r="AE2400" t="str">
            <v>6B2GHMM</v>
          </cell>
          <cell r="AF2400">
            <v>556.66999999999985</v>
          </cell>
          <cell r="AG2400">
            <v>210.95</v>
          </cell>
          <cell r="AH2400">
            <v>210.95</v>
          </cell>
        </row>
        <row r="2401">
          <cell r="AE2401" t="str">
            <v>05LGHMP</v>
          </cell>
          <cell r="AF2401">
            <v>545.06999999999994</v>
          </cell>
          <cell r="AG2401">
            <v>243.85</v>
          </cell>
          <cell r="AH2401">
            <v>243.85</v>
          </cell>
        </row>
        <row r="2402">
          <cell r="AE2402" t="str">
            <v>3132359</v>
          </cell>
          <cell r="AF2402">
            <v>545.06999999999994</v>
          </cell>
          <cell r="AG2402">
            <v>243.85</v>
          </cell>
          <cell r="AH2402">
            <v>243.85</v>
          </cell>
        </row>
        <row r="2403">
          <cell r="AE2403" t="str">
            <v>7YSGHKL</v>
          </cell>
          <cell r="AF2403">
            <v>410.09999999999997</v>
          </cell>
          <cell r="AG2403">
            <v>155.4</v>
          </cell>
          <cell r="AH2403">
            <v>155.4</v>
          </cell>
        </row>
        <row r="2404">
          <cell r="AE2404" t="str">
            <v>01HHGJ2</v>
          </cell>
          <cell r="AF2404">
            <v>358.23</v>
          </cell>
          <cell r="AG2404">
            <v>135.75</v>
          </cell>
          <cell r="AH2404">
            <v>135.75</v>
          </cell>
        </row>
        <row r="2405">
          <cell r="AE2405" t="str">
            <v>04WHGJ2</v>
          </cell>
          <cell r="AF2405">
            <v>358.23</v>
          </cell>
          <cell r="AG2405">
            <v>135.75</v>
          </cell>
          <cell r="AH2405">
            <v>135.75</v>
          </cell>
        </row>
        <row r="2406">
          <cell r="AE2406" t="str">
            <v>06HHGJ2</v>
          </cell>
          <cell r="AF2406">
            <v>358.23</v>
          </cell>
          <cell r="AG2406">
            <v>135.75</v>
          </cell>
          <cell r="AH2406">
            <v>135.75</v>
          </cell>
        </row>
        <row r="2407">
          <cell r="AE2407" t="str">
            <v>09PHGJ2</v>
          </cell>
          <cell r="AF2407">
            <v>358.23</v>
          </cell>
          <cell r="AG2407">
            <v>135.75</v>
          </cell>
          <cell r="AH2407">
            <v>135.75</v>
          </cell>
        </row>
        <row r="2408">
          <cell r="AE2408" t="str">
            <v>0E0HGJ2</v>
          </cell>
          <cell r="AF2408">
            <v>358.23</v>
          </cell>
          <cell r="AG2408">
            <v>135.75</v>
          </cell>
          <cell r="AH2408">
            <v>135.75</v>
          </cell>
        </row>
        <row r="2409">
          <cell r="AE2409" t="str">
            <v>0F2HGJ2</v>
          </cell>
          <cell r="AF2409">
            <v>358.23</v>
          </cell>
          <cell r="AG2409">
            <v>135.75</v>
          </cell>
          <cell r="AH2409">
            <v>135.75</v>
          </cell>
        </row>
        <row r="2410">
          <cell r="AE2410" t="str">
            <v>0LBHGJ2</v>
          </cell>
          <cell r="AF2410">
            <v>358.23</v>
          </cell>
          <cell r="AG2410">
            <v>135.75</v>
          </cell>
          <cell r="AH2410">
            <v>135.75</v>
          </cell>
        </row>
        <row r="2411">
          <cell r="AE2411" t="str">
            <v>1HYHGJ2</v>
          </cell>
          <cell r="AF2411">
            <v>358.23</v>
          </cell>
          <cell r="AG2411">
            <v>135.75</v>
          </cell>
          <cell r="AH2411">
            <v>135.75</v>
          </cell>
        </row>
        <row r="2412">
          <cell r="AE2412" t="str">
            <v>1JHHGJ2</v>
          </cell>
          <cell r="AF2412">
            <v>358.23</v>
          </cell>
          <cell r="AG2412">
            <v>135.75</v>
          </cell>
          <cell r="AH2412">
            <v>135.75</v>
          </cell>
        </row>
        <row r="2413">
          <cell r="AE2413" t="str">
            <v>1JMHGJ2</v>
          </cell>
          <cell r="AF2413">
            <v>358.23</v>
          </cell>
          <cell r="AG2413">
            <v>135.75</v>
          </cell>
          <cell r="AH2413">
            <v>135.75</v>
          </cell>
        </row>
        <row r="2414">
          <cell r="AE2414" t="str">
            <v>1JUHGJ2</v>
          </cell>
          <cell r="AF2414">
            <v>358.23</v>
          </cell>
          <cell r="AG2414">
            <v>135.75</v>
          </cell>
          <cell r="AH2414">
            <v>135.75</v>
          </cell>
        </row>
        <row r="2415">
          <cell r="AE2415" t="str">
            <v>1KUHGJ2</v>
          </cell>
          <cell r="AF2415">
            <v>358.23</v>
          </cell>
          <cell r="AG2415">
            <v>135.75</v>
          </cell>
          <cell r="AH2415">
            <v>135.75</v>
          </cell>
        </row>
        <row r="2416">
          <cell r="AE2416" t="str">
            <v>2M1HGJ1</v>
          </cell>
          <cell r="AF2416">
            <v>358.23</v>
          </cell>
          <cell r="AG2416">
            <v>135.75</v>
          </cell>
          <cell r="AH2416">
            <v>135.75</v>
          </cell>
        </row>
        <row r="2417">
          <cell r="AE2417" t="str">
            <v>2NDHGJ1</v>
          </cell>
          <cell r="AF2417">
            <v>358.23</v>
          </cell>
          <cell r="AG2417">
            <v>135.75</v>
          </cell>
          <cell r="AH2417">
            <v>135.75</v>
          </cell>
        </row>
        <row r="2418">
          <cell r="AE2418" t="str">
            <v>2QPHGJ1</v>
          </cell>
          <cell r="AF2418">
            <v>358.23</v>
          </cell>
          <cell r="AG2418">
            <v>135.75</v>
          </cell>
          <cell r="AH2418">
            <v>135.75</v>
          </cell>
        </row>
        <row r="2419">
          <cell r="AE2419" t="str">
            <v>2RWHGJ1</v>
          </cell>
          <cell r="AF2419">
            <v>358.23</v>
          </cell>
          <cell r="AG2419">
            <v>135.75</v>
          </cell>
          <cell r="AH2419">
            <v>135.75</v>
          </cell>
        </row>
        <row r="2420">
          <cell r="AE2420" t="str">
            <v>2TGHGJ1</v>
          </cell>
          <cell r="AF2420">
            <v>358.23</v>
          </cell>
          <cell r="AG2420">
            <v>135.75</v>
          </cell>
          <cell r="AH2420">
            <v>135.75</v>
          </cell>
        </row>
        <row r="2421">
          <cell r="AE2421" t="str">
            <v>398HGJ1</v>
          </cell>
          <cell r="AF2421">
            <v>358.23</v>
          </cell>
          <cell r="AG2421">
            <v>135.75</v>
          </cell>
          <cell r="AH2421">
            <v>135.75</v>
          </cell>
        </row>
        <row r="2422">
          <cell r="AE2422" t="str">
            <v>3J8HGJ1</v>
          </cell>
          <cell r="AF2422">
            <v>358.23</v>
          </cell>
          <cell r="AG2422">
            <v>135.75</v>
          </cell>
          <cell r="AH2422">
            <v>135.75</v>
          </cell>
        </row>
        <row r="2423">
          <cell r="AE2423" t="str">
            <v>3KMHGJ1</v>
          </cell>
          <cell r="AF2423">
            <v>358.23</v>
          </cell>
          <cell r="AG2423">
            <v>135.75</v>
          </cell>
          <cell r="AH2423">
            <v>135.75</v>
          </cell>
        </row>
        <row r="2424">
          <cell r="AE2424" t="str">
            <v>3NAHGJ1</v>
          </cell>
          <cell r="AF2424">
            <v>358.23</v>
          </cell>
          <cell r="AG2424">
            <v>135.75</v>
          </cell>
          <cell r="AH2424">
            <v>135.75</v>
          </cell>
        </row>
        <row r="2425">
          <cell r="AE2425" t="str">
            <v>3Q3HGJ1</v>
          </cell>
          <cell r="AF2425">
            <v>358.23</v>
          </cell>
          <cell r="AG2425">
            <v>135.75</v>
          </cell>
          <cell r="AH2425">
            <v>135.75</v>
          </cell>
        </row>
        <row r="2426">
          <cell r="AE2426" t="str">
            <v>3R2HGJ1</v>
          </cell>
          <cell r="AF2426">
            <v>358.23</v>
          </cell>
          <cell r="AG2426">
            <v>135.75</v>
          </cell>
          <cell r="AH2426">
            <v>135.75</v>
          </cell>
        </row>
        <row r="2427">
          <cell r="AE2427" t="str">
            <v>3WDHGJ1</v>
          </cell>
          <cell r="AF2427">
            <v>358.23</v>
          </cell>
          <cell r="AG2427">
            <v>135.75</v>
          </cell>
          <cell r="AH2427">
            <v>135.75</v>
          </cell>
        </row>
        <row r="2428">
          <cell r="AE2428" t="str">
            <v>437HGJ1</v>
          </cell>
          <cell r="AF2428">
            <v>358.23</v>
          </cell>
          <cell r="AG2428">
            <v>135.75</v>
          </cell>
          <cell r="AH2428">
            <v>135.75</v>
          </cell>
        </row>
        <row r="2429">
          <cell r="AE2429" t="str">
            <v>15VGHKH</v>
          </cell>
          <cell r="AF2429">
            <v>454.55999999999995</v>
          </cell>
          <cell r="AG2429">
            <v>172.25</v>
          </cell>
          <cell r="AH2429">
            <v>172.25</v>
          </cell>
        </row>
        <row r="2430">
          <cell r="AE2430" t="str">
            <v>54XGHKH</v>
          </cell>
          <cell r="AF2430">
            <v>454.55999999999995</v>
          </cell>
          <cell r="AG2430">
            <v>172.25</v>
          </cell>
          <cell r="AH2430">
            <v>172.25</v>
          </cell>
        </row>
        <row r="2431">
          <cell r="AE2431" t="str">
            <v>E1320002</v>
          </cell>
          <cell r="AF2431">
            <v>0</v>
          </cell>
          <cell r="AG2431">
            <v>220.35</v>
          </cell>
          <cell r="AH2431">
            <v>220.35</v>
          </cell>
        </row>
        <row r="2432">
          <cell r="AE2432" t="str">
            <v>E1320003</v>
          </cell>
          <cell r="AF2432">
            <v>0</v>
          </cell>
          <cell r="AG2432">
            <v>220.35</v>
          </cell>
          <cell r="AH2432">
            <v>220.35</v>
          </cell>
        </row>
        <row r="2433">
          <cell r="AE2433" t="str">
            <v>E1320004</v>
          </cell>
          <cell r="AF2433">
            <v>0</v>
          </cell>
          <cell r="AG2433">
            <v>220.35</v>
          </cell>
          <cell r="AH2433">
            <v>220.35</v>
          </cell>
        </row>
        <row r="2434">
          <cell r="AE2434" t="str">
            <v>E1320005</v>
          </cell>
          <cell r="AF2434">
            <v>0</v>
          </cell>
          <cell r="AG2434">
            <v>220.35</v>
          </cell>
          <cell r="AH2434">
            <v>220.35</v>
          </cell>
        </row>
        <row r="2435">
          <cell r="AE2435" t="str">
            <v>E1320006</v>
          </cell>
          <cell r="AF2435">
            <v>0</v>
          </cell>
          <cell r="AG2435">
            <v>220.35</v>
          </cell>
          <cell r="AH2435">
            <v>220.35</v>
          </cell>
        </row>
        <row r="2436">
          <cell r="AE2436" t="str">
            <v>E1320007</v>
          </cell>
          <cell r="AF2436">
            <v>0</v>
          </cell>
          <cell r="AG2436">
            <v>220.35</v>
          </cell>
          <cell r="AH2436">
            <v>220.35</v>
          </cell>
        </row>
        <row r="2437">
          <cell r="AE2437" t="str">
            <v>2AEGSYN</v>
          </cell>
          <cell r="AF2437">
            <v>643.5</v>
          </cell>
          <cell r="AG2437">
            <v>243.85</v>
          </cell>
          <cell r="AH2437">
            <v>243.85</v>
          </cell>
        </row>
        <row r="2438">
          <cell r="AE2438" t="str">
            <v>0ELHPF9</v>
          </cell>
          <cell r="AF2438">
            <v>949.10000000000014</v>
          </cell>
          <cell r="AG2438">
            <v>457.65</v>
          </cell>
          <cell r="AH2438">
            <v>457.65</v>
          </cell>
        </row>
        <row r="2439">
          <cell r="AE2439" t="str">
            <v>12ZSG5Q</v>
          </cell>
          <cell r="AF2439">
            <v>763.17000000000007</v>
          </cell>
          <cell r="AG2439">
            <v>289.2</v>
          </cell>
          <cell r="AH2439">
            <v>289.2</v>
          </cell>
        </row>
        <row r="2440">
          <cell r="AE2440" t="str">
            <v>605GRYF</v>
          </cell>
          <cell r="AF2440">
            <v>755.07000000000016</v>
          </cell>
          <cell r="AG2440">
            <v>286.14</v>
          </cell>
          <cell r="AH2440">
            <v>286.14</v>
          </cell>
        </row>
        <row r="2441">
          <cell r="AE2441" t="str">
            <v>2317712</v>
          </cell>
          <cell r="AF2441">
            <v>781</v>
          </cell>
          <cell r="AG2441">
            <v>349.4</v>
          </cell>
          <cell r="AH2441">
            <v>349.4</v>
          </cell>
        </row>
        <row r="2442">
          <cell r="AE2442" t="str">
            <v>3557647</v>
          </cell>
          <cell r="AF2442">
            <v>781</v>
          </cell>
          <cell r="AG2442">
            <v>349.4</v>
          </cell>
          <cell r="AH2442">
            <v>349.4</v>
          </cell>
        </row>
        <row r="2443">
          <cell r="AE2443" t="str">
            <v>P14PNTC</v>
          </cell>
          <cell r="AF2443">
            <v>323.68</v>
          </cell>
          <cell r="AG2443">
            <v>306.64999999999998</v>
          </cell>
          <cell r="AH2443">
            <v>306.64999999999998</v>
          </cell>
        </row>
        <row r="2444">
          <cell r="AE2444" t="str">
            <v>05WJC6F</v>
          </cell>
          <cell r="AF2444">
            <v>765.29</v>
          </cell>
          <cell r="AG2444">
            <v>290</v>
          </cell>
          <cell r="AH2444">
            <v>290</v>
          </cell>
        </row>
        <row r="2445">
          <cell r="AE2445" t="str">
            <v>HCJCM1A</v>
          </cell>
          <cell r="AF2445">
            <v>870.84999999999991</v>
          </cell>
          <cell r="AG2445">
            <v>330</v>
          </cell>
          <cell r="AH2445">
            <v>330</v>
          </cell>
        </row>
        <row r="2446">
          <cell r="AE2446" t="str">
            <v>8ZGH2Y7</v>
          </cell>
          <cell r="AF2446">
            <v>429.51</v>
          </cell>
          <cell r="AG2446">
            <v>192.15</v>
          </cell>
          <cell r="AH2446">
            <v>192.15</v>
          </cell>
        </row>
        <row r="2447">
          <cell r="AE2447" t="str">
            <v>JUFJCL6</v>
          </cell>
          <cell r="AF2447">
            <v>1022.64</v>
          </cell>
          <cell r="AG2447">
            <v>484.4</v>
          </cell>
          <cell r="AH2447">
            <v>484.4</v>
          </cell>
        </row>
        <row r="2448">
          <cell r="AE2448" t="str">
            <v>VXRJCL6</v>
          </cell>
          <cell r="AF2448">
            <v>511.32</v>
          </cell>
          <cell r="AG2448">
            <v>484.4</v>
          </cell>
          <cell r="AH2448">
            <v>484.4</v>
          </cell>
        </row>
        <row r="2449">
          <cell r="AE2449" t="str">
            <v>5H0JCL7</v>
          </cell>
          <cell r="AF2449">
            <v>1022.64</v>
          </cell>
          <cell r="AG2449">
            <v>484.4</v>
          </cell>
          <cell r="AH2449">
            <v>484.4</v>
          </cell>
        </row>
        <row r="2450">
          <cell r="AE2450" t="str">
            <v>Q3LJCLG</v>
          </cell>
          <cell r="AF2450">
            <v>1195.29</v>
          </cell>
          <cell r="AG2450">
            <v>419.4</v>
          </cell>
          <cell r="AH2450">
            <v>419.4</v>
          </cell>
        </row>
        <row r="2451">
          <cell r="AE2451" t="str">
            <v>EPAD1701</v>
          </cell>
          <cell r="AF2451">
            <v>1459.71</v>
          </cell>
          <cell r="AG2451">
            <v>207.35</v>
          </cell>
          <cell r="AH2451">
            <v>207.35</v>
          </cell>
        </row>
        <row r="2452">
          <cell r="AE2452" t="str">
            <v>EHBP1501</v>
          </cell>
          <cell r="AF2452">
            <v>2025.3500000000004</v>
          </cell>
          <cell r="AG2452">
            <v>767.5</v>
          </cell>
          <cell r="AH2452">
            <v>767.5</v>
          </cell>
        </row>
        <row r="2453">
          <cell r="AE2453" t="str">
            <v>E0009407</v>
          </cell>
          <cell r="AF2453">
            <v>0</v>
          </cell>
          <cell r="AG2453">
            <v>285</v>
          </cell>
          <cell r="AH2453">
            <v>285</v>
          </cell>
        </row>
        <row r="2454">
          <cell r="AE2454" t="str">
            <v>E0009408</v>
          </cell>
          <cell r="AF2454">
            <v>0</v>
          </cell>
          <cell r="AG2454">
            <v>410</v>
          </cell>
          <cell r="AH2454">
            <v>410</v>
          </cell>
        </row>
        <row r="2455">
          <cell r="AE2455" t="str">
            <v>E0009495</v>
          </cell>
          <cell r="AF2455">
            <v>0</v>
          </cell>
          <cell r="AG2455">
            <v>225</v>
          </cell>
          <cell r="AH2455">
            <v>225</v>
          </cell>
        </row>
        <row r="2456">
          <cell r="AE2456" t="str">
            <v>E0009470</v>
          </cell>
          <cell r="AF2456">
            <v>0</v>
          </cell>
          <cell r="AG2456">
            <v>325</v>
          </cell>
          <cell r="AH2456">
            <v>325</v>
          </cell>
        </row>
        <row r="2457">
          <cell r="AE2457" t="str">
            <v>E100922</v>
          </cell>
          <cell r="AF2457">
            <v>4601.57</v>
          </cell>
          <cell r="AG2457">
            <v>1743.75</v>
          </cell>
          <cell r="AH2457">
            <v>1743.75</v>
          </cell>
        </row>
        <row r="2458">
          <cell r="AE2458" t="str">
            <v>6140R80</v>
          </cell>
          <cell r="AF2458">
            <v>903.82000000000016</v>
          </cell>
          <cell r="AG2458">
            <v>342.5</v>
          </cell>
          <cell r="AH2458">
            <v>342.5</v>
          </cell>
        </row>
        <row r="2459">
          <cell r="AE2459" t="str">
            <v>6142036</v>
          </cell>
          <cell r="AF2459">
            <v>943.40000000000009</v>
          </cell>
          <cell r="AG2459">
            <v>357.5</v>
          </cell>
          <cell r="AH2459">
            <v>357.5</v>
          </cell>
        </row>
        <row r="2460">
          <cell r="AE2460" t="str">
            <v>614203H</v>
          </cell>
          <cell r="AF2460">
            <v>943.40000000000009</v>
          </cell>
          <cell r="AG2460">
            <v>357.5</v>
          </cell>
          <cell r="AH2460">
            <v>357.5</v>
          </cell>
        </row>
        <row r="2461">
          <cell r="AE2461" t="str">
            <v>614203R</v>
          </cell>
          <cell r="AF2461">
            <v>943.40000000000009</v>
          </cell>
          <cell r="AG2461">
            <v>357.5</v>
          </cell>
          <cell r="AH2461">
            <v>357.5</v>
          </cell>
        </row>
        <row r="2462">
          <cell r="AE2462" t="str">
            <v>614203Z</v>
          </cell>
          <cell r="AF2462">
            <v>943.40000000000009</v>
          </cell>
          <cell r="AG2462">
            <v>357.5</v>
          </cell>
          <cell r="AH2462">
            <v>357.5</v>
          </cell>
        </row>
        <row r="2463">
          <cell r="AE2463" t="str">
            <v>6142047</v>
          </cell>
          <cell r="AF2463">
            <v>943.40000000000009</v>
          </cell>
          <cell r="AG2463">
            <v>357.5</v>
          </cell>
          <cell r="AH2463">
            <v>357.5</v>
          </cell>
        </row>
        <row r="2464">
          <cell r="AE2464" t="str">
            <v>614204B</v>
          </cell>
          <cell r="AF2464">
            <v>943.40000000000009</v>
          </cell>
          <cell r="AG2464">
            <v>357.5</v>
          </cell>
          <cell r="AH2464">
            <v>357.5</v>
          </cell>
        </row>
        <row r="2465">
          <cell r="AE2465" t="str">
            <v>614204K</v>
          </cell>
          <cell r="AF2465">
            <v>943.40000000000009</v>
          </cell>
          <cell r="AG2465">
            <v>357.5</v>
          </cell>
          <cell r="AH2465">
            <v>357.5</v>
          </cell>
        </row>
        <row r="2466">
          <cell r="AE2466" t="str">
            <v>6321M89</v>
          </cell>
          <cell r="AF2466">
            <v>903.82000000000016</v>
          </cell>
          <cell r="AG2466">
            <v>342.5</v>
          </cell>
          <cell r="AH2466">
            <v>342.5</v>
          </cell>
        </row>
        <row r="2467">
          <cell r="AE2467" t="str">
            <v>6321M90</v>
          </cell>
          <cell r="AF2467">
            <v>903.82000000000016</v>
          </cell>
          <cell r="AG2467">
            <v>342.5</v>
          </cell>
          <cell r="AH2467">
            <v>342.5</v>
          </cell>
        </row>
        <row r="2468">
          <cell r="AE2468" t="str">
            <v>6321M99</v>
          </cell>
          <cell r="AF2468">
            <v>903.82000000000016</v>
          </cell>
          <cell r="AG2468">
            <v>342.5</v>
          </cell>
          <cell r="AH2468">
            <v>342.5</v>
          </cell>
        </row>
        <row r="2469">
          <cell r="AE2469" t="str">
            <v>6321M9G</v>
          </cell>
          <cell r="AF2469">
            <v>903.82000000000016</v>
          </cell>
          <cell r="AG2469">
            <v>342.5</v>
          </cell>
          <cell r="AH2469">
            <v>342.5</v>
          </cell>
        </row>
        <row r="2470">
          <cell r="AE2470" t="str">
            <v>6321MB7</v>
          </cell>
          <cell r="AF2470">
            <v>903.82000000000016</v>
          </cell>
          <cell r="AG2470">
            <v>342.5</v>
          </cell>
          <cell r="AH2470">
            <v>342.5</v>
          </cell>
        </row>
        <row r="2471">
          <cell r="AE2471" t="str">
            <v>6321MBV</v>
          </cell>
          <cell r="AF2471">
            <v>903.82000000000016</v>
          </cell>
          <cell r="AG2471">
            <v>342.5</v>
          </cell>
          <cell r="AH2471">
            <v>342.5</v>
          </cell>
        </row>
        <row r="2472">
          <cell r="AE2472" t="str">
            <v>6321MC6</v>
          </cell>
          <cell r="AF2472">
            <v>903.82000000000016</v>
          </cell>
          <cell r="AG2472">
            <v>342.5</v>
          </cell>
          <cell r="AH2472">
            <v>342.5</v>
          </cell>
        </row>
        <row r="2473">
          <cell r="AE2473" t="str">
            <v>6321MCC</v>
          </cell>
          <cell r="AF2473">
            <v>903.82000000000016</v>
          </cell>
          <cell r="AG2473">
            <v>342.5</v>
          </cell>
          <cell r="AH2473">
            <v>342.5</v>
          </cell>
        </row>
        <row r="2474">
          <cell r="AE2474" t="str">
            <v>63654KD</v>
          </cell>
          <cell r="AF2474">
            <v>765.57000000000016</v>
          </cell>
          <cell r="AG2474">
            <v>342.5</v>
          </cell>
          <cell r="AH2474">
            <v>342.5</v>
          </cell>
        </row>
        <row r="2475">
          <cell r="AE2475" t="str">
            <v>63654KZ</v>
          </cell>
          <cell r="AF2475">
            <v>765.56999999999971</v>
          </cell>
          <cell r="AG2475">
            <v>342.5</v>
          </cell>
          <cell r="AH2475">
            <v>342.5</v>
          </cell>
        </row>
        <row r="2476">
          <cell r="AE2476" t="str">
            <v>63654L1</v>
          </cell>
          <cell r="AF2476">
            <v>765.57000000000016</v>
          </cell>
          <cell r="AG2476">
            <v>342.5</v>
          </cell>
          <cell r="AH2476">
            <v>342.5</v>
          </cell>
        </row>
        <row r="2477">
          <cell r="AE2477" t="str">
            <v>63654LW</v>
          </cell>
          <cell r="AF2477">
            <v>765.57000000000016</v>
          </cell>
          <cell r="AG2477">
            <v>342.5</v>
          </cell>
          <cell r="AH2477">
            <v>342.5</v>
          </cell>
        </row>
        <row r="2478">
          <cell r="AE2478" t="str">
            <v>63654M6</v>
          </cell>
          <cell r="AF2478">
            <v>765.57000000000016</v>
          </cell>
          <cell r="AG2478">
            <v>342.5</v>
          </cell>
          <cell r="AH2478">
            <v>342.5</v>
          </cell>
        </row>
        <row r="2479">
          <cell r="AE2479" t="str">
            <v>63655XQ</v>
          </cell>
          <cell r="AF2479">
            <v>799.11000000000013</v>
          </cell>
          <cell r="AG2479">
            <v>357.5</v>
          </cell>
          <cell r="AH2479">
            <v>357.5</v>
          </cell>
        </row>
        <row r="2480">
          <cell r="AE2480" t="str">
            <v>63656QY</v>
          </cell>
          <cell r="AF2480">
            <v>765.57000000000016</v>
          </cell>
          <cell r="AG2480">
            <v>342.5</v>
          </cell>
          <cell r="AH2480">
            <v>342.5</v>
          </cell>
        </row>
        <row r="2481">
          <cell r="AE2481" t="str">
            <v>COGTTZW</v>
          </cell>
          <cell r="AF2481">
            <v>1453.4299999999998</v>
          </cell>
          <cell r="AG2481">
            <v>550.77</v>
          </cell>
          <cell r="AH2481">
            <v>550.77</v>
          </cell>
        </row>
        <row r="2482">
          <cell r="AE2482" t="str">
            <v>COGTVMK</v>
          </cell>
          <cell r="AF2482">
            <v>1453.4299999999998</v>
          </cell>
          <cell r="AG2482">
            <v>550.77</v>
          </cell>
          <cell r="AH2482">
            <v>550.77</v>
          </cell>
        </row>
        <row r="2483">
          <cell r="AE2483" t="str">
            <v>LP01601</v>
          </cell>
          <cell r="AF2483">
            <v>943.40000000000009</v>
          </cell>
          <cell r="AG2483">
            <v>357.5</v>
          </cell>
          <cell r="AH2483">
            <v>357.5</v>
          </cell>
        </row>
        <row r="2484">
          <cell r="AE2484" t="str">
            <v>LP01602</v>
          </cell>
          <cell r="AF2484">
            <v>903.82000000000016</v>
          </cell>
          <cell r="AG2484">
            <v>342.5</v>
          </cell>
          <cell r="AH2484">
            <v>342.5</v>
          </cell>
        </row>
        <row r="2485">
          <cell r="AE2485" t="str">
            <v>LP01603</v>
          </cell>
          <cell r="AF2485">
            <v>903.82000000000016</v>
          </cell>
          <cell r="AG2485">
            <v>342.5</v>
          </cell>
          <cell r="AH2485">
            <v>342.5</v>
          </cell>
        </row>
        <row r="2486">
          <cell r="AE2486" t="str">
            <v>LP01604</v>
          </cell>
          <cell r="AF2486">
            <v>903.82000000000016</v>
          </cell>
          <cell r="AG2486">
            <v>342.5</v>
          </cell>
          <cell r="AH2486">
            <v>342.5</v>
          </cell>
        </row>
        <row r="2487">
          <cell r="AE2487" t="str">
            <v>LP01605</v>
          </cell>
          <cell r="AF2487">
            <v>903.82000000000016</v>
          </cell>
          <cell r="AG2487">
            <v>342.5</v>
          </cell>
          <cell r="AH2487">
            <v>342.5</v>
          </cell>
        </row>
        <row r="2488">
          <cell r="AE2488" t="str">
            <v>LP01606</v>
          </cell>
          <cell r="AF2488">
            <v>903.82000000000016</v>
          </cell>
          <cell r="AG2488">
            <v>342.5</v>
          </cell>
          <cell r="AH2488">
            <v>342.5</v>
          </cell>
        </row>
        <row r="2489">
          <cell r="AE2489" t="str">
            <v>LP01607</v>
          </cell>
          <cell r="AF2489">
            <v>903.82000000000016</v>
          </cell>
          <cell r="AG2489">
            <v>342.5</v>
          </cell>
          <cell r="AH2489">
            <v>342.5</v>
          </cell>
        </row>
        <row r="2490">
          <cell r="AE2490" t="str">
            <v>7214KN4</v>
          </cell>
          <cell r="AF2490">
            <v>915.7</v>
          </cell>
          <cell r="AG2490">
            <v>347</v>
          </cell>
          <cell r="AH2490">
            <v>347</v>
          </cell>
        </row>
        <row r="2491">
          <cell r="AE2491" t="str">
            <v>7214KNG</v>
          </cell>
          <cell r="AF2491">
            <v>915.7</v>
          </cell>
          <cell r="AG2491">
            <v>347</v>
          </cell>
          <cell r="AH2491">
            <v>347</v>
          </cell>
        </row>
        <row r="2492">
          <cell r="AE2492" t="str">
            <v>7214KNP</v>
          </cell>
          <cell r="AF2492">
            <v>915.7</v>
          </cell>
          <cell r="AG2492">
            <v>347</v>
          </cell>
          <cell r="AH2492">
            <v>347</v>
          </cell>
        </row>
        <row r="2493">
          <cell r="AE2493" t="str">
            <v>7214KNY</v>
          </cell>
          <cell r="AF2493">
            <v>915.7</v>
          </cell>
          <cell r="AG2493">
            <v>347</v>
          </cell>
          <cell r="AH2493">
            <v>347</v>
          </cell>
        </row>
        <row r="2494">
          <cell r="AE2494" t="str">
            <v>7214KP7</v>
          </cell>
          <cell r="AF2494">
            <v>915.7</v>
          </cell>
          <cell r="AG2494">
            <v>347</v>
          </cell>
          <cell r="AH2494">
            <v>347</v>
          </cell>
        </row>
        <row r="2495">
          <cell r="AE2495" t="str">
            <v>7214KPC</v>
          </cell>
          <cell r="AF2495">
            <v>915.7</v>
          </cell>
          <cell r="AG2495">
            <v>347</v>
          </cell>
          <cell r="AH2495">
            <v>347</v>
          </cell>
        </row>
        <row r="2496">
          <cell r="AE2496" t="str">
            <v>6321M9X</v>
          </cell>
          <cell r="AF2496">
            <v>723.04999999999973</v>
          </cell>
          <cell r="AG2496">
            <v>342.5</v>
          </cell>
          <cell r="AH2496">
            <v>342.5</v>
          </cell>
        </row>
        <row r="2497">
          <cell r="AE2497" t="str">
            <v>6321MBL</v>
          </cell>
          <cell r="AF2497">
            <v>723.04999999999973</v>
          </cell>
          <cell r="AG2497">
            <v>342.5</v>
          </cell>
          <cell r="AH2497">
            <v>342.5</v>
          </cell>
        </row>
        <row r="2498">
          <cell r="AE2498" t="str">
            <v>6321PBJ</v>
          </cell>
          <cell r="AF2498">
            <v>723.04999999999973</v>
          </cell>
          <cell r="AG2498">
            <v>342.5</v>
          </cell>
          <cell r="AH2498">
            <v>342.5</v>
          </cell>
        </row>
        <row r="2499">
          <cell r="AE2499" t="str">
            <v>0095KDD</v>
          </cell>
          <cell r="AF2499">
            <v>1123.6199999999999</v>
          </cell>
          <cell r="AG2499">
            <v>425.8</v>
          </cell>
          <cell r="AH2499">
            <v>425.8</v>
          </cell>
        </row>
        <row r="2500">
          <cell r="AE2500" t="str">
            <v>0095KDE1</v>
          </cell>
          <cell r="AF2500">
            <v>1123.6199999999999</v>
          </cell>
          <cell r="AG2500">
            <v>425.8</v>
          </cell>
          <cell r="AH2500">
            <v>425.8</v>
          </cell>
        </row>
        <row r="2501">
          <cell r="AE2501" t="str">
            <v>0095KDF1</v>
          </cell>
          <cell r="AF2501">
            <v>1123.6199999999999</v>
          </cell>
          <cell r="AG2501">
            <v>425.8</v>
          </cell>
          <cell r="AH2501">
            <v>425.8</v>
          </cell>
        </row>
        <row r="2502">
          <cell r="AE2502" t="str">
            <v>0095KDG1</v>
          </cell>
          <cell r="AF2502">
            <v>1123.6199999999999</v>
          </cell>
          <cell r="AG2502">
            <v>425.8</v>
          </cell>
          <cell r="AH2502">
            <v>425.8</v>
          </cell>
        </row>
        <row r="2503">
          <cell r="AE2503" t="str">
            <v>0095KDH</v>
          </cell>
          <cell r="AF2503">
            <v>1123.6199999999999</v>
          </cell>
          <cell r="AG2503">
            <v>425.8</v>
          </cell>
          <cell r="AH2503">
            <v>425.8</v>
          </cell>
        </row>
        <row r="2504">
          <cell r="AE2504" t="str">
            <v>0095KDJ</v>
          </cell>
          <cell r="AF2504">
            <v>1123.6199999999999</v>
          </cell>
          <cell r="AG2504">
            <v>425.8</v>
          </cell>
          <cell r="AH2504">
            <v>425.8</v>
          </cell>
        </row>
        <row r="2505">
          <cell r="AE2505" t="str">
            <v>0095KDK</v>
          </cell>
          <cell r="AF2505">
            <v>1123.6199999999999</v>
          </cell>
          <cell r="AG2505">
            <v>425.8</v>
          </cell>
          <cell r="AH2505">
            <v>425.8</v>
          </cell>
        </row>
        <row r="2506">
          <cell r="AE2506" t="str">
            <v>0095KDL</v>
          </cell>
          <cell r="AF2506">
            <v>1123.6199999999999</v>
          </cell>
          <cell r="AG2506">
            <v>425.8</v>
          </cell>
          <cell r="AH2506">
            <v>425.8</v>
          </cell>
        </row>
        <row r="2507">
          <cell r="AE2507" t="str">
            <v>0095KDM</v>
          </cell>
          <cell r="AF2507">
            <v>1123.6199999999999</v>
          </cell>
          <cell r="AG2507">
            <v>425.8</v>
          </cell>
          <cell r="AH2507">
            <v>425.8</v>
          </cell>
        </row>
        <row r="2508">
          <cell r="AE2508" t="str">
            <v>0095KDN</v>
          </cell>
          <cell r="AF2508">
            <v>1123.6199999999999</v>
          </cell>
          <cell r="AG2508">
            <v>425.8</v>
          </cell>
          <cell r="AH2508">
            <v>425.8</v>
          </cell>
        </row>
        <row r="2509">
          <cell r="AE2509" t="str">
            <v>0095KDP</v>
          </cell>
          <cell r="AF2509">
            <v>1123.6199999999999</v>
          </cell>
          <cell r="AG2509">
            <v>425.8</v>
          </cell>
          <cell r="AH2509">
            <v>425.8</v>
          </cell>
        </row>
        <row r="2510">
          <cell r="AE2510" t="str">
            <v>0095KDQ</v>
          </cell>
          <cell r="AF2510">
            <v>1123.6199999999999</v>
          </cell>
          <cell r="AG2510">
            <v>425.8</v>
          </cell>
          <cell r="AH2510">
            <v>425.8</v>
          </cell>
        </row>
        <row r="2511">
          <cell r="AE2511" t="str">
            <v>009BH61</v>
          </cell>
          <cell r="AF2511">
            <v>2041.83</v>
          </cell>
          <cell r="AG2511">
            <v>773.75</v>
          </cell>
          <cell r="AH2511">
            <v>773.75</v>
          </cell>
        </row>
        <row r="2512">
          <cell r="AE2512" t="str">
            <v>009BH6L</v>
          </cell>
          <cell r="AF2512">
            <v>2041.83</v>
          </cell>
          <cell r="AG2512">
            <v>773.75</v>
          </cell>
          <cell r="AH2512">
            <v>773.75</v>
          </cell>
        </row>
        <row r="2513">
          <cell r="AE2513" t="str">
            <v>00ACBC2</v>
          </cell>
          <cell r="AF2513">
            <v>2041.8400000000001</v>
          </cell>
          <cell r="AG2513">
            <v>773.75</v>
          </cell>
          <cell r="AH2513">
            <v>773.75</v>
          </cell>
        </row>
        <row r="2514">
          <cell r="AE2514" t="str">
            <v>414CCGC</v>
          </cell>
          <cell r="AF2514">
            <v>0</v>
          </cell>
          <cell r="AG2514">
            <v>403.69</v>
          </cell>
          <cell r="AH2514">
            <v>403.69</v>
          </cell>
        </row>
        <row r="2515">
          <cell r="AE2515" t="str">
            <v>414CCGD</v>
          </cell>
          <cell r="AF2515">
            <v>0</v>
          </cell>
          <cell r="AG2515">
            <v>403.69</v>
          </cell>
          <cell r="AH2515">
            <v>403.69</v>
          </cell>
        </row>
        <row r="2516">
          <cell r="AE2516" t="str">
            <v>414CCGH</v>
          </cell>
          <cell r="AF2516">
            <v>0</v>
          </cell>
          <cell r="AG2516">
            <v>403.69</v>
          </cell>
          <cell r="AH2516">
            <v>403.69</v>
          </cell>
        </row>
        <row r="2517">
          <cell r="AE2517" t="str">
            <v>535372Y</v>
          </cell>
          <cell r="AF2517">
            <v>991.97000000000025</v>
          </cell>
          <cell r="AG2517">
            <v>375.9</v>
          </cell>
          <cell r="AH2517">
            <v>375.9</v>
          </cell>
        </row>
        <row r="2518">
          <cell r="AE2518" t="str">
            <v>535373B</v>
          </cell>
          <cell r="AF2518">
            <v>991.97000000000025</v>
          </cell>
          <cell r="AG2518">
            <v>375.9</v>
          </cell>
          <cell r="AH2518">
            <v>375.9</v>
          </cell>
        </row>
        <row r="2519">
          <cell r="AE2519" t="str">
            <v>535373S</v>
          </cell>
          <cell r="AF2519">
            <v>991.97000000000025</v>
          </cell>
          <cell r="AG2519">
            <v>375.9</v>
          </cell>
          <cell r="AH2519">
            <v>375.9</v>
          </cell>
        </row>
        <row r="2520">
          <cell r="AE2520" t="str">
            <v>5353741</v>
          </cell>
          <cell r="AF2520">
            <v>991.97000000000025</v>
          </cell>
          <cell r="AG2520">
            <v>375.9</v>
          </cell>
          <cell r="AH2520">
            <v>375.9</v>
          </cell>
        </row>
        <row r="2521">
          <cell r="AE2521" t="str">
            <v>5353756</v>
          </cell>
          <cell r="AF2521">
            <v>991.97000000000025</v>
          </cell>
          <cell r="AG2521">
            <v>375.9</v>
          </cell>
          <cell r="AH2521">
            <v>375.9</v>
          </cell>
        </row>
        <row r="2522">
          <cell r="AE2522" t="str">
            <v>535375H</v>
          </cell>
          <cell r="AF2522">
            <v>991.97000000000025</v>
          </cell>
          <cell r="AG2522">
            <v>375.9</v>
          </cell>
          <cell r="AH2522">
            <v>375.9</v>
          </cell>
        </row>
        <row r="2523">
          <cell r="AE2523" t="str">
            <v>535375Q</v>
          </cell>
          <cell r="AF2523">
            <v>991.97000000000025</v>
          </cell>
          <cell r="AG2523">
            <v>375.9</v>
          </cell>
          <cell r="AH2523">
            <v>375.9</v>
          </cell>
        </row>
        <row r="2524">
          <cell r="AE2524" t="str">
            <v>535377L</v>
          </cell>
          <cell r="AF2524">
            <v>991.97000000000025</v>
          </cell>
          <cell r="AG2524">
            <v>375.9</v>
          </cell>
          <cell r="AH2524">
            <v>375.9</v>
          </cell>
        </row>
        <row r="2525">
          <cell r="AE2525" t="str">
            <v>53537BG</v>
          </cell>
          <cell r="AF2525">
            <v>991.97000000000025</v>
          </cell>
          <cell r="AG2525">
            <v>375.9</v>
          </cell>
          <cell r="AH2525">
            <v>375.9</v>
          </cell>
        </row>
        <row r="2526">
          <cell r="AE2526" t="str">
            <v>53537BQ</v>
          </cell>
          <cell r="AF2526">
            <v>991.97000000000025</v>
          </cell>
          <cell r="AG2526">
            <v>375.9</v>
          </cell>
          <cell r="AH2526">
            <v>375.9</v>
          </cell>
        </row>
        <row r="2527">
          <cell r="AE2527" t="str">
            <v>53537C1</v>
          </cell>
          <cell r="AF2527">
            <v>991.97000000000025</v>
          </cell>
          <cell r="AG2527">
            <v>375.9</v>
          </cell>
          <cell r="AH2527">
            <v>375.9</v>
          </cell>
        </row>
        <row r="2528">
          <cell r="AE2528" t="str">
            <v>53537DK</v>
          </cell>
          <cell r="AF2528">
            <v>991.97000000000025</v>
          </cell>
          <cell r="AG2528">
            <v>375.9</v>
          </cell>
          <cell r="AH2528">
            <v>375.9</v>
          </cell>
        </row>
        <row r="2529">
          <cell r="AE2529" t="str">
            <v>53721F5</v>
          </cell>
          <cell r="AF2529">
            <v>931.92000000000007</v>
          </cell>
          <cell r="AG2529">
            <v>353.15</v>
          </cell>
          <cell r="AH2529">
            <v>353.15</v>
          </cell>
        </row>
        <row r="2530">
          <cell r="AE2530" t="str">
            <v>B01VBGY</v>
          </cell>
          <cell r="AF2530">
            <v>0</v>
          </cell>
          <cell r="AG2530">
            <v>418.1</v>
          </cell>
          <cell r="AH2530">
            <v>418.1</v>
          </cell>
        </row>
        <row r="2531">
          <cell r="AE2531" t="str">
            <v>B01VBZ5</v>
          </cell>
          <cell r="AF2531">
            <v>0</v>
          </cell>
          <cell r="AG2531">
            <v>415.1</v>
          </cell>
          <cell r="AH2531">
            <v>415.1</v>
          </cell>
        </row>
        <row r="2532">
          <cell r="AE2532" t="str">
            <v>EB01157T</v>
          </cell>
          <cell r="AF2532">
            <v>0</v>
          </cell>
          <cell r="AG2532">
            <v>425.6</v>
          </cell>
          <cell r="AH2532">
            <v>425.6</v>
          </cell>
        </row>
        <row r="2533">
          <cell r="AE2533" t="str">
            <v>EB01157U</v>
          </cell>
          <cell r="AF2533">
            <v>0</v>
          </cell>
          <cell r="AG2533">
            <v>425.6</v>
          </cell>
          <cell r="AH2533">
            <v>425.6</v>
          </cell>
        </row>
        <row r="2534">
          <cell r="AE2534" t="str">
            <v>EB01157W</v>
          </cell>
          <cell r="AF2534">
            <v>0</v>
          </cell>
          <cell r="AG2534">
            <v>425.6</v>
          </cell>
          <cell r="AH2534">
            <v>425.6</v>
          </cell>
        </row>
        <row r="2535">
          <cell r="AE2535" t="str">
            <v>EB01157X</v>
          </cell>
          <cell r="AF2535">
            <v>0</v>
          </cell>
          <cell r="AG2535">
            <v>425.6</v>
          </cell>
          <cell r="AH2535">
            <v>425.6</v>
          </cell>
        </row>
        <row r="2536">
          <cell r="AE2536" t="str">
            <v>EB013JC5</v>
          </cell>
          <cell r="AF2536">
            <v>0</v>
          </cell>
          <cell r="AG2536">
            <v>425.6</v>
          </cell>
          <cell r="AH2536">
            <v>425.6</v>
          </cell>
        </row>
        <row r="2537">
          <cell r="AE2537" t="str">
            <v>EB013JCC</v>
          </cell>
          <cell r="AF2537">
            <v>0</v>
          </cell>
          <cell r="AG2537">
            <v>425.6</v>
          </cell>
          <cell r="AH2537">
            <v>425.6</v>
          </cell>
        </row>
        <row r="2538">
          <cell r="AE2538" t="str">
            <v>EB013JCF</v>
          </cell>
          <cell r="AF2538">
            <v>0</v>
          </cell>
          <cell r="AG2538">
            <v>425.6</v>
          </cell>
          <cell r="AH2538">
            <v>425.6</v>
          </cell>
        </row>
        <row r="2539">
          <cell r="AE2539" t="str">
            <v>EB01YHV8</v>
          </cell>
          <cell r="AF2539">
            <v>0</v>
          </cell>
          <cell r="AG2539">
            <v>551</v>
          </cell>
          <cell r="AH2539">
            <v>551</v>
          </cell>
        </row>
        <row r="2540">
          <cell r="AE2540" t="str">
            <v>F00N9B2</v>
          </cell>
          <cell r="AF2540">
            <v>0</v>
          </cell>
          <cell r="AG2540">
            <v>418.1</v>
          </cell>
          <cell r="AH2540">
            <v>418.1</v>
          </cell>
        </row>
        <row r="2541">
          <cell r="AE2541" t="str">
            <v>F00S7TF</v>
          </cell>
          <cell r="AF2541">
            <v>0</v>
          </cell>
          <cell r="AG2541">
            <v>418.1</v>
          </cell>
          <cell r="AH2541">
            <v>418.1</v>
          </cell>
        </row>
        <row r="2542">
          <cell r="AE2542" t="str">
            <v>F00S7TX</v>
          </cell>
          <cell r="AF2542">
            <v>0</v>
          </cell>
          <cell r="AG2542">
            <v>418.1</v>
          </cell>
          <cell r="AH2542">
            <v>418.1</v>
          </cell>
        </row>
        <row r="2543">
          <cell r="AE2543" t="str">
            <v>F01FBVC</v>
          </cell>
          <cell r="AF2543">
            <v>0</v>
          </cell>
          <cell r="AG2543">
            <v>415.1</v>
          </cell>
          <cell r="AH2543">
            <v>415.1</v>
          </cell>
        </row>
        <row r="2544">
          <cell r="AE2544" t="str">
            <v>F01FBXU</v>
          </cell>
          <cell r="AF2544">
            <v>0</v>
          </cell>
          <cell r="AG2544">
            <v>418.1</v>
          </cell>
          <cell r="AH2544">
            <v>418.1</v>
          </cell>
        </row>
        <row r="2545">
          <cell r="AE2545" t="str">
            <v>ENB18001</v>
          </cell>
          <cell r="AF2545">
            <v>327.02</v>
          </cell>
          <cell r="AG2545">
            <v>309.8</v>
          </cell>
          <cell r="AH2545">
            <v>309.8</v>
          </cell>
        </row>
        <row r="2546">
          <cell r="AE2546" t="str">
            <v>ENB18002</v>
          </cell>
          <cell r="AF2546">
            <v>327.02</v>
          </cell>
          <cell r="AG2546">
            <v>309.8</v>
          </cell>
          <cell r="AH2546">
            <v>309.8</v>
          </cell>
        </row>
        <row r="2547">
          <cell r="AE2547" t="str">
            <v>ENB18003</v>
          </cell>
          <cell r="AF2547">
            <v>327.02</v>
          </cell>
          <cell r="AG2547">
            <v>309.8</v>
          </cell>
          <cell r="AH2547">
            <v>309.8</v>
          </cell>
        </row>
        <row r="2548">
          <cell r="AE2548" t="str">
            <v>B01157X</v>
          </cell>
          <cell r="AF2548">
            <v>0</v>
          </cell>
          <cell r="AG2548">
            <v>415.1</v>
          </cell>
          <cell r="AH2548">
            <v>415.1</v>
          </cell>
        </row>
        <row r="2549">
          <cell r="AE2549" t="str">
            <v>R9YDP8L</v>
          </cell>
          <cell r="AF2549">
            <v>0</v>
          </cell>
          <cell r="AG2549">
            <v>415.1</v>
          </cell>
          <cell r="AH2549">
            <v>415.1</v>
          </cell>
        </row>
        <row r="2550">
          <cell r="AE2550" t="str">
            <v>ER9Z8MVP</v>
          </cell>
          <cell r="AF2550">
            <v>0</v>
          </cell>
          <cell r="AG2550">
            <v>350</v>
          </cell>
          <cell r="AH2550">
            <v>350</v>
          </cell>
        </row>
        <row r="2551">
          <cell r="AE2551" t="str">
            <v>E0009266</v>
          </cell>
          <cell r="AF2551">
            <v>0</v>
          </cell>
          <cell r="AG2551">
            <v>340</v>
          </cell>
          <cell r="AH2551">
            <v>340</v>
          </cell>
        </row>
        <row r="2552">
          <cell r="AE2552" t="str">
            <v>E0009267</v>
          </cell>
          <cell r="AF2552">
            <v>0</v>
          </cell>
          <cell r="AG2552">
            <v>340</v>
          </cell>
          <cell r="AH2552">
            <v>340</v>
          </cell>
        </row>
        <row r="2553">
          <cell r="AE2553" t="str">
            <v>E100501</v>
          </cell>
          <cell r="AF2553">
            <v>11781.819999999996</v>
          </cell>
          <cell r="AG2553">
            <v>5270.85</v>
          </cell>
          <cell r="AH2553">
            <v>5270.85</v>
          </cell>
        </row>
        <row r="2554">
          <cell r="AE2554" t="str">
            <v>E100866</v>
          </cell>
          <cell r="AF2554">
            <v>89540.710000000021</v>
          </cell>
          <cell r="AG2554">
            <v>33931.22</v>
          </cell>
          <cell r="AH2554">
            <v>33931.22</v>
          </cell>
        </row>
        <row r="2555">
          <cell r="AE2555" t="str">
            <v>E100867</v>
          </cell>
          <cell r="AF2555">
            <v>27965.070000000007</v>
          </cell>
          <cell r="AG2555">
            <v>10597.29</v>
          </cell>
          <cell r="AH2555">
            <v>10597.29</v>
          </cell>
        </row>
        <row r="2556">
          <cell r="AE2556" t="str">
            <v xml:space="preserve">EE1007421    </v>
          </cell>
          <cell r="AF2556">
            <v>0</v>
          </cell>
          <cell r="AG2556">
            <v>17100</v>
          </cell>
          <cell r="AH2556">
            <v>8550</v>
          </cell>
        </row>
        <row r="2557">
          <cell r="AE2557" t="str">
            <v xml:space="preserve">EE1007422    </v>
          </cell>
          <cell r="AF2557">
            <v>0</v>
          </cell>
          <cell r="AG2557">
            <v>17100</v>
          </cell>
          <cell r="AH2557">
            <v>8550</v>
          </cell>
        </row>
        <row r="2558">
          <cell r="AE2558" t="str">
            <v>EE100743</v>
          </cell>
          <cell r="AF2558">
            <v>0</v>
          </cell>
          <cell r="AG2558">
            <v>1800</v>
          </cell>
          <cell r="AH2558">
            <v>1800</v>
          </cell>
        </row>
        <row r="2559">
          <cell r="AE2559" t="str">
            <v>EE100801</v>
          </cell>
          <cell r="AF2559">
            <v>0</v>
          </cell>
          <cell r="AG2559">
            <v>12490</v>
          </cell>
          <cell r="AH2559">
            <v>12490</v>
          </cell>
        </row>
        <row r="2560">
          <cell r="AE2560" t="str">
            <v>4448RC9</v>
          </cell>
          <cell r="AF2560">
            <v>0</v>
          </cell>
          <cell r="AG2560">
            <v>200.25</v>
          </cell>
          <cell r="AH2560">
            <v>200.25</v>
          </cell>
        </row>
        <row r="2561">
          <cell r="AE2561" t="str">
            <v>4448RCB</v>
          </cell>
          <cell r="AF2561">
            <v>0</v>
          </cell>
          <cell r="AG2561">
            <v>200.25</v>
          </cell>
          <cell r="AH2561">
            <v>200.25</v>
          </cell>
        </row>
        <row r="2562">
          <cell r="AE2562" t="str">
            <v>4448RCC</v>
          </cell>
          <cell r="AF2562">
            <v>0</v>
          </cell>
          <cell r="AG2562">
            <v>200.25</v>
          </cell>
          <cell r="AH2562">
            <v>200.25</v>
          </cell>
        </row>
        <row r="2563">
          <cell r="AE2563" t="str">
            <v>E0008273</v>
          </cell>
          <cell r="AF2563">
            <v>0</v>
          </cell>
          <cell r="AG2563">
            <v>160</v>
          </cell>
          <cell r="AH2563">
            <v>160</v>
          </cell>
        </row>
        <row r="2564">
          <cell r="AE2564" t="str">
            <v>E0008274</v>
          </cell>
          <cell r="AF2564">
            <v>0</v>
          </cell>
          <cell r="AG2564">
            <v>160</v>
          </cell>
          <cell r="AH2564">
            <v>160</v>
          </cell>
        </row>
        <row r="2565">
          <cell r="AE2565" t="str">
            <v>201DYPSM</v>
          </cell>
          <cell r="AF2565">
            <v>12871.180000000004</v>
          </cell>
          <cell r="AG2565">
            <v>4877.5</v>
          </cell>
          <cell r="AH2565">
            <v>4877.5</v>
          </cell>
        </row>
        <row r="2566">
          <cell r="AE2566" t="str">
            <v>E0008055</v>
          </cell>
          <cell r="AF2566">
            <v>0</v>
          </cell>
          <cell r="AG2566">
            <v>17109.18</v>
          </cell>
          <cell r="AH2566">
            <v>17109.18</v>
          </cell>
        </row>
        <row r="2567">
          <cell r="AE2567" t="str">
            <v>E100553</v>
          </cell>
          <cell r="AF2567">
            <v>4968.9200000000019</v>
          </cell>
          <cell r="AG2567">
            <v>2222.9499999999998</v>
          </cell>
          <cell r="AH2567">
            <v>2222.9499999999998</v>
          </cell>
        </row>
        <row r="2568">
          <cell r="AE2568" t="str">
            <v>E100554</v>
          </cell>
          <cell r="AF2568">
            <v>4968.92</v>
          </cell>
          <cell r="AG2568">
            <v>2222.9499999999998</v>
          </cell>
          <cell r="AH2568">
            <v>2222.9499999999998</v>
          </cell>
        </row>
        <row r="2569">
          <cell r="AE2569" t="str">
            <v>EE100773</v>
          </cell>
          <cell r="AF2569">
            <v>0</v>
          </cell>
          <cell r="AG2569">
            <v>2720</v>
          </cell>
          <cell r="AH2569">
            <v>2720</v>
          </cell>
        </row>
        <row r="2570">
          <cell r="AE2570" t="str">
            <v>EE100774</v>
          </cell>
          <cell r="AF2570">
            <v>0</v>
          </cell>
          <cell r="AG2570">
            <v>2720</v>
          </cell>
          <cell r="AH2570">
            <v>2720</v>
          </cell>
        </row>
        <row r="2571">
          <cell r="AE2571" t="str">
            <v xml:space="preserve">E00086871    </v>
          </cell>
          <cell r="AF2571">
            <v>0</v>
          </cell>
          <cell r="AG2571">
            <v>520.5</v>
          </cell>
          <cell r="AH2571">
            <v>260.25</v>
          </cell>
        </row>
        <row r="2572">
          <cell r="AE2572" t="str">
            <v xml:space="preserve">E00086872    </v>
          </cell>
          <cell r="AF2572">
            <v>0</v>
          </cell>
          <cell r="AG2572">
            <v>520.5</v>
          </cell>
          <cell r="AH2572">
            <v>260.25</v>
          </cell>
        </row>
        <row r="2573">
          <cell r="AE2573" t="str">
            <v>EE100625</v>
          </cell>
          <cell r="AF2573">
            <v>0</v>
          </cell>
          <cell r="AG2573">
            <v>2000</v>
          </cell>
          <cell r="AH2573">
            <v>2000</v>
          </cell>
        </row>
        <row r="2574">
          <cell r="AE2574" t="str">
            <v>EE100626</v>
          </cell>
          <cell r="AF2574">
            <v>0</v>
          </cell>
          <cell r="AG2574">
            <v>2000</v>
          </cell>
          <cell r="AH2574">
            <v>2000</v>
          </cell>
        </row>
        <row r="2575">
          <cell r="AE2575" t="str">
            <v>E100877</v>
          </cell>
          <cell r="AF2575">
            <v>8576.3700000000026</v>
          </cell>
          <cell r="AG2575">
            <v>3250</v>
          </cell>
          <cell r="AH2575">
            <v>3250</v>
          </cell>
        </row>
        <row r="2576">
          <cell r="AE2576" t="str">
            <v>64FCYM2</v>
          </cell>
          <cell r="AF2576">
            <v>6913.88</v>
          </cell>
          <cell r="AG2576">
            <v>3275</v>
          </cell>
          <cell r="AH2576">
            <v>3275</v>
          </cell>
        </row>
        <row r="2577">
          <cell r="AE2577" t="str">
            <v>64H7YM2</v>
          </cell>
          <cell r="AF2577">
            <v>6913.88</v>
          </cell>
          <cell r="AG2577">
            <v>3275</v>
          </cell>
          <cell r="AH2577">
            <v>3275</v>
          </cell>
        </row>
        <row r="2578">
          <cell r="AE2578" t="str">
            <v>64J4YM2</v>
          </cell>
          <cell r="AF2578">
            <v>6913.88</v>
          </cell>
          <cell r="AG2578">
            <v>3275</v>
          </cell>
          <cell r="AH2578">
            <v>3275</v>
          </cell>
        </row>
        <row r="2579">
          <cell r="AE2579" t="str">
            <v>E100504</v>
          </cell>
          <cell r="AF2579">
            <v>11572.600000000002</v>
          </cell>
          <cell r="AG2579">
            <v>5177.25</v>
          </cell>
          <cell r="AH2579">
            <v>5177.25</v>
          </cell>
        </row>
        <row r="2580">
          <cell r="AE2580" t="str">
            <v>E100932</v>
          </cell>
          <cell r="AF2580">
            <v>9540.0199999999968</v>
          </cell>
          <cell r="AG2580">
            <v>3615.17</v>
          </cell>
          <cell r="AH2580">
            <v>3615.17</v>
          </cell>
        </row>
        <row r="2581">
          <cell r="AE2581" t="str">
            <v>E100968</v>
          </cell>
          <cell r="AF2581">
            <v>26388.900000000009</v>
          </cell>
          <cell r="AG2581">
            <v>10000</v>
          </cell>
          <cell r="AH2581">
            <v>10000</v>
          </cell>
        </row>
        <row r="2582">
          <cell r="AE2582" t="str">
            <v>E100969</v>
          </cell>
          <cell r="AF2582">
            <v>26388.900000000009</v>
          </cell>
          <cell r="AG2582">
            <v>10000</v>
          </cell>
          <cell r="AH2582">
            <v>10000</v>
          </cell>
        </row>
        <row r="2583">
          <cell r="AE2583" t="str">
            <v>E100970</v>
          </cell>
          <cell r="AF2583">
            <v>26388.900000000009</v>
          </cell>
          <cell r="AG2583">
            <v>10000</v>
          </cell>
          <cell r="AH2583">
            <v>10000</v>
          </cell>
        </row>
        <row r="2584">
          <cell r="AE2584" t="str">
            <v>EE100607</v>
          </cell>
          <cell r="AF2584">
            <v>0</v>
          </cell>
          <cell r="AG2584">
            <v>4586.49</v>
          </cell>
          <cell r="AH2584">
            <v>4586.49</v>
          </cell>
        </row>
        <row r="2585">
          <cell r="AE2585" t="str">
            <v>EE100608</v>
          </cell>
          <cell r="AF2585">
            <v>0</v>
          </cell>
          <cell r="AG2585">
            <v>4586.49</v>
          </cell>
          <cell r="AH2585">
            <v>4586.49</v>
          </cell>
        </row>
        <row r="2586">
          <cell r="AE2586" t="str">
            <v>EE100609</v>
          </cell>
          <cell r="AF2586">
            <v>0</v>
          </cell>
          <cell r="AG2586">
            <v>3378.99</v>
          </cell>
          <cell r="AH2586">
            <v>3378.99</v>
          </cell>
        </row>
        <row r="2587">
          <cell r="AE2587" t="str">
            <v>EE100610</v>
          </cell>
          <cell r="AF2587">
            <v>0</v>
          </cell>
          <cell r="AG2587">
            <v>3378.99</v>
          </cell>
          <cell r="AH2587">
            <v>3378.99</v>
          </cell>
        </row>
        <row r="2588">
          <cell r="AE2588" t="str">
            <v>E100933</v>
          </cell>
          <cell r="AF2588">
            <v>8300.4499999999971</v>
          </cell>
          <cell r="AG2588">
            <v>3145.43</v>
          </cell>
          <cell r="AH2588">
            <v>3145.43</v>
          </cell>
        </row>
        <row r="2589">
          <cell r="AE2589" t="str">
            <v>E100934</v>
          </cell>
          <cell r="AF2589">
            <v>8300.4499999999971</v>
          </cell>
          <cell r="AG2589">
            <v>3145.43</v>
          </cell>
          <cell r="AH2589">
            <v>3145.43</v>
          </cell>
        </row>
        <row r="2590">
          <cell r="AE2590" t="str">
            <v>E100930</v>
          </cell>
          <cell r="AF2590">
            <v>9910.7200000000012</v>
          </cell>
          <cell r="AG2590">
            <v>3755.65</v>
          </cell>
          <cell r="AH2590">
            <v>3755.65</v>
          </cell>
        </row>
        <row r="2591">
          <cell r="AE2591" t="str">
            <v>E100931</v>
          </cell>
          <cell r="AF2591">
            <v>9910.7200000000012</v>
          </cell>
          <cell r="AG2591">
            <v>3755.65</v>
          </cell>
          <cell r="AH2591">
            <v>3755.65</v>
          </cell>
        </row>
        <row r="2592">
          <cell r="AE2592" t="str">
            <v>E100924</v>
          </cell>
          <cell r="AF2592">
            <v>17506.97</v>
          </cell>
          <cell r="AG2592">
            <v>6634.22</v>
          </cell>
          <cell r="AH2592">
            <v>6634.22</v>
          </cell>
        </row>
        <row r="2593">
          <cell r="AE2593" t="str">
            <v>E100838</v>
          </cell>
          <cell r="AF2593">
            <v>0</v>
          </cell>
          <cell r="AG2593">
            <v>15020.86</v>
          </cell>
          <cell r="AH2593">
            <v>15020.86</v>
          </cell>
        </row>
        <row r="2594">
          <cell r="AE2594" t="str">
            <v>EE100616</v>
          </cell>
          <cell r="AF2594">
            <v>0</v>
          </cell>
          <cell r="AG2594">
            <v>2942.9</v>
          </cell>
          <cell r="AH2594">
            <v>2942.9</v>
          </cell>
        </row>
        <row r="2595">
          <cell r="AE2595" t="str">
            <v>E100852</v>
          </cell>
          <cell r="AF2595">
            <v>0</v>
          </cell>
          <cell r="AG2595">
            <v>3673.86</v>
          </cell>
          <cell r="AH2595">
            <v>3673.86</v>
          </cell>
        </row>
        <row r="2596">
          <cell r="AE2596" t="str">
            <v>EE100611</v>
          </cell>
          <cell r="AF2596">
            <v>0</v>
          </cell>
          <cell r="AG2596">
            <v>33872.75</v>
          </cell>
          <cell r="AH2596">
            <v>33872.75</v>
          </cell>
        </row>
        <row r="2597">
          <cell r="AE2597" t="str">
            <v>E100853</v>
          </cell>
          <cell r="AF2597">
            <v>7199.7200000000012</v>
          </cell>
          <cell r="AG2597">
            <v>2728.32</v>
          </cell>
          <cell r="AH2597">
            <v>2728.32</v>
          </cell>
        </row>
        <row r="2598">
          <cell r="AE2598" t="str">
            <v>E100854</v>
          </cell>
          <cell r="AF2598">
            <v>13689.719999999987</v>
          </cell>
          <cell r="AG2598">
            <v>5187.6899999999996</v>
          </cell>
          <cell r="AH2598">
            <v>5187.6899999999996</v>
          </cell>
        </row>
        <row r="2599">
          <cell r="AE2599" t="str">
            <v>E100855</v>
          </cell>
          <cell r="AF2599">
            <v>10233.57</v>
          </cell>
          <cell r="AG2599">
            <v>3877.98</v>
          </cell>
          <cell r="AH2599">
            <v>3877.98</v>
          </cell>
        </row>
        <row r="2600">
          <cell r="AE2600" t="str">
            <v>E100856</v>
          </cell>
          <cell r="AF2600">
            <v>10233.57</v>
          </cell>
          <cell r="AG2600">
            <v>3877.98</v>
          </cell>
          <cell r="AH2600">
            <v>3877.98</v>
          </cell>
        </row>
        <row r="2601">
          <cell r="AE2601" t="str">
            <v>E100857</v>
          </cell>
          <cell r="AF2601">
            <v>10233.57</v>
          </cell>
          <cell r="AG2601">
            <v>3877.98</v>
          </cell>
          <cell r="AH2601">
            <v>3877.98</v>
          </cell>
        </row>
        <row r="2602">
          <cell r="AE2602" t="str">
            <v>E100887</v>
          </cell>
          <cell r="AF2602">
            <v>1367.5999999999995</v>
          </cell>
          <cell r="AG2602">
            <v>518.25</v>
          </cell>
          <cell r="AH2602">
            <v>518.25</v>
          </cell>
        </row>
        <row r="2603">
          <cell r="AE2603" t="str">
            <v>E100705</v>
          </cell>
          <cell r="AF2603">
            <v>1114.92</v>
          </cell>
          <cell r="AG2603">
            <v>422.5</v>
          </cell>
          <cell r="AH2603">
            <v>422.5</v>
          </cell>
        </row>
        <row r="2604">
          <cell r="AE2604" t="str">
            <v>E100706</v>
          </cell>
          <cell r="AF2604">
            <v>1114.92</v>
          </cell>
          <cell r="AG2604">
            <v>422.5</v>
          </cell>
          <cell r="AH2604">
            <v>422.5</v>
          </cell>
        </row>
        <row r="2605">
          <cell r="AE2605" t="str">
            <v>E100923</v>
          </cell>
          <cell r="AF2605">
            <v>3053.2200000000012</v>
          </cell>
          <cell r="AG2605">
            <v>1157.02</v>
          </cell>
          <cell r="AH2605">
            <v>1157.02</v>
          </cell>
        </row>
        <row r="2606">
          <cell r="AE2606" t="str">
            <v>E100858</v>
          </cell>
          <cell r="AF2606">
            <v>900.39999999999782</v>
          </cell>
          <cell r="AG2606">
            <v>1706.03</v>
          </cell>
          <cell r="AH2606">
            <v>1706.03</v>
          </cell>
        </row>
        <row r="2607">
          <cell r="AE2607" t="str">
            <v>E100502</v>
          </cell>
          <cell r="AF2607">
            <v>14513.900000000001</v>
          </cell>
          <cell r="AG2607">
            <v>5500</v>
          </cell>
          <cell r="AH2607">
            <v>5500</v>
          </cell>
        </row>
        <row r="2608">
          <cell r="AE2608" t="str">
            <v>E100503</v>
          </cell>
          <cell r="AF2608">
            <v>14513.900000000001</v>
          </cell>
          <cell r="AG2608">
            <v>5500</v>
          </cell>
          <cell r="AH2608">
            <v>5500</v>
          </cell>
        </row>
        <row r="2609">
          <cell r="AE2609" t="str">
            <v>E100967</v>
          </cell>
          <cell r="AF2609">
            <v>14513.899999999994</v>
          </cell>
          <cell r="AG2609">
            <v>5500</v>
          </cell>
          <cell r="AH2609">
            <v>5500</v>
          </cell>
        </row>
        <row r="2610">
          <cell r="AE2610" t="str">
            <v>ES870139</v>
          </cell>
          <cell r="AF2610">
            <v>0</v>
          </cell>
          <cell r="AG2610">
            <v>1150</v>
          </cell>
          <cell r="AH2610">
            <v>1150</v>
          </cell>
        </row>
        <row r="2611">
          <cell r="AE2611" t="str">
            <v>ESCAN161</v>
          </cell>
          <cell r="AF2611">
            <v>950</v>
          </cell>
          <cell r="AG2611">
            <v>360</v>
          </cell>
          <cell r="AH2611">
            <v>360</v>
          </cell>
        </row>
        <row r="2612">
          <cell r="AE2612" t="str">
            <v>ESCAN162</v>
          </cell>
          <cell r="AF2612">
            <v>950</v>
          </cell>
          <cell r="AG2612">
            <v>360</v>
          </cell>
          <cell r="AH2612">
            <v>360</v>
          </cell>
        </row>
        <row r="2613">
          <cell r="AE2613" t="str">
            <v>ESCAN163</v>
          </cell>
          <cell r="AF2613">
            <v>950</v>
          </cell>
          <cell r="AG2613">
            <v>360</v>
          </cell>
          <cell r="AH2613">
            <v>360</v>
          </cell>
        </row>
        <row r="2614">
          <cell r="AE2614" t="str">
            <v>4D8A801</v>
          </cell>
          <cell r="AF2614">
            <v>142.44</v>
          </cell>
          <cell r="AG2614">
            <v>134.94999999999999</v>
          </cell>
          <cell r="AH2614">
            <v>134.94999999999999</v>
          </cell>
        </row>
        <row r="2615">
          <cell r="AE2615" t="str">
            <v>29ABFBB</v>
          </cell>
          <cell r="AF2615">
            <v>184.09</v>
          </cell>
          <cell r="AG2615">
            <v>174.4</v>
          </cell>
          <cell r="AH2615">
            <v>174.4</v>
          </cell>
        </row>
        <row r="2616">
          <cell r="AE2616" t="str">
            <v>D8E2FCC</v>
          </cell>
          <cell r="AF2616">
            <v>396.9</v>
          </cell>
          <cell r="AG2616">
            <v>150.4</v>
          </cell>
          <cell r="AH2616">
            <v>150.4</v>
          </cell>
        </row>
        <row r="2617">
          <cell r="AE2617" t="str">
            <v>D8E301E</v>
          </cell>
          <cell r="AF2617">
            <v>396.9</v>
          </cell>
          <cell r="AG2617">
            <v>150.4</v>
          </cell>
          <cell r="AH2617">
            <v>150.4</v>
          </cell>
        </row>
        <row r="2618">
          <cell r="AE2618" t="str">
            <v>C0C8BCC</v>
          </cell>
          <cell r="AF2618">
            <v>253.28</v>
          </cell>
          <cell r="AG2618">
            <v>239.95</v>
          </cell>
          <cell r="AH2618">
            <v>239.95</v>
          </cell>
        </row>
        <row r="2619">
          <cell r="AE2619" t="str">
            <v>42600AA</v>
          </cell>
          <cell r="AF2619">
            <v>110.78</v>
          </cell>
          <cell r="AG2619">
            <v>104.95</v>
          </cell>
          <cell r="AH2619">
            <v>104.95</v>
          </cell>
        </row>
        <row r="2620">
          <cell r="AE2620" t="str">
            <v>EE100510</v>
          </cell>
          <cell r="AF2620">
            <v>0</v>
          </cell>
          <cell r="AG2620">
            <v>11750</v>
          </cell>
          <cell r="AH2620">
            <v>11750</v>
          </cell>
        </row>
        <row r="2621">
          <cell r="AE2621" t="str">
            <v>EE100111</v>
          </cell>
          <cell r="AF2621">
            <v>0</v>
          </cell>
          <cell r="AG2621">
            <v>3393.68</v>
          </cell>
          <cell r="AH2621">
            <v>3393.68</v>
          </cell>
        </row>
        <row r="2622">
          <cell r="AE2622" t="str">
            <v>5X02CVG</v>
          </cell>
          <cell r="AF2622">
            <v>913.92000000000007</v>
          </cell>
          <cell r="AG2622">
            <v>346.334</v>
          </cell>
          <cell r="AH2622">
            <v>346.334</v>
          </cell>
        </row>
        <row r="2623">
          <cell r="AE2623" t="str">
            <v>5X0RCQK</v>
          </cell>
          <cell r="AF2623">
            <v>913.92000000000007</v>
          </cell>
          <cell r="AG2623">
            <v>346.334</v>
          </cell>
          <cell r="AH2623">
            <v>346.334</v>
          </cell>
        </row>
        <row r="2624">
          <cell r="AE2624" t="str">
            <v>EP201601</v>
          </cell>
          <cell r="AF2624">
            <v>772.5</v>
          </cell>
          <cell r="AG2624">
            <v>292.74</v>
          </cell>
          <cell r="AH2624">
            <v>292.74</v>
          </cell>
        </row>
        <row r="2625">
          <cell r="AE2625" t="str">
            <v>EPCB1601</v>
          </cell>
          <cell r="AF2625">
            <v>527.22000000000025</v>
          </cell>
          <cell r="AG2625">
            <v>199.79</v>
          </cell>
          <cell r="AH2625">
            <v>199.79</v>
          </cell>
        </row>
        <row r="2626">
          <cell r="AE2626" t="str">
            <v>EPCB1602</v>
          </cell>
          <cell r="AF2626">
            <v>527.22000000000025</v>
          </cell>
          <cell r="AG2626">
            <v>199.79</v>
          </cell>
          <cell r="AH2626">
            <v>199.79</v>
          </cell>
        </row>
        <row r="2627">
          <cell r="AE2627" t="str">
            <v>EPCB1603</v>
          </cell>
          <cell r="AF2627">
            <v>527.22</v>
          </cell>
          <cell r="AG2627">
            <v>199.79</v>
          </cell>
          <cell r="AH2627">
            <v>199.79</v>
          </cell>
        </row>
        <row r="2628">
          <cell r="AE2628" t="str">
            <v>EPCB1604</v>
          </cell>
          <cell r="AF2628">
            <v>527.22</v>
          </cell>
          <cell r="AG2628">
            <v>199.79</v>
          </cell>
          <cell r="AH2628">
            <v>199.79</v>
          </cell>
        </row>
        <row r="2629">
          <cell r="AE2629" t="str">
            <v>EPCB1605</v>
          </cell>
          <cell r="AF2629">
            <v>527.22</v>
          </cell>
          <cell r="AG2629">
            <v>199.79</v>
          </cell>
          <cell r="AH2629">
            <v>199.79</v>
          </cell>
        </row>
        <row r="2630">
          <cell r="AE2630" t="str">
            <v>EP201602</v>
          </cell>
          <cell r="AF2630">
            <v>1179.1500000000005</v>
          </cell>
          <cell r="AG2630">
            <v>446.84</v>
          </cell>
          <cell r="AH2630">
            <v>446.84</v>
          </cell>
        </row>
        <row r="2631">
          <cell r="AE2631" t="str">
            <v>EP201603</v>
          </cell>
          <cell r="AF2631">
            <v>1179.1500000000005</v>
          </cell>
          <cell r="AG2631">
            <v>446.84</v>
          </cell>
          <cell r="AH2631">
            <v>446.84</v>
          </cell>
        </row>
        <row r="2632">
          <cell r="AE2632" t="str">
            <v>EHBC1507</v>
          </cell>
          <cell r="AF2632">
            <v>1442.9300000000003</v>
          </cell>
          <cell r="AG2632">
            <v>546.79999999999995</v>
          </cell>
          <cell r="AH2632">
            <v>546.79999999999995</v>
          </cell>
        </row>
        <row r="2633">
          <cell r="AE2633" t="str">
            <v>EHBC1508</v>
          </cell>
          <cell r="AF2633">
            <v>1442.9300000000003</v>
          </cell>
          <cell r="AG2633">
            <v>546.79999999999995</v>
          </cell>
          <cell r="AH2633">
            <v>546.79999999999995</v>
          </cell>
        </row>
        <row r="2634">
          <cell r="AE2634" t="str">
            <v>E0008589</v>
          </cell>
          <cell r="AF2634">
            <v>0</v>
          </cell>
          <cell r="AG2634">
            <v>1453.13</v>
          </cell>
          <cell r="AH2634">
            <v>1453.13</v>
          </cell>
        </row>
        <row r="2635">
          <cell r="AE2635" t="str">
            <v>EE100529</v>
          </cell>
          <cell r="AF2635">
            <v>0</v>
          </cell>
          <cell r="AG2635">
            <v>839.25</v>
          </cell>
          <cell r="AH2635">
            <v>839.25</v>
          </cell>
        </row>
        <row r="2636">
          <cell r="AE2636" t="str">
            <v>EE100530</v>
          </cell>
          <cell r="AF2636">
            <v>0</v>
          </cell>
          <cell r="AG2636">
            <v>839.25</v>
          </cell>
          <cell r="AH2636">
            <v>839.25</v>
          </cell>
        </row>
        <row r="2637">
          <cell r="AE2637" t="str">
            <v>EE100531</v>
          </cell>
          <cell r="AF2637">
            <v>0</v>
          </cell>
          <cell r="AG2637">
            <v>839.25</v>
          </cell>
          <cell r="AH2637">
            <v>839.25</v>
          </cell>
        </row>
        <row r="2638">
          <cell r="AE2638" t="str">
            <v>EE100532</v>
          </cell>
          <cell r="AF2638">
            <v>0</v>
          </cell>
          <cell r="AG2638">
            <v>839.25</v>
          </cell>
          <cell r="AH2638">
            <v>839.25</v>
          </cell>
        </row>
        <row r="2639">
          <cell r="AE2639" t="str">
            <v>E0008259</v>
          </cell>
          <cell r="AF2639">
            <v>0</v>
          </cell>
          <cell r="AG2639">
            <v>1107.3800000000001</v>
          </cell>
          <cell r="AH2639">
            <v>1107.3800000000001</v>
          </cell>
        </row>
        <row r="2640">
          <cell r="AE2640" t="str">
            <v>E0009660</v>
          </cell>
          <cell r="AF2640">
            <v>0</v>
          </cell>
          <cell r="AG2640">
            <v>132.5</v>
          </cell>
          <cell r="AH2640">
            <v>132.5</v>
          </cell>
        </row>
        <row r="2641">
          <cell r="AE2641" t="str">
            <v>6121HYD</v>
          </cell>
          <cell r="AF2641">
            <v>614.02</v>
          </cell>
          <cell r="AG2641">
            <v>232.68</v>
          </cell>
          <cell r="AH2641">
            <v>232.68</v>
          </cell>
        </row>
        <row r="2642">
          <cell r="AE2642" t="str">
            <v>6121HYF</v>
          </cell>
          <cell r="AF2642">
            <v>614.02</v>
          </cell>
          <cell r="AG2642">
            <v>232.68</v>
          </cell>
          <cell r="AH2642">
            <v>232.68</v>
          </cell>
        </row>
        <row r="2643">
          <cell r="AE2643" t="str">
            <v>6121HYG</v>
          </cell>
          <cell r="AF2643">
            <v>614.02</v>
          </cell>
          <cell r="AG2643">
            <v>232.68</v>
          </cell>
          <cell r="AH2643">
            <v>232.68</v>
          </cell>
        </row>
        <row r="2644">
          <cell r="AE2644" t="str">
            <v>6121HYH</v>
          </cell>
          <cell r="AF2644">
            <v>614.02</v>
          </cell>
          <cell r="AG2644">
            <v>232.68</v>
          </cell>
          <cell r="AH2644">
            <v>232.68</v>
          </cell>
        </row>
        <row r="2645">
          <cell r="AE2645" t="str">
            <v>6121HYJ</v>
          </cell>
          <cell r="AF2645">
            <v>614.02</v>
          </cell>
          <cell r="AG2645">
            <v>232.68</v>
          </cell>
          <cell r="AH2645">
            <v>232.68</v>
          </cell>
        </row>
        <row r="2646">
          <cell r="AE2646" t="str">
            <v>6121HYK</v>
          </cell>
          <cell r="AF2646">
            <v>614.02</v>
          </cell>
          <cell r="AG2646">
            <v>232.68</v>
          </cell>
          <cell r="AH2646">
            <v>232.68</v>
          </cell>
        </row>
        <row r="2647">
          <cell r="AE2647" t="str">
            <v>6121HYL</v>
          </cell>
          <cell r="AF2647">
            <v>614.02</v>
          </cell>
          <cell r="AG2647">
            <v>232.68</v>
          </cell>
          <cell r="AH2647">
            <v>232.68</v>
          </cell>
        </row>
        <row r="2648">
          <cell r="AE2648" t="str">
            <v>6121HYM</v>
          </cell>
          <cell r="AF2648">
            <v>614.02</v>
          </cell>
          <cell r="AG2648">
            <v>232.68</v>
          </cell>
          <cell r="AH2648">
            <v>232.68</v>
          </cell>
        </row>
        <row r="2649">
          <cell r="AE2649" t="str">
            <v>6121HYN</v>
          </cell>
          <cell r="AF2649">
            <v>614.02</v>
          </cell>
          <cell r="AG2649">
            <v>232.68</v>
          </cell>
          <cell r="AH2649">
            <v>232.68</v>
          </cell>
        </row>
        <row r="2650">
          <cell r="AE2650" t="str">
            <v>6121HYP</v>
          </cell>
          <cell r="AF2650">
            <v>614.02</v>
          </cell>
          <cell r="AG2650">
            <v>232.68</v>
          </cell>
          <cell r="AH2650">
            <v>232.68</v>
          </cell>
        </row>
        <row r="2651">
          <cell r="AE2651" t="str">
            <v>FSSC001</v>
          </cell>
          <cell r="AF2651">
            <v>562.72000000000025</v>
          </cell>
          <cell r="AG2651">
            <v>213.245</v>
          </cell>
          <cell r="AH2651">
            <v>213.245</v>
          </cell>
        </row>
        <row r="2652">
          <cell r="AE2652" t="str">
            <v>FSSC002</v>
          </cell>
          <cell r="AF2652">
            <v>562.72000000000025</v>
          </cell>
          <cell r="AG2652">
            <v>213.245</v>
          </cell>
          <cell r="AH2652">
            <v>213.245</v>
          </cell>
        </row>
        <row r="2653">
          <cell r="AE2653" t="str">
            <v>FSSC003</v>
          </cell>
          <cell r="AF2653">
            <v>562.72000000000025</v>
          </cell>
          <cell r="AG2653">
            <v>213.245</v>
          </cell>
          <cell r="AH2653">
            <v>213.245</v>
          </cell>
        </row>
        <row r="2654">
          <cell r="AE2654" t="str">
            <v>FSSC004</v>
          </cell>
          <cell r="AF2654">
            <v>562.72000000000025</v>
          </cell>
          <cell r="AG2654">
            <v>213.245</v>
          </cell>
          <cell r="AH2654">
            <v>213.245</v>
          </cell>
        </row>
        <row r="2655">
          <cell r="AE2655" t="str">
            <v>FSSC005</v>
          </cell>
          <cell r="AF2655">
            <v>562.72000000000025</v>
          </cell>
          <cell r="AG2655">
            <v>213.245</v>
          </cell>
          <cell r="AH2655">
            <v>213.245</v>
          </cell>
        </row>
        <row r="2656">
          <cell r="AE2656" t="str">
            <v>FSSC006</v>
          </cell>
          <cell r="AF2656">
            <v>562.72000000000025</v>
          </cell>
          <cell r="AG2656">
            <v>213.245</v>
          </cell>
          <cell r="AH2656">
            <v>213.245</v>
          </cell>
        </row>
        <row r="2657">
          <cell r="AE2657" t="str">
            <v>FSSC007</v>
          </cell>
          <cell r="AF2657">
            <v>562.72000000000025</v>
          </cell>
          <cell r="AG2657">
            <v>213.245</v>
          </cell>
          <cell r="AH2657">
            <v>213.245</v>
          </cell>
        </row>
        <row r="2658">
          <cell r="AE2658" t="str">
            <v>FSSC008</v>
          </cell>
          <cell r="AF2658">
            <v>562.72000000000025</v>
          </cell>
          <cell r="AG2658">
            <v>213.245</v>
          </cell>
          <cell r="AH2658">
            <v>213.245</v>
          </cell>
        </row>
        <row r="2659">
          <cell r="AE2659" t="str">
            <v>FSSC009</v>
          </cell>
          <cell r="AF2659">
            <v>562.72000000000025</v>
          </cell>
          <cell r="AG2659">
            <v>213.245</v>
          </cell>
          <cell r="AH2659">
            <v>213.245</v>
          </cell>
        </row>
        <row r="2660">
          <cell r="AE2660" t="str">
            <v>FSSC010</v>
          </cell>
          <cell r="AF2660">
            <v>562.72000000000025</v>
          </cell>
          <cell r="AG2660">
            <v>213.245</v>
          </cell>
          <cell r="AH2660">
            <v>213.245</v>
          </cell>
        </row>
        <row r="2661">
          <cell r="AE2661" t="str">
            <v>FSSC011</v>
          </cell>
          <cell r="AF2661">
            <v>562.72000000000025</v>
          </cell>
          <cell r="AG2661">
            <v>213.245</v>
          </cell>
          <cell r="AH2661">
            <v>213.245</v>
          </cell>
        </row>
        <row r="2662">
          <cell r="AE2662" t="str">
            <v>FSSC012</v>
          </cell>
          <cell r="AF2662">
            <v>562.72000000000025</v>
          </cell>
          <cell r="AG2662">
            <v>213.245</v>
          </cell>
          <cell r="AH2662">
            <v>213.245</v>
          </cell>
        </row>
        <row r="2663">
          <cell r="AE2663" t="str">
            <v>FSSC013</v>
          </cell>
          <cell r="AF2663">
            <v>562.72000000000025</v>
          </cell>
          <cell r="AG2663">
            <v>213.245</v>
          </cell>
          <cell r="AH2663">
            <v>213.245</v>
          </cell>
        </row>
        <row r="2664">
          <cell r="AE2664" t="str">
            <v>FSSC014</v>
          </cell>
          <cell r="AF2664">
            <v>562.72000000000025</v>
          </cell>
          <cell r="AG2664">
            <v>213.245</v>
          </cell>
          <cell r="AH2664">
            <v>213.245</v>
          </cell>
        </row>
        <row r="2665">
          <cell r="AE2665" t="str">
            <v>FSSC015</v>
          </cell>
          <cell r="AF2665">
            <v>562.72000000000025</v>
          </cell>
          <cell r="AG2665">
            <v>213.245</v>
          </cell>
          <cell r="AH2665">
            <v>213.245</v>
          </cell>
        </row>
        <row r="2666">
          <cell r="AE2666" t="str">
            <v>FSSC016</v>
          </cell>
          <cell r="AF2666">
            <v>562.72000000000025</v>
          </cell>
          <cell r="AG2666">
            <v>213.245</v>
          </cell>
          <cell r="AH2666">
            <v>213.245</v>
          </cell>
        </row>
        <row r="2667">
          <cell r="AE2667" t="str">
            <v>FSSC017</v>
          </cell>
          <cell r="AF2667">
            <v>562.72000000000025</v>
          </cell>
          <cell r="AG2667">
            <v>213.245</v>
          </cell>
          <cell r="AH2667">
            <v>213.245</v>
          </cell>
        </row>
        <row r="2668">
          <cell r="AE2668" t="str">
            <v>FSSC018</v>
          </cell>
          <cell r="AF2668">
            <v>562.72000000000025</v>
          </cell>
          <cell r="AG2668">
            <v>213.245</v>
          </cell>
          <cell r="AH2668">
            <v>213.245</v>
          </cell>
        </row>
        <row r="2669">
          <cell r="AE2669" t="str">
            <v>FSSC019</v>
          </cell>
          <cell r="AF2669">
            <v>562.72000000000025</v>
          </cell>
          <cell r="AG2669">
            <v>213.245</v>
          </cell>
          <cell r="AH2669">
            <v>213.245</v>
          </cell>
        </row>
        <row r="2670">
          <cell r="AE2670" t="str">
            <v>FSSC020</v>
          </cell>
          <cell r="AF2670">
            <v>562.72000000000025</v>
          </cell>
          <cell r="AG2670">
            <v>213.245</v>
          </cell>
          <cell r="AH2670">
            <v>213.245</v>
          </cell>
        </row>
        <row r="2671">
          <cell r="AE2671" t="str">
            <v>FSSC021</v>
          </cell>
          <cell r="AF2671">
            <v>562.72000000000025</v>
          </cell>
          <cell r="AG2671">
            <v>213.245</v>
          </cell>
          <cell r="AH2671">
            <v>213.245</v>
          </cell>
        </row>
        <row r="2672">
          <cell r="AE2672" t="str">
            <v>FSSC022</v>
          </cell>
          <cell r="AF2672">
            <v>562.72000000000025</v>
          </cell>
          <cell r="AG2672">
            <v>213.245</v>
          </cell>
          <cell r="AH2672">
            <v>213.245</v>
          </cell>
        </row>
        <row r="2673">
          <cell r="AE2673" t="str">
            <v>FSSC023</v>
          </cell>
          <cell r="AF2673">
            <v>562.72000000000025</v>
          </cell>
          <cell r="AG2673">
            <v>213.245</v>
          </cell>
          <cell r="AH2673">
            <v>213.245</v>
          </cell>
        </row>
        <row r="2674">
          <cell r="AE2674" t="str">
            <v>FSSC024</v>
          </cell>
          <cell r="AF2674">
            <v>562.72000000000025</v>
          </cell>
          <cell r="AG2674">
            <v>213.245</v>
          </cell>
          <cell r="AH2674">
            <v>213.245</v>
          </cell>
        </row>
        <row r="2675">
          <cell r="AE2675" t="str">
            <v>FSSC025</v>
          </cell>
          <cell r="AF2675">
            <v>562.72000000000025</v>
          </cell>
          <cell r="AG2675">
            <v>213.245</v>
          </cell>
          <cell r="AH2675">
            <v>213.245</v>
          </cell>
        </row>
        <row r="2676">
          <cell r="AE2676" t="str">
            <v>FSSC026</v>
          </cell>
          <cell r="AF2676">
            <v>562.72000000000025</v>
          </cell>
          <cell r="AG2676">
            <v>213.245</v>
          </cell>
          <cell r="AH2676">
            <v>213.245</v>
          </cell>
        </row>
        <row r="2677">
          <cell r="AE2677" t="str">
            <v>FSSC027</v>
          </cell>
          <cell r="AF2677">
            <v>562.72000000000025</v>
          </cell>
          <cell r="AG2677">
            <v>213.245</v>
          </cell>
          <cell r="AH2677">
            <v>213.245</v>
          </cell>
        </row>
        <row r="2678">
          <cell r="AE2678" t="str">
            <v>FSSC028</v>
          </cell>
          <cell r="AF2678">
            <v>562.72000000000025</v>
          </cell>
          <cell r="AG2678">
            <v>213.245</v>
          </cell>
          <cell r="AH2678">
            <v>213.245</v>
          </cell>
        </row>
        <row r="2679">
          <cell r="AE2679" t="str">
            <v>FSSC029</v>
          </cell>
          <cell r="AF2679">
            <v>562.72000000000025</v>
          </cell>
          <cell r="AG2679">
            <v>213.245</v>
          </cell>
          <cell r="AH2679">
            <v>213.245</v>
          </cell>
        </row>
        <row r="2680">
          <cell r="AE2680" t="str">
            <v>FSSC030</v>
          </cell>
          <cell r="AF2680">
            <v>562.72000000000025</v>
          </cell>
          <cell r="AG2680">
            <v>213.245</v>
          </cell>
          <cell r="AH2680">
            <v>213.245</v>
          </cell>
        </row>
        <row r="2681">
          <cell r="AE2681" t="str">
            <v>FSSC031</v>
          </cell>
          <cell r="AF2681">
            <v>562.72000000000025</v>
          </cell>
          <cell r="AG2681">
            <v>213.245</v>
          </cell>
          <cell r="AH2681">
            <v>213.245</v>
          </cell>
        </row>
        <row r="2682">
          <cell r="AE2682" t="str">
            <v>FSSC032</v>
          </cell>
          <cell r="AF2682">
            <v>562.72000000000025</v>
          </cell>
          <cell r="AG2682">
            <v>213.245</v>
          </cell>
          <cell r="AH2682">
            <v>213.245</v>
          </cell>
        </row>
        <row r="2683">
          <cell r="AE2683" t="str">
            <v>FSSC033</v>
          </cell>
          <cell r="AF2683">
            <v>562.72000000000025</v>
          </cell>
          <cell r="AG2683">
            <v>213.245</v>
          </cell>
          <cell r="AH2683">
            <v>213.245</v>
          </cell>
        </row>
        <row r="2684">
          <cell r="AE2684" t="str">
            <v>FSSC034</v>
          </cell>
          <cell r="AF2684">
            <v>562.72000000000025</v>
          </cell>
          <cell r="AG2684">
            <v>213.245</v>
          </cell>
          <cell r="AH2684">
            <v>213.245</v>
          </cell>
        </row>
        <row r="2685">
          <cell r="AE2685" t="str">
            <v>FSSC035</v>
          </cell>
          <cell r="AF2685">
            <v>562.72000000000025</v>
          </cell>
          <cell r="AG2685">
            <v>213.245</v>
          </cell>
          <cell r="AH2685">
            <v>213.245</v>
          </cell>
        </row>
        <row r="2686">
          <cell r="AE2686" t="str">
            <v>FSSC036</v>
          </cell>
          <cell r="AF2686">
            <v>562.72000000000025</v>
          </cell>
          <cell r="AG2686">
            <v>213.245</v>
          </cell>
          <cell r="AH2686">
            <v>213.245</v>
          </cell>
        </row>
        <row r="2687">
          <cell r="AE2687" t="str">
            <v>FSSC037</v>
          </cell>
          <cell r="AF2687">
            <v>562.72000000000025</v>
          </cell>
          <cell r="AG2687">
            <v>213.245</v>
          </cell>
          <cell r="AH2687">
            <v>213.245</v>
          </cell>
        </row>
        <row r="2688">
          <cell r="AE2688" t="str">
            <v>FSSC038</v>
          </cell>
          <cell r="AF2688">
            <v>562.72000000000025</v>
          </cell>
          <cell r="AG2688">
            <v>213.245</v>
          </cell>
          <cell r="AH2688">
            <v>213.245</v>
          </cell>
        </row>
        <row r="2689">
          <cell r="AE2689" t="str">
            <v>FSSC039</v>
          </cell>
          <cell r="AF2689">
            <v>562.72000000000025</v>
          </cell>
          <cell r="AG2689">
            <v>213.245</v>
          </cell>
          <cell r="AH2689">
            <v>213.245</v>
          </cell>
        </row>
        <row r="2690">
          <cell r="AE2690" t="str">
            <v>FSSC040</v>
          </cell>
          <cell r="AF2690">
            <v>562.72000000000025</v>
          </cell>
          <cell r="AG2690">
            <v>213.245</v>
          </cell>
          <cell r="AH2690">
            <v>213.245</v>
          </cell>
        </row>
        <row r="2691">
          <cell r="AE2691" t="str">
            <v>FSSC041</v>
          </cell>
          <cell r="AF2691">
            <v>562.72000000000025</v>
          </cell>
          <cell r="AG2691">
            <v>213.245</v>
          </cell>
          <cell r="AH2691">
            <v>213.245</v>
          </cell>
        </row>
        <row r="2692">
          <cell r="AE2692" t="str">
            <v>FSSC042</v>
          </cell>
          <cell r="AF2692">
            <v>562.72000000000025</v>
          </cell>
          <cell r="AG2692">
            <v>213.245</v>
          </cell>
          <cell r="AH2692">
            <v>213.245</v>
          </cell>
        </row>
        <row r="2693">
          <cell r="AE2693" t="str">
            <v>FSSC043</v>
          </cell>
          <cell r="AF2693">
            <v>562.72000000000025</v>
          </cell>
          <cell r="AG2693">
            <v>213.245</v>
          </cell>
          <cell r="AH2693">
            <v>213.245</v>
          </cell>
        </row>
        <row r="2694">
          <cell r="AE2694" t="str">
            <v>FSSC044</v>
          </cell>
          <cell r="AF2694">
            <v>562.72000000000025</v>
          </cell>
          <cell r="AG2694">
            <v>213.245</v>
          </cell>
          <cell r="AH2694">
            <v>213.245</v>
          </cell>
        </row>
        <row r="2695">
          <cell r="AE2695" t="str">
            <v>FSSC045</v>
          </cell>
          <cell r="AF2695">
            <v>562.70000000000005</v>
          </cell>
          <cell r="AG2695">
            <v>213.23599999999999</v>
          </cell>
          <cell r="AH2695">
            <v>213.23599999999999</v>
          </cell>
        </row>
        <row r="2696">
          <cell r="AE2696" t="str">
            <v>EE100675</v>
          </cell>
          <cell r="AF2696">
            <v>0</v>
          </cell>
          <cell r="AG2696">
            <v>1000</v>
          </cell>
          <cell r="AH2696">
            <v>1000</v>
          </cell>
        </row>
        <row r="2697">
          <cell r="AE2697" t="str">
            <v>EE100105</v>
          </cell>
          <cell r="AF2697">
            <v>0</v>
          </cell>
          <cell r="AG2697">
            <v>2488.8000000000002</v>
          </cell>
          <cell r="AH2697">
            <v>2488.8000000000002</v>
          </cell>
        </row>
        <row r="2698">
          <cell r="AE2698" t="str">
            <v>EE100106</v>
          </cell>
          <cell r="AF2698">
            <v>0</v>
          </cell>
          <cell r="AG2698">
            <v>2488.8000000000002</v>
          </cell>
          <cell r="AH2698">
            <v>2488.8000000000002</v>
          </cell>
        </row>
        <row r="2699">
          <cell r="AE2699" t="str">
            <v>EE100107</v>
          </cell>
          <cell r="AF2699">
            <v>0</v>
          </cell>
          <cell r="AG2699">
            <v>2488.8000000000002</v>
          </cell>
          <cell r="AH2699">
            <v>2488.8000000000002</v>
          </cell>
        </row>
        <row r="2700">
          <cell r="AE2700" t="str">
            <v xml:space="preserve">EE1001081    </v>
          </cell>
          <cell r="AF2700">
            <v>0</v>
          </cell>
          <cell r="AG2700">
            <v>2488.8000000000002</v>
          </cell>
          <cell r="AH2700">
            <v>1244.4000000000001</v>
          </cell>
        </row>
        <row r="2701">
          <cell r="AE2701" t="str">
            <v xml:space="preserve">EE1001082    </v>
          </cell>
          <cell r="AF2701">
            <v>0</v>
          </cell>
          <cell r="AG2701">
            <v>2488.8000000000002</v>
          </cell>
          <cell r="AH2701">
            <v>1244.4000000000001</v>
          </cell>
        </row>
        <row r="2702">
          <cell r="AE2702" t="str">
            <v>EE100109</v>
          </cell>
          <cell r="AF2702">
            <v>0</v>
          </cell>
          <cell r="AG2702">
            <v>2488.8000000000002</v>
          </cell>
          <cell r="AH2702">
            <v>2488.8000000000002</v>
          </cell>
        </row>
        <row r="2703">
          <cell r="AE2703" t="str">
            <v>E100920</v>
          </cell>
          <cell r="AF2703">
            <v>1624.7000000000007</v>
          </cell>
          <cell r="AG2703">
            <v>615.67999999999995</v>
          </cell>
          <cell r="AH2703">
            <v>615.67999999999995</v>
          </cell>
        </row>
        <row r="2704">
          <cell r="AE2704" t="str">
            <v>E100921</v>
          </cell>
          <cell r="AF2704">
            <v>1624.7000000000007</v>
          </cell>
          <cell r="AG2704">
            <v>615.67999999999995</v>
          </cell>
          <cell r="AH2704">
            <v>615.67999999999995</v>
          </cell>
        </row>
        <row r="2705">
          <cell r="AE2705" t="str">
            <v>E100935</v>
          </cell>
          <cell r="AF2705">
            <v>2162.7100000000009</v>
          </cell>
          <cell r="AG2705">
            <v>819.55</v>
          </cell>
          <cell r="AH2705">
            <v>819.55</v>
          </cell>
        </row>
        <row r="2706">
          <cell r="AE2706" t="str">
            <v>E100936</v>
          </cell>
          <cell r="AF2706">
            <v>2162.7100000000009</v>
          </cell>
          <cell r="AG2706">
            <v>819.55</v>
          </cell>
          <cell r="AH2706">
            <v>819.55</v>
          </cell>
        </row>
        <row r="2707">
          <cell r="AE2707" t="str">
            <v>E100939</v>
          </cell>
          <cell r="AF2707">
            <v>3016.25</v>
          </cell>
          <cell r="AG2707">
            <v>1143</v>
          </cell>
          <cell r="AH2707">
            <v>1143</v>
          </cell>
        </row>
        <row r="2708">
          <cell r="AE2708" t="str">
            <v>E100941</v>
          </cell>
          <cell r="AF2708">
            <v>2188.4500000000007</v>
          </cell>
          <cell r="AG2708">
            <v>979.05</v>
          </cell>
          <cell r="AH2708">
            <v>979.05</v>
          </cell>
        </row>
        <row r="2709">
          <cell r="AE2709" t="str">
            <v>E100942</v>
          </cell>
          <cell r="AF2709">
            <v>2188.4500000000007</v>
          </cell>
          <cell r="AG2709">
            <v>979.05</v>
          </cell>
          <cell r="AH2709">
            <v>979.05</v>
          </cell>
        </row>
        <row r="2710">
          <cell r="AE2710" t="str">
            <v>E100947</v>
          </cell>
          <cell r="AF2710">
            <v>23090.26999999999</v>
          </cell>
          <cell r="AG2710">
            <v>8750</v>
          </cell>
          <cell r="AH2710">
            <v>8750</v>
          </cell>
        </row>
        <row r="2711">
          <cell r="AE2711" t="str">
            <v>E100948</v>
          </cell>
          <cell r="AF2711">
            <v>23090.26999999999</v>
          </cell>
          <cell r="AG2711">
            <v>8750</v>
          </cell>
          <cell r="AH2711">
            <v>8750</v>
          </cell>
        </row>
        <row r="2712">
          <cell r="AE2712" t="str">
            <v>E100949</v>
          </cell>
          <cell r="AF2712">
            <v>4398.1500000000015</v>
          </cell>
          <cell r="AG2712">
            <v>1666.67</v>
          </cell>
          <cell r="AH2712">
            <v>1666.67</v>
          </cell>
        </row>
        <row r="2713">
          <cell r="AE2713" t="str">
            <v>E100950</v>
          </cell>
          <cell r="AF2713">
            <v>4398.1500000000015</v>
          </cell>
          <cell r="AG2713">
            <v>1666.67</v>
          </cell>
          <cell r="AH2713">
            <v>1666.67</v>
          </cell>
        </row>
        <row r="2714">
          <cell r="AE2714" t="str">
            <v>E100951</v>
          </cell>
          <cell r="AF2714">
            <v>4398.1500000000015</v>
          </cell>
          <cell r="AG2714">
            <v>1666.67</v>
          </cell>
          <cell r="AH2714">
            <v>1666.67</v>
          </cell>
        </row>
        <row r="2715">
          <cell r="AE2715" t="str">
            <v>E100952</v>
          </cell>
          <cell r="AF2715">
            <v>4398.1500000000015</v>
          </cell>
          <cell r="AG2715">
            <v>1666.67</v>
          </cell>
          <cell r="AH2715">
            <v>1666.67</v>
          </cell>
        </row>
        <row r="2716">
          <cell r="AE2716" t="str">
            <v>E100953</v>
          </cell>
          <cell r="AF2716">
            <v>4398.1500000000015</v>
          </cell>
          <cell r="AG2716">
            <v>1666.67</v>
          </cell>
          <cell r="AH2716">
            <v>1666.67</v>
          </cell>
        </row>
        <row r="2717">
          <cell r="AE2717" t="str">
            <v>E100954</v>
          </cell>
          <cell r="AF2717">
            <v>4398.1500000000015</v>
          </cell>
          <cell r="AG2717">
            <v>1666.67</v>
          </cell>
          <cell r="AH2717">
            <v>1666.67</v>
          </cell>
        </row>
        <row r="2718">
          <cell r="AE2718" t="str">
            <v>E100955</v>
          </cell>
          <cell r="AF2718">
            <v>4398.1500000000015</v>
          </cell>
          <cell r="AG2718">
            <v>1666.67</v>
          </cell>
          <cell r="AH2718">
            <v>1666.67</v>
          </cell>
        </row>
        <row r="2719">
          <cell r="AE2719" t="str">
            <v>E100956</v>
          </cell>
          <cell r="AF2719">
            <v>4398.1500000000015</v>
          </cell>
          <cell r="AG2719">
            <v>1666.67</v>
          </cell>
          <cell r="AH2719">
            <v>1666.67</v>
          </cell>
        </row>
        <row r="2720">
          <cell r="AE2720" t="str">
            <v>E100957</v>
          </cell>
          <cell r="AF2720">
            <v>4398.1500000000015</v>
          </cell>
          <cell r="AG2720">
            <v>1666.67</v>
          </cell>
          <cell r="AH2720">
            <v>1666.67</v>
          </cell>
        </row>
        <row r="2721">
          <cell r="AE2721" t="str">
            <v>E100958</v>
          </cell>
          <cell r="AF2721">
            <v>4398.1500000000015</v>
          </cell>
          <cell r="AG2721">
            <v>1666.67</v>
          </cell>
          <cell r="AH2721">
            <v>1666.67</v>
          </cell>
        </row>
        <row r="2722">
          <cell r="AE2722" t="str">
            <v>E100959</v>
          </cell>
          <cell r="AF2722">
            <v>4398.1500000000015</v>
          </cell>
          <cell r="AG2722">
            <v>1666.67</v>
          </cell>
          <cell r="AH2722">
            <v>1666.67</v>
          </cell>
        </row>
        <row r="2723">
          <cell r="AE2723" t="str">
            <v>E100960</v>
          </cell>
          <cell r="AF2723">
            <v>4398.1500000000015</v>
          </cell>
          <cell r="AG2723">
            <v>1666.67</v>
          </cell>
          <cell r="AH2723">
            <v>1666.67</v>
          </cell>
        </row>
        <row r="2724">
          <cell r="AE2724" t="str">
            <v>EE100584</v>
          </cell>
          <cell r="AF2724">
            <v>0</v>
          </cell>
          <cell r="AG2724">
            <v>4208.2</v>
          </cell>
          <cell r="AH2724">
            <v>4208.2</v>
          </cell>
        </row>
        <row r="2725">
          <cell r="AE2725" t="str">
            <v>EE100585</v>
          </cell>
          <cell r="AF2725">
            <v>0</v>
          </cell>
          <cell r="AG2725">
            <v>4208.2</v>
          </cell>
          <cell r="AH2725">
            <v>4208.2</v>
          </cell>
        </row>
        <row r="2726">
          <cell r="AE2726" t="str">
            <v>EE100586</v>
          </cell>
          <cell r="AF2726">
            <v>0</v>
          </cell>
          <cell r="AG2726">
            <v>4208.2</v>
          </cell>
          <cell r="AH2726">
            <v>4208.2</v>
          </cell>
        </row>
        <row r="2727">
          <cell r="AE2727" t="str">
            <v>EE100659</v>
          </cell>
          <cell r="AF2727">
            <v>0</v>
          </cell>
          <cell r="AG2727">
            <v>1084.75</v>
          </cell>
          <cell r="AH2727">
            <v>1084.75</v>
          </cell>
        </row>
        <row r="2728">
          <cell r="AE2728" t="str">
            <v>EE100660</v>
          </cell>
          <cell r="AF2728">
            <v>0</v>
          </cell>
          <cell r="AG2728">
            <v>1084.75</v>
          </cell>
          <cell r="AH2728">
            <v>1084.75</v>
          </cell>
        </row>
        <row r="2729">
          <cell r="AE2729" t="str">
            <v>EE100627</v>
          </cell>
          <cell r="AF2729">
            <v>0</v>
          </cell>
          <cell r="AG2729">
            <v>1816.2</v>
          </cell>
          <cell r="AH2729">
            <v>1816.2</v>
          </cell>
        </row>
        <row r="2730">
          <cell r="AE2730" t="str">
            <v>E100874</v>
          </cell>
          <cell r="AF2730">
            <v>3694.4500000000007</v>
          </cell>
          <cell r="AG2730">
            <v>1400</v>
          </cell>
          <cell r="AH2730">
            <v>1400</v>
          </cell>
        </row>
        <row r="2731">
          <cell r="AE2731" t="str">
            <v>E100875</v>
          </cell>
          <cell r="AF2731">
            <v>3694.4500000000007</v>
          </cell>
          <cell r="AG2731">
            <v>1400</v>
          </cell>
          <cell r="AH2731">
            <v>1400</v>
          </cell>
        </row>
        <row r="2732">
          <cell r="AE2732" t="str">
            <v>E100876</v>
          </cell>
          <cell r="AF2732">
            <v>3694.4500000000007</v>
          </cell>
          <cell r="AG2732">
            <v>1400</v>
          </cell>
          <cell r="AH2732">
            <v>1400</v>
          </cell>
        </row>
        <row r="2733">
          <cell r="AE2733" t="str">
            <v>E0008465</v>
          </cell>
          <cell r="AF2733">
            <v>0</v>
          </cell>
          <cell r="AG2733">
            <v>10900</v>
          </cell>
          <cell r="AH2733">
            <v>10900</v>
          </cell>
        </row>
        <row r="2734">
          <cell r="AE2734" t="str">
            <v>2017026</v>
          </cell>
          <cell r="AF2734">
            <v>960.14999999999986</v>
          </cell>
          <cell r="AG2734">
            <v>363.85</v>
          </cell>
          <cell r="AH2734">
            <v>363.85</v>
          </cell>
        </row>
        <row r="2735">
          <cell r="AE2735" t="str">
            <v>ES201601</v>
          </cell>
          <cell r="AF2735">
            <v>897.23000000000047</v>
          </cell>
          <cell r="AG2735">
            <v>340</v>
          </cell>
          <cell r="AH2735">
            <v>340</v>
          </cell>
        </row>
        <row r="2736">
          <cell r="AE2736" t="str">
            <v>ES201602</v>
          </cell>
          <cell r="AF2736">
            <v>897.23000000000047</v>
          </cell>
          <cell r="AG2736">
            <v>340</v>
          </cell>
          <cell r="AH2736">
            <v>340</v>
          </cell>
        </row>
        <row r="2737">
          <cell r="AE2737" t="str">
            <v>ESCAN151</v>
          </cell>
          <cell r="AF2737">
            <v>179.4399999999996</v>
          </cell>
          <cell r="AG2737">
            <v>340</v>
          </cell>
          <cell r="AH2737">
            <v>340</v>
          </cell>
        </row>
        <row r="2738">
          <cell r="AE2738" t="str">
            <v>ESCAN152</v>
          </cell>
          <cell r="AF2738">
            <v>179.4399999999996</v>
          </cell>
          <cell r="AG2738">
            <v>340</v>
          </cell>
          <cell r="AH2738">
            <v>340</v>
          </cell>
        </row>
        <row r="2739">
          <cell r="AE2739" t="str">
            <v>EHL00295</v>
          </cell>
          <cell r="AF2739">
            <v>0</v>
          </cell>
          <cell r="AG2739">
            <v>595</v>
          </cell>
          <cell r="AH2739">
            <v>595</v>
          </cell>
        </row>
        <row r="2740">
          <cell r="AE2740" t="str">
            <v>ER9YDP88</v>
          </cell>
          <cell r="AF2740">
            <v>0</v>
          </cell>
          <cell r="AG2740">
            <v>408.1</v>
          </cell>
          <cell r="AH2740">
            <v>408.1</v>
          </cell>
        </row>
        <row r="2741">
          <cell r="AE2741" t="str">
            <v>ER9YDP8L</v>
          </cell>
          <cell r="AF2741">
            <v>0</v>
          </cell>
          <cell r="AG2741">
            <v>408.1</v>
          </cell>
          <cell r="AH2741">
            <v>408.1</v>
          </cell>
        </row>
        <row r="2742">
          <cell r="AE2742" t="str">
            <v>ER9X5FD4</v>
          </cell>
          <cell r="AF2742">
            <v>0</v>
          </cell>
          <cell r="AG2742">
            <v>408.1</v>
          </cell>
          <cell r="AH2742">
            <v>408.1</v>
          </cell>
        </row>
        <row r="2743">
          <cell r="AE2743" t="str">
            <v>ER9X5FD5</v>
          </cell>
          <cell r="AF2743">
            <v>0</v>
          </cell>
          <cell r="AG2743">
            <v>408.1</v>
          </cell>
          <cell r="AH2743">
            <v>408.1</v>
          </cell>
        </row>
        <row r="2744">
          <cell r="AE2744" t="str">
            <v>ER9WK752</v>
          </cell>
          <cell r="AF2744">
            <v>0</v>
          </cell>
          <cell r="AG2744">
            <v>408.1</v>
          </cell>
          <cell r="AH2744">
            <v>408.1</v>
          </cell>
        </row>
        <row r="2745">
          <cell r="AE2745" t="str">
            <v>ER9WK753</v>
          </cell>
          <cell r="AF2745">
            <v>0</v>
          </cell>
          <cell r="AG2745">
            <v>408.1</v>
          </cell>
          <cell r="AH2745">
            <v>408.1</v>
          </cell>
        </row>
        <row r="2746">
          <cell r="AE2746" t="str">
            <v>ER9TVH9F</v>
          </cell>
          <cell r="AF2746">
            <v>0</v>
          </cell>
          <cell r="AG2746">
            <v>408.1</v>
          </cell>
          <cell r="AH2746">
            <v>408.1</v>
          </cell>
        </row>
        <row r="2747">
          <cell r="AE2747" t="str">
            <v>ER9TVH9P</v>
          </cell>
          <cell r="AF2747">
            <v>0</v>
          </cell>
          <cell r="AG2747">
            <v>408.1</v>
          </cell>
          <cell r="AH2747">
            <v>408.1</v>
          </cell>
        </row>
        <row r="2748">
          <cell r="AE2748" t="str">
            <v>ER9V3R4T</v>
          </cell>
          <cell r="AF2748">
            <v>0</v>
          </cell>
          <cell r="AG2748">
            <v>408.1</v>
          </cell>
          <cell r="AH2748">
            <v>408.1</v>
          </cell>
        </row>
        <row r="2749">
          <cell r="AE2749" t="str">
            <v>ER9V3R4W</v>
          </cell>
          <cell r="AF2749">
            <v>0</v>
          </cell>
          <cell r="AG2749">
            <v>408.1</v>
          </cell>
          <cell r="AH2749">
            <v>408.1</v>
          </cell>
        </row>
        <row r="2750">
          <cell r="AE2750" t="str">
            <v>0031G3S</v>
          </cell>
          <cell r="AF2750">
            <v>1155.33</v>
          </cell>
          <cell r="AG2750">
            <v>437.8</v>
          </cell>
          <cell r="AH2750">
            <v>437.8</v>
          </cell>
        </row>
        <row r="2751">
          <cell r="AE2751" t="str">
            <v>0033GB5</v>
          </cell>
          <cell r="AF2751">
            <v>1155.33</v>
          </cell>
          <cell r="AG2751">
            <v>437.8</v>
          </cell>
          <cell r="AH2751">
            <v>437.8</v>
          </cell>
        </row>
        <row r="2752">
          <cell r="AE2752" t="str">
            <v>0037HWC</v>
          </cell>
          <cell r="AF2752">
            <v>1155.33</v>
          </cell>
          <cell r="AG2752">
            <v>437.8</v>
          </cell>
          <cell r="AH2752">
            <v>437.8</v>
          </cell>
        </row>
        <row r="2753">
          <cell r="AE2753" t="str">
            <v>0042NDD</v>
          </cell>
          <cell r="AF2753">
            <v>1155.33</v>
          </cell>
          <cell r="AG2753">
            <v>437.8</v>
          </cell>
          <cell r="AH2753">
            <v>437.8</v>
          </cell>
        </row>
        <row r="2754">
          <cell r="AE2754" t="str">
            <v>0047AMS</v>
          </cell>
          <cell r="AF2754">
            <v>1155.33</v>
          </cell>
          <cell r="AG2754">
            <v>437.8</v>
          </cell>
          <cell r="AH2754">
            <v>437.8</v>
          </cell>
        </row>
        <row r="2755">
          <cell r="AE2755" t="str">
            <v>0047AMT</v>
          </cell>
          <cell r="AF2755">
            <v>1155.33</v>
          </cell>
          <cell r="AG2755">
            <v>437.8</v>
          </cell>
          <cell r="AH2755">
            <v>437.8</v>
          </cell>
        </row>
        <row r="2756">
          <cell r="AE2756" t="str">
            <v>0047AMV</v>
          </cell>
          <cell r="AF2756">
            <v>1155.33</v>
          </cell>
          <cell r="AG2756">
            <v>437.8</v>
          </cell>
          <cell r="AH2756">
            <v>437.8</v>
          </cell>
        </row>
        <row r="2757">
          <cell r="AE2757" t="str">
            <v>004LFDN</v>
          </cell>
          <cell r="AF2757">
            <v>2371.4299999999985</v>
          </cell>
          <cell r="AG2757">
            <v>437.8</v>
          </cell>
          <cell r="AH2757">
            <v>437.8</v>
          </cell>
        </row>
        <row r="2758">
          <cell r="AE2758" t="str">
            <v>004LFDQ</v>
          </cell>
          <cell r="AF2758">
            <v>2375.0300000000007</v>
          </cell>
          <cell r="AG2758">
            <v>437.8</v>
          </cell>
          <cell r="AH2758">
            <v>437.8</v>
          </cell>
        </row>
        <row r="2759">
          <cell r="AE2759" t="str">
            <v>004LFQ2</v>
          </cell>
          <cell r="AF2759">
            <v>1155.33</v>
          </cell>
          <cell r="AG2759">
            <v>437.8</v>
          </cell>
          <cell r="AH2759">
            <v>437.8</v>
          </cell>
        </row>
        <row r="2760">
          <cell r="AE2760" t="str">
            <v>004LFQ3</v>
          </cell>
          <cell r="AF2760">
            <v>2371.4299999999985</v>
          </cell>
          <cell r="AG2760">
            <v>437.8</v>
          </cell>
          <cell r="AH2760">
            <v>437.8</v>
          </cell>
        </row>
        <row r="2761">
          <cell r="AE2761" t="str">
            <v>004LFQ4</v>
          </cell>
          <cell r="AF2761">
            <v>2375.0300000000007</v>
          </cell>
          <cell r="AG2761">
            <v>437.8</v>
          </cell>
          <cell r="AH2761">
            <v>437.8</v>
          </cell>
        </row>
        <row r="2762">
          <cell r="AE2762" t="str">
            <v>004LFQ6</v>
          </cell>
          <cell r="AF2762">
            <v>2375.0300000000007</v>
          </cell>
          <cell r="AG2762">
            <v>437.8</v>
          </cell>
          <cell r="AH2762">
            <v>437.8</v>
          </cell>
        </row>
        <row r="2763">
          <cell r="AE2763" t="str">
            <v>004LFQ8</v>
          </cell>
          <cell r="AF2763">
            <v>2371.4299999999985</v>
          </cell>
          <cell r="AG2763">
            <v>437.8</v>
          </cell>
          <cell r="AH2763">
            <v>437.8</v>
          </cell>
        </row>
        <row r="2764">
          <cell r="AE2764" t="str">
            <v>004LFQ9</v>
          </cell>
          <cell r="AF2764">
            <v>2371.4299999999985</v>
          </cell>
          <cell r="AG2764">
            <v>437.8</v>
          </cell>
          <cell r="AH2764">
            <v>437.8</v>
          </cell>
        </row>
        <row r="2765">
          <cell r="AE2765" t="str">
            <v>004LFQA</v>
          </cell>
          <cell r="AF2765">
            <v>2371.4299999999985</v>
          </cell>
          <cell r="AG2765">
            <v>437.8</v>
          </cell>
          <cell r="AH2765">
            <v>437.8</v>
          </cell>
        </row>
        <row r="2766">
          <cell r="AE2766" t="str">
            <v>004LFX1</v>
          </cell>
          <cell r="AF2766">
            <v>2371.4299999999985</v>
          </cell>
          <cell r="AG2766">
            <v>437.8</v>
          </cell>
          <cell r="AH2766">
            <v>437.8</v>
          </cell>
        </row>
        <row r="2767">
          <cell r="AE2767" t="str">
            <v>01KSVR</v>
          </cell>
          <cell r="AF2767">
            <v>0</v>
          </cell>
          <cell r="AG2767">
            <v>434.9</v>
          </cell>
          <cell r="AH2767">
            <v>434.9</v>
          </cell>
        </row>
        <row r="2768">
          <cell r="AE2768" t="str">
            <v>01KSVS</v>
          </cell>
          <cell r="AF2768">
            <v>0</v>
          </cell>
          <cell r="AG2768">
            <v>434.9</v>
          </cell>
          <cell r="AH2768">
            <v>434.9</v>
          </cell>
        </row>
        <row r="2769">
          <cell r="AE2769" t="str">
            <v>01KSVT</v>
          </cell>
          <cell r="AF2769">
            <v>0</v>
          </cell>
          <cell r="AG2769">
            <v>434.9</v>
          </cell>
          <cell r="AH2769">
            <v>434.9</v>
          </cell>
        </row>
        <row r="2770">
          <cell r="AE2770" t="str">
            <v>01KSVU</v>
          </cell>
          <cell r="AF2770">
            <v>0</v>
          </cell>
          <cell r="AG2770">
            <v>434.9</v>
          </cell>
          <cell r="AH2770">
            <v>434.9</v>
          </cell>
        </row>
        <row r="2771">
          <cell r="AE2771" t="str">
            <v>01KSVV</v>
          </cell>
          <cell r="AF2771">
            <v>0</v>
          </cell>
          <cell r="AG2771">
            <v>434.9</v>
          </cell>
          <cell r="AH2771">
            <v>434.9</v>
          </cell>
        </row>
        <row r="2772">
          <cell r="AE2772" t="str">
            <v>033GB5</v>
          </cell>
          <cell r="AF2772">
            <v>693.19000000000051</v>
          </cell>
          <cell r="AG2772">
            <v>437.8</v>
          </cell>
          <cell r="AH2772">
            <v>437.8</v>
          </cell>
        </row>
        <row r="2773">
          <cell r="AE2773" t="str">
            <v>033GB7</v>
          </cell>
          <cell r="AF2773">
            <v>693.19000000000051</v>
          </cell>
          <cell r="AG2773">
            <v>437.8</v>
          </cell>
          <cell r="AH2773">
            <v>437.8</v>
          </cell>
        </row>
        <row r="2774">
          <cell r="AE2774" t="str">
            <v>033GB9</v>
          </cell>
          <cell r="AF2774">
            <v>693.19000000000051</v>
          </cell>
          <cell r="AG2774">
            <v>437.8</v>
          </cell>
          <cell r="AH2774">
            <v>437.8</v>
          </cell>
        </row>
        <row r="2775">
          <cell r="AE2775" t="str">
            <v>033GBB</v>
          </cell>
          <cell r="AF2775">
            <v>693.19000000000051</v>
          </cell>
          <cell r="AG2775">
            <v>437.8</v>
          </cell>
          <cell r="AH2775">
            <v>437.8</v>
          </cell>
        </row>
        <row r="2776">
          <cell r="AE2776" t="str">
            <v>033GBD</v>
          </cell>
          <cell r="AF2776">
            <v>693.19000000000051</v>
          </cell>
          <cell r="AG2776">
            <v>437.8</v>
          </cell>
          <cell r="AH2776">
            <v>437.8</v>
          </cell>
        </row>
        <row r="2777">
          <cell r="AE2777" t="str">
            <v>033GBE</v>
          </cell>
          <cell r="AF2777">
            <v>693.19000000000051</v>
          </cell>
          <cell r="AG2777">
            <v>437.8</v>
          </cell>
          <cell r="AH2777">
            <v>437.8</v>
          </cell>
        </row>
        <row r="2778">
          <cell r="AE2778" t="str">
            <v>03RJ81</v>
          </cell>
          <cell r="AF2778">
            <v>1155.33</v>
          </cell>
          <cell r="AG2778">
            <v>437.8</v>
          </cell>
          <cell r="AH2778">
            <v>437.8</v>
          </cell>
        </row>
        <row r="2779">
          <cell r="AE2779" t="str">
            <v>B03DRM5</v>
          </cell>
          <cell r="AF2779">
            <v>0</v>
          </cell>
          <cell r="AG2779">
            <v>415.1</v>
          </cell>
          <cell r="AH2779">
            <v>415.1</v>
          </cell>
        </row>
        <row r="2780">
          <cell r="AE2780" t="str">
            <v>C0143MD</v>
          </cell>
          <cell r="AF2780">
            <v>0</v>
          </cell>
          <cell r="AG2780">
            <v>434.9</v>
          </cell>
          <cell r="AH2780">
            <v>434.9</v>
          </cell>
        </row>
        <row r="2781">
          <cell r="AE2781" t="str">
            <v>C0157W9</v>
          </cell>
          <cell r="AF2781">
            <v>0</v>
          </cell>
          <cell r="AG2781">
            <v>434.9</v>
          </cell>
          <cell r="AH2781">
            <v>434.9</v>
          </cell>
        </row>
        <row r="2782">
          <cell r="AE2782" t="str">
            <v>COONM09</v>
          </cell>
          <cell r="AF2782">
            <v>0</v>
          </cell>
          <cell r="AG2782">
            <v>415.1</v>
          </cell>
          <cell r="AH2782">
            <v>415.1</v>
          </cell>
        </row>
        <row r="2783">
          <cell r="AE2783" t="str">
            <v>COONM26</v>
          </cell>
          <cell r="AF2783">
            <v>0</v>
          </cell>
          <cell r="AG2783">
            <v>415.1</v>
          </cell>
          <cell r="AH2783">
            <v>415.1</v>
          </cell>
        </row>
        <row r="2784">
          <cell r="AE2784" t="str">
            <v>O2KO3Q</v>
          </cell>
          <cell r="AF2784">
            <v>688.60000000000036</v>
          </cell>
          <cell r="AG2784">
            <v>434.9</v>
          </cell>
          <cell r="AH2784">
            <v>434.9</v>
          </cell>
        </row>
        <row r="2785">
          <cell r="AE2785" t="str">
            <v>O2RHXD</v>
          </cell>
          <cell r="AF2785">
            <v>688.60000000000036</v>
          </cell>
          <cell r="AG2785">
            <v>434.9</v>
          </cell>
          <cell r="AH2785">
            <v>434.9</v>
          </cell>
        </row>
        <row r="2786">
          <cell r="AE2786" t="str">
            <v>PB02WE2Q</v>
          </cell>
          <cell r="AF2786">
            <v>0</v>
          </cell>
          <cell r="AG2786">
            <v>415.1</v>
          </cell>
          <cell r="AH2786">
            <v>415.1</v>
          </cell>
        </row>
        <row r="2787">
          <cell r="AE2787" t="str">
            <v>PB035M1C</v>
          </cell>
          <cell r="AF2787">
            <v>0</v>
          </cell>
          <cell r="AG2787">
            <v>415.1</v>
          </cell>
          <cell r="AH2787">
            <v>415.1</v>
          </cell>
        </row>
        <row r="2788">
          <cell r="AE2788" t="str">
            <v>PB0399XL</v>
          </cell>
          <cell r="AF2788">
            <v>0</v>
          </cell>
          <cell r="AG2788">
            <v>415.1</v>
          </cell>
          <cell r="AH2788">
            <v>415.1</v>
          </cell>
        </row>
        <row r="2789">
          <cell r="AE2789" t="str">
            <v>PB03BTW1</v>
          </cell>
          <cell r="AF2789">
            <v>0</v>
          </cell>
          <cell r="AG2789">
            <v>415.1</v>
          </cell>
          <cell r="AH2789">
            <v>415.1</v>
          </cell>
        </row>
        <row r="2790">
          <cell r="AE2790" t="str">
            <v>PB03CH7P</v>
          </cell>
          <cell r="AF2790">
            <v>0</v>
          </cell>
          <cell r="AG2790">
            <v>415.1</v>
          </cell>
          <cell r="AH2790">
            <v>415.1</v>
          </cell>
        </row>
        <row r="2791">
          <cell r="AE2791" t="str">
            <v>PB03CH7Q</v>
          </cell>
          <cell r="AF2791">
            <v>0</v>
          </cell>
          <cell r="AG2791">
            <v>415.1</v>
          </cell>
          <cell r="AH2791">
            <v>415.1</v>
          </cell>
        </row>
        <row r="2792">
          <cell r="AE2792" t="str">
            <v>PB03CH7T</v>
          </cell>
          <cell r="AF2792">
            <v>0</v>
          </cell>
          <cell r="AG2792">
            <v>415.1</v>
          </cell>
          <cell r="AH2792">
            <v>415.1</v>
          </cell>
        </row>
        <row r="2793">
          <cell r="AE2793" t="str">
            <v>PB03CH7Y</v>
          </cell>
          <cell r="AF2793">
            <v>0</v>
          </cell>
          <cell r="AG2793">
            <v>415.1</v>
          </cell>
          <cell r="AH2793">
            <v>415.1</v>
          </cell>
        </row>
        <row r="2794">
          <cell r="AE2794" t="str">
            <v>PB03CH80</v>
          </cell>
          <cell r="AF2794">
            <v>0</v>
          </cell>
          <cell r="AG2794">
            <v>415.1</v>
          </cell>
          <cell r="AH2794">
            <v>415.1</v>
          </cell>
        </row>
        <row r="2795">
          <cell r="AE2795" t="str">
            <v>PB03CH82</v>
          </cell>
          <cell r="AF2795">
            <v>0</v>
          </cell>
          <cell r="AG2795">
            <v>415.1</v>
          </cell>
          <cell r="AH2795">
            <v>415.1</v>
          </cell>
        </row>
        <row r="2796">
          <cell r="AE2796" t="str">
            <v>PB03CH84</v>
          </cell>
          <cell r="AF2796">
            <v>0</v>
          </cell>
          <cell r="AG2796">
            <v>415.1</v>
          </cell>
          <cell r="AH2796">
            <v>415.1</v>
          </cell>
        </row>
        <row r="2797">
          <cell r="AE2797" t="str">
            <v>PB03DRM0</v>
          </cell>
          <cell r="AF2797">
            <v>0</v>
          </cell>
          <cell r="AG2797">
            <v>415.1</v>
          </cell>
          <cell r="AH2797">
            <v>415.1</v>
          </cell>
        </row>
        <row r="2798">
          <cell r="AE2798" t="str">
            <v>PB03DSV8</v>
          </cell>
          <cell r="AF2798">
            <v>0</v>
          </cell>
          <cell r="AG2798">
            <v>415.1</v>
          </cell>
          <cell r="AH2798">
            <v>415.1</v>
          </cell>
        </row>
        <row r="2799">
          <cell r="AE2799" t="str">
            <v>PB03DSV9</v>
          </cell>
          <cell r="AF2799">
            <v>0</v>
          </cell>
          <cell r="AG2799">
            <v>415.1</v>
          </cell>
          <cell r="AH2799">
            <v>415.1</v>
          </cell>
        </row>
        <row r="2800">
          <cell r="AE2800" t="str">
            <v>033GB0</v>
          </cell>
          <cell r="AF2800">
            <v>693.19000000000051</v>
          </cell>
          <cell r="AG2800">
            <v>437.8</v>
          </cell>
          <cell r="AH2800">
            <v>437.8</v>
          </cell>
        </row>
        <row r="2801">
          <cell r="AE2801" t="str">
            <v>033GB01</v>
          </cell>
          <cell r="AF2801">
            <v>1155.33</v>
          </cell>
          <cell r="AG2801">
            <v>437.8</v>
          </cell>
          <cell r="AH2801">
            <v>437.8</v>
          </cell>
        </row>
        <row r="2802">
          <cell r="AE2802" t="str">
            <v>0084LSZ</v>
          </cell>
          <cell r="AF2802">
            <v>1195.6700000000005</v>
          </cell>
          <cell r="AG2802">
            <v>453.1</v>
          </cell>
          <cell r="AH2802">
            <v>453.1</v>
          </cell>
        </row>
        <row r="2803">
          <cell r="AE2803" t="str">
            <v>004LFDL</v>
          </cell>
          <cell r="AF2803">
            <v>1155.2999999999997</v>
          </cell>
          <cell r="AG2803">
            <v>437.8</v>
          </cell>
          <cell r="AH2803">
            <v>437.8</v>
          </cell>
        </row>
        <row r="2804">
          <cell r="AE2804" t="str">
            <v>0050T9T</v>
          </cell>
          <cell r="AF2804">
            <v>1158.7299999999996</v>
          </cell>
          <cell r="AG2804">
            <v>439.1</v>
          </cell>
          <cell r="AH2804">
            <v>439.1</v>
          </cell>
        </row>
        <row r="2805">
          <cell r="AE2805" t="str">
            <v>0050TA1</v>
          </cell>
          <cell r="AF2805">
            <v>1158.7299999999996</v>
          </cell>
          <cell r="AG2805">
            <v>439.1</v>
          </cell>
          <cell r="AH2805">
            <v>439.1</v>
          </cell>
        </row>
        <row r="2806">
          <cell r="AE2806" t="str">
            <v>0050TA6</v>
          </cell>
          <cell r="AF2806">
            <v>1155.2999999999997</v>
          </cell>
          <cell r="AG2806">
            <v>437.8</v>
          </cell>
          <cell r="AH2806">
            <v>437.8</v>
          </cell>
        </row>
        <row r="2807">
          <cell r="AE2807" t="str">
            <v>0050TAC</v>
          </cell>
          <cell r="AF2807">
            <v>1158.7299999999996</v>
          </cell>
          <cell r="AG2807">
            <v>439.1</v>
          </cell>
          <cell r="AH2807">
            <v>439.1</v>
          </cell>
        </row>
        <row r="2808">
          <cell r="AE2808" t="str">
            <v>005104N</v>
          </cell>
          <cell r="AF2808">
            <v>1158.7299999999996</v>
          </cell>
          <cell r="AG2808">
            <v>439.1</v>
          </cell>
          <cell r="AH2808">
            <v>439.1</v>
          </cell>
        </row>
        <row r="2809">
          <cell r="AE2809" t="str">
            <v>005104Z</v>
          </cell>
          <cell r="AF2809">
            <v>2374.8500000000004</v>
          </cell>
          <cell r="AG2809">
            <v>439.1</v>
          </cell>
          <cell r="AH2809">
            <v>439.1</v>
          </cell>
        </row>
        <row r="2810">
          <cell r="AE2810" t="str">
            <v>0051050</v>
          </cell>
          <cell r="AF2810">
            <v>1158.7299999999996</v>
          </cell>
          <cell r="AG2810">
            <v>439.1</v>
          </cell>
          <cell r="AH2810">
            <v>439.1</v>
          </cell>
        </row>
        <row r="2811">
          <cell r="AE2811" t="str">
            <v>0051052</v>
          </cell>
          <cell r="AF2811">
            <v>1158.7299999999996</v>
          </cell>
          <cell r="AG2811">
            <v>439.1</v>
          </cell>
          <cell r="AH2811">
            <v>439.1</v>
          </cell>
        </row>
        <row r="2812">
          <cell r="AE2812" t="str">
            <v>006V5ED</v>
          </cell>
          <cell r="AF2812">
            <v>1127.2000000000003</v>
          </cell>
          <cell r="AG2812">
            <v>427.15</v>
          </cell>
          <cell r="AH2812">
            <v>427.15</v>
          </cell>
        </row>
        <row r="2813">
          <cell r="AE2813" t="str">
            <v>0081SFJ</v>
          </cell>
          <cell r="AF2813">
            <v>1127.2000000000003</v>
          </cell>
          <cell r="AG2813">
            <v>427.15</v>
          </cell>
          <cell r="AH2813">
            <v>427.15</v>
          </cell>
        </row>
        <row r="2814">
          <cell r="AE2814" t="str">
            <v>0081SFK</v>
          </cell>
          <cell r="AF2814">
            <v>1127.2000000000003</v>
          </cell>
          <cell r="AG2814">
            <v>427.15</v>
          </cell>
          <cell r="AH2814">
            <v>427.15</v>
          </cell>
        </row>
        <row r="2815">
          <cell r="AE2815" t="str">
            <v>0081SFL</v>
          </cell>
          <cell r="AF2815">
            <v>1127.2000000000003</v>
          </cell>
          <cell r="AG2815">
            <v>427.15</v>
          </cell>
          <cell r="AH2815">
            <v>427.15</v>
          </cell>
        </row>
        <row r="2816">
          <cell r="AE2816" t="str">
            <v>0081SFM</v>
          </cell>
          <cell r="AF2816">
            <v>1127.2000000000003</v>
          </cell>
          <cell r="AG2816">
            <v>427.15</v>
          </cell>
          <cell r="AH2816">
            <v>427.15</v>
          </cell>
        </row>
        <row r="2817">
          <cell r="AE2817" t="str">
            <v>0081SFN</v>
          </cell>
          <cell r="AF2817">
            <v>1127.2000000000003</v>
          </cell>
          <cell r="AG2817">
            <v>427.15</v>
          </cell>
          <cell r="AH2817">
            <v>427.15</v>
          </cell>
        </row>
        <row r="2818">
          <cell r="AE2818" t="str">
            <v>0081SFP</v>
          </cell>
          <cell r="AF2818">
            <v>1127.2000000000003</v>
          </cell>
          <cell r="AG2818">
            <v>427.15</v>
          </cell>
          <cell r="AH2818">
            <v>427.15</v>
          </cell>
        </row>
        <row r="2819">
          <cell r="AE2819" t="str">
            <v>0081SFQ</v>
          </cell>
          <cell r="AF2819">
            <v>1127.2000000000003</v>
          </cell>
          <cell r="AG2819">
            <v>427.15</v>
          </cell>
          <cell r="AH2819">
            <v>427.15</v>
          </cell>
        </row>
        <row r="2820">
          <cell r="AE2820" t="str">
            <v>0081SFR</v>
          </cell>
          <cell r="AF2820">
            <v>2309.7000000000007</v>
          </cell>
          <cell r="AG2820">
            <v>427.15</v>
          </cell>
          <cell r="AH2820">
            <v>427.15</v>
          </cell>
        </row>
        <row r="2821">
          <cell r="AE2821" t="str">
            <v>0081SFS</v>
          </cell>
          <cell r="AF2821">
            <v>1127.2000000000003</v>
          </cell>
          <cell r="AG2821">
            <v>427.15</v>
          </cell>
          <cell r="AH2821">
            <v>427.15</v>
          </cell>
        </row>
        <row r="2822">
          <cell r="AE2822" t="str">
            <v>0081SFT</v>
          </cell>
          <cell r="AF2822">
            <v>1127.2000000000003</v>
          </cell>
          <cell r="AG2822">
            <v>427.15</v>
          </cell>
          <cell r="AH2822">
            <v>427.15</v>
          </cell>
        </row>
        <row r="2823">
          <cell r="AE2823" t="str">
            <v>0081SFW</v>
          </cell>
          <cell r="AF2823">
            <v>1123.3699999999999</v>
          </cell>
          <cell r="AG2823">
            <v>425.7</v>
          </cell>
          <cell r="AH2823">
            <v>425.7</v>
          </cell>
        </row>
        <row r="2824">
          <cell r="AE2824" t="str">
            <v>0081SFX</v>
          </cell>
          <cell r="AF2824">
            <v>1127.2000000000003</v>
          </cell>
          <cell r="AG2824">
            <v>427.15</v>
          </cell>
          <cell r="AH2824">
            <v>427.15</v>
          </cell>
        </row>
        <row r="2825">
          <cell r="AE2825" t="str">
            <v>0081SFY</v>
          </cell>
          <cell r="AF2825">
            <v>1127.2000000000003</v>
          </cell>
          <cell r="AG2825">
            <v>427.15</v>
          </cell>
          <cell r="AH2825">
            <v>427.15</v>
          </cell>
        </row>
        <row r="2826">
          <cell r="AE2826" t="str">
            <v>0081SFZ</v>
          </cell>
          <cell r="AF2826">
            <v>1123.3699999999999</v>
          </cell>
          <cell r="AG2826">
            <v>425.7</v>
          </cell>
          <cell r="AH2826">
            <v>425.7</v>
          </cell>
        </row>
        <row r="2827">
          <cell r="AE2827" t="str">
            <v>0081SG1</v>
          </cell>
          <cell r="AF2827">
            <v>1127.2000000000003</v>
          </cell>
          <cell r="AG2827">
            <v>427.15</v>
          </cell>
          <cell r="AH2827">
            <v>427.15</v>
          </cell>
        </row>
        <row r="2828">
          <cell r="AE2828" t="str">
            <v>0081SG2</v>
          </cell>
          <cell r="AF2828">
            <v>1127.2000000000003</v>
          </cell>
          <cell r="AG2828">
            <v>427.15</v>
          </cell>
          <cell r="AH2828">
            <v>427.15</v>
          </cell>
        </row>
        <row r="2829">
          <cell r="AE2829" t="str">
            <v>0081SG3</v>
          </cell>
          <cell r="AF2829">
            <v>1123.3699999999999</v>
          </cell>
          <cell r="AG2829">
            <v>425.7</v>
          </cell>
          <cell r="AH2829">
            <v>425.7</v>
          </cell>
        </row>
        <row r="2830">
          <cell r="AE2830" t="str">
            <v>0081SG5</v>
          </cell>
          <cell r="AF2830">
            <v>1127.2000000000003</v>
          </cell>
          <cell r="AG2830">
            <v>427.15</v>
          </cell>
          <cell r="AH2830">
            <v>427.15</v>
          </cell>
        </row>
        <row r="2831">
          <cell r="AE2831" t="str">
            <v>0081SG6</v>
          </cell>
          <cell r="AF2831">
            <v>1127.2000000000003</v>
          </cell>
          <cell r="AG2831">
            <v>427.15</v>
          </cell>
          <cell r="AH2831">
            <v>427.15</v>
          </cell>
        </row>
        <row r="2832">
          <cell r="AE2832" t="str">
            <v>0081SG7</v>
          </cell>
          <cell r="AF2832">
            <v>1127.2000000000003</v>
          </cell>
          <cell r="AG2832">
            <v>427.15</v>
          </cell>
          <cell r="AH2832">
            <v>427.15</v>
          </cell>
        </row>
        <row r="2833">
          <cell r="AE2833" t="str">
            <v>0081SG8</v>
          </cell>
          <cell r="AF2833">
            <v>1127.2000000000003</v>
          </cell>
          <cell r="AG2833">
            <v>427.15</v>
          </cell>
          <cell r="AH2833">
            <v>427.15</v>
          </cell>
        </row>
        <row r="2834">
          <cell r="AE2834" t="str">
            <v>0081SG9</v>
          </cell>
          <cell r="AF2834">
            <v>1123.3699999999999</v>
          </cell>
          <cell r="AG2834">
            <v>425.7</v>
          </cell>
          <cell r="AH2834">
            <v>425.7</v>
          </cell>
        </row>
        <row r="2835">
          <cell r="AE2835" t="str">
            <v>0081SGB</v>
          </cell>
          <cell r="AF2835">
            <v>1127.2000000000003</v>
          </cell>
          <cell r="AG2835">
            <v>427.15</v>
          </cell>
          <cell r="AH2835">
            <v>427.15</v>
          </cell>
        </row>
        <row r="2836">
          <cell r="AE2836" t="str">
            <v>0081SGC</v>
          </cell>
          <cell r="AF2836">
            <v>1127.2000000000003</v>
          </cell>
          <cell r="AG2836">
            <v>427.15</v>
          </cell>
          <cell r="AH2836">
            <v>427.15</v>
          </cell>
        </row>
        <row r="2837">
          <cell r="AE2837" t="str">
            <v>0081SGD</v>
          </cell>
          <cell r="AF2837">
            <v>1127.2000000000003</v>
          </cell>
          <cell r="AG2837">
            <v>427.15</v>
          </cell>
          <cell r="AH2837">
            <v>427.15</v>
          </cell>
        </row>
        <row r="2838">
          <cell r="AE2838" t="str">
            <v>0082849</v>
          </cell>
          <cell r="AF2838">
            <v>1123.3699999999999</v>
          </cell>
          <cell r="AG2838">
            <v>425.7</v>
          </cell>
          <cell r="AH2838">
            <v>425.7</v>
          </cell>
        </row>
        <row r="2839">
          <cell r="AE2839" t="str">
            <v>008284A</v>
          </cell>
          <cell r="AF2839">
            <v>2309.7000000000007</v>
          </cell>
          <cell r="AG2839">
            <v>427.15</v>
          </cell>
          <cell r="AH2839">
            <v>427.15</v>
          </cell>
        </row>
        <row r="2840">
          <cell r="AE2840" t="str">
            <v>008284B</v>
          </cell>
          <cell r="AF2840">
            <v>1127.2000000000003</v>
          </cell>
          <cell r="AG2840">
            <v>427.15</v>
          </cell>
          <cell r="AH2840">
            <v>427.15</v>
          </cell>
        </row>
        <row r="2841">
          <cell r="AE2841" t="str">
            <v>008284D</v>
          </cell>
          <cell r="AF2841">
            <v>1127.2000000000003</v>
          </cell>
          <cell r="AG2841">
            <v>427.15</v>
          </cell>
          <cell r="AH2841">
            <v>427.15</v>
          </cell>
        </row>
        <row r="2842">
          <cell r="AE2842" t="str">
            <v>008284E</v>
          </cell>
          <cell r="AF2842">
            <v>1127.2000000000003</v>
          </cell>
          <cell r="AG2842">
            <v>427.15</v>
          </cell>
          <cell r="AH2842">
            <v>427.15</v>
          </cell>
        </row>
        <row r="2843">
          <cell r="AE2843" t="str">
            <v>008284F</v>
          </cell>
          <cell r="AF2843">
            <v>1123.3699999999999</v>
          </cell>
          <cell r="AG2843">
            <v>425.7</v>
          </cell>
          <cell r="AH2843">
            <v>425.7</v>
          </cell>
        </row>
        <row r="2844">
          <cell r="AE2844" t="str">
            <v>008284G</v>
          </cell>
          <cell r="AF2844">
            <v>1127.2000000000003</v>
          </cell>
          <cell r="AG2844">
            <v>427.15</v>
          </cell>
          <cell r="AH2844">
            <v>427.15</v>
          </cell>
        </row>
        <row r="2845">
          <cell r="AE2845" t="str">
            <v>008284H</v>
          </cell>
          <cell r="AF2845">
            <v>1123.3699999999999</v>
          </cell>
          <cell r="AG2845">
            <v>425.7</v>
          </cell>
          <cell r="AH2845">
            <v>425.7</v>
          </cell>
        </row>
        <row r="2846">
          <cell r="AE2846" t="str">
            <v>008284J</v>
          </cell>
          <cell r="AF2846">
            <v>1123.3699999999999</v>
          </cell>
          <cell r="AG2846">
            <v>425.7</v>
          </cell>
          <cell r="AH2846">
            <v>425.7</v>
          </cell>
        </row>
        <row r="2847">
          <cell r="AE2847" t="str">
            <v>0095KDE</v>
          </cell>
          <cell r="AF2847">
            <v>1127.2000000000003</v>
          </cell>
          <cell r="AG2847">
            <v>427.15</v>
          </cell>
          <cell r="AH2847">
            <v>427.15</v>
          </cell>
        </row>
        <row r="2848">
          <cell r="AE2848" t="str">
            <v>0095KDF</v>
          </cell>
          <cell r="AF2848">
            <v>1127.2000000000003</v>
          </cell>
          <cell r="AG2848">
            <v>427.15</v>
          </cell>
          <cell r="AH2848">
            <v>427.15</v>
          </cell>
        </row>
        <row r="2849">
          <cell r="AE2849" t="str">
            <v>0095KDG</v>
          </cell>
          <cell r="AF2849">
            <v>1127.2000000000003</v>
          </cell>
          <cell r="AG2849">
            <v>427.15</v>
          </cell>
          <cell r="AH2849">
            <v>427.15</v>
          </cell>
        </row>
        <row r="2850">
          <cell r="AE2850" t="str">
            <v>E1200500</v>
          </cell>
          <cell r="AF2850">
            <v>0</v>
          </cell>
          <cell r="AG2850">
            <v>824</v>
          </cell>
          <cell r="AH2850">
            <v>824</v>
          </cell>
        </row>
        <row r="2851">
          <cell r="AE2851" t="str">
            <v>E1200501</v>
          </cell>
          <cell r="AF2851">
            <v>0</v>
          </cell>
          <cell r="AG2851">
            <v>824</v>
          </cell>
          <cell r="AH2851">
            <v>824</v>
          </cell>
        </row>
        <row r="2852">
          <cell r="AE2852" t="str">
            <v>E0008249</v>
          </cell>
          <cell r="AF2852">
            <v>0</v>
          </cell>
          <cell r="AG2852">
            <v>1005</v>
          </cell>
          <cell r="AH2852">
            <v>1005</v>
          </cell>
        </row>
        <row r="2853">
          <cell r="AE2853" t="str">
            <v>E0008250</v>
          </cell>
          <cell r="AF2853">
            <v>0</v>
          </cell>
          <cell r="AG2853">
            <v>285</v>
          </cell>
          <cell r="AH2853">
            <v>285</v>
          </cell>
        </row>
        <row r="2854">
          <cell r="AE2854" t="str">
            <v>E100943</v>
          </cell>
          <cell r="AF2854">
            <v>1727.1499999999996</v>
          </cell>
          <cell r="AG2854">
            <v>654.5</v>
          </cell>
          <cell r="AH2854">
            <v>654.5</v>
          </cell>
        </row>
        <row r="2855">
          <cell r="AE2855" t="str">
            <v>E100944</v>
          </cell>
          <cell r="AF2855">
            <v>1727.1499999999996</v>
          </cell>
          <cell r="AG2855">
            <v>654.5</v>
          </cell>
          <cell r="AH2855">
            <v>654.5</v>
          </cell>
        </row>
        <row r="2856">
          <cell r="AE2856" t="str">
            <v>E100961</v>
          </cell>
          <cell r="AF2856">
            <v>2249.1500000000005</v>
          </cell>
          <cell r="AG2856">
            <v>1006.2</v>
          </cell>
          <cell r="AH2856">
            <v>1006.2</v>
          </cell>
        </row>
        <row r="2857">
          <cell r="AE2857" t="str">
            <v>E100962</v>
          </cell>
          <cell r="AF2857">
            <v>2249.1500000000005</v>
          </cell>
          <cell r="AG2857">
            <v>1006.2</v>
          </cell>
          <cell r="AH2857">
            <v>1006.2</v>
          </cell>
        </row>
        <row r="2858">
          <cell r="AE2858" t="str">
            <v>E100963</v>
          </cell>
          <cell r="AF2858">
            <v>2249.1500000000005</v>
          </cell>
          <cell r="AG2858">
            <v>1006.2</v>
          </cell>
          <cell r="AH2858">
            <v>1006.2</v>
          </cell>
        </row>
        <row r="2859">
          <cell r="AE2859" t="str">
            <v>E0008091</v>
          </cell>
          <cell r="AF2859">
            <v>0</v>
          </cell>
          <cell r="AG2859">
            <v>1432.45</v>
          </cell>
          <cell r="AH2859">
            <v>1432.45</v>
          </cell>
        </row>
        <row r="2860">
          <cell r="AE2860" t="str">
            <v>E0008096</v>
          </cell>
          <cell r="AF2860">
            <v>0</v>
          </cell>
          <cell r="AG2860">
            <v>985</v>
          </cell>
          <cell r="AH2860">
            <v>985</v>
          </cell>
        </row>
        <row r="2861">
          <cell r="AE2861" t="str">
            <v>E0008097</v>
          </cell>
          <cell r="AF2861">
            <v>0</v>
          </cell>
          <cell r="AG2861">
            <v>985</v>
          </cell>
          <cell r="AH2861">
            <v>985</v>
          </cell>
        </row>
        <row r="2862">
          <cell r="AE2862" t="str">
            <v>E0008099</v>
          </cell>
          <cell r="AF2862">
            <v>0</v>
          </cell>
          <cell r="AG2862">
            <v>985</v>
          </cell>
          <cell r="AH2862">
            <v>985</v>
          </cell>
        </row>
        <row r="2863">
          <cell r="AE2863" t="str">
            <v>E6008180</v>
          </cell>
          <cell r="AF2863">
            <v>0</v>
          </cell>
          <cell r="AG2863">
            <v>3842.5</v>
          </cell>
          <cell r="AH2863">
            <v>3842.5</v>
          </cell>
        </row>
        <row r="2864">
          <cell r="AE2864" t="str">
            <v>E100966</v>
          </cell>
          <cell r="AF2864">
            <v>1194.75</v>
          </cell>
          <cell r="AG2864">
            <v>452.75</v>
          </cell>
          <cell r="AH2864">
            <v>452.75</v>
          </cell>
        </row>
        <row r="2865">
          <cell r="AE2865" t="str">
            <v>E0008038</v>
          </cell>
          <cell r="AF2865">
            <v>0</v>
          </cell>
          <cell r="AG2865">
            <v>1432.45</v>
          </cell>
          <cell r="AH2865">
            <v>1432.45</v>
          </cell>
        </row>
        <row r="2866">
          <cell r="AE2866" t="str">
            <v>E0008192</v>
          </cell>
          <cell r="AF2866">
            <v>0</v>
          </cell>
          <cell r="AG2866">
            <v>946.5</v>
          </cell>
          <cell r="AH2866">
            <v>946.5</v>
          </cell>
        </row>
        <row r="2867">
          <cell r="AE2867" t="str">
            <v>E100868</v>
          </cell>
          <cell r="AF2867">
            <v>3298.6200000000008</v>
          </cell>
          <cell r="AG2867">
            <v>1250</v>
          </cell>
          <cell r="AH2867">
            <v>1250</v>
          </cell>
        </row>
        <row r="2868">
          <cell r="AE2868" t="str">
            <v>E100869</v>
          </cell>
          <cell r="AF2868">
            <v>3298.6200000000008</v>
          </cell>
          <cell r="AG2868">
            <v>1250</v>
          </cell>
          <cell r="AH2868">
            <v>1250</v>
          </cell>
        </row>
        <row r="2869">
          <cell r="AE2869" t="str">
            <v>E100870</v>
          </cell>
          <cell r="AF2869">
            <v>3298.6200000000008</v>
          </cell>
          <cell r="AG2869">
            <v>1250</v>
          </cell>
          <cell r="AH2869">
            <v>1250</v>
          </cell>
        </row>
        <row r="2870">
          <cell r="AE2870" t="str">
            <v>E100871</v>
          </cell>
          <cell r="AF2870">
            <v>3298.6200000000008</v>
          </cell>
          <cell r="AG2870">
            <v>1250</v>
          </cell>
          <cell r="AH2870">
            <v>1250</v>
          </cell>
        </row>
        <row r="2871">
          <cell r="AE2871" t="str">
            <v>E100872</v>
          </cell>
          <cell r="AF2871">
            <v>3298.6200000000008</v>
          </cell>
          <cell r="AG2871">
            <v>1250</v>
          </cell>
          <cell r="AH2871">
            <v>1250</v>
          </cell>
        </row>
        <row r="2872">
          <cell r="AE2872" t="str">
            <v>E100873</v>
          </cell>
          <cell r="AF2872">
            <v>3298.6200000000008</v>
          </cell>
          <cell r="AG2872">
            <v>1250</v>
          </cell>
          <cell r="AH2872">
            <v>1250</v>
          </cell>
        </row>
        <row r="2873">
          <cell r="AE2873" t="str">
            <v>EE100674</v>
          </cell>
          <cell r="AF2873">
            <v>0</v>
          </cell>
          <cell r="AG2873">
            <v>2000</v>
          </cell>
          <cell r="AH2873">
            <v>2000</v>
          </cell>
        </row>
        <row r="2874">
          <cell r="AE2874" t="str">
            <v>E100928</v>
          </cell>
          <cell r="AF2874">
            <v>688.75</v>
          </cell>
          <cell r="AG2874">
            <v>261</v>
          </cell>
          <cell r="AH2874">
            <v>261</v>
          </cell>
        </row>
        <row r="2875">
          <cell r="AE2875" t="str">
            <v>E100929</v>
          </cell>
          <cell r="AF2875">
            <v>688.75</v>
          </cell>
          <cell r="AG2875">
            <v>261</v>
          </cell>
          <cell r="AH2875">
            <v>261</v>
          </cell>
        </row>
        <row r="2876">
          <cell r="AE2876" t="str">
            <v>1BYGG77</v>
          </cell>
          <cell r="AF2876">
            <v>1176.02</v>
          </cell>
          <cell r="AG2876">
            <v>445.65</v>
          </cell>
          <cell r="AH2876">
            <v>445.65</v>
          </cell>
        </row>
        <row r="2877">
          <cell r="AE2877" t="str">
            <v>EPAD1601</v>
          </cell>
          <cell r="AF2877">
            <v>358.22</v>
          </cell>
          <cell r="AG2877">
            <v>135.75</v>
          </cell>
          <cell r="AH2877">
            <v>135.75</v>
          </cell>
        </row>
        <row r="2878">
          <cell r="AE2878" t="str">
            <v>EPAD1611</v>
          </cell>
          <cell r="AF2878">
            <v>561.82000000000016</v>
          </cell>
          <cell r="AG2878">
            <v>212.9</v>
          </cell>
          <cell r="AH2878">
            <v>212.9</v>
          </cell>
        </row>
        <row r="2879">
          <cell r="AE2879" t="str">
            <v>EPAD1612</v>
          </cell>
          <cell r="AF2879">
            <v>561.82000000000016</v>
          </cell>
          <cell r="AG2879">
            <v>212.9</v>
          </cell>
          <cell r="AH2879">
            <v>212.9</v>
          </cell>
        </row>
        <row r="2880">
          <cell r="AE2880" t="str">
            <v>EPAD1613</v>
          </cell>
          <cell r="AF2880">
            <v>561.82000000000016</v>
          </cell>
          <cell r="AG2880">
            <v>212.9</v>
          </cell>
          <cell r="AH2880">
            <v>212.9</v>
          </cell>
        </row>
        <row r="2881">
          <cell r="AE2881" t="str">
            <v>EPAD1614</v>
          </cell>
          <cell r="AF2881">
            <v>561.82000000000016</v>
          </cell>
          <cell r="AG2881">
            <v>212.9</v>
          </cell>
          <cell r="AH2881">
            <v>212.9</v>
          </cell>
        </row>
        <row r="2882">
          <cell r="AE2882" t="str">
            <v>EPAD1615</v>
          </cell>
          <cell r="AF2882">
            <v>561.82000000000016</v>
          </cell>
          <cell r="AG2882">
            <v>212.9</v>
          </cell>
          <cell r="AH2882">
            <v>212.9</v>
          </cell>
        </row>
        <row r="2883">
          <cell r="AE2883" t="str">
            <v>EPAD1616</v>
          </cell>
          <cell r="AF2883">
            <v>561.82000000000016</v>
          </cell>
          <cell r="AG2883">
            <v>212.9</v>
          </cell>
          <cell r="AH2883">
            <v>212.9</v>
          </cell>
        </row>
        <row r="2884">
          <cell r="AE2884" t="str">
            <v>EPAD1617</v>
          </cell>
          <cell r="AF2884">
            <v>561.82000000000016</v>
          </cell>
          <cell r="AG2884">
            <v>212.9</v>
          </cell>
          <cell r="AH2884">
            <v>212.9</v>
          </cell>
        </row>
        <row r="2885">
          <cell r="AE2885" t="str">
            <v>EPAD1631</v>
          </cell>
          <cell r="AF2885">
            <v>569.07000000000016</v>
          </cell>
          <cell r="AG2885">
            <v>215.65</v>
          </cell>
          <cell r="AH2885">
            <v>215.65</v>
          </cell>
        </row>
        <row r="2886">
          <cell r="AE2886" t="str">
            <v>EPADB161</v>
          </cell>
          <cell r="AF2886">
            <v>383.54999999999995</v>
          </cell>
          <cell r="AG2886">
            <v>145.34</v>
          </cell>
          <cell r="AH2886">
            <v>145.34</v>
          </cell>
        </row>
        <row r="2887">
          <cell r="AE2887" t="str">
            <v>EPADB162</v>
          </cell>
          <cell r="AF2887">
            <v>383.54999999999995</v>
          </cell>
          <cell r="AG2887">
            <v>145.34</v>
          </cell>
          <cell r="AH2887">
            <v>145.34</v>
          </cell>
        </row>
        <row r="2888">
          <cell r="AE2888" t="str">
            <v>EPADB163</v>
          </cell>
          <cell r="AF2888">
            <v>486.40000000000009</v>
          </cell>
          <cell r="AG2888">
            <v>184.32</v>
          </cell>
          <cell r="AH2888">
            <v>184.32</v>
          </cell>
        </row>
        <row r="2889">
          <cell r="AE2889" t="str">
            <v>00VH248?</v>
          </cell>
          <cell r="AF2889">
            <v>650.12000000000012</v>
          </cell>
          <cell r="AG2889">
            <v>290.85000000000002</v>
          </cell>
          <cell r="AH2889">
            <v>290.85000000000002</v>
          </cell>
        </row>
        <row r="2890">
          <cell r="AE2890" t="str">
            <v>01TH246</v>
          </cell>
          <cell r="AF2890">
            <v>650.11999999999989</v>
          </cell>
          <cell r="AG2890">
            <v>290.85000000000002</v>
          </cell>
          <cell r="AH2890">
            <v>290.85000000000002</v>
          </cell>
        </row>
        <row r="2891">
          <cell r="AE2891" t="str">
            <v>03BH248</v>
          </cell>
          <cell r="AF2891">
            <v>650.11999999999989</v>
          </cell>
          <cell r="AG2891">
            <v>290.85000000000002</v>
          </cell>
          <cell r="AH2891">
            <v>290.85000000000002</v>
          </cell>
        </row>
        <row r="2892">
          <cell r="AE2892" t="str">
            <v>03GH246</v>
          </cell>
          <cell r="AF2892">
            <v>664.00000000000023</v>
          </cell>
          <cell r="AG2892">
            <v>297.05</v>
          </cell>
          <cell r="AH2892">
            <v>297.05</v>
          </cell>
        </row>
        <row r="2893">
          <cell r="AE2893" t="str">
            <v>05HGHMN</v>
          </cell>
          <cell r="AF2893">
            <v>482.05000000000018</v>
          </cell>
          <cell r="AG2893">
            <v>215.65</v>
          </cell>
          <cell r="AH2893">
            <v>215.65</v>
          </cell>
        </row>
        <row r="2894">
          <cell r="AE2894" t="str">
            <v>05QFTV0</v>
          </cell>
          <cell r="AF2894">
            <v>0</v>
          </cell>
          <cell r="AG2894">
            <v>267.17</v>
          </cell>
          <cell r="AH2894">
            <v>267.17</v>
          </cell>
        </row>
        <row r="2895">
          <cell r="AE2895" t="str">
            <v>1172739</v>
          </cell>
          <cell r="AF2895">
            <v>531.6700000000003</v>
          </cell>
          <cell r="AG2895">
            <v>237.85</v>
          </cell>
          <cell r="AH2895">
            <v>237.85</v>
          </cell>
        </row>
        <row r="2896">
          <cell r="AE2896" t="str">
            <v>1237727</v>
          </cell>
          <cell r="AF2896">
            <v>531.67000000000007</v>
          </cell>
          <cell r="AG2896">
            <v>237.85</v>
          </cell>
          <cell r="AH2896">
            <v>237.85</v>
          </cell>
        </row>
        <row r="2897">
          <cell r="AE2897" t="str">
            <v>1NUG5YN</v>
          </cell>
          <cell r="AF2897">
            <v>471.52</v>
          </cell>
          <cell r="AG2897">
            <v>210.95</v>
          </cell>
          <cell r="AH2897">
            <v>210.95</v>
          </cell>
        </row>
        <row r="2898">
          <cell r="AE2898" t="str">
            <v>2JUG5YQ</v>
          </cell>
          <cell r="AF2898">
            <v>475.89999999999986</v>
          </cell>
          <cell r="AG2898">
            <v>212.9</v>
          </cell>
          <cell r="AH2898">
            <v>212.9</v>
          </cell>
        </row>
        <row r="2899">
          <cell r="AE2899" t="str">
            <v>2KDG5VV</v>
          </cell>
          <cell r="AF2899">
            <v>526.20000000000027</v>
          </cell>
          <cell r="AG2899">
            <v>199.4</v>
          </cell>
          <cell r="AH2899">
            <v>199.4</v>
          </cell>
        </row>
        <row r="2900">
          <cell r="AE2900" t="str">
            <v>4MVH1MD</v>
          </cell>
          <cell r="AF2900">
            <v>595.4699999999998</v>
          </cell>
          <cell r="AG2900">
            <v>225.65</v>
          </cell>
          <cell r="AH2900">
            <v>225.65</v>
          </cell>
        </row>
        <row r="2901">
          <cell r="AE2901" t="str">
            <v>74KH1MD</v>
          </cell>
          <cell r="AF2901">
            <v>595.4699999999998</v>
          </cell>
          <cell r="AG2901">
            <v>225.65</v>
          </cell>
          <cell r="AH2901">
            <v>225.65</v>
          </cell>
        </row>
        <row r="2902">
          <cell r="AE2902" t="str">
            <v>B09H1MR</v>
          </cell>
          <cell r="AF2902">
            <v>470.85000000000014</v>
          </cell>
          <cell r="AG2902">
            <v>210.65</v>
          </cell>
          <cell r="AH2902">
            <v>210.65</v>
          </cell>
        </row>
        <row r="2903">
          <cell r="AE2903" t="str">
            <v>FCBG5YP</v>
          </cell>
          <cell r="AF2903">
            <v>482.05000000000018</v>
          </cell>
          <cell r="AG2903">
            <v>215.65</v>
          </cell>
          <cell r="AH2903">
            <v>215.65</v>
          </cell>
        </row>
        <row r="2904">
          <cell r="AE2904" t="str">
            <v>OG4GMW8</v>
          </cell>
          <cell r="AF2904">
            <v>1305.33</v>
          </cell>
          <cell r="AG2904">
            <v>494.65</v>
          </cell>
          <cell r="AH2904">
            <v>494.65</v>
          </cell>
        </row>
        <row r="2905">
          <cell r="AE2905" t="str">
            <v>057F8J2</v>
          </cell>
          <cell r="AF2905">
            <v>1225.5</v>
          </cell>
          <cell r="AG2905">
            <v>464.4</v>
          </cell>
          <cell r="AH2905">
            <v>464.4</v>
          </cell>
        </row>
        <row r="2906">
          <cell r="AE2906" t="str">
            <v>4SEF8J3</v>
          </cell>
          <cell r="AF2906">
            <v>1357.4499999999998</v>
          </cell>
          <cell r="AG2906">
            <v>514.4</v>
          </cell>
          <cell r="AH2906">
            <v>514.4</v>
          </cell>
        </row>
        <row r="2907">
          <cell r="AE2907" t="str">
            <v>D8PF8J2</v>
          </cell>
          <cell r="AF2907">
            <v>1225.5</v>
          </cell>
          <cell r="AG2907">
            <v>464.4</v>
          </cell>
          <cell r="AH2907">
            <v>464.4</v>
          </cell>
        </row>
        <row r="2908">
          <cell r="AE2908" t="str">
            <v>IT000123</v>
          </cell>
          <cell r="AF2908">
            <v>8288.75</v>
          </cell>
          <cell r="AG2908">
            <v>3141</v>
          </cell>
          <cell r="AH2908">
            <v>3141</v>
          </cell>
        </row>
        <row r="2909">
          <cell r="AE2909" t="str">
            <v>EE100112</v>
          </cell>
          <cell r="AF2909">
            <v>0</v>
          </cell>
          <cell r="AG2909">
            <v>3164.92</v>
          </cell>
          <cell r="AH2909">
            <v>3164.92</v>
          </cell>
        </row>
        <row r="2910">
          <cell r="AE2910" t="str">
            <v>4EEE889</v>
          </cell>
          <cell r="AF2910">
            <v>137.18</v>
          </cell>
          <cell r="AG2910">
            <v>129.94999999999999</v>
          </cell>
          <cell r="AH2910">
            <v>129.94999999999999</v>
          </cell>
        </row>
        <row r="2911">
          <cell r="AE2911" t="str">
            <v>E0009404</v>
          </cell>
          <cell r="AF2911">
            <v>0</v>
          </cell>
          <cell r="AG2911">
            <v>120</v>
          </cell>
          <cell r="AH2911">
            <v>120</v>
          </cell>
        </row>
        <row r="2912">
          <cell r="AE2912" t="str">
            <v>E1420049</v>
          </cell>
          <cell r="AF2912">
            <v>0</v>
          </cell>
          <cell r="AG2912">
            <v>340</v>
          </cell>
          <cell r="AH2912">
            <v>340</v>
          </cell>
        </row>
        <row r="2913">
          <cell r="AE2913" t="str">
            <v>E1420050</v>
          </cell>
          <cell r="AF2913">
            <v>0</v>
          </cell>
          <cell r="AG2913">
            <v>340</v>
          </cell>
          <cell r="AH2913">
            <v>340</v>
          </cell>
        </row>
        <row r="2914">
          <cell r="AE2914" t="str">
            <v>E100937</v>
          </cell>
          <cell r="AF2914">
            <v>19791.670000000013</v>
          </cell>
          <cell r="AG2914">
            <v>7500</v>
          </cell>
          <cell r="AH2914">
            <v>7500</v>
          </cell>
        </row>
        <row r="2915">
          <cell r="AE2915" t="str">
            <v>E100938</v>
          </cell>
          <cell r="AF2915">
            <v>19791.670000000013</v>
          </cell>
          <cell r="AG2915">
            <v>7500</v>
          </cell>
          <cell r="AH2915">
            <v>7500</v>
          </cell>
        </row>
        <row r="2916">
          <cell r="AE2916" t="str">
            <v>E0008431</v>
          </cell>
          <cell r="AF2916">
            <v>0</v>
          </cell>
          <cell r="AG2916">
            <v>3150</v>
          </cell>
          <cell r="AH2916">
            <v>3150</v>
          </cell>
        </row>
        <row r="2917">
          <cell r="AE2917" t="str">
            <v>E100839</v>
          </cell>
          <cell r="AF2917">
            <v>0</v>
          </cell>
          <cell r="AG2917">
            <v>1187.5</v>
          </cell>
          <cell r="AH2917">
            <v>1187.5</v>
          </cell>
        </row>
        <row r="2918">
          <cell r="AE2918" t="str">
            <v>E100840</v>
          </cell>
          <cell r="AF2918">
            <v>0</v>
          </cell>
          <cell r="AG2918">
            <v>1187.5</v>
          </cell>
          <cell r="AH2918">
            <v>1187.5</v>
          </cell>
        </row>
        <row r="2919">
          <cell r="AE2919" t="str">
            <v>E0008430</v>
          </cell>
          <cell r="AF2919">
            <v>0</v>
          </cell>
          <cell r="AG2919">
            <v>12725</v>
          </cell>
          <cell r="AH2919">
            <v>12725</v>
          </cell>
        </row>
        <row r="2920">
          <cell r="AE2920" t="str">
            <v>EE100752</v>
          </cell>
          <cell r="AF2920">
            <v>0</v>
          </cell>
          <cell r="AG2920">
            <v>3250</v>
          </cell>
          <cell r="AH2920">
            <v>3250</v>
          </cell>
        </row>
        <row r="2921">
          <cell r="AE2921" t="str">
            <v>EE100753</v>
          </cell>
          <cell r="AF2921">
            <v>0</v>
          </cell>
          <cell r="AG2921">
            <v>2400</v>
          </cell>
          <cell r="AH2921">
            <v>2400</v>
          </cell>
        </row>
        <row r="2922">
          <cell r="AE2922" t="str">
            <v>0810009</v>
          </cell>
          <cell r="AF2922">
            <v>876.65000000000009</v>
          </cell>
          <cell r="AG2922">
            <v>332.2</v>
          </cell>
          <cell r="AH2922">
            <v>332.2</v>
          </cell>
        </row>
        <row r="2923">
          <cell r="AE2923" t="str">
            <v>2175662</v>
          </cell>
          <cell r="AF2923">
            <v>325.70000000000016</v>
          </cell>
          <cell r="AG2923">
            <v>123.42</v>
          </cell>
          <cell r="AH2923">
            <v>123.42</v>
          </cell>
        </row>
        <row r="2924">
          <cell r="AE2924" t="str">
            <v>2252166</v>
          </cell>
          <cell r="AF2924">
            <v>876.65000000000009</v>
          </cell>
          <cell r="AG2924">
            <v>332.2</v>
          </cell>
          <cell r="AH2924">
            <v>332.2</v>
          </cell>
        </row>
        <row r="2925">
          <cell r="AE2925" t="str">
            <v>2410129</v>
          </cell>
          <cell r="AF2925">
            <v>876.65000000000009</v>
          </cell>
          <cell r="AG2925">
            <v>332.2</v>
          </cell>
          <cell r="AH2925">
            <v>332.2</v>
          </cell>
        </row>
        <row r="2926">
          <cell r="AE2926" t="str">
            <v>2412376</v>
          </cell>
          <cell r="AF2926">
            <v>876.65000000000009</v>
          </cell>
          <cell r="AG2926">
            <v>332.2</v>
          </cell>
          <cell r="AH2926">
            <v>332.2</v>
          </cell>
        </row>
        <row r="2927">
          <cell r="AE2927" t="str">
            <v>2752065</v>
          </cell>
          <cell r="AF2927">
            <v>304.38000000000011</v>
          </cell>
          <cell r="AG2927">
            <v>115.34</v>
          </cell>
          <cell r="AH2927">
            <v>115.34</v>
          </cell>
        </row>
        <row r="2928">
          <cell r="AE2928" t="str">
            <v>2752297</v>
          </cell>
          <cell r="AF2928">
            <v>304.38000000000011</v>
          </cell>
          <cell r="AG2928">
            <v>115.34</v>
          </cell>
          <cell r="AH2928">
            <v>115.34</v>
          </cell>
        </row>
        <row r="2929">
          <cell r="AE2929" t="str">
            <v>5488024</v>
          </cell>
          <cell r="AF2929">
            <v>876.65000000000009</v>
          </cell>
          <cell r="AG2929">
            <v>332.2</v>
          </cell>
          <cell r="AH2929">
            <v>332.2</v>
          </cell>
        </row>
        <row r="2930">
          <cell r="AE2930" t="str">
            <v>6793632</v>
          </cell>
          <cell r="AF2930">
            <v>315.65000000000009</v>
          </cell>
          <cell r="AG2930">
            <v>119.62</v>
          </cell>
          <cell r="AH2930">
            <v>119.62</v>
          </cell>
        </row>
        <row r="2931">
          <cell r="AE2931" t="str">
            <v>6794630</v>
          </cell>
          <cell r="AF2931">
            <v>315.65000000000009</v>
          </cell>
          <cell r="AG2931">
            <v>119.62</v>
          </cell>
          <cell r="AH2931">
            <v>119.62</v>
          </cell>
        </row>
        <row r="2932">
          <cell r="AE2932" t="str">
            <v>7563997</v>
          </cell>
          <cell r="AF2932">
            <v>876.65000000000009</v>
          </cell>
          <cell r="AG2932">
            <v>332.2</v>
          </cell>
          <cell r="AH2932">
            <v>332.2</v>
          </cell>
        </row>
        <row r="2933">
          <cell r="AE2933" t="str">
            <v>H008329</v>
          </cell>
          <cell r="AF2933">
            <v>421.37000000000012</v>
          </cell>
          <cell r="AG2933">
            <v>159.67500000000001</v>
          </cell>
          <cell r="AH2933">
            <v>159.67500000000001</v>
          </cell>
        </row>
        <row r="2934">
          <cell r="AE2934" t="str">
            <v>M687742</v>
          </cell>
          <cell r="AF2934">
            <v>421.37000000000012</v>
          </cell>
          <cell r="AG2934">
            <v>159.67500000000001</v>
          </cell>
          <cell r="AH2934">
            <v>159.67500000000001</v>
          </cell>
        </row>
        <row r="2935">
          <cell r="AE2935" t="str">
            <v>EE100759</v>
          </cell>
          <cell r="AF2935">
            <v>0</v>
          </cell>
          <cell r="AG2935">
            <v>14735</v>
          </cell>
          <cell r="AH2935">
            <v>14735</v>
          </cell>
        </row>
        <row r="2936">
          <cell r="AE2936" t="str">
            <v>E100128</v>
          </cell>
          <cell r="AF2936">
            <v>6705.8499999999985</v>
          </cell>
          <cell r="AG2936">
            <v>3000</v>
          </cell>
          <cell r="AH2936">
            <v>3000</v>
          </cell>
        </row>
        <row r="2937">
          <cell r="AE2937" t="str">
            <v>E100129</v>
          </cell>
          <cell r="AF2937">
            <v>6705.8499999999985</v>
          </cell>
          <cell r="AG2937">
            <v>3000</v>
          </cell>
          <cell r="AH2937">
            <v>3000</v>
          </cell>
        </row>
        <row r="2938">
          <cell r="AE2938" t="str">
            <v>EE100729</v>
          </cell>
          <cell r="AF2938">
            <v>0</v>
          </cell>
          <cell r="AG2938">
            <v>2450</v>
          </cell>
          <cell r="AH2938">
            <v>2450</v>
          </cell>
        </row>
        <row r="2939">
          <cell r="AE2939" t="str">
            <v>EE100749</v>
          </cell>
          <cell r="AF2939">
            <v>0</v>
          </cell>
          <cell r="AG2939">
            <v>569.5</v>
          </cell>
          <cell r="AH2939">
            <v>569.5</v>
          </cell>
        </row>
        <row r="2940">
          <cell r="AE2940" t="str">
            <v>EE100750</v>
          </cell>
          <cell r="AF2940">
            <v>0</v>
          </cell>
          <cell r="AG2940">
            <v>569.5</v>
          </cell>
          <cell r="AH2940">
            <v>569.5</v>
          </cell>
        </row>
        <row r="2941">
          <cell r="AE2941" t="str">
            <v>E100964</v>
          </cell>
          <cell r="AF2941">
            <v>1747.9700000000003</v>
          </cell>
          <cell r="AG2941">
            <v>662.39</v>
          </cell>
          <cell r="AH2941">
            <v>662.39</v>
          </cell>
        </row>
        <row r="2942">
          <cell r="AE2942" t="str">
            <v>E100965</v>
          </cell>
          <cell r="AF2942">
            <v>1747.9700000000003</v>
          </cell>
          <cell r="AG2942">
            <v>662.39</v>
          </cell>
          <cell r="AH2942">
            <v>662.39</v>
          </cell>
        </row>
        <row r="2943">
          <cell r="AE2943" t="str">
            <v>EE100746</v>
          </cell>
          <cell r="AF2943">
            <v>0</v>
          </cell>
          <cell r="AG2943">
            <v>1708.15</v>
          </cell>
          <cell r="AH2943">
            <v>1708.15</v>
          </cell>
        </row>
        <row r="2944">
          <cell r="AE2944" t="str">
            <v>EI00802</v>
          </cell>
          <cell r="AF2944">
            <v>0</v>
          </cell>
          <cell r="AG2944">
            <v>4137.5</v>
          </cell>
          <cell r="AH2944">
            <v>4137.5</v>
          </cell>
        </row>
        <row r="2945">
          <cell r="AE2945" t="str">
            <v>EI00803</v>
          </cell>
          <cell r="AF2945">
            <v>0</v>
          </cell>
          <cell r="AG2945">
            <v>4137.5</v>
          </cell>
          <cell r="AH2945">
            <v>4137.5</v>
          </cell>
        </row>
        <row r="2946">
          <cell r="AE2946" t="str">
            <v>E100812</v>
          </cell>
          <cell r="AF2946">
            <v>0</v>
          </cell>
          <cell r="AG2946">
            <v>44500</v>
          </cell>
          <cell r="AH2946">
            <v>44500</v>
          </cell>
        </row>
        <row r="2947">
          <cell r="AE2947" t="str">
            <v>E100813</v>
          </cell>
          <cell r="AF2947">
            <v>0</v>
          </cell>
          <cell r="AG2947">
            <v>44500</v>
          </cell>
          <cell r="AH2947">
            <v>44500</v>
          </cell>
        </row>
        <row r="2948">
          <cell r="AE2948" t="str">
            <v>E100829</v>
          </cell>
          <cell r="AF2948">
            <v>0</v>
          </cell>
          <cell r="AG2948">
            <v>1375</v>
          </cell>
          <cell r="AH2948">
            <v>1375</v>
          </cell>
        </row>
        <row r="2949">
          <cell r="AE2949" t="str">
            <v>E100830</v>
          </cell>
          <cell r="AF2949">
            <v>0</v>
          </cell>
          <cell r="AG2949">
            <v>1000</v>
          </cell>
          <cell r="AH2949">
            <v>1000</v>
          </cell>
        </row>
        <row r="2950">
          <cell r="AE2950" t="str">
            <v>E100831</v>
          </cell>
          <cell r="AF2950">
            <v>0</v>
          </cell>
          <cell r="AG2950">
            <v>1000</v>
          </cell>
          <cell r="AH2950">
            <v>1000</v>
          </cell>
        </row>
        <row r="2951">
          <cell r="AE2951" t="str">
            <v>E100828</v>
          </cell>
          <cell r="AF2951">
            <v>0</v>
          </cell>
          <cell r="AG2951">
            <v>1375</v>
          </cell>
          <cell r="AH2951">
            <v>1375</v>
          </cell>
        </row>
        <row r="2952">
          <cell r="AE2952" t="str">
            <v>EE100771</v>
          </cell>
          <cell r="AF2952">
            <v>0</v>
          </cell>
          <cell r="AG2952">
            <v>449.5</v>
          </cell>
          <cell r="AH2952">
            <v>449.5</v>
          </cell>
        </row>
        <row r="2953">
          <cell r="AE2953" t="str">
            <v>EE100772</v>
          </cell>
          <cell r="AF2953">
            <v>0</v>
          </cell>
          <cell r="AG2953">
            <v>449.5</v>
          </cell>
          <cell r="AH2953">
            <v>449.5</v>
          </cell>
        </row>
        <row r="2954">
          <cell r="AE2954" t="str">
            <v>E100888</v>
          </cell>
          <cell r="AF2954">
            <v>5022.32</v>
          </cell>
          <cell r="AG2954">
            <v>1903.2</v>
          </cell>
          <cell r="AH2954">
            <v>1903.2</v>
          </cell>
        </row>
        <row r="2955">
          <cell r="AE2955" t="str">
            <v>E100891</v>
          </cell>
          <cell r="AF2955">
            <v>2770.8199999999997</v>
          </cell>
          <cell r="AG2955">
            <v>1050</v>
          </cell>
          <cell r="AH2955">
            <v>1050</v>
          </cell>
        </row>
        <row r="2956">
          <cell r="AE2956" t="str">
            <v>E100895</v>
          </cell>
          <cell r="AF2956">
            <v>5145.82</v>
          </cell>
          <cell r="AG2956">
            <v>1950</v>
          </cell>
          <cell r="AH2956">
            <v>1950</v>
          </cell>
        </row>
        <row r="2957">
          <cell r="AE2957" t="str">
            <v>E100896</v>
          </cell>
          <cell r="AF2957">
            <v>5145.82</v>
          </cell>
          <cell r="AG2957">
            <v>1950</v>
          </cell>
          <cell r="AH2957">
            <v>1950</v>
          </cell>
        </row>
        <row r="2958">
          <cell r="AE2958" t="str">
            <v>E100897</v>
          </cell>
          <cell r="AF2958">
            <v>5145.82</v>
          </cell>
          <cell r="AG2958">
            <v>1950</v>
          </cell>
          <cell r="AH2958">
            <v>1950</v>
          </cell>
        </row>
        <row r="2959">
          <cell r="AE2959" t="str">
            <v>E100898</v>
          </cell>
          <cell r="AF2959">
            <v>5145.82</v>
          </cell>
          <cell r="AG2959">
            <v>1950</v>
          </cell>
          <cell r="AH2959">
            <v>1950</v>
          </cell>
        </row>
        <row r="2960">
          <cell r="AE2960" t="str">
            <v>E100899</v>
          </cell>
          <cell r="AF2960">
            <v>1319.4500000000007</v>
          </cell>
          <cell r="AG2960">
            <v>500</v>
          </cell>
          <cell r="AH2960">
            <v>500</v>
          </cell>
        </row>
        <row r="2961">
          <cell r="AE2961" t="str">
            <v>E100900</v>
          </cell>
          <cell r="AF2961">
            <v>1319.4500000000007</v>
          </cell>
          <cell r="AG2961">
            <v>500</v>
          </cell>
          <cell r="AH2961">
            <v>500</v>
          </cell>
        </row>
        <row r="2962">
          <cell r="AE2962" t="str">
            <v>E100901</v>
          </cell>
          <cell r="AF2962">
            <v>1319.4500000000007</v>
          </cell>
          <cell r="AG2962">
            <v>500</v>
          </cell>
          <cell r="AH2962">
            <v>500</v>
          </cell>
        </row>
        <row r="2963">
          <cell r="AE2963" t="str">
            <v>E100902</v>
          </cell>
          <cell r="AF2963">
            <v>1319.4500000000007</v>
          </cell>
          <cell r="AG2963">
            <v>500</v>
          </cell>
          <cell r="AH2963">
            <v>500</v>
          </cell>
        </row>
        <row r="2964">
          <cell r="AE2964" t="str">
            <v>E100903</v>
          </cell>
          <cell r="AF2964">
            <v>1319.4500000000007</v>
          </cell>
          <cell r="AG2964">
            <v>500</v>
          </cell>
          <cell r="AH2964">
            <v>500</v>
          </cell>
        </row>
        <row r="2965">
          <cell r="AE2965" t="str">
            <v>E100904</v>
          </cell>
          <cell r="AF2965">
            <v>1319.4500000000007</v>
          </cell>
          <cell r="AG2965">
            <v>500</v>
          </cell>
          <cell r="AH2965">
            <v>500</v>
          </cell>
        </row>
        <row r="2966">
          <cell r="AE2966" t="str">
            <v>E100905</v>
          </cell>
          <cell r="AF2966">
            <v>1319.4500000000007</v>
          </cell>
          <cell r="AG2966">
            <v>500</v>
          </cell>
          <cell r="AH2966">
            <v>500</v>
          </cell>
        </row>
        <row r="2967">
          <cell r="AE2967" t="str">
            <v>E100906</v>
          </cell>
          <cell r="AF2967">
            <v>2375</v>
          </cell>
          <cell r="AG2967">
            <v>900</v>
          </cell>
          <cell r="AH2967">
            <v>900</v>
          </cell>
        </row>
        <row r="2968">
          <cell r="AE2968" t="str">
            <v>E100907</v>
          </cell>
          <cell r="AF2968">
            <v>2375</v>
          </cell>
          <cell r="AG2968">
            <v>900</v>
          </cell>
          <cell r="AH2968">
            <v>900</v>
          </cell>
        </row>
        <row r="2969">
          <cell r="AE2969" t="str">
            <v>E100908</v>
          </cell>
          <cell r="AF2969">
            <v>2375</v>
          </cell>
          <cell r="AG2969">
            <v>900</v>
          </cell>
          <cell r="AH2969">
            <v>900</v>
          </cell>
        </row>
        <row r="2970">
          <cell r="AE2970" t="str">
            <v>E100909</v>
          </cell>
          <cell r="AF2970">
            <v>2375</v>
          </cell>
          <cell r="AG2970">
            <v>900</v>
          </cell>
          <cell r="AH2970">
            <v>900</v>
          </cell>
        </row>
        <row r="2971">
          <cell r="AE2971" t="str">
            <v>E100910</v>
          </cell>
          <cell r="AF2971">
            <v>1649.3100000000004</v>
          </cell>
          <cell r="AG2971">
            <v>625</v>
          </cell>
          <cell r="AH2971">
            <v>625</v>
          </cell>
        </row>
        <row r="2972">
          <cell r="AE2972" t="str">
            <v>E100911</v>
          </cell>
          <cell r="AF2972">
            <v>1649.3100000000004</v>
          </cell>
          <cell r="AG2972">
            <v>625</v>
          </cell>
          <cell r="AH2972">
            <v>625</v>
          </cell>
        </row>
        <row r="2973">
          <cell r="AE2973" t="str">
            <v>E100925</v>
          </cell>
          <cell r="AF2973">
            <v>1727.1500000000005</v>
          </cell>
          <cell r="AG2973">
            <v>654.5</v>
          </cell>
          <cell r="AH2973">
            <v>654.5</v>
          </cell>
        </row>
        <row r="2974">
          <cell r="AE2974" t="str">
            <v>E100926</v>
          </cell>
          <cell r="AF2974">
            <v>1727.1500000000005</v>
          </cell>
          <cell r="AG2974">
            <v>654.5</v>
          </cell>
          <cell r="AH2974">
            <v>654.5</v>
          </cell>
        </row>
        <row r="2975">
          <cell r="AE2975" t="str">
            <v>E100927</v>
          </cell>
          <cell r="AF2975">
            <v>5991.9900000000016</v>
          </cell>
          <cell r="AG2975">
            <v>2270.65</v>
          </cell>
          <cell r="AH2975">
            <v>2270.65</v>
          </cell>
        </row>
        <row r="2976">
          <cell r="AE2976" t="str">
            <v>ENET1702</v>
          </cell>
          <cell r="AF2976">
            <v>1453.8199999999997</v>
          </cell>
          <cell r="AG2976">
            <v>550.91999999999996</v>
          </cell>
          <cell r="AH2976">
            <v>550.91999999999996</v>
          </cell>
        </row>
        <row r="2977">
          <cell r="AE2977" t="str">
            <v>ENET1704</v>
          </cell>
          <cell r="AF2977">
            <v>1966.6599999999999</v>
          </cell>
          <cell r="AG2977">
            <v>1263.1500000000001</v>
          </cell>
          <cell r="AH2977">
            <v>1263.1500000000001</v>
          </cell>
        </row>
        <row r="2978">
          <cell r="AE2978" t="str">
            <v>ENET1701</v>
          </cell>
          <cell r="AF2978">
            <v>1701.6999999999998</v>
          </cell>
          <cell r="AG2978">
            <v>644.85</v>
          </cell>
          <cell r="AH2978">
            <v>644.85</v>
          </cell>
        </row>
        <row r="2979">
          <cell r="AE2979" t="str">
            <v>ENET1703</v>
          </cell>
          <cell r="AF2979">
            <v>2251.35</v>
          </cell>
          <cell r="AG2979">
            <v>853.15</v>
          </cell>
          <cell r="AH2979">
            <v>853.15</v>
          </cell>
        </row>
        <row r="2980">
          <cell r="AE2980" t="str">
            <v xml:space="preserve">E1008061    </v>
          </cell>
          <cell r="AF2980">
            <v>0</v>
          </cell>
          <cell r="AG2980">
            <v>346</v>
          </cell>
          <cell r="AH2980">
            <v>26.61</v>
          </cell>
        </row>
        <row r="2981">
          <cell r="AE2981" t="str">
            <v xml:space="preserve">E1008062    </v>
          </cell>
          <cell r="AF2981">
            <v>0</v>
          </cell>
          <cell r="AG2981">
            <v>346</v>
          </cell>
          <cell r="AH2981">
            <v>10.66</v>
          </cell>
        </row>
        <row r="2982">
          <cell r="AE2982" t="str">
            <v xml:space="preserve">E1008063    </v>
          </cell>
          <cell r="AF2982">
            <v>0</v>
          </cell>
          <cell r="AG2982">
            <v>346</v>
          </cell>
          <cell r="AH2982">
            <v>26.61</v>
          </cell>
        </row>
        <row r="2983">
          <cell r="AE2983" t="str">
            <v xml:space="preserve">E1008064    </v>
          </cell>
          <cell r="AF2983">
            <v>0</v>
          </cell>
          <cell r="AG2983">
            <v>346</v>
          </cell>
          <cell r="AH2983">
            <v>117.12</v>
          </cell>
        </row>
        <row r="2984">
          <cell r="AE2984" t="str">
            <v xml:space="preserve">E1008065    </v>
          </cell>
          <cell r="AF2984">
            <v>0</v>
          </cell>
          <cell r="AG2984">
            <v>346</v>
          </cell>
          <cell r="AH2984">
            <v>31.94</v>
          </cell>
        </row>
        <row r="2985">
          <cell r="AE2985" t="str">
            <v xml:space="preserve">E1008066    </v>
          </cell>
          <cell r="AF2985">
            <v>0</v>
          </cell>
          <cell r="AG2985">
            <v>346</v>
          </cell>
          <cell r="AH2985">
            <v>37.26</v>
          </cell>
        </row>
        <row r="2986">
          <cell r="AE2986" t="str">
            <v xml:space="preserve">E1008067    </v>
          </cell>
          <cell r="AF2986">
            <v>0</v>
          </cell>
          <cell r="AG2986">
            <v>346</v>
          </cell>
          <cell r="AH2986">
            <v>95.81</v>
          </cell>
        </row>
        <row r="2987">
          <cell r="AE2987" t="str">
            <v xml:space="preserve">E1008071    </v>
          </cell>
          <cell r="AF2987">
            <v>0</v>
          </cell>
          <cell r="AG2987">
            <v>346</v>
          </cell>
          <cell r="AH2987">
            <v>26.61</v>
          </cell>
        </row>
        <row r="2988">
          <cell r="AE2988" t="str">
            <v xml:space="preserve">E1008072    </v>
          </cell>
          <cell r="AF2988">
            <v>0</v>
          </cell>
          <cell r="AG2988">
            <v>346</v>
          </cell>
          <cell r="AH2988">
            <v>10.66</v>
          </cell>
        </row>
        <row r="2989">
          <cell r="AE2989" t="str">
            <v xml:space="preserve">E1008073    </v>
          </cell>
          <cell r="AF2989">
            <v>0</v>
          </cell>
          <cell r="AG2989">
            <v>346</v>
          </cell>
          <cell r="AH2989">
            <v>26.61</v>
          </cell>
        </row>
        <row r="2990">
          <cell r="AE2990" t="str">
            <v xml:space="preserve">E1008074    </v>
          </cell>
          <cell r="AF2990">
            <v>0</v>
          </cell>
          <cell r="AG2990">
            <v>346</v>
          </cell>
          <cell r="AH2990">
            <v>117.12</v>
          </cell>
        </row>
        <row r="2991">
          <cell r="AE2991" t="str">
            <v xml:space="preserve">E1008075    </v>
          </cell>
          <cell r="AF2991">
            <v>0</v>
          </cell>
          <cell r="AG2991">
            <v>346</v>
          </cell>
          <cell r="AH2991">
            <v>31.94</v>
          </cell>
        </row>
        <row r="2992">
          <cell r="AE2992" t="str">
            <v xml:space="preserve">E1008076    </v>
          </cell>
          <cell r="AF2992">
            <v>0</v>
          </cell>
          <cell r="AG2992">
            <v>346</v>
          </cell>
          <cell r="AH2992">
            <v>37.26</v>
          </cell>
        </row>
        <row r="2993">
          <cell r="AE2993" t="str">
            <v xml:space="preserve">E1008077    </v>
          </cell>
          <cell r="AF2993">
            <v>0</v>
          </cell>
          <cell r="AG2993">
            <v>346</v>
          </cell>
          <cell r="AH2993">
            <v>95.81</v>
          </cell>
        </row>
        <row r="2994">
          <cell r="AE2994" t="str">
            <v xml:space="preserve">E1008081    </v>
          </cell>
          <cell r="AF2994">
            <v>0</v>
          </cell>
          <cell r="AG2994">
            <v>346</v>
          </cell>
          <cell r="AH2994">
            <v>26.61</v>
          </cell>
        </row>
        <row r="2995">
          <cell r="AE2995" t="str">
            <v xml:space="preserve">E1008082    </v>
          </cell>
          <cell r="AF2995">
            <v>0</v>
          </cell>
          <cell r="AG2995">
            <v>346</v>
          </cell>
          <cell r="AH2995">
            <v>10.66</v>
          </cell>
        </row>
        <row r="2996">
          <cell r="AE2996" t="str">
            <v xml:space="preserve">E1008083    </v>
          </cell>
          <cell r="AF2996">
            <v>0</v>
          </cell>
          <cell r="AG2996">
            <v>346</v>
          </cell>
          <cell r="AH2996">
            <v>26.61</v>
          </cell>
        </row>
        <row r="2997">
          <cell r="AE2997" t="str">
            <v xml:space="preserve">E1008084    </v>
          </cell>
          <cell r="AF2997">
            <v>0</v>
          </cell>
          <cell r="AG2997">
            <v>346</v>
          </cell>
          <cell r="AH2997">
            <v>117.12</v>
          </cell>
        </row>
        <row r="2998">
          <cell r="AE2998" t="str">
            <v xml:space="preserve">E1008085    </v>
          </cell>
          <cell r="AF2998">
            <v>0</v>
          </cell>
          <cell r="AG2998">
            <v>346</v>
          </cell>
          <cell r="AH2998">
            <v>31.94</v>
          </cell>
        </row>
        <row r="2999">
          <cell r="AE2999" t="str">
            <v xml:space="preserve">E1008086    </v>
          </cell>
          <cell r="AF2999">
            <v>0</v>
          </cell>
          <cell r="AG2999">
            <v>346</v>
          </cell>
          <cell r="AH2999">
            <v>37.26</v>
          </cell>
        </row>
        <row r="3000">
          <cell r="AE3000" t="str">
            <v xml:space="preserve">E1008087    </v>
          </cell>
          <cell r="AF3000">
            <v>0</v>
          </cell>
          <cell r="AG3000">
            <v>346</v>
          </cell>
          <cell r="AH3000">
            <v>95.81</v>
          </cell>
        </row>
        <row r="3001">
          <cell r="AE3001" t="str">
            <v xml:space="preserve">E1008091    </v>
          </cell>
          <cell r="AF3001">
            <v>0</v>
          </cell>
          <cell r="AG3001">
            <v>346</v>
          </cell>
          <cell r="AH3001">
            <v>26.61</v>
          </cell>
        </row>
        <row r="3002">
          <cell r="AE3002" t="str">
            <v xml:space="preserve">E1008092    </v>
          </cell>
          <cell r="AF3002">
            <v>0</v>
          </cell>
          <cell r="AG3002">
            <v>346</v>
          </cell>
          <cell r="AH3002">
            <v>10.66</v>
          </cell>
        </row>
        <row r="3003">
          <cell r="AE3003" t="str">
            <v xml:space="preserve">E1008093    </v>
          </cell>
          <cell r="AF3003">
            <v>0</v>
          </cell>
          <cell r="AG3003">
            <v>346</v>
          </cell>
          <cell r="AH3003">
            <v>26.61</v>
          </cell>
        </row>
        <row r="3004">
          <cell r="AE3004" t="str">
            <v xml:space="preserve">E1008094    </v>
          </cell>
          <cell r="AF3004">
            <v>0</v>
          </cell>
          <cell r="AG3004">
            <v>346</v>
          </cell>
          <cell r="AH3004">
            <v>117.12</v>
          </cell>
        </row>
        <row r="3005">
          <cell r="AE3005" t="str">
            <v xml:space="preserve">E1008095    </v>
          </cell>
          <cell r="AF3005">
            <v>0</v>
          </cell>
          <cell r="AG3005">
            <v>346</v>
          </cell>
          <cell r="AH3005">
            <v>31.94</v>
          </cell>
        </row>
        <row r="3006">
          <cell r="AE3006" t="str">
            <v xml:space="preserve">E1008096    </v>
          </cell>
          <cell r="AF3006">
            <v>0</v>
          </cell>
          <cell r="AG3006">
            <v>346</v>
          </cell>
          <cell r="AH3006">
            <v>37.26</v>
          </cell>
        </row>
        <row r="3007">
          <cell r="AE3007" t="str">
            <v xml:space="preserve">E1008097    </v>
          </cell>
          <cell r="AF3007">
            <v>0</v>
          </cell>
          <cell r="AG3007">
            <v>346</v>
          </cell>
          <cell r="AH3007">
            <v>95.81</v>
          </cell>
        </row>
        <row r="3008">
          <cell r="AE3008" t="str">
            <v xml:space="preserve">E1008101    </v>
          </cell>
          <cell r="AF3008">
            <v>0</v>
          </cell>
          <cell r="AG3008">
            <v>346</v>
          </cell>
          <cell r="AH3008">
            <v>26.61</v>
          </cell>
        </row>
        <row r="3009">
          <cell r="AE3009" t="str">
            <v xml:space="preserve">E1008102    </v>
          </cell>
          <cell r="AF3009">
            <v>0</v>
          </cell>
          <cell r="AG3009">
            <v>346</v>
          </cell>
          <cell r="AH3009">
            <v>10.66</v>
          </cell>
        </row>
        <row r="3010">
          <cell r="AE3010" t="str">
            <v xml:space="preserve">E1008103    </v>
          </cell>
          <cell r="AF3010">
            <v>0</v>
          </cell>
          <cell r="AG3010">
            <v>346</v>
          </cell>
          <cell r="AH3010">
            <v>26.61</v>
          </cell>
        </row>
        <row r="3011">
          <cell r="AE3011" t="str">
            <v xml:space="preserve">E1008104    </v>
          </cell>
          <cell r="AF3011">
            <v>0</v>
          </cell>
          <cell r="AG3011">
            <v>346</v>
          </cell>
          <cell r="AH3011">
            <v>117.12</v>
          </cell>
        </row>
        <row r="3012">
          <cell r="AE3012" t="str">
            <v xml:space="preserve">E1008105    </v>
          </cell>
          <cell r="AF3012">
            <v>0</v>
          </cell>
          <cell r="AG3012">
            <v>346</v>
          </cell>
          <cell r="AH3012">
            <v>31.94</v>
          </cell>
        </row>
        <row r="3013">
          <cell r="AE3013" t="str">
            <v xml:space="preserve">E1008106    </v>
          </cell>
          <cell r="AF3013">
            <v>0</v>
          </cell>
          <cell r="AG3013">
            <v>346</v>
          </cell>
          <cell r="AH3013">
            <v>37.26</v>
          </cell>
        </row>
        <row r="3014">
          <cell r="AE3014" t="str">
            <v xml:space="preserve">E1008107    </v>
          </cell>
          <cell r="AF3014">
            <v>0</v>
          </cell>
          <cell r="AG3014">
            <v>346</v>
          </cell>
          <cell r="AH3014">
            <v>95.81</v>
          </cell>
        </row>
        <row r="3015">
          <cell r="AE3015" t="str">
            <v xml:space="preserve">E1008111    </v>
          </cell>
          <cell r="AF3015">
            <v>0</v>
          </cell>
          <cell r="AG3015">
            <v>346</v>
          </cell>
          <cell r="AH3015">
            <v>26.61</v>
          </cell>
        </row>
        <row r="3016">
          <cell r="AE3016" t="str">
            <v xml:space="preserve">E1008112    </v>
          </cell>
          <cell r="AF3016">
            <v>0</v>
          </cell>
          <cell r="AG3016">
            <v>346</v>
          </cell>
          <cell r="AH3016">
            <v>10.66</v>
          </cell>
        </row>
        <row r="3017">
          <cell r="AE3017" t="str">
            <v xml:space="preserve">E1008113    </v>
          </cell>
          <cell r="AF3017">
            <v>0</v>
          </cell>
          <cell r="AG3017">
            <v>346</v>
          </cell>
          <cell r="AH3017">
            <v>26.61</v>
          </cell>
        </row>
        <row r="3018">
          <cell r="AE3018" t="str">
            <v xml:space="preserve">E1008114    </v>
          </cell>
          <cell r="AF3018">
            <v>0</v>
          </cell>
          <cell r="AG3018">
            <v>346</v>
          </cell>
          <cell r="AH3018">
            <v>117.12</v>
          </cell>
        </row>
        <row r="3019">
          <cell r="AE3019" t="str">
            <v xml:space="preserve">E1008115    </v>
          </cell>
          <cell r="AF3019">
            <v>0</v>
          </cell>
          <cell r="AG3019">
            <v>346</v>
          </cell>
          <cell r="AH3019">
            <v>31.94</v>
          </cell>
        </row>
        <row r="3020">
          <cell r="AE3020" t="str">
            <v xml:space="preserve">E1008116    </v>
          </cell>
          <cell r="AF3020">
            <v>0</v>
          </cell>
          <cell r="AG3020">
            <v>346</v>
          </cell>
          <cell r="AH3020">
            <v>37.26</v>
          </cell>
        </row>
        <row r="3021">
          <cell r="AE3021" t="str">
            <v xml:space="preserve">E1008117    </v>
          </cell>
          <cell r="AF3021">
            <v>0</v>
          </cell>
          <cell r="AG3021">
            <v>346</v>
          </cell>
          <cell r="AH3021">
            <v>95.81</v>
          </cell>
        </row>
        <row r="3022">
          <cell r="AE3022" t="str">
            <v>4448RC8</v>
          </cell>
          <cell r="AF3022">
            <v>0</v>
          </cell>
          <cell r="AG3022">
            <v>156.81</v>
          </cell>
          <cell r="AH3022">
            <v>156.81</v>
          </cell>
        </row>
        <row r="3023">
          <cell r="AE3023" t="str">
            <v>4449CNX</v>
          </cell>
          <cell r="AF3023">
            <v>0</v>
          </cell>
          <cell r="AG3023">
            <v>156.81</v>
          </cell>
          <cell r="AH3023">
            <v>156.81</v>
          </cell>
        </row>
        <row r="3024">
          <cell r="AE3024" t="str">
            <v>4449CNY</v>
          </cell>
          <cell r="AF3024">
            <v>0</v>
          </cell>
          <cell r="AG3024">
            <v>156.81</v>
          </cell>
          <cell r="AH3024">
            <v>156.81</v>
          </cell>
        </row>
        <row r="3025">
          <cell r="AE3025" t="str">
            <v>4449CNZ</v>
          </cell>
          <cell r="AF3025">
            <v>0</v>
          </cell>
          <cell r="AG3025">
            <v>156.81</v>
          </cell>
          <cell r="AH3025">
            <v>156.81</v>
          </cell>
        </row>
        <row r="3026">
          <cell r="AE3026" t="str">
            <v>5202G25</v>
          </cell>
          <cell r="AF3026">
            <v>421.18000000000006</v>
          </cell>
          <cell r="AG3026">
            <v>159.602</v>
          </cell>
          <cell r="AH3026">
            <v>159.602</v>
          </cell>
        </row>
        <row r="3027">
          <cell r="AE3027" t="str">
            <v>5202G29</v>
          </cell>
          <cell r="AF3027">
            <v>421.18000000000006</v>
          </cell>
          <cell r="AG3027">
            <v>159.602</v>
          </cell>
          <cell r="AH3027">
            <v>159.602</v>
          </cell>
        </row>
        <row r="3028">
          <cell r="AE3028" t="str">
            <v>5245723</v>
          </cell>
          <cell r="AF3028">
            <v>864.5</v>
          </cell>
          <cell r="AG3028">
            <v>159.602</v>
          </cell>
          <cell r="AH3028">
            <v>159.602</v>
          </cell>
        </row>
        <row r="3029">
          <cell r="AE3029" t="str">
            <v>5245725</v>
          </cell>
          <cell r="AF3029">
            <v>421.18000000000006</v>
          </cell>
          <cell r="AG3029">
            <v>159.602</v>
          </cell>
          <cell r="AH3029">
            <v>159.602</v>
          </cell>
        </row>
        <row r="3030">
          <cell r="AE3030" t="str">
            <v>5245727</v>
          </cell>
          <cell r="AF3030">
            <v>421.18000000000006</v>
          </cell>
          <cell r="AG3030">
            <v>159.602</v>
          </cell>
          <cell r="AH3030">
            <v>159.602</v>
          </cell>
        </row>
        <row r="3031">
          <cell r="AE3031" t="str">
            <v>5245729</v>
          </cell>
          <cell r="AF3031">
            <v>421.18000000000006</v>
          </cell>
          <cell r="AG3031">
            <v>159.601</v>
          </cell>
          <cell r="AH3031">
            <v>159.601</v>
          </cell>
        </row>
        <row r="3032">
          <cell r="AE3032" t="str">
            <v>524572B</v>
          </cell>
          <cell r="AF3032">
            <v>421.18000000000006</v>
          </cell>
          <cell r="AG3032">
            <v>159.602</v>
          </cell>
          <cell r="AH3032">
            <v>159.602</v>
          </cell>
        </row>
        <row r="3033">
          <cell r="AE3033" t="str">
            <v>524572C</v>
          </cell>
          <cell r="AF3033">
            <v>421.18000000000006</v>
          </cell>
          <cell r="AG3033">
            <v>159.602</v>
          </cell>
          <cell r="AH3033">
            <v>159.602</v>
          </cell>
        </row>
        <row r="3034">
          <cell r="AE3034" t="str">
            <v>524572F</v>
          </cell>
          <cell r="AF3034">
            <v>421.18000000000006</v>
          </cell>
          <cell r="AG3034">
            <v>159.602</v>
          </cell>
          <cell r="AH3034">
            <v>159.602</v>
          </cell>
        </row>
        <row r="3035">
          <cell r="AE3035" t="str">
            <v>5365LMS</v>
          </cell>
          <cell r="AF3035">
            <v>562.74000000000024</v>
          </cell>
          <cell r="AG3035">
            <v>213.25</v>
          </cell>
          <cell r="AH3035">
            <v>213.25</v>
          </cell>
        </row>
        <row r="3036">
          <cell r="AE3036" t="str">
            <v>5365LMX</v>
          </cell>
          <cell r="AF3036">
            <v>562.74000000000024</v>
          </cell>
          <cell r="AG3036">
            <v>213.25</v>
          </cell>
          <cell r="AH3036">
            <v>213.25</v>
          </cell>
        </row>
        <row r="3037">
          <cell r="AE3037" t="str">
            <v>5365LMY</v>
          </cell>
          <cell r="AF3037">
            <v>643.77</v>
          </cell>
          <cell r="AG3037">
            <v>243.95</v>
          </cell>
          <cell r="AH3037">
            <v>243.95</v>
          </cell>
        </row>
        <row r="3038">
          <cell r="AE3038" t="str">
            <v>5365LN8</v>
          </cell>
          <cell r="AF3038">
            <v>562.69999999999982</v>
          </cell>
          <cell r="AG3038">
            <v>213.23</v>
          </cell>
          <cell r="AH3038">
            <v>213.23</v>
          </cell>
        </row>
        <row r="3039">
          <cell r="AE3039" t="str">
            <v>6075TR3</v>
          </cell>
          <cell r="AF3039">
            <v>597.23</v>
          </cell>
          <cell r="AG3039">
            <v>226.32</v>
          </cell>
          <cell r="AH3039">
            <v>226.32</v>
          </cell>
        </row>
        <row r="3040">
          <cell r="AE3040" t="str">
            <v>6075TR4</v>
          </cell>
          <cell r="AF3040">
            <v>597.23</v>
          </cell>
          <cell r="AG3040">
            <v>226.32</v>
          </cell>
          <cell r="AH3040">
            <v>226.32</v>
          </cell>
        </row>
        <row r="3041">
          <cell r="AE3041" t="str">
            <v>6075TR5</v>
          </cell>
          <cell r="AF3041">
            <v>597.23</v>
          </cell>
          <cell r="AG3041">
            <v>226.32</v>
          </cell>
          <cell r="AH3041">
            <v>226.32</v>
          </cell>
        </row>
        <row r="3042">
          <cell r="AE3042" t="str">
            <v>6075TR6</v>
          </cell>
          <cell r="AF3042">
            <v>597.23</v>
          </cell>
          <cell r="AG3042">
            <v>226.32</v>
          </cell>
          <cell r="AH3042">
            <v>226.32</v>
          </cell>
        </row>
        <row r="3043">
          <cell r="AE3043" t="str">
            <v>6075TR7-1</v>
          </cell>
          <cell r="AF3043">
            <v>597.23</v>
          </cell>
          <cell r="AG3043">
            <v>226.32</v>
          </cell>
          <cell r="AH3043">
            <v>226.32</v>
          </cell>
        </row>
        <row r="3044">
          <cell r="AE3044" t="str">
            <v>6075TR8-1</v>
          </cell>
          <cell r="AF3044">
            <v>597.23</v>
          </cell>
          <cell r="AG3044">
            <v>226.32</v>
          </cell>
          <cell r="AH3044">
            <v>226.32</v>
          </cell>
        </row>
        <row r="3045">
          <cell r="AE3045" t="str">
            <v>6075TR9-1</v>
          </cell>
          <cell r="AF3045">
            <v>597.23</v>
          </cell>
          <cell r="AG3045">
            <v>226.32</v>
          </cell>
          <cell r="AH3045">
            <v>226.32</v>
          </cell>
        </row>
        <row r="3046">
          <cell r="AE3046" t="str">
            <v>6075TRB</v>
          </cell>
          <cell r="AF3046">
            <v>597.23</v>
          </cell>
          <cell r="AG3046">
            <v>226.32</v>
          </cell>
          <cell r="AH3046">
            <v>226.32</v>
          </cell>
        </row>
        <row r="3047">
          <cell r="AE3047" t="str">
            <v>6075TRC</v>
          </cell>
          <cell r="AF3047">
            <v>597.23</v>
          </cell>
          <cell r="AG3047">
            <v>226.32</v>
          </cell>
          <cell r="AH3047">
            <v>226.32</v>
          </cell>
        </row>
        <row r="3048">
          <cell r="AE3048" t="str">
            <v>6075TRD</v>
          </cell>
          <cell r="AF3048">
            <v>597.23</v>
          </cell>
          <cell r="AG3048">
            <v>226.32</v>
          </cell>
          <cell r="AH3048">
            <v>226.32</v>
          </cell>
        </row>
        <row r="3049">
          <cell r="AE3049" t="str">
            <v>6086DW9</v>
          </cell>
          <cell r="AF3049">
            <v>1145.42</v>
          </cell>
          <cell r="AG3049">
            <v>223.75</v>
          </cell>
          <cell r="AH3049">
            <v>223.75</v>
          </cell>
        </row>
        <row r="3050">
          <cell r="AE3050" t="str">
            <v>6086DWB</v>
          </cell>
          <cell r="AF3050">
            <v>590.44999999999982</v>
          </cell>
          <cell r="AG3050">
            <v>223.75</v>
          </cell>
          <cell r="AH3050">
            <v>223.75</v>
          </cell>
        </row>
        <row r="3051">
          <cell r="AE3051" t="str">
            <v>6086DWC</v>
          </cell>
          <cell r="AF3051">
            <v>590.44999999999982</v>
          </cell>
          <cell r="AG3051">
            <v>223.75</v>
          </cell>
          <cell r="AH3051">
            <v>223.75</v>
          </cell>
        </row>
        <row r="3052">
          <cell r="AE3052" t="str">
            <v>6086DWD</v>
          </cell>
          <cell r="AF3052">
            <v>590.44999999999982</v>
          </cell>
          <cell r="AG3052">
            <v>223.75</v>
          </cell>
          <cell r="AH3052">
            <v>223.75</v>
          </cell>
        </row>
        <row r="3053">
          <cell r="AE3053" t="str">
            <v>6086DWF</v>
          </cell>
          <cell r="AF3053">
            <v>595.81999999999971</v>
          </cell>
          <cell r="AG3053">
            <v>225.79</v>
          </cell>
          <cell r="AH3053">
            <v>225.79</v>
          </cell>
        </row>
        <row r="3054">
          <cell r="AE3054" t="str">
            <v>6086DWG</v>
          </cell>
          <cell r="AF3054">
            <v>595.81999999999971</v>
          </cell>
          <cell r="AG3054">
            <v>225.79</v>
          </cell>
          <cell r="AH3054">
            <v>225.79</v>
          </cell>
        </row>
        <row r="3055">
          <cell r="AE3055" t="str">
            <v>6086DWH</v>
          </cell>
          <cell r="AF3055">
            <v>590.44999999999982</v>
          </cell>
          <cell r="AG3055">
            <v>223.75</v>
          </cell>
          <cell r="AH3055">
            <v>223.75</v>
          </cell>
        </row>
        <row r="3056">
          <cell r="AE3056" t="str">
            <v>624008T</v>
          </cell>
          <cell r="AF3056">
            <v>389.07000000000005</v>
          </cell>
          <cell r="AG3056">
            <v>147.44</v>
          </cell>
          <cell r="AH3056">
            <v>147.44</v>
          </cell>
        </row>
        <row r="3057">
          <cell r="AE3057" t="str">
            <v>6316FKQ</v>
          </cell>
          <cell r="AF3057">
            <v>455.20000000000005</v>
          </cell>
          <cell r="AG3057">
            <v>172.5</v>
          </cell>
          <cell r="AH3057">
            <v>172.5</v>
          </cell>
        </row>
        <row r="3058">
          <cell r="AE3058" t="str">
            <v>6316FKS</v>
          </cell>
          <cell r="AF3058">
            <v>455.20000000000005</v>
          </cell>
          <cell r="AG3058">
            <v>172.5</v>
          </cell>
          <cell r="AH3058">
            <v>172.5</v>
          </cell>
        </row>
        <row r="3059">
          <cell r="AE3059" t="str">
            <v>6316FKV</v>
          </cell>
          <cell r="AF3059">
            <v>455.20000000000005</v>
          </cell>
          <cell r="AG3059">
            <v>172.5</v>
          </cell>
          <cell r="AH3059">
            <v>172.5</v>
          </cell>
        </row>
        <row r="3060">
          <cell r="AE3060" t="str">
            <v>6316FKX</v>
          </cell>
          <cell r="AF3060">
            <v>455.20000000000005</v>
          </cell>
          <cell r="AG3060">
            <v>172.5</v>
          </cell>
          <cell r="AH3060">
            <v>172.5</v>
          </cell>
        </row>
        <row r="3061">
          <cell r="AE3061" t="str">
            <v>6360FVT</v>
          </cell>
          <cell r="AF3061">
            <v>385.58999999999992</v>
          </cell>
          <cell r="AG3061">
            <v>172.5</v>
          </cell>
          <cell r="AH3061">
            <v>172.5</v>
          </cell>
        </row>
        <row r="3062">
          <cell r="AE3062" t="str">
            <v>6360FVV</v>
          </cell>
          <cell r="AF3062">
            <v>385.58999999999992</v>
          </cell>
          <cell r="AG3062">
            <v>172.5</v>
          </cell>
          <cell r="AH3062">
            <v>172.5</v>
          </cell>
        </row>
        <row r="3063">
          <cell r="AE3063" t="str">
            <v>6360FVX</v>
          </cell>
          <cell r="AF3063">
            <v>385.58999999999992</v>
          </cell>
          <cell r="AG3063">
            <v>172.5</v>
          </cell>
          <cell r="AH3063">
            <v>172.5</v>
          </cell>
        </row>
        <row r="3064">
          <cell r="AE3064" t="str">
            <v>6360FVZ</v>
          </cell>
          <cell r="AF3064">
            <v>385.58999999999992</v>
          </cell>
          <cell r="AG3064">
            <v>172.5</v>
          </cell>
          <cell r="AH3064">
            <v>172.5</v>
          </cell>
        </row>
        <row r="3065">
          <cell r="AE3065" t="str">
            <v>6360FW1</v>
          </cell>
          <cell r="AF3065">
            <v>385.58999999999992</v>
          </cell>
          <cell r="AG3065">
            <v>172.5</v>
          </cell>
          <cell r="AH3065">
            <v>172.5</v>
          </cell>
        </row>
        <row r="3066">
          <cell r="AE3066" t="str">
            <v>6360FW3</v>
          </cell>
          <cell r="AF3066">
            <v>385.58999999999992</v>
          </cell>
          <cell r="AG3066">
            <v>172.5</v>
          </cell>
          <cell r="AH3066">
            <v>172.5</v>
          </cell>
        </row>
        <row r="3067">
          <cell r="AE3067" t="str">
            <v>6360FW5</v>
          </cell>
          <cell r="AF3067">
            <v>385.58999999999992</v>
          </cell>
          <cell r="AG3067">
            <v>172.5</v>
          </cell>
          <cell r="AH3067">
            <v>172.5</v>
          </cell>
        </row>
        <row r="3068">
          <cell r="AE3068" t="str">
            <v>6360FW7</v>
          </cell>
          <cell r="AF3068">
            <v>385.58999999999992</v>
          </cell>
          <cell r="AG3068">
            <v>172.5</v>
          </cell>
          <cell r="AH3068">
            <v>172.5</v>
          </cell>
        </row>
        <row r="3069">
          <cell r="AE3069" t="str">
            <v>6360FW9</v>
          </cell>
          <cell r="AF3069">
            <v>385.58999999999992</v>
          </cell>
          <cell r="AG3069">
            <v>172.5</v>
          </cell>
          <cell r="AH3069">
            <v>172.5</v>
          </cell>
        </row>
        <row r="3070">
          <cell r="AE3070" t="str">
            <v>6360FWC</v>
          </cell>
          <cell r="AF3070">
            <v>385.58999999999992</v>
          </cell>
          <cell r="AG3070">
            <v>172.5</v>
          </cell>
          <cell r="AH3070">
            <v>172.5</v>
          </cell>
        </row>
        <row r="3071">
          <cell r="AE3071" t="str">
            <v>6360FWF</v>
          </cell>
          <cell r="AF3071">
            <v>385.58999999999992</v>
          </cell>
          <cell r="AG3071">
            <v>172.5</v>
          </cell>
          <cell r="AH3071">
            <v>172.5</v>
          </cell>
        </row>
        <row r="3072">
          <cell r="AE3072" t="str">
            <v>65061TX</v>
          </cell>
          <cell r="AF3072">
            <v>673.81999999999994</v>
          </cell>
          <cell r="AG3072">
            <v>255.34</v>
          </cell>
          <cell r="AH3072">
            <v>255.34</v>
          </cell>
        </row>
        <row r="3073">
          <cell r="AE3073" t="str">
            <v>65061TY</v>
          </cell>
          <cell r="AF3073">
            <v>673.81999999999994</v>
          </cell>
          <cell r="AG3073">
            <v>255.34</v>
          </cell>
          <cell r="AH3073">
            <v>255.34</v>
          </cell>
        </row>
        <row r="3074">
          <cell r="AE3074" t="str">
            <v>65061TZ</v>
          </cell>
          <cell r="AF3074">
            <v>673.81999999999994</v>
          </cell>
          <cell r="AG3074">
            <v>255.34</v>
          </cell>
          <cell r="AH3074">
            <v>255.34</v>
          </cell>
        </row>
        <row r="3075">
          <cell r="AE3075" t="str">
            <v>65061V0</v>
          </cell>
          <cell r="AF3075">
            <v>673.81999999999994</v>
          </cell>
          <cell r="AG3075">
            <v>255.34</v>
          </cell>
          <cell r="AH3075">
            <v>255.34</v>
          </cell>
        </row>
        <row r="3076">
          <cell r="AE3076" t="str">
            <v>65061V1</v>
          </cell>
          <cell r="AF3076">
            <v>673.81999999999994</v>
          </cell>
          <cell r="AG3076">
            <v>255.34</v>
          </cell>
          <cell r="AH3076">
            <v>255.34</v>
          </cell>
        </row>
        <row r="3077">
          <cell r="AE3077" t="str">
            <v>65061V2</v>
          </cell>
          <cell r="AF3077">
            <v>673.81999999999994</v>
          </cell>
          <cell r="AG3077">
            <v>255.34</v>
          </cell>
          <cell r="AH3077">
            <v>255.34</v>
          </cell>
        </row>
        <row r="3078">
          <cell r="AE3078" t="str">
            <v>65061V3</v>
          </cell>
          <cell r="AF3078">
            <v>673.81999999999994</v>
          </cell>
          <cell r="AG3078">
            <v>255.34</v>
          </cell>
          <cell r="AH3078">
            <v>255.34</v>
          </cell>
        </row>
        <row r="3079">
          <cell r="AE3079" t="str">
            <v>65061V4</v>
          </cell>
          <cell r="AF3079">
            <v>673.81999999999994</v>
          </cell>
          <cell r="AG3079">
            <v>255.34</v>
          </cell>
          <cell r="AH3079">
            <v>255.34</v>
          </cell>
        </row>
        <row r="3080">
          <cell r="AE3080" t="str">
            <v>65061V5</v>
          </cell>
          <cell r="AF3080">
            <v>673.81999999999994</v>
          </cell>
          <cell r="AG3080">
            <v>255.34</v>
          </cell>
          <cell r="AH3080">
            <v>255.34</v>
          </cell>
        </row>
        <row r="3081">
          <cell r="AE3081" t="str">
            <v>65061V6</v>
          </cell>
          <cell r="AF3081">
            <v>673.81999999999994</v>
          </cell>
          <cell r="AG3081">
            <v>255.34</v>
          </cell>
          <cell r="AH3081">
            <v>255.34</v>
          </cell>
        </row>
        <row r="3082">
          <cell r="AE3082" t="str">
            <v>65061V7</v>
          </cell>
          <cell r="AF3082">
            <v>673.81999999999994</v>
          </cell>
          <cell r="AG3082">
            <v>255.34</v>
          </cell>
          <cell r="AH3082">
            <v>255.34</v>
          </cell>
        </row>
        <row r="3083">
          <cell r="AE3083" t="str">
            <v>65061V8</v>
          </cell>
          <cell r="AF3083">
            <v>673.81999999999994</v>
          </cell>
          <cell r="AG3083">
            <v>255.34</v>
          </cell>
          <cell r="AH3083">
            <v>255.34</v>
          </cell>
        </row>
        <row r="3084">
          <cell r="AE3084" t="str">
            <v>65061V9</v>
          </cell>
          <cell r="AF3084">
            <v>673.81999999999994</v>
          </cell>
          <cell r="AG3084">
            <v>255.34</v>
          </cell>
          <cell r="AH3084">
            <v>255.34</v>
          </cell>
        </row>
        <row r="3085">
          <cell r="AE3085" t="str">
            <v>65061VB</v>
          </cell>
          <cell r="AF3085">
            <v>673.81999999999994</v>
          </cell>
          <cell r="AG3085">
            <v>255.34</v>
          </cell>
          <cell r="AH3085">
            <v>255.34</v>
          </cell>
        </row>
        <row r="3086">
          <cell r="AE3086" t="str">
            <v>65061VC</v>
          </cell>
          <cell r="AF3086">
            <v>673.81999999999994</v>
          </cell>
          <cell r="AG3086">
            <v>255.34</v>
          </cell>
          <cell r="AH3086">
            <v>255.34</v>
          </cell>
        </row>
        <row r="3087">
          <cell r="AE3087" t="str">
            <v>65061VD</v>
          </cell>
          <cell r="AF3087">
            <v>673.81999999999994</v>
          </cell>
          <cell r="AG3087">
            <v>255.34</v>
          </cell>
          <cell r="AH3087">
            <v>255.34</v>
          </cell>
        </row>
        <row r="3088">
          <cell r="AE3088" t="str">
            <v>65061VF</v>
          </cell>
          <cell r="AF3088">
            <v>673.81999999999994</v>
          </cell>
          <cell r="AG3088">
            <v>255.34</v>
          </cell>
          <cell r="AH3088">
            <v>255.34</v>
          </cell>
        </row>
        <row r="3089">
          <cell r="AE3089" t="str">
            <v>DS01601</v>
          </cell>
          <cell r="AF3089">
            <v>600.82000000000016</v>
          </cell>
          <cell r="AG3089">
            <v>227.68</v>
          </cell>
          <cell r="AH3089">
            <v>227.68</v>
          </cell>
        </row>
        <row r="3090">
          <cell r="AE3090" t="str">
            <v>DS01602</v>
          </cell>
          <cell r="AF3090">
            <v>600.82000000000016</v>
          </cell>
          <cell r="AG3090">
            <v>227.68</v>
          </cell>
          <cell r="AH3090">
            <v>227.68</v>
          </cell>
        </row>
        <row r="3091">
          <cell r="AE3091" t="str">
            <v>DS01603</v>
          </cell>
          <cell r="AF3091">
            <v>600.82000000000016</v>
          </cell>
          <cell r="AG3091">
            <v>227.68</v>
          </cell>
          <cell r="AH3091">
            <v>227.68</v>
          </cell>
        </row>
        <row r="3092">
          <cell r="AE3092" t="str">
            <v>DS01604</v>
          </cell>
          <cell r="AF3092">
            <v>600.82000000000016</v>
          </cell>
          <cell r="AG3092">
            <v>227.68</v>
          </cell>
          <cell r="AH3092">
            <v>227.68</v>
          </cell>
        </row>
        <row r="3093">
          <cell r="AE3093" t="str">
            <v>DS01605</v>
          </cell>
          <cell r="AF3093">
            <v>600.82000000000016</v>
          </cell>
          <cell r="AG3093">
            <v>227.68</v>
          </cell>
          <cell r="AH3093">
            <v>227.68</v>
          </cell>
        </row>
        <row r="3094">
          <cell r="AE3094" t="str">
            <v>DS01606</v>
          </cell>
          <cell r="AF3094">
            <v>600.82000000000016</v>
          </cell>
          <cell r="AG3094">
            <v>227.68</v>
          </cell>
          <cell r="AH3094">
            <v>227.68</v>
          </cell>
        </row>
        <row r="3095">
          <cell r="AE3095" t="str">
            <v>DS01607</v>
          </cell>
          <cell r="AF3095">
            <v>600.82000000000016</v>
          </cell>
          <cell r="AG3095">
            <v>227.68</v>
          </cell>
          <cell r="AH3095">
            <v>227.68</v>
          </cell>
        </row>
        <row r="3096">
          <cell r="AE3096" t="str">
            <v>723530B</v>
          </cell>
          <cell r="AF3096">
            <v>481.6</v>
          </cell>
          <cell r="AG3096">
            <v>182.5</v>
          </cell>
          <cell r="AH3096">
            <v>182.5</v>
          </cell>
        </row>
        <row r="3097">
          <cell r="AE3097" t="str">
            <v>723530C</v>
          </cell>
          <cell r="AF3097">
            <v>481.6</v>
          </cell>
          <cell r="AG3097">
            <v>182.5</v>
          </cell>
          <cell r="AH3097">
            <v>182.5</v>
          </cell>
        </row>
        <row r="3098">
          <cell r="AE3098" t="str">
            <v>723530D</v>
          </cell>
          <cell r="AF3098">
            <v>481.6</v>
          </cell>
          <cell r="AG3098">
            <v>182.5</v>
          </cell>
          <cell r="AH3098">
            <v>182.5</v>
          </cell>
        </row>
        <row r="3099">
          <cell r="AE3099" t="str">
            <v>723530F</v>
          </cell>
          <cell r="AF3099">
            <v>481.6</v>
          </cell>
          <cell r="AG3099">
            <v>182.5</v>
          </cell>
          <cell r="AH3099">
            <v>182.5</v>
          </cell>
        </row>
        <row r="3100">
          <cell r="AE3100" t="str">
            <v>723530G</v>
          </cell>
          <cell r="AF3100">
            <v>481.6</v>
          </cell>
          <cell r="AG3100">
            <v>182.5</v>
          </cell>
          <cell r="AH3100">
            <v>182.5</v>
          </cell>
        </row>
        <row r="3101">
          <cell r="AE3101" t="str">
            <v>723530H</v>
          </cell>
          <cell r="AF3101">
            <v>481.6</v>
          </cell>
          <cell r="AG3101">
            <v>182.5</v>
          </cell>
          <cell r="AH3101">
            <v>182.5</v>
          </cell>
        </row>
        <row r="3102">
          <cell r="AE3102" t="str">
            <v>723530J</v>
          </cell>
          <cell r="AF3102">
            <v>481.6</v>
          </cell>
          <cell r="AG3102">
            <v>182.5</v>
          </cell>
          <cell r="AH3102">
            <v>182.5</v>
          </cell>
        </row>
        <row r="3103">
          <cell r="AE3103" t="str">
            <v>723530K</v>
          </cell>
          <cell r="AF3103">
            <v>481.6</v>
          </cell>
          <cell r="AG3103">
            <v>182.5</v>
          </cell>
          <cell r="AH3103">
            <v>182.5</v>
          </cell>
        </row>
        <row r="3104">
          <cell r="AE3104" t="str">
            <v>723530L</v>
          </cell>
          <cell r="AF3104">
            <v>481.6</v>
          </cell>
          <cell r="AG3104">
            <v>182.5</v>
          </cell>
          <cell r="AH3104">
            <v>182.5</v>
          </cell>
        </row>
        <row r="3105">
          <cell r="AE3105" t="str">
            <v>723530M</v>
          </cell>
          <cell r="AF3105">
            <v>481.6</v>
          </cell>
          <cell r="AG3105">
            <v>182.5</v>
          </cell>
          <cell r="AH3105">
            <v>182.5</v>
          </cell>
        </row>
        <row r="3106">
          <cell r="AE3106" t="str">
            <v>723530N</v>
          </cell>
          <cell r="AF3106">
            <v>481.6</v>
          </cell>
          <cell r="AG3106">
            <v>182.5</v>
          </cell>
          <cell r="AH3106">
            <v>182.5</v>
          </cell>
        </row>
        <row r="3107">
          <cell r="AE3107" t="str">
            <v>723530P</v>
          </cell>
          <cell r="AF3107">
            <v>481.6</v>
          </cell>
          <cell r="AG3107">
            <v>182.5</v>
          </cell>
          <cell r="AH3107">
            <v>182.5</v>
          </cell>
        </row>
        <row r="3108">
          <cell r="AE3108" t="str">
            <v>723530Q</v>
          </cell>
          <cell r="AF3108">
            <v>481.6</v>
          </cell>
          <cell r="AG3108">
            <v>182.5</v>
          </cell>
          <cell r="AH3108">
            <v>182.5</v>
          </cell>
        </row>
        <row r="3109">
          <cell r="AE3109" t="str">
            <v>723530R</v>
          </cell>
          <cell r="AF3109">
            <v>481.6</v>
          </cell>
          <cell r="AG3109">
            <v>182.5</v>
          </cell>
          <cell r="AH3109">
            <v>182.5</v>
          </cell>
        </row>
        <row r="3110">
          <cell r="AE3110" t="str">
            <v>723530S</v>
          </cell>
          <cell r="AF3110">
            <v>481.6</v>
          </cell>
          <cell r="AG3110">
            <v>182.5</v>
          </cell>
          <cell r="AH3110">
            <v>182.5</v>
          </cell>
        </row>
        <row r="3111">
          <cell r="AE3111" t="str">
            <v>54867D8</v>
          </cell>
          <cell r="AF3111">
            <v>589.31999999999971</v>
          </cell>
          <cell r="AG3111">
            <v>223.32</v>
          </cell>
          <cell r="AH3111">
            <v>223.32</v>
          </cell>
        </row>
        <row r="3112">
          <cell r="AE3112" t="str">
            <v>54867D9</v>
          </cell>
          <cell r="AF3112">
            <v>589.31999999999971</v>
          </cell>
          <cell r="AG3112">
            <v>223.32</v>
          </cell>
          <cell r="AH3112">
            <v>223.32</v>
          </cell>
        </row>
        <row r="3113">
          <cell r="AE3113" t="str">
            <v>54867DB</v>
          </cell>
          <cell r="AF3113">
            <v>589.31999999999971</v>
          </cell>
          <cell r="AG3113">
            <v>223.32</v>
          </cell>
          <cell r="AH3113">
            <v>223.32</v>
          </cell>
        </row>
        <row r="3114">
          <cell r="AE3114" t="str">
            <v>54867DC</v>
          </cell>
          <cell r="AF3114">
            <v>589.31999999999971</v>
          </cell>
          <cell r="AG3114">
            <v>223.32</v>
          </cell>
          <cell r="AH3114">
            <v>223.32</v>
          </cell>
        </row>
        <row r="3115">
          <cell r="AE3115" t="str">
            <v>54867DD</v>
          </cell>
          <cell r="AF3115">
            <v>589.31999999999971</v>
          </cell>
          <cell r="AG3115">
            <v>223.32</v>
          </cell>
          <cell r="AH3115">
            <v>223.32</v>
          </cell>
        </row>
        <row r="3116">
          <cell r="AE3116" t="str">
            <v>54867DF</v>
          </cell>
          <cell r="AF3116">
            <v>589.31999999999971</v>
          </cell>
          <cell r="AG3116">
            <v>223.32</v>
          </cell>
          <cell r="AH3116">
            <v>223.32</v>
          </cell>
        </row>
        <row r="3117">
          <cell r="AE3117" t="str">
            <v>54867DG</v>
          </cell>
          <cell r="AF3117">
            <v>589.31999999999971</v>
          </cell>
          <cell r="AG3117">
            <v>223.32</v>
          </cell>
          <cell r="AH3117">
            <v>223.32</v>
          </cell>
        </row>
        <row r="3118">
          <cell r="AE3118" t="str">
            <v>54867DH</v>
          </cell>
          <cell r="AF3118">
            <v>589.31999999999971</v>
          </cell>
          <cell r="AG3118">
            <v>223.32</v>
          </cell>
          <cell r="AH3118">
            <v>223.32</v>
          </cell>
        </row>
        <row r="3119">
          <cell r="AE3119" t="str">
            <v>54867DJ</v>
          </cell>
          <cell r="AF3119">
            <v>589.31999999999971</v>
          </cell>
          <cell r="AG3119">
            <v>223.32</v>
          </cell>
          <cell r="AH3119">
            <v>223.32</v>
          </cell>
        </row>
        <row r="3120">
          <cell r="AE3120" t="str">
            <v>54867DK</v>
          </cell>
          <cell r="AF3120">
            <v>589.31999999999971</v>
          </cell>
          <cell r="AG3120">
            <v>223.32</v>
          </cell>
          <cell r="AH3120">
            <v>223.32</v>
          </cell>
        </row>
        <row r="3121">
          <cell r="AE3121" t="str">
            <v>6175KYP</v>
          </cell>
          <cell r="AF3121">
            <v>455.20999999999981</v>
          </cell>
          <cell r="AG3121">
            <v>172.5</v>
          </cell>
          <cell r="AH3121">
            <v>172.5</v>
          </cell>
        </row>
        <row r="3122">
          <cell r="AE3122" t="str">
            <v>6175KYQ</v>
          </cell>
          <cell r="AF3122">
            <v>455.20999999999981</v>
          </cell>
          <cell r="AG3122">
            <v>172.5</v>
          </cell>
          <cell r="AH3122">
            <v>172.5</v>
          </cell>
        </row>
        <row r="3123">
          <cell r="AE3123" t="str">
            <v>6175KYR</v>
          </cell>
          <cell r="AF3123">
            <v>455.20999999999981</v>
          </cell>
          <cell r="AG3123">
            <v>172.5</v>
          </cell>
          <cell r="AH3123">
            <v>172.5</v>
          </cell>
        </row>
        <row r="3124">
          <cell r="AE3124" t="str">
            <v>6175KYS</v>
          </cell>
          <cell r="AF3124">
            <v>455.20999999999981</v>
          </cell>
          <cell r="AG3124">
            <v>172.5</v>
          </cell>
          <cell r="AH3124">
            <v>172.5</v>
          </cell>
        </row>
        <row r="3125">
          <cell r="AE3125" t="str">
            <v>6175KYT</v>
          </cell>
          <cell r="AF3125">
            <v>455.20999999999981</v>
          </cell>
          <cell r="AG3125">
            <v>172.5</v>
          </cell>
          <cell r="AH3125">
            <v>172.5</v>
          </cell>
        </row>
        <row r="3126">
          <cell r="AE3126" t="str">
            <v>6175KYV</v>
          </cell>
          <cell r="AF3126">
            <v>455.20999999999981</v>
          </cell>
          <cell r="AG3126">
            <v>172.5</v>
          </cell>
          <cell r="AH3126">
            <v>172.5</v>
          </cell>
        </row>
        <row r="3127">
          <cell r="AE3127" t="str">
            <v>6175KYW</v>
          </cell>
          <cell r="AF3127">
            <v>455.20999999999981</v>
          </cell>
          <cell r="AG3127">
            <v>172.5</v>
          </cell>
          <cell r="AH3127">
            <v>172.5</v>
          </cell>
        </row>
        <row r="3128">
          <cell r="AE3128" t="str">
            <v>6175KYX</v>
          </cell>
          <cell r="AF3128">
            <v>455.20999999999981</v>
          </cell>
          <cell r="AG3128">
            <v>172.5</v>
          </cell>
          <cell r="AH3128">
            <v>172.5</v>
          </cell>
        </row>
        <row r="3129">
          <cell r="AE3129" t="str">
            <v>6175KYZ</v>
          </cell>
          <cell r="AF3129">
            <v>455.20999999999981</v>
          </cell>
          <cell r="AG3129">
            <v>172.5</v>
          </cell>
          <cell r="AH3129">
            <v>172.5</v>
          </cell>
        </row>
        <row r="3130">
          <cell r="AE3130" t="str">
            <v>6175KZ0</v>
          </cell>
          <cell r="AF3130">
            <v>455.20999999999981</v>
          </cell>
          <cell r="AG3130">
            <v>172.5</v>
          </cell>
          <cell r="AH3130">
            <v>172.5</v>
          </cell>
        </row>
        <row r="3131">
          <cell r="AE3131" t="str">
            <v>6175KZ2</v>
          </cell>
          <cell r="AF3131">
            <v>455.20999999999981</v>
          </cell>
          <cell r="AG3131">
            <v>172.5</v>
          </cell>
          <cell r="AH3131">
            <v>172.5</v>
          </cell>
        </row>
        <row r="3132">
          <cell r="AE3132" t="str">
            <v>6175KZ4</v>
          </cell>
          <cell r="AF3132">
            <v>455.20999999999981</v>
          </cell>
          <cell r="AG3132">
            <v>172.5</v>
          </cell>
          <cell r="AH3132">
            <v>172.5</v>
          </cell>
        </row>
        <row r="3133">
          <cell r="AE3133" t="str">
            <v>6175KZ5</v>
          </cell>
          <cell r="AF3133">
            <v>455.20999999999981</v>
          </cell>
          <cell r="AG3133">
            <v>172.5</v>
          </cell>
          <cell r="AH3133">
            <v>172.5</v>
          </cell>
        </row>
        <row r="3134">
          <cell r="AE3134" t="str">
            <v>6175KZ8</v>
          </cell>
          <cell r="AF3134">
            <v>455.20999999999981</v>
          </cell>
          <cell r="AG3134">
            <v>172.5</v>
          </cell>
          <cell r="AH3134">
            <v>172.5</v>
          </cell>
        </row>
        <row r="3135">
          <cell r="AE3135" t="str">
            <v>6175KZB</v>
          </cell>
          <cell r="AF3135">
            <v>455.20999999999981</v>
          </cell>
          <cell r="AG3135">
            <v>172.5</v>
          </cell>
          <cell r="AH3135">
            <v>172.5</v>
          </cell>
        </row>
        <row r="3136">
          <cell r="AE3136" t="str">
            <v>6175KZD</v>
          </cell>
          <cell r="AF3136">
            <v>455.20999999999981</v>
          </cell>
          <cell r="AG3136">
            <v>172.5</v>
          </cell>
          <cell r="AH3136">
            <v>172.5</v>
          </cell>
        </row>
        <row r="3137">
          <cell r="AE3137" t="str">
            <v>62834FR</v>
          </cell>
          <cell r="AF3137">
            <v>389.06999999999994</v>
          </cell>
          <cell r="AG3137">
            <v>147.44</v>
          </cell>
          <cell r="AH3137">
            <v>147.44</v>
          </cell>
        </row>
        <row r="3138">
          <cell r="AE3138" t="str">
            <v>62834FS</v>
          </cell>
          <cell r="AF3138">
            <v>389.06999999999994</v>
          </cell>
          <cell r="AG3138">
            <v>147.44</v>
          </cell>
          <cell r="AH3138">
            <v>147.44</v>
          </cell>
        </row>
        <row r="3139">
          <cell r="AE3139" t="str">
            <v>62834FW</v>
          </cell>
          <cell r="AF3139">
            <v>389.06999999999994</v>
          </cell>
          <cell r="AG3139">
            <v>147.44</v>
          </cell>
          <cell r="AH3139">
            <v>147.44</v>
          </cell>
        </row>
        <row r="3140">
          <cell r="AE3140" t="str">
            <v>62834FX</v>
          </cell>
          <cell r="AF3140">
            <v>389.06999999999994</v>
          </cell>
          <cell r="AG3140">
            <v>147.44</v>
          </cell>
          <cell r="AH3140">
            <v>147.44</v>
          </cell>
        </row>
        <row r="3141">
          <cell r="AE3141" t="str">
            <v>6316FKM</v>
          </cell>
          <cell r="AF3141">
            <v>364.17000000000007</v>
          </cell>
          <cell r="AG3141">
            <v>172.5</v>
          </cell>
          <cell r="AH3141">
            <v>172.5</v>
          </cell>
        </row>
        <row r="3142">
          <cell r="AE3142" t="str">
            <v>612177G</v>
          </cell>
          <cell r="AF3142">
            <v>527.23</v>
          </cell>
          <cell r="AG3142">
            <v>199.79</v>
          </cell>
          <cell r="AH3142">
            <v>199.79</v>
          </cell>
        </row>
        <row r="3143">
          <cell r="AE3143" t="str">
            <v>612177H</v>
          </cell>
          <cell r="AF3143">
            <v>527.23</v>
          </cell>
          <cell r="AG3143">
            <v>199.79</v>
          </cell>
          <cell r="AH3143">
            <v>199.79</v>
          </cell>
        </row>
        <row r="3144">
          <cell r="AE3144" t="str">
            <v>61672JR</v>
          </cell>
          <cell r="AF3144">
            <v>527.23</v>
          </cell>
          <cell r="AG3144">
            <v>199.79</v>
          </cell>
          <cell r="AH3144">
            <v>199.79</v>
          </cell>
        </row>
        <row r="3145">
          <cell r="AE3145" t="str">
            <v>61672JS</v>
          </cell>
          <cell r="AF3145">
            <v>527.23</v>
          </cell>
          <cell r="AG3145">
            <v>199.79</v>
          </cell>
          <cell r="AH3145">
            <v>199.79</v>
          </cell>
        </row>
        <row r="3146">
          <cell r="AE3146" t="str">
            <v>61672JT</v>
          </cell>
          <cell r="AF3146">
            <v>527.23</v>
          </cell>
          <cell r="AG3146">
            <v>199.79</v>
          </cell>
          <cell r="AH3146">
            <v>199.79</v>
          </cell>
        </row>
        <row r="3147">
          <cell r="AE3147" t="str">
            <v>61672JV</v>
          </cell>
          <cell r="AF3147">
            <v>527.23</v>
          </cell>
          <cell r="AG3147">
            <v>199.79</v>
          </cell>
          <cell r="AH3147">
            <v>199.79</v>
          </cell>
        </row>
        <row r="3148">
          <cell r="AE3148" t="str">
            <v>61672JW</v>
          </cell>
          <cell r="AF3148">
            <v>527.23</v>
          </cell>
          <cell r="AG3148">
            <v>199.79</v>
          </cell>
          <cell r="AH3148">
            <v>199.79</v>
          </cell>
        </row>
        <row r="3149">
          <cell r="AE3149" t="str">
            <v>61672JX</v>
          </cell>
          <cell r="AF3149">
            <v>527.23</v>
          </cell>
          <cell r="AG3149">
            <v>199.79</v>
          </cell>
          <cell r="AH3149">
            <v>199.79</v>
          </cell>
        </row>
        <row r="3150">
          <cell r="AE3150" t="str">
            <v>61672JY</v>
          </cell>
          <cell r="AF3150">
            <v>527.23</v>
          </cell>
          <cell r="AG3150">
            <v>199.79</v>
          </cell>
          <cell r="AH3150">
            <v>199.79</v>
          </cell>
        </row>
        <row r="3151">
          <cell r="AE3151" t="str">
            <v>61672JZ</v>
          </cell>
          <cell r="AF3151">
            <v>527.23</v>
          </cell>
          <cell r="AG3151">
            <v>199.79</v>
          </cell>
          <cell r="AH3151">
            <v>199.79</v>
          </cell>
        </row>
        <row r="3152">
          <cell r="AE3152" t="str">
            <v>61672K0</v>
          </cell>
          <cell r="AF3152">
            <v>527.23</v>
          </cell>
          <cell r="AG3152">
            <v>199.79</v>
          </cell>
          <cell r="AH3152">
            <v>199.79</v>
          </cell>
        </row>
        <row r="3153">
          <cell r="AE3153" t="str">
            <v>61672K1</v>
          </cell>
          <cell r="AF3153">
            <v>527.23</v>
          </cell>
          <cell r="AG3153">
            <v>199.79</v>
          </cell>
          <cell r="AH3153">
            <v>199.79</v>
          </cell>
        </row>
        <row r="3154">
          <cell r="AE3154" t="str">
            <v>6075TR8</v>
          </cell>
          <cell r="AF3154">
            <v>527.23</v>
          </cell>
          <cell r="AG3154">
            <v>199.79</v>
          </cell>
          <cell r="AH3154">
            <v>199.79</v>
          </cell>
        </row>
        <row r="3155">
          <cell r="AE3155" t="str">
            <v>6075TR9</v>
          </cell>
          <cell r="AF3155">
            <v>527.23</v>
          </cell>
          <cell r="AG3155">
            <v>199.79</v>
          </cell>
          <cell r="AH3155">
            <v>199.79</v>
          </cell>
        </row>
        <row r="3156">
          <cell r="AE3156" t="str">
            <v>61672K2</v>
          </cell>
          <cell r="AF3156">
            <v>527.23</v>
          </cell>
          <cell r="AG3156">
            <v>199.79</v>
          </cell>
          <cell r="AH3156">
            <v>199.79</v>
          </cell>
        </row>
        <row r="3157">
          <cell r="AE3157" t="str">
            <v>61672K3</v>
          </cell>
          <cell r="AF3157">
            <v>527.23</v>
          </cell>
          <cell r="AG3157">
            <v>199.79</v>
          </cell>
          <cell r="AH3157">
            <v>199.79</v>
          </cell>
        </row>
        <row r="3158">
          <cell r="AE3158" t="str">
            <v>61672K4</v>
          </cell>
          <cell r="AF3158">
            <v>527.23</v>
          </cell>
          <cell r="AG3158">
            <v>199.79</v>
          </cell>
          <cell r="AH3158">
            <v>199.79</v>
          </cell>
        </row>
        <row r="3159">
          <cell r="AE3159" t="str">
            <v>61672K5</v>
          </cell>
          <cell r="AF3159">
            <v>527.23</v>
          </cell>
          <cell r="AG3159">
            <v>199.79</v>
          </cell>
          <cell r="AH3159">
            <v>199.79</v>
          </cell>
        </row>
        <row r="3160">
          <cell r="AE3160" t="str">
            <v>61672K6</v>
          </cell>
          <cell r="AF3160">
            <v>527.23</v>
          </cell>
          <cell r="AG3160">
            <v>199.79</v>
          </cell>
          <cell r="AH3160">
            <v>199.79</v>
          </cell>
        </row>
        <row r="3161">
          <cell r="AE3161" t="str">
            <v>61672K8</v>
          </cell>
          <cell r="AF3161">
            <v>527.23</v>
          </cell>
          <cell r="AG3161">
            <v>199.79</v>
          </cell>
          <cell r="AH3161">
            <v>199.79</v>
          </cell>
        </row>
        <row r="3162">
          <cell r="AE3162" t="str">
            <v>61672K9</v>
          </cell>
          <cell r="AF3162">
            <v>527.23</v>
          </cell>
          <cell r="AG3162">
            <v>199.79</v>
          </cell>
          <cell r="AH3162">
            <v>199.79</v>
          </cell>
        </row>
        <row r="3163">
          <cell r="AE3163" t="str">
            <v>61672KC</v>
          </cell>
          <cell r="AF3163">
            <v>527.23</v>
          </cell>
          <cell r="AG3163">
            <v>199.79</v>
          </cell>
          <cell r="AH3163">
            <v>199.79</v>
          </cell>
        </row>
        <row r="3164">
          <cell r="AE3164" t="str">
            <v>61672KD</v>
          </cell>
          <cell r="AF3164">
            <v>527.23</v>
          </cell>
          <cell r="AG3164">
            <v>199.79</v>
          </cell>
          <cell r="AH3164">
            <v>199.79</v>
          </cell>
        </row>
        <row r="3165">
          <cell r="AE3165" t="str">
            <v>61672KF</v>
          </cell>
          <cell r="AF3165">
            <v>527.23</v>
          </cell>
          <cell r="AG3165">
            <v>199.79</v>
          </cell>
          <cell r="AH3165">
            <v>199.79</v>
          </cell>
        </row>
        <row r="3166">
          <cell r="AE3166" t="str">
            <v>61672KG</v>
          </cell>
          <cell r="AF3166">
            <v>527.23</v>
          </cell>
          <cell r="AG3166">
            <v>199.79</v>
          </cell>
          <cell r="AH3166">
            <v>199.79</v>
          </cell>
        </row>
        <row r="3167">
          <cell r="AE3167" t="str">
            <v>61672KH</v>
          </cell>
          <cell r="AF3167">
            <v>527.23</v>
          </cell>
          <cell r="AG3167">
            <v>199.79</v>
          </cell>
          <cell r="AH3167">
            <v>199.79</v>
          </cell>
        </row>
        <row r="3168">
          <cell r="AE3168" t="str">
            <v>61672KJ</v>
          </cell>
          <cell r="AF3168">
            <v>527.23</v>
          </cell>
          <cell r="AG3168">
            <v>199.79</v>
          </cell>
          <cell r="AH3168">
            <v>199.79</v>
          </cell>
        </row>
        <row r="3169">
          <cell r="AE3169" t="str">
            <v>61672KK</v>
          </cell>
          <cell r="AF3169">
            <v>527.23</v>
          </cell>
          <cell r="AG3169">
            <v>199.79</v>
          </cell>
          <cell r="AH3169">
            <v>199.79</v>
          </cell>
        </row>
        <row r="3170">
          <cell r="AE3170" t="str">
            <v>61672KL</v>
          </cell>
          <cell r="AF3170">
            <v>527.23</v>
          </cell>
          <cell r="AG3170">
            <v>199.79</v>
          </cell>
          <cell r="AH3170">
            <v>199.79</v>
          </cell>
        </row>
        <row r="3171">
          <cell r="AE3171" t="str">
            <v>61672KM</v>
          </cell>
          <cell r="AF3171">
            <v>527.23</v>
          </cell>
          <cell r="AG3171">
            <v>199.79</v>
          </cell>
          <cell r="AH3171">
            <v>199.79</v>
          </cell>
        </row>
        <row r="3172">
          <cell r="AE3172" t="str">
            <v>61672KP</v>
          </cell>
          <cell r="AF3172">
            <v>527.23</v>
          </cell>
          <cell r="AG3172">
            <v>199.79</v>
          </cell>
          <cell r="AH3172">
            <v>199.79</v>
          </cell>
        </row>
        <row r="3173">
          <cell r="AE3173" t="str">
            <v>61672KQ</v>
          </cell>
          <cell r="AF3173">
            <v>527.23</v>
          </cell>
          <cell r="AG3173">
            <v>199.79</v>
          </cell>
          <cell r="AH3173">
            <v>199.79</v>
          </cell>
        </row>
        <row r="3174">
          <cell r="AE3174" t="str">
            <v>61672KR</v>
          </cell>
          <cell r="AF3174">
            <v>527.23</v>
          </cell>
          <cell r="AG3174">
            <v>199.79</v>
          </cell>
          <cell r="AH3174">
            <v>199.79</v>
          </cell>
        </row>
        <row r="3175">
          <cell r="AE3175" t="str">
            <v>6154D69</v>
          </cell>
          <cell r="AF3175">
            <v>527.23</v>
          </cell>
          <cell r="AG3175">
            <v>199.79</v>
          </cell>
          <cell r="AH3175">
            <v>199.79</v>
          </cell>
        </row>
        <row r="3176">
          <cell r="AE3176" t="str">
            <v>6154D6B</v>
          </cell>
          <cell r="AF3176">
            <v>527.23</v>
          </cell>
          <cell r="AG3176">
            <v>199.79</v>
          </cell>
          <cell r="AH3176">
            <v>199.79</v>
          </cell>
        </row>
        <row r="3177">
          <cell r="AE3177" t="str">
            <v>6154D6C</v>
          </cell>
          <cell r="AF3177">
            <v>527.23</v>
          </cell>
          <cell r="AG3177">
            <v>199.79</v>
          </cell>
          <cell r="AH3177">
            <v>199.79</v>
          </cell>
        </row>
        <row r="3178">
          <cell r="AE3178" t="str">
            <v>6154D6D</v>
          </cell>
          <cell r="AF3178">
            <v>527.23</v>
          </cell>
          <cell r="AG3178">
            <v>199.79</v>
          </cell>
          <cell r="AH3178">
            <v>199.79</v>
          </cell>
        </row>
        <row r="3179">
          <cell r="AE3179" t="str">
            <v>6154D6F</v>
          </cell>
          <cell r="AF3179">
            <v>527.23</v>
          </cell>
          <cell r="AG3179">
            <v>199.79</v>
          </cell>
          <cell r="AH3179">
            <v>199.79</v>
          </cell>
        </row>
        <row r="3180">
          <cell r="AE3180" t="str">
            <v>6154D6G</v>
          </cell>
          <cell r="AF3180">
            <v>527.23</v>
          </cell>
          <cell r="AG3180">
            <v>199.79</v>
          </cell>
          <cell r="AH3180">
            <v>199.79</v>
          </cell>
        </row>
        <row r="3181">
          <cell r="AE3181" t="str">
            <v>6154DCB</v>
          </cell>
          <cell r="AF3181">
            <v>527.23</v>
          </cell>
          <cell r="AG3181">
            <v>199.79</v>
          </cell>
          <cell r="AH3181">
            <v>199.79</v>
          </cell>
        </row>
        <row r="3182">
          <cell r="AE3182" t="str">
            <v>6154DCC</v>
          </cell>
          <cell r="AF3182">
            <v>527.23</v>
          </cell>
          <cell r="AG3182">
            <v>199.79</v>
          </cell>
          <cell r="AH3182">
            <v>199.79</v>
          </cell>
        </row>
        <row r="3183">
          <cell r="AE3183" t="str">
            <v>6154DCD</v>
          </cell>
          <cell r="AF3183">
            <v>527.23</v>
          </cell>
          <cell r="AG3183">
            <v>199.79</v>
          </cell>
          <cell r="AH3183">
            <v>199.79</v>
          </cell>
        </row>
        <row r="3184">
          <cell r="AE3184" t="str">
            <v>6154DCF</v>
          </cell>
          <cell r="AF3184">
            <v>527.23</v>
          </cell>
          <cell r="AG3184">
            <v>199.79</v>
          </cell>
          <cell r="AH3184">
            <v>199.79</v>
          </cell>
        </row>
        <row r="3185">
          <cell r="AE3185" t="str">
            <v>6154DCG</v>
          </cell>
          <cell r="AF3185">
            <v>527.23</v>
          </cell>
          <cell r="AG3185">
            <v>199.79</v>
          </cell>
          <cell r="AH3185">
            <v>199.79</v>
          </cell>
        </row>
        <row r="3186">
          <cell r="AE3186" t="str">
            <v>6154DCH</v>
          </cell>
          <cell r="AF3186">
            <v>527.23</v>
          </cell>
          <cell r="AG3186">
            <v>199.79</v>
          </cell>
          <cell r="AH3186">
            <v>199.79</v>
          </cell>
        </row>
        <row r="3187">
          <cell r="AE3187" t="str">
            <v>6154DCJ</v>
          </cell>
          <cell r="AF3187">
            <v>527.23</v>
          </cell>
          <cell r="AG3187">
            <v>199.79</v>
          </cell>
          <cell r="AH3187">
            <v>199.79</v>
          </cell>
        </row>
        <row r="3188">
          <cell r="AE3188" t="str">
            <v>6154DCK</v>
          </cell>
          <cell r="AF3188">
            <v>527.23</v>
          </cell>
          <cell r="AG3188">
            <v>199.79</v>
          </cell>
          <cell r="AH3188">
            <v>199.79</v>
          </cell>
        </row>
        <row r="3189">
          <cell r="AE3189" t="str">
            <v>6154DBS</v>
          </cell>
          <cell r="AF3189">
            <v>527.23</v>
          </cell>
          <cell r="AG3189">
            <v>199.79</v>
          </cell>
          <cell r="AH3189">
            <v>199.79</v>
          </cell>
        </row>
        <row r="3190">
          <cell r="AE3190" t="str">
            <v>6154DBV</v>
          </cell>
          <cell r="AF3190">
            <v>527.23</v>
          </cell>
          <cell r="AG3190">
            <v>199.79</v>
          </cell>
          <cell r="AH3190">
            <v>199.79</v>
          </cell>
        </row>
        <row r="3191">
          <cell r="AE3191" t="str">
            <v>6154DBY</v>
          </cell>
          <cell r="AF3191">
            <v>527.23</v>
          </cell>
          <cell r="AG3191">
            <v>199.79</v>
          </cell>
          <cell r="AH3191">
            <v>199.79</v>
          </cell>
        </row>
        <row r="3192">
          <cell r="AE3192" t="str">
            <v>6154DBZ</v>
          </cell>
          <cell r="AF3192">
            <v>527.23</v>
          </cell>
          <cell r="AG3192">
            <v>199.79</v>
          </cell>
          <cell r="AH3192">
            <v>199.79</v>
          </cell>
        </row>
        <row r="3193">
          <cell r="AE3193" t="str">
            <v>6154DC0</v>
          </cell>
          <cell r="AF3193">
            <v>527.23</v>
          </cell>
          <cell r="AG3193">
            <v>199.79</v>
          </cell>
          <cell r="AH3193">
            <v>199.79</v>
          </cell>
        </row>
        <row r="3194">
          <cell r="AE3194" t="str">
            <v>61672KS</v>
          </cell>
          <cell r="AF3194">
            <v>527.23</v>
          </cell>
          <cell r="AG3194">
            <v>199.79</v>
          </cell>
          <cell r="AH3194">
            <v>199.79</v>
          </cell>
        </row>
        <row r="3195">
          <cell r="AE3195" t="str">
            <v>61672KT</v>
          </cell>
          <cell r="AF3195">
            <v>527.23</v>
          </cell>
          <cell r="AG3195">
            <v>199.79</v>
          </cell>
          <cell r="AH3195">
            <v>199.79</v>
          </cell>
        </row>
        <row r="3196">
          <cell r="AE3196" t="str">
            <v>5202G22</v>
          </cell>
          <cell r="AF3196">
            <v>1006.0700000000002</v>
          </cell>
          <cell r="AG3196">
            <v>213.244</v>
          </cell>
          <cell r="AH3196">
            <v>213.244</v>
          </cell>
        </row>
        <row r="3197">
          <cell r="AE3197" t="str">
            <v>5202G26</v>
          </cell>
          <cell r="AF3197">
            <v>1006.0700000000002</v>
          </cell>
          <cell r="AG3197">
            <v>213.244</v>
          </cell>
          <cell r="AH3197">
            <v>213.244</v>
          </cell>
        </row>
        <row r="3198">
          <cell r="AE3198" t="str">
            <v>5202G27</v>
          </cell>
          <cell r="AF3198">
            <v>1006.0700000000002</v>
          </cell>
          <cell r="AG3198">
            <v>213.244</v>
          </cell>
          <cell r="AH3198">
            <v>213.244</v>
          </cell>
        </row>
        <row r="3199">
          <cell r="AE3199" t="str">
            <v>5245728</v>
          </cell>
          <cell r="AF3199">
            <v>1006.0700000000002</v>
          </cell>
          <cell r="AG3199">
            <v>213.244</v>
          </cell>
          <cell r="AH3199">
            <v>213.244</v>
          </cell>
        </row>
        <row r="3200">
          <cell r="AE3200" t="str">
            <v>52898S2</v>
          </cell>
          <cell r="AF3200">
            <v>562.72</v>
          </cell>
          <cell r="AG3200">
            <v>213.244</v>
          </cell>
          <cell r="AH3200">
            <v>213.244</v>
          </cell>
        </row>
        <row r="3201">
          <cell r="AE3201" t="str">
            <v>5301M3W</v>
          </cell>
          <cell r="AF3201">
            <v>562.72</v>
          </cell>
          <cell r="AG3201">
            <v>213.244</v>
          </cell>
          <cell r="AH3201">
            <v>213.244</v>
          </cell>
        </row>
        <row r="3202">
          <cell r="AE3202" t="str">
            <v>5311QD5</v>
          </cell>
          <cell r="AF3202">
            <v>562.72</v>
          </cell>
          <cell r="AG3202">
            <v>213.244</v>
          </cell>
          <cell r="AH3202">
            <v>213.244</v>
          </cell>
        </row>
        <row r="3203">
          <cell r="AE3203" t="str">
            <v>5311QD7</v>
          </cell>
          <cell r="AF3203">
            <v>562.72</v>
          </cell>
          <cell r="AG3203">
            <v>213.244</v>
          </cell>
          <cell r="AH3203">
            <v>213.244</v>
          </cell>
        </row>
        <row r="3204">
          <cell r="AE3204" t="str">
            <v>5311QD8</v>
          </cell>
          <cell r="AF3204">
            <v>562.72</v>
          </cell>
          <cell r="AG3204">
            <v>213.244</v>
          </cell>
          <cell r="AH3204">
            <v>213.244</v>
          </cell>
        </row>
        <row r="3205">
          <cell r="AE3205" t="str">
            <v>5311QDC</v>
          </cell>
          <cell r="AF3205">
            <v>562.72</v>
          </cell>
          <cell r="AG3205">
            <v>213.244</v>
          </cell>
          <cell r="AH3205">
            <v>213.244</v>
          </cell>
        </row>
        <row r="3206">
          <cell r="AE3206" t="str">
            <v>5311QDG</v>
          </cell>
          <cell r="AF3206">
            <v>562.72</v>
          </cell>
          <cell r="AG3206">
            <v>213.244</v>
          </cell>
          <cell r="AH3206">
            <v>213.244</v>
          </cell>
        </row>
        <row r="3207">
          <cell r="AE3207" t="str">
            <v>5311QDH</v>
          </cell>
          <cell r="AF3207">
            <v>562.72</v>
          </cell>
          <cell r="AG3207">
            <v>213.244</v>
          </cell>
          <cell r="AH3207">
            <v>213.244</v>
          </cell>
        </row>
        <row r="3208">
          <cell r="AE3208" t="str">
            <v>5311QDM</v>
          </cell>
          <cell r="AF3208">
            <v>562.72</v>
          </cell>
          <cell r="AG3208">
            <v>213.244</v>
          </cell>
          <cell r="AH3208">
            <v>213.244</v>
          </cell>
        </row>
        <row r="3209">
          <cell r="AE3209" t="str">
            <v>5311QDP</v>
          </cell>
          <cell r="AF3209">
            <v>562.72</v>
          </cell>
          <cell r="AG3209">
            <v>213.244</v>
          </cell>
          <cell r="AH3209">
            <v>213.244</v>
          </cell>
        </row>
        <row r="3210">
          <cell r="AE3210" t="str">
            <v>5354CD5</v>
          </cell>
          <cell r="AF3210">
            <v>562.72</v>
          </cell>
          <cell r="AG3210">
            <v>213.244</v>
          </cell>
          <cell r="AH3210">
            <v>213.244</v>
          </cell>
        </row>
        <row r="3211">
          <cell r="AE3211" t="str">
            <v>5354CD6</v>
          </cell>
          <cell r="AF3211">
            <v>562.72</v>
          </cell>
          <cell r="AG3211">
            <v>213.244</v>
          </cell>
          <cell r="AH3211">
            <v>213.244</v>
          </cell>
        </row>
        <row r="3212">
          <cell r="AE3212" t="str">
            <v>5365LMC</v>
          </cell>
          <cell r="AF3212">
            <v>562.72</v>
          </cell>
          <cell r="AG3212">
            <v>213.244</v>
          </cell>
          <cell r="AH3212">
            <v>213.244</v>
          </cell>
        </row>
        <row r="3213">
          <cell r="AE3213" t="str">
            <v>5365LN5</v>
          </cell>
          <cell r="AF3213">
            <v>562.72</v>
          </cell>
          <cell r="AG3213">
            <v>213.244</v>
          </cell>
          <cell r="AH3213">
            <v>213.244</v>
          </cell>
        </row>
        <row r="3214">
          <cell r="AE3214" t="str">
            <v>6075TR7</v>
          </cell>
          <cell r="AF3214">
            <v>562.75</v>
          </cell>
          <cell r="AG3214">
            <v>213.25</v>
          </cell>
          <cell r="AH3214">
            <v>213.25</v>
          </cell>
        </row>
        <row r="3215">
          <cell r="AE3215" t="str">
            <v>PE000021</v>
          </cell>
          <cell r="AF3215">
            <v>584.5</v>
          </cell>
          <cell r="AG3215">
            <v>369.15</v>
          </cell>
          <cell r="AH3215">
            <v>369.15</v>
          </cell>
        </row>
        <row r="3216">
          <cell r="AE3216" t="str">
            <v>EE100593</v>
          </cell>
          <cell r="AF3216">
            <v>0</v>
          </cell>
          <cell r="AG3216">
            <v>6650</v>
          </cell>
          <cell r="AH3216">
            <v>6650</v>
          </cell>
        </row>
        <row r="3217">
          <cell r="AE3217" t="str">
            <v>E0009290</v>
          </cell>
          <cell r="AF3217">
            <v>0</v>
          </cell>
          <cell r="AG3217">
            <v>295</v>
          </cell>
          <cell r="AH3217">
            <v>295</v>
          </cell>
        </row>
        <row r="3218">
          <cell r="AE3218" t="str">
            <v>E0009264</v>
          </cell>
          <cell r="AF3218">
            <v>0</v>
          </cell>
          <cell r="AG3218">
            <v>310</v>
          </cell>
          <cell r="AH3218">
            <v>310</v>
          </cell>
        </row>
        <row r="3219">
          <cell r="AE3219" t="str">
            <v>ENP00002</v>
          </cell>
          <cell r="AF3219">
            <v>0</v>
          </cell>
          <cell r="AG3219">
            <v>660.5</v>
          </cell>
          <cell r="AH3219">
            <v>660.5</v>
          </cell>
        </row>
        <row r="3220">
          <cell r="AE3220" t="str">
            <v>EP140801</v>
          </cell>
          <cell r="AF3220">
            <v>0</v>
          </cell>
          <cell r="AG3220">
            <v>540</v>
          </cell>
          <cell r="AH3220">
            <v>540</v>
          </cell>
        </row>
        <row r="3221">
          <cell r="AE3221" t="str">
            <v>EP140802</v>
          </cell>
          <cell r="AF3221">
            <v>0</v>
          </cell>
          <cell r="AG3221">
            <v>540</v>
          </cell>
          <cell r="AH3221">
            <v>540</v>
          </cell>
        </row>
        <row r="3222">
          <cell r="AE3222" t="str">
            <v>EP140803</v>
          </cell>
          <cell r="AF3222">
            <v>0</v>
          </cell>
          <cell r="AG3222">
            <v>540</v>
          </cell>
          <cell r="AH3222">
            <v>540</v>
          </cell>
        </row>
        <row r="3223">
          <cell r="AE3223" t="str">
            <v>WHDG801</v>
          </cell>
          <cell r="AF3223">
            <v>350.44</v>
          </cell>
          <cell r="AG3223">
            <v>332</v>
          </cell>
          <cell r="AH3223">
            <v>332</v>
          </cell>
        </row>
        <row r="3224">
          <cell r="AE3224" t="str">
            <v>EE100125</v>
          </cell>
          <cell r="AF3224">
            <v>0</v>
          </cell>
          <cell r="AG3224">
            <v>2721.75</v>
          </cell>
          <cell r="AH3224">
            <v>2721.75</v>
          </cell>
        </row>
        <row r="3225">
          <cell r="AE3225" t="str">
            <v>IT000139</v>
          </cell>
          <cell r="AF3225">
            <v>11399.970000000001</v>
          </cell>
          <cell r="AG3225">
            <v>4319.99</v>
          </cell>
          <cell r="AH3225">
            <v>4319.99</v>
          </cell>
        </row>
        <row r="3226">
          <cell r="AE3226" t="str">
            <v>IT000140</v>
          </cell>
          <cell r="AF3226">
            <v>6755.5500000000029</v>
          </cell>
          <cell r="AG3226">
            <v>2560</v>
          </cell>
          <cell r="AH3226">
            <v>2560</v>
          </cell>
        </row>
        <row r="3227">
          <cell r="AE3227" t="str">
            <v>4898864</v>
          </cell>
          <cell r="AF3227">
            <v>52.72</v>
          </cell>
          <cell r="AG3227">
            <v>49.95</v>
          </cell>
          <cell r="AH3227">
            <v>49.95</v>
          </cell>
        </row>
        <row r="3228">
          <cell r="AE3228" t="str">
            <v>5818030</v>
          </cell>
          <cell r="AF3228">
            <v>215.41999999999996</v>
          </cell>
          <cell r="AG3228">
            <v>99.95</v>
          </cell>
          <cell r="AH3228">
            <v>99.95</v>
          </cell>
        </row>
        <row r="3229">
          <cell r="AE3229" t="str">
            <v>MT16401</v>
          </cell>
          <cell r="AF3229">
            <v>1767.9499999999998</v>
          </cell>
          <cell r="AG3229">
            <v>669.96199999999999</v>
          </cell>
          <cell r="AH3229">
            <v>669.96199999999999</v>
          </cell>
        </row>
        <row r="3230">
          <cell r="AE3230" t="str">
            <v>MT16402</v>
          </cell>
          <cell r="AF3230">
            <v>1767.9499999999998</v>
          </cell>
          <cell r="AG3230">
            <v>669.96199999999999</v>
          </cell>
          <cell r="AH3230">
            <v>669.96199999999999</v>
          </cell>
        </row>
        <row r="3231">
          <cell r="AE3231" t="str">
            <v>MT16403</v>
          </cell>
          <cell r="AF3231">
            <v>1767.9499999999998</v>
          </cell>
          <cell r="AG3231">
            <v>669.96199999999999</v>
          </cell>
          <cell r="AH3231">
            <v>669.96199999999999</v>
          </cell>
        </row>
        <row r="3232">
          <cell r="AE3232" t="str">
            <v>MT16404</v>
          </cell>
          <cell r="AF3232">
            <v>1767.9499999999998</v>
          </cell>
          <cell r="AG3232">
            <v>669.96199999999999</v>
          </cell>
          <cell r="AH3232">
            <v>669.96199999999999</v>
          </cell>
        </row>
        <row r="3233">
          <cell r="AE3233" t="str">
            <v>EE100754</v>
          </cell>
          <cell r="AF3233">
            <v>0</v>
          </cell>
          <cell r="AG3233">
            <v>3650</v>
          </cell>
          <cell r="AH3233">
            <v>3650</v>
          </cell>
        </row>
        <row r="3234">
          <cell r="AE3234" t="str">
            <v>EHBS1502</v>
          </cell>
          <cell r="AF3234">
            <v>950</v>
          </cell>
          <cell r="AG3234">
            <v>360</v>
          </cell>
          <cell r="AH3234">
            <v>360</v>
          </cell>
        </row>
        <row r="3235">
          <cell r="AE3235" t="str">
            <v>E100505</v>
          </cell>
          <cell r="AF3235">
            <v>1993.3000000000002</v>
          </cell>
          <cell r="AG3235">
            <v>891.75</v>
          </cell>
          <cell r="AH3235">
            <v>891.75</v>
          </cell>
        </row>
        <row r="3236">
          <cell r="AE3236" t="str">
            <v>EE100751</v>
          </cell>
          <cell r="AF3236">
            <v>0</v>
          </cell>
          <cell r="AG3236">
            <v>2249.25</v>
          </cell>
          <cell r="AH3236">
            <v>2249.25</v>
          </cell>
        </row>
        <row r="3237">
          <cell r="AE3237" t="str">
            <v>EE100646</v>
          </cell>
          <cell r="AF3237">
            <v>0</v>
          </cell>
          <cell r="AG3237">
            <v>6640</v>
          </cell>
          <cell r="AH3237">
            <v>6640</v>
          </cell>
        </row>
        <row r="3238">
          <cell r="AE3238" t="str">
            <v>E0008116</v>
          </cell>
          <cell r="AF3238">
            <v>0</v>
          </cell>
          <cell r="AG3238">
            <v>1685</v>
          </cell>
          <cell r="AH3238">
            <v>1685</v>
          </cell>
        </row>
        <row r="3239">
          <cell r="AE3239" t="str">
            <v>PTT00838</v>
          </cell>
          <cell r="AF3239">
            <v>0</v>
          </cell>
          <cell r="AG3239">
            <v>366.67</v>
          </cell>
          <cell r="AH3239">
            <v>366.67</v>
          </cell>
        </row>
        <row r="3240">
          <cell r="AE3240" t="str">
            <v>PX000002PX000002</v>
          </cell>
          <cell r="AF3240">
            <v>1701869.09</v>
          </cell>
          <cell r="AG3240">
            <v>0</v>
          </cell>
          <cell r="AH3240">
            <v>0</v>
          </cell>
        </row>
        <row r="3241">
          <cell r="AE3241" t="str">
            <v>PTT03144</v>
          </cell>
          <cell r="AF3241">
            <v>0</v>
          </cell>
          <cell r="AG3241">
            <v>19550</v>
          </cell>
          <cell r="AH3241">
            <v>19550</v>
          </cell>
        </row>
        <row r="3242">
          <cell r="AE3242" t="str">
            <v>PTT01870</v>
          </cell>
          <cell r="AF3242">
            <v>0</v>
          </cell>
          <cell r="AG3242">
            <v>17290</v>
          </cell>
          <cell r="AH3242">
            <v>17290</v>
          </cell>
        </row>
        <row r="3243">
          <cell r="AE3243" t="str">
            <v>PTT01868</v>
          </cell>
          <cell r="AF3243">
            <v>0</v>
          </cell>
          <cell r="AG3243">
            <v>176.9</v>
          </cell>
          <cell r="AH3243">
            <v>176.9</v>
          </cell>
        </row>
        <row r="3244">
          <cell r="AE3244" t="str">
            <v>PTT01887</v>
          </cell>
          <cell r="AF3244">
            <v>0</v>
          </cell>
          <cell r="AG3244">
            <v>940.39</v>
          </cell>
          <cell r="AH3244">
            <v>940.39</v>
          </cell>
        </row>
        <row r="3245">
          <cell r="AE3245" t="str">
            <v>PTT01867</v>
          </cell>
          <cell r="AF3245">
            <v>0</v>
          </cell>
          <cell r="AG3245">
            <v>367.2</v>
          </cell>
          <cell r="AH3245">
            <v>367.2</v>
          </cell>
        </row>
        <row r="3246">
          <cell r="AE3246" t="str">
            <v>P7870016</v>
          </cell>
          <cell r="AF3246">
            <v>0</v>
          </cell>
          <cell r="AG3246">
            <v>325</v>
          </cell>
          <cell r="AH3246">
            <v>325</v>
          </cell>
        </row>
        <row r="3247">
          <cell r="AE3247" t="str">
            <v>G0004378</v>
          </cell>
          <cell r="AF3247">
            <v>0</v>
          </cell>
          <cell r="AG3247">
            <v>810.39</v>
          </cell>
          <cell r="AH3247">
            <v>810.39</v>
          </cell>
        </row>
        <row r="3248">
          <cell r="AE3248" t="str">
            <v>G0006557</v>
          </cell>
          <cell r="AF3248">
            <v>0</v>
          </cell>
          <cell r="AG3248">
            <v>576.85</v>
          </cell>
          <cell r="AH3248">
            <v>576.85</v>
          </cell>
        </row>
        <row r="3249">
          <cell r="AE3249" t="str">
            <v>PE000003</v>
          </cell>
          <cell r="AF3249">
            <v>0</v>
          </cell>
          <cell r="AG3249">
            <v>499.3</v>
          </cell>
          <cell r="AH3249">
            <v>499.3</v>
          </cell>
        </row>
        <row r="3250">
          <cell r="AE3250" t="str">
            <v>G0004136</v>
          </cell>
          <cell r="AF3250">
            <v>0</v>
          </cell>
          <cell r="AG3250">
            <v>264.60000000000002</v>
          </cell>
          <cell r="AH3250">
            <v>264.60000000000002</v>
          </cell>
        </row>
        <row r="3251">
          <cell r="AE3251" t="str">
            <v>G0004415</v>
          </cell>
          <cell r="AF3251">
            <v>0</v>
          </cell>
          <cell r="AG3251">
            <v>264.60000000000002</v>
          </cell>
          <cell r="AH3251">
            <v>264.60000000000002</v>
          </cell>
        </row>
        <row r="3252">
          <cell r="AE3252" t="str">
            <v>G0004405</v>
          </cell>
          <cell r="AF3252">
            <v>0</v>
          </cell>
          <cell r="AG3252">
            <v>818.4</v>
          </cell>
          <cell r="AH3252">
            <v>818.4</v>
          </cell>
        </row>
        <row r="3253">
          <cell r="AE3253" t="str">
            <v>PE000012</v>
          </cell>
          <cell r="AF3253">
            <v>1104.3000000000011</v>
          </cell>
          <cell r="AG3253">
            <v>697.45</v>
          </cell>
          <cell r="AH3253">
            <v>697.45</v>
          </cell>
        </row>
        <row r="3254">
          <cell r="AE3254" t="str">
            <v>G0006918</v>
          </cell>
          <cell r="AF3254">
            <v>0</v>
          </cell>
          <cell r="AG3254">
            <v>112.5</v>
          </cell>
          <cell r="AH3254">
            <v>112.5</v>
          </cell>
        </row>
        <row r="3255">
          <cell r="AE3255" t="str">
            <v>PX000001PX000001</v>
          </cell>
          <cell r="AF3255">
            <v>4275.8900000000003</v>
          </cell>
          <cell r="AG3255">
            <v>0</v>
          </cell>
          <cell r="AH3255">
            <v>0</v>
          </cell>
        </row>
        <row r="3256">
          <cell r="AE3256" t="str">
            <v>P8300003</v>
          </cell>
          <cell r="AF3256">
            <v>0</v>
          </cell>
          <cell r="AG3256">
            <v>150</v>
          </cell>
          <cell r="AH3256">
            <v>150</v>
          </cell>
        </row>
        <row r="3257">
          <cell r="AE3257" t="str">
            <v>G0001804</v>
          </cell>
          <cell r="AF3257">
            <v>0</v>
          </cell>
          <cell r="AG3257">
            <v>824</v>
          </cell>
          <cell r="AH3257">
            <v>824</v>
          </cell>
        </row>
        <row r="3258">
          <cell r="AE3258" t="str">
            <v>G0004379</v>
          </cell>
          <cell r="AF3258">
            <v>0</v>
          </cell>
          <cell r="AG3258">
            <v>934.55</v>
          </cell>
          <cell r="AH3258">
            <v>934.55</v>
          </cell>
        </row>
        <row r="3259">
          <cell r="AE3259" t="str">
            <v>G0004237</v>
          </cell>
          <cell r="AF3259">
            <v>0</v>
          </cell>
          <cell r="AG3259">
            <v>1106.25</v>
          </cell>
          <cell r="AH3259">
            <v>1106.25</v>
          </cell>
        </row>
        <row r="3260">
          <cell r="AE3260" t="str">
            <v>PE000004</v>
          </cell>
          <cell r="AF3260">
            <v>0</v>
          </cell>
          <cell r="AG3260">
            <v>484.95</v>
          </cell>
          <cell r="AH3260">
            <v>484.95</v>
          </cell>
        </row>
        <row r="3261">
          <cell r="AE3261" t="str">
            <v>PE000005</v>
          </cell>
          <cell r="AF3261">
            <v>0</v>
          </cell>
          <cell r="AG3261">
            <v>484.95</v>
          </cell>
          <cell r="AH3261">
            <v>484.95</v>
          </cell>
        </row>
        <row r="3262">
          <cell r="AE3262" t="str">
            <v>PE000007</v>
          </cell>
          <cell r="AF3262">
            <v>0</v>
          </cell>
          <cell r="AG3262">
            <v>612.5</v>
          </cell>
          <cell r="AH3262">
            <v>612.5</v>
          </cell>
        </row>
        <row r="3263">
          <cell r="AE3263" t="str">
            <v>PE000008</v>
          </cell>
          <cell r="AF3263">
            <v>0</v>
          </cell>
          <cell r="AG3263">
            <v>612.5</v>
          </cell>
          <cell r="AH3263">
            <v>612.5</v>
          </cell>
        </row>
        <row r="3264">
          <cell r="AE3264" t="str">
            <v>PE000009</v>
          </cell>
          <cell r="AF3264">
            <v>0</v>
          </cell>
          <cell r="AG3264">
            <v>612.5</v>
          </cell>
          <cell r="AH3264">
            <v>612.5</v>
          </cell>
        </row>
        <row r="3265">
          <cell r="AE3265" t="str">
            <v>PE000010</v>
          </cell>
          <cell r="AF3265">
            <v>0</v>
          </cell>
          <cell r="AG3265">
            <v>409.95</v>
          </cell>
          <cell r="AH3265">
            <v>409.95</v>
          </cell>
        </row>
        <row r="3266">
          <cell r="AE3266" t="str">
            <v>P8200100</v>
          </cell>
          <cell r="AF3266">
            <v>0</v>
          </cell>
          <cell r="AG3266">
            <v>141.15</v>
          </cell>
          <cell r="AH3266">
            <v>141.15</v>
          </cell>
        </row>
        <row r="3267">
          <cell r="AE3267" t="str">
            <v>G0006908</v>
          </cell>
          <cell r="AF3267">
            <v>0</v>
          </cell>
          <cell r="AG3267">
            <v>150</v>
          </cell>
          <cell r="AH3267">
            <v>150</v>
          </cell>
        </row>
        <row r="3268">
          <cell r="AE3268" t="str">
            <v>G0003400</v>
          </cell>
          <cell r="AF3268">
            <v>0</v>
          </cell>
          <cell r="AG3268">
            <v>140</v>
          </cell>
          <cell r="AH3268">
            <v>140</v>
          </cell>
        </row>
        <row r="3269">
          <cell r="AE3269" t="str">
            <v>PEE00887</v>
          </cell>
          <cell r="AF3269">
            <v>0</v>
          </cell>
          <cell r="AG3269">
            <v>302.74</v>
          </cell>
          <cell r="AH3269">
            <v>302.74</v>
          </cell>
        </row>
        <row r="3270">
          <cell r="AE3270" t="str">
            <v>PE000065</v>
          </cell>
          <cell r="AF3270">
            <v>767.85</v>
          </cell>
          <cell r="AG3270">
            <v>484.95</v>
          </cell>
          <cell r="AH3270">
            <v>484.95</v>
          </cell>
        </row>
        <row r="3271">
          <cell r="AE3271" t="str">
            <v>PE000001</v>
          </cell>
          <cell r="AF3271">
            <v>0</v>
          </cell>
          <cell r="AG3271">
            <v>1214.5</v>
          </cell>
          <cell r="AH3271">
            <v>1214.5</v>
          </cell>
        </row>
        <row r="3272">
          <cell r="AE3272" t="str">
            <v>G0004612</v>
          </cell>
          <cell r="AF3272">
            <v>0</v>
          </cell>
          <cell r="AG3272">
            <v>574</v>
          </cell>
          <cell r="AH3272">
            <v>574</v>
          </cell>
        </row>
        <row r="3273">
          <cell r="AE3273" t="str">
            <v>PMM00384</v>
          </cell>
          <cell r="AF3273">
            <v>0</v>
          </cell>
          <cell r="AG3273">
            <v>300</v>
          </cell>
          <cell r="AH3273">
            <v>300</v>
          </cell>
        </row>
        <row r="3274">
          <cell r="AE3274" t="str">
            <v>PE000002</v>
          </cell>
          <cell r="AF3274">
            <v>0</v>
          </cell>
          <cell r="AG3274">
            <v>505</v>
          </cell>
          <cell r="AH3274">
            <v>505</v>
          </cell>
        </row>
        <row r="3275">
          <cell r="AE3275" t="str">
            <v>PFF11460</v>
          </cell>
          <cell r="AF3275">
            <v>0</v>
          </cell>
          <cell r="AG3275">
            <v>137.76</v>
          </cell>
          <cell r="AH3275">
            <v>137.76</v>
          </cell>
        </row>
        <row r="3276">
          <cell r="AE3276" t="str">
            <v>PFF11452</v>
          </cell>
          <cell r="AF3276">
            <v>0</v>
          </cell>
          <cell r="AG3276">
            <v>137.76</v>
          </cell>
          <cell r="AH3276">
            <v>137.76</v>
          </cell>
        </row>
        <row r="3277">
          <cell r="AE3277" t="str">
            <v>PFF11454</v>
          </cell>
          <cell r="AF3277">
            <v>0</v>
          </cell>
          <cell r="AG3277">
            <v>137.76</v>
          </cell>
          <cell r="AH3277">
            <v>137.76</v>
          </cell>
        </row>
        <row r="3278">
          <cell r="AE3278" t="str">
            <v>PFF11455</v>
          </cell>
          <cell r="AF3278">
            <v>0</v>
          </cell>
          <cell r="AG3278">
            <v>137.76</v>
          </cell>
          <cell r="AH3278">
            <v>137.76</v>
          </cell>
        </row>
        <row r="3279">
          <cell r="AE3279" t="str">
            <v>PFF11457</v>
          </cell>
          <cell r="AF3279">
            <v>0</v>
          </cell>
          <cell r="AG3279">
            <v>137.76</v>
          </cell>
          <cell r="AH3279">
            <v>137.76</v>
          </cell>
        </row>
        <row r="3280">
          <cell r="AE3280" t="str">
            <v>PFF11458</v>
          </cell>
          <cell r="AF3280">
            <v>0</v>
          </cell>
          <cell r="AG3280">
            <v>137.76</v>
          </cell>
          <cell r="AH3280">
            <v>137.76</v>
          </cell>
        </row>
        <row r="3281">
          <cell r="AE3281" t="str">
            <v>PFF11459</v>
          </cell>
          <cell r="AF3281">
            <v>0</v>
          </cell>
          <cell r="AG3281">
            <v>137.76</v>
          </cell>
          <cell r="AH3281">
            <v>137.76</v>
          </cell>
        </row>
        <row r="3282">
          <cell r="AE3282" t="str">
            <v>PE000013</v>
          </cell>
          <cell r="AF3282">
            <v>1068.75</v>
          </cell>
          <cell r="AG3282">
            <v>675</v>
          </cell>
          <cell r="AH3282">
            <v>675</v>
          </cell>
        </row>
        <row r="3283">
          <cell r="AE3283" t="str">
            <v>PEE01082</v>
          </cell>
          <cell r="AF3283">
            <v>0</v>
          </cell>
          <cell r="AG3283">
            <v>690</v>
          </cell>
          <cell r="AH3283">
            <v>690</v>
          </cell>
        </row>
        <row r="3284">
          <cell r="AE3284" t="str">
            <v>PEE01236</v>
          </cell>
          <cell r="AF3284">
            <v>0</v>
          </cell>
          <cell r="AG3284">
            <v>127</v>
          </cell>
          <cell r="AH3284">
            <v>127</v>
          </cell>
        </row>
        <row r="3285">
          <cell r="AE3285" t="str">
            <v>PEE00997</v>
          </cell>
          <cell r="AF3285">
            <v>0</v>
          </cell>
          <cell r="AG3285">
            <v>210</v>
          </cell>
          <cell r="AH3285">
            <v>210</v>
          </cell>
        </row>
        <row r="3286">
          <cell r="AE3286" t="str">
            <v>PEE00855</v>
          </cell>
          <cell r="AF3286">
            <v>0</v>
          </cell>
          <cell r="AG3286">
            <v>784.29</v>
          </cell>
          <cell r="AH3286">
            <v>784.29</v>
          </cell>
        </row>
        <row r="3287">
          <cell r="AE3287" t="str">
            <v>PEE00856</v>
          </cell>
          <cell r="AF3287">
            <v>0</v>
          </cell>
          <cell r="AG3287">
            <v>784.29</v>
          </cell>
          <cell r="AH3287">
            <v>784.29</v>
          </cell>
        </row>
        <row r="3288">
          <cell r="AE3288" t="str">
            <v>PE000014</v>
          </cell>
          <cell r="AF3288">
            <v>672.92000000000007</v>
          </cell>
          <cell r="AG3288">
            <v>425</v>
          </cell>
          <cell r="AH3288">
            <v>425</v>
          </cell>
        </row>
        <row r="3289">
          <cell r="AE3289" t="str">
            <v>PE000015</v>
          </cell>
          <cell r="AF3289">
            <v>672.92000000000007</v>
          </cell>
          <cell r="AG3289">
            <v>425</v>
          </cell>
          <cell r="AH3289">
            <v>425</v>
          </cell>
        </row>
        <row r="3290">
          <cell r="AE3290" t="str">
            <v>PE000016</v>
          </cell>
          <cell r="AF3290">
            <v>672.92000000000007</v>
          </cell>
          <cell r="AG3290">
            <v>425</v>
          </cell>
          <cell r="AH3290">
            <v>425</v>
          </cell>
        </row>
        <row r="3291">
          <cell r="AE3291" t="str">
            <v>PE000017</v>
          </cell>
          <cell r="AF3291">
            <v>672.92000000000007</v>
          </cell>
          <cell r="AG3291">
            <v>425</v>
          </cell>
          <cell r="AH3291">
            <v>425</v>
          </cell>
        </row>
        <row r="3292">
          <cell r="AE3292" t="str">
            <v>PEE01221</v>
          </cell>
          <cell r="AF3292">
            <v>0</v>
          </cell>
          <cell r="AG3292">
            <v>125</v>
          </cell>
          <cell r="AH3292">
            <v>125</v>
          </cell>
        </row>
        <row r="3293">
          <cell r="AE3293" t="str">
            <v>PEE04002</v>
          </cell>
          <cell r="AF3293">
            <v>0</v>
          </cell>
          <cell r="AG3293">
            <v>125</v>
          </cell>
          <cell r="AH3293">
            <v>125</v>
          </cell>
        </row>
        <row r="3294">
          <cell r="AE3294" t="str">
            <v>PFF15752</v>
          </cell>
          <cell r="AF3294">
            <v>0</v>
          </cell>
          <cell r="AG3294">
            <v>211.8</v>
          </cell>
          <cell r="AH3294">
            <v>211.8</v>
          </cell>
        </row>
        <row r="3295">
          <cell r="AE3295" t="str">
            <v>PFF15753</v>
          </cell>
          <cell r="AF3295">
            <v>0</v>
          </cell>
          <cell r="AG3295">
            <v>172.35</v>
          </cell>
          <cell r="AH3295">
            <v>172.35</v>
          </cell>
        </row>
        <row r="3296">
          <cell r="AE3296" t="str">
            <v>PFF15754</v>
          </cell>
          <cell r="AF3296">
            <v>0</v>
          </cell>
          <cell r="AG3296">
            <v>172.35</v>
          </cell>
          <cell r="AH3296">
            <v>172.35</v>
          </cell>
        </row>
        <row r="3297">
          <cell r="AE3297" t="str">
            <v>PE000051</v>
          </cell>
          <cell r="AF3297">
            <v>1531.5400000000002</v>
          </cell>
          <cell r="AG3297">
            <v>624.95000000000005</v>
          </cell>
          <cell r="AH3297">
            <v>624.95000000000005</v>
          </cell>
        </row>
        <row r="3298">
          <cell r="AE3298" t="str">
            <v>G0001778</v>
          </cell>
          <cell r="AF3298">
            <v>0</v>
          </cell>
          <cell r="AG3298">
            <v>824</v>
          </cell>
          <cell r="AH3298">
            <v>824</v>
          </cell>
        </row>
        <row r="3299">
          <cell r="AE3299" t="str">
            <v>G0003641</v>
          </cell>
          <cell r="AF3299">
            <v>0</v>
          </cell>
          <cell r="AG3299">
            <v>633.5</v>
          </cell>
          <cell r="AH3299">
            <v>633.5</v>
          </cell>
        </row>
        <row r="3300">
          <cell r="AE3300" t="str">
            <v>G0006912</v>
          </cell>
          <cell r="AF3300">
            <v>0</v>
          </cell>
          <cell r="AG3300">
            <v>411.5</v>
          </cell>
          <cell r="AH3300">
            <v>411.5</v>
          </cell>
        </row>
        <row r="3301">
          <cell r="AE3301" t="str">
            <v>G0004605</v>
          </cell>
          <cell r="AF3301">
            <v>0</v>
          </cell>
          <cell r="AG3301">
            <v>105</v>
          </cell>
          <cell r="AH3301">
            <v>105</v>
          </cell>
        </row>
        <row r="3302">
          <cell r="AE3302" t="str">
            <v>PE000011</v>
          </cell>
          <cell r="AF3302">
            <v>1423.4300000000003</v>
          </cell>
          <cell r="AG3302">
            <v>899</v>
          </cell>
          <cell r="AH3302">
            <v>899</v>
          </cell>
        </row>
        <row r="3303">
          <cell r="AE3303" t="str">
            <v>PE000050</v>
          </cell>
          <cell r="AF3303">
            <v>767.31</v>
          </cell>
          <cell r="AG3303">
            <v>370</v>
          </cell>
          <cell r="AH3303">
            <v>370</v>
          </cell>
        </row>
        <row r="3304">
          <cell r="AE3304" t="str">
            <v>PE000018</v>
          </cell>
          <cell r="AF3304">
            <v>584.5</v>
          </cell>
          <cell r="AG3304">
            <v>369.15</v>
          </cell>
          <cell r="AH3304">
            <v>369.15</v>
          </cell>
        </row>
        <row r="3305">
          <cell r="AE3305" t="str">
            <v>PE000019</v>
          </cell>
          <cell r="AF3305">
            <v>584.5</v>
          </cell>
          <cell r="AG3305">
            <v>369.15</v>
          </cell>
          <cell r="AH3305">
            <v>369.15</v>
          </cell>
        </row>
        <row r="3306">
          <cell r="AE3306" t="str">
            <v>PE000022</v>
          </cell>
          <cell r="AF3306">
            <v>960.14999999999986</v>
          </cell>
          <cell r="AG3306">
            <v>363.85</v>
          </cell>
          <cell r="AH3306">
            <v>363.85</v>
          </cell>
        </row>
        <row r="3307">
          <cell r="AE3307" t="str">
            <v>PE000023</v>
          </cell>
          <cell r="AF3307">
            <v>625.13000000000011</v>
          </cell>
          <cell r="AG3307">
            <v>207.35</v>
          </cell>
          <cell r="AH3307">
            <v>207.35</v>
          </cell>
        </row>
        <row r="3308">
          <cell r="AE3308" t="str">
            <v>PE000024</v>
          </cell>
          <cell r="AF3308">
            <v>625.13000000000011</v>
          </cell>
          <cell r="AG3308">
            <v>207.35</v>
          </cell>
          <cell r="AH3308">
            <v>207.35</v>
          </cell>
        </row>
        <row r="3309">
          <cell r="AE3309" t="str">
            <v>PE000025</v>
          </cell>
          <cell r="AF3309">
            <v>625.13000000000011</v>
          </cell>
          <cell r="AG3309">
            <v>207.35</v>
          </cell>
          <cell r="AH3309">
            <v>207.35</v>
          </cell>
        </row>
        <row r="3310">
          <cell r="AE3310" t="str">
            <v>PE000026</v>
          </cell>
          <cell r="AF3310">
            <v>625.13000000000011</v>
          </cell>
          <cell r="AG3310">
            <v>207.35</v>
          </cell>
          <cell r="AH3310">
            <v>207.35</v>
          </cell>
        </row>
        <row r="3311">
          <cell r="AE3311" t="str">
            <v>PE000027</v>
          </cell>
          <cell r="AF3311">
            <v>625.13000000000011</v>
          </cell>
          <cell r="AG3311">
            <v>207.35</v>
          </cell>
          <cell r="AH3311">
            <v>207.35</v>
          </cell>
        </row>
        <row r="3312">
          <cell r="AE3312" t="str">
            <v>PE000028</v>
          </cell>
          <cell r="AF3312">
            <v>625.13000000000011</v>
          </cell>
          <cell r="AG3312">
            <v>207.35</v>
          </cell>
          <cell r="AH3312">
            <v>207.35</v>
          </cell>
        </row>
        <row r="3313">
          <cell r="AE3313" t="str">
            <v>PE000029</v>
          </cell>
          <cell r="AF3313">
            <v>625.13000000000011</v>
          </cell>
          <cell r="AG3313">
            <v>207.35</v>
          </cell>
          <cell r="AH3313">
            <v>207.35</v>
          </cell>
        </row>
        <row r="3314">
          <cell r="AE3314" t="str">
            <v>PE000030</v>
          </cell>
          <cell r="AF3314">
            <v>625.13000000000011</v>
          </cell>
          <cell r="AG3314">
            <v>207.35</v>
          </cell>
          <cell r="AH3314">
            <v>207.35</v>
          </cell>
        </row>
        <row r="3315">
          <cell r="AE3315" t="str">
            <v>PE000052</v>
          </cell>
          <cell r="AF3315">
            <v>2014.0000000000002</v>
          </cell>
          <cell r="AG3315">
            <v>1272</v>
          </cell>
          <cell r="AH3315">
            <v>1272</v>
          </cell>
        </row>
        <row r="3316">
          <cell r="AE3316" t="str">
            <v>PE000053</v>
          </cell>
          <cell r="AF3316">
            <v>1528.6800000000003</v>
          </cell>
          <cell r="AG3316">
            <v>1272</v>
          </cell>
          <cell r="AH3316">
            <v>1272</v>
          </cell>
        </row>
        <row r="3317">
          <cell r="AE3317" t="str">
            <v>PE000055</v>
          </cell>
          <cell r="AF3317">
            <v>1143.42</v>
          </cell>
          <cell r="AG3317">
            <v>433.3</v>
          </cell>
          <cell r="AH3317">
            <v>433.3</v>
          </cell>
        </row>
        <row r="3318">
          <cell r="AE3318" t="str">
            <v>PE000056</v>
          </cell>
          <cell r="AF3318">
            <v>1807.119999999999</v>
          </cell>
          <cell r="AG3318">
            <v>684.8</v>
          </cell>
          <cell r="AH3318">
            <v>684.8</v>
          </cell>
        </row>
        <row r="3319">
          <cell r="AE3319" t="str">
            <v>PE000057</v>
          </cell>
          <cell r="AF3319">
            <v>988.27</v>
          </cell>
          <cell r="AG3319">
            <v>374.5</v>
          </cell>
          <cell r="AH3319">
            <v>374.5</v>
          </cell>
        </row>
        <row r="3320">
          <cell r="AE3320" t="str">
            <v>PE000058</v>
          </cell>
          <cell r="AF3320">
            <v>988.27</v>
          </cell>
          <cell r="AG3320">
            <v>374.5</v>
          </cell>
          <cell r="AH3320">
            <v>374.5</v>
          </cell>
        </row>
        <row r="3321">
          <cell r="AE3321" t="str">
            <v>PE000059</v>
          </cell>
          <cell r="AF3321">
            <v>988.27</v>
          </cell>
          <cell r="AG3321">
            <v>374.5</v>
          </cell>
          <cell r="AH3321">
            <v>374.5</v>
          </cell>
        </row>
        <row r="3322">
          <cell r="AE3322" t="str">
            <v>PE000060</v>
          </cell>
          <cell r="AF3322">
            <v>988.27</v>
          </cell>
          <cell r="AG3322">
            <v>374.5</v>
          </cell>
          <cell r="AH3322">
            <v>374.5</v>
          </cell>
        </row>
        <row r="3323">
          <cell r="AE3323" t="str">
            <v>PE000061</v>
          </cell>
          <cell r="AF3323">
            <v>974.15000000000009</v>
          </cell>
          <cell r="AG3323">
            <v>369.15</v>
          </cell>
          <cell r="AH3323">
            <v>369.15</v>
          </cell>
        </row>
        <row r="3324">
          <cell r="AE3324" t="str">
            <v>PE000062</v>
          </cell>
          <cell r="AF3324">
            <v>974.15000000000009</v>
          </cell>
          <cell r="AG3324">
            <v>369.15</v>
          </cell>
          <cell r="AH3324">
            <v>369.15</v>
          </cell>
        </row>
        <row r="3325">
          <cell r="AE3325" t="str">
            <v>PE000064</v>
          </cell>
          <cell r="AF3325">
            <v>0</v>
          </cell>
          <cell r="AG3325">
            <v>330</v>
          </cell>
          <cell r="AH3325">
            <v>330</v>
          </cell>
        </row>
        <row r="3326">
          <cell r="AE3326" t="str">
            <v>PE000063</v>
          </cell>
          <cell r="AF3326">
            <v>4618.0499999999993</v>
          </cell>
          <cell r="AG3326">
            <v>1750</v>
          </cell>
          <cell r="AH3326">
            <v>1750</v>
          </cell>
        </row>
        <row r="3327">
          <cell r="AE3327" t="str">
            <v>PEE01222</v>
          </cell>
          <cell r="AF3327">
            <v>0</v>
          </cell>
          <cell r="AG3327">
            <v>170</v>
          </cell>
          <cell r="AH3327">
            <v>170</v>
          </cell>
        </row>
        <row r="3328">
          <cell r="AE3328" t="str">
            <v>PEE04009</v>
          </cell>
          <cell r="AF3328">
            <v>0</v>
          </cell>
          <cell r="AG3328">
            <v>170</v>
          </cell>
          <cell r="AH3328">
            <v>170</v>
          </cell>
        </row>
        <row r="3329">
          <cell r="AE3329" t="str">
            <v>G0004609</v>
          </cell>
          <cell r="AF3329">
            <v>0</v>
          </cell>
          <cell r="AG3329">
            <v>1225</v>
          </cell>
          <cell r="AH3329">
            <v>1225</v>
          </cell>
        </row>
        <row r="3330">
          <cell r="AE3330" t="str">
            <v>PE000006</v>
          </cell>
          <cell r="AF3330">
            <v>0</v>
          </cell>
          <cell r="AG3330">
            <v>990</v>
          </cell>
          <cell r="AH3330">
            <v>990</v>
          </cell>
        </row>
        <row r="3331">
          <cell r="AE3331" t="str">
            <v>PEE01047</v>
          </cell>
          <cell r="AF3331">
            <v>0</v>
          </cell>
          <cell r="AG3331">
            <v>643826.57999999996</v>
          </cell>
          <cell r="AH3331">
            <v>643826.57999999996</v>
          </cell>
        </row>
        <row r="3332">
          <cell r="AE3332" t="str">
            <v>PEE01048</v>
          </cell>
          <cell r="AF3332">
            <v>0</v>
          </cell>
          <cell r="AG3332">
            <v>992486.08</v>
          </cell>
          <cell r="AH3332">
            <v>992486.08</v>
          </cell>
        </row>
        <row r="3333">
          <cell r="AE3333" t="str">
            <v>PFF17155</v>
          </cell>
          <cell r="AF3333">
            <v>0</v>
          </cell>
          <cell r="AG3333">
            <v>319829.94</v>
          </cell>
          <cell r="AH3333">
            <v>319829.94</v>
          </cell>
        </row>
        <row r="3334">
          <cell r="AE3334"/>
          <cell r="AF3334"/>
        </row>
        <row r="3335">
          <cell r="AE3335"/>
          <cell r="AF3335"/>
        </row>
      </sheetData>
      <sheetData sheetId="5" refreshError="1"/>
      <sheetData sheetId="6" refreshError="1"/>
      <sheetData sheetId="7" refreshError="1">
        <row r="1">
          <cell r="A1" t="str">
            <v>Asset Class</v>
          </cell>
          <cell r="G1" t="str">
            <v>T2 CODE</v>
          </cell>
          <cell r="H1" t="str">
            <v>cost center code</v>
          </cell>
          <cell r="J1" t="str">
            <v>Code</v>
          </cell>
          <cell r="K1" t="str">
            <v>Location</v>
          </cell>
          <cell r="L1" t="str">
            <v>Code</v>
          </cell>
        </row>
        <row r="2">
          <cell r="A2" t="str">
            <v>SUN</v>
          </cell>
          <cell r="C2" t="str">
            <v>SAP S4</v>
          </cell>
          <cell r="G2" t="str">
            <v>UA0</v>
          </cell>
          <cell r="H2" t="str">
            <v>1101SM81</v>
          </cell>
          <cell r="J2" t="str">
            <v>F01001</v>
          </cell>
          <cell r="K2" t="str">
            <v xml:space="preserve">BUND 17 </v>
          </cell>
          <cell r="L2" t="str">
            <v>CN1112</v>
          </cell>
        </row>
        <row r="3">
          <cell r="A3" t="str">
            <v>101</v>
          </cell>
          <cell r="B3" t="str">
            <v>长期待摊费-装修</v>
          </cell>
          <cell r="C3">
            <v>51000</v>
          </cell>
          <cell r="G3" t="str">
            <v>UT0</v>
          </cell>
          <cell r="H3" t="str">
            <v>1101SM82</v>
          </cell>
          <cell r="J3" t="str">
            <v>F01022</v>
          </cell>
          <cell r="K3" t="str">
            <v>长泰广场</v>
          </cell>
          <cell r="L3" t="str">
            <v>CN1113</v>
          </cell>
        </row>
        <row r="4">
          <cell r="A4" t="str">
            <v>102</v>
          </cell>
          <cell r="B4" t="str">
            <v>长期待摊费-其他</v>
          </cell>
          <cell r="C4">
            <v>80001</v>
          </cell>
          <cell r="G4" t="str">
            <v>UA1</v>
          </cell>
          <cell r="H4" t="str">
            <v>1101SM01</v>
          </cell>
          <cell r="J4" t="str">
            <v>F01002</v>
          </cell>
          <cell r="K4" t="str">
            <v>Chongming (崇明)</v>
          </cell>
          <cell r="L4" t="str">
            <v>CN1101</v>
          </cell>
        </row>
        <row r="5">
          <cell r="A5" t="str">
            <v>103</v>
          </cell>
          <cell r="B5" t="str">
            <v>长期待摊费-IT</v>
          </cell>
          <cell r="C5">
            <v>90001</v>
          </cell>
          <cell r="G5" t="str">
            <v>JA0</v>
          </cell>
          <cell r="H5" t="str">
            <v>1101SM89</v>
          </cell>
          <cell r="J5" t="str">
            <v>F01004</v>
          </cell>
          <cell r="K5" t="str">
            <v>Fengxian (奉贤)</v>
          </cell>
          <cell r="L5" t="str">
            <v>CN1102</v>
          </cell>
        </row>
        <row r="6">
          <cell r="A6" t="str">
            <v>201</v>
          </cell>
          <cell r="B6" t="str">
            <v>核心业务软件</v>
          </cell>
          <cell r="C6">
            <v>41000</v>
          </cell>
          <cell r="G6" t="str">
            <v>JA1</v>
          </cell>
          <cell r="H6" t="str">
            <v>1101SM99</v>
          </cell>
          <cell r="J6" t="str">
            <v>F01006</v>
          </cell>
          <cell r="K6" t="str">
            <v>Jiading (嘉定)</v>
          </cell>
          <cell r="L6" t="str">
            <v>CN1103</v>
          </cell>
        </row>
        <row r="7">
          <cell r="A7" t="str">
            <v>202</v>
          </cell>
          <cell r="B7" t="str">
            <v>非核心业务软件</v>
          </cell>
          <cell r="C7">
            <v>41000</v>
          </cell>
          <cell r="G7" t="str">
            <v>RS0</v>
          </cell>
          <cell r="H7" t="str">
            <v>1101IA81</v>
          </cell>
          <cell r="J7" t="str">
            <v>F01009</v>
          </cell>
          <cell r="K7" t="str">
            <v>Nanhui (南汇)</v>
          </cell>
          <cell r="L7" t="str">
            <v>CN1104</v>
          </cell>
        </row>
        <row r="8">
          <cell r="A8" t="str">
            <v>204</v>
          </cell>
          <cell r="B8" t="str">
            <v>软件使用权</v>
          </cell>
          <cell r="C8">
            <v>41001</v>
          </cell>
          <cell r="G8" t="str">
            <v>VS0</v>
          </cell>
          <cell r="H8" t="str">
            <v>1101VS81</v>
          </cell>
          <cell r="J8" t="str">
            <v>F01012</v>
          </cell>
          <cell r="K8" t="str">
            <v>Qingpu (青浦)</v>
          </cell>
          <cell r="L8" t="str">
            <v>CN1105</v>
          </cell>
        </row>
        <row r="9">
          <cell r="A9" t="str">
            <v>30201</v>
          </cell>
          <cell r="B9" t="str">
            <v>电子数据处理设备</v>
          </cell>
          <cell r="C9">
            <v>32000</v>
          </cell>
          <cell r="G9" t="str">
            <v>QA0</v>
          </cell>
          <cell r="H9" t="str">
            <v>1101RA81</v>
          </cell>
          <cell r="J9" t="str">
            <v>F01014</v>
          </cell>
          <cell r="K9" t="str">
            <v>Songjiang (松江)</v>
          </cell>
          <cell r="L9" t="str">
            <v>CN1106</v>
          </cell>
        </row>
        <row r="10">
          <cell r="A10" t="str">
            <v>30202</v>
          </cell>
          <cell r="B10" t="str">
            <v>电器设备</v>
          </cell>
          <cell r="G10" t="str">
            <v>QA1</v>
          </cell>
          <cell r="H10" t="str">
            <v>1101RA01</v>
          </cell>
          <cell r="J10" t="str">
            <v>F01015</v>
          </cell>
          <cell r="K10" t="str">
            <v>Wusong (吴淞)</v>
          </cell>
          <cell r="L10" t="str">
            <v>CN1107</v>
          </cell>
        </row>
        <row r="11">
          <cell r="A11" t="str">
            <v>30203</v>
          </cell>
          <cell r="B11" t="str">
            <v>办公/通迅及文字处理设备</v>
          </cell>
          <cell r="G11" t="str">
            <v>LE0</v>
          </cell>
          <cell r="H11" t="str">
            <v>1101RA82</v>
          </cell>
          <cell r="J11" t="str">
            <v>F01018</v>
          </cell>
          <cell r="K11" t="str">
            <v>Zhoupu (周浦)</v>
          </cell>
          <cell r="L11" t="str">
            <v>CN1108</v>
          </cell>
        </row>
        <row r="12">
          <cell r="A12" t="str">
            <v>3020301</v>
          </cell>
          <cell r="B12" t="str">
            <v>办公设备(F&amp;F)</v>
          </cell>
          <cell r="G12" t="str">
            <v>RA0</v>
          </cell>
          <cell r="H12" t="str">
            <v>1101RA83</v>
          </cell>
          <cell r="J12" t="str">
            <v>F01019</v>
          </cell>
          <cell r="K12" t="str">
            <v>日月光大厦</v>
          </cell>
          <cell r="L12" t="str">
            <v>CN1109</v>
          </cell>
        </row>
        <row r="13">
          <cell r="A13" t="str">
            <v>3020302</v>
          </cell>
          <cell r="B13" t="str">
            <v>办公设备(F&amp;E)</v>
          </cell>
          <cell r="C13">
            <v>11001</v>
          </cell>
          <cell r="G13" t="str">
            <v>CR0</v>
          </cell>
          <cell r="H13" t="str">
            <v>1101RA80</v>
          </cell>
          <cell r="J13" t="str">
            <v>F01020</v>
          </cell>
          <cell r="K13" t="str">
            <v>Zhangjiang(张江张江数据中心)</v>
          </cell>
          <cell r="L13" t="str">
            <v>CN1110</v>
          </cell>
        </row>
        <row r="14">
          <cell r="A14" t="str">
            <v>3020303</v>
          </cell>
          <cell r="B14" t="str">
            <v>办公设备(TELE)</v>
          </cell>
          <cell r="C14">
            <v>11002</v>
          </cell>
          <cell r="G14" t="str">
            <v>RM0</v>
          </cell>
          <cell r="H14" t="str">
            <v>1101RA84</v>
          </cell>
          <cell r="J14" t="str">
            <v>F01021</v>
          </cell>
          <cell r="K14" t="str">
            <v>JINSHAN (金山)</v>
          </cell>
          <cell r="L14" t="str">
            <v>CN1111</v>
          </cell>
        </row>
        <row r="15">
          <cell r="A15" t="str">
            <v>30205</v>
          </cell>
          <cell r="B15" t="str">
            <v>机械/动力及安全保卫设备</v>
          </cell>
          <cell r="C15">
            <v>11000</v>
          </cell>
          <cell r="G15" t="str">
            <v>MP0</v>
          </cell>
          <cell r="H15" t="str">
            <v>1101MK81</v>
          </cell>
          <cell r="J15" t="str">
            <v>F01017</v>
          </cell>
          <cell r="K15" t="str">
            <v>Yangpu (杨浦)</v>
          </cell>
          <cell r="L15" t="str">
            <v>CN1112</v>
          </cell>
        </row>
        <row r="16">
          <cell r="A16" t="str">
            <v>30502</v>
          </cell>
          <cell r="B16" t="str">
            <v>其他车辆</v>
          </cell>
          <cell r="C16">
            <v>20000</v>
          </cell>
          <cell r="G16" t="str">
            <v>MK1</v>
          </cell>
          <cell r="H16" t="str">
            <v>1101MK01</v>
          </cell>
          <cell r="J16" t="str">
            <v>F01010</v>
          </cell>
          <cell r="K16" t="str">
            <v>Pudong (浦东)</v>
          </cell>
          <cell r="L16" t="str">
            <v>CN1113</v>
          </cell>
        </row>
        <row r="17">
          <cell r="A17" t="str">
            <v>30601</v>
          </cell>
          <cell r="B17" t="str">
            <v>办公家具</v>
          </cell>
          <cell r="C17">
            <v>51001</v>
          </cell>
          <cell r="G17" t="str">
            <v>MB0</v>
          </cell>
          <cell r="H17" t="str">
            <v>1101MK82</v>
          </cell>
          <cell r="J17" t="str">
            <v>F01008</v>
          </cell>
          <cell r="K17" t="str">
            <v>Jinqiao (金桥)</v>
          </cell>
          <cell r="L17" t="str">
            <v>CN1114</v>
          </cell>
        </row>
        <row r="18">
          <cell r="A18" t="str">
            <v>5020302</v>
          </cell>
          <cell r="B18" t="str">
            <v>融资租赁办公设备(F&amp;E)</v>
          </cell>
          <cell r="C18">
            <v>30000</v>
          </cell>
          <cell r="G18" t="str">
            <v>MB9</v>
          </cell>
          <cell r="H18" t="str">
            <v>1101MK02</v>
          </cell>
          <cell r="J18" t="str">
            <v>F01005</v>
          </cell>
          <cell r="K18" t="str">
            <v>Hongqiao (虹桥)</v>
          </cell>
          <cell r="L18" t="str">
            <v>CN1115</v>
          </cell>
        </row>
        <row r="19">
          <cell r="A19" t="str">
            <v>16040401</v>
          </cell>
          <cell r="B19" t="str">
            <v>研发支出</v>
          </cell>
          <cell r="C19">
            <v>72001</v>
          </cell>
          <cell r="G19" t="str">
            <v>MA0</v>
          </cell>
          <cell r="H19" t="str">
            <v>1101MK80</v>
          </cell>
          <cell r="J19" t="str">
            <v>F01007</v>
          </cell>
          <cell r="K19" t="str">
            <v>Jinan (静安)</v>
          </cell>
          <cell r="L19" t="str">
            <v>CN1116</v>
          </cell>
        </row>
        <row r="20">
          <cell r="A20" t="str">
            <v>16030101</v>
          </cell>
          <cell r="B20" t="str">
            <v>在建工程</v>
          </cell>
          <cell r="C20">
            <v>73000</v>
          </cell>
          <cell r="G20" t="str">
            <v>MV0</v>
          </cell>
          <cell r="H20" t="str">
            <v>1101MK83</v>
          </cell>
          <cell r="J20" t="str">
            <v>F03008</v>
          </cell>
          <cell r="K20" t="str">
            <v>Jietai (捷泰）</v>
          </cell>
          <cell r="L20" t="str">
            <v>CN1406</v>
          </cell>
        </row>
        <row r="21">
          <cell r="A21" t="str">
            <v>13070201</v>
          </cell>
          <cell r="B21" t="str">
            <v>预付账款</v>
          </cell>
          <cell r="C21">
            <v>73001</v>
          </cell>
          <cell r="G21" t="str">
            <v>MK0</v>
          </cell>
          <cell r="H21" t="str">
            <v>1101MK84</v>
          </cell>
        </row>
        <row r="22">
          <cell r="G22" t="str">
            <v>EM0</v>
          </cell>
          <cell r="H22" t="str">
            <v>1101MK85</v>
          </cell>
        </row>
        <row r="23">
          <cell r="G23" t="str">
            <v>MG0</v>
          </cell>
          <cell r="H23" t="str">
            <v>1101MK86</v>
          </cell>
        </row>
        <row r="24">
          <cell r="G24" t="str">
            <v>FN0</v>
          </cell>
          <cell r="H24" t="str">
            <v>1101FA81</v>
          </cell>
        </row>
        <row r="25">
          <cell r="G25" t="str">
            <v>FN1</v>
          </cell>
          <cell r="H25" t="str">
            <v>1101FA01</v>
          </cell>
        </row>
        <row r="26">
          <cell r="G26" t="str">
            <v>CS0</v>
          </cell>
          <cell r="H26" t="str">
            <v>1101FA82</v>
          </cell>
        </row>
        <row r="27">
          <cell r="G27" t="str">
            <v>CS1</v>
          </cell>
          <cell r="H27" t="str">
            <v>1101FA02</v>
          </cell>
        </row>
        <row r="28">
          <cell r="G28" t="str">
            <v>FO0</v>
          </cell>
          <cell r="H28" t="str">
            <v>1101FA80</v>
          </cell>
        </row>
        <row r="29">
          <cell r="G29" t="str">
            <v>WA0</v>
          </cell>
          <cell r="H29" t="str">
            <v>1101FA83</v>
          </cell>
        </row>
        <row r="30">
          <cell r="G30" t="str">
            <v>PL0</v>
          </cell>
          <cell r="H30" t="str">
            <v>1101FA84</v>
          </cell>
        </row>
        <row r="31">
          <cell r="G31" t="str">
            <v>TT0</v>
          </cell>
          <cell r="H31" t="str">
            <v>1101FA85</v>
          </cell>
        </row>
        <row r="32">
          <cell r="G32" t="str">
            <v>FS0</v>
          </cell>
          <cell r="H32" t="str">
            <v>1101FA86</v>
          </cell>
        </row>
        <row r="33">
          <cell r="G33" t="str">
            <v>HR0</v>
          </cell>
          <cell r="H33" t="str">
            <v>1101HR81</v>
          </cell>
        </row>
        <row r="34">
          <cell r="G34" t="str">
            <v>HR1</v>
          </cell>
          <cell r="H34" t="str">
            <v>1101HR01</v>
          </cell>
        </row>
        <row r="35">
          <cell r="G35" t="str">
            <v>IT3</v>
          </cell>
          <cell r="H35" t="str">
            <v>1101IT01</v>
          </cell>
        </row>
        <row r="36">
          <cell r="G36" t="str">
            <v>IT1</v>
          </cell>
          <cell r="H36" t="str">
            <v>1101IT81</v>
          </cell>
        </row>
        <row r="37">
          <cell r="G37" t="str">
            <v>IT0</v>
          </cell>
          <cell r="H37" t="str">
            <v>1101IT82</v>
          </cell>
        </row>
        <row r="38">
          <cell r="G38" t="str">
            <v>MT0</v>
          </cell>
          <cell r="H38" t="str">
            <v>1101IT83</v>
          </cell>
        </row>
        <row r="39">
          <cell r="G39" t="str">
            <v>IT4</v>
          </cell>
          <cell r="H39" t="str">
            <v>1101IT84</v>
          </cell>
        </row>
        <row r="40">
          <cell r="G40" t="str">
            <v>IT5</v>
          </cell>
          <cell r="H40" t="str">
            <v>1101IT85</v>
          </cell>
        </row>
        <row r="41">
          <cell r="G41" t="str">
            <v>IT6</v>
          </cell>
          <cell r="H41" t="str">
            <v>1101IT86</v>
          </cell>
        </row>
        <row r="42">
          <cell r="G42" t="str">
            <v>IT7</v>
          </cell>
          <cell r="H42" t="str">
            <v>1101IT87</v>
          </cell>
        </row>
        <row r="43">
          <cell r="G43" t="str">
            <v>IT8</v>
          </cell>
          <cell r="H43" t="str">
            <v>1101IT88</v>
          </cell>
        </row>
        <row r="44">
          <cell r="G44" t="str">
            <v>OP0</v>
          </cell>
          <cell r="H44" t="str">
            <v>1101OP81</v>
          </cell>
        </row>
        <row r="45">
          <cell r="G45" t="str">
            <v>OE0</v>
          </cell>
          <cell r="H45" t="str">
            <v>1101OP82</v>
          </cell>
        </row>
        <row r="46">
          <cell r="G46" t="str">
            <v>OS0</v>
          </cell>
          <cell r="H46" t="str">
            <v>1101OP83</v>
          </cell>
        </row>
        <row r="47">
          <cell r="G47" t="str">
            <v>NB0</v>
          </cell>
          <cell r="H47" t="str">
            <v>1101OP90</v>
          </cell>
        </row>
        <row r="48">
          <cell r="G48" t="str">
            <v>OP4</v>
          </cell>
          <cell r="H48" t="str">
            <v>1101OP01</v>
          </cell>
        </row>
        <row r="49">
          <cell r="G49" t="str">
            <v>OP5</v>
          </cell>
          <cell r="H49" t="str">
            <v>1101OP02</v>
          </cell>
        </row>
        <row r="50">
          <cell r="G50" t="str">
            <v>OP9</v>
          </cell>
          <cell r="H50" t="str">
            <v>1101OP03</v>
          </cell>
        </row>
        <row r="51">
          <cell r="G51" t="str">
            <v>OG1</v>
          </cell>
          <cell r="H51" t="str">
            <v>1101OP04</v>
          </cell>
        </row>
        <row r="52">
          <cell r="G52" t="str">
            <v>DS0</v>
          </cell>
          <cell r="H52" t="str">
            <v>1101PD84</v>
          </cell>
        </row>
        <row r="53">
          <cell r="G53" t="str">
            <v>DD0</v>
          </cell>
          <cell r="H53" t="str">
            <v>1101PD85</v>
          </cell>
        </row>
        <row r="54">
          <cell r="G54" t="str">
            <v>DN0</v>
          </cell>
          <cell r="H54" t="str">
            <v>1101PD86</v>
          </cell>
        </row>
        <row r="55">
          <cell r="G55" t="str">
            <v>BK0</v>
          </cell>
          <cell r="H55" t="str">
            <v>1101PD81</v>
          </cell>
        </row>
        <row r="56">
          <cell r="G56" t="str">
            <v>BK1</v>
          </cell>
          <cell r="H56" t="str">
            <v>1101PD01</v>
          </cell>
        </row>
        <row r="57">
          <cell r="G57" t="str">
            <v>CB0</v>
          </cell>
          <cell r="H57" t="str">
            <v>1101PD82</v>
          </cell>
        </row>
        <row r="58">
          <cell r="G58" t="str">
            <v>CB1</v>
          </cell>
          <cell r="H58" t="str">
            <v>1101PD02</v>
          </cell>
        </row>
        <row r="59">
          <cell r="G59" t="str">
            <v>MH0</v>
          </cell>
          <cell r="H59" t="str">
            <v>1101PD83</v>
          </cell>
        </row>
        <row r="60">
          <cell r="G60" t="str">
            <v>ZA1</v>
          </cell>
          <cell r="H60" t="str">
            <v>1101FC01</v>
          </cell>
        </row>
        <row r="61">
          <cell r="G61" t="str">
            <v>ZW1</v>
          </cell>
          <cell r="H61" t="str">
            <v>1101FC02</v>
          </cell>
        </row>
        <row r="62">
          <cell r="G62" t="str">
            <v>ZH1</v>
          </cell>
          <cell r="H62" t="str">
            <v>1101FC03</v>
          </cell>
        </row>
        <row r="63">
          <cell r="G63" t="str">
            <v>AD0</v>
          </cell>
          <cell r="H63" t="str">
            <v>1101AG81</v>
          </cell>
        </row>
        <row r="64">
          <cell r="G64" t="str">
            <v>AD1</v>
          </cell>
          <cell r="H64" t="str">
            <v>1101AG01</v>
          </cell>
        </row>
        <row r="65">
          <cell r="G65" t="str">
            <v>AS0</v>
          </cell>
          <cell r="H65" t="str">
            <v>1101AG82</v>
          </cell>
        </row>
        <row r="66">
          <cell r="G66" t="str">
            <v>AS1</v>
          </cell>
          <cell r="H66" t="str">
            <v>1101AG02</v>
          </cell>
        </row>
        <row r="67">
          <cell r="G67" t="str">
            <v>AT0</v>
          </cell>
          <cell r="H67" t="str">
            <v>1101AG83</v>
          </cell>
        </row>
        <row r="68">
          <cell r="G68" t="str">
            <v>AT1</v>
          </cell>
          <cell r="H68" t="str">
            <v>1101AG03</v>
          </cell>
        </row>
        <row r="69">
          <cell r="G69" t="str">
            <v>AP1</v>
          </cell>
          <cell r="H69" t="str">
            <v>1101AG04</v>
          </cell>
        </row>
        <row r="70">
          <cell r="G70" t="str">
            <v>AG1</v>
          </cell>
          <cell r="H70" t="str">
            <v>1101AG05</v>
          </cell>
        </row>
        <row r="71">
          <cell r="G71" t="str">
            <v>GG0</v>
          </cell>
          <cell r="H71" t="str">
            <v>1101AG86</v>
          </cell>
        </row>
        <row r="72">
          <cell r="G72" t="str">
            <v>GG1</v>
          </cell>
          <cell r="H72" t="str">
            <v>1101AG06</v>
          </cell>
        </row>
        <row r="73">
          <cell r="G73" t="str">
            <v>AR0</v>
          </cell>
          <cell r="H73" t="str">
            <v>1101AG87</v>
          </cell>
        </row>
        <row r="74">
          <cell r="G74" t="str">
            <v>AR1</v>
          </cell>
          <cell r="H74" t="str">
            <v>1101AG07</v>
          </cell>
        </row>
        <row r="75">
          <cell r="G75" t="str">
            <v>AV0</v>
          </cell>
          <cell r="H75" t="str">
            <v>1101AG88</v>
          </cell>
        </row>
        <row r="76">
          <cell r="G76" t="str">
            <v>OB0</v>
          </cell>
          <cell r="H76" t="str">
            <v>1101AG89</v>
          </cell>
        </row>
        <row r="77">
          <cell r="G77" t="str">
            <v>GS0</v>
          </cell>
          <cell r="H77" t="str">
            <v>1101AG90</v>
          </cell>
        </row>
        <row r="78">
          <cell r="G78" t="str">
            <v>AD3</v>
          </cell>
          <cell r="H78" t="str">
            <v>1101AG08</v>
          </cell>
        </row>
        <row r="79">
          <cell r="G79" t="str">
            <v>AD4</v>
          </cell>
          <cell r="H79" t="str">
            <v>1101AG09</v>
          </cell>
        </row>
        <row r="80">
          <cell r="G80" t="str">
            <v>AR9</v>
          </cell>
          <cell r="H80" t="str">
            <v>1101AG99</v>
          </cell>
        </row>
        <row r="81">
          <cell r="G81" t="str">
            <v>DM0</v>
          </cell>
          <cell r="H81" t="str">
            <v>1101PD89</v>
          </cell>
        </row>
        <row r="82">
          <cell r="G82" t="str">
            <v>DM1</v>
          </cell>
          <cell r="H82" t="str">
            <v>1101PD99</v>
          </cell>
        </row>
        <row r="83">
          <cell r="G83" t="str">
            <v>SA1</v>
          </cell>
          <cell r="H83" t="str">
            <v>1101AS01</v>
          </cell>
        </row>
        <row r="84">
          <cell r="G84" t="str">
            <v>SA2</v>
          </cell>
          <cell r="H84" t="str">
            <v>1101AS02</v>
          </cell>
        </row>
        <row r="85">
          <cell r="G85" t="str">
            <v>SA3</v>
          </cell>
          <cell r="H85" t="str">
            <v>1101AS03</v>
          </cell>
        </row>
        <row r="86">
          <cell r="G86" t="str">
            <v>SA4</v>
          </cell>
          <cell r="H86" t="str">
            <v>1101AS04</v>
          </cell>
        </row>
        <row r="87">
          <cell r="G87" t="str">
            <v>SA6</v>
          </cell>
          <cell r="H87" t="str">
            <v>1101AS05</v>
          </cell>
        </row>
        <row r="88">
          <cell r="G88" t="str">
            <v>SA7</v>
          </cell>
          <cell r="H88" t="str">
            <v>1101AS06</v>
          </cell>
        </row>
        <row r="89">
          <cell r="G89" t="str">
            <v>SA8</v>
          </cell>
          <cell r="H89" t="str">
            <v>1101AS07</v>
          </cell>
        </row>
        <row r="90">
          <cell r="G90" t="str">
            <v>SAA</v>
          </cell>
          <cell r="H90" t="str">
            <v>1101AS08</v>
          </cell>
        </row>
        <row r="91">
          <cell r="G91" t="str">
            <v>SAC</v>
          </cell>
          <cell r="H91" t="str">
            <v>1101AS09</v>
          </cell>
        </row>
        <row r="92">
          <cell r="G92" t="str">
            <v>SAD</v>
          </cell>
          <cell r="H92" t="str">
            <v>1101AS10</v>
          </cell>
        </row>
        <row r="93">
          <cell r="G93" t="str">
            <v>SAH</v>
          </cell>
          <cell r="H93" t="str">
            <v>1101AS11</v>
          </cell>
        </row>
        <row r="94">
          <cell r="G94" t="str">
            <v>SAH</v>
          </cell>
          <cell r="H94" t="str">
            <v>1101AS11</v>
          </cell>
        </row>
        <row r="95">
          <cell r="G95" t="str">
            <v>OP1</v>
          </cell>
          <cell r="H95">
            <v>11019999</v>
          </cell>
        </row>
        <row r="96">
          <cell r="G96" t="str">
            <v>OP2</v>
          </cell>
          <cell r="H96">
            <v>11019999</v>
          </cell>
        </row>
        <row r="97">
          <cell r="G97" t="str">
            <v>OP3</v>
          </cell>
          <cell r="H97">
            <v>11019999</v>
          </cell>
        </row>
        <row r="98">
          <cell r="G98" t="str">
            <v>OP6</v>
          </cell>
          <cell r="H98">
            <v>11019999</v>
          </cell>
        </row>
        <row r="99">
          <cell r="G99" t="str">
            <v>OP8</v>
          </cell>
          <cell r="H99" t="str">
            <v>OP8</v>
          </cell>
        </row>
        <row r="100">
          <cell r="G100" t="str">
            <v>EB0</v>
          </cell>
          <cell r="H100">
            <v>11019999</v>
          </cell>
        </row>
        <row r="101">
          <cell r="G101" t="str">
            <v>KO0</v>
          </cell>
          <cell r="H101" t="str">
            <v>KO0</v>
          </cell>
        </row>
        <row r="102">
          <cell r="G102" t="str">
            <v>DV0</v>
          </cell>
          <cell r="H102" t="str">
            <v>DV0</v>
          </cell>
        </row>
        <row r="103">
          <cell r="G103" t="str">
            <v>DT0</v>
          </cell>
          <cell r="H103" t="str">
            <v>DT0</v>
          </cell>
        </row>
        <row r="104">
          <cell r="G104" t="str">
            <v>DA0</v>
          </cell>
          <cell r="H104" t="str">
            <v>DA0</v>
          </cell>
        </row>
        <row r="105">
          <cell r="G105" t="str">
            <v>MM0</v>
          </cell>
          <cell r="H105" t="str">
            <v>MM0</v>
          </cell>
        </row>
        <row r="106">
          <cell r="G106" t="str">
            <v>HR2</v>
          </cell>
          <cell r="H106">
            <v>11019999</v>
          </cell>
        </row>
        <row r="107">
          <cell r="G107" t="str">
            <v>CM1</v>
          </cell>
          <cell r="H107">
            <v>11019999</v>
          </cell>
        </row>
        <row r="108">
          <cell r="G108" t="str">
            <v>AP0</v>
          </cell>
          <cell r="H108" t="str">
            <v>AP0</v>
          </cell>
        </row>
        <row r="109">
          <cell r="G109" t="str">
            <v>5C0</v>
          </cell>
          <cell r="H109">
            <v>11019999</v>
          </cell>
        </row>
        <row r="110">
          <cell r="G110" t="str">
            <v>350</v>
          </cell>
          <cell r="H110" t="str">
            <v>350</v>
          </cell>
        </row>
        <row r="111">
          <cell r="G111" t="str">
            <v>DG9</v>
          </cell>
          <cell r="H111">
            <v>11019999</v>
          </cell>
        </row>
        <row r="112">
          <cell r="G112" t="str">
            <v>PD0</v>
          </cell>
          <cell r="H112" t="str">
            <v>PD0</v>
          </cell>
        </row>
        <row r="113">
          <cell r="G113" t="str">
            <v>AD2</v>
          </cell>
          <cell r="H113" t="str">
            <v>AD2</v>
          </cell>
        </row>
        <row r="114">
          <cell r="G114" t="str">
            <v>AR2</v>
          </cell>
          <cell r="H114">
            <v>11019999</v>
          </cell>
        </row>
        <row r="115">
          <cell r="G115" t="str">
            <v>CM0</v>
          </cell>
          <cell r="H115">
            <v>11019999</v>
          </cell>
        </row>
        <row r="116">
          <cell r="G116" t="str">
            <v>SAE</v>
          </cell>
          <cell r="H116">
            <v>11019999</v>
          </cell>
        </row>
        <row r="117">
          <cell r="G117" t="str">
            <v>SAB</v>
          </cell>
          <cell r="H117">
            <v>11019999</v>
          </cell>
        </row>
        <row r="118">
          <cell r="G118" t="str">
            <v>SA9</v>
          </cell>
          <cell r="H118">
            <v>11019999</v>
          </cell>
        </row>
        <row r="119">
          <cell r="G119" t="str">
            <v>MS0</v>
          </cell>
          <cell r="H119">
            <v>11019999</v>
          </cell>
        </row>
        <row r="120">
          <cell r="G120" t="str">
            <v>SAG</v>
          </cell>
          <cell r="H120">
            <v>11019999</v>
          </cell>
        </row>
        <row r="121">
          <cell r="G121" t="str">
            <v>DG0</v>
          </cell>
          <cell r="H121" t="str">
            <v>DG0</v>
          </cell>
        </row>
        <row r="122">
          <cell r="G122" t="str">
            <v>OP7</v>
          </cell>
          <cell r="H122">
            <v>11019999</v>
          </cell>
        </row>
        <row r="123">
          <cell r="G123" t="str">
            <v>PT0</v>
          </cell>
          <cell r="H123">
            <v>11019999</v>
          </cell>
        </row>
        <row r="124">
          <cell r="G124" t="str">
            <v>231</v>
          </cell>
          <cell r="H124">
            <v>11019999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40"/>
  <sheetViews>
    <sheetView tabSelected="1" topLeftCell="L1" zoomScaleNormal="100" workbookViewId="0">
      <selection activeCell="U42" sqref="U42"/>
    </sheetView>
  </sheetViews>
  <sheetFormatPr defaultRowHeight="16.5" x14ac:dyDescent="0.2"/>
  <cols>
    <col min="1" max="1" width="9.25" style="1" bestFit="1" customWidth="1"/>
    <col min="2" max="3" width="17.875" style="1" customWidth="1"/>
    <col min="4" max="4" width="18.875" style="1" customWidth="1"/>
    <col min="5" max="5" width="34.625" style="1" bestFit="1" customWidth="1"/>
    <col min="6" max="6" width="15.25" style="1" bestFit="1" customWidth="1"/>
    <col min="7" max="7" width="17.125" style="1" customWidth="1"/>
    <col min="8" max="9" width="15" style="1" customWidth="1"/>
    <col min="10" max="10" width="16.5" style="1" customWidth="1"/>
    <col min="11" max="11" width="20.625" style="1" customWidth="1"/>
    <col min="12" max="13" width="15.875" style="1" customWidth="1"/>
    <col min="14" max="15" width="10.75" style="1" customWidth="1"/>
    <col min="16" max="16" width="12.375" style="1" customWidth="1"/>
    <col min="17" max="17" width="15.125" style="1" customWidth="1"/>
    <col min="18" max="18" width="13.125" style="1" customWidth="1"/>
    <col min="19" max="19" width="16.625" style="1" bestFit="1" customWidth="1"/>
    <col min="20" max="20" width="16.625" style="1" customWidth="1"/>
    <col min="21" max="21" width="16.5" style="36" customWidth="1"/>
    <col min="22" max="22" width="14.875" style="36" customWidth="1"/>
    <col min="23" max="23" width="15.125" style="1" customWidth="1"/>
    <col min="24" max="24" width="19.375" style="1" customWidth="1"/>
    <col min="25" max="25" width="19.75" style="36" customWidth="1"/>
    <col min="26" max="26" width="19.75" style="1" hidden="1" customWidth="1"/>
    <col min="27" max="27" width="15.375" style="1" hidden="1" customWidth="1"/>
    <col min="28" max="28" width="19.375" style="1" bestFit="1" customWidth="1"/>
    <col min="29" max="29" width="17.75" style="1" customWidth="1"/>
    <col min="30" max="16384" width="9" style="1"/>
  </cols>
  <sheetData>
    <row r="1" spans="1:27" ht="15" customHeight="1" x14ac:dyDescent="0.2">
      <c r="A1" s="83" t="s">
        <v>0</v>
      </c>
      <c r="B1" s="83"/>
      <c r="C1" s="83"/>
      <c r="D1" s="83"/>
      <c r="E1" s="83"/>
      <c r="F1" s="83"/>
      <c r="G1" s="83"/>
    </row>
    <row r="2" spans="1:27" ht="13.5" customHeight="1" x14ac:dyDescent="0.2">
      <c r="A2" s="84"/>
      <c r="B2" s="84"/>
      <c r="C2" s="84"/>
      <c r="D2" s="84"/>
      <c r="E2" s="84"/>
      <c r="F2" s="84"/>
      <c r="G2" s="84"/>
    </row>
    <row r="3" spans="1:27" ht="57" customHeight="1" x14ac:dyDescent="0.2">
      <c r="A3" s="2" t="s">
        <v>1</v>
      </c>
      <c r="B3" s="2" t="s">
        <v>2</v>
      </c>
      <c r="C3" s="2" t="s">
        <v>366</v>
      </c>
      <c r="D3" s="2" t="s">
        <v>3</v>
      </c>
      <c r="E3" s="2" t="s">
        <v>4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323</v>
      </c>
      <c r="O3" s="2" t="s">
        <v>12</v>
      </c>
      <c r="P3" s="2" t="s">
        <v>13</v>
      </c>
      <c r="Q3" s="2" t="s">
        <v>14</v>
      </c>
      <c r="R3" s="2" t="s">
        <v>15</v>
      </c>
      <c r="S3" s="2" t="s">
        <v>16</v>
      </c>
      <c r="T3" s="2" t="s">
        <v>17</v>
      </c>
      <c r="U3" s="2" t="s">
        <v>18</v>
      </c>
      <c r="V3" s="2" t="s">
        <v>19</v>
      </c>
      <c r="W3" s="2" t="s">
        <v>20</v>
      </c>
      <c r="X3" s="2" t="s">
        <v>21</v>
      </c>
      <c r="Y3" s="2" t="s">
        <v>22</v>
      </c>
      <c r="Z3" s="3" t="s">
        <v>23</v>
      </c>
      <c r="AA3" s="3" t="s">
        <v>24</v>
      </c>
    </row>
    <row r="4" spans="1:27" x14ac:dyDescent="0.2">
      <c r="B4" s="1">
        <f>+VLOOKUP([1]SUN!B4,[1]mapping!A:C,3,0)</f>
        <v>51000</v>
      </c>
      <c r="D4" s="1" t="s">
        <v>6125</v>
      </c>
      <c r="E4" s="1" t="s">
        <v>1323</v>
      </c>
      <c r="I4" s="1" t="s">
        <v>6126</v>
      </c>
      <c r="J4" s="1" t="s">
        <v>1279</v>
      </c>
      <c r="K4" s="1" t="s">
        <v>1325</v>
      </c>
      <c r="L4" s="1" t="str">
        <f>+VLOOKUP([1]SUN!N4,[1]mapping!G:H,2,0)</f>
        <v>1101AS07</v>
      </c>
      <c r="M4" s="67" t="s">
        <v>491</v>
      </c>
      <c r="N4" s="1" t="s">
        <v>6125</v>
      </c>
      <c r="O4" s="1" t="str">
        <f>+VLOOKUP([1]SUN!Q4,[1]mapping!J:L,3,0)</f>
        <v>CN1107</v>
      </c>
      <c r="Q4" s="1">
        <f>[1]SUN!S4</f>
        <v>20</v>
      </c>
      <c r="R4" s="1" t="str">
        <f>[1]SUN!T4</f>
        <v>CN02</v>
      </c>
      <c r="S4" s="1" t="str">
        <f>[1]SUN!U4</f>
        <v>20071201</v>
      </c>
      <c r="T4" s="1" t="str">
        <f>[1]SUN!V4</f>
        <v>20131101</v>
      </c>
      <c r="U4" s="1">
        <v>6</v>
      </c>
      <c r="V4" s="1">
        <v>0</v>
      </c>
      <c r="W4" s="43">
        <f>[1]SUN!Y4</f>
        <v>33600</v>
      </c>
      <c r="X4" s="1">
        <f>[1]SUN!AB4</f>
        <v>33600</v>
      </c>
      <c r="Y4" s="1">
        <f>+VLOOKUP(AA4,[1]SUN!AE:AF,2,0)</f>
        <v>0</v>
      </c>
      <c r="Z4" s="1">
        <f>+VLOOKUP(AA4,[1]SUN!AE:AH,4,0)</f>
        <v>0</v>
      </c>
      <c r="AA4" s="1" t="str">
        <f>+I4&amp;C4</f>
        <v>FFACC008</v>
      </c>
    </row>
    <row r="5" spans="1:27" x14ac:dyDescent="0.2">
      <c r="Q5" s="1">
        <v>1</v>
      </c>
      <c r="R5" s="1" t="s">
        <v>302</v>
      </c>
      <c r="S5" s="1" t="s">
        <v>1325</v>
      </c>
      <c r="T5" s="1" t="s">
        <v>1327</v>
      </c>
      <c r="U5" s="36">
        <v>6</v>
      </c>
      <c r="V5" s="36">
        <v>0</v>
      </c>
      <c r="W5" s="1">
        <v>33600</v>
      </c>
      <c r="X5" s="1">
        <v>33600</v>
      </c>
      <c r="Y5" s="36">
        <v>0</v>
      </c>
      <c r="Z5" s="1">
        <v>0</v>
      </c>
    </row>
    <row r="6" spans="1:27" x14ac:dyDescent="0.2">
      <c r="Q6" s="1">
        <v>2</v>
      </c>
      <c r="R6" s="1" t="s">
        <v>302</v>
      </c>
      <c r="S6" s="1" t="s">
        <v>1325</v>
      </c>
      <c r="T6" s="1" t="s">
        <v>1327</v>
      </c>
      <c r="U6" s="36">
        <v>6</v>
      </c>
      <c r="V6" s="36">
        <v>0</v>
      </c>
      <c r="W6" s="1">
        <v>33600</v>
      </c>
      <c r="X6" s="1">
        <v>33600</v>
      </c>
      <c r="Y6" s="36">
        <v>0</v>
      </c>
      <c r="Z6" s="1">
        <v>0</v>
      </c>
    </row>
    <row r="7" spans="1:27" x14ac:dyDescent="0.2">
      <c r="Q7" s="1">
        <v>10</v>
      </c>
      <c r="R7" s="1" t="s">
        <v>302</v>
      </c>
      <c r="S7" s="1" t="s">
        <v>1325</v>
      </c>
      <c r="T7" s="1" t="s">
        <v>1327</v>
      </c>
      <c r="U7" s="36">
        <v>6</v>
      </c>
      <c r="V7" s="36">
        <v>0</v>
      </c>
      <c r="W7" s="1">
        <v>33600</v>
      </c>
      <c r="X7" s="1">
        <v>33600</v>
      </c>
      <c r="Y7" s="36">
        <v>0</v>
      </c>
      <c r="Z7" s="1">
        <v>0</v>
      </c>
    </row>
    <row r="8" spans="1:27" x14ac:dyDescent="0.2">
      <c r="Q8" s="1">
        <v>23</v>
      </c>
      <c r="R8" s="1" t="s">
        <v>302</v>
      </c>
      <c r="S8" s="1" t="s">
        <v>1325</v>
      </c>
      <c r="T8" s="1" t="s">
        <v>1327</v>
      </c>
      <c r="U8" s="36">
        <v>6</v>
      </c>
      <c r="V8" s="36">
        <v>0</v>
      </c>
      <c r="W8" s="1">
        <v>33600</v>
      </c>
      <c r="X8" s="1">
        <v>33600</v>
      </c>
      <c r="Y8" s="36">
        <v>0</v>
      </c>
      <c r="Z8" s="1">
        <v>0</v>
      </c>
    </row>
    <row r="9" spans="1:27" x14ac:dyDescent="0.2">
      <c r="Q9" s="1">
        <v>26</v>
      </c>
      <c r="R9" s="1" t="s">
        <v>302</v>
      </c>
      <c r="S9" s="1" t="s">
        <v>1325</v>
      </c>
      <c r="T9" s="1" t="s">
        <v>1327</v>
      </c>
      <c r="U9" s="36">
        <v>6</v>
      </c>
      <c r="V9" s="36">
        <v>0</v>
      </c>
      <c r="W9" s="1">
        <v>33600</v>
      </c>
      <c r="X9" s="1">
        <v>33600</v>
      </c>
      <c r="Y9" s="36">
        <v>0</v>
      </c>
      <c r="Z9" s="1">
        <v>0</v>
      </c>
    </row>
    <row r="10" spans="1:27" x14ac:dyDescent="0.2">
      <c r="Q10" s="1">
        <v>30</v>
      </c>
      <c r="R10" s="1" t="s">
        <v>302</v>
      </c>
      <c r="S10" s="1" t="s">
        <v>1325</v>
      </c>
      <c r="T10" s="1" t="s">
        <v>1327</v>
      </c>
      <c r="U10" s="36">
        <v>6</v>
      </c>
      <c r="V10" s="36">
        <v>0</v>
      </c>
      <c r="W10" s="1">
        <v>33600</v>
      </c>
      <c r="X10" s="1">
        <v>33600</v>
      </c>
      <c r="Y10" s="36">
        <v>0</v>
      </c>
      <c r="Z10" s="1">
        <v>0</v>
      </c>
    </row>
    <row r="11" spans="1:27" x14ac:dyDescent="0.2">
      <c r="Q11" s="1">
        <v>40</v>
      </c>
      <c r="R11" s="1" t="s">
        <v>302</v>
      </c>
      <c r="S11" s="1" t="s">
        <v>1325</v>
      </c>
      <c r="T11" s="1" t="s">
        <v>1327</v>
      </c>
      <c r="U11" s="36">
        <v>6</v>
      </c>
      <c r="V11" s="36">
        <v>0</v>
      </c>
      <c r="W11" s="1">
        <v>33600</v>
      </c>
      <c r="X11" s="1">
        <v>33600</v>
      </c>
      <c r="Y11" s="36">
        <v>0</v>
      </c>
      <c r="Z11" s="1">
        <v>0</v>
      </c>
    </row>
    <row r="12" spans="1:27" x14ac:dyDescent="0.2">
      <c r="Q12" s="1">
        <v>46</v>
      </c>
      <c r="R12" s="1" t="s">
        <v>302</v>
      </c>
      <c r="S12" s="1" t="s">
        <v>1325</v>
      </c>
      <c r="T12" s="1" t="s">
        <v>1327</v>
      </c>
      <c r="U12" s="36">
        <v>6</v>
      </c>
      <c r="V12" s="36">
        <v>0</v>
      </c>
      <c r="W12" s="1">
        <v>33600</v>
      </c>
      <c r="X12" s="1">
        <v>33600</v>
      </c>
      <c r="Y12" s="36">
        <v>0</v>
      </c>
      <c r="Z12" s="1">
        <v>0</v>
      </c>
    </row>
    <row r="13" spans="1:27" x14ac:dyDescent="0.2">
      <c r="Q13" s="1">
        <v>50</v>
      </c>
      <c r="R13" s="1" t="s">
        <v>302</v>
      </c>
      <c r="S13" s="1" t="s">
        <v>1325</v>
      </c>
      <c r="T13" s="1" t="s">
        <v>1327</v>
      </c>
      <c r="U13" s="36">
        <v>6</v>
      </c>
      <c r="V13" s="36">
        <v>0</v>
      </c>
      <c r="W13" s="1">
        <v>33600</v>
      </c>
      <c r="X13" s="1">
        <v>33600</v>
      </c>
      <c r="Y13" s="36">
        <v>0</v>
      </c>
      <c r="Z13" s="1">
        <v>0</v>
      </c>
    </row>
    <row r="14" spans="1:27" x14ac:dyDescent="0.2">
      <c r="Q14" s="1">
        <v>60</v>
      </c>
      <c r="R14" s="1" t="s">
        <v>302</v>
      </c>
      <c r="S14" s="1" t="s">
        <v>1325</v>
      </c>
      <c r="T14" s="1" t="s">
        <v>1327</v>
      </c>
      <c r="U14" s="36">
        <v>6</v>
      </c>
      <c r="V14" s="36">
        <v>0</v>
      </c>
      <c r="W14" s="1">
        <v>33600</v>
      </c>
      <c r="X14" s="1">
        <v>33600</v>
      </c>
      <c r="Y14" s="36">
        <v>0</v>
      </c>
      <c r="Z14" s="1">
        <v>0</v>
      </c>
    </row>
    <row r="15" spans="1:27" x14ac:dyDescent="0.2">
      <c r="Q15" s="1">
        <v>70</v>
      </c>
      <c r="R15" s="1" t="s">
        <v>302</v>
      </c>
      <c r="S15" s="1" t="s">
        <v>1325</v>
      </c>
      <c r="T15" s="1" t="s">
        <v>1327</v>
      </c>
      <c r="U15" s="36">
        <v>6</v>
      </c>
      <c r="V15" s="36">
        <v>0</v>
      </c>
      <c r="W15" s="1">
        <v>33600</v>
      </c>
      <c r="X15" s="1">
        <v>33600</v>
      </c>
      <c r="Y15" s="36">
        <v>0</v>
      </c>
      <c r="Z15" s="1">
        <v>0</v>
      </c>
    </row>
    <row r="16" spans="1:27" x14ac:dyDescent="0.2">
      <c r="Q16" s="1">
        <v>80</v>
      </c>
      <c r="R16" s="1" t="s">
        <v>302</v>
      </c>
      <c r="S16" s="1" t="s">
        <v>1325</v>
      </c>
      <c r="T16" s="1" t="s">
        <v>1327</v>
      </c>
      <c r="U16" s="36">
        <v>6</v>
      </c>
      <c r="V16" s="36">
        <v>0</v>
      </c>
      <c r="W16" s="1">
        <v>33600</v>
      </c>
      <c r="X16" s="1">
        <v>33600</v>
      </c>
      <c r="Y16" s="36">
        <v>0</v>
      </c>
      <c r="Z16" s="1">
        <v>0</v>
      </c>
    </row>
    <row r="17" spans="2:27" x14ac:dyDescent="0.2">
      <c r="B17" s="1">
        <f>+VLOOKUP([1]SUN!B5,[1]mapping!A:C,3,0)</f>
        <v>51000</v>
      </c>
      <c r="D17" s="1" t="s">
        <v>6125</v>
      </c>
      <c r="E17" s="1" t="s">
        <v>1328</v>
      </c>
      <c r="I17" s="1" t="s">
        <v>1242</v>
      </c>
      <c r="J17" s="1" t="s">
        <v>1279</v>
      </c>
      <c r="K17" s="1" t="s">
        <v>1329</v>
      </c>
      <c r="L17" s="1" t="str">
        <f>+VLOOKUP([1]SUN!N5,[1]mapping!G:H,2,0)</f>
        <v>1101IT01</v>
      </c>
      <c r="M17" s="67" t="s">
        <v>491</v>
      </c>
      <c r="N17" s="1" t="s">
        <v>6125</v>
      </c>
      <c r="O17" s="1" t="str">
        <f>+VLOOKUP([1]SUN!Q5,[1]mapping!J:L,3,0)</f>
        <v>CN1109</v>
      </c>
      <c r="Q17" s="1">
        <f>[1]SUN!S5</f>
        <v>20</v>
      </c>
      <c r="R17" s="1" t="str">
        <f>[1]SUN!T5</f>
        <v>CN02</v>
      </c>
      <c r="S17" s="1" t="str">
        <f>[1]SUN!U5</f>
        <v>20130701</v>
      </c>
      <c r="T17" s="1" t="str">
        <f>[1]SUN!V5</f>
        <v>20180101</v>
      </c>
      <c r="U17" s="1">
        <v>4</v>
      </c>
      <c r="V17" s="1">
        <v>7</v>
      </c>
      <c r="W17" s="43">
        <f>[1]SUN!Y5</f>
        <v>55500</v>
      </c>
      <c r="X17" s="1">
        <f>[1]SUN!AB5</f>
        <v>55500</v>
      </c>
      <c r="Y17" s="1">
        <f>+VLOOKUP(AA17,[1]SUN!AE:AF,2,0)</f>
        <v>1009.0899999999965</v>
      </c>
      <c r="Z17" s="1">
        <f>+VLOOKUP(AA17,[1]SUN!AE:AH,4,0)</f>
        <v>0</v>
      </c>
      <c r="AA17" s="1" t="str">
        <f t="shared" ref="AA17:AA30" si="0">+I17&amp;C17</f>
        <v>F0000103</v>
      </c>
    </row>
    <row r="18" spans="2:27" x14ac:dyDescent="0.2">
      <c r="Q18" s="1">
        <v>1</v>
      </c>
      <c r="R18" s="1" t="s">
        <v>302</v>
      </c>
      <c r="S18" s="1" t="s">
        <v>1329</v>
      </c>
      <c r="T18" s="1" t="s">
        <v>1330</v>
      </c>
      <c r="U18" s="36">
        <v>4</v>
      </c>
      <c r="V18" s="36">
        <v>7</v>
      </c>
      <c r="W18" s="1">
        <v>55500</v>
      </c>
      <c r="X18" s="1">
        <v>55500</v>
      </c>
      <c r="Y18" s="36">
        <v>1009.0899999999965</v>
      </c>
      <c r="Z18" s="1">
        <v>0</v>
      </c>
    </row>
    <row r="19" spans="2:27" x14ac:dyDescent="0.2">
      <c r="Q19" s="1">
        <v>2</v>
      </c>
      <c r="R19" s="1" t="s">
        <v>302</v>
      </c>
      <c r="S19" s="1" t="s">
        <v>1329</v>
      </c>
      <c r="T19" s="1" t="s">
        <v>1330</v>
      </c>
      <c r="U19" s="36">
        <v>4</v>
      </c>
      <c r="V19" s="36">
        <v>7</v>
      </c>
      <c r="W19" s="1">
        <v>55500</v>
      </c>
      <c r="X19" s="1">
        <v>55500</v>
      </c>
      <c r="Y19" s="36">
        <v>1009.0899999999965</v>
      </c>
      <c r="Z19" s="1">
        <v>0</v>
      </c>
    </row>
    <row r="20" spans="2:27" x14ac:dyDescent="0.2">
      <c r="Q20" s="1">
        <v>10</v>
      </c>
      <c r="R20" s="1" t="s">
        <v>302</v>
      </c>
      <c r="S20" s="1" t="s">
        <v>1329</v>
      </c>
      <c r="T20" s="1" t="s">
        <v>1330</v>
      </c>
      <c r="U20" s="36">
        <v>4</v>
      </c>
      <c r="V20" s="36">
        <v>7</v>
      </c>
      <c r="W20" s="1">
        <v>55500</v>
      </c>
      <c r="X20" s="1">
        <v>55500</v>
      </c>
      <c r="Y20" s="36">
        <v>1009.0899999999965</v>
      </c>
      <c r="Z20" s="1">
        <v>0</v>
      </c>
    </row>
    <row r="21" spans="2:27" x14ac:dyDescent="0.2">
      <c r="Q21" s="1">
        <v>23</v>
      </c>
      <c r="R21" s="1" t="s">
        <v>302</v>
      </c>
      <c r="S21" s="1" t="s">
        <v>1329</v>
      </c>
      <c r="T21" s="1" t="s">
        <v>1330</v>
      </c>
      <c r="U21" s="36">
        <v>4</v>
      </c>
      <c r="V21" s="36">
        <v>7</v>
      </c>
      <c r="W21" s="1">
        <v>55500</v>
      </c>
      <c r="X21" s="1">
        <v>55500</v>
      </c>
      <c r="Y21" s="36">
        <v>1009.0899999999965</v>
      </c>
      <c r="Z21" s="1">
        <v>0</v>
      </c>
    </row>
    <row r="22" spans="2:27" x14ac:dyDescent="0.2">
      <c r="Q22" s="1">
        <v>26</v>
      </c>
      <c r="R22" s="1" t="s">
        <v>302</v>
      </c>
      <c r="S22" s="1" t="s">
        <v>1329</v>
      </c>
      <c r="T22" s="1" t="s">
        <v>1330</v>
      </c>
      <c r="U22" s="36">
        <v>4</v>
      </c>
      <c r="V22" s="36">
        <v>7</v>
      </c>
      <c r="W22" s="1">
        <v>55500</v>
      </c>
      <c r="X22" s="1">
        <v>55500</v>
      </c>
      <c r="Y22" s="36">
        <v>1009.0899999999965</v>
      </c>
      <c r="Z22" s="1">
        <v>0</v>
      </c>
    </row>
    <row r="23" spans="2:27" x14ac:dyDescent="0.2">
      <c r="Q23" s="1">
        <v>30</v>
      </c>
      <c r="R23" s="1" t="s">
        <v>302</v>
      </c>
      <c r="S23" s="1" t="s">
        <v>1329</v>
      </c>
      <c r="T23" s="1" t="s">
        <v>1330</v>
      </c>
      <c r="U23" s="36">
        <v>4</v>
      </c>
      <c r="V23" s="36">
        <v>7</v>
      </c>
      <c r="W23" s="1">
        <v>55500</v>
      </c>
      <c r="X23" s="1">
        <v>55500</v>
      </c>
      <c r="Y23" s="36">
        <v>1009.0899999999965</v>
      </c>
      <c r="Z23" s="1">
        <v>0</v>
      </c>
    </row>
    <row r="24" spans="2:27" x14ac:dyDescent="0.2">
      <c r="Q24" s="1">
        <v>40</v>
      </c>
      <c r="R24" s="1" t="s">
        <v>302</v>
      </c>
      <c r="S24" s="1" t="s">
        <v>1329</v>
      </c>
      <c r="T24" s="1" t="s">
        <v>1330</v>
      </c>
      <c r="U24" s="36">
        <v>4</v>
      </c>
      <c r="V24" s="36">
        <v>7</v>
      </c>
      <c r="W24" s="1">
        <v>55500</v>
      </c>
      <c r="X24" s="1">
        <v>55500</v>
      </c>
      <c r="Y24" s="36">
        <v>1009.0899999999965</v>
      </c>
      <c r="Z24" s="1">
        <v>0</v>
      </c>
    </row>
    <row r="25" spans="2:27" x14ac:dyDescent="0.2">
      <c r="Q25" s="1">
        <v>46</v>
      </c>
      <c r="R25" s="1" t="s">
        <v>302</v>
      </c>
      <c r="S25" s="1" t="s">
        <v>1329</v>
      </c>
      <c r="T25" s="1" t="s">
        <v>1330</v>
      </c>
      <c r="U25" s="36">
        <v>4</v>
      </c>
      <c r="V25" s="36">
        <v>7</v>
      </c>
      <c r="W25" s="1">
        <v>55500</v>
      </c>
      <c r="X25" s="1">
        <v>55500</v>
      </c>
      <c r="Y25" s="36">
        <v>1009.0899999999965</v>
      </c>
      <c r="Z25" s="1">
        <v>0</v>
      </c>
    </row>
    <row r="26" spans="2:27" x14ac:dyDescent="0.2">
      <c r="Q26" s="1">
        <v>50</v>
      </c>
      <c r="R26" s="1" t="s">
        <v>302</v>
      </c>
      <c r="S26" s="1" t="s">
        <v>1329</v>
      </c>
      <c r="T26" s="1" t="s">
        <v>1330</v>
      </c>
      <c r="U26" s="36">
        <v>4</v>
      </c>
      <c r="V26" s="36">
        <v>7</v>
      </c>
      <c r="W26" s="1">
        <v>55500</v>
      </c>
      <c r="X26" s="1">
        <v>55500</v>
      </c>
      <c r="Y26" s="36">
        <v>1009.0899999999965</v>
      </c>
      <c r="Z26" s="1">
        <v>0</v>
      </c>
    </row>
    <row r="27" spans="2:27" x14ac:dyDescent="0.2">
      <c r="Q27" s="1">
        <v>60</v>
      </c>
      <c r="R27" s="1" t="s">
        <v>302</v>
      </c>
      <c r="S27" s="1" t="s">
        <v>1329</v>
      </c>
      <c r="T27" s="1" t="s">
        <v>1330</v>
      </c>
      <c r="U27" s="36">
        <v>4</v>
      </c>
      <c r="V27" s="36">
        <v>7</v>
      </c>
      <c r="W27" s="1">
        <v>55500</v>
      </c>
      <c r="X27" s="1">
        <v>55500</v>
      </c>
      <c r="Y27" s="36">
        <v>1009.0899999999965</v>
      </c>
      <c r="Z27" s="1">
        <v>0</v>
      </c>
    </row>
    <row r="28" spans="2:27" x14ac:dyDescent="0.2">
      <c r="Q28" s="1">
        <v>70</v>
      </c>
      <c r="R28" s="1" t="s">
        <v>302</v>
      </c>
      <c r="S28" s="1" t="s">
        <v>1329</v>
      </c>
      <c r="T28" s="1" t="s">
        <v>1330</v>
      </c>
      <c r="U28" s="36">
        <v>4</v>
      </c>
      <c r="V28" s="36">
        <v>7</v>
      </c>
      <c r="W28" s="1">
        <v>55500</v>
      </c>
      <c r="X28" s="1">
        <v>55500</v>
      </c>
      <c r="Y28" s="36">
        <v>1009.0899999999965</v>
      </c>
      <c r="Z28" s="1">
        <v>0</v>
      </c>
    </row>
    <row r="29" spans="2:27" x14ac:dyDescent="0.2">
      <c r="Q29" s="1">
        <v>80</v>
      </c>
      <c r="R29" s="1" t="s">
        <v>302</v>
      </c>
      <c r="S29" s="1" t="s">
        <v>1329</v>
      </c>
      <c r="T29" s="1" t="s">
        <v>1330</v>
      </c>
      <c r="U29" s="36">
        <v>4</v>
      </c>
      <c r="V29" s="36">
        <v>7</v>
      </c>
      <c r="W29" s="1">
        <v>55500</v>
      </c>
      <c r="X29" s="1">
        <v>55500</v>
      </c>
      <c r="Y29" s="36">
        <v>1009.0899999999965</v>
      </c>
      <c r="Z29" s="1">
        <v>0</v>
      </c>
    </row>
    <row r="30" spans="2:27" x14ac:dyDescent="0.2">
      <c r="B30" s="1">
        <f>+VLOOKUP([1]SUN!B6,[1]mapping!A:C,3,0)</f>
        <v>51000</v>
      </c>
      <c r="C30" s="1" t="s">
        <v>1331</v>
      </c>
      <c r="D30" s="1" t="s">
        <v>6125</v>
      </c>
      <c r="E30" s="1" t="s">
        <v>1332</v>
      </c>
      <c r="I30" s="1" t="s">
        <v>1333</v>
      </c>
      <c r="J30" s="1" t="s">
        <v>1279</v>
      </c>
      <c r="K30" s="1" t="s">
        <v>1334</v>
      </c>
      <c r="L30" s="1" t="str">
        <f>+VLOOKUP([1]SUN!N6,[1]mapping!G:H,2,0)</f>
        <v>1101FA86</v>
      </c>
      <c r="M30" s="67" t="s">
        <v>491</v>
      </c>
      <c r="N30" s="1" t="s">
        <v>6125</v>
      </c>
      <c r="O30" s="1" t="str">
        <f>+VLOOKUP([1]SUN!Q6,[1]mapping!J:L,3,0)</f>
        <v>CN1113</v>
      </c>
      <c r="Q30" s="1">
        <v>21</v>
      </c>
      <c r="R30" s="1" t="str">
        <f>[1]SUN!T6</f>
        <v>CN02</v>
      </c>
      <c r="S30" s="1" t="str">
        <f>[1]SUN!U6</f>
        <v>20160801</v>
      </c>
      <c r="T30" s="1" t="str">
        <f>[1]SUN!V6</f>
        <v>20180901</v>
      </c>
      <c r="U30" s="1">
        <v>2</v>
      </c>
      <c r="V30" s="1">
        <v>2</v>
      </c>
      <c r="W30" s="43">
        <f>[1]SUN!Y6</f>
        <v>574533.45600000001</v>
      </c>
      <c r="X30" s="1">
        <f>[1]SUN!AB6</f>
        <v>486143.69399999996</v>
      </c>
      <c r="Y30" s="1">
        <f>+VLOOKUP(AA30,[1]SUN!AE:AF,2,0)</f>
        <v>120353.74399999995</v>
      </c>
      <c r="Z30" s="1">
        <f>+VLOOKUP(AA30,[1]SUN!AE:AH,4,0)</f>
        <v>0</v>
      </c>
      <c r="AA30" s="1" t="str">
        <f t="shared" si="0"/>
        <v xml:space="preserve">F00001211    </v>
      </c>
    </row>
    <row r="31" spans="2:27" x14ac:dyDescent="0.2">
      <c r="Q31" s="1">
        <v>3</v>
      </c>
      <c r="R31" s="1" t="s">
        <v>302</v>
      </c>
      <c r="S31" s="1" t="s">
        <v>1334</v>
      </c>
      <c r="T31" s="1" t="s">
        <v>1336</v>
      </c>
      <c r="U31" s="36">
        <v>2</v>
      </c>
      <c r="V31" s="36">
        <v>2</v>
      </c>
      <c r="W31" s="1">
        <v>574533.45600000001</v>
      </c>
      <c r="X31" s="1">
        <v>486143.69399999996</v>
      </c>
      <c r="Y31" s="36">
        <v>120353.74399999995</v>
      </c>
      <c r="Z31" s="1">
        <v>0</v>
      </c>
    </row>
    <row r="32" spans="2:27" x14ac:dyDescent="0.2">
      <c r="Q32" s="1">
        <v>11</v>
      </c>
      <c r="R32" s="1" t="s">
        <v>302</v>
      </c>
      <c r="S32" s="1" t="s">
        <v>1334</v>
      </c>
      <c r="T32" s="1" t="s">
        <v>1336</v>
      </c>
      <c r="U32" s="36">
        <v>2</v>
      </c>
      <c r="V32" s="36">
        <v>2</v>
      </c>
      <c r="W32" s="1">
        <v>574533.45600000001</v>
      </c>
      <c r="X32" s="1">
        <v>486143.69399999996</v>
      </c>
      <c r="Y32" s="36">
        <v>120353.74399999995</v>
      </c>
      <c r="Z32" s="1">
        <v>0</v>
      </c>
    </row>
    <row r="33" spans="17:26" x14ac:dyDescent="0.2">
      <c r="Q33" s="1">
        <v>27</v>
      </c>
      <c r="R33" s="1" t="s">
        <v>302</v>
      </c>
      <c r="S33" s="1" t="s">
        <v>1334</v>
      </c>
      <c r="T33" s="1" t="s">
        <v>1336</v>
      </c>
      <c r="U33" s="36">
        <v>2</v>
      </c>
      <c r="V33" s="36">
        <v>2</v>
      </c>
      <c r="W33" s="1">
        <v>574533.45600000001</v>
      </c>
      <c r="X33" s="1">
        <v>486143.69399999996</v>
      </c>
      <c r="Y33" s="36">
        <v>120353.74399999995</v>
      </c>
      <c r="Z33" s="1">
        <v>0</v>
      </c>
    </row>
    <row r="34" spans="17:26" x14ac:dyDescent="0.2">
      <c r="Q34" s="1">
        <v>31</v>
      </c>
      <c r="R34" s="1" t="s">
        <v>302</v>
      </c>
      <c r="S34" s="1" t="s">
        <v>1334</v>
      </c>
      <c r="T34" s="1" t="s">
        <v>1336</v>
      </c>
      <c r="U34" s="36">
        <v>2</v>
      </c>
      <c r="V34" s="36">
        <v>2</v>
      </c>
      <c r="W34" s="1">
        <v>574533.45600000001</v>
      </c>
      <c r="X34" s="1">
        <v>486143.69399999996</v>
      </c>
      <c r="Y34" s="36">
        <v>120353.74399999995</v>
      </c>
      <c r="Z34" s="1">
        <v>0</v>
      </c>
    </row>
    <row r="35" spans="17:26" x14ac:dyDescent="0.2">
      <c r="Q35" s="1">
        <v>41</v>
      </c>
      <c r="R35" s="1" t="s">
        <v>302</v>
      </c>
      <c r="S35" s="1" t="s">
        <v>1334</v>
      </c>
      <c r="T35" s="1" t="s">
        <v>1336</v>
      </c>
      <c r="U35" s="36">
        <v>2</v>
      </c>
      <c r="V35" s="36">
        <v>2</v>
      </c>
      <c r="W35" s="1">
        <v>574533.45600000001</v>
      </c>
      <c r="X35" s="1">
        <v>486143.69399999996</v>
      </c>
      <c r="Y35" s="36">
        <v>120353.74399999995</v>
      </c>
      <c r="Z35" s="1">
        <v>0</v>
      </c>
    </row>
    <row r="36" spans="17:26" x14ac:dyDescent="0.2">
      <c r="Q36" s="1">
        <v>47</v>
      </c>
      <c r="R36" s="1" t="s">
        <v>302</v>
      </c>
      <c r="S36" s="1" t="s">
        <v>1334</v>
      </c>
      <c r="T36" s="1" t="s">
        <v>1336</v>
      </c>
      <c r="U36" s="36">
        <v>2</v>
      </c>
      <c r="V36" s="36">
        <v>2</v>
      </c>
      <c r="W36" s="1">
        <v>574533.45600000001</v>
      </c>
      <c r="X36" s="1">
        <v>486143.69399999996</v>
      </c>
      <c r="Y36" s="36">
        <v>120353.74399999995</v>
      </c>
      <c r="Z36" s="1">
        <v>0</v>
      </c>
    </row>
    <row r="37" spans="17:26" x14ac:dyDescent="0.2">
      <c r="Q37" s="1">
        <v>51</v>
      </c>
      <c r="R37" s="1" t="s">
        <v>302</v>
      </c>
      <c r="S37" s="1" t="s">
        <v>1334</v>
      </c>
      <c r="T37" s="1" t="s">
        <v>1336</v>
      </c>
      <c r="U37" s="36">
        <v>2</v>
      </c>
      <c r="V37" s="36">
        <v>2</v>
      </c>
      <c r="W37" s="1">
        <v>574533.45600000001</v>
      </c>
      <c r="X37" s="1">
        <v>486143.69399999996</v>
      </c>
      <c r="Y37" s="36">
        <v>120353.74399999995</v>
      </c>
      <c r="Z37" s="1">
        <v>0</v>
      </c>
    </row>
    <row r="38" spans="17:26" x14ac:dyDescent="0.2">
      <c r="Q38" s="1">
        <v>61</v>
      </c>
      <c r="R38" s="1" t="s">
        <v>302</v>
      </c>
      <c r="S38" s="1" t="s">
        <v>1334</v>
      </c>
      <c r="T38" s="1" t="s">
        <v>1336</v>
      </c>
      <c r="U38" s="36">
        <v>2</v>
      </c>
      <c r="V38" s="36">
        <v>2</v>
      </c>
      <c r="W38" s="1">
        <v>574533.45600000001</v>
      </c>
      <c r="X38" s="1">
        <v>486143.69399999996</v>
      </c>
      <c r="Y38" s="36">
        <v>120353.74399999995</v>
      </c>
      <c r="Z38" s="1">
        <v>0</v>
      </c>
    </row>
    <row r="39" spans="17:26" x14ac:dyDescent="0.2">
      <c r="Q39" s="1">
        <v>71</v>
      </c>
      <c r="R39" s="1" t="s">
        <v>302</v>
      </c>
      <c r="S39" s="1" t="s">
        <v>1334</v>
      </c>
      <c r="T39" s="1" t="s">
        <v>1336</v>
      </c>
      <c r="U39" s="36">
        <v>2</v>
      </c>
      <c r="V39" s="36">
        <v>2</v>
      </c>
      <c r="W39" s="1">
        <v>574533.45600000001</v>
      </c>
      <c r="X39" s="1">
        <v>486143.69399999996</v>
      </c>
      <c r="Y39" s="36">
        <v>120353.74399999995</v>
      </c>
      <c r="Z39" s="1">
        <v>0</v>
      </c>
    </row>
    <row r="40" spans="17:26" x14ac:dyDescent="0.2">
      <c r="Q40" s="1">
        <v>81</v>
      </c>
      <c r="R40" s="1" t="s">
        <v>302</v>
      </c>
      <c r="S40" s="1" t="s">
        <v>1334</v>
      </c>
      <c r="T40" s="1" t="s">
        <v>1336</v>
      </c>
      <c r="U40" s="36">
        <v>2</v>
      </c>
      <c r="V40" s="36">
        <v>2</v>
      </c>
      <c r="W40" s="1">
        <v>574533.45600000001</v>
      </c>
      <c r="X40" s="1">
        <v>486143.69399999996</v>
      </c>
      <c r="Y40" s="36">
        <v>120353.74399999995</v>
      </c>
      <c r="Z40" s="1">
        <v>0</v>
      </c>
    </row>
  </sheetData>
  <autoFilter ref="T1:T3" xr:uid="{381C9CF7-6A71-4BA3-94FC-67A016A3CB7E}"/>
  <dataConsolidate link="1"/>
  <mergeCells count="1">
    <mergeCell ref="A1:G2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duceDate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计算折旧单价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ertDataToSheet">
                <anchor moveWithCells="1" sizeWithCells="1">
                  <from>
                    <xdr:col>25</xdr:col>
                    <xdr:colOff>0</xdr:colOff>
                    <xdr:row>0</xdr:row>
                    <xdr:rowOff>38100</xdr:rowOff>
                  </from>
                  <to>
                    <xdr:col>28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A4638-3EF1-4408-A844-8AD3759EB8C9}">
  <sheetPr codeName="Sheet11"/>
  <dimension ref="Q2:AA25"/>
  <sheetViews>
    <sheetView topLeftCell="M1" workbookViewId="0">
      <selection activeCell="R27" sqref="R27"/>
    </sheetView>
  </sheetViews>
  <sheetFormatPr defaultRowHeight="16.5" x14ac:dyDescent="0.2"/>
  <cols>
    <col min="1" max="1" width="9.25" style="1" bestFit="1" customWidth="1"/>
    <col min="2" max="3" width="17.875" style="1" customWidth="1"/>
    <col min="4" max="4" width="18.875" style="1" customWidth="1"/>
    <col min="5" max="5" width="34.625" style="1" bestFit="1" customWidth="1"/>
    <col min="6" max="6" width="15.25" style="1" bestFit="1" customWidth="1"/>
    <col min="7" max="7" width="17.125" style="1" customWidth="1"/>
    <col min="8" max="9" width="15" style="1" customWidth="1"/>
    <col min="10" max="10" width="16.5" style="1" customWidth="1"/>
    <col min="11" max="11" width="20.625" style="1" customWidth="1"/>
    <col min="12" max="13" width="15.875" style="1" customWidth="1"/>
    <col min="14" max="15" width="10.75" style="1" customWidth="1"/>
    <col min="16" max="16" width="12.375" style="1" customWidth="1"/>
    <col min="17" max="17" width="15.125" style="1" customWidth="1"/>
    <col min="18" max="18" width="13.125" style="1" customWidth="1"/>
    <col min="19" max="19" width="16.625" style="1" bestFit="1" customWidth="1"/>
    <col min="20" max="20" width="16.625" style="1" customWidth="1"/>
    <col min="21" max="21" width="16.5" style="36" customWidth="1"/>
    <col min="22" max="22" width="14.875" style="36" customWidth="1"/>
    <col min="23" max="23" width="15.125" style="1" customWidth="1"/>
    <col min="24" max="24" width="19.375" style="1" customWidth="1"/>
    <col min="25" max="25" width="19.75" style="36" customWidth="1"/>
    <col min="26" max="26" width="19.75" style="1" hidden="1" customWidth="1"/>
    <col min="27" max="27" width="15.375" style="1" hidden="1" customWidth="1"/>
    <col min="28" max="28" width="19.375" style="1" bestFit="1" customWidth="1"/>
    <col min="29" max="29" width="17.75" style="1" customWidth="1"/>
    <col min="30" max="16384" width="9" style="1"/>
  </cols>
  <sheetData>
    <row r="2" spans="17:17" x14ac:dyDescent="0.2">
      <c r="Q2" s="1">
        <v>1</v>
      </c>
    </row>
    <row r="3" spans="17:17" x14ac:dyDescent="0.2">
      <c r="Q3" s="1">
        <v>2</v>
      </c>
    </row>
    <row r="4" spans="17:17" x14ac:dyDescent="0.2">
      <c r="Q4" s="1">
        <v>10</v>
      </c>
    </row>
    <row r="5" spans="17:17" x14ac:dyDescent="0.2">
      <c r="Q5" s="1">
        <v>23</v>
      </c>
    </row>
    <row r="6" spans="17:17" x14ac:dyDescent="0.2">
      <c r="Q6" s="1">
        <v>26</v>
      </c>
    </row>
    <row r="7" spans="17:17" x14ac:dyDescent="0.2">
      <c r="Q7" s="1">
        <v>30</v>
      </c>
    </row>
    <row r="8" spans="17:17" x14ac:dyDescent="0.2">
      <c r="Q8" s="1">
        <v>40</v>
      </c>
    </row>
    <row r="9" spans="17:17" x14ac:dyDescent="0.2">
      <c r="Q9" s="1">
        <v>46</v>
      </c>
    </row>
    <row r="10" spans="17:17" x14ac:dyDescent="0.2">
      <c r="Q10" s="1">
        <v>50</v>
      </c>
    </row>
    <row r="11" spans="17:17" x14ac:dyDescent="0.2">
      <c r="Q11" s="1">
        <v>60</v>
      </c>
    </row>
    <row r="12" spans="17:17" x14ac:dyDescent="0.2">
      <c r="Q12" s="1">
        <v>70</v>
      </c>
    </row>
    <row r="13" spans="17:17" x14ac:dyDescent="0.2">
      <c r="Q13" s="1">
        <v>80</v>
      </c>
    </row>
    <row r="16" spans="17:17" x14ac:dyDescent="0.2">
      <c r="Q16" s="1">
        <v>3</v>
      </c>
    </row>
    <row r="17" spans="17:17" x14ac:dyDescent="0.2">
      <c r="Q17" s="1">
        <v>11</v>
      </c>
    </row>
    <row r="18" spans="17:17" x14ac:dyDescent="0.2">
      <c r="Q18" s="1">
        <v>27</v>
      </c>
    </row>
    <row r="19" spans="17:17" x14ac:dyDescent="0.2">
      <c r="Q19" s="1">
        <v>31</v>
      </c>
    </row>
    <row r="20" spans="17:17" x14ac:dyDescent="0.2">
      <c r="Q20" s="1">
        <v>41</v>
      </c>
    </row>
    <row r="21" spans="17:17" x14ac:dyDescent="0.2">
      <c r="Q21" s="1">
        <v>47</v>
      </c>
    </row>
    <row r="22" spans="17:17" x14ac:dyDescent="0.2">
      <c r="Q22" s="1">
        <v>51</v>
      </c>
    </row>
    <row r="23" spans="17:17" x14ac:dyDescent="0.2">
      <c r="Q23" s="1">
        <v>61</v>
      </c>
    </row>
    <row r="24" spans="17:17" x14ac:dyDescent="0.2">
      <c r="Q24" s="1">
        <v>71</v>
      </c>
    </row>
    <row r="25" spans="17:17" x14ac:dyDescent="0.2">
      <c r="Q25" s="1">
        <v>81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9"/>
  <sheetViews>
    <sheetView topLeftCell="C1" zoomScaleNormal="100" workbookViewId="0">
      <selection activeCell="E3" sqref="E3:F7"/>
    </sheetView>
  </sheetViews>
  <sheetFormatPr defaultRowHeight="16.5" x14ac:dyDescent="0.2"/>
  <cols>
    <col min="1" max="1" width="8.375" style="1" customWidth="1"/>
    <col min="2" max="2" width="15.625" style="1" customWidth="1"/>
    <col min="3" max="3" width="19.625" style="1" customWidth="1"/>
    <col min="4" max="4" width="12.125" style="1" customWidth="1"/>
    <col min="5" max="5" width="14.75" style="1" customWidth="1"/>
    <col min="6" max="6" width="14.375" style="1" customWidth="1"/>
    <col min="7" max="7" width="20" style="1" customWidth="1"/>
    <col min="8" max="8" width="12.375" style="1" customWidth="1"/>
    <col min="9" max="9" width="17" style="1" customWidth="1"/>
    <col min="10" max="10" width="23.25" style="1" customWidth="1"/>
    <col min="11" max="11" width="19.875" style="1" customWidth="1"/>
    <col min="12" max="12" width="16.875" style="1" customWidth="1"/>
    <col min="13" max="13" width="14.75" style="1" customWidth="1"/>
    <col min="14" max="14" width="10.75" style="1" customWidth="1"/>
    <col min="15" max="15" width="15.125" style="1" customWidth="1"/>
    <col min="16" max="16" width="13" style="1" customWidth="1"/>
    <col min="17" max="17" width="15.875" style="1" customWidth="1"/>
    <col min="18" max="18" width="16.875" style="1" customWidth="1"/>
    <col min="19" max="20" width="11.75" style="1" customWidth="1"/>
    <col min="21" max="21" width="18.75" style="1" customWidth="1"/>
    <col min="22" max="22" width="17.875" style="1" customWidth="1"/>
    <col min="23" max="23" width="12" style="1" customWidth="1"/>
    <col min="24" max="25" width="18" style="1" customWidth="1"/>
    <col min="26" max="26" width="17.375" style="1" customWidth="1"/>
    <col min="27" max="27" width="16.125" style="1" customWidth="1"/>
    <col min="28" max="16384" width="9" style="1"/>
  </cols>
  <sheetData>
    <row r="1" spans="1:27" ht="15" customHeight="1" x14ac:dyDescent="0.2">
      <c r="A1" s="83" t="s">
        <v>48</v>
      </c>
      <c r="B1" s="83"/>
      <c r="C1" s="83"/>
      <c r="D1" s="83"/>
      <c r="E1" s="83"/>
    </row>
    <row r="2" spans="1:27" ht="13.5" customHeight="1" x14ac:dyDescent="0.2">
      <c r="A2" s="83"/>
      <c r="B2" s="83"/>
      <c r="C2" s="83"/>
      <c r="D2" s="83"/>
      <c r="E2" s="83"/>
    </row>
    <row r="3" spans="1:27" ht="100.5" customHeight="1" x14ac:dyDescent="0.2">
      <c r="A3" s="2" t="s">
        <v>1</v>
      </c>
      <c r="B3" s="2" t="s">
        <v>2</v>
      </c>
      <c r="C3" s="2" t="s">
        <v>365</v>
      </c>
      <c r="D3" s="2" t="s">
        <v>3</v>
      </c>
      <c r="E3" s="2" t="s">
        <v>4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49</v>
      </c>
      <c r="L3" s="2" t="s">
        <v>10</v>
      </c>
      <c r="M3" s="2" t="s">
        <v>11</v>
      </c>
      <c r="N3" s="2" t="s">
        <v>323</v>
      </c>
      <c r="O3" s="2" t="s">
        <v>12</v>
      </c>
      <c r="P3" s="2" t="s">
        <v>13</v>
      </c>
      <c r="Q3" s="2" t="s">
        <v>50</v>
      </c>
      <c r="R3" s="2" t="s">
        <v>51</v>
      </c>
      <c r="S3" s="2" t="s">
        <v>52</v>
      </c>
      <c r="T3" s="2" t="s">
        <v>17</v>
      </c>
      <c r="U3" s="2" t="s">
        <v>18</v>
      </c>
      <c r="V3" s="2" t="s">
        <v>19</v>
      </c>
      <c r="W3" s="2" t="s">
        <v>20</v>
      </c>
      <c r="X3" s="2" t="s">
        <v>21</v>
      </c>
      <c r="Y3" s="2" t="s">
        <v>22</v>
      </c>
      <c r="Z3" s="2" t="s">
        <v>53</v>
      </c>
      <c r="AA3" s="2" t="s">
        <v>54</v>
      </c>
    </row>
    <row r="4" spans="1:27" x14ac:dyDescent="0.2">
      <c r="A4" s="4" t="s">
        <v>25</v>
      </c>
      <c r="B4" s="5" t="s">
        <v>26</v>
      </c>
      <c r="C4" s="5" t="s">
        <v>26</v>
      </c>
      <c r="D4" s="5" t="s">
        <v>26</v>
      </c>
      <c r="E4" s="5" t="s">
        <v>26</v>
      </c>
      <c r="F4" s="6" t="s">
        <v>27</v>
      </c>
      <c r="G4" s="7" t="s">
        <v>28</v>
      </c>
      <c r="H4" s="7" t="s">
        <v>28</v>
      </c>
      <c r="I4" s="7" t="s">
        <v>28</v>
      </c>
      <c r="J4" s="5" t="s">
        <v>26</v>
      </c>
      <c r="K4" s="5" t="s">
        <v>26</v>
      </c>
      <c r="L4" s="5" t="s">
        <v>26</v>
      </c>
      <c r="M4" s="7" t="s">
        <v>28</v>
      </c>
      <c r="N4" s="5" t="s">
        <v>29</v>
      </c>
      <c r="O4" s="5" t="s">
        <v>29</v>
      </c>
      <c r="P4" s="7" t="s">
        <v>28</v>
      </c>
      <c r="Q4" s="5" t="s">
        <v>29</v>
      </c>
      <c r="R4" s="5" t="s">
        <v>26</v>
      </c>
      <c r="S4" s="5" t="s">
        <v>26</v>
      </c>
      <c r="T4" s="5" t="s">
        <v>26</v>
      </c>
      <c r="U4" s="5" t="s">
        <v>26</v>
      </c>
      <c r="V4" s="5" t="s">
        <v>26</v>
      </c>
      <c r="W4" s="6"/>
      <c r="X4" s="6"/>
      <c r="Y4" s="5" t="s">
        <v>26</v>
      </c>
      <c r="Z4" s="5" t="s">
        <v>26</v>
      </c>
      <c r="AA4" s="5" t="s">
        <v>26</v>
      </c>
    </row>
    <row r="5" spans="1:27" x14ac:dyDescent="0.2">
      <c r="A5" s="4" t="s">
        <v>327</v>
      </c>
      <c r="B5" s="5">
        <v>5</v>
      </c>
      <c r="C5" s="5">
        <v>4</v>
      </c>
      <c r="D5" s="5">
        <v>4</v>
      </c>
      <c r="E5" s="5">
        <v>50</v>
      </c>
      <c r="F5" s="6">
        <v>50</v>
      </c>
      <c r="G5" s="7">
        <v>50</v>
      </c>
      <c r="H5" s="7">
        <v>30</v>
      </c>
      <c r="I5" s="7">
        <v>30</v>
      </c>
      <c r="J5" s="5">
        <v>1</v>
      </c>
      <c r="K5" s="5">
        <v>8</v>
      </c>
      <c r="L5" s="5">
        <v>10</v>
      </c>
      <c r="M5" s="7">
        <v>10</v>
      </c>
      <c r="N5" s="5">
        <v>4</v>
      </c>
      <c r="O5" s="5">
        <v>10</v>
      </c>
      <c r="P5" s="7">
        <v>24</v>
      </c>
      <c r="Q5" s="5">
        <v>2</v>
      </c>
      <c r="R5" s="5">
        <v>4</v>
      </c>
      <c r="S5" s="5">
        <v>8</v>
      </c>
      <c r="T5" s="5">
        <v>8</v>
      </c>
      <c r="U5" s="5">
        <v>3</v>
      </c>
      <c r="V5" s="5">
        <v>3</v>
      </c>
      <c r="W5" s="6"/>
      <c r="X5" s="6"/>
      <c r="Y5" s="5">
        <v>25</v>
      </c>
      <c r="Z5" s="5">
        <v>3</v>
      </c>
      <c r="AA5" s="5">
        <v>25</v>
      </c>
    </row>
    <row r="6" spans="1:27" ht="107.25" customHeight="1" x14ac:dyDescent="0.2">
      <c r="A6" s="4"/>
      <c r="B6" s="8" t="s">
        <v>30</v>
      </c>
      <c r="C6" s="8" t="s">
        <v>1133</v>
      </c>
      <c r="D6" s="8" t="s">
        <v>299</v>
      </c>
      <c r="E6" s="8" t="s">
        <v>31</v>
      </c>
      <c r="F6" s="8" t="s">
        <v>32</v>
      </c>
      <c r="G6" s="8" t="s">
        <v>1131</v>
      </c>
      <c r="H6" s="8" t="s">
        <v>33</v>
      </c>
      <c r="I6" s="8" t="s">
        <v>1132</v>
      </c>
      <c r="J6" s="4" t="s">
        <v>34</v>
      </c>
      <c r="K6" s="8" t="s">
        <v>322</v>
      </c>
      <c r="L6" s="8" t="s">
        <v>35</v>
      </c>
      <c r="M6" s="8" t="s">
        <v>36</v>
      </c>
      <c r="N6" s="8" t="s">
        <v>324</v>
      </c>
      <c r="O6" s="8" t="s">
        <v>297</v>
      </c>
      <c r="P6" s="8" t="s">
        <v>37</v>
      </c>
      <c r="Q6" s="8" t="s">
        <v>321</v>
      </c>
      <c r="R6" s="8" t="s">
        <v>328</v>
      </c>
      <c r="S6" s="8" t="s">
        <v>38</v>
      </c>
      <c r="T6" s="8"/>
      <c r="U6" s="8" t="s">
        <v>39</v>
      </c>
      <c r="V6" s="8" t="s">
        <v>40</v>
      </c>
      <c r="W6" s="8" t="s">
        <v>55</v>
      </c>
      <c r="X6" s="8" t="s">
        <v>55</v>
      </c>
      <c r="Y6" s="8" t="s">
        <v>364</v>
      </c>
      <c r="Z6" s="4" t="s">
        <v>56</v>
      </c>
      <c r="AA6" s="4" t="s">
        <v>57</v>
      </c>
    </row>
    <row r="7" spans="1:27" x14ac:dyDescent="0.2">
      <c r="A7" s="9" t="s">
        <v>44</v>
      </c>
      <c r="B7" s="9">
        <v>20000</v>
      </c>
      <c r="C7" s="9"/>
      <c r="D7" s="9" t="s">
        <v>45</v>
      </c>
      <c r="E7" s="9" t="s">
        <v>46</v>
      </c>
      <c r="F7" s="9">
        <v>1234567890</v>
      </c>
      <c r="G7" s="9">
        <v>12345</v>
      </c>
      <c r="H7" s="9"/>
      <c r="I7" s="9"/>
      <c r="J7" s="9" t="s">
        <v>47</v>
      </c>
      <c r="K7" s="9">
        <v>20170331</v>
      </c>
      <c r="L7" s="9"/>
      <c r="M7" s="9"/>
      <c r="N7" s="10" t="s">
        <v>325</v>
      </c>
      <c r="O7" s="10" t="s">
        <v>298</v>
      </c>
      <c r="P7" s="9"/>
      <c r="Q7" s="9"/>
      <c r="R7" s="9" t="s">
        <v>320</v>
      </c>
      <c r="S7" s="9"/>
      <c r="T7" s="9"/>
      <c r="U7" s="9">
        <v>5</v>
      </c>
      <c r="V7" s="9"/>
      <c r="W7" s="9"/>
      <c r="X7" s="9"/>
      <c r="Y7" s="9">
        <v>-600</v>
      </c>
      <c r="Z7" s="9">
        <v>100</v>
      </c>
      <c r="AA7" s="9">
        <v>12000</v>
      </c>
    </row>
    <row r="8" spans="1:27" x14ac:dyDescent="0.2">
      <c r="Y8" s="13"/>
    </row>
    <row r="9" spans="1:27" x14ac:dyDescent="0.2">
      <c r="Y9" s="13"/>
    </row>
  </sheetData>
  <dataConsolidate/>
  <mergeCells count="1">
    <mergeCell ref="A1:E2"/>
  </mergeCells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D3343"/>
  <sheetViews>
    <sheetView topLeftCell="R2171" workbookViewId="0">
      <selection activeCell="AC2194" sqref="AC2194"/>
    </sheetView>
  </sheetViews>
  <sheetFormatPr defaultRowHeight="16.5" x14ac:dyDescent="0.2"/>
  <cols>
    <col min="1" max="1" width="9.25" style="1" bestFit="1" customWidth="1"/>
    <col min="2" max="4" width="17.875" style="1" customWidth="1"/>
    <col min="5" max="5" width="18.875" style="1" customWidth="1"/>
    <col min="6" max="7" width="14.25" style="1" customWidth="1"/>
    <col min="8" max="8" width="17.125" style="1" customWidth="1"/>
    <col min="9" max="10" width="15" style="1" customWidth="1"/>
    <col min="11" max="11" width="16.5" style="1" customWidth="1"/>
    <col min="12" max="12" width="20.625" style="1" customWidth="1"/>
    <col min="13" max="14" width="15.875" style="1" customWidth="1"/>
    <col min="15" max="16" width="10.75" style="1" customWidth="1"/>
    <col min="17" max="17" width="12.375" style="1" customWidth="1"/>
    <col min="18" max="18" width="15.125" style="1" customWidth="1"/>
    <col min="19" max="19" width="13.125" style="1" customWidth="1"/>
    <col min="20" max="21" width="16.625" style="1" customWidth="1"/>
    <col min="22" max="22" width="16.5" style="1" customWidth="1"/>
    <col min="23" max="23" width="14.875" style="1" customWidth="1"/>
    <col min="24" max="24" width="15.125" style="1" customWidth="1"/>
    <col min="25" max="25" width="19.375" style="1" customWidth="1"/>
    <col min="26" max="28" width="19.75" style="1" customWidth="1"/>
    <col min="29" max="29" width="19.25" style="1" bestFit="1" customWidth="1"/>
    <col min="30" max="30" width="19.375" style="1" bestFit="1" customWidth="1"/>
    <col min="31" max="31" width="17.75" style="1" customWidth="1"/>
    <col min="32" max="16384" width="9" style="1"/>
  </cols>
  <sheetData>
    <row r="1" spans="1:30" ht="15" customHeight="1" x14ac:dyDescent="0.2">
      <c r="A1" s="83" t="s">
        <v>0</v>
      </c>
      <c r="B1" s="83"/>
      <c r="C1" s="83"/>
      <c r="D1" s="83"/>
      <c r="E1" s="83"/>
      <c r="F1" s="83"/>
      <c r="G1" s="83"/>
      <c r="H1" s="83"/>
    </row>
    <row r="2" spans="1:30" ht="13.5" customHeight="1" x14ac:dyDescent="0.2">
      <c r="A2" s="84"/>
      <c r="B2" s="84"/>
      <c r="C2" s="84"/>
      <c r="D2" s="84"/>
      <c r="E2" s="84"/>
      <c r="F2" s="84"/>
      <c r="G2" s="84"/>
      <c r="H2" s="84"/>
      <c r="AC2" s="1" t="s">
        <v>1299</v>
      </c>
      <c r="AD2" s="1" t="s">
        <v>1299</v>
      </c>
    </row>
    <row r="3" spans="1:30" ht="57" customHeight="1" x14ac:dyDescent="0.2">
      <c r="A3" s="2" t="s">
        <v>1</v>
      </c>
      <c r="B3" s="2" t="s">
        <v>2</v>
      </c>
      <c r="C3" s="2" t="s">
        <v>1280</v>
      </c>
      <c r="D3" s="2" t="s">
        <v>1300</v>
      </c>
      <c r="E3" s="2" t="s">
        <v>1301</v>
      </c>
      <c r="F3" s="2" t="s">
        <v>3</v>
      </c>
      <c r="G3" s="2" t="s">
        <v>4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P3" s="2" t="s">
        <v>1302</v>
      </c>
      <c r="Q3" s="2" t="s">
        <v>12</v>
      </c>
      <c r="R3" s="2" t="s">
        <v>13</v>
      </c>
      <c r="S3" s="2" t="s">
        <v>14</v>
      </c>
      <c r="T3" s="2" t="s">
        <v>15</v>
      </c>
      <c r="U3" s="2" t="s">
        <v>16</v>
      </c>
      <c r="V3" s="2" t="s">
        <v>17</v>
      </c>
      <c r="W3" s="2" t="s">
        <v>18</v>
      </c>
      <c r="X3" s="2" t="s">
        <v>19</v>
      </c>
      <c r="Y3" s="2" t="s">
        <v>20</v>
      </c>
      <c r="Z3" s="2" t="s">
        <v>21</v>
      </c>
      <c r="AA3" s="2" t="s">
        <v>22</v>
      </c>
      <c r="AB3" s="32" t="s">
        <v>1303</v>
      </c>
      <c r="AC3" s="3" t="s">
        <v>23</v>
      </c>
      <c r="AD3" s="3" t="s">
        <v>24</v>
      </c>
    </row>
    <row r="4" spans="1:30" x14ac:dyDescent="0.2">
      <c r="A4" s="4" t="s">
        <v>25</v>
      </c>
      <c r="B4" s="5" t="s">
        <v>26</v>
      </c>
      <c r="C4" s="5"/>
      <c r="D4" s="5"/>
      <c r="E4" s="5" t="s">
        <v>26</v>
      </c>
      <c r="F4" s="5" t="s">
        <v>26</v>
      </c>
      <c r="G4" s="5" t="s">
        <v>26</v>
      </c>
      <c r="H4" s="6" t="s">
        <v>27</v>
      </c>
      <c r="I4" s="7" t="s">
        <v>28</v>
      </c>
      <c r="J4" s="7" t="s">
        <v>28</v>
      </c>
      <c r="K4" s="7" t="s">
        <v>28</v>
      </c>
      <c r="L4" s="5" t="s">
        <v>26</v>
      </c>
      <c r="M4" s="5" t="s">
        <v>26</v>
      </c>
      <c r="N4" s="5" t="s">
        <v>26</v>
      </c>
      <c r="O4" s="7" t="s">
        <v>28</v>
      </c>
      <c r="P4" s="5" t="s">
        <v>29</v>
      </c>
      <c r="Q4" s="5" t="s">
        <v>29</v>
      </c>
      <c r="R4" s="7" t="s">
        <v>28</v>
      </c>
      <c r="S4" s="5" t="s">
        <v>29</v>
      </c>
      <c r="T4" s="5" t="s">
        <v>26</v>
      </c>
      <c r="U4" s="5" t="s">
        <v>26</v>
      </c>
      <c r="V4" s="5" t="s">
        <v>26</v>
      </c>
      <c r="W4" s="5" t="s">
        <v>26</v>
      </c>
      <c r="X4" s="5" t="s">
        <v>26</v>
      </c>
      <c r="Y4" s="5" t="s">
        <v>26</v>
      </c>
      <c r="Z4" s="5" t="s">
        <v>26</v>
      </c>
      <c r="AA4" s="5" t="s">
        <v>26</v>
      </c>
      <c r="AB4" s="6"/>
      <c r="AC4" s="7" t="s">
        <v>28</v>
      </c>
      <c r="AD4" s="7" t="s">
        <v>28</v>
      </c>
    </row>
    <row r="5" spans="1:30" x14ac:dyDescent="0.2">
      <c r="A5" s="4" t="s">
        <v>1304</v>
      </c>
      <c r="B5" s="5">
        <v>5</v>
      </c>
      <c r="C5" s="5">
        <v>10</v>
      </c>
      <c r="D5" s="5"/>
      <c r="E5" s="5">
        <v>4</v>
      </c>
      <c r="F5" s="5">
        <v>4</v>
      </c>
      <c r="G5" s="5">
        <v>50</v>
      </c>
      <c r="H5" s="6">
        <v>50</v>
      </c>
      <c r="I5" s="7">
        <v>50</v>
      </c>
      <c r="J5" s="7">
        <v>30</v>
      </c>
      <c r="K5" s="7">
        <v>30</v>
      </c>
      <c r="L5" s="5">
        <v>1</v>
      </c>
      <c r="M5" s="5">
        <v>8</v>
      </c>
      <c r="N5" s="5">
        <v>10</v>
      </c>
      <c r="O5" s="7">
        <v>10</v>
      </c>
      <c r="P5" s="5">
        <v>4</v>
      </c>
      <c r="Q5" s="5">
        <v>10</v>
      </c>
      <c r="R5" s="7">
        <v>24</v>
      </c>
      <c r="S5" s="5">
        <v>2</v>
      </c>
      <c r="T5" s="5">
        <v>4</v>
      </c>
      <c r="U5" s="5">
        <v>8</v>
      </c>
      <c r="V5" s="5">
        <v>8</v>
      </c>
      <c r="W5" s="5">
        <v>3</v>
      </c>
      <c r="X5" s="5">
        <v>3</v>
      </c>
      <c r="Y5" s="5">
        <v>25</v>
      </c>
      <c r="Z5" s="5">
        <v>25</v>
      </c>
      <c r="AA5" s="5">
        <v>25</v>
      </c>
      <c r="AB5" s="6"/>
      <c r="AC5" s="7"/>
      <c r="AD5" s="7"/>
    </row>
    <row r="6" spans="1:30" s="26" customFormat="1" ht="115.5" x14ac:dyDescent="0.2">
      <c r="A6" s="24"/>
      <c r="B6" s="25" t="s">
        <v>30</v>
      </c>
      <c r="C6" s="25"/>
      <c r="D6" s="25"/>
      <c r="E6" s="25" t="s">
        <v>1305</v>
      </c>
      <c r="F6" s="25" t="s">
        <v>1306</v>
      </c>
      <c r="G6" s="25" t="s">
        <v>31</v>
      </c>
      <c r="H6" s="25" t="s">
        <v>32</v>
      </c>
      <c r="I6" s="25" t="s">
        <v>1131</v>
      </c>
      <c r="J6" s="25" t="s">
        <v>33</v>
      </c>
      <c r="K6" s="25" t="s">
        <v>1132</v>
      </c>
      <c r="L6" s="24" t="s">
        <v>34</v>
      </c>
      <c r="M6" s="25" t="s">
        <v>1307</v>
      </c>
      <c r="N6" s="25" t="s">
        <v>35</v>
      </c>
      <c r="O6" s="25" t="s">
        <v>36</v>
      </c>
      <c r="P6" s="25" t="s">
        <v>1308</v>
      </c>
      <c r="Q6" s="25" t="s">
        <v>1309</v>
      </c>
      <c r="R6" s="25" t="s">
        <v>37</v>
      </c>
      <c r="S6" s="25" t="s">
        <v>1310</v>
      </c>
      <c r="T6" s="25" t="s">
        <v>1311</v>
      </c>
      <c r="U6" s="25" t="s">
        <v>38</v>
      </c>
      <c r="V6" s="25"/>
      <c r="W6" s="25" t="s">
        <v>39</v>
      </c>
      <c r="X6" s="25" t="s">
        <v>40</v>
      </c>
      <c r="Y6" s="25" t="s">
        <v>1312</v>
      </c>
      <c r="Z6" s="25" t="s">
        <v>41</v>
      </c>
      <c r="AA6" s="25" t="s">
        <v>1313</v>
      </c>
      <c r="AB6" s="33"/>
      <c r="AC6" s="25" t="s">
        <v>42</v>
      </c>
      <c r="AD6" s="25" t="s">
        <v>43</v>
      </c>
    </row>
    <row r="7" spans="1:30" s="26" customFormat="1" x14ac:dyDescent="0.2">
      <c r="A7" s="27" t="s">
        <v>44</v>
      </c>
      <c r="B7" s="27">
        <v>20000</v>
      </c>
      <c r="C7" s="27"/>
      <c r="D7" s="27"/>
      <c r="E7" s="27"/>
      <c r="F7" s="27" t="s">
        <v>45</v>
      </c>
      <c r="G7" s="27" t="s">
        <v>46</v>
      </c>
      <c r="H7" s="27">
        <v>1234567890</v>
      </c>
      <c r="I7" s="27">
        <v>12345</v>
      </c>
      <c r="J7" s="27"/>
      <c r="K7" s="27"/>
      <c r="L7" s="27" t="s">
        <v>47</v>
      </c>
      <c r="M7" s="27">
        <v>20170301</v>
      </c>
      <c r="N7" s="27"/>
      <c r="O7" s="27"/>
      <c r="P7" s="28" t="s">
        <v>1314</v>
      </c>
      <c r="Q7" s="28" t="s">
        <v>1315</v>
      </c>
      <c r="R7" s="27"/>
      <c r="S7" s="27">
        <v>1</v>
      </c>
      <c r="T7" s="27" t="s">
        <v>1316</v>
      </c>
      <c r="U7" s="27">
        <v>20170301</v>
      </c>
      <c r="V7" s="27">
        <v>20220228</v>
      </c>
      <c r="W7" s="27">
        <v>5</v>
      </c>
      <c r="X7" s="27"/>
      <c r="Y7" s="27">
        <v>12000</v>
      </c>
      <c r="Z7" s="27">
        <v>-1000</v>
      </c>
      <c r="AA7" s="27">
        <v>-600</v>
      </c>
      <c r="AB7" s="31"/>
      <c r="AC7" s="27"/>
      <c r="AD7" s="27"/>
    </row>
    <row r="8" spans="1:30" s="26" customFormat="1" x14ac:dyDescent="0.2">
      <c r="A8" s="27" t="s">
        <v>44</v>
      </c>
      <c r="B8" s="27">
        <v>20000</v>
      </c>
      <c r="C8" s="27"/>
      <c r="D8" s="27"/>
      <c r="E8" s="27"/>
      <c r="F8" s="27" t="s">
        <v>45</v>
      </c>
      <c r="G8" s="27" t="s">
        <v>46</v>
      </c>
      <c r="H8" s="27">
        <v>1234567890</v>
      </c>
      <c r="I8" s="27">
        <v>12345</v>
      </c>
      <c r="J8" s="27"/>
      <c r="K8" s="27"/>
      <c r="L8" s="27" t="s">
        <v>47</v>
      </c>
      <c r="M8" s="27">
        <v>20170301</v>
      </c>
      <c r="N8" s="27"/>
      <c r="O8" s="27"/>
      <c r="P8" s="28" t="s">
        <v>1314</v>
      </c>
      <c r="Q8" s="28" t="s">
        <v>1315</v>
      </c>
      <c r="R8" s="27"/>
      <c r="S8" s="27" t="s">
        <v>1317</v>
      </c>
      <c r="T8" s="27"/>
      <c r="U8" s="27"/>
      <c r="V8" s="27"/>
      <c r="W8" s="27"/>
      <c r="X8" s="27"/>
      <c r="Y8" s="27"/>
      <c r="Z8" s="27"/>
      <c r="AA8" s="27"/>
      <c r="AB8" s="31"/>
      <c r="AC8" s="29"/>
      <c r="AD8" s="29"/>
    </row>
    <row r="9" spans="1:30" s="26" customFormat="1" x14ac:dyDescent="0.2">
      <c r="A9" s="27" t="s">
        <v>44</v>
      </c>
      <c r="B9" s="27">
        <v>20000</v>
      </c>
      <c r="C9" s="27"/>
      <c r="D9" s="27"/>
      <c r="E9" s="27"/>
      <c r="F9" s="27" t="s">
        <v>45</v>
      </c>
      <c r="G9" s="27" t="s">
        <v>46</v>
      </c>
      <c r="H9" s="27">
        <v>1234567890</v>
      </c>
      <c r="I9" s="27">
        <v>12345</v>
      </c>
      <c r="J9" s="27"/>
      <c r="K9" s="27" t="s">
        <v>1318</v>
      </c>
      <c r="L9" s="27" t="s">
        <v>47</v>
      </c>
      <c r="M9" s="27">
        <v>20170301</v>
      </c>
      <c r="N9" s="27"/>
      <c r="O9" s="27"/>
      <c r="P9" s="28" t="s">
        <v>1314</v>
      </c>
      <c r="Q9" s="28" t="s">
        <v>1315</v>
      </c>
      <c r="R9" s="27"/>
      <c r="S9" s="27">
        <v>50</v>
      </c>
      <c r="T9" s="27" t="s">
        <v>1319</v>
      </c>
      <c r="U9" s="27">
        <v>20170401</v>
      </c>
      <c r="V9" s="27">
        <v>20220331</v>
      </c>
      <c r="W9" s="27">
        <v>5</v>
      </c>
      <c r="X9" s="27"/>
      <c r="Y9" s="27" t="s">
        <v>1320</v>
      </c>
      <c r="Z9" s="27">
        <v>-900</v>
      </c>
      <c r="AA9" s="27">
        <v>-600</v>
      </c>
      <c r="AB9" s="31"/>
    </row>
    <row r="10" spans="1:30" s="34" customFormat="1" x14ac:dyDescent="0.2">
      <c r="B10" s="35" t="s">
        <v>1321</v>
      </c>
      <c r="C10" s="36"/>
      <c r="D10" s="36"/>
      <c r="F10" s="34" t="s">
        <v>1322</v>
      </c>
      <c r="G10" s="34" t="s">
        <v>1323</v>
      </c>
      <c r="K10" s="35" t="s">
        <v>1324</v>
      </c>
      <c r="L10" s="34" t="s">
        <v>1279</v>
      </c>
      <c r="M10" s="37" t="s">
        <v>1325</v>
      </c>
      <c r="N10" s="35" t="s">
        <v>1282</v>
      </c>
      <c r="O10" s="34" t="s">
        <v>1326</v>
      </c>
      <c r="P10" s="34" t="str">
        <f>+LEFT(Q10,4)</f>
        <v>F010</v>
      </c>
      <c r="Q10" s="35" t="s">
        <v>135</v>
      </c>
      <c r="S10" s="38">
        <v>20</v>
      </c>
      <c r="T10" s="34" t="s">
        <v>302</v>
      </c>
      <c r="U10" s="39" t="s">
        <v>1325</v>
      </c>
      <c r="V10" s="39" t="s">
        <v>1327</v>
      </c>
      <c r="Y10" s="40">
        <v>33600</v>
      </c>
      <c r="AB10" s="41">
        <v>33600</v>
      </c>
    </row>
    <row r="11" spans="1:30" x14ac:dyDescent="0.2">
      <c r="B11" s="42" t="s">
        <v>1321</v>
      </c>
      <c r="C11" s="36"/>
      <c r="D11" s="36"/>
      <c r="F11" s="1" t="s">
        <v>1322</v>
      </c>
      <c r="G11" s="1" t="s">
        <v>1328</v>
      </c>
      <c r="K11" s="42" t="s">
        <v>1242</v>
      </c>
      <c r="L11" s="1" t="s">
        <v>1279</v>
      </c>
      <c r="M11" s="30" t="s">
        <v>1329</v>
      </c>
      <c r="N11" s="42" t="s">
        <v>1283</v>
      </c>
      <c r="O11" s="1" t="s">
        <v>1326</v>
      </c>
      <c r="P11" s="34" t="str">
        <f t="shared" ref="P11:P181" si="0">+LEFT(Q11,4)</f>
        <v>F010</v>
      </c>
      <c r="Q11" s="42" t="s">
        <v>137</v>
      </c>
      <c r="S11" s="16">
        <v>20</v>
      </c>
      <c r="T11" s="1" t="s">
        <v>302</v>
      </c>
      <c r="U11" s="30" t="s">
        <v>1329</v>
      </c>
      <c r="V11" s="30" t="s">
        <v>1330</v>
      </c>
      <c r="Y11" s="43">
        <v>55500</v>
      </c>
      <c r="AB11" s="44">
        <v>55500</v>
      </c>
    </row>
    <row r="12" spans="1:30" s="45" customFormat="1" x14ac:dyDescent="0.2">
      <c r="B12" s="46" t="s">
        <v>1321</v>
      </c>
      <c r="C12" s="47">
        <v>30000</v>
      </c>
      <c r="D12" s="48">
        <f>+C12/100000</f>
        <v>0.3</v>
      </c>
      <c r="E12" s="45" t="s">
        <v>1331</v>
      </c>
      <c r="F12" s="45" t="s">
        <v>1322</v>
      </c>
      <c r="G12" s="45" t="s">
        <v>1332</v>
      </c>
      <c r="K12" s="46" t="s">
        <v>1333</v>
      </c>
      <c r="L12" s="45" t="s">
        <v>1279</v>
      </c>
      <c r="M12" s="49" t="s">
        <v>1334</v>
      </c>
      <c r="N12" s="46" t="s">
        <v>1335</v>
      </c>
      <c r="O12" s="45" t="s">
        <v>1326</v>
      </c>
      <c r="P12" s="45" t="str">
        <f t="shared" si="0"/>
        <v>F010</v>
      </c>
      <c r="Q12" s="46" t="s">
        <v>1138</v>
      </c>
      <c r="S12" s="50">
        <v>20</v>
      </c>
      <c r="T12" s="45" t="s">
        <v>302</v>
      </c>
      <c r="U12" s="49" t="s">
        <v>1334</v>
      </c>
      <c r="V12" s="49" t="s">
        <v>1336</v>
      </c>
      <c r="Y12" s="51">
        <v>574533.45600000001</v>
      </c>
      <c r="Z12" s="51"/>
      <c r="AA12" s="51"/>
      <c r="AB12" s="51">
        <v>486143.69399999996</v>
      </c>
    </row>
    <row r="13" spans="1:30" s="45" customFormat="1" x14ac:dyDescent="0.2">
      <c r="B13" s="46" t="s">
        <v>1321</v>
      </c>
      <c r="C13" s="47">
        <v>70000</v>
      </c>
      <c r="D13" s="48">
        <f t="shared" ref="D13:D73" si="1">+C13/100000</f>
        <v>0.7</v>
      </c>
      <c r="E13" s="45" t="s">
        <v>1337</v>
      </c>
      <c r="F13" s="45" t="s">
        <v>1338</v>
      </c>
      <c r="G13" s="45" t="s">
        <v>1332</v>
      </c>
      <c r="K13" s="46" t="s">
        <v>1333</v>
      </c>
      <c r="L13" s="45" t="s">
        <v>1279</v>
      </c>
      <c r="M13" s="49" t="s">
        <v>1334</v>
      </c>
      <c r="N13" s="46" t="s">
        <v>1291</v>
      </c>
      <c r="O13" s="45" t="s">
        <v>1339</v>
      </c>
      <c r="P13" s="45" t="str">
        <f t="shared" si="0"/>
        <v>F010</v>
      </c>
      <c r="Q13" s="46" t="s">
        <v>1138</v>
      </c>
      <c r="S13" s="50">
        <v>20</v>
      </c>
      <c r="T13" s="45" t="s">
        <v>302</v>
      </c>
      <c r="U13" s="49" t="s">
        <v>1334</v>
      </c>
      <c r="V13" s="49" t="s">
        <v>1336</v>
      </c>
      <c r="Y13" s="51">
        <v>1340578.064</v>
      </c>
      <c r="AB13" s="51">
        <v>1134335.2859999998</v>
      </c>
    </row>
    <row r="14" spans="1:30" s="45" customFormat="1" x14ac:dyDescent="0.2">
      <c r="B14" s="46" t="s">
        <v>1321</v>
      </c>
      <c r="C14" s="47">
        <v>54310</v>
      </c>
      <c r="D14" s="48">
        <f t="shared" si="1"/>
        <v>0.54310000000000003</v>
      </c>
      <c r="E14" s="45" t="s">
        <v>1331</v>
      </c>
      <c r="F14" s="45" t="s">
        <v>1340</v>
      </c>
      <c r="G14" s="45" t="s">
        <v>1341</v>
      </c>
      <c r="K14" s="46" t="s">
        <v>1342</v>
      </c>
      <c r="L14" s="45" t="s">
        <v>1279</v>
      </c>
      <c r="M14" s="49" t="s">
        <v>1343</v>
      </c>
      <c r="N14" s="46" t="s">
        <v>1837</v>
      </c>
      <c r="O14" s="45" t="s">
        <v>1344</v>
      </c>
      <c r="P14" s="45" t="str">
        <f t="shared" si="0"/>
        <v>F010</v>
      </c>
      <c r="Q14" s="46" t="s">
        <v>129</v>
      </c>
      <c r="S14" s="50">
        <v>20</v>
      </c>
      <c r="T14" s="45" t="s">
        <v>302</v>
      </c>
      <c r="U14" s="49" t="s">
        <v>1343</v>
      </c>
      <c r="V14" s="49" t="s">
        <v>1345</v>
      </c>
      <c r="Y14" s="51">
        <v>273582.03999999998</v>
      </c>
      <c r="AB14" s="51">
        <v>273582.03999999998</v>
      </c>
    </row>
    <row r="15" spans="1:30" s="45" customFormat="1" x14ac:dyDescent="0.2">
      <c r="B15" s="46" t="s">
        <v>1321</v>
      </c>
      <c r="C15" s="47">
        <v>19010</v>
      </c>
      <c r="D15" s="48">
        <f t="shared" si="1"/>
        <v>0.19009999999999999</v>
      </c>
      <c r="E15" s="45" t="s">
        <v>1337</v>
      </c>
      <c r="F15" s="45" t="s">
        <v>1346</v>
      </c>
      <c r="G15" s="45" t="s">
        <v>1341</v>
      </c>
      <c r="K15" s="46" t="s">
        <v>1342</v>
      </c>
      <c r="L15" s="45" t="s">
        <v>1279</v>
      </c>
      <c r="M15" s="49" t="s">
        <v>1343</v>
      </c>
      <c r="N15" s="46" t="s">
        <v>1573</v>
      </c>
      <c r="O15" s="45" t="s">
        <v>1347</v>
      </c>
      <c r="P15" s="45" t="str">
        <f t="shared" si="0"/>
        <v>F010</v>
      </c>
      <c r="Q15" s="46" t="s">
        <v>129</v>
      </c>
      <c r="S15" s="50">
        <v>20</v>
      </c>
      <c r="T15" s="45" t="s">
        <v>302</v>
      </c>
      <c r="U15" s="49" t="s">
        <v>1343</v>
      </c>
      <c r="V15" s="49" t="s">
        <v>1345</v>
      </c>
      <c r="Y15" s="51">
        <v>95761.27</v>
      </c>
      <c r="AB15" s="51">
        <v>95761.27</v>
      </c>
    </row>
    <row r="16" spans="1:30" s="45" customFormat="1" x14ac:dyDescent="0.2">
      <c r="B16" s="46" t="s">
        <v>1321</v>
      </c>
      <c r="C16" s="47">
        <v>7850</v>
      </c>
      <c r="D16" s="48">
        <f t="shared" si="1"/>
        <v>7.85E-2</v>
      </c>
      <c r="E16" s="45" t="s">
        <v>1348</v>
      </c>
      <c r="F16" s="45" t="s">
        <v>1349</v>
      </c>
      <c r="G16" s="45" t="s">
        <v>1341</v>
      </c>
      <c r="K16" s="46" t="s">
        <v>1342</v>
      </c>
      <c r="L16" s="45" t="s">
        <v>1279</v>
      </c>
      <c r="M16" s="49" t="s">
        <v>1343</v>
      </c>
      <c r="N16" s="46" t="s">
        <v>3242</v>
      </c>
      <c r="O16" s="45" t="s">
        <v>1350</v>
      </c>
      <c r="P16" s="45" t="str">
        <f t="shared" si="0"/>
        <v>F010</v>
      </c>
      <c r="Q16" s="46" t="s">
        <v>129</v>
      </c>
      <c r="S16" s="50">
        <v>20</v>
      </c>
      <c r="T16" s="45" t="s">
        <v>302</v>
      </c>
      <c r="U16" s="49" t="s">
        <v>1343</v>
      </c>
      <c r="V16" s="49" t="s">
        <v>1345</v>
      </c>
      <c r="Y16" s="51">
        <v>39543.699999999997</v>
      </c>
      <c r="AB16" s="51">
        <v>39543.699999999997</v>
      </c>
    </row>
    <row r="17" spans="2:28" s="45" customFormat="1" x14ac:dyDescent="0.2">
      <c r="B17" s="46" t="s">
        <v>1321</v>
      </c>
      <c r="C17" s="47">
        <v>7530</v>
      </c>
      <c r="D17" s="48">
        <f t="shared" si="1"/>
        <v>7.5300000000000006E-2</v>
      </c>
      <c r="E17" s="45" t="s">
        <v>1351</v>
      </c>
      <c r="F17" s="45" t="s">
        <v>1340</v>
      </c>
      <c r="G17" s="45" t="s">
        <v>1341</v>
      </c>
      <c r="K17" s="46" t="s">
        <v>1342</v>
      </c>
      <c r="L17" s="45" t="s">
        <v>1279</v>
      </c>
      <c r="M17" s="49" t="s">
        <v>1343</v>
      </c>
      <c r="N17" s="46" t="s">
        <v>3092</v>
      </c>
      <c r="O17" s="45" t="s">
        <v>1344</v>
      </c>
      <c r="P17" s="45" t="str">
        <f t="shared" si="0"/>
        <v>F010</v>
      </c>
      <c r="Q17" s="46" t="s">
        <v>129</v>
      </c>
      <c r="S17" s="50">
        <v>20</v>
      </c>
      <c r="T17" s="45" t="s">
        <v>302</v>
      </c>
      <c r="U17" s="49" t="s">
        <v>1343</v>
      </c>
      <c r="V17" s="49" t="s">
        <v>1345</v>
      </c>
      <c r="Y17" s="51">
        <v>37931.74</v>
      </c>
      <c r="AB17" s="51">
        <v>37931.74</v>
      </c>
    </row>
    <row r="18" spans="2:28" s="45" customFormat="1" x14ac:dyDescent="0.2">
      <c r="B18" s="46" t="s">
        <v>1321</v>
      </c>
      <c r="C18" s="47">
        <v>7530</v>
      </c>
      <c r="D18" s="48">
        <f t="shared" si="1"/>
        <v>7.5300000000000006E-2</v>
      </c>
      <c r="E18" s="45" t="s">
        <v>1352</v>
      </c>
      <c r="F18" s="45" t="s">
        <v>1346</v>
      </c>
      <c r="G18" s="45" t="s">
        <v>1341</v>
      </c>
      <c r="K18" s="46" t="s">
        <v>1342</v>
      </c>
      <c r="L18" s="45" t="s">
        <v>1279</v>
      </c>
      <c r="M18" s="49" t="s">
        <v>1343</v>
      </c>
      <c r="N18" s="46" t="s">
        <v>6082</v>
      </c>
      <c r="O18" s="45" t="s">
        <v>1347</v>
      </c>
      <c r="P18" s="45" t="str">
        <f t="shared" si="0"/>
        <v>F010</v>
      </c>
      <c r="Q18" s="46" t="s">
        <v>129</v>
      </c>
      <c r="S18" s="50">
        <v>20</v>
      </c>
      <c r="T18" s="45" t="s">
        <v>302</v>
      </c>
      <c r="U18" s="49" t="s">
        <v>1343</v>
      </c>
      <c r="V18" s="49" t="s">
        <v>1345</v>
      </c>
      <c r="Y18" s="51">
        <v>37931.74</v>
      </c>
      <c r="AB18" s="51">
        <v>37931.74</v>
      </c>
    </row>
    <row r="19" spans="2:28" s="45" customFormat="1" x14ac:dyDescent="0.2">
      <c r="B19" s="46" t="s">
        <v>1321</v>
      </c>
      <c r="C19" s="47">
        <v>3770</v>
      </c>
      <c r="D19" s="48">
        <f t="shared" si="1"/>
        <v>3.7699999999999997E-2</v>
      </c>
      <c r="E19" s="45" t="s">
        <v>1353</v>
      </c>
      <c r="F19" s="45" t="s">
        <v>1349</v>
      </c>
      <c r="G19" s="45" t="s">
        <v>1341</v>
      </c>
      <c r="K19" s="46" t="s">
        <v>1342</v>
      </c>
      <c r="L19" s="45" t="s">
        <v>1279</v>
      </c>
      <c r="M19" s="49" t="s">
        <v>1343</v>
      </c>
      <c r="N19" s="46" t="s">
        <v>2543</v>
      </c>
      <c r="O19" s="45" t="s">
        <v>1350</v>
      </c>
      <c r="P19" s="45" t="str">
        <f t="shared" si="0"/>
        <v>F010</v>
      </c>
      <c r="Q19" s="46" t="s">
        <v>129</v>
      </c>
      <c r="S19" s="50">
        <v>20</v>
      </c>
      <c r="T19" s="45" t="s">
        <v>302</v>
      </c>
      <c r="U19" s="49" t="s">
        <v>1343</v>
      </c>
      <c r="V19" s="49" t="s">
        <v>1345</v>
      </c>
      <c r="Y19" s="51">
        <v>18991.060000000001</v>
      </c>
      <c r="AB19" s="51">
        <v>18991.060000000001</v>
      </c>
    </row>
    <row r="20" spans="2:28" s="45" customFormat="1" x14ac:dyDescent="0.2">
      <c r="B20" s="46" t="s">
        <v>1321</v>
      </c>
      <c r="C20" s="47">
        <v>33000</v>
      </c>
      <c r="D20" s="48">
        <f t="shared" si="1"/>
        <v>0.33</v>
      </c>
      <c r="E20" s="46" t="s">
        <v>1331</v>
      </c>
      <c r="F20" s="45" t="s">
        <v>1340</v>
      </c>
      <c r="G20" s="45" t="s">
        <v>1354</v>
      </c>
      <c r="K20" s="46" t="s">
        <v>1355</v>
      </c>
      <c r="L20" s="45" t="s">
        <v>1279</v>
      </c>
      <c r="M20" s="49" t="s">
        <v>1356</v>
      </c>
      <c r="N20" s="46" t="s">
        <v>2394</v>
      </c>
      <c r="O20" s="45" t="s">
        <v>1344</v>
      </c>
      <c r="P20" s="45" t="str">
        <f t="shared" si="0"/>
        <v>F010</v>
      </c>
      <c r="Q20" s="46" t="s">
        <v>129</v>
      </c>
      <c r="S20" s="50">
        <v>20</v>
      </c>
      <c r="T20" s="45" t="s">
        <v>302</v>
      </c>
      <c r="U20" s="49" t="s">
        <v>1356</v>
      </c>
      <c r="V20" s="49" t="s">
        <v>1345</v>
      </c>
      <c r="Y20" s="51">
        <v>250246.14</v>
      </c>
      <c r="AB20" s="52">
        <v>250246.14</v>
      </c>
    </row>
    <row r="21" spans="2:28" s="45" customFormat="1" x14ac:dyDescent="0.2">
      <c r="B21" s="46" t="s">
        <v>1321</v>
      </c>
      <c r="C21" s="47">
        <v>4000</v>
      </c>
      <c r="D21" s="48">
        <f t="shared" si="1"/>
        <v>0.04</v>
      </c>
      <c r="E21" s="46" t="s">
        <v>1357</v>
      </c>
      <c r="F21" s="45" t="s">
        <v>1346</v>
      </c>
      <c r="G21" s="45" t="s">
        <v>1354</v>
      </c>
      <c r="K21" s="46" t="s">
        <v>1355</v>
      </c>
      <c r="L21" s="45" t="s">
        <v>1279</v>
      </c>
      <c r="M21" s="49" t="s">
        <v>1356</v>
      </c>
      <c r="N21" s="46" t="s">
        <v>5175</v>
      </c>
      <c r="O21" s="45" t="s">
        <v>1347</v>
      </c>
      <c r="P21" s="45" t="str">
        <f t="shared" si="0"/>
        <v>F010</v>
      </c>
      <c r="Q21" s="46" t="s">
        <v>129</v>
      </c>
      <c r="S21" s="50">
        <v>20</v>
      </c>
      <c r="T21" s="45" t="s">
        <v>302</v>
      </c>
      <c r="U21" s="49" t="s">
        <v>1356</v>
      </c>
      <c r="V21" s="49" t="s">
        <v>1345</v>
      </c>
      <c r="Y21" s="51">
        <v>30332.87</v>
      </c>
      <c r="AB21" s="52">
        <v>30332.87</v>
      </c>
    </row>
    <row r="22" spans="2:28" s="45" customFormat="1" x14ac:dyDescent="0.2">
      <c r="B22" s="46" t="s">
        <v>1321</v>
      </c>
      <c r="C22" s="47">
        <v>18000</v>
      </c>
      <c r="D22" s="48">
        <f t="shared" si="1"/>
        <v>0.18</v>
      </c>
      <c r="E22" s="46" t="s">
        <v>1358</v>
      </c>
      <c r="F22" s="45" t="s">
        <v>1359</v>
      </c>
      <c r="G22" s="45" t="s">
        <v>1354</v>
      </c>
      <c r="K22" s="46" t="s">
        <v>1355</v>
      </c>
      <c r="L22" s="45" t="s">
        <v>1279</v>
      </c>
      <c r="M22" s="49" t="s">
        <v>1356</v>
      </c>
      <c r="N22" s="46" t="s">
        <v>3317</v>
      </c>
      <c r="O22" s="45" t="s">
        <v>1360</v>
      </c>
      <c r="P22" s="45" t="str">
        <f t="shared" si="0"/>
        <v>F010</v>
      </c>
      <c r="Q22" s="46" t="s">
        <v>129</v>
      </c>
      <c r="S22" s="50">
        <v>20</v>
      </c>
      <c r="T22" s="45" t="s">
        <v>302</v>
      </c>
      <c r="U22" s="49" t="s">
        <v>1356</v>
      </c>
      <c r="V22" s="49" t="s">
        <v>1345</v>
      </c>
      <c r="Y22" s="51">
        <v>136497.9</v>
      </c>
      <c r="AB22" s="52">
        <v>136497.9</v>
      </c>
    </row>
    <row r="23" spans="2:28" s="45" customFormat="1" x14ac:dyDescent="0.2">
      <c r="B23" s="46" t="s">
        <v>1321</v>
      </c>
      <c r="C23" s="47">
        <v>1000</v>
      </c>
      <c r="D23" s="48">
        <f t="shared" si="1"/>
        <v>0.01</v>
      </c>
      <c r="E23" s="46" t="s">
        <v>1361</v>
      </c>
      <c r="F23" s="45" t="s">
        <v>1340</v>
      </c>
      <c r="G23" s="45" t="s">
        <v>1354</v>
      </c>
      <c r="K23" s="46" t="s">
        <v>1355</v>
      </c>
      <c r="L23" s="45" t="s">
        <v>1279</v>
      </c>
      <c r="M23" s="49" t="s">
        <v>1356</v>
      </c>
      <c r="N23" s="46" t="s">
        <v>2400</v>
      </c>
      <c r="O23" s="45" t="s">
        <v>1344</v>
      </c>
      <c r="P23" s="45" t="str">
        <f t="shared" si="0"/>
        <v>F010</v>
      </c>
      <c r="Q23" s="46" t="s">
        <v>129</v>
      </c>
      <c r="S23" s="50">
        <v>20</v>
      </c>
      <c r="T23" s="45" t="s">
        <v>302</v>
      </c>
      <c r="U23" s="49" t="s">
        <v>1356</v>
      </c>
      <c r="V23" s="49" t="s">
        <v>1345</v>
      </c>
      <c r="Y23" s="51">
        <v>7583.22</v>
      </c>
      <c r="AB23" s="52">
        <v>7583.22</v>
      </c>
    </row>
    <row r="24" spans="2:28" s="45" customFormat="1" x14ac:dyDescent="0.2">
      <c r="B24" s="46" t="s">
        <v>1321</v>
      </c>
      <c r="C24" s="47">
        <v>3000</v>
      </c>
      <c r="D24" s="48">
        <f t="shared" si="1"/>
        <v>0.03</v>
      </c>
      <c r="E24" s="46" t="s">
        <v>1362</v>
      </c>
      <c r="F24" s="45" t="s">
        <v>1346</v>
      </c>
      <c r="G24" s="45" t="s">
        <v>1354</v>
      </c>
      <c r="K24" s="46" t="s">
        <v>1355</v>
      </c>
      <c r="L24" s="45" t="s">
        <v>1279</v>
      </c>
      <c r="M24" s="49" t="s">
        <v>1356</v>
      </c>
      <c r="N24" s="46" t="s">
        <v>2394</v>
      </c>
      <c r="O24" s="45" t="s">
        <v>1347</v>
      </c>
      <c r="P24" s="45" t="str">
        <f t="shared" si="0"/>
        <v>F010</v>
      </c>
      <c r="Q24" s="46" t="s">
        <v>129</v>
      </c>
      <c r="S24" s="50">
        <v>20</v>
      </c>
      <c r="T24" s="45" t="s">
        <v>302</v>
      </c>
      <c r="U24" s="49" t="s">
        <v>1356</v>
      </c>
      <c r="V24" s="49" t="s">
        <v>1345</v>
      </c>
      <c r="Y24" s="51">
        <v>22749.65</v>
      </c>
      <c r="AB24" s="52">
        <v>22749.65</v>
      </c>
    </row>
    <row r="25" spans="2:28" s="45" customFormat="1" x14ac:dyDescent="0.2">
      <c r="B25" s="46" t="s">
        <v>1321</v>
      </c>
      <c r="C25" s="47">
        <v>3000</v>
      </c>
      <c r="D25" s="48">
        <f t="shared" si="1"/>
        <v>0.03</v>
      </c>
      <c r="E25" s="46" t="s">
        <v>1363</v>
      </c>
      <c r="F25" s="45" t="s">
        <v>1359</v>
      </c>
      <c r="G25" s="45" t="s">
        <v>1354</v>
      </c>
      <c r="K25" s="46" t="s">
        <v>1355</v>
      </c>
      <c r="L25" s="45" t="s">
        <v>1279</v>
      </c>
      <c r="M25" s="49" t="s">
        <v>1356</v>
      </c>
      <c r="N25" s="46" t="s">
        <v>6082</v>
      </c>
      <c r="O25" s="45" t="s">
        <v>1360</v>
      </c>
      <c r="P25" s="45" t="str">
        <f t="shared" si="0"/>
        <v>F010</v>
      </c>
      <c r="Q25" s="46" t="s">
        <v>129</v>
      </c>
      <c r="S25" s="50">
        <v>20</v>
      </c>
      <c r="T25" s="45" t="s">
        <v>302</v>
      </c>
      <c r="U25" s="49" t="s">
        <v>1356</v>
      </c>
      <c r="V25" s="49" t="s">
        <v>1345</v>
      </c>
      <c r="Y25" s="51">
        <v>22749.65</v>
      </c>
      <c r="AB25" s="52">
        <v>22749.65</v>
      </c>
    </row>
    <row r="26" spans="2:28" s="45" customFormat="1" x14ac:dyDescent="0.2">
      <c r="B26" s="46" t="s">
        <v>1321</v>
      </c>
      <c r="C26" s="47">
        <v>2000</v>
      </c>
      <c r="D26" s="48">
        <f t="shared" si="1"/>
        <v>0.02</v>
      </c>
      <c r="E26" s="46" t="s">
        <v>1364</v>
      </c>
      <c r="F26" s="45" t="s">
        <v>1340</v>
      </c>
      <c r="G26" s="45" t="s">
        <v>1354</v>
      </c>
      <c r="K26" s="46" t="s">
        <v>1355</v>
      </c>
      <c r="L26" s="45" t="s">
        <v>1279</v>
      </c>
      <c r="M26" s="49" t="s">
        <v>1356</v>
      </c>
      <c r="N26" s="46" t="s">
        <v>3092</v>
      </c>
      <c r="O26" s="45" t="s">
        <v>1344</v>
      </c>
      <c r="P26" s="45" t="str">
        <f t="shared" si="0"/>
        <v>F010</v>
      </c>
      <c r="Q26" s="46" t="s">
        <v>129</v>
      </c>
      <c r="S26" s="50">
        <v>20</v>
      </c>
      <c r="T26" s="45" t="s">
        <v>302</v>
      </c>
      <c r="U26" s="49" t="s">
        <v>1356</v>
      </c>
      <c r="V26" s="49" t="s">
        <v>1345</v>
      </c>
      <c r="Y26" s="51">
        <v>15166.43</v>
      </c>
      <c r="AB26" s="52">
        <v>15166.43</v>
      </c>
    </row>
    <row r="27" spans="2:28" s="45" customFormat="1" x14ac:dyDescent="0.2">
      <c r="B27" s="46" t="s">
        <v>1321</v>
      </c>
      <c r="C27" s="47">
        <v>2000</v>
      </c>
      <c r="D27" s="48">
        <f t="shared" si="1"/>
        <v>0.02</v>
      </c>
      <c r="E27" s="46" t="s">
        <v>1365</v>
      </c>
      <c r="F27" s="45" t="s">
        <v>1346</v>
      </c>
      <c r="G27" s="45" t="s">
        <v>1354</v>
      </c>
      <c r="K27" s="46" t="s">
        <v>1355</v>
      </c>
      <c r="L27" s="45" t="s">
        <v>1279</v>
      </c>
      <c r="M27" s="49" t="s">
        <v>1356</v>
      </c>
      <c r="N27" s="46" t="s">
        <v>6083</v>
      </c>
      <c r="O27" s="45" t="s">
        <v>1347</v>
      </c>
      <c r="P27" s="45" t="str">
        <f t="shared" si="0"/>
        <v>F010</v>
      </c>
      <c r="Q27" s="46" t="s">
        <v>129</v>
      </c>
      <c r="S27" s="50">
        <v>20</v>
      </c>
      <c r="T27" s="45" t="s">
        <v>302</v>
      </c>
      <c r="U27" s="49" t="s">
        <v>1356</v>
      </c>
      <c r="V27" s="49" t="s">
        <v>1345</v>
      </c>
      <c r="Y27" s="51">
        <v>15166.43</v>
      </c>
      <c r="AB27" s="52">
        <v>15166.43</v>
      </c>
    </row>
    <row r="28" spans="2:28" s="45" customFormat="1" x14ac:dyDescent="0.2">
      <c r="B28" s="46" t="s">
        <v>1321</v>
      </c>
      <c r="C28" s="47">
        <v>4000</v>
      </c>
      <c r="D28" s="48">
        <f t="shared" si="1"/>
        <v>0.04</v>
      </c>
      <c r="E28" s="46" t="s">
        <v>1366</v>
      </c>
      <c r="F28" s="45" t="s">
        <v>1359</v>
      </c>
      <c r="G28" s="45" t="s">
        <v>1354</v>
      </c>
      <c r="K28" s="46" t="s">
        <v>1355</v>
      </c>
      <c r="L28" s="45" t="s">
        <v>1279</v>
      </c>
      <c r="M28" s="49" t="s">
        <v>1356</v>
      </c>
      <c r="N28" s="46" t="s">
        <v>1687</v>
      </c>
      <c r="O28" s="45" t="s">
        <v>1360</v>
      </c>
      <c r="P28" s="45" t="str">
        <f t="shared" si="0"/>
        <v>F010</v>
      </c>
      <c r="Q28" s="46" t="s">
        <v>129</v>
      </c>
      <c r="S28" s="50">
        <v>20</v>
      </c>
      <c r="T28" s="45" t="s">
        <v>302</v>
      </c>
      <c r="U28" s="49" t="s">
        <v>1356</v>
      </c>
      <c r="V28" s="49" t="s">
        <v>1345</v>
      </c>
      <c r="Y28" s="51">
        <v>30332.87</v>
      </c>
      <c r="AB28" s="52">
        <v>30332.87</v>
      </c>
    </row>
    <row r="29" spans="2:28" s="45" customFormat="1" x14ac:dyDescent="0.2">
      <c r="B29" s="46" t="s">
        <v>1321</v>
      </c>
      <c r="C29" s="47">
        <v>1000</v>
      </c>
      <c r="D29" s="48">
        <f t="shared" si="1"/>
        <v>0.01</v>
      </c>
      <c r="E29" s="46" t="s">
        <v>1337</v>
      </c>
      <c r="F29" s="45" t="s">
        <v>1340</v>
      </c>
      <c r="G29" s="45" t="s">
        <v>1354</v>
      </c>
      <c r="K29" s="46" t="s">
        <v>1355</v>
      </c>
      <c r="L29" s="45" t="s">
        <v>1279</v>
      </c>
      <c r="M29" s="49" t="s">
        <v>1356</v>
      </c>
      <c r="N29" s="46" t="s">
        <v>2543</v>
      </c>
      <c r="O29" s="45" t="s">
        <v>1344</v>
      </c>
      <c r="P29" s="45" t="str">
        <f t="shared" si="0"/>
        <v>F010</v>
      </c>
      <c r="Q29" s="46" t="s">
        <v>129</v>
      </c>
      <c r="S29" s="50">
        <v>20</v>
      </c>
      <c r="T29" s="45" t="s">
        <v>302</v>
      </c>
      <c r="U29" s="49" t="s">
        <v>1356</v>
      </c>
      <c r="V29" s="49" t="s">
        <v>1345</v>
      </c>
      <c r="Y29" s="51">
        <v>7583.22</v>
      </c>
      <c r="AB29" s="52">
        <v>7583.22</v>
      </c>
    </row>
    <row r="30" spans="2:28" s="45" customFormat="1" x14ac:dyDescent="0.2">
      <c r="B30" s="46" t="s">
        <v>1321</v>
      </c>
      <c r="C30" s="47">
        <v>4000</v>
      </c>
      <c r="D30" s="48">
        <f t="shared" si="1"/>
        <v>0.04</v>
      </c>
      <c r="E30" s="46" t="s">
        <v>1348</v>
      </c>
      <c r="F30" s="45" t="s">
        <v>1346</v>
      </c>
      <c r="G30" s="45" t="s">
        <v>1354</v>
      </c>
      <c r="K30" s="46" t="s">
        <v>1355</v>
      </c>
      <c r="L30" s="45" t="s">
        <v>1279</v>
      </c>
      <c r="M30" s="49" t="s">
        <v>1356</v>
      </c>
      <c r="N30" s="46" t="s">
        <v>1573</v>
      </c>
      <c r="O30" s="45" t="s">
        <v>1347</v>
      </c>
      <c r="P30" s="45" t="str">
        <f t="shared" si="0"/>
        <v>F010</v>
      </c>
      <c r="Q30" s="46" t="s">
        <v>129</v>
      </c>
      <c r="S30" s="50">
        <v>20</v>
      </c>
      <c r="T30" s="45" t="s">
        <v>302</v>
      </c>
      <c r="U30" s="49" t="s">
        <v>1356</v>
      </c>
      <c r="V30" s="49" t="s">
        <v>1345</v>
      </c>
      <c r="Y30" s="51">
        <v>30332.87</v>
      </c>
      <c r="AB30" s="52">
        <v>30332.87</v>
      </c>
    </row>
    <row r="31" spans="2:28" s="45" customFormat="1" x14ac:dyDescent="0.2">
      <c r="B31" s="46" t="s">
        <v>1321</v>
      </c>
      <c r="C31" s="47">
        <v>2000</v>
      </c>
      <c r="D31" s="48">
        <f t="shared" si="1"/>
        <v>0.02</v>
      </c>
      <c r="E31" s="46" t="s">
        <v>1351</v>
      </c>
      <c r="F31" s="45" t="s">
        <v>1359</v>
      </c>
      <c r="G31" s="45" t="s">
        <v>1354</v>
      </c>
      <c r="K31" s="46" t="s">
        <v>1355</v>
      </c>
      <c r="L31" s="45" t="s">
        <v>1279</v>
      </c>
      <c r="M31" s="49" t="s">
        <v>1356</v>
      </c>
      <c r="N31" s="46" t="s">
        <v>3242</v>
      </c>
      <c r="O31" s="45" t="s">
        <v>1360</v>
      </c>
      <c r="P31" s="45" t="str">
        <f t="shared" si="0"/>
        <v>F010</v>
      </c>
      <c r="Q31" s="46" t="s">
        <v>129</v>
      </c>
      <c r="S31" s="50">
        <v>20</v>
      </c>
      <c r="T31" s="45" t="s">
        <v>302</v>
      </c>
      <c r="U31" s="49" t="s">
        <v>1356</v>
      </c>
      <c r="V31" s="49" t="s">
        <v>1345</v>
      </c>
      <c r="Y31" s="51">
        <v>15166.43</v>
      </c>
      <c r="AB31" s="52">
        <v>15166.43</v>
      </c>
    </row>
    <row r="32" spans="2:28" s="45" customFormat="1" x14ac:dyDescent="0.2">
      <c r="B32" s="46" t="s">
        <v>1321</v>
      </c>
      <c r="C32" s="47">
        <v>13000</v>
      </c>
      <c r="D32" s="48">
        <f t="shared" si="1"/>
        <v>0.13</v>
      </c>
      <c r="E32" s="46" t="s">
        <v>1352</v>
      </c>
      <c r="F32" s="45" t="s">
        <v>1340</v>
      </c>
      <c r="G32" s="45" t="s">
        <v>1354</v>
      </c>
      <c r="K32" s="46" t="s">
        <v>1355</v>
      </c>
      <c r="L32" s="45" t="s">
        <v>1279</v>
      </c>
      <c r="M32" s="49" t="s">
        <v>1356</v>
      </c>
      <c r="N32" s="46" t="s">
        <v>1837</v>
      </c>
      <c r="O32" s="45" t="s">
        <v>1344</v>
      </c>
      <c r="P32" s="45" t="str">
        <f t="shared" si="0"/>
        <v>F010</v>
      </c>
      <c r="Q32" s="46" t="s">
        <v>129</v>
      </c>
      <c r="S32" s="50">
        <v>20</v>
      </c>
      <c r="T32" s="45" t="s">
        <v>302</v>
      </c>
      <c r="U32" s="49" t="s">
        <v>1356</v>
      </c>
      <c r="V32" s="49" t="s">
        <v>1345</v>
      </c>
      <c r="Y32" s="51">
        <v>98581.82</v>
      </c>
      <c r="AB32" s="52">
        <v>98581.82</v>
      </c>
    </row>
    <row r="33" spans="2:28" s="45" customFormat="1" x14ac:dyDescent="0.2">
      <c r="B33" s="46" t="s">
        <v>1321</v>
      </c>
      <c r="C33" s="47">
        <v>2000</v>
      </c>
      <c r="D33" s="48">
        <f t="shared" si="1"/>
        <v>0.02</v>
      </c>
      <c r="E33" s="46" t="s">
        <v>1353</v>
      </c>
      <c r="F33" s="45" t="s">
        <v>1346</v>
      </c>
      <c r="G33" s="45" t="s">
        <v>1354</v>
      </c>
      <c r="K33" s="46" t="s">
        <v>1355</v>
      </c>
      <c r="L33" s="45" t="s">
        <v>1279</v>
      </c>
      <c r="M33" s="49" t="s">
        <v>1356</v>
      </c>
      <c r="N33" s="46" t="s">
        <v>3222</v>
      </c>
      <c r="O33" s="45" t="s">
        <v>1347</v>
      </c>
      <c r="P33" s="45" t="str">
        <f t="shared" si="0"/>
        <v>F010</v>
      </c>
      <c r="Q33" s="46" t="s">
        <v>129</v>
      </c>
      <c r="S33" s="50">
        <v>20</v>
      </c>
      <c r="T33" s="45" t="s">
        <v>302</v>
      </c>
      <c r="U33" s="49" t="s">
        <v>1356</v>
      </c>
      <c r="V33" s="49" t="s">
        <v>1345</v>
      </c>
      <c r="Y33" s="51">
        <v>15166.43</v>
      </c>
      <c r="AB33" s="52">
        <v>15166.43</v>
      </c>
    </row>
    <row r="34" spans="2:28" s="45" customFormat="1" x14ac:dyDescent="0.2">
      <c r="B34" s="46" t="s">
        <v>1321</v>
      </c>
      <c r="C34" s="47">
        <v>3000</v>
      </c>
      <c r="D34" s="48">
        <f t="shared" si="1"/>
        <v>0.03</v>
      </c>
      <c r="E34" s="46" t="s">
        <v>1367</v>
      </c>
      <c r="F34" s="45" t="s">
        <v>1359</v>
      </c>
      <c r="G34" s="45" t="s">
        <v>1354</v>
      </c>
      <c r="K34" s="46" t="s">
        <v>1355</v>
      </c>
      <c r="L34" s="45" t="s">
        <v>1279</v>
      </c>
      <c r="M34" s="49" t="s">
        <v>1356</v>
      </c>
      <c r="N34" s="46" t="s">
        <v>1833</v>
      </c>
      <c r="O34" s="45" t="s">
        <v>1360</v>
      </c>
      <c r="P34" s="45" t="str">
        <f t="shared" si="0"/>
        <v>F010</v>
      </c>
      <c r="Q34" s="46" t="s">
        <v>129</v>
      </c>
      <c r="S34" s="50">
        <v>20</v>
      </c>
      <c r="T34" s="45" t="s">
        <v>302</v>
      </c>
      <c r="U34" s="49" t="s">
        <v>1356</v>
      </c>
      <c r="V34" s="49" t="s">
        <v>1345</v>
      </c>
      <c r="Y34" s="51">
        <v>22749.65</v>
      </c>
      <c r="AB34" s="52">
        <v>22749.65</v>
      </c>
    </row>
    <row r="35" spans="2:28" s="45" customFormat="1" x14ac:dyDescent="0.2">
      <c r="B35" s="46" t="s">
        <v>1321</v>
      </c>
      <c r="C35" s="47">
        <v>2000</v>
      </c>
      <c r="D35" s="48">
        <f t="shared" si="1"/>
        <v>0.02</v>
      </c>
      <c r="E35" s="46" t="s">
        <v>1368</v>
      </c>
      <c r="F35" s="45" t="s">
        <v>1340</v>
      </c>
      <c r="G35" s="45" t="s">
        <v>1354</v>
      </c>
      <c r="K35" s="46" t="s">
        <v>1355</v>
      </c>
      <c r="L35" s="45" t="s">
        <v>1279</v>
      </c>
      <c r="M35" s="49" t="s">
        <v>1356</v>
      </c>
      <c r="N35" s="46" t="s">
        <v>6084</v>
      </c>
      <c r="O35" s="45" t="s">
        <v>1344</v>
      </c>
      <c r="P35" s="45" t="str">
        <f t="shared" si="0"/>
        <v>F010</v>
      </c>
      <c r="Q35" s="46" t="s">
        <v>129</v>
      </c>
      <c r="S35" s="50">
        <v>20</v>
      </c>
      <c r="T35" s="45" t="s">
        <v>302</v>
      </c>
      <c r="U35" s="49" t="s">
        <v>1356</v>
      </c>
      <c r="V35" s="49" t="s">
        <v>1345</v>
      </c>
      <c r="Y35" s="51">
        <v>15166.43</v>
      </c>
      <c r="AB35" s="52">
        <v>15166.43</v>
      </c>
    </row>
    <row r="36" spans="2:28" s="45" customFormat="1" x14ac:dyDescent="0.2">
      <c r="B36" s="46" t="s">
        <v>1321</v>
      </c>
      <c r="C36" s="47">
        <v>3000</v>
      </c>
      <c r="D36" s="48">
        <f t="shared" si="1"/>
        <v>0.03</v>
      </c>
      <c r="E36" s="46" t="s">
        <v>1369</v>
      </c>
      <c r="F36" s="45" t="s">
        <v>1346</v>
      </c>
      <c r="G36" s="45" t="s">
        <v>1354</v>
      </c>
      <c r="K36" s="46" t="s">
        <v>1355</v>
      </c>
      <c r="L36" s="45" t="s">
        <v>1279</v>
      </c>
      <c r="M36" s="49" t="s">
        <v>1356</v>
      </c>
      <c r="N36" s="46" t="s">
        <v>3226</v>
      </c>
      <c r="O36" s="45" t="s">
        <v>1347</v>
      </c>
      <c r="P36" s="45" t="str">
        <f t="shared" si="0"/>
        <v>F010</v>
      </c>
      <c r="Q36" s="46" t="s">
        <v>129</v>
      </c>
      <c r="S36" s="50">
        <v>20</v>
      </c>
      <c r="T36" s="45" t="s">
        <v>302</v>
      </c>
      <c r="U36" s="49" t="s">
        <v>1356</v>
      </c>
      <c r="V36" s="49" t="s">
        <v>1345</v>
      </c>
      <c r="Y36" s="51">
        <v>22749.65</v>
      </c>
      <c r="AB36" s="52">
        <v>22749.65</v>
      </c>
    </row>
    <row r="37" spans="2:28" x14ac:dyDescent="0.2">
      <c r="B37" s="42" t="s">
        <v>1321</v>
      </c>
      <c r="C37" s="36"/>
      <c r="D37" s="36"/>
      <c r="F37" s="1" t="s">
        <v>1359</v>
      </c>
      <c r="G37" s="1" t="s">
        <v>1370</v>
      </c>
      <c r="K37" s="42" t="s">
        <v>1243</v>
      </c>
      <c r="L37" s="1" t="s">
        <v>1279</v>
      </c>
      <c r="M37" s="30" t="s">
        <v>1371</v>
      </c>
      <c r="N37" s="42" t="s">
        <v>1284</v>
      </c>
      <c r="O37" s="1" t="s">
        <v>1360</v>
      </c>
      <c r="P37" s="34" t="str">
        <f t="shared" si="0"/>
        <v>F010</v>
      </c>
      <c r="Q37" s="42" t="s">
        <v>127</v>
      </c>
      <c r="S37" s="16">
        <v>20</v>
      </c>
      <c r="T37" s="1" t="s">
        <v>302</v>
      </c>
      <c r="U37" s="30" t="s">
        <v>1371</v>
      </c>
      <c r="V37" s="30" t="s">
        <v>1372</v>
      </c>
      <c r="Y37" s="43">
        <v>153047</v>
      </c>
      <c r="AB37" s="44">
        <v>153047</v>
      </c>
    </row>
    <row r="38" spans="2:28" s="45" customFormat="1" x14ac:dyDescent="0.2">
      <c r="B38" s="46" t="s">
        <v>1321</v>
      </c>
      <c r="C38" s="46">
        <v>10610</v>
      </c>
      <c r="D38" s="48">
        <f t="shared" si="1"/>
        <v>0.1061</v>
      </c>
      <c r="E38" s="46" t="s">
        <v>1331</v>
      </c>
      <c r="F38" s="45" t="s">
        <v>1340</v>
      </c>
      <c r="G38" s="45" t="s">
        <v>1373</v>
      </c>
      <c r="K38" s="46" t="s">
        <v>1374</v>
      </c>
      <c r="L38" s="45" t="s">
        <v>1279</v>
      </c>
      <c r="M38" s="49" t="s">
        <v>1375</v>
      </c>
      <c r="N38" s="46" t="s">
        <v>1708</v>
      </c>
      <c r="O38" s="45" t="s">
        <v>1344</v>
      </c>
      <c r="P38" s="45" t="str">
        <f t="shared" si="0"/>
        <v>F010</v>
      </c>
      <c r="Q38" s="46" t="s">
        <v>1376</v>
      </c>
      <c r="S38" s="50">
        <v>20</v>
      </c>
      <c r="T38" s="45" t="s">
        <v>302</v>
      </c>
      <c r="U38" s="49" t="s">
        <v>1375</v>
      </c>
      <c r="V38" s="49" t="s">
        <v>1377</v>
      </c>
      <c r="Y38" s="51">
        <v>880031.31</v>
      </c>
      <c r="AB38" s="52">
        <v>733359.47</v>
      </c>
    </row>
    <row r="39" spans="2:28" s="45" customFormat="1" x14ac:dyDescent="0.2">
      <c r="B39" s="46" t="s">
        <v>1321</v>
      </c>
      <c r="C39" s="46">
        <v>1140</v>
      </c>
      <c r="D39" s="48">
        <f t="shared" si="1"/>
        <v>1.14E-2</v>
      </c>
      <c r="E39" s="46" t="s">
        <v>1357</v>
      </c>
      <c r="F39" s="45" t="s">
        <v>1346</v>
      </c>
      <c r="G39" s="45" t="s">
        <v>1373</v>
      </c>
      <c r="K39" s="46" t="s">
        <v>1374</v>
      </c>
      <c r="L39" s="45" t="s">
        <v>1279</v>
      </c>
      <c r="M39" s="49" t="s">
        <v>1375</v>
      </c>
      <c r="N39" s="46" t="s">
        <v>1788</v>
      </c>
      <c r="O39" s="45" t="s">
        <v>1347</v>
      </c>
      <c r="P39" s="45" t="str">
        <f t="shared" si="0"/>
        <v>F010</v>
      </c>
      <c r="Q39" s="46" t="s">
        <v>1378</v>
      </c>
      <c r="S39" s="50">
        <v>20</v>
      </c>
      <c r="T39" s="45" t="s">
        <v>302</v>
      </c>
      <c r="U39" s="49" t="s">
        <v>1375</v>
      </c>
      <c r="V39" s="49" t="s">
        <v>1377</v>
      </c>
      <c r="Y39" s="51">
        <v>94555.68</v>
      </c>
      <c r="AB39" s="52">
        <v>78796.399999999994</v>
      </c>
    </row>
    <row r="40" spans="2:28" s="45" customFormat="1" x14ac:dyDescent="0.2">
      <c r="B40" s="46" t="s">
        <v>1321</v>
      </c>
      <c r="C40" s="46">
        <v>1520</v>
      </c>
      <c r="D40" s="48">
        <f t="shared" si="1"/>
        <v>1.52E-2</v>
      </c>
      <c r="E40" s="46" t="s">
        <v>1358</v>
      </c>
      <c r="F40" s="45" t="s">
        <v>1359</v>
      </c>
      <c r="G40" s="45" t="s">
        <v>1373</v>
      </c>
      <c r="K40" s="46" t="s">
        <v>1374</v>
      </c>
      <c r="L40" s="45" t="s">
        <v>1279</v>
      </c>
      <c r="M40" s="49" t="s">
        <v>1375</v>
      </c>
      <c r="N40" s="46" t="s">
        <v>1605</v>
      </c>
      <c r="O40" s="45" t="s">
        <v>1360</v>
      </c>
      <c r="P40" s="45" t="str">
        <f t="shared" si="0"/>
        <v>F010</v>
      </c>
      <c r="Q40" s="46" t="s">
        <v>1379</v>
      </c>
      <c r="S40" s="50">
        <v>20</v>
      </c>
      <c r="T40" s="45" t="s">
        <v>302</v>
      </c>
      <c r="U40" s="49" t="s">
        <v>1375</v>
      </c>
      <c r="V40" s="49" t="s">
        <v>1377</v>
      </c>
      <c r="Y40" s="51">
        <v>126074.24000000001</v>
      </c>
      <c r="AB40" s="52">
        <v>105061.86</v>
      </c>
    </row>
    <row r="41" spans="2:28" s="45" customFormat="1" x14ac:dyDescent="0.2">
      <c r="B41" s="46" t="s">
        <v>1321</v>
      </c>
      <c r="C41" s="46">
        <v>380</v>
      </c>
      <c r="D41" s="48">
        <f t="shared" si="1"/>
        <v>3.8E-3</v>
      </c>
      <c r="E41" s="46" t="s">
        <v>1361</v>
      </c>
      <c r="F41" s="45" t="s">
        <v>1340</v>
      </c>
      <c r="G41" s="45" t="s">
        <v>1373</v>
      </c>
      <c r="K41" s="46" t="s">
        <v>1374</v>
      </c>
      <c r="L41" s="45" t="s">
        <v>1279</v>
      </c>
      <c r="M41" s="49" t="s">
        <v>1375</v>
      </c>
      <c r="N41" s="46" t="s">
        <v>1534</v>
      </c>
      <c r="O41" s="45" t="s">
        <v>1344</v>
      </c>
      <c r="P41" s="45" t="str">
        <f t="shared" si="0"/>
        <v>F010</v>
      </c>
      <c r="Q41" s="46" t="s">
        <v>1376</v>
      </c>
      <c r="S41" s="50">
        <v>20</v>
      </c>
      <c r="T41" s="45" t="s">
        <v>302</v>
      </c>
      <c r="U41" s="49" t="s">
        <v>1375</v>
      </c>
      <c r="V41" s="49" t="s">
        <v>1377</v>
      </c>
      <c r="Y41" s="51">
        <v>31518.560000000001</v>
      </c>
      <c r="AB41" s="52">
        <v>26265.47</v>
      </c>
    </row>
    <row r="42" spans="2:28" s="45" customFormat="1" x14ac:dyDescent="0.2">
      <c r="B42" s="46" t="s">
        <v>1321</v>
      </c>
      <c r="C42" s="46">
        <v>6440</v>
      </c>
      <c r="D42" s="48">
        <f t="shared" si="1"/>
        <v>6.4399999999999999E-2</v>
      </c>
      <c r="E42" s="46" t="s">
        <v>1362</v>
      </c>
      <c r="F42" s="45" t="s">
        <v>1346</v>
      </c>
      <c r="G42" s="45" t="s">
        <v>1373</v>
      </c>
      <c r="K42" s="46" t="s">
        <v>1374</v>
      </c>
      <c r="L42" s="45" t="s">
        <v>1279</v>
      </c>
      <c r="M42" s="49" t="s">
        <v>1375</v>
      </c>
      <c r="N42" s="46" t="s">
        <v>1605</v>
      </c>
      <c r="O42" s="45" t="s">
        <v>1347</v>
      </c>
      <c r="P42" s="45" t="str">
        <f t="shared" si="0"/>
        <v>F010</v>
      </c>
      <c r="Q42" s="46" t="s">
        <v>1380</v>
      </c>
      <c r="S42" s="50">
        <v>20</v>
      </c>
      <c r="T42" s="45" t="s">
        <v>302</v>
      </c>
      <c r="U42" s="49" t="s">
        <v>1375</v>
      </c>
      <c r="V42" s="49" t="s">
        <v>1377</v>
      </c>
      <c r="Y42" s="51">
        <v>534156.64</v>
      </c>
      <c r="AB42" s="52">
        <v>445130.53</v>
      </c>
    </row>
    <row r="43" spans="2:28" s="45" customFormat="1" x14ac:dyDescent="0.2">
      <c r="B43" s="46" t="s">
        <v>1321</v>
      </c>
      <c r="C43" s="46">
        <v>6820</v>
      </c>
      <c r="D43" s="48">
        <f t="shared" si="1"/>
        <v>6.8199999999999997E-2</v>
      </c>
      <c r="E43" s="46" t="s">
        <v>1363</v>
      </c>
      <c r="F43" s="45" t="s">
        <v>1381</v>
      </c>
      <c r="G43" s="45" t="s">
        <v>1373</v>
      </c>
      <c r="K43" s="46" t="s">
        <v>1374</v>
      </c>
      <c r="L43" s="45" t="s">
        <v>1279</v>
      </c>
      <c r="M43" s="49" t="s">
        <v>1375</v>
      </c>
      <c r="N43" s="46" t="s">
        <v>1833</v>
      </c>
      <c r="O43" s="45" t="s">
        <v>1382</v>
      </c>
      <c r="P43" s="45" t="str">
        <f t="shared" si="0"/>
        <v>F010</v>
      </c>
      <c r="Q43" s="46" t="s">
        <v>1383</v>
      </c>
      <c r="S43" s="50">
        <v>20</v>
      </c>
      <c r="T43" s="45" t="s">
        <v>302</v>
      </c>
      <c r="U43" s="49" t="s">
        <v>1375</v>
      </c>
      <c r="V43" s="49" t="s">
        <v>1377</v>
      </c>
      <c r="Y43" s="51">
        <v>565675.19999999995</v>
      </c>
      <c r="AB43" s="52">
        <v>471396</v>
      </c>
    </row>
    <row r="44" spans="2:28" s="45" customFormat="1" x14ac:dyDescent="0.2">
      <c r="B44" s="46" t="s">
        <v>1321</v>
      </c>
      <c r="C44" s="46">
        <v>1520</v>
      </c>
      <c r="D44" s="48">
        <f t="shared" si="1"/>
        <v>1.52E-2</v>
      </c>
      <c r="E44" s="46" t="s">
        <v>1364</v>
      </c>
      <c r="F44" s="45" t="s">
        <v>1384</v>
      </c>
      <c r="G44" s="45" t="s">
        <v>1373</v>
      </c>
      <c r="K44" s="46" t="s">
        <v>1374</v>
      </c>
      <c r="L44" s="45" t="s">
        <v>1279</v>
      </c>
      <c r="M44" s="49" t="s">
        <v>1375</v>
      </c>
      <c r="N44" s="46" t="s">
        <v>2486</v>
      </c>
      <c r="O44" s="45" t="s">
        <v>1385</v>
      </c>
      <c r="P44" s="45" t="str">
        <f t="shared" si="0"/>
        <v>F010</v>
      </c>
      <c r="Q44" s="46" t="s">
        <v>1376</v>
      </c>
      <c r="S44" s="50">
        <v>20</v>
      </c>
      <c r="T44" s="45" t="s">
        <v>302</v>
      </c>
      <c r="U44" s="49" t="s">
        <v>1375</v>
      </c>
      <c r="V44" s="49" t="s">
        <v>1377</v>
      </c>
      <c r="Y44" s="51">
        <v>126074.24000000001</v>
      </c>
      <c r="AB44" s="52">
        <v>105061.86</v>
      </c>
    </row>
    <row r="45" spans="2:28" s="45" customFormat="1" x14ac:dyDescent="0.2">
      <c r="B45" s="46" t="s">
        <v>1321</v>
      </c>
      <c r="C45" s="46">
        <v>760</v>
      </c>
      <c r="D45" s="48">
        <f t="shared" si="1"/>
        <v>7.6E-3</v>
      </c>
      <c r="E45" s="46" t="s">
        <v>1365</v>
      </c>
      <c r="F45" s="45" t="s">
        <v>1346</v>
      </c>
      <c r="G45" s="45" t="s">
        <v>1373</v>
      </c>
      <c r="K45" s="46" t="s">
        <v>1374</v>
      </c>
      <c r="L45" s="45" t="s">
        <v>1279</v>
      </c>
      <c r="M45" s="49" t="s">
        <v>1375</v>
      </c>
      <c r="N45" s="46" t="s">
        <v>1294</v>
      </c>
      <c r="O45" s="45" t="s">
        <v>1347</v>
      </c>
      <c r="P45" s="45" t="str">
        <f t="shared" si="0"/>
        <v>F010</v>
      </c>
      <c r="Q45" s="46" t="s">
        <v>1380</v>
      </c>
      <c r="S45" s="50">
        <v>20</v>
      </c>
      <c r="T45" s="45" t="s">
        <v>302</v>
      </c>
      <c r="U45" s="49" t="s">
        <v>1375</v>
      </c>
      <c r="V45" s="49" t="s">
        <v>1377</v>
      </c>
      <c r="Y45" s="51">
        <v>63037.120000000003</v>
      </c>
      <c r="AB45" s="52">
        <v>52530.93</v>
      </c>
    </row>
    <row r="46" spans="2:28" s="45" customFormat="1" x14ac:dyDescent="0.2">
      <c r="B46" s="46" t="s">
        <v>1321</v>
      </c>
      <c r="C46" s="46">
        <v>3030</v>
      </c>
      <c r="D46" s="48">
        <f t="shared" si="1"/>
        <v>3.0300000000000001E-2</v>
      </c>
      <c r="E46" s="46" t="s">
        <v>1366</v>
      </c>
      <c r="F46" s="45" t="s">
        <v>1381</v>
      </c>
      <c r="G46" s="45" t="s">
        <v>1373</v>
      </c>
      <c r="K46" s="46" t="s">
        <v>1374</v>
      </c>
      <c r="L46" s="45" t="s">
        <v>1279</v>
      </c>
      <c r="M46" s="49" t="s">
        <v>1375</v>
      </c>
      <c r="N46" s="46" t="s">
        <v>1754</v>
      </c>
      <c r="O46" s="45" t="s">
        <v>1382</v>
      </c>
      <c r="P46" s="45" t="str">
        <f t="shared" si="0"/>
        <v>F010</v>
      </c>
      <c r="Q46" s="46" t="s">
        <v>1383</v>
      </c>
      <c r="S46" s="50">
        <v>20</v>
      </c>
      <c r="T46" s="45" t="s">
        <v>302</v>
      </c>
      <c r="U46" s="49" t="s">
        <v>1375</v>
      </c>
      <c r="V46" s="49" t="s">
        <v>1377</v>
      </c>
      <c r="Y46" s="51">
        <v>251319.04000000001</v>
      </c>
      <c r="AB46" s="52">
        <v>209432.53</v>
      </c>
    </row>
    <row r="47" spans="2:28" s="45" customFormat="1" x14ac:dyDescent="0.2">
      <c r="B47" s="46" t="s">
        <v>1321</v>
      </c>
      <c r="C47" s="46">
        <v>3790</v>
      </c>
      <c r="D47" s="48">
        <f t="shared" si="1"/>
        <v>3.7900000000000003E-2</v>
      </c>
      <c r="E47" s="46" t="s">
        <v>1386</v>
      </c>
      <c r="F47" s="45" t="s">
        <v>1384</v>
      </c>
      <c r="G47" s="45" t="s">
        <v>1373</v>
      </c>
      <c r="K47" s="46" t="s">
        <v>1374</v>
      </c>
      <c r="L47" s="45" t="s">
        <v>1279</v>
      </c>
      <c r="M47" s="49" t="s">
        <v>1375</v>
      </c>
      <c r="N47" s="46" t="s">
        <v>1642</v>
      </c>
      <c r="O47" s="45" t="s">
        <v>1385</v>
      </c>
      <c r="P47" s="45" t="str">
        <f t="shared" si="0"/>
        <v>F010</v>
      </c>
      <c r="Q47" s="46" t="s">
        <v>1376</v>
      </c>
      <c r="S47" s="50">
        <v>20</v>
      </c>
      <c r="T47" s="45" t="s">
        <v>302</v>
      </c>
      <c r="U47" s="49" t="s">
        <v>1375</v>
      </c>
      <c r="V47" s="49" t="s">
        <v>1377</v>
      </c>
      <c r="Y47" s="51">
        <v>314356.15999999997</v>
      </c>
      <c r="AB47" s="52">
        <v>261963.46</v>
      </c>
    </row>
    <row r="48" spans="2:28" s="45" customFormat="1" x14ac:dyDescent="0.2">
      <c r="B48" s="46" t="s">
        <v>1321</v>
      </c>
      <c r="C48" s="46">
        <v>1890</v>
      </c>
      <c r="D48" s="48">
        <f t="shared" si="1"/>
        <v>1.89E-2</v>
      </c>
      <c r="E48" s="46" t="s">
        <v>1387</v>
      </c>
      <c r="F48" s="45" t="s">
        <v>1346</v>
      </c>
      <c r="G48" s="45" t="s">
        <v>1373</v>
      </c>
      <c r="K48" s="46" t="s">
        <v>1374</v>
      </c>
      <c r="L48" s="45" t="s">
        <v>1279</v>
      </c>
      <c r="M48" s="49" t="s">
        <v>1375</v>
      </c>
      <c r="N48" s="46" t="s">
        <v>3615</v>
      </c>
      <c r="O48" s="45" t="s">
        <v>1347</v>
      </c>
      <c r="P48" s="45" t="str">
        <f t="shared" si="0"/>
        <v>F010</v>
      </c>
      <c r="Q48" s="46" t="s">
        <v>1380</v>
      </c>
      <c r="S48" s="50">
        <v>20</v>
      </c>
      <c r="T48" s="45" t="s">
        <v>302</v>
      </c>
      <c r="U48" s="49" t="s">
        <v>1375</v>
      </c>
      <c r="V48" s="49" t="s">
        <v>1377</v>
      </c>
      <c r="Y48" s="51">
        <v>156763.35999999999</v>
      </c>
      <c r="AB48" s="52">
        <v>130636.13</v>
      </c>
    </row>
    <row r="49" spans="2:28" s="45" customFormat="1" x14ac:dyDescent="0.2">
      <c r="B49" s="46" t="s">
        <v>1321</v>
      </c>
      <c r="C49" s="46">
        <v>760</v>
      </c>
      <c r="D49" s="48">
        <f t="shared" si="1"/>
        <v>7.6E-3</v>
      </c>
      <c r="E49" s="46" t="s">
        <v>1337</v>
      </c>
      <c r="F49" s="45" t="s">
        <v>1381</v>
      </c>
      <c r="G49" s="45" t="s">
        <v>1373</v>
      </c>
      <c r="K49" s="46" t="s">
        <v>1374</v>
      </c>
      <c r="L49" s="45" t="s">
        <v>1279</v>
      </c>
      <c r="M49" s="49" t="s">
        <v>1375</v>
      </c>
      <c r="N49" s="46" t="s">
        <v>2495</v>
      </c>
      <c r="O49" s="45" t="s">
        <v>1382</v>
      </c>
      <c r="P49" s="45" t="str">
        <f t="shared" si="0"/>
        <v>F010</v>
      </c>
      <c r="Q49" s="46" t="s">
        <v>1383</v>
      </c>
      <c r="S49" s="50">
        <v>20</v>
      </c>
      <c r="T49" s="45" t="s">
        <v>302</v>
      </c>
      <c r="U49" s="49" t="s">
        <v>1375</v>
      </c>
      <c r="V49" s="49" t="s">
        <v>1377</v>
      </c>
      <c r="Y49" s="51">
        <v>63037.120000000003</v>
      </c>
      <c r="AB49" s="52">
        <v>52530.93</v>
      </c>
    </row>
    <row r="50" spans="2:28" s="45" customFormat="1" x14ac:dyDescent="0.2">
      <c r="B50" s="46" t="s">
        <v>1321</v>
      </c>
      <c r="C50" s="46">
        <v>760</v>
      </c>
      <c r="D50" s="48">
        <f t="shared" si="1"/>
        <v>7.6E-3</v>
      </c>
      <c r="E50" s="46" t="s">
        <v>1388</v>
      </c>
      <c r="F50" s="45" t="s">
        <v>1384</v>
      </c>
      <c r="G50" s="45" t="s">
        <v>1373</v>
      </c>
      <c r="K50" s="46" t="s">
        <v>1374</v>
      </c>
      <c r="L50" s="45" t="s">
        <v>1279</v>
      </c>
      <c r="M50" s="49" t="s">
        <v>1375</v>
      </c>
      <c r="N50" s="46" t="s">
        <v>1294</v>
      </c>
      <c r="O50" s="45" t="s">
        <v>1385</v>
      </c>
      <c r="P50" s="45" t="str">
        <f t="shared" si="0"/>
        <v>F010</v>
      </c>
      <c r="Q50" s="46" t="s">
        <v>1376</v>
      </c>
      <c r="S50" s="50">
        <v>20</v>
      </c>
      <c r="T50" s="45" t="s">
        <v>302</v>
      </c>
      <c r="U50" s="49" t="s">
        <v>1375</v>
      </c>
      <c r="V50" s="49" t="s">
        <v>1377</v>
      </c>
      <c r="Y50" s="51">
        <v>63037.120000000003</v>
      </c>
      <c r="AB50" s="52">
        <v>52530.93</v>
      </c>
    </row>
    <row r="51" spans="2:28" s="45" customFormat="1" x14ac:dyDescent="0.2">
      <c r="B51" s="46" t="s">
        <v>1321</v>
      </c>
      <c r="C51" s="46">
        <v>2650</v>
      </c>
      <c r="D51" s="48">
        <f t="shared" si="1"/>
        <v>2.6499999999999999E-2</v>
      </c>
      <c r="E51" s="46" t="s">
        <v>1389</v>
      </c>
      <c r="F51" s="45" t="s">
        <v>1346</v>
      </c>
      <c r="G51" s="45" t="s">
        <v>1373</v>
      </c>
      <c r="K51" s="46" t="s">
        <v>1374</v>
      </c>
      <c r="L51" s="45" t="s">
        <v>1279</v>
      </c>
      <c r="M51" s="49" t="s">
        <v>1375</v>
      </c>
      <c r="N51" s="46" t="s">
        <v>1637</v>
      </c>
      <c r="O51" s="45" t="s">
        <v>1347</v>
      </c>
      <c r="P51" s="45" t="str">
        <f t="shared" si="0"/>
        <v>F010</v>
      </c>
      <c r="Q51" s="46" t="s">
        <v>1380</v>
      </c>
      <c r="S51" s="50">
        <v>20</v>
      </c>
      <c r="T51" s="45" t="s">
        <v>302</v>
      </c>
      <c r="U51" s="49" t="s">
        <v>1375</v>
      </c>
      <c r="V51" s="49" t="s">
        <v>1377</v>
      </c>
      <c r="Y51" s="51">
        <v>219800.48</v>
      </c>
      <c r="AB51" s="52">
        <v>183167.07</v>
      </c>
    </row>
    <row r="52" spans="2:28" s="45" customFormat="1" x14ac:dyDescent="0.2">
      <c r="B52" s="46" t="s">
        <v>1321</v>
      </c>
      <c r="C52" s="46">
        <v>1520</v>
      </c>
      <c r="D52" s="48">
        <f t="shared" si="1"/>
        <v>1.52E-2</v>
      </c>
      <c r="E52" s="46" t="s">
        <v>1390</v>
      </c>
      <c r="F52" s="45" t="s">
        <v>1381</v>
      </c>
      <c r="G52" s="45" t="s">
        <v>1373</v>
      </c>
      <c r="K52" s="46" t="s">
        <v>1374</v>
      </c>
      <c r="L52" s="45" t="s">
        <v>1279</v>
      </c>
      <c r="M52" s="49" t="s">
        <v>1375</v>
      </c>
      <c r="N52" s="46" t="s">
        <v>1637</v>
      </c>
      <c r="O52" s="45" t="s">
        <v>1382</v>
      </c>
      <c r="P52" s="45" t="str">
        <f t="shared" si="0"/>
        <v>F010</v>
      </c>
      <c r="Q52" s="46" t="s">
        <v>1383</v>
      </c>
      <c r="S52" s="50">
        <v>20</v>
      </c>
      <c r="T52" s="45" t="s">
        <v>302</v>
      </c>
      <c r="U52" s="49" t="s">
        <v>1375</v>
      </c>
      <c r="V52" s="49" t="s">
        <v>1377</v>
      </c>
      <c r="Y52" s="51">
        <v>126074.24000000001</v>
      </c>
      <c r="AB52" s="52">
        <v>105061.86</v>
      </c>
    </row>
    <row r="53" spans="2:28" s="45" customFormat="1" x14ac:dyDescent="0.2">
      <c r="B53" s="46" t="s">
        <v>1321</v>
      </c>
      <c r="C53" s="46">
        <v>3790</v>
      </c>
      <c r="D53" s="48">
        <f t="shared" si="1"/>
        <v>3.7900000000000003E-2</v>
      </c>
      <c r="E53" s="46" t="s">
        <v>1391</v>
      </c>
      <c r="F53" s="45" t="s">
        <v>1384</v>
      </c>
      <c r="G53" s="45" t="s">
        <v>1373</v>
      </c>
      <c r="K53" s="46" t="s">
        <v>1374</v>
      </c>
      <c r="L53" s="45" t="s">
        <v>1279</v>
      </c>
      <c r="M53" s="49" t="s">
        <v>1375</v>
      </c>
      <c r="N53" s="46" t="s">
        <v>2601</v>
      </c>
      <c r="O53" s="45" t="s">
        <v>1385</v>
      </c>
      <c r="P53" s="45" t="str">
        <f t="shared" si="0"/>
        <v>F010</v>
      </c>
      <c r="Q53" s="46" t="s">
        <v>1376</v>
      </c>
      <c r="S53" s="50">
        <v>20</v>
      </c>
      <c r="T53" s="45" t="s">
        <v>302</v>
      </c>
      <c r="U53" s="49" t="s">
        <v>1375</v>
      </c>
      <c r="V53" s="49" t="s">
        <v>1377</v>
      </c>
      <c r="Y53" s="51">
        <v>314356.15999999997</v>
      </c>
      <c r="AB53" s="52">
        <v>261963.46</v>
      </c>
    </row>
    <row r="54" spans="2:28" s="45" customFormat="1" x14ac:dyDescent="0.2">
      <c r="B54" s="46" t="s">
        <v>1321</v>
      </c>
      <c r="C54" s="46">
        <v>1890</v>
      </c>
      <c r="D54" s="48">
        <f t="shared" si="1"/>
        <v>1.89E-2</v>
      </c>
      <c r="E54" s="46" t="s">
        <v>1392</v>
      </c>
      <c r="F54" s="45" t="s">
        <v>1346</v>
      </c>
      <c r="G54" s="45" t="s">
        <v>1373</v>
      </c>
      <c r="K54" s="46" t="s">
        <v>1374</v>
      </c>
      <c r="L54" s="45" t="s">
        <v>1279</v>
      </c>
      <c r="M54" s="49" t="s">
        <v>1375</v>
      </c>
      <c r="N54" s="46" t="s">
        <v>2601</v>
      </c>
      <c r="O54" s="45" t="s">
        <v>1347</v>
      </c>
      <c r="P54" s="45" t="str">
        <f t="shared" si="0"/>
        <v>F010</v>
      </c>
      <c r="Q54" s="46" t="s">
        <v>1380</v>
      </c>
      <c r="S54" s="50">
        <v>20</v>
      </c>
      <c r="T54" s="45" t="s">
        <v>302</v>
      </c>
      <c r="U54" s="49" t="s">
        <v>1375</v>
      </c>
      <c r="V54" s="49" t="s">
        <v>1377</v>
      </c>
      <c r="Y54" s="51">
        <v>156763.35999999999</v>
      </c>
      <c r="AB54" s="52">
        <v>130636.13</v>
      </c>
    </row>
    <row r="55" spans="2:28" s="45" customFormat="1" x14ac:dyDescent="0.2">
      <c r="B55" s="46" t="s">
        <v>1321</v>
      </c>
      <c r="C55" s="46">
        <v>1890</v>
      </c>
      <c r="D55" s="48">
        <f t="shared" si="1"/>
        <v>1.89E-2</v>
      </c>
      <c r="E55" s="46" t="s">
        <v>1393</v>
      </c>
      <c r="F55" s="45" t="s">
        <v>1381</v>
      </c>
      <c r="G55" s="45" t="s">
        <v>1373</v>
      </c>
      <c r="K55" s="46" t="s">
        <v>1374</v>
      </c>
      <c r="L55" s="45" t="s">
        <v>1279</v>
      </c>
      <c r="M55" s="49" t="s">
        <v>1375</v>
      </c>
      <c r="N55" s="46" t="s">
        <v>2271</v>
      </c>
      <c r="O55" s="45" t="s">
        <v>1382</v>
      </c>
      <c r="P55" s="45" t="str">
        <f t="shared" si="0"/>
        <v>F010</v>
      </c>
      <c r="Q55" s="46" t="s">
        <v>1383</v>
      </c>
      <c r="S55" s="50">
        <v>20</v>
      </c>
      <c r="T55" s="45" t="s">
        <v>302</v>
      </c>
      <c r="U55" s="49" t="s">
        <v>1375</v>
      </c>
      <c r="V55" s="49" t="s">
        <v>1377</v>
      </c>
      <c r="Y55" s="51">
        <v>156763.35999999999</v>
      </c>
      <c r="AB55" s="52">
        <v>130636.13</v>
      </c>
    </row>
    <row r="56" spans="2:28" s="45" customFormat="1" x14ac:dyDescent="0.2">
      <c r="B56" s="46" t="s">
        <v>1321</v>
      </c>
      <c r="C56" s="46">
        <v>2650</v>
      </c>
      <c r="D56" s="48">
        <f t="shared" si="1"/>
        <v>2.6499999999999999E-2</v>
      </c>
      <c r="E56" s="46" t="s">
        <v>1394</v>
      </c>
      <c r="F56" s="45" t="s">
        <v>1384</v>
      </c>
      <c r="G56" s="45" t="s">
        <v>1373</v>
      </c>
      <c r="K56" s="46" t="s">
        <v>1374</v>
      </c>
      <c r="L56" s="45" t="s">
        <v>1279</v>
      </c>
      <c r="M56" s="49" t="s">
        <v>1375</v>
      </c>
      <c r="N56" s="46" t="s">
        <v>3615</v>
      </c>
      <c r="O56" s="45" t="s">
        <v>1385</v>
      </c>
      <c r="P56" s="45" t="str">
        <f t="shared" si="0"/>
        <v>F010</v>
      </c>
      <c r="Q56" s="46" t="s">
        <v>1376</v>
      </c>
      <c r="S56" s="50">
        <v>20</v>
      </c>
      <c r="T56" s="45" t="s">
        <v>302</v>
      </c>
      <c r="U56" s="49" t="s">
        <v>1375</v>
      </c>
      <c r="V56" s="49" t="s">
        <v>1377</v>
      </c>
      <c r="Y56" s="51">
        <v>219800.48</v>
      </c>
      <c r="AB56" s="52">
        <v>183167.07</v>
      </c>
    </row>
    <row r="57" spans="2:28" s="45" customFormat="1" x14ac:dyDescent="0.2">
      <c r="B57" s="46" t="s">
        <v>1321</v>
      </c>
      <c r="C57" s="46">
        <v>4920</v>
      </c>
      <c r="D57" s="48">
        <f t="shared" si="1"/>
        <v>4.9200000000000001E-2</v>
      </c>
      <c r="E57" s="46" t="s">
        <v>1395</v>
      </c>
      <c r="F57" s="45" t="s">
        <v>1346</v>
      </c>
      <c r="G57" s="45" t="s">
        <v>1373</v>
      </c>
      <c r="K57" s="46" t="s">
        <v>1374</v>
      </c>
      <c r="L57" s="45" t="s">
        <v>1279</v>
      </c>
      <c r="M57" s="49" t="s">
        <v>1375</v>
      </c>
      <c r="N57" s="46" t="s">
        <v>1614</v>
      </c>
      <c r="O57" s="45" t="s">
        <v>1347</v>
      </c>
      <c r="P57" s="45" t="str">
        <f t="shared" si="0"/>
        <v>F010</v>
      </c>
      <c r="Q57" s="46" t="s">
        <v>1380</v>
      </c>
      <c r="S57" s="50">
        <v>20</v>
      </c>
      <c r="T57" s="45" t="s">
        <v>302</v>
      </c>
      <c r="U57" s="49" t="s">
        <v>1375</v>
      </c>
      <c r="V57" s="49" t="s">
        <v>1377</v>
      </c>
      <c r="Y57" s="51">
        <v>408082.4</v>
      </c>
      <c r="AB57" s="52">
        <v>340068.67</v>
      </c>
    </row>
    <row r="58" spans="2:28" s="45" customFormat="1" x14ac:dyDescent="0.2">
      <c r="B58" s="46" t="s">
        <v>1321</v>
      </c>
      <c r="C58" s="46">
        <v>1870</v>
      </c>
      <c r="D58" s="48">
        <f t="shared" si="1"/>
        <v>1.8700000000000001E-2</v>
      </c>
      <c r="E58" s="46" t="s">
        <v>1396</v>
      </c>
      <c r="F58" s="45" t="s">
        <v>1381</v>
      </c>
      <c r="G58" s="45" t="s">
        <v>1373</v>
      </c>
      <c r="K58" s="46" t="s">
        <v>1374</v>
      </c>
      <c r="L58" s="45" t="s">
        <v>1279</v>
      </c>
      <c r="M58" s="49" t="s">
        <v>1375</v>
      </c>
      <c r="N58" s="46" t="s">
        <v>1556</v>
      </c>
      <c r="O58" s="45" t="s">
        <v>1382</v>
      </c>
      <c r="P58" s="45" t="str">
        <f t="shared" si="0"/>
        <v>F010</v>
      </c>
      <c r="Q58" s="46" t="s">
        <v>1383</v>
      </c>
      <c r="S58" s="50">
        <v>20</v>
      </c>
      <c r="T58" s="45" t="s">
        <v>302</v>
      </c>
      <c r="U58" s="49" t="s">
        <v>1375</v>
      </c>
      <c r="V58" s="49" t="s">
        <v>1377</v>
      </c>
      <c r="Y58" s="51">
        <v>155104.49</v>
      </c>
      <c r="AB58" s="52">
        <v>129253.74</v>
      </c>
    </row>
    <row r="59" spans="2:28" s="45" customFormat="1" x14ac:dyDescent="0.2">
      <c r="B59" s="46" t="s">
        <v>1321</v>
      </c>
      <c r="C59" s="46">
        <v>12120</v>
      </c>
      <c r="D59" s="48">
        <f t="shared" si="1"/>
        <v>0.1212</v>
      </c>
      <c r="E59" s="46" t="s">
        <v>1397</v>
      </c>
      <c r="F59" s="45" t="s">
        <v>1384</v>
      </c>
      <c r="G59" s="45" t="s">
        <v>1373</v>
      </c>
      <c r="K59" s="46" t="s">
        <v>1374</v>
      </c>
      <c r="L59" s="45" t="s">
        <v>1279</v>
      </c>
      <c r="M59" s="49" t="s">
        <v>1375</v>
      </c>
      <c r="N59" s="46" t="s">
        <v>1284</v>
      </c>
      <c r="O59" s="45" t="s">
        <v>1385</v>
      </c>
      <c r="P59" s="45" t="str">
        <f t="shared" si="0"/>
        <v>F010</v>
      </c>
      <c r="Q59" s="46" t="s">
        <v>1376</v>
      </c>
      <c r="S59" s="50">
        <v>20</v>
      </c>
      <c r="T59" s="45" t="s">
        <v>302</v>
      </c>
      <c r="U59" s="49" t="s">
        <v>1375</v>
      </c>
      <c r="V59" s="49" t="s">
        <v>1377</v>
      </c>
      <c r="Y59" s="51">
        <v>1005276.15</v>
      </c>
      <c r="AB59" s="52">
        <v>837730.13</v>
      </c>
    </row>
    <row r="60" spans="2:28" s="45" customFormat="1" x14ac:dyDescent="0.2">
      <c r="B60" s="46" t="s">
        <v>1321</v>
      </c>
      <c r="C60" s="46">
        <v>9470</v>
      </c>
      <c r="D60" s="48">
        <f t="shared" si="1"/>
        <v>9.4700000000000006E-2</v>
      </c>
      <c r="E60" s="46" t="s">
        <v>1348</v>
      </c>
      <c r="F60" s="45" t="s">
        <v>1346</v>
      </c>
      <c r="G60" s="45" t="s">
        <v>1373</v>
      </c>
      <c r="K60" s="46" t="s">
        <v>1374</v>
      </c>
      <c r="L60" s="45" t="s">
        <v>1279</v>
      </c>
      <c r="M60" s="49" t="s">
        <v>1375</v>
      </c>
      <c r="N60" s="46" t="s">
        <v>1715</v>
      </c>
      <c r="O60" s="45" t="s">
        <v>1347</v>
      </c>
      <c r="P60" s="45" t="str">
        <f t="shared" si="0"/>
        <v>F010</v>
      </c>
      <c r="Q60" s="46" t="s">
        <v>1380</v>
      </c>
      <c r="S60" s="50">
        <v>20</v>
      </c>
      <c r="T60" s="45" t="s">
        <v>302</v>
      </c>
      <c r="U60" s="49" t="s">
        <v>1375</v>
      </c>
      <c r="V60" s="49" t="s">
        <v>1377</v>
      </c>
      <c r="Y60" s="51">
        <v>785475.67</v>
      </c>
      <c r="AB60" s="52">
        <v>654563.06000000006</v>
      </c>
    </row>
    <row r="61" spans="2:28" s="45" customFormat="1" x14ac:dyDescent="0.2">
      <c r="B61" s="46" t="s">
        <v>1321</v>
      </c>
      <c r="C61" s="46">
        <v>380</v>
      </c>
      <c r="D61" s="48">
        <f t="shared" si="1"/>
        <v>3.8E-3</v>
      </c>
      <c r="E61" s="46" t="s">
        <v>1398</v>
      </c>
      <c r="F61" s="45" t="s">
        <v>1381</v>
      </c>
      <c r="G61" s="45" t="s">
        <v>1373</v>
      </c>
      <c r="K61" s="46" t="s">
        <v>1374</v>
      </c>
      <c r="L61" s="45" t="s">
        <v>1279</v>
      </c>
      <c r="M61" s="49" t="s">
        <v>1375</v>
      </c>
      <c r="N61" s="46" t="s">
        <v>2497</v>
      </c>
      <c r="O61" s="45" t="s">
        <v>1382</v>
      </c>
      <c r="P61" s="45" t="str">
        <f t="shared" si="0"/>
        <v>F010</v>
      </c>
      <c r="Q61" s="46" t="s">
        <v>1383</v>
      </c>
      <c r="S61" s="50">
        <v>20</v>
      </c>
      <c r="T61" s="45" t="s">
        <v>302</v>
      </c>
      <c r="U61" s="49" t="s">
        <v>1375</v>
      </c>
      <c r="V61" s="49" t="s">
        <v>1377</v>
      </c>
      <c r="Y61" s="51">
        <v>31518.560000000001</v>
      </c>
      <c r="AB61" s="52">
        <v>26265.47</v>
      </c>
    </row>
    <row r="62" spans="2:28" s="45" customFormat="1" x14ac:dyDescent="0.2">
      <c r="B62" s="46" t="s">
        <v>1321</v>
      </c>
      <c r="C62" s="46">
        <v>2650</v>
      </c>
      <c r="D62" s="48">
        <f t="shared" si="1"/>
        <v>2.6499999999999999E-2</v>
      </c>
      <c r="E62" s="46" t="s">
        <v>1399</v>
      </c>
      <c r="F62" s="45" t="s">
        <v>1384</v>
      </c>
      <c r="G62" s="45" t="s">
        <v>1373</v>
      </c>
      <c r="K62" s="46" t="s">
        <v>1374</v>
      </c>
      <c r="L62" s="45" t="s">
        <v>1279</v>
      </c>
      <c r="M62" s="49" t="s">
        <v>1375</v>
      </c>
      <c r="N62" s="46" t="s">
        <v>1564</v>
      </c>
      <c r="O62" s="45" t="s">
        <v>1385</v>
      </c>
      <c r="P62" s="45" t="str">
        <f t="shared" si="0"/>
        <v>F010</v>
      </c>
      <c r="Q62" s="46" t="s">
        <v>1376</v>
      </c>
      <c r="S62" s="50">
        <v>20</v>
      </c>
      <c r="T62" s="45" t="s">
        <v>302</v>
      </c>
      <c r="U62" s="49" t="s">
        <v>1375</v>
      </c>
      <c r="V62" s="49" t="s">
        <v>1377</v>
      </c>
      <c r="Y62" s="51">
        <v>219800.48</v>
      </c>
      <c r="AB62" s="52">
        <v>183167.07</v>
      </c>
    </row>
    <row r="63" spans="2:28" s="45" customFormat="1" x14ac:dyDescent="0.2">
      <c r="B63" s="46" t="s">
        <v>1321</v>
      </c>
      <c r="C63" s="46">
        <v>1520</v>
      </c>
      <c r="D63" s="48">
        <f t="shared" si="1"/>
        <v>1.52E-2</v>
      </c>
      <c r="E63" s="46" t="s">
        <v>1400</v>
      </c>
      <c r="F63" s="45" t="s">
        <v>1346</v>
      </c>
      <c r="G63" s="45" t="s">
        <v>1373</v>
      </c>
      <c r="K63" s="46" t="s">
        <v>1374</v>
      </c>
      <c r="L63" s="45" t="s">
        <v>1279</v>
      </c>
      <c r="M63" s="49" t="s">
        <v>1375</v>
      </c>
      <c r="N63" s="46" t="s">
        <v>2497</v>
      </c>
      <c r="O63" s="45" t="s">
        <v>1347</v>
      </c>
      <c r="P63" s="45" t="str">
        <f t="shared" si="0"/>
        <v>F010</v>
      </c>
      <c r="Q63" s="46" t="s">
        <v>1401</v>
      </c>
      <c r="S63" s="50">
        <v>20</v>
      </c>
      <c r="T63" s="45" t="s">
        <v>302</v>
      </c>
      <c r="U63" s="49" t="s">
        <v>1375</v>
      </c>
      <c r="V63" s="49" t="s">
        <v>1377</v>
      </c>
      <c r="Y63" s="51">
        <v>126074.24000000001</v>
      </c>
      <c r="AB63" s="52">
        <v>105061.86</v>
      </c>
    </row>
    <row r="64" spans="2:28" s="45" customFormat="1" x14ac:dyDescent="0.2">
      <c r="B64" s="46" t="s">
        <v>1321</v>
      </c>
      <c r="C64" s="46">
        <v>3030</v>
      </c>
      <c r="D64" s="48">
        <f t="shared" si="1"/>
        <v>3.0300000000000001E-2</v>
      </c>
      <c r="E64" s="46" t="s">
        <v>1402</v>
      </c>
      <c r="F64" s="45" t="s">
        <v>1403</v>
      </c>
      <c r="G64" s="45" t="s">
        <v>1373</v>
      </c>
      <c r="K64" s="46" t="s">
        <v>1374</v>
      </c>
      <c r="L64" s="45" t="s">
        <v>1279</v>
      </c>
      <c r="M64" s="49" t="s">
        <v>1375</v>
      </c>
      <c r="N64" s="46" t="s">
        <v>1294</v>
      </c>
      <c r="O64" s="45" t="s">
        <v>1404</v>
      </c>
      <c r="P64" s="45" t="str">
        <f t="shared" si="0"/>
        <v>F010</v>
      </c>
      <c r="Q64" s="46" t="s">
        <v>1383</v>
      </c>
      <c r="S64" s="50">
        <v>20</v>
      </c>
      <c r="T64" s="45" t="s">
        <v>302</v>
      </c>
      <c r="U64" s="49" t="s">
        <v>1375</v>
      </c>
      <c r="V64" s="49" t="s">
        <v>1377</v>
      </c>
      <c r="Y64" s="51">
        <v>251319.04000000001</v>
      </c>
      <c r="AB64" s="52">
        <v>209432.53</v>
      </c>
    </row>
    <row r="65" spans="2:28" s="45" customFormat="1" x14ac:dyDescent="0.2">
      <c r="B65" s="46" t="s">
        <v>1321</v>
      </c>
      <c r="C65" s="46">
        <v>1520</v>
      </c>
      <c r="D65" s="48">
        <f t="shared" si="1"/>
        <v>1.52E-2</v>
      </c>
      <c r="E65" s="46" t="s">
        <v>1351</v>
      </c>
      <c r="F65" s="45" t="s">
        <v>1384</v>
      </c>
      <c r="G65" s="45" t="s">
        <v>1373</v>
      </c>
      <c r="K65" s="46" t="s">
        <v>1374</v>
      </c>
      <c r="L65" s="45" t="s">
        <v>1279</v>
      </c>
      <c r="M65" s="49" t="s">
        <v>1375</v>
      </c>
      <c r="N65" s="46" t="s">
        <v>2094</v>
      </c>
      <c r="O65" s="45" t="s">
        <v>1385</v>
      </c>
      <c r="P65" s="45" t="str">
        <f t="shared" si="0"/>
        <v>F010</v>
      </c>
      <c r="Q65" s="46" t="s">
        <v>1376</v>
      </c>
      <c r="S65" s="50">
        <v>20</v>
      </c>
      <c r="T65" s="45" t="s">
        <v>302</v>
      </c>
      <c r="U65" s="49" t="s">
        <v>1375</v>
      </c>
      <c r="V65" s="49" t="s">
        <v>1377</v>
      </c>
      <c r="Y65" s="51">
        <v>126074.24000000001</v>
      </c>
      <c r="AB65" s="52">
        <v>105061.86</v>
      </c>
    </row>
    <row r="66" spans="2:28" s="45" customFormat="1" x14ac:dyDescent="0.2">
      <c r="B66" s="46" t="s">
        <v>1321</v>
      </c>
      <c r="C66" s="46">
        <v>760</v>
      </c>
      <c r="D66" s="48">
        <f t="shared" si="1"/>
        <v>7.6E-3</v>
      </c>
      <c r="E66" s="46" t="s">
        <v>1352</v>
      </c>
      <c r="F66" s="45" t="s">
        <v>1346</v>
      </c>
      <c r="G66" s="45" t="s">
        <v>1373</v>
      </c>
      <c r="K66" s="46" t="s">
        <v>1374</v>
      </c>
      <c r="L66" s="45" t="s">
        <v>1279</v>
      </c>
      <c r="M66" s="49" t="s">
        <v>1375</v>
      </c>
      <c r="N66" s="46" t="s">
        <v>2866</v>
      </c>
      <c r="O66" s="45" t="s">
        <v>1347</v>
      </c>
      <c r="P66" s="45" t="str">
        <f t="shared" si="0"/>
        <v>F010</v>
      </c>
      <c r="Q66" s="46" t="s">
        <v>1401</v>
      </c>
      <c r="S66" s="50">
        <v>20</v>
      </c>
      <c r="T66" s="45" t="s">
        <v>302</v>
      </c>
      <c r="U66" s="49" t="s">
        <v>1375</v>
      </c>
      <c r="V66" s="49" t="s">
        <v>1377</v>
      </c>
      <c r="Y66" s="51">
        <v>63037.120000000003</v>
      </c>
      <c r="AB66" s="52">
        <v>52530.93</v>
      </c>
    </row>
    <row r="67" spans="2:28" s="45" customFormat="1" x14ac:dyDescent="0.2">
      <c r="B67" s="46" t="s">
        <v>1321</v>
      </c>
      <c r="C67" s="46">
        <v>2270</v>
      </c>
      <c r="D67" s="48">
        <f t="shared" si="1"/>
        <v>2.2700000000000001E-2</v>
      </c>
      <c r="E67" s="46" t="s">
        <v>1353</v>
      </c>
      <c r="F67" s="45" t="s">
        <v>1403</v>
      </c>
      <c r="G67" s="45" t="s">
        <v>1373</v>
      </c>
      <c r="K67" s="46" t="s">
        <v>1374</v>
      </c>
      <c r="L67" s="45" t="s">
        <v>1279</v>
      </c>
      <c r="M67" s="49" t="s">
        <v>1375</v>
      </c>
      <c r="N67" s="46" t="s">
        <v>2426</v>
      </c>
      <c r="O67" s="45" t="s">
        <v>1404</v>
      </c>
      <c r="P67" s="45" t="str">
        <f t="shared" si="0"/>
        <v>F010</v>
      </c>
      <c r="Q67" s="46" t="s">
        <v>1383</v>
      </c>
      <c r="S67" s="50">
        <v>20</v>
      </c>
      <c r="T67" s="45" t="s">
        <v>302</v>
      </c>
      <c r="U67" s="49" t="s">
        <v>1375</v>
      </c>
      <c r="V67" s="49" t="s">
        <v>1377</v>
      </c>
      <c r="Y67" s="51">
        <v>188281.92</v>
      </c>
      <c r="AB67" s="52">
        <v>156901.6</v>
      </c>
    </row>
    <row r="68" spans="2:28" s="45" customFormat="1" x14ac:dyDescent="0.2">
      <c r="B68" s="46" t="s">
        <v>1321</v>
      </c>
      <c r="C68" s="46">
        <v>2270</v>
      </c>
      <c r="D68" s="48">
        <f t="shared" si="1"/>
        <v>2.2700000000000001E-2</v>
      </c>
      <c r="E68" s="46" t="s">
        <v>1367</v>
      </c>
      <c r="F68" s="45" t="s">
        <v>1384</v>
      </c>
      <c r="G68" s="45" t="s">
        <v>1373</v>
      </c>
      <c r="K68" s="46" t="s">
        <v>1374</v>
      </c>
      <c r="L68" s="45" t="s">
        <v>1279</v>
      </c>
      <c r="M68" s="49" t="s">
        <v>1375</v>
      </c>
      <c r="N68" s="46" t="s">
        <v>1630</v>
      </c>
      <c r="O68" s="45" t="s">
        <v>1385</v>
      </c>
      <c r="P68" s="45" t="str">
        <f t="shared" si="0"/>
        <v>F010</v>
      </c>
      <c r="Q68" s="46" t="s">
        <v>1376</v>
      </c>
      <c r="S68" s="50">
        <v>20</v>
      </c>
      <c r="T68" s="45" t="s">
        <v>302</v>
      </c>
      <c r="U68" s="49" t="s">
        <v>1375</v>
      </c>
      <c r="V68" s="49" t="s">
        <v>1377</v>
      </c>
      <c r="Y68" s="51">
        <v>188281.92</v>
      </c>
      <c r="AB68" s="52">
        <v>156901.6</v>
      </c>
    </row>
    <row r="69" spans="2:28" s="45" customFormat="1" x14ac:dyDescent="0.2">
      <c r="B69" s="46" t="s">
        <v>1321</v>
      </c>
      <c r="C69" s="46">
        <v>760</v>
      </c>
      <c r="D69" s="48">
        <f t="shared" si="1"/>
        <v>7.6E-3</v>
      </c>
      <c r="E69" s="46" t="s">
        <v>1368</v>
      </c>
      <c r="F69" s="45" t="s">
        <v>1346</v>
      </c>
      <c r="G69" s="45" t="s">
        <v>1373</v>
      </c>
      <c r="K69" s="46" t="s">
        <v>1374</v>
      </c>
      <c r="L69" s="45" t="s">
        <v>1279</v>
      </c>
      <c r="M69" s="49" t="s">
        <v>1375</v>
      </c>
      <c r="N69" s="46" t="s">
        <v>1294</v>
      </c>
      <c r="O69" s="45" t="s">
        <v>1347</v>
      </c>
      <c r="P69" s="45" t="str">
        <f t="shared" si="0"/>
        <v>F010</v>
      </c>
      <c r="Q69" s="46" t="s">
        <v>1401</v>
      </c>
      <c r="S69" s="50">
        <v>20</v>
      </c>
      <c r="T69" s="45" t="s">
        <v>302</v>
      </c>
      <c r="U69" s="49" t="s">
        <v>1375</v>
      </c>
      <c r="V69" s="49" t="s">
        <v>1377</v>
      </c>
      <c r="Y69" s="51">
        <v>63037.120000000003</v>
      </c>
      <c r="AB69" s="52">
        <v>52530.93</v>
      </c>
    </row>
    <row r="70" spans="2:28" s="45" customFormat="1" x14ac:dyDescent="0.2">
      <c r="B70" s="46" t="s">
        <v>1321</v>
      </c>
      <c r="C70" s="46">
        <v>2650</v>
      </c>
      <c r="D70" s="48">
        <f t="shared" si="1"/>
        <v>2.6499999999999999E-2</v>
      </c>
      <c r="E70" s="46" t="s">
        <v>1369</v>
      </c>
      <c r="F70" s="45" t="s">
        <v>1403</v>
      </c>
      <c r="G70" s="45" t="s">
        <v>1373</v>
      </c>
      <c r="K70" s="46" t="s">
        <v>1374</v>
      </c>
      <c r="L70" s="45" t="s">
        <v>1279</v>
      </c>
      <c r="M70" s="49" t="s">
        <v>1375</v>
      </c>
      <c r="N70" s="46" t="s">
        <v>2957</v>
      </c>
      <c r="O70" s="45" t="s">
        <v>1404</v>
      </c>
      <c r="P70" s="45" t="str">
        <f t="shared" si="0"/>
        <v>F010</v>
      </c>
      <c r="Q70" s="46" t="s">
        <v>1383</v>
      </c>
      <c r="S70" s="50">
        <v>20</v>
      </c>
      <c r="T70" s="45" t="s">
        <v>302</v>
      </c>
      <c r="U70" s="49" t="s">
        <v>1375</v>
      </c>
      <c r="V70" s="49" t="s">
        <v>1377</v>
      </c>
      <c r="Y70" s="51">
        <v>219800.48</v>
      </c>
      <c r="AB70" s="52">
        <v>183167.07</v>
      </c>
    </row>
    <row r="71" spans="2:28" s="45" customFormat="1" x14ac:dyDescent="0.2">
      <c r="B71" s="46" t="s">
        <v>1321</v>
      </c>
      <c r="C71" s="47">
        <v>85000</v>
      </c>
      <c r="D71" s="48">
        <f t="shared" si="1"/>
        <v>0.85</v>
      </c>
      <c r="E71" s="45" t="s">
        <v>1331</v>
      </c>
      <c r="F71" s="45" t="s">
        <v>1384</v>
      </c>
      <c r="G71" s="45" t="s">
        <v>1405</v>
      </c>
      <c r="K71" s="46" t="s">
        <v>1406</v>
      </c>
      <c r="L71" s="45" t="s">
        <v>1279</v>
      </c>
      <c r="M71" s="49" t="s">
        <v>1407</v>
      </c>
      <c r="N71" s="46" t="s">
        <v>1285</v>
      </c>
      <c r="O71" s="45" t="s">
        <v>1385</v>
      </c>
      <c r="P71" s="45" t="str">
        <f t="shared" si="0"/>
        <v>F010</v>
      </c>
      <c r="Q71" s="46" t="s">
        <v>127</v>
      </c>
      <c r="S71" s="50">
        <v>20</v>
      </c>
      <c r="T71" s="45" t="s">
        <v>302</v>
      </c>
      <c r="U71" s="49" t="s">
        <v>1407</v>
      </c>
      <c r="V71" s="49" t="s">
        <v>1408</v>
      </c>
      <c r="Y71" s="51">
        <v>275187.5</v>
      </c>
      <c r="AB71" s="52">
        <v>275187.5</v>
      </c>
    </row>
    <row r="72" spans="2:28" s="45" customFormat="1" x14ac:dyDescent="0.2">
      <c r="B72" s="46" t="s">
        <v>1321</v>
      </c>
      <c r="C72" s="47">
        <v>12000</v>
      </c>
      <c r="D72" s="48">
        <f t="shared" si="1"/>
        <v>0.12</v>
      </c>
      <c r="E72" s="45" t="s">
        <v>1337</v>
      </c>
      <c r="F72" s="45" t="s">
        <v>1346</v>
      </c>
      <c r="G72" s="45" t="s">
        <v>1405</v>
      </c>
      <c r="K72" s="46" t="s">
        <v>1406</v>
      </c>
      <c r="L72" s="45" t="s">
        <v>1279</v>
      </c>
      <c r="M72" s="49" t="s">
        <v>1407</v>
      </c>
      <c r="N72" s="46" t="s">
        <v>1294</v>
      </c>
      <c r="O72" s="45" t="s">
        <v>1347</v>
      </c>
      <c r="P72" s="45" t="str">
        <f t="shared" si="0"/>
        <v>F010</v>
      </c>
      <c r="Q72" s="46" t="s">
        <v>127</v>
      </c>
      <c r="S72" s="50">
        <v>20</v>
      </c>
      <c r="T72" s="45" t="s">
        <v>302</v>
      </c>
      <c r="U72" s="49" t="s">
        <v>1407</v>
      </c>
      <c r="V72" s="49" t="s">
        <v>1408</v>
      </c>
      <c r="Y72" s="51">
        <v>38850</v>
      </c>
      <c r="AB72" s="52">
        <v>38850</v>
      </c>
    </row>
    <row r="73" spans="2:28" s="45" customFormat="1" x14ac:dyDescent="0.2">
      <c r="B73" s="46" t="s">
        <v>1321</v>
      </c>
      <c r="C73" s="47">
        <v>3000</v>
      </c>
      <c r="D73" s="48">
        <f t="shared" si="1"/>
        <v>0.03</v>
      </c>
      <c r="E73" s="45" t="s">
        <v>1348</v>
      </c>
      <c r="F73" s="45" t="s">
        <v>1403</v>
      </c>
      <c r="G73" s="45" t="s">
        <v>1405</v>
      </c>
      <c r="K73" s="46" t="s">
        <v>1406</v>
      </c>
      <c r="L73" s="45" t="s">
        <v>1279</v>
      </c>
      <c r="M73" s="49" t="s">
        <v>1407</v>
      </c>
      <c r="N73" s="46" t="s">
        <v>2094</v>
      </c>
      <c r="O73" s="45" t="s">
        <v>1404</v>
      </c>
      <c r="P73" s="45" t="str">
        <f t="shared" si="0"/>
        <v>F010</v>
      </c>
      <c r="Q73" s="46" t="s">
        <v>127</v>
      </c>
      <c r="S73" s="50">
        <v>20</v>
      </c>
      <c r="T73" s="45" t="s">
        <v>302</v>
      </c>
      <c r="U73" s="49" t="s">
        <v>1407</v>
      </c>
      <c r="V73" s="49" t="s">
        <v>1408</v>
      </c>
      <c r="Y73" s="51">
        <v>9712.5</v>
      </c>
      <c r="AB73" s="52">
        <v>9712.5</v>
      </c>
    </row>
    <row r="74" spans="2:28" x14ac:dyDescent="0.2">
      <c r="B74" s="42" t="s">
        <v>1321</v>
      </c>
      <c r="C74" s="36"/>
      <c r="D74" s="36"/>
      <c r="F74" s="1" t="s">
        <v>1409</v>
      </c>
      <c r="G74" s="1" t="s">
        <v>1410</v>
      </c>
      <c r="K74" s="42" t="s">
        <v>1244</v>
      </c>
      <c r="L74" s="1" t="s">
        <v>1279</v>
      </c>
      <c r="M74" s="30" t="s">
        <v>1411</v>
      </c>
      <c r="N74" s="42" t="s">
        <v>1285</v>
      </c>
      <c r="O74" s="1" t="s">
        <v>1412</v>
      </c>
      <c r="P74" s="34" t="str">
        <f t="shared" si="0"/>
        <v>F010</v>
      </c>
      <c r="Q74" s="42" t="s">
        <v>127</v>
      </c>
      <c r="S74" s="16">
        <v>20</v>
      </c>
      <c r="T74" s="1" t="s">
        <v>302</v>
      </c>
      <c r="U74" s="30" t="s">
        <v>1411</v>
      </c>
      <c r="V74" s="30" t="s">
        <v>1413</v>
      </c>
      <c r="Y74" s="43">
        <v>3954306.51</v>
      </c>
      <c r="AB74" s="44">
        <v>3954306.51</v>
      </c>
    </row>
    <row r="75" spans="2:28" x14ac:dyDescent="0.2">
      <c r="B75" s="42" t="s">
        <v>1321</v>
      </c>
      <c r="C75" s="36"/>
      <c r="D75" s="36"/>
      <c r="F75" s="1" t="s">
        <v>1346</v>
      </c>
      <c r="G75" s="1" t="s">
        <v>1410</v>
      </c>
      <c r="K75" s="42" t="s">
        <v>1245</v>
      </c>
      <c r="L75" s="1" t="s">
        <v>1279</v>
      </c>
      <c r="M75" s="30" t="s">
        <v>1414</v>
      </c>
      <c r="N75" s="42" t="s">
        <v>1285</v>
      </c>
      <c r="O75" s="1" t="s">
        <v>1347</v>
      </c>
      <c r="P75" s="34" t="str">
        <f t="shared" si="0"/>
        <v>F010</v>
      </c>
      <c r="Q75" s="42" t="s">
        <v>127</v>
      </c>
      <c r="S75" s="16">
        <v>20</v>
      </c>
      <c r="T75" s="1" t="s">
        <v>302</v>
      </c>
      <c r="U75" s="30" t="s">
        <v>1414</v>
      </c>
      <c r="V75" s="30" t="s">
        <v>1415</v>
      </c>
      <c r="Y75" s="43">
        <v>10746888.65</v>
      </c>
      <c r="AB75" s="44">
        <v>10746888.65</v>
      </c>
    </row>
    <row r="76" spans="2:28" x14ac:dyDescent="0.2">
      <c r="B76" s="42" t="s">
        <v>1321</v>
      </c>
      <c r="C76" s="36"/>
      <c r="D76" s="36"/>
      <c r="F76" s="1" t="s">
        <v>1403</v>
      </c>
      <c r="G76" s="1" t="s">
        <v>1410</v>
      </c>
      <c r="K76" s="42" t="s">
        <v>1246</v>
      </c>
      <c r="L76" s="1" t="s">
        <v>1279</v>
      </c>
      <c r="M76" s="30" t="s">
        <v>1414</v>
      </c>
      <c r="N76" s="42" t="s">
        <v>1285</v>
      </c>
      <c r="O76" s="1" t="s">
        <v>1404</v>
      </c>
      <c r="P76" s="34" t="str">
        <f t="shared" si="0"/>
        <v>F010</v>
      </c>
      <c r="Q76" s="42" t="s">
        <v>127</v>
      </c>
      <c r="S76" s="16">
        <v>20</v>
      </c>
      <c r="T76" s="1" t="s">
        <v>302</v>
      </c>
      <c r="U76" s="30" t="s">
        <v>1414</v>
      </c>
      <c r="V76" s="30" t="s">
        <v>1415</v>
      </c>
      <c r="Y76" s="43">
        <v>8965761.5</v>
      </c>
      <c r="AB76" s="44">
        <v>8965761.5</v>
      </c>
    </row>
    <row r="77" spans="2:28" x14ac:dyDescent="0.2">
      <c r="B77" s="42" t="s">
        <v>1321</v>
      </c>
      <c r="C77" s="36"/>
      <c r="D77" s="36"/>
      <c r="F77" s="1" t="s">
        <v>1416</v>
      </c>
      <c r="G77" s="1" t="s">
        <v>1410</v>
      </c>
      <c r="K77" s="42" t="s">
        <v>1247</v>
      </c>
      <c r="L77" s="1" t="s">
        <v>1279</v>
      </c>
      <c r="M77" s="30" t="s">
        <v>1417</v>
      </c>
      <c r="N77" s="42" t="s">
        <v>1285</v>
      </c>
      <c r="O77" s="1" t="s">
        <v>1418</v>
      </c>
      <c r="P77" s="34" t="str">
        <f t="shared" si="0"/>
        <v>F010</v>
      </c>
      <c r="Q77" s="42" t="s">
        <v>127</v>
      </c>
      <c r="S77" s="16">
        <v>20</v>
      </c>
      <c r="T77" s="1" t="s">
        <v>302</v>
      </c>
      <c r="U77" s="30" t="s">
        <v>1417</v>
      </c>
      <c r="V77" s="30" t="s">
        <v>1413</v>
      </c>
      <c r="Y77" s="43">
        <v>5872964.1200000001</v>
      </c>
      <c r="AB77" s="44">
        <v>5872964.1200000001</v>
      </c>
    </row>
    <row r="78" spans="2:28" x14ac:dyDescent="0.2">
      <c r="B78" s="42" t="s">
        <v>1321</v>
      </c>
      <c r="C78" s="36"/>
      <c r="D78" s="36"/>
      <c r="F78" s="1" t="s">
        <v>1346</v>
      </c>
      <c r="G78" s="1" t="s">
        <v>1410</v>
      </c>
      <c r="K78" s="42" t="s">
        <v>1248</v>
      </c>
      <c r="L78" s="1" t="s">
        <v>1279</v>
      </c>
      <c r="M78" s="30" t="s">
        <v>1417</v>
      </c>
      <c r="N78" s="42" t="s">
        <v>1285</v>
      </c>
      <c r="O78" s="1" t="s">
        <v>1347</v>
      </c>
      <c r="P78" s="34" t="str">
        <f t="shared" si="0"/>
        <v>F010</v>
      </c>
      <c r="Q78" s="42" t="s">
        <v>127</v>
      </c>
      <c r="S78" s="16">
        <v>20</v>
      </c>
      <c r="T78" s="1" t="s">
        <v>302</v>
      </c>
      <c r="U78" s="30" t="s">
        <v>1417</v>
      </c>
      <c r="V78" s="30" t="s">
        <v>1415</v>
      </c>
      <c r="Y78" s="43">
        <v>11336865.35</v>
      </c>
      <c r="AB78" s="44">
        <v>11336865.35</v>
      </c>
    </row>
    <row r="79" spans="2:28" x14ac:dyDescent="0.2">
      <c r="B79" s="42" t="s">
        <v>1321</v>
      </c>
      <c r="C79" s="36"/>
      <c r="D79" s="36"/>
      <c r="F79" s="1" t="s">
        <v>1403</v>
      </c>
      <c r="G79" s="1" t="s">
        <v>1410</v>
      </c>
      <c r="K79" s="42" t="s">
        <v>1249</v>
      </c>
      <c r="L79" s="1" t="s">
        <v>1279</v>
      </c>
      <c r="M79" s="30" t="s">
        <v>1417</v>
      </c>
      <c r="N79" s="42" t="s">
        <v>1285</v>
      </c>
      <c r="O79" s="1" t="s">
        <v>1404</v>
      </c>
      <c r="P79" s="34" t="str">
        <f t="shared" si="0"/>
        <v>F010</v>
      </c>
      <c r="Q79" s="42" t="s">
        <v>127</v>
      </c>
      <c r="S79" s="16">
        <v>20</v>
      </c>
      <c r="T79" s="1" t="s">
        <v>302</v>
      </c>
      <c r="U79" s="30" t="s">
        <v>1417</v>
      </c>
      <c r="V79" s="30" t="s">
        <v>1415</v>
      </c>
      <c r="Y79" s="43">
        <v>9457958.2799999993</v>
      </c>
      <c r="AB79" s="44">
        <v>9457958.2799999993</v>
      </c>
    </row>
    <row r="80" spans="2:28" x14ac:dyDescent="0.2">
      <c r="B80" s="42" t="s">
        <v>1321</v>
      </c>
      <c r="C80" s="36"/>
      <c r="D80" s="36"/>
      <c r="F80" s="1" t="s">
        <v>1419</v>
      </c>
      <c r="G80" s="1" t="s">
        <v>1420</v>
      </c>
      <c r="K80" s="42" t="s">
        <v>1250</v>
      </c>
      <c r="L80" s="1" t="s">
        <v>1279</v>
      </c>
      <c r="M80" s="30" t="s">
        <v>1421</v>
      </c>
      <c r="N80" s="42" t="s">
        <v>1285</v>
      </c>
      <c r="O80" s="1" t="s">
        <v>1422</v>
      </c>
      <c r="P80" s="34" t="str">
        <f t="shared" si="0"/>
        <v>F010</v>
      </c>
      <c r="Q80" s="42" t="s">
        <v>127</v>
      </c>
      <c r="S80" s="16">
        <v>20</v>
      </c>
      <c r="T80" s="1" t="s">
        <v>302</v>
      </c>
      <c r="U80" s="30" t="s">
        <v>1421</v>
      </c>
      <c r="V80" s="30" t="s">
        <v>1411</v>
      </c>
      <c r="Y80" s="43">
        <v>4895232.03</v>
      </c>
      <c r="AB80" s="44">
        <v>4895232.03</v>
      </c>
    </row>
    <row r="81" spans="2:28" s="45" customFormat="1" x14ac:dyDescent="0.2">
      <c r="B81" s="46" t="s">
        <v>1321</v>
      </c>
      <c r="C81" s="47">
        <v>33340</v>
      </c>
      <c r="D81" s="48">
        <f>+C81/100000</f>
        <v>0.33339999999999997</v>
      </c>
      <c r="E81" s="45" t="s">
        <v>1331</v>
      </c>
      <c r="F81" s="45" t="s">
        <v>1346</v>
      </c>
      <c r="G81" s="45" t="s">
        <v>1423</v>
      </c>
      <c r="K81" s="46" t="s">
        <v>1424</v>
      </c>
      <c r="L81" s="45" t="s">
        <v>1279</v>
      </c>
      <c r="M81" s="49" t="s">
        <v>1425</v>
      </c>
      <c r="N81" s="46" t="s">
        <v>1294</v>
      </c>
      <c r="O81" s="45" t="s">
        <v>1347</v>
      </c>
      <c r="P81" s="45" t="str">
        <f t="shared" si="0"/>
        <v>F010</v>
      </c>
      <c r="Q81" s="46" t="s">
        <v>127</v>
      </c>
      <c r="S81" s="50">
        <v>20</v>
      </c>
      <c r="T81" s="45" t="s">
        <v>302</v>
      </c>
      <c r="U81" s="49" t="s">
        <v>1425</v>
      </c>
      <c r="V81" s="49" t="s">
        <v>1426</v>
      </c>
      <c r="Y81" s="51">
        <v>15533.34</v>
      </c>
      <c r="AB81" s="52">
        <v>15533.34</v>
      </c>
    </row>
    <row r="82" spans="2:28" s="45" customFormat="1" x14ac:dyDescent="0.2">
      <c r="B82" s="46" t="s">
        <v>1321</v>
      </c>
      <c r="C82" s="47">
        <v>33330</v>
      </c>
      <c r="D82" s="48">
        <f>+C82/100000</f>
        <v>0.33329999999999999</v>
      </c>
      <c r="E82" s="45" t="s">
        <v>1337</v>
      </c>
      <c r="F82" s="45" t="s">
        <v>1403</v>
      </c>
      <c r="G82" s="45" t="s">
        <v>1423</v>
      </c>
      <c r="K82" s="46" t="s">
        <v>1424</v>
      </c>
      <c r="L82" s="45" t="s">
        <v>1279</v>
      </c>
      <c r="M82" s="49" t="s">
        <v>1425</v>
      </c>
      <c r="N82" s="46" t="s">
        <v>1715</v>
      </c>
      <c r="O82" s="45" t="s">
        <v>1404</v>
      </c>
      <c r="P82" s="45" t="str">
        <f t="shared" si="0"/>
        <v>F010</v>
      </c>
      <c r="Q82" s="46" t="s">
        <v>127</v>
      </c>
      <c r="S82" s="50">
        <v>20</v>
      </c>
      <c r="T82" s="45" t="s">
        <v>302</v>
      </c>
      <c r="U82" s="49" t="s">
        <v>1425</v>
      </c>
      <c r="V82" s="49" t="s">
        <v>1426</v>
      </c>
      <c r="Y82" s="51">
        <v>15533.33</v>
      </c>
      <c r="AB82" s="52">
        <v>15533.33</v>
      </c>
    </row>
    <row r="83" spans="2:28" s="45" customFormat="1" x14ac:dyDescent="0.2">
      <c r="B83" s="46" t="s">
        <v>1321</v>
      </c>
      <c r="C83" s="47">
        <v>33330</v>
      </c>
      <c r="D83" s="48">
        <f>+C83/100000</f>
        <v>0.33329999999999999</v>
      </c>
      <c r="E83" s="45" t="s">
        <v>1348</v>
      </c>
      <c r="F83" s="45" t="s">
        <v>1427</v>
      </c>
      <c r="G83" s="45" t="s">
        <v>1423</v>
      </c>
      <c r="K83" s="46" t="s">
        <v>1424</v>
      </c>
      <c r="L83" s="45" t="s">
        <v>1279</v>
      </c>
      <c r="M83" s="49" t="s">
        <v>1425</v>
      </c>
      <c r="N83" s="46" t="s">
        <v>1833</v>
      </c>
      <c r="O83" s="45" t="s">
        <v>1428</v>
      </c>
      <c r="P83" s="45" t="str">
        <f t="shared" si="0"/>
        <v>F010</v>
      </c>
      <c r="Q83" s="46" t="s">
        <v>127</v>
      </c>
      <c r="S83" s="50">
        <v>20</v>
      </c>
      <c r="T83" s="45" t="s">
        <v>302</v>
      </c>
      <c r="U83" s="49" t="s">
        <v>1425</v>
      </c>
      <c r="V83" s="49" t="s">
        <v>1426</v>
      </c>
      <c r="Y83" s="51">
        <v>15533.33</v>
      </c>
      <c r="AB83" s="52">
        <v>15533.33</v>
      </c>
    </row>
    <row r="84" spans="2:28" x14ac:dyDescent="0.2">
      <c r="B84" s="42" t="s">
        <v>1321</v>
      </c>
      <c r="C84" s="36"/>
      <c r="D84" s="36"/>
      <c r="F84" s="1" t="s">
        <v>1346</v>
      </c>
      <c r="G84" s="1" t="s">
        <v>1429</v>
      </c>
      <c r="K84" s="42" t="s">
        <v>1251</v>
      </c>
      <c r="L84" s="1" t="s">
        <v>1279</v>
      </c>
      <c r="M84" s="30" t="s">
        <v>1430</v>
      </c>
      <c r="N84" s="42" t="s">
        <v>1286</v>
      </c>
      <c r="O84" s="1" t="s">
        <v>1347</v>
      </c>
      <c r="P84" s="34" t="str">
        <f t="shared" si="0"/>
        <v>F010</v>
      </c>
      <c r="Q84" s="42" t="s">
        <v>127</v>
      </c>
      <c r="S84" s="16">
        <v>20</v>
      </c>
      <c r="T84" s="1" t="s">
        <v>302</v>
      </c>
      <c r="U84" s="30" t="s">
        <v>1430</v>
      </c>
      <c r="V84" s="30" t="s">
        <v>1431</v>
      </c>
      <c r="Y84" s="43">
        <v>299145.3</v>
      </c>
      <c r="AB84" s="44">
        <v>74786.31</v>
      </c>
    </row>
    <row r="85" spans="2:28" x14ac:dyDescent="0.2">
      <c r="B85" s="42" t="s">
        <v>1321</v>
      </c>
      <c r="C85" s="36"/>
      <c r="D85" s="36"/>
      <c r="F85" s="1" t="s">
        <v>1432</v>
      </c>
      <c r="G85" s="1" t="s">
        <v>1433</v>
      </c>
      <c r="K85" s="42" t="s">
        <v>1252</v>
      </c>
      <c r="L85" s="1" t="s">
        <v>1279</v>
      </c>
      <c r="M85" s="30" t="s">
        <v>1434</v>
      </c>
      <c r="N85" s="42" t="s">
        <v>1287</v>
      </c>
      <c r="O85" s="1" t="s">
        <v>1435</v>
      </c>
      <c r="P85" s="34" t="str">
        <f t="shared" si="0"/>
        <v>F010</v>
      </c>
      <c r="Q85" s="42" t="s">
        <v>138</v>
      </c>
      <c r="S85" s="16">
        <v>20</v>
      </c>
      <c r="T85" s="1" t="s">
        <v>302</v>
      </c>
      <c r="U85" s="30" t="s">
        <v>1434</v>
      </c>
      <c r="V85" s="30" t="s">
        <v>1436</v>
      </c>
      <c r="Y85" s="43">
        <v>2284939.1</v>
      </c>
      <c r="AB85" s="44">
        <v>2284939.1</v>
      </c>
    </row>
    <row r="86" spans="2:28" x14ac:dyDescent="0.2">
      <c r="B86" s="42" t="s">
        <v>1321</v>
      </c>
      <c r="C86" s="36"/>
      <c r="D86" s="36"/>
      <c r="F86" s="1" t="s">
        <v>1437</v>
      </c>
      <c r="G86" s="1" t="s">
        <v>1438</v>
      </c>
      <c r="K86" s="42" t="s">
        <v>1253</v>
      </c>
      <c r="L86" s="1" t="s">
        <v>1279</v>
      </c>
      <c r="M86" s="30" t="s">
        <v>1439</v>
      </c>
      <c r="N86" s="42" t="s">
        <v>1287</v>
      </c>
      <c r="O86" s="1" t="s">
        <v>1440</v>
      </c>
      <c r="P86" s="34" t="str">
        <f t="shared" si="0"/>
        <v>F010</v>
      </c>
      <c r="Q86" s="42" t="s">
        <v>138</v>
      </c>
      <c r="S86" s="16">
        <v>20</v>
      </c>
      <c r="T86" s="1" t="s">
        <v>302</v>
      </c>
      <c r="U86" s="30" t="s">
        <v>1439</v>
      </c>
      <c r="V86" s="30" t="s">
        <v>1441</v>
      </c>
      <c r="Y86" s="43">
        <v>591810</v>
      </c>
      <c r="AB86" s="44">
        <v>591810</v>
      </c>
    </row>
    <row r="87" spans="2:28" s="45" customFormat="1" x14ac:dyDescent="0.2">
      <c r="B87" s="46" t="s">
        <v>1321</v>
      </c>
      <c r="C87" s="47">
        <v>40152</v>
      </c>
      <c r="D87" s="48">
        <f t="shared" ref="D87:D94" si="2">+C87/100000</f>
        <v>0.40151999999999999</v>
      </c>
      <c r="E87" s="46" t="s">
        <v>1331</v>
      </c>
      <c r="F87" s="45" t="s">
        <v>1346</v>
      </c>
      <c r="G87" s="45" t="s">
        <v>1442</v>
      </c>
      <c r="K87" s="46" t="s">
        <v>1443</v>
      </c>
      <c r="L87" s="45" t="s">
        <v>1279</v>
      </c>
      <c r="M87" s="49" t="s">
        <v>1444</v>
      </c>
      <c r="N87" s="46" t="s">
        <v>1837</v>
      </c>
      <c r="O87" s="45" t="s">
        <v>1347</v>
      </c>
      <c r="P87" s="45" t="str">
        <f t="shared" si="0"/>
        <v>F010</v>
      </c>
      <c r="Q87" s="46" t="s">
        <v>137</v>
      </c>
      <c r="S87" s="50">
        <v>20</v>
      </c>
      <c r="T87" s="45" t="s">
        <v>302</v>
      </c>
      <c r="U87" s="49" t="s">
        <v>1444</v>
      </c>
      <c r="V87" s="49" t="s">
        <v>1330</v>
      </c>
      <c r="Y87" s="51">
        <v>68825.83</v>
      </c>
      <c r="AB87" s="52">
        <v>68825.83</v>
      </c>
    </row>
    <row r="88" spans="2:28" s="45" customFormat="1" x14ac:dyDescent="0.2">
      <c r="B88" s="46" t="s">
        <v>1321</v>
      </c>
      <c r="C88" s="47">
        <v>21216</v>
      </c>
      <c r="D88" s="48">
        <f t="shared" si="2"/>
        <v>0.21215999999999999</v>
      </c>
      <c r="E88" s="46" t="s">
        <v>1337</v>
      </c>
      <c r="F88" s="45" t="s">
        <v>1432</v>
      </c>
      <c r="G88" s="45" t="s">
        <v>1442</v>
      </c>
      <c r="K88" s="46" t="s">
        <v>1443</v>
      </c>
      <c r="L88" s="45" t="s">
        <v>1279</v>
      </c>
      <c r="M88" s="49" t="s">
        <v>1444</v>
      </c>
      <c r="N88" s="46" t="s">
        <v>1573</v>
      </c>
      <c r="O88" s="45" t="s">
        <v>1435</v>
      </c>
      <c r="P88" s="45" t="str">
        <f t="shared" si="0"/>
        <v>F010</v>
      </c>
      <c r="Q88" s="46" t="s">
        <v>137</v>
      </c>
      <c r="S88" s="50">
        <v>20</v>
      </c>
      <c r="T88" s="45" t="s">
        <v>302</v>
      </c>
      <c r="U88" s="49" t="s">
        <v>1444</v>
      </c>
      <c r="V88" s="49" t="s">
        <v>1330</v>
      </c>
      <c r="Y88" s="51">
        <v>36367.040000000001</v>
      </c>
      <c r="AB88" s="52">
        <v>36367.040000000001</v>
      </c>
    </row>
    <row r="89" spans="2:28" s="45" customFormat="1" x14ac:dyDescent="0.2">
      <c r="B89" s="46" t="s">
        <v>1321</v>
      </c>
      <c r="C89" s="47">
        <v>1520</v>
      </c>
      <c r="D89" s="48">
        <f t="shared" si="2"/>
        <v>1.52E-2</v>
      </c>
      <c r="E89" s="46" t="s">
        <v>1348</v>
      </c>
      <c r="F89" s="45" t="s">
        <v>1445</v>
      </c>
      <c r="G89" s="45" t="s">
        <v>1442</v>
      </c>
      <c r="K89" s="46" t="s">
        <v>1443</v>
      </c>
      <c r="L89" s="45" t="s">
        <v>1279</v>
      </c>
      <c r="M89" s="49" t="s">
        <v>1444</v>
      </c>
      <c r="N89" s="46" t="s">
        <v>1573</v>
      </c>
      <c r="O89" s="45" t="s">
        <v>1446</v>
      </c>
      <c r="P89" s="45" t="str">
        <f t="shared" si="0"/>
        <v>F010</v>
      </c>
      <c r="Q89" s="46" t="s">
        <v>137</v>
      </c>
      <c r="S89" s="50">
        <v>20</v>
      </c>
      <c r="T89" s="45" t="s">
        <v>302</v>
      </c>
      <c r="U89" s="49" t="s">
        <v>1444</v>
      </c>
      <c r="V89" s="49" t="s">
        <v>1330</v>
      </c>
      <c r="Y89" s="51">
        <v>2605.48</v>
      </c>
      <c r="AB89" s="52">
        <v>2605.48</v>
      </c>
    </row>
    <row r="90" spans="2:28" s="45" customFormat="1" x14ac:dyDescent="0.2">
      <c r="B90" s="46" t="s">
        <v>1321</v>
      </c>
      <c r="C90" s="47">
        <v>10574</v>
      </c>
      <c r="D90" s="48">
        <f t="shared" si="2"/>
        <v>0.10574</v>
      </c>
      <c r="E90" s="46" t="s">
        <v>1351</v>
      </c>
      <c r="F90" s="45" t="s">
        <v>1346</v>
      </c>
      <c r="G90" s="45" t="s">
        <v>1442</v>
      </c>
      <c r="K90" s="46" t="s">
        <v>1443</v>
      </c>
      <c r="L90" s="45" t="s">
        <v>1279</v>
      </c>
      <c r="M90" s="49" t="s">
        <v>1444</v>
      </c>
      <c r="N90" s="46" t="s">
        <v>1577</v>
      </c>
      <c r="O90" s="45" t="s">
        <v>1347</v>
      </c>
      <c r="P90" s="45" t="str">
        <f t="shared" si="0"/>
        <v>F010</v>
      </c>
      <c r="Q90" s="46" t="s">
        <v>137</v>
      </c>
      <c r="S90" s="50">
        <v>20</v>
      </c>
      <c r="T90" s="45" t="s">
        <v>302</v>
      </c>
      <c r="U90" s="49" t="s">
        <v>1444</v>
      </c>
      <c r="V90" s="49" t="s">
        <v>1330</v>
      </c>
      <c r="Y90" s="51">
        <v>18125.240000000002</v>
      </c>
      <c r="AB90" s="52">
        <v>18125.240000000002</v>
      </c>
    </row>
    <row r="91" spans="2:28" s="45" customFormat="1" x14ac:dyDescent="0.2">
      <c r="B91" s="46" t="s">
        <v>1321</v>
      </c>
      <c r="C91" s="47">
        <v>3801</v>
      </c>
      <c r="D91" s="48">
        <f t="shared" si="2"/>
        <v>3.8010000000000002E-2</v>
      </c>
      <c r="E91" s="46" t="s">
        <v>1352</v>
      </c>
      <c r="F91" s="45" t="s">
        <v>1432</v>
      </c>
      <c r="G91" s="45" t="s">
        <v>1442</v>
      </c>
      <c r="K91" s="46" t="s">
        <v>1443</v>
      </c>
      <c r="L91" s="45" t="s">
        <v>1279</v>
      </c>
      <c r="M91" s="49" t="s">
        <v>1444</v>
      </c>
      <c r="N91" s="46" t="s">
        <v>1285</v>
      </c>
      <c r="O91" s="45" t="s">
        <v>1435</v>
      </c>
      <c r="P91" s="45" t="str">
        <f t="shared" si="0"/>
        <v>F010</v>
      </c>
      <c r="Q91" s="46" t="s">
        <v>137</v>
      </c>
      <c r="S91" s="50">
        <v>20</v>
      </c>
      <c r="T91" s="45" t="s">
        <v>302</v>
      </c>
      <c r="U91" s="49" t="s">
        <v>1444</v>
      </c>
      <c r="V91" s="49" t="s">
        <v>1330</v>
      </c>
      <c r="Y91" s="51">
        <v>6515.42</v>
      </c>
      <c r="AB91" s="52">
        <v>6515.42</v>
      </c>
    </row>
    <row r="92" spans="2:28" s="45" customFormat="1" x14ac:dyDescent="0.2">
      <c r="B92" s="46" t="s">
        <v>1321</v>
      </c>
      <c r="C92" s="47">
        <v>2281</v>
      </c>
      <c r="D92" s="48">
        <f t="shared" si="2"/>
        <v>2.281E-2</v>
      </c>
      <c r="E92" s="46" t="s">
        <v>1353</v>
      </c>
      <c r="F92" s="45" t="s">
        <v>1447</v>
      </c>
      <c r="G92" s="45" t="s">
        <v>1442</v>
      </c>
      <c r="K92" s="46" t="s">
        <v>1443</v>
      </c>
      <c r="L92" s="45" t="s">
        <v>1279</v>
      </c>
      <c r="M92" s="49" t="s">
        <v>1444</v>
      </c>
      <c r="N92" s="46" t="s">
        <v>3337</v>
      </c>
      <c r="O92" s="45" t="s">
        <v>1448</v>
      </c>
      <c r="P92" s="45" t="str">
        <f t="shared" si="0"/>
        <v>F010</v>
      </c>
      <c r="Q92" s="46" t="s">
        <v>137</v>
      </c>
      <c r="S92" s="50">
        <v>20</v>
      </c>
      <c r="T92" s="45" t="s">
        <v>302</v>
      </c>
      <c r="U92" s="49" t="s">
        <v>1444</v>
      </c>
      <c r="V92" s="49" t="s">
        <v>1330</v>
      </c>
      <c r="Y92" s="51">
        <v>3909.94</v>
      </c>
      <c r="AB92" s="52">
        <v>3909.94</v>
      </c>
    </row>
    <row r="93" spans="2:28" s="45" customFormat="1" x14ac:dyDescent="0.2">
      <c r="B93" s="46" t="s">
        <v>1321</v>
      </c>
      <c r="C93" s="47">
        <v>3801</v>
      </c>
      <c r="D93" s="48">
        <f t="shared" si="2"/>
        <v>3.8010000000000002E-2</v>
      </c>
      <c r="E93" s="46" t="s">
        <v>1367</v>
      </c>
      <c r="F93" s="45" t="s">
        <v>1346</v>
      </c>
      <c r="G93" s="45" t="s">
        <v>1442</v>
      </c>
      <c r="K93" s="46" t="s">
        <v>1443</v>
      </c>
      <c r="L93" s="45" t="s">
        <v>1279</v>
      </c>
      <c r="M93" s="49" t="s">
        <v>1444</v>
      </c>
      <c r="N93" s="46" t="s">
        <v>3222</v>
      </c>
      <c r="O93" s="45" t="s">
        <v>1347</v>
      </c>
      <c r="P93" s="45" t="str">
        <f t="shared" si="0"/>
        <v>F010</v>
      </c>
      <c r="Q93" s="46" t="s">
        <v>137</v>
      </c>
      <c r="S93" s="50">
        <v>20</v>
      </c>
      <c r="T93" s="45" t="s">
        <v>302</v>
      </c>
      <c r="U93" s="49" t="s">
        <v>1444</v>
      </c>
      <c r="V93" s="49" t="s">
        <v>1330</v>
      </c>
      <c r="Y93" s="51">
        <v>6515.42</v>
      </c>
      <c r="AB93" s="52">
        <v>6515.42</v>
      </c>
    </row>
    <row r="94" spans="2:28" s="45" customFormat="1" x14ac:dyDescent="0.2">
      <c r="B94" s="46" t="s">
        <v>1321</v>
      </c>
      <c r="C94" s="47">
        <v>16655</v>
      </c>
      <c r="D94" s="48">
        <f t="shared" si="2"/>
        <v>0.16655</v>
      </c>
      <c r="E94" s="46" t="s">
        <v>1449</v>
      </c>
      <c r="F94" s="45" t="s">
        <v>1432</v>
      </c>
      <c r="G94" s="45" t="s">
        <v>1442</v>
      </c>
      <c r="K94" s="46" t="s">
        <v>1443</v>
      </c>
      <c r="L94" s="45" t="s">
        <v>1279</v>
      </c>
      <c r="M94" s="49" t="s">
        <v>1444</v>
      </c>
      <c r="N94" s="46" t="s">
        <v>3072</v>
      </c>
      <c r="O94" s="45" t="s">
        <v>1435</v>
      </c>
      <c r="P94" s="45" t="str">
        <f t="shared" si="0"/>
        <v>F010</v>
      </c>
      <c r="Q94" s="46" t="s">
        <v>137</v>
      </c>
      <c r="S94" s="50">
        <v>20</v>
      </c>
      <c r="T94" s="45" t="s">
        <v>302</v>
      </c>
      <c r="U94" s="49" t="s">
        <v>1444</v>
      </c>
      <c r="V94" s="49" t="s">
        <v>1330</v>
      </c>
      <c r="Y94" s="51">
        <v>28548.880000000001</v>
      </c>
      <c r="AB94" s="52">
        <v>28548.880000000001</v>
      </c>
    </row>
    <row r="95" spans="2:28" x14ac:dyDescent="0.2">
      <c r="B95" s="42" t="s">
        <v>1321</v>
      </c>
      <c r="C95" s="36"/>
      <c r="D95" s="36"/>
      <c r="E95" s="42"/>
      <c r="F95" s="1" t="s">
        <v>1340</v>
      </c>
      <c r="G95" s="1" t="s">
        <v>1450</v>
      </c>
      <c r="K95" s="42" t="s">
        <v>1254</v>
      </c>
      <c r="L95" s="1" t="s">
        <v>1279</v>
      </c>
      <c r="M95" s="30" t="s">
        <v>1451</v>
      </c>
      <c r="N95" s="42" t="s">
        <v>1281</v>
      </c>
      <c r="O95" s="1" t="s">
        <v>1344</v>
      </c>
      <c r="P95" s="34" t="str">
        <f t="shared" si="0"/>
        <v>F010</v>
      </c>
      <c r="Q95" s="42" t="s">
        <v>137</v>
      </c>
      <c r="S95" s="16">
        <v>20</v>
      </c>
      <c r="T95" s="1" t="s">
        <v>302</v>
      </c>
      <c r="U95" s="30" t="s">
        <v>1451</v>
      </c>
      <c r="V95" s="30" t="s">
        <v>1330</v>
      </c>
      <c r="Y95" s="43">
        <v>11799801.57</v>
      </c>
      <c r="AB95" s="44">
        <v>11799801.57</v>
      </c>
    </row>
    <row r="96" spans="2:28" x14ac:dyDescent="0.2">
      <c r="B96" s="42" t="s">
        <v>1321</v>
      </c>
      <c r="C96" s="36"/>
      <c r="D96" s="36"/>
      <c r="F96" s="1" t="s">
        <v>1346</v>
      </c>
      <c r="G96" s="1" t="s">
        <v>1452</v>
      </c>
      <c r="K96" s="42" t="s">
        <v>1255</v>
      </c>
      <c r="L96" s="1" t="s">
        <v>1279</v>
      </c>
      <c r="M96" s="30" t="s">
        <v>1453</v>
      </c>
      <c r="N96" s="42" t="s">
        <v>1283</v>
      </c>
      <c r="O96" s="1" t="s">
        <v>1347</v>
      </c>
      <c r="P96" s="34" t="str">
        <f t="shared" si="0"/>
        <v>F010</v>
      </c>
      <c r="Q96" s="42" t="s">
        <v>137</v>
      </c>
      <c r="S96" s="16">
        <v>20</v>
      </c>
      <c r="T96" s="1" t="s">
        <v>302</v>
      </c>
      <c r="U96" s="30" t="s">
        <v>1453</v>
      </c>
      <c r="V96" s="30" t="s">
        <v>1330</v>
      </c>
      <c r="Y96" s="43">
        <v>105010</v>
      </c>
      <c r="AB96" s="44">
        <v>105010</v>
      </c>
    </row>
    <row r="97" spans="2:28" x14ac:dyDescent="0.2">
      <c r="B97" s="42" t="s">
        <v>1321</v>
      </c>
      <c r="C97" s="36"/>
      <c r="D97" s="36"/>
      <c r="F97" s="1" t="s">
        <v>1432</v>
      </c>
      <c r="G97" s="1" t="s">
        <v>1454</v>
      </c>
      <c r="K97" s="42" t="s">
        <v>1256</v>
      </c>
      <c r="L97" s="1" t="s">
        <v>1279</v>
      </c>
      <c r="M97" s="30" t="s">
        <v>1453</v>
      </c>
      <c r="N97" s="42" t="s">
        <v>1283</v>
      </c>
      <c r="O97" s="1" t="s">
        <v>1435</v>
      </c>
      <c r="P97" s="34" t="str">
        <f t="shared" si="0"/>
        <v>F010</v>
      </c>
      <c r="Q97" s="42" t="s">
        <v>137</v>
      </c>
      <c r="S97" s="16">
        <v>20</v>
      </c>
      <c r="T97" s="1" t="s">
        <v>302</v>
      </c>
      <c r="U97" s="30" t="s">
        <v>1453</v>
      </c>
      <c r="V97" s="30" t="s">
        <v>1330</v>
      </c>
      <c r="Y97" s="43">
        <v>144000</v>
      </c>
      <c r="AB97" s="44">
        <v>144000</v>
      </c>
    </row>
    <row r="98" spans="2:28" x14ac:dyDescent="0.2">
      <c r="B98" s="42" t="s">
        <v>1321</v>
      </c>
      <c r="C98" s="36"/>
      <c r="D98" s="36"/>
      <c r="F98" s="1" t="s">
        <v>1384</v>
      </c>
      <c r="G98" s="1" t="s">
        <v>1455</v>
      </c>
      <c r="K98" s="42" t="s">
        <v>1257</v>
      </c>
      <c r="L98" s="1" t="s">
        <v>1279</v>
      </c>
      <c r="M98" s="30" t="s">
        <v>1456</v>
      </c>
      <c r="N98" s="42" t="s">
        <v>1288</v>
      </c>
      <c r="O98" s="1" t="s">
        <v>1385</v>
      </c>
      <c r="P98" s="34" t="str">
        <f t="shared" si="0"/>
        <v>F010</v>
      </c>
      <c r="Q98" s="42" t="s">
        <v>1296</v>
      </c>
      <c r="S98" s="16">
        <v>20</v>
      </c>
      <c r="T98" s="1" t="s">
        <v>302</v>
      </c>
      <c r="U98" s="30" t="s">
        <v>1456</v>
      </c>
      <c r="V98" s="30" t="s">
        <v>1457</v>
      </c>
      <c r="Y98" s="43">
        <v>333000</v>
      </c>
      <c r="AB98" s="44">
        <v>333000</v>
      </c>
    </row>
    <row r="99" spans="2:28" x14ac:dyDescent="0.2">
      <c r="B99" s="42" t="s">
        <v>1321</v>
      </c>
      <c r="C99" s="36"/>
      <c r="D99" s="36"/>
      <c r="F99" s="1" t="s">
        <v>1346</v>
      </c>
      <c r="G99" s="1" t="s">
        <v>1458</v>
      </c>
      <c r="K99" s="42" t="s">
        <v>1258</v>
      </c>
      <c r="L99" s="1" t="s">
        <v>1279</v>
      </c>
      <c r="M99" s="30" t="s">
        <v>1343</v>
      </c>
      <c r="N99" s="42" t="s">
        <v>1289</v>
      </c>
      <c r="O99" s="1" t="s">
        <v>1347</v>
      </c>
      <c r="P99" s="34" t="str">
        <f t="shared" si="0"/>
        <v>F010</v>
      </c>
      <c r="Q99" s="42" t="s">
        <v>1297</v>
      </c>
      <c r="S99" s="16">
        <v>20</v>
      </c>
      <c r="T99" s="1" t="s">
        <v>302</v>
      </c>
      <c r="U99" s="30" t="s">
        <v>1343</v>
      </c>
      <c r="V99" s="30" t="s">
        <v>1459</v>
      </c>
      <c r="Y99" s="43">
        <v>405040</v>
      </c>
      <c r="AB99" s="44">
        <v>405040</v>
      </c>
    </row>
    <row r="100" spans="2:28" x14ac:dyDescent="0.2">
      <c r="B100" s="42" t="s">
        <v>1321</v>
      </c>
      <c r="C100" s="36"/>
      <c r="D100" s="36"/>
      <c r="F100" s="1" t="s">
        <v>1432</v>
      </c>
      <c r="G100" s="1" t="s">
        <v>1458</v>
      </c>
      <c r="K100" s="42" t="s">
        <v>1259</v>
      </c>
      <c r="L100" s="1" t="s">
        <v>1279</v>
      </c>
      <c r="M100" s="30" t="s">
        <v>1329</v>
      </c>
      <c r="N100" s="42" t="s">
        <v>1289</v>
      </c>
      <c r="O100" s="1" t="s">
        <v>1435</v>
      </c>
      <c r="P100" s="34" t="str">
        <f t="shared" si="0"/>
        <v>F010</v>
      </c>
      <c r="Q100" s="42" t="s">
        <v>131</v>
      </c>
      <c r="S100" s="16">
        <v>20</v>
      </c>
      <c r="T100" s="1" t="s">
        <v>302</v>
      </c>
      <c r="U100" s="30" t="s">
        <v>1329</v>
      </c>
      <c r="V100" s="30" t="s">
        <v>1460</v>
      </c>
      <c r="Y100" s="43">
        <v>203744.82</v>
      </c>
      <c r="AB100" s="44">
        <v>203744.82</v>
      </c>
    </row>
    <row r="101" spans="2:28" x14ac:dyDescent="0.2">
      <c r="B101" s="42" t="s">
        <v>1321</v>
      </c>
      <c r="C101" s="36"/>
      <c r="D101" s="36"/>
      <c r="F101" s="1" t="s">
        <v>1461</v>
      </c>
      <c r="G101" s="1" t="s">
        <v>1462</v>
      </c>
      <c r="K101" s="42" t="s">
        <v>1260</v>
      </c>
      <c r="L101" s="1" t="s">
        <v>1279</v>
      </c>
      <c r="M101" s="30" t="s">
        <v>1463</v>
      </c>
      <c r="N101" s="42" t="s">
        <v>1290</v>
      </c>
      <c r="O101" s="1" t="s">
        <v>1464</v>
      </c>
      <c r="P101" s="34" t="str">
        <f t="shared" si="0"/>
        <v>F010</v>
      </c>
      <c r="Q101" s="42" t="s">
        <v>137</v>
      </c>
      <c r="S101" s="16">
        <v>20</v>
      </c>
      <c r="T101" s="1" t="s">
        <v>302</v>
      </c>
      <c r="U101" s="30" t="s">
        <v>1463</v>
      </c>
      <c r="V101" s="30" t="s">
        <v>1465</v>
      </c>
      <c r="Y101" s="43">
        <v>1000496.4</v>
      </c>
      <c r="AB101" s="44">
        <v>472456.68</v>
      </c>
    </row>
    <row r="102" spans="2:28" x14ac:dyDescent="0.2">
      <c r="B102" s="42" t="s">
        <v>1321</v>
      </c>
      <c r="C102" s="36"/>
      <c r="D102" s="36"/>
      <c r="F102" s="1" t="s">
        <v>1461</v>
      </c>
      <c r="G102" s="1" t="s">
        <v>1466</v>
      </c>
      <c r="K102" s="42" t="s">
        <v>1261</v>
      </c>
      <c r="L102" s="1" t="s">
        <v>1279</v>
      </c>
      <c r="M102" s="30" t="s">
        <v>1467</v>
      </c>
      <c r="N102" s="42" t="s">
        <v>1290</v>
      </c>
      <c r="O102" s="1" t="s">
        <v>1464</v>
      </c>
      <c r="P102" s="34" t="str">
        <f t="shared" si="0"/>
        <v>F010</v>
      </c>
      <c r="Q102" s="42" t="s">
        <v>1136</v>
      </c>
      <c r="S102" s="16">
        <v>20</v>
      </c>
      <c r="T102" s="1" t="s">
        <v>302</v>
      </c>
      <c r="U102" s="30" t="s">
        <v>1467</v>
      </c>
      <c r="V102" s="30" t="s">
        <v>1468</v>
      </c>
      <c r="Y102" s="43">
        <v>284909</v>
      </c>
      <c r="AB102" s="44">
        <v>284909</v>
      </c>
    </row>
    <row r="103" spans="2:28" x14ac:dyDescent="0.2">
      <c r="B103" s="42" t="s">
        <v>1321</v>
      </c>
      <c r="C103" s="36"/>
      <c r="D103" s="36"/>
      <c r="F103" s="1" t="s">
        <v>1469</v>
      </c>
      <c r="G103" s="1" t="s">
        <v>1470</v>
      </c>
      <c r="K103" s="42" t="s">
        <v>1262</v>
      </c>
      <c r="L103" s="1" t="s">
        <v>1279</v>
      </c>
      <c r="M103" s="30" t="s">
        <v>1471</v>
      </c>
      <c r="N103" s="42" t="s">
        <v>1290</v>
      </c>
      <c r="O103" s="1" t="s">
        <v>1472</v>
      </c>
      <c r="P103" s="34" t="str">
        <f t="shared" si="0"/>
        <v>F010</v>
      </c>
      <c r="Q103" s="42" t="s">
        <v>1297</v>
      </c>
      <c r="S103" s="16">
        <v>20</v>
      </c>
      <c r="T103" s="1" t="s">
        <v>302</v>
      </c>
      <c r="U103" s="30" t="s">
        <v>1471</v>
      </c>
      <c r="V103" s="30" t="s">
        <v>1473</v>
      </c>
      <c r="Y103" s="43">
        <v>225475.01</v>
      </c>
      <c r="AB103" s="44">
        <v>225475.01</v>
      </c>
    </row>
    <row r="104" spans="2:28" x14ac:dyDescent="0.2">
      <c r="B104" s="42" t="s">
        <v>1321</v>
      </c>
      <c r="C104" s="36"/>
      <c r="D104" s="36"/>
      <c r="F104" s="1" t="s">
        <v>1469</v>
      </c>
      <c r="G104" s="1" t="s">
        <v>1474</v>
      </c>
      <c r="K104" s="42" t="s">
        <v>1263</v>
      </c>
      <c r="L104" s="1" t="s">
        <v>1279</v>
      </c>
      <c r="M104" s="30" t="s">
        <v>1444</v>
      </c>
      <c r="N104" s="42" t="s">
        <v>1291</v>
      </c>
      <c r="O104" s="1" t="s">
        <v>1472</v>
      </c>
      <c r="P104" s="34" t="str">
        <f t="shared" si="0"/>
        <v>F010</v>
      </c>
      <c r="Q104" s="42" t="s">
        <v>137</v>
      </c>
      <c r="S104" s="16">
        <v>20</v>
      </c>
      <c r="T104" s="1" t="s">
        <v>302</v>
      </c>
      <c r="U104" s="30" t="s">
        <v>1444</v>
      </c>
      <c r="V104" s="30" t="s">
        <v>1330</v>
      </c>
      <c r="Y104" s="43">
        <v>175310</v>
      </c>
      <c r="AB104" s="44">
        <v>175310</v>
      </c>
    </row>
    <row r="105" spans="2:28" x14ac:dyDescent="0.2">
      <c r="B105" s="42" t="s">
        <v>1321</v>
      </c>
      <c r="C105" s="36"/>
      <c r="D105" s="36"/>
      <c r="F105" s="1" t="s">
        <v>1322</v>
      </c>
      <c r="G105" s="1" t="s">
        <v>1475</v>
      </c>
      <c r="K105" s="42" t="s">
        <v>1264</v>
      </c>
      <c r="L105" s="1" t="s">
        <v>1279</v>
      </c>
      <c r="M105" s="30" t="s">
        <v>1476</v>
      </c>
      <c r="N105" s="42" t="s">
        <v>1292</v>
      </c>
      <c r="O105" s="1" t="s">
        <v>1326</v>
      </c>
      <c r="P105" s="34" t="str">
        <f t="shared" si="0"/>
        <v>F010</v>
      </c>
      <c r="Q105" s="42" t="s">
        <v>133</v>
      </c>
      <c r="S105" s="16">
        <v>20</v>
      </c>
      <c r="T105" s="1" t="s">
        <v>302</v>
      </c>
      <c r="U105" s="30" t="s">
        <v>1476</v>
      </c>
      <c r="V105" s="30" t="s">
        <v>1477</v>
      </c>
      <c r="Y105" s="43">
        <v>931992.8</v>
      </c>
      <c r="AB105" s="44">
        <v>99856.38</v>
      </c>
    </row>
    <row r="106" spans="2:28" s="45" customFormat="1" x14ac:dyDescent="0.2">
      <c r="B106" s="46" t="s">
        <v>1321</v>
      </c>
      <c r="C106" s="47">
        <v>50000</v>
      </c>
      <c r="D106" s="48">
        <f t="shared" ref="D106:D113" si="3">+C106/100000</f>
        <v>0.5</v>
      </c>
      <c r="E106" s="45" t="s">
        <v>1331</v>
      </c>
      <c r="F106" s="45" t="s">
        <v>1322</v>
      </c>
      <c r="G106" s="45" t="s">
        <v>1478</v>
      </c>
      <c r="K106" s="46" t="s">
        <v>1479</v>
      </c>
      <c r="L106" s="45" t="s">
        <v>1279</v>
      </c>
      <c r="M106" s="49" t="s">
        <v>1480</v>
      </c>
      <c r="N106" s="46" t="s">
        <v>1573</v>
      </c>
      <c r="O106" s="45" t="s">
        <v>1326</v>
      </c>
      <c r="P106" s="45" t="str">
        <f t="shared" si="0"/>
        <v>F010</v>
      </c>
      <c r="Q106" s="46" t="s">
        <v>137</v>
      </c>
      <c r="S106" s="50">
        <v>20</v>
      </c>
      <c r="T106" s="45" t="s">
        <v>302</v>
      </c>
      <c r="U106" s="49" t="s">
        <v>1480</v>
      </c>
      <c r="V106" s="49" t="s">
        <v>1481</v>
      </c>
      <c r="Y106" s="51">
        <v>293974.58</v>
      </c>
      <c r="AB106" s="52">
        <v>65327.68</v>
      </c>
    </row>
    <row r="107" spans="2:28" s="45" customFormat="1" x14ac:dyDescent="0.2">
      <c r="B107" s="46" t="s">
        <v>1321</v>
      </c>
      <c r="C107" s="47">
        <v>50000</v>
      </c>
      <c r="D107" s="48">
        <f t="shared" si="3"/>
        <v>0.5</v>
      </c>
      <c r="E107" s="45" t="s">
        <v>1337</v>
      </c>
      <c r="F107" s="45" t="s">
        <v>1322</v>
      </c>
      <c r="G107" s="45" t="s">
        <v>1478</v>
      </c>
      <c r="K107" s="46" t="s">
        <v>1479</v>
      </c>
      <c r="L107" s="45" t="s">
        <v>1279</v>
      </c>
      <c r="M107" s="49" t="s">
        <v>1480</v>
      </c>
      <c r="N107" s="46" t="s">
        <v>3242</v>
      </c>
      <c r="O107" s="45" t="s">
        <v>1326</v>
      </c>
      <c r="P107" s="45" t="str">
        <f t="shared" si="0"/>
        <v>F010</v>
      </c>
      <c r="Q107" s="46" t="s">
        <v>137</v>
      </c>
      <c r="S107" s="50">
        <v>20</v>
      </c>
      <c r="T107" s="45" t="s">
        <v>302</v>
      </c>
      <c r="U107" s="49" t="s">
        <v>1480</v>
      </c>
      <c r="V107" s="49" t="s">
        <v>1481</v>
      </c>
      <c r="Y107" s="51">
        <v>293974.58</v>
      </c>
      <c r="AB107" s="52">
        <v>65327.68</v>
      </c>
    </row>
    <row r="108" spans="2:28" s="45" customFormat="1" x14ac:dyDescent="0.2">
      <c r="B108" s="46" t="s">
        <v>1321</v>
      </c>
      <c r="C108" s="47">
        <v>10000</v>
      </c>
      <c r="D108" s="48">
        <f t="shared" si="3"/>
        <v>0.1</v>
      </c>
      <c r="E108" s="46" t="s">
        <v>1331</v>
      </c>
      <c r="F108" s="45" t="s">
        <v>1322</v>
      </c>
      <c r="G108" s="45" t="s">
        <v>1482</v>
      </c>
      <c r="K108" s="46" t="s">
        <v>1483</v>
      </c>
      <c r="L108" s="45" t="s">
        <v>1279</v>
      </c>
      <c r="M108" s="49" t="s">
        <v>1484</v>
      </c>
      <c r="N108" s="46" t="s">
        <v>3337</v>
      </c>
      <c r="O108" s="45" t="s">
        <v>1326</v>
      </c>
      <c r="P108" s="45" t="str">
        <f t="shared" si="0"/>
        <v>F010</v>
      </c>
      <c r="Q108" s="46" t="s">
        <v>137</v>
      </c>
      <c r="S108" s="50">
        <v>20</v>
      </c>
      <c r="T108" s="45" t="s">
        <v>302</v>
      </c>
      <c r="U108" s="49" t="s">
        <v>1484</v>
      </c>
      <c r="V108" s="49" t="s">
        <v>1476</v>
      </c>
      <c r="Y108" s="51">
        <v>88518.01</v>
      </c>
      <c r="AB108" s="52">
        <v>88518.01</v>
      </c>
    </row>
    <row r="109" spans="2:28" s="45" customFormat="1" x14ac:dyDescent="0.2">
      <c r="B109" s="46" t="s">
        <v>1321</v>
      </c>
      <c r="C109" s="47">
        <v>16670</v>
      </c>
      <c r="D109" s="48">
        <f t="shared" si="3"/>
        <v>0.16669999999999999</v>
      </c>
      <c r="E109" s="46" t="s">
        <v>1337</v>
      </c>
      <c r="F109" s="45" t="s">
        <v>1485</v>
      </c>
      <c r="G109" s="45" t="s">
        <v>1482</v>
      </c>
      <c r="K109" s="46" t="s">
        <v>1483</v>
      </c>
      <c r="L109" s="45" t="s">
        <v>1279</v>
      </c>
      <c r="M109" s="49" t="s">
        <v>1484</v>
      </c>
      <c r="N109" s="46" t="s">
        <v>3222</v>
      </c>
      <c r="O109" s="45" t="s">
        <v>1486</v>
      </c>
      <c r="P109" s="45" t="str">
        <f t="shared" si="0"/>
        <v>F010</v>
      </c>
      <c r="Q109" s="46" t="s">
        <v>137</v>
      </c>
      <c r="S109" s="50">
        <v>20</v>
      </c>
      <c r="T109" s="45" t="s">
        <v>302</v>
      </c>
      <c r="U109" s="49" t="s">
        <v>1484</v>
      </c>
      <c r="V109" s="49" t="s">
        <v>1476</v>
      </c>
      <c r="Y109" s="51">
        <v>147559.51999999999</v>
      </c>
      <c r="AB109" s="52">
        <v>147559.51999999999</v>
      </c>
    </row>
    <row r="110" spans="2:28" s="45" customFormat="1" x14ac:dyDescent="0.2">
      <c r="B110" s="46" t="s">
        <v>1321</v>
      </c>
      <c r="C110" s="47">
        <v>73330</v>
      </c>
      <c r="D110" s="48">
        <f t="shared" si="3"/>
        <v>0.73329999999999995</v>
      </c>
      <c r="E110" s="46" t="s">
        <v>1348</v>
      </c>
      <c r="F110" s="45" t="s">
        <v>1487</v>
      </c>
      <c r="G110" s="45" t="s">
        <v>1482</v>
      </c>
      <c r="K110" s="46" t="s">
        <v>1483</v>
      </c>
      <c r="L110" s="45" t="s">
        <v>1279</v>
      </c>
      <c r="M110" s="49" t="s">
        <v>1484</v>
      </c>
      <c r="N110" s="46" t="s">
        <v>3072</v>
      </c>
      <c r="O110" s="45" t="s">
        <v>1488</v>
      </c>
      <c r="P110" s="45" t="str">
        <f t="shared" si="0"/>
        <v>F010</v>
      </c>
      <c r="Q110" s="46" t="s">
        <v>137</v>
      </c>
      <c r="S110" s="50">
        <v>20</v>
      </c>
      <c r="T110" s="45" t="s">
        <v>302</v>
      </c>
      <c r="U110" s="49" t="s">
        <v>1484</v>
      </c>
      <c r="V110" s="49" t="s">
        <v>1476</v>
      </c>
      <c r="Y110" s="51">
        <v>649102.56999999995</v>
      </c>
      <c r="AB110" s="52">
        <v>649102.56999999995</v>
      </c>
    </row>
    <row r="111" spans="2:28" s="45" customFormat="1" x14ac:dyDescent="0.2">
      <c r="B111" s="46" t="s">
        <v>1321</v>
      </c>
      <c r="C111" s="46">
        <v>76000</v>
      </c>
      <c r="D111" s="48">
        <f t="shared" si="3"/>
        <v>0.76</v>
      </c>
      <c r="E111" s="46" t="s">
        <v>1331</v>
      </c>
      <c r="F111" s="45" t="s">
        <v>1489</v>
      </c>
      <c r="G111" s="45" t="s">
        <v>1490</v>
      </c>
      <c r="K111" s="46" t="s">
        <v>1491</v>
      </c>
      <c r="L111" s="45" t="s">
        <v>1279</v>
      </c>
      <c r="M111" s="49" t="s">
        <v>1492</v>
      </c>
      <c r="N111" s="46" t="s">
        <v>3317</v>
      </c>
      <c r="O111" s="45" t="s">
        <v>1493</v>
      </c>
      <c r="P111" s="45" t="str">
        <f t="shared" si="0"/>
        <v>F010</v>
      </c>
      <c r="Q111" s="46" t="s">
        <v>137</v>
      </c>
      <c r="S111" s="50">
        <v>20</v>
      </c>
      <c r="T111" s="45" t="s">
        <v>302</v>
      </c>
      <c r="U111" s="49" t="s">
        <v>1492</v>
      </c>
      <c r="V111" s="49" t="s">
        <v>1330</v>
      </c>
      <c r="Y111" s="51">
        <v>1423631.62</v>
      </c>
      <c r="AB111" s="52">
        <v>1423631.62</v>
      </c>
    </row>
    <row r="112" spans="2:28" s="45" customFormat="1" x14ac:dyDescent="0.2">
      <c r="B112" s="46" t="s">
        <v>1321</v>
      </c>
      <c r="C112" s="46">
        <v>10000</v>
      </c>
      <c r="D112" s="48">
        <f t="shared" si="3"/>
        <v>0.1</v>
      </c>
      <c r="E112" s="46" t="s">
        <v>1337</v>
      </c>
      <c r="F112" s="45" t="s">
        <v>1469</v>
      </c>
      <c r="G112" s="45" t="s">
        <v>1490</v>
      </c>
      <c r="K112" s="46" t="s">
        <v>1491</v>
      </c>
      <c r="L112" s="45" t="s">
        <v>1279</v>
      </c>
      <c r="M112" s="49" t="s">
        <v>1492</v>
      </c>
      <c r="N112" s="46" t="s">
        <v>3092</v>
      </c>
      <c r="O112" s="45" t="s">
        <v>1472</v>
      </c>
      <c r="P112" s="45" t="str">
        <f t="shared" si="0"/>
        <v>F010</v>
      </c>
      <c r="Q112" s="46" t="s">
        <v>137</v>
      </c>
      <c r="S112" s="50">
        <v>20</v>
      </c>
      <c r="T112" s="45" t="s">
        <v>302</v>
      </c>
      <c r="U112" s="49" t="s">
        <v>1492</v>
      </c>
      <c r="V112" s="49" t="s">
        <v>1330</v>
      </c>
      <c r="Y112" s="51">
        <v>187319.95</v>
      </c>
      <c r="AB112" s="52">
        <v>187319.95</v>
      </c>
    </row>
    <row r="113" spans="2:28" s="45" customFormat="1" x14ac:dyDescent="0.2">
      <c r="B113" s="46" t="s">
        <v>1321</v>
      </c>
      <c r="C113" s="46">
        <v>14000</v>
      </c>
      <c r="D113" s="48">
        <f t="shared" si="3"/>
        <v>0.14000000000000001</v>
      </c>
      <c r="E113" s="46" t="s">
        <v>1348</v>
      </c>
      <c r="F113" s="45" t="s">
        <v>1469</v>
      </c>
      <c r="G113" s="45" t="s">
        <v>1490</v>
      </c>
      <c r="K113" s="46" t="s">
        <v>1491</v>
      </c>
      <c r="L113" s="45" t="s">
        <v>1279</v>
      </c>
      <c r="M113" s="49" t="s">
        <v>1492</v>
      </c>
      <c r="N113" s="46" t="s">
        <v>2925</v>
      </c>
      <c r="O113" s="45" t="s">
        <v>1472</v>
      </c>
      <c r="P113" s="45" t="str">
        <f t="shared" si="0"/>
        <v>F010</v>
      </c>
      <c r="Q113" s="46" t="s">
        <v>137</v>
      </c>
      <c r="S113" s="50">
        <v>20</v>
      </c>
      <c r="T113" s="45" t="s">
        <v>302</v>
      </c>
      <c r="U113" s="49" t="s">
        <v>1492</v>
      </c>
      <c r="V113" s="49" t="s">
        <v>1330</v>
      </c>
      <c r="Y113" s="51">
        <v>262247.93</v>
      </c>
      <c r="AB113" s="52">
        <v>262247.93</v>
      </c>
    </row>
    <row r="114" spans="2:28" x14ac:dyDescent="0.2">
      <c r="B114" s="42" t="s">
        <v>1321</v>
      </c>
      <c r="C114" s="36"/>
      <c r="D114" s="36"/>
      <c r="F114" s="1" t="s">
        <v>1469</v>
      </c>
      <c r="G114" s="1" t="s">
        <v>1494</v>
      </c>
      <c r="K114" s="42" t="s">
        <v>1265</v>
      </c>
      <c r="L114" s="1" t="s">
        <v>1279</v>
      </c>
      <c r="M114" s="30" t="s">
        <v>1492</v>
      </c>
      <c r="N114" s="42" t="s">
        <v>1281</v>
      </c>
      <c r="O114" s="1" t="s">
        <v>1472</v>
      </c>
      <c r="P114" s="34" t="str">
        <f t="shared" si="0"/>
        <v>F010</v>
      </c>
      <c r="Q114" s="42" t="s">
        <v>137</v>
      </c>
      <c r="S114" s="16">
        <v>20</v>
      </c>
      <c r="T114" s="1" t="s">
        <v>302</v>
      </c>
      <c r="U114" s="30" t="s">
        <v>1492</v>
      </c>
      <c r="V114" s="30" t="s">
        <v>1330</v>
      </c>
      <c r="Y114" s="43">
        <v>410490</v>
      </c>
      <c r="AB114" s="44">
        <v>410490</v>
      </c>
    </row>
    <row r="115" spans="2:28" x14ac:dyDescent="0.2">
      <c r="B115" s="42" t="s">
        <v>1321</v>
      </c>
      <c r="C115" s="36"/>
      <c r="D115" s="36"/>
      <c r="F115" s="1" t="s">
        <v>1322</v>
      </c>
      <c r="G115" s="1" t="s">
        <v>1495</v>
      </c>
      <c r="K115" s="42" t="s">
        <v>1266</v>
      </c>
      <c r="L115" s="1" t="s">
        <v>1279</v>
      </c>
      <c r="M115" s="30" t="s">
        <v>1453</v>
      </c>
      <c r="N115" s="42" t="s">
        <v>1283</v>
      </c>
      <c r="O115" s="1" t="s">
        <v>1326</v>
      </c>
      <c r="P115" s="34" t="str">
        <f t="shared" si="0"/>
        <v>F010</v>
      </c>
      <c r="Q115" s="42" t="s">
        <v>137</v>
      </c>
      <c r="S115" s="16">
        <v>20</v>
      </c>
      <c r="T115" s="1" t="s">
        <v>302</v>
      </c>
      <c r="U115" s="30" t="s">
        <v>1453</v>
      </c>
      <c r="V115" s="30" t="s">
        <v>1330</v>
      </c>
      <c r="Y115" s="43">
        <v>1566309.15</v>
      </c>
      <c r="AB115" s="44">
        <v>1566309.15</v>
      </c>
    </row>
    <row r="116" spans="2:28" x14ac:dyDescent="0.2">
      <c r="B116" s="42" t="s">
        <v>1321</v>
      </c>
      <c r="C116" s="36"/>
      <c r="D116" s="36"/>
      <c r="F116" s="1" t="s">
        <v>1322</v>
      </c>
      <c r="G116" s="1" t="s">
        <v>1496</v>
      </c>
      <c r="K116" s="42" t="s">
        <v>1267</v>
      </c>
      <c r="L116" s="1" t="s">
        <v>1279</v>
      </c>
      <c r="M116" s="30" t="s">
        <v>1497</v>
      </c>
      <c r="N116" s="42" t="s">
        <v>6087</v>
      </c>
      <c r="O116" s="1" t="s">
        <v>1326</v>
      </c>
      <c r="P116" s="34" t="str">
        <f t="shared" si="0"/>
        <v>F010</v>
      </c>
      <c r="Q116" s="42" t="s">
        <v>137</v>
      </c>
      <c r="S116" s="16">
        <v>20</v>
      </c>
      <c r="T116" s="1" t="s">
        <v>302</v>
      </c>
      <c r="U116" s="30" t="s">
        <v>1497</v>
      </c>
      <c r="V116" s="30" t="s">
        <v>1498</v>
      </c>
      <c r="Y116" s="43">
        <v>1261210</v>
      </c>
      <c r="AB116" s="44">
        <v>875840.25</v>
      </c>
    </row>
    <row r="117" spans="2:28" x14ac:dyDescent="0.2">
      <c r="B117" s="42" t="s">
        <v>1321</v>
      </c>
      <c r="C117" s="36"/>
      <c r="D117" s="36"/>
      <c r="F117" s="1" t="s">
        <v>1322</v>
      </c>
      <c r="G117" s="1" t="s">
        <v>1499</v>
      </c>
      <c r="K117" s="42" t="s">
        <v>1268</v>
      </c>
      <c r="L117" s="1" t="s">
        <v>1279</v>
      </c>
      <c r="M117" s="30" t="s">
        <v>1460</v>
      </c>
      <c r="N117" s="42" t="s">
        <v>1293</v>
      </c>
      <c r="O117" s="1" t="s">
        <v>1326</v>
      </c>
      <c r="P117" s="34" t="str">
        <f t="shared" si="0"/>
        <v>F010</v>
      </c>
      <c r="Q117" s="42" t="s">
        <v>134</v>
      </c>
      <c r="S117" s="16">
        <v>20</v>
      </c>
      <c r="T117" s="1" t="s">
        <v>302</v>
      </c>
      <c r="U117" s="30" t="s">
        <v>1460</v>
      </c>
      <c r="V117" s="30" t="s">
        <v>1500</v>
      </c>
      <c r="Y117" s="43">
        <v>343616.8</v>
      </c>
      <c r="AB117" s="44">
        <v>222886.56</v>
      </c>
    </row>
    <row r="118" spans="2:28" s="45" customFormat="1" x14ac:dyDescent="0.2">
      <c r="B118" s="46" t="s">
        <v>1321</v>
      </c>
      <c r="C118" s="47">
        <v>500</v>
      </c>
      <c r="D118" s="48">
        <f t="shared" ref="D118:D151" si="4">+C118/100000</f>
        <v>5.0000000000000001E-3</v>
      </c>
      <c r="E118" s="45" t="s">
        <v>1331</v>
      </c>
      <c r="F118" s="45" t="s">
        <v>1322</v>
      </c>
      <c r="G118" s="45" t="s">
        <v>1501</v>
      </c>
      <c r="K118" s="46" t="s">
        <v>1502</v>
      </c>
      <c r="L118" s="45" t="s">
        <v>1279</v>
      </c>
      <c r="M118" s="49" t="s">
        <v>1503</v>
      </c>
      <c r="N118" s="46" t="s">
        <v>1564</v>
      </c>
      <c r="O118" s="45" t="s">
        <v>1326</v>
      </c>
      <c r="P118" s="45" t="str">
        <f t="shared" si="0"/>
        <v>F010</v>
      </c>
      <c r="Q118" s="46" t="s">
        <v>127</v>
      </c>
      <c r="S118" s="50">
        <v>20</v>
      </c>
      <c r="T118" s="45" t="s">
        <v>302</v>
      </c>
      <c r="U118" s="49" t="s">
        <v>1503</v>
      </c>
      <c r="V118" s="45" t="s">
        <v>1504</v>
      </c>
      <c r="Y118" s="51">
        <v>321</v>
      </c>
      <c r="AB118" s="52">
        <v>40.069999999999993</v>
      </c>
    </row>
    <row r="119" spans="2:28" s="45" customFormat="1" x14ac:dyDescent="0.2">
      <c r="B119" s="46" t="s">
        <v>1321</v>
      </c>
      <c r="C119" s="47">
        <v>2600</v>
      </c>
      <c r="D119" s="48">
        <f t="shared" si="4"/>
        <v>2.5999999999999999E-2</v>
      </c>
      <c r="E119" s="45" t="s">
        <v>1357</v>
      </c>
      <c r="F119" s="45" t="s">
        <v>1322</v>
      </c>
      <c r="G119" s="45" t="s">
        <v>1501</v>
      </c>
      <c r="K119" s="46" t="s">
        <v>1502</v>
      </c>
      <c r="L119" s="45" t="s">
        <v>1279</v>
      </c>
      <c r="M119" s="49" t="s">
        <v>1503</v>
      </c>
      <c r="N119" s="46" t="s">
        <v>2495</v>
      </c>
      <c r="O119" s="45" t="s">
        <v>1326</v>
      </c>
      <c r="P119" s="45" t="str">
        <f t="shared" si="0"/>
        <v>F010</v>
      </c>
      <c r="Q119" s="46" t="s">
        <v>127</v>
      </c>
      <c r="S119" s="50">
        <v>20</v>
      </c>
      <c r="T119" s="45" t="s">
        <v>302</v>
      </c>
      <c r="U119" s="49" t="s">
        <v>1503</v>
      </c>
      <c r="V119" s="45" t="s">
        <v>1504</v>
      </c>
      <c r="Y119" s="51">
        <v>2782</v>
      </c>
      <c r="AB119" s="52">
        <v>347.75</v>
      </c>
    </row>
    <row r="120" spans="2:28" s="45" customFormat="1" x14ac:dyDescent="0.2">
      <c r="B120" s="46" t="s">
        <v>1321</v>
      </c>
      <c r="C120" s="47">
        <v>1900</v>
      </c>
      <c r="D120" s="48">
        <f t="shared" si="4"/>
        <v>1.9E-2</v>
      </c>
      <c r="E120" s="45" t="s">
        <v>1358</v>
      </c>
      <c r="F120" s="45" t="s">
        <v>1322</v>
      </c>
      <c r="G120" s="45" t="s">
        <v>1501</v>
      </c>
      <c r="K120" s="46" t="s">
        <v>1502</v>
      </c>
      <c r="L120" s="45" t="s">
        <v>1279</v>
      </c>
      <c r="M120" s="49" t="s">
        <v>1503</v>
      </c>
      <c r="N120" s="46" t="s">
        <v>2866</v>
      </c>
      <c r="O120" s="45" t="s">
        <v>1326</v>
      </c>
      <c r="P120" s="45" t="str">
        <f t="shared" si="0"/>
        <v>F010</v>
      </c>
      <c r="Q120" s="46" t="s">
        <v>127</v>
      </c>
      <c r="S120" s="50">
        <v>20</v>
      </c>
      <c r="T120" s="45" t="s">
        <v>302</v>
      </c>
      <c r="U120" s="49" t="s">
        <v>1503</v>
      </c>
      <c r="V120" s="45" t="s">
        <v>1504</v>
      </c>
      <c r="Y120" s="51">
        <v>2033</v>
      </c>
      <c r="AB120" s="52">
        <v>254.13</v>
      </c>
    </row>
    <row r="121" spans="2:28" s="45" customFormat="1" x14ac:dyDescent="0.2">
      <c r="B121" s="46" t="s">
        <v>1321</v>
      </c>
      <c r="C121" s="47">
        <v>1200</v>
      </c>
      <c r="D121" s="48">
        <f t="shared" si="4"/>
        <v>1.2E-2</v>
      </c>
      <c r="E121" s="45" t="s">
        <v>1361</v>
      </c>
      <c r="F121" s="45" t="s">
        <v>1322</v>
      </c>
      <c r="G121" s="45" t="s">
        <v>1501</v>
      </c>
      <c r="K121" s="46" t="s">
        <v>1502</v>
      </c>
      <c r="L121" s="45" t="s">
        <v>1279</v>
      </c>
      <c r="M121" s="49" t="s">
        <v>1503</v>
      </c>
      <c r="N121" s="46" t="s">
        <v>3592</v>
      </c>
      <c r="O121" s="45" t="s">
        <v>1326</v>
      </c>
      <c r="P121" s="45" t="str">
        <f t="shared" si="0"/>
        <v>F010</v>
      </c>
      <c r="Q121" s="46" t="s">
        <v>127</v>
      </c>
      <c r="S121" s="50">
        <v>20</v>
      </c>
      <c r="T121" s="45" t="s">
        <v>302</v>
      </c>
      <c r="U121" s="49" t="s">
        <v>1503</v>
      </c>
      <c r="V121" s="45" t="s">
        <v>1504</v>
      </c>
      <c r="Y121" s="51">
        <v>1284</v>
      </c>
      <c r="AB121" s="52">
        <v>160.5</v>
      </c>
    </row>
    <row r="122" spans="2:28" s="45" customFormat="1" x14ac:dyDescent="0.2">
      <c r="B122" s="46" t="s">
        <v>1321</v>
      </c>
      <c r="C122" s="47">
        <v>2400</v>
      </c>
      <c r="D122" s="48">
        <f t="shared" si="4"/>
        <v>2.4E-2</v>
      </c>
      <c r="E122" s="45" t="s">
        <v>1362</v>
      </c>
      <c r="F122" s="45" t="s">
        <v>1469</v>
      </c>
      <c r="G122" s="45" t="s">
        <v>1501</v>
      </c>
      <c r="K122" s="46" t="s">
        <v>1502</v>
      </c>
      <c r="L122" s="45" t="s">
        <v>1279</v>
      </c>
      <c r="M122" s="49" t="s">
        <v>1503</v>
      </c>
      <c r="N122" s="46" t="s">
        <v>2866</v>
      </c>
      <c r="O122" s="45" t="s">
        <v>1472</v>
      </c>
      <c r="P122" s="45" t="str">
        <f t="shared" si="0"/>
        <v>F010</v>
      </c>
      <c r="Q122" s="46" t="s">
        <v>127</v>
      </c>
      <c r="S122" s="50">
        <v>20</v>
      </c>
      <c r="T122" s="45" t="s">
        <v>302</v>
      </c>
      <c r="U122" s="49" t="s">
        <v>1503</v>
      </c>
      <c r="V122" s="45" t="s">
        <v>1504</v>
      </c>
      <c r="Y122" s="51">
        <v>2568</v>
      </c>
      <c r="AB122" s="52">
        <v>321</v>
      </c>
    </row>
    <row r="123" spans="2:28" s="45" customFormat="1" x14ac:dyDescent="0.2">
      <c r="B123" s="46" t="s">
        <v>1321</v>
      </c>
      <c r="C123" s="47">
        <v>1700</v>
      </c>
      <c r="D123" s="48">
        <f t="shared" si="4"/>
        <v>1.7000000000000001E-2</v>
      </c>
      <c r="E123" s="45" t="s">
        <v>1363</v>
      </c>
      <c r="F123" s="45" t="s">
        <v>1322</v>
      </c>
      <c r="G123" s="45" t="s">
        <v>1501</v>
      </c>
      <c r="K123" s="46" t="s">
        <v>1502</v>
      </c>
      <c r="L123" s="45" t="s">
        <v>1279</v>
      </c>
      <c r="M123" s="49" t="s">
        <v>1503</v>
      </c>
      <c r="N123" s="46" t="s">
        <v>1630</v>
      </c>
      <c r="O123" s="45" t="s">
        <v>1326</v>
      </c>
      <c r="P123" s="45" t="str">
        <f t="shared" si="0"/>
        <v>F010</v>
      </c>
      <c r="Q123" s="46" t="s">
        <v>127</v>
      </c>
      <c r="S123" s="50">
        <v>20</v>
      </c>
      <c r="T123" s="45" t="s">
        <v>302</v>
      </c>
      <c r="U123" s="49" t="s">
        <v>1503</v>
      </c>
      <c r="V123" s="45" t="s">
        <v>1504</v>
      </c>
      <c r="Y123" s="51">
        <v>1819</v>
      </c>
      <c r="AB123" s="52">
        <v>227.38</v>
      </c>
    </row>
    <row r="124" spans="2:28" s="45" customFormat="1" x14ac:dyDescent="0.2">
      <c r="B124" s="46" t="s">
        <v>1321</v>
      </c>
      <c r="C124" s="47">
        <v>500</v>
      </c>
      <c r="D124" s="48">
        <f t="shared" si="4"/>
        <v>5.0000000000000001E-3</v>
      </c>
      <c r="E124" s="45" t="s">
        <v>1364</v>
      </c>
      <c r="F124" s="45" t="s">
        <v>1469</v>
      </c>
      <c r="G124" s="45" t="s">
        <v>1501</v>
      </c>
      <c r="K124" s="46" t="s">
        <v>1502</v>
      </c>
      <c r="L124" s="45" t="s">
        <v>1279</v>
      </c>
      <c r="M124" s="49" t="s">
        <v>1503</v>
      </c>
      <c r="N124" s="46" t="s">
        <v>1788</v>
      </c>
      <c r="O124" s="45" t="s">
        <v>1472</v>
      </c>
      <c r="P124" s="45" t="str">
        <f t="shared" si="0"/>
        <v>F010</v>
      </c>
      <c r="Q124" s="46" t="s">
        <v>127</v>
      </c>
      <c r="S124" s="50">
        <v>20</v>
      </c>
      <c r="T124" s="45" t="s">
        <v>302</v>
      </c>
      <c r="U124" s="49" t="s">
        <v>1503</v>
      </c>
      <c r="V124" s="45" t="s">
        <v>1504</v>
      </c>
      <c r="Y124" s="51">
        <v>535</v>
      </c>
      <c r="AB124" s="52">
        <v>66.88</v>
      </c>
    </row>
    <row r="125" spans="2:28" s="45" customFormat="1" x14ac:dyDescent="0.2">
      <c r="B125" s="46" t="s">
        <v>1321</v>
      </c>
      <c r="C125" s="47">
        <v>1900</v>
      </c>
      <c r="D125" s="48">
        <f t="shared" si="4"/>
        <v>1.9E-2</v>
      </c>
      <c r="E125" s="45" t="s">
        <v>1365</v>
      </c>
      <c r="F125" s="45" t="s">
        <v>1322</v>
      </c>
      <c r="G125" s="45" t="s">
        <v>1501</v>
      </c>
      <c r="K125" s="46" t="s">
        <v>1502</v>
      </c>
      <c r="L125" s="45" t="s">
        <v>1279</v>
      </c>
      <c r="M125" s="49" t="s">
        <v>1503</v>
      </c>
      <c r="N125" s="46" t="s">
        <v>1806</v>
      </c>
      <c r="O125" s="45" t="s">
        <v>1326</v>
      </c>
      <c r="P125" s="45" t="str">
        <f t="shared" si="0"/>
        <v>F010</v>
      </c>
      <c r="Q125" s="46" t="s">
        <v>127</v>
      </c>
      <c r="S125" s="50">
        <v>20</v>
      </c>
      <c r="T125" s="45" t="s">
        <v>302</v>
      </c>
      <c r="U125" s="49" t="s">
        <v>1503</v>
      </c>
      <c r="V125" s="45" t="s">
        <v>1504</v>
      </c>
      <c r="Y125" s="51">
        <v>2033</v>
      </c>
      <c r="AB125" s="52">
        <v>254.13</v>
      </c>
    </row>
    <row r="126" spans="2:28" s="45" customFormat="1" x14ac:dyDescent="0.2">
      <c r="B126" s="46" t="s">
        <v>1321</v>
      </c>
      <c r="C126" s="47">
        <v>1900</v>
      </c>
      <c r="D126" s="48">
        <f t="shared" si="4"/>
        <v>1.9E-2</v>
      </c>
      <c r="E126" s="45" t="s">
        <v>1366</v>
      </c>
      <c r="F126" s="45" t="s">
        <v>1322</v>
      </c>
      <c r="G126" s="45" t="s">
        <v>1501</v>
      </c>
      <c r="K126" s="46" t="s">
        <v>1502</v>
      </c>
      <c r="L126" s="45" t="s">
        <v>1279</v>
      </c>
      <c r="M126" s="49" t="s">
        <v>1503</v>
      </c>
      <c r="N126" s="46" t="s">
        <v>1788</v>
      </c>
      <c r="O126" s="45" t="s">
        <v>1326</v>
      </c>
      <c r="P126" s="45" t="str">
        <f t="shared" si="0"/>
        <v>F010</v>
      </c>
      <c r="Q126" s="46" t="s">
        <v>127</v>
      </c>
      <c r="S126" s="50">
        <v>20</v>
      </c>
      <c r="T126" s="45" t="s">
        <v>302</v>
      </c>
      <c r="U126" s="49" t="s">
        <v>1503</v>
      </c>
      <c r="V126" s="45" t="s">
        <v>1504</v>
      </c>
      <c r="Y126" s="51">
        <v>2033</v>
      </c>
      <c r="AB126" s="52">
        <v>254.13</v>
      </c>
    </row>
    <row r="127" spans="2:28" s="45" customFormat="1" x14ac:dyDescent="0.2">
      <c r="B127" s="46" t="s">
        <v>1321</v>
      </c>
      <c r="C127" s="47">
        <v>2600</v>
      </c>
      <c r="D127" s="48">
        <f t="shared" si="4"/>
        <v>2.5999999999999999E-2</v>
      </c>
      <c r="E127" s="45" t="s">
        <v>1386</v>
      </c>
      <c r="F127" s="45" t="s">
        <v>1322</v>
      </c>
      <c r="G127" s="45" t="s">
        <v>1501</v>
      </c>
      <c r="K127" s="46" t="s">
        <v>1502</v>
      </c>
      <c r="L127" s="45" t="s">
        <v>1279</v>
      </c>
      <c r="M127" s="49" t="s">
        <v>1503</v>
      </c>
      <c r="N127" s="46" t="s">
        <v>1587</v>
      </c>
      <c r="O127" s="45" t="s">
        <v>1326</v>
      </c>
      <c r="P127" s="45" t="str">
        <f t="shared" si="0"/>
        <v>F010</v>
      </c>
      <c r="Q127" s="46" t="s">
        <v>127</v>
      </c>
      <c r="S127" s="50">
        <v>20</v>
      </c>
      <c r="T127" s="45" t="s">
        <v>302</v>
      </c>
      <c r="U127" s="49" t="s">
        <v>1503</v>
      </c>
      <c r="V127" s="45" t="s">
        <v>1504</v>
      </c>
      <c r="Y127" s="51">
        <v>2782</v>
      </c>
      <c r="AB127" s="52">
        <v>347.75</v>
      </c>
    </row>
    <row r="128" spans="2:28" s="45" customFormat="1" x14ac:dyDescent="0.2">
      <c r="B128" s="46" t="s">
        <v>1321</v>
      </c>
      <c r="C128" s="47">
        <v>4500</v>
      </c>
      <c r="D128" s="48">
        <f t="shared" si="4"/>
        <v>4.4999999999999998E-2</v>
      </c>
      <c r="E128" s="45" t="s">
        <v>1387</v>
      </c>
      <c r="F128" s="45" t="s">
        <v>1469</v>
      </c>
      <c r="G128" s="45" t="s">
        <v>1501</v>
      </c>
      <c r="K128" s="46" t="s">
        <v>1502</v>
      </c>
      <c r="L128" s="45" t="s">
        <v>1279</v>
      </c>
      <c r="M128" s="49" t="s">
        <v>1503</v>
      </c>
      <c r="N128" s="46" t="s">
        <v>1609</v>
      </c>
      <c r="O128" s="45" t="s">
        <v>1472</v>
      </c>
      <c r="P128" s="45" t="str">
        <f t="shared" si="0"/>
        <v>F010</v>
      </c>
      <c r="Q128" s="46" t="s">
        <v>127</v>
      </c>
      <c r="S128" s="50">
        <v>20</v>
      </c>
      <c r="T128" s="45" t="s">
        <v>302</v>
      </c>
      <c r="U128" s="49" t="s">
        <v>1503</v>
      </c>
      <c r="V128" s="45" t="s">
        <v>1504</v>
      </c>
      <c r="Y128" s="51">
        <v>4815</v>
      </c>
      <c r="AB128" s="52">
        <v>601.88</v>
      </c>
    </row>
    <row r="129" spans="2:28" s="45" customFormat="1" x14ac:dyDescent="0.2">
      <c r="B129" s="46" t="s">
        <v>1321</v>
      </c>
      <c r="C129" s="47">
        <v>10700</v>
      </c>
      <c r="D129" s="48">
        <f t="shared" si="4"/>
        <v>0.107</v>
      </c>
      <c r="E129" s="45" t="s">
        <v>1337</v>
      </c>
      <c r="F129" s="45" t="s">
        <v>1322</v>
      </c>
      <c r="G129" s="45" t="s">
        <v>1501</v>
      </c>
      <c r="K129" s="46" t="s">
        <v>1502</v>
      </c>
      <c r="L129" s="45" t="s">
        <v>1279</v>
      </c>
      <c r="M129" s="49" t="s">
        <v>1503</v>
      </c>
      <c r="N129" s="46" t="s">
        <v>1708</v>
      </c>
      <c r="O129" s="45" t="s">
        <v>1326</v>
      </c>
      <c r="P129" s="45" t="str">
        <f t="shared" si="0"/>
        <v>F010</v>
      </c>
      <c r="Q129" s="46" t="s">
        <v>127</v>
      </c>
      <c r="S129" s="50">
        <v>20</v>
      </c>
      <c r="T129" s="45" t="s">
        <v>302</v>
      </c>
      <c r="U129" s="49" t="s">
        <v>1503</v>
      </c>
      <c r="V129" s="45" t="s">
        <v>1504</v>
      </c>
      <c r="Y129" s="51">
        <v>11449</v>
      </c>
      <c r="AB129" s="52">
        <v>1431.13</v>
      </c>
    </row>
    <row r="130" spans="2:28" s="45" customFormat="1" x14ac:dyDescent="0.2">
      <c r="B130" s="46" t="s">
        <v>1321</v>
      </c>
      <c r="C130" s="47">
        <v>5200</v>
      </c>
      <c r="D130" s="48">
        <f>+C130/100000</f>
        <v>5.1999999999999998E-2</v>
      </c>
      <c r="E130" s="45" t="s">
        <v>1388</v>
      </c>
      <c r="F130" s="45" t="s">
        <v>1322</v>
      </c>
      <c r="G130" s="45" t="s">
        <v>1501</v>
      </c>
      <c r="K130" s="46" t="s">
        <v>1502</v>
      </c>
      <c r="L130" s="45" t="s">
        <v>1279</v>
      </c>
      <c r="M130" s="49" t="s">
        <v>1503</v>
      </c>
      <c r="N130" s="46" t="s">
        <v>1833</v>
      </c>
      <c r="O130" s="45" t="s">
        <v>1326</v>
      </c>
      <c r="P130" s="45" t="str">
        <f t="shared" si="0"/>
        <v>F010</v>
      </c>
      <c r="Q130" s="46" t="s">
        <v>127</v>
      </c>
      <c r="S130" s="50">
        <v>20</v>
      </c>
      <c r="T130" s="45" t="s">
        <v>302</v>
      </c>
      <c r="U130" s="49" t="s">
        <v>1503</v>
      </c>
      <c r="V130" s="45" t="s">
        <v>1504</v>
      </c>
      <c r="Y130" s="51">
        <v>5564</v>
      </c>
      <c r="AB130" s="52">
        <v>695.5</v>
      </c>
    </row>
    <row r="131" spans="2:28" s="45" customFormat="1" x14ac:dyDescent="0.2">
      <c r="B131" s="46" t="s">
        <v>1321</v>
      </c>
      <c r="C131" s="47">
        <v>3800</v>
      </c>
      <c r="D131" s="48">
        <f t="shared" si="4"/>
        <v>3.7999999999999999E-2</v>
      </c>
      <c r="E131" s="45" t="s">
        <v>1389</v>
      </c>
      <c r="F131" s="45" t="s">
        <v>1469</v>
      </c>
      <c r="G131" s="45" t="s">
        <v>1501</v>
      </c>
      <c r="K131" s="46" t="s">
        <v>1502</v>
      </c>
      <c r="L131" s="45" t="s">
        <v>1279</v>
      </c>
      <c r="M131" s="49" t="s">
        <v>1503</v>
      </c>
      <c r="N131" s="46" t="s">
        <v>1754</v>
      </c>
      <c r="O131" s="45" t="s">
        <v>1472</v>
      </c>
      <c r="P131" s="45" t="str">
        <f t="shared" si="0"/>
        <v>F010</v>
      </c>
      <c r="Q131" s="46" t="s">
        <v>127</v>
      </c>
      <c r="S131" s="50">
        <v>20</v>
      </c>
      <c r="T131" s="45" t="s">
        <v>302</v>
      </c>
      <c r="U131" s="49" t="s">
        <v>1503</v>
      </c>
      <c r="V131" s="45" t="s">
        <v>1504</v>
      </c>
      <c r="Y131" s="51">
        <v>4066</v>
      </c>
      <c r="AB131" s="52">
        <v>508.25</v>
      </c>
    </row>
    <row r="132" spans="2:28" s="45" customFormat="1" x14ac:dyDescent="0.2">
      <c r="B132" s="46" t="s">
        <v>1321</v>
      </c>
      <c r="C132" s="47">
        <v>1400</v>
      </c>
      <c r="D132" s="48">
        <f t="shared" si="4"/>
        <v>1.4E-2</v>
      </c>
      <c r="E132" s="45" t="s">
        <v>1390</v>
      </c>
      <c r="F132" s="45" t="s">
        <v>1322</v>
      </c>
      <c r="G132" s="45" t="s">
        <v>1501</v>
      </c>
      <c r="K132" s="46" t="s">
        <v>1502</v>
      </c>
      <c r="L132" s="45" t="s">
        <v>1279</v>
      </c>
      <c r="M132" s="49" t="s">
        <v>1503</v>
      </c>
      <c r="N132" s="46" t="s">
        <v>1642</v>
      </c>
      <c r="O132" s="45" t="s">
        <v>1326</v>
      </c>
      <c r="P132" s="45" t="str">
        <f t="shared" si="0"/>
        <v>F010</v>
      </c>
      <c r="Q132" s="46" t="s">
        <v>127</v>
      </c>
      <c r="S132" s="50">
        <v>20</v>
      </c>
      <c r="T132" s="45" t="s">
        <v>302</v>
      </c>
      <c r="U132" s="49" t="s">
        <v>1503</v>
      </c>
      <c r="V132" s="45" t="s">
        <v>1504</v>
      </c>
      <c r="Y132" s="51">
        <v>1498</v>
      </c>
      <c r="AB132" s="52">
        <v>187.25</v>
      </c>
    </row>
    <row r="133" spans="2:28" s="45" customFormat="1" x14ac:dyDescent="0.2">
      <c r="B133" s="46" t="s">
        <v>1321</v>
      </c>
      <c r="C133" s="47">
        <v>700</v>
      </c>
      <c r="D133" s="48">
        <f t="shared" si="4"/>
        <v>7.0000000000000001E-3</v>
      </c>
      <c r="E133" s="45" t="s">
        <v>1391</v>
      </c>
      <c r="F133" s="45" t="s">
        <v>1322</v>
      </c>
      <c r="G133" s="45" t="s">
        <v>1501</v>
      </c>
      <c r="K133" s="46" t="s">
        <v>1502</v>
      </c>
      <c r="L133" s="45" t="s">
        <v>1279</v>
      </c>
      <c r="M133" s="49" t="s">
        <v>1503</v>
      </c>
      <c r="N133" s="46" t="s">
        <v>3504</v>
      </c>
      <c r="O133" s="45" t="s">
        <v>1326</v>
      </c>
      <c r="P133" s="45" t="str">
        <f t="shared" si="0"/>
        <v>F010</v>
      </c>
      <c r="Q133" s="46" t="s">
        <v>127</v>
      </c>
      <c r="S133" s="50">
        <v>20</v>
      </c>
      <c r="T133" s="45" t="s">
        <v>302</v>
      </c>
      <c r="U133" s="49" t="s">
        <v>1503</v>
      </c>
      <c r="V133" s="45" t="s">
        <v>1504</v>
      </c>
      <c r="Y133" s="51">
        <v>749</v>
      </c>
      <c r="AB133" s="52">
        <v>93.63</v>
      </c>
    </row>
    <row r="134" spans="2:28" s="45" customFormat="1" x14ac:dyDescent="0.2">
      <c r="B134" s="46" t="s">
        <v>1321</v>
      </c>
      <c r="C134" s="47">
        <v>9000</v>
      </c>
      <c r="D134" s="48">
        <f t="shared" si="4"/>
        <v>0.09</v>
      </c>
      <c r="E134" s="45" t="s">
        <v>1392</v>
      </c>
      <c r="F134" s="45" t="s">
        <v>1322</v>
      </c>
      <c r="G134" s="45" t="s">
        <v>1501</v>
      </c>
      <c r="K134" s="46" t="s">
        <v>1502</v>
      </c>
      <c r="L134" s="45" t="s">
        <v>1279</v>
      </c>
      <c r="M134" s="49" t="s">
        <v>1503</v>
      </c>
      <c r="N134" s="46" t="s">
        <v>1795</v>
      </c>
      <c r="O134" s="45" t="s">
        <v>1326</v>
      </c>
      <c r="P134" s="45" t="str">
        <f t="shared" si="0"/>
        <v>F010</v>
      </c>
      <c r="Q134" s="46" t="s">
        <v>127</v>
      </c>
      <c r="S134" s="50">
        <v>20</v>
      </c>
      <c r="T134" s="45" t="s">
        <v>302</v>
      </c>
      <c r="U134" s="49" t="s">
        <v>1503</v>
      </c>
      <c r="V134" s="45" t="s">
        <v>1504</v>
      </c>
      <c r="Y134" s="51">
        <v>9630</v>
      </c>
      <c r="AB134" s="52">
        <v>1203.75</v>
      </c>
    </row>
    <row r="135" spans="2:28" s="45" customFormat="1" x14ac:dyDescent="0.2">
      <c r="B135" s="46" t="s">
        <v>1321</v>
      </c>
      <c r="C135" s="47">
        <v>500</v>
      </c>
      <c r="D135" s="48">
        <f t="shared" si="4"/>
        <v>5.0000000000000001E-3</v>
      </c>
      <c r="E135" s="45" t="s">
        <v>1393</v>
      </c>
      <c r="F135" s="45" t="s">
        <v>1469</v>
      </c>
      <c r="G135" s="45" t="s">
        <v>1501</v>
      </c>
      <c r="K135" s="46" t="s">
        <v>1502</v>
      </c>
      <c r="L135" s="45" t="s">
        <v>1279</v>
      </c>
      <c r="M135" s="49" t="s">
        <v>1503</v>
      </c>
      <c r="N135" s="46" t="s">
        <v>1637</v>
      </c>
      <c r="O135" s="45" t="s">
        <v>1472</v>
      </c>
      <c r="P135" s="45" t="str">
        <f t="shared" si="0"/>
        <v>F010</v>
      </c>
      <c r="Q135" s="46" t="s">
        <v>127</v>
      </c>
      <c r="S135" s="50">
        <v>20</v>
      </c>
      <c r="T135" s="45" t="s">
        <v>302</v>
      </c>
      <c r="U135" s="49" t="s">
        <v>1503</v>
      </c>
      <c r="V135" s="45" t="s">
        <v>1504</v>
      </c>
      <c r="Y135" s="51">
        <v>535</v>
      </c>
      <c r="AB135" s="52">
        <v>66.88</v>
      </c>
    </row>
    <row r="136" spans="2:28" s="45" customFormat="1" x14ac:dyDescent="0.2">
      <c r="B136" s="46" t="s">
        <v>1321</v>
      </c>
      <c r="C136" s="47">
        <v>1700</v>
      </c>
      <c r="D136" s="48">
        <f t="shared" si="4"/>
        <v>1.7000000000000001E-2</v>
      </c>
      <c r="E136" s="45" t="s">
        <v>1394</v>
      </c>
      <c r="F136" s="45" t="s">
        <v>1322</v>
      </c>
      <c r="G136" s="45" t="s">
        <v>1501</v>
      </c>
      <c r="K136" s="46" t="s">
        <v>1502</v>
      </c>
      <c r="L136" s="45" t="s">
        <v>1279</v>
      </c>
      <c r="M136" s="49" t="s">
        <v>1503</v>
      </c>
      <c r="N136" s="46" t="s">
        <v>1637</v>
      </c>
      <c r="O136" s="45" t="s">
        <v>1326</v>
      </c>
      <c r="P136" s="45" t="str">
        <f t="shared" si="0"/>
        <v>F010</v>
      </c>
      <c r="Q136" s="46" t="s">
        <v>127</v>
      </c>
      <c r="S136" s="50">
        <v>20</v>
      </c>
      <c r="T136" s="45" t="s">
        <v>302</v>
      </c>
      <c r="U136" s="49" t="s">
        <v>1503</v>
      </c>
      <c r="V136" s="45" t="s">
        <v>1504</v>
      </c>
      <c r="Y136" s="51">
        <v>1819</v>
      </c>
      <c r="AB136" s="52">
        <v>227.38</v>
      </c>
    </row>
    <row r="137" spans="2:28" s="45" customFormat="1" x14ac:dyDescent="0.2">
      <c r="B137" s="46" t="s">
        <v>1321</v>
      </c>
      <c r="C137" s="47">
        <v>2800</v>
      </c>
      <c r="D137" s="48">
        <f t="shared" si="4"/>
        <v>2.8000000000000001E-2</v>
      </c>
      <c r="E137" s="45" t="s">
        <v>1395</v>
      </c>
      <c r="F137" s="45" t="s">
        <v>1322</v>
      </c>
      <c r="G137" s="45" t="s">
        <v>1501</v>
      </c>
      <c r="K137" s="46" t="s">
        <v>1502</v>
      </c>
      <c r="L137" s="45" t="s">
        <v>1279</v>
      </c>
      <c r="M137" s="49" t="s">
        <v>1503</v>
      </c>
      <c r="N137" s="46" t="s">
        <v>2598</v>
      </c>
      <c r="O137" s="45" t="s">
        <v>1326</v>
      </c>
      <c r="P137" s="45" t="str">
        <f t="shared" si="0"/>
        <v>F010</v>
      </c>
      <c r="Q137" s="46" t="s">
        <v>127</v>
      </c>
      <c r="S137" s="50">
        <v>20</v>
      </c>
      <c r="T137" s="45" t="s">
        <v>302</v>
      </c>
      <c r="U137" s="49" t="s">
        <v>1503</v>
      </c>
      <c r="V137" s="45" t="s">
        <v>1504</v>
      </c>
      <c r="Y137" s="51">
        <v>2996</v>
      </c>
      <c r="AB137" s="52">
        <v>374.5</v>
      </c>
    </row>
    <row r="138" spans="2:28" s="45" customFormat="1" x14ac:dyDescent="0.2">
      <c r="B138" s="46" t="s">
        <v>1321</v>
      </c>
      <c r="C138" s="47">
        <v>2100</v>
      </c>
      <c r="D138" s="48">
        <f t="shared" si="4"/>
        <v>2.1000000000000001E-2</v>
      </c>
      <c r="E138" s="45" t="s">
        <v>1396</v>
      </c>
      <c r="F138" s="45" t="s">
        <v>1322</v>
      </c>
      <c r="G138" s="45" t="s">
        <v>1501</v>
      </c>
      <c r="K138" s="46" t="s">
        <v>1502</v>
      </c>
      <c r="L138" s="45" t="s">
        <v>1279</v>
      </c>
      <c r="M138" s="49" t="s">
        <v>1503</v>
      </c>
      <c r="N138" s="46" t="s">
        <v>2601</v>
      </c>
      <c r="O138" s="45" t="s">
        <v>1326</v>
      </c>
      <c r="P138" s="45" t="str">
        <f t="shared" si="0"/>
        <v>F010</v>
      </c>
      <c r="Q138" s="46" t="s">
        <v>127</v>
      </c>
      <c r="S138" s="50">
        <v>20</v>
      </c>
      <c r="T138" s="45" t="s">
        <v>302</v>
      </c>
      <c r="U138" s="49" t="s">
        <v>1503</v>
      </c>
      <c r="V138" s="45" t="s">
        <v>1504</v>
      </c>
      <c r="Y138" s="51">
        <v>2247</v>
      </c>
      <c r="AB138" s="52">
        <v>280.88</v>
      </c>
    </row>
    <row r="139" spans="2:28" s="45" customFormat="1" x14ac:dyDescent="0.2">
      <c r="B139" s="46" t="s">
        <v>1321</v>
      </c>
      <c r="C139" s="47">
        <v>1700</v>
      </c>
      <c r="D139" s="48">
        <f t="shared" si="4"/>
        <v>1.7000000000000001E-2</v>
      </c>
      <c r="E139" s="45" t="s">
        <v>1397</v>
      </c>
      <c r="F139" s="45" t="s">
        <v>1469</v>
      </c>
      <c r="G139" s="45" t="s">
        <v>1501</v>
      </c>
      <c r="K139" s="46" t="s">
        <v>1502</v>
      </c>
      <c r="L139" s="45" t="s">
        <v>1279</v>
      </c>
      <c r="M139" s="49" t="s">
        <v>1503</v>
      </c>
      <c r="N139" s="46" t="s">
        <v>3615</v>
      </c>
      <c r="O139" s="45" t="s">
        <v>1472</v>
      </c>
      <c r="P139" s="45" t="str">
        <f t="shared" si="0"/>
        <v>F010</v>
      </c>
      <c r="Q139" s="46" t="s">
        <v>127</v>
      </c>
      <c r="S139" s="50">
        <v>20</v>
      </c>
      <c r="T139" s="45" t="s">
        <v>302</v>
      </c>
      <c r="U139" s="49" t="s">
        <v>1503</v>
      </c>
      <c r="V139" s="45" t="s">
        <v>1504</v>
      </c>
      <c r="Y139" s="51">
        <v>1819</v>
      </c>
      <c r="AB139" s="52">
        <v>227.38</v>
      </c>
    </row>
    <row r="140" spans="2:28" s="45" customFormat="1" x14ac:dyDescent="0.2">
      <c r="B140" s="46" t="s">
        <v>1321</v>
      </c>
      <c r="C140" s="47">
        <v>3100</v>
      </c>
      <c r="D140" s="48">
        <f t="shared" si="4"/>
        <v>3.1E-2</v>
      </c>
      <c r="E140" s="45" t="s">
        <v>1348</v>
      </c>
      <c r="F140" s="45" t="s">
        <v>1322</v>
      </c>
      <c r="G140" s="45" t="s">
        <v>1501</v>
      </c>
      <c r="K140" s="46" t="s">
        <v>1502</v>
      </c>
      <c r="L140" s="45" t="s">
        <v>1279</v>
      </c>
      <c r="M140" s="49" t="s">
        <v>1503</v>
      </c>
      <c r="N140" s="46" t="s">
        <v>1614</v>
      </c>
      <c r="O140" s="45" t="s">
        <v>1326</v>
      </c>
      <c r="P140" s="45" t="str">
        <f t="shared" si="0"/>
        <v>F010</v>
      </c>
      <c r="Q140" s="46" t="s">
        <v>127</v>
      </c>
      <c r="S140" s="50">
        <v>20</v>
      </c>
      <c r="T140" s="45" t="s">
        <v>302</v>
      </c>
      <c r="U140" s="49" t="s">
        <v>1503</v>
      </c>
      <c r="V140" s="45" t="s">
        <v>1504</v>
      </c>
      <c r="Y140" s="51">
        <v>3317</v>
      </c>
      <c r="AB140" s="52">
        <v>414.63</v>
      </c>
    </row>
    <row r="141" spans="2:28" s="45" customFormat="1" x14ac:dyDescent="0.2">
      <c r="B141" s="46" t="s">
        <v>1321</v>
      </c>
      <c r="C141" s="47">
        <v>1200</v>
      </c>
      <c r="D141" s="48">
        <f t="shared" si="4"/>
        <v>1.2E-2</v>
      </c>
      <c r="E141" s="45" t="s">
        <v>1398</v>
      </c>
      <c r="F141" s="45" t="s">
        <v>1322</v>
      </c>
      <c r="G141" s="45" t="s">
        <v>1501</v>
      </c>
      <c r="K141" s="46" t="s">
        <v>1502</v>
      </c>
      <c r="L141" s="45" t="s">
        <v>1279</v>
      </c>
      <c r="M141" s="49" t="s">
        <v>1503</v>
      </c>
      <c r="N141" s="46" t="s">
        <v>1556</v>
      </c>
      <c r="O141" s="45" t="s">
        <v>1326</v>
      </c>
      <c r="P141" s="45" t="str">
        <f t="shared" si="0"/>
        <v>F010</v>
      </c>
      <c r="Q141" s="46" t="s">
        <v>127</v>
      </c>
      <c r="S141" s="50">
        <v>20</v>
      </c>
      <c r="T141" s="45" t="s">
        <v>302</v>
      </c>
      <c r="U141" s="49" t="s">
        <v>1503</v>
      </c>
      <c r="V141" s="45" t="s">
        <v>1504</v>
      </c>
      <c r="Y141" s="51">
        <v>1284</v>
      </c>
      <c r="AB141" s="52">
        <v>160.5</v>
      </c>
    </row>
    <row r="142" spans="2:28" s="45" customFormat="1" x14ac:dyDescent="0.2">
      <c r="B142" s="46" t="s">
        <v>1321</v>
      </c>
      <c r="C142" s="47">
        <v>12800</v>
      </c>
      <c r="D142" s="48">
        <f t="shared" si="4"/>
        <v>0.128</v>
      </c>
      <c r="E142" s="45" t="s">
        <v>1399</v>
      </c>
      <c r="F142" s="45" t="s">
        <v>1469</v>
      </c>
      <c r="G142" s="45" t="s">
        <v>1501</v>
      </c>
      <c r="K142" s="46" t="s">
        <v>1502</v>
      </c>
      <c r="L142" s="45" t="s">
        <v>1279</v>
      </c>
      <c r="M142" s="49" t="s">
        <v>1503</v>
      </c>
      <c r="N142" s="46" t="s">
        <v>1284</v>
      </c>
      <c r="O142" s="45" t="s">
        <v>1472</v>
      </c>
      <c r="P142" s="45" t="str">
        <f t="shared" si="0"/>
        <v>F010</v>
      </c>
      <c r="Q142" s="46" t="s">
        <v>127</v>
      </c>
      <c r="S142" s="50">
        <v>20</v>
      </c>
      <c r="T142" s="45" t="s">
        <v>302</v>
      </c>
      <c r="U142" s="49" t="s">
        <v>1503</v>
      </c>
      <c r="V142" s="45" t="s">
        <v>1504</v>
      </c>
      <c r="Y142" s="51">
        <v>13696</v>
      </c>
      <c r="AB142" s="52">
        <v>1712.01</v>
      </c>
    </row>
    <row r="143" spans="2:28" s="45" customFormat="1" x14ac:dyDescent="0.2">
      <c r="B143" s="46" t="s">
        <v>1321</v>
      </c>
      <c r="C143" s="47">
        <v>200</v>
      </c>
      <c r="D143" s="48">
        <f t="shared" si="4"/>
        <v>2E-3</v>
      </c>
      <c r="E143" s="45" t="s">
        <v>1400</v>
      </c>
      <c r="F143" s="45" t="s">
        <v>1322</v>
      </c>
      <c r="G143" s="45" t="s">
        <v>1501</v>
      </c>
      <c r="K143" s="46" t="s">
        <v>1502</v>
      </c>
      <c r="L143" s="45" t="s">
        <v>1279</v>
      </c>
      <c r="M143" s="49" t="s">
        <v>1503</v>
      </c>
      <c r="N143" s="46" t="s">
        <v>2497</v>
      </c>
      <c r="O143" s="45" t="s">
        <v>1326</v>
      </c>
      <c r="P143" s="45" t="str">
        <f t="shared" si="0"/>
        <v>F010</v>
      </c>
      <c r="Q143" s="46" t="s">
        <v>127</v>
      </c>
      <c r="S143" s="50">
        <v>20</v>
      </c>
      <c r="T143" s="45" t="s">
        <v>302</v>
      </c>
      <c r="U143" s="49" t="s">
        <v>1503</v>
      </c>
      <c r="V143" s="45" t="s">
        <v>1504</v>
      </c>
      <c r="Y143" s="51">
        <v>214</v>
      </c>
      <c r="AB143" s="52">
        <v>26.75</v>
      </c>
    </row>
    <row r="144" spans="2:28" s="45" customFormat="1" x14ac:dyDescent="0.2">
      <c r="B144" s="46" t="s">
        <v>1321</v>
      </c>
      <c r="C144" s="47">
        <v>2600</v>
      </c>
      <c r="D144" s="48">
        <f t="shared" si="4"/>
        <v>2.5999999999999999E-2</v>
      </c>
      <c r="E144" s="45" t="s">
        <v>1402</v>
      </c>
      <c r="F144" s="45" t="s">
        <v>1322</v>
      </c>
      <c r="G144" s="45" t="s">
        <v>1501</v>
      </c>
      <c r="K144" s="46" t="s">
        <v>1502</v>
      </c>
      <c r="L144" s="45" t="s">
        <v>1279</v>
      </c>
      <c r="M144" s="49" t="s">
        <v>1503</v>
      </c>
      <c r="N144" s="46" t="s">
        <v>2497</v>
      </c>
      <c r="O144" s="45" t="s">
        <v>1326</v>
      </c>
      <c r="P144" s="45" t="str">
        <f t="shared" si="0"/>
        <v>F010</v>
      </c>
      <c r="Q144" s="46" t="s">
        <v>127</v>
      </c>
      <c r="S144" s="50">
        <v>20</v>
      </c>
      <c r="T144" s="45" t="s">
        <v>302</v>
      </c>
      <c r="U144" s="49" t="s">
        <v>1503</v>
      </c>
      <c r="V144" s="45" t="s">
        <v>1504</v>
      </c>
      <c r="Y144" s="51">
        <v>2782</v>
      </c>
      <c r="AB144" s="52">
        <v>347.75</v>
      </c>
    </row>
    <row r="145" spans="2:28" s="45" customFormat="1" x14ac:dyDescent="0.2">
      <c r="B145" s="46" t="s">
        <v>1321</v>
      </c>
      <c r="C145" s="47">
        <v>1900</v>
      </c>
      <c r="D145" s="48">
        <f t="shared" si="4"/>
        <v>1.9E-2</v>
      </c>
      <c r="E145" s="45" t="s">
        <v>1505</v>
      </c>
      <c r="F145" s="45" t="s">
        <v>1469</v>
      </c>
      <c r="G145" s="45" t="s">
        <v>1501</v>
      </c>
      <c r="K145" s="46" t="s">
        <v>1502</v>
      </c>
      <c r="L145" s="45" t="s">
        <v>1279</v>
      </c>
      <c r="M145" s="49" t="s">
        <v>1503</v>
      </c>
      <c r="N145" s="46" t="s">
        <v>1294</v>
      </c>
      <c r="O145" s="45" t="s">
        <v>1472</v>
      </c>
      <c r="P145" s="45" t="str">
        <f t="shared" si="0"/>
        <v>F010</v>
      </c>
      <c r="Q145" s="46" t="s">
        <v>127</v>
      </c>
      <c r="S145" s="50">
        <v>20</v>
      </c>
      <c r="T145" s="45" t="s">
        <v>302</v>
      </c>
      <c r="U145" s="49" t="s">
        <v>1503</v>
      </c>
      <c r="V145" s="45" t="s">
        <v>1504</v>
      </c>
      <c r="Y145" s="51">
        <v>2033</v>
      </c>
      <c r="AB145" s="52">
        <v>254.13</v>
      </c>
    </row>
    <row r="146" spans="2:28" s="45" customFormat="1" x14ac:dyDescent="0.2">
      <c r="B146" s="46" t="s">
        <v>1321</v>
      </c>
      <c r="C146" s="47">
        <v>1700</v>
      </c>
      <c r="D146" s="48">
        <f t="shared" si="4"/>
        <v>1.7000000000000001E-2</v>
      </c>
      <c r="E146" s="45" t="s">
        <v>1351</v>
      </c>
      <c r="F146" s="45" t="s">
        <v>1322</v>
      </c>
      <c r="G146" s="45" t="s">
        <v>1501</v>
      </c>
      <c r="K146" s="46" t="s">
        <v>1502</v>
      </c>
      <c r="L146" s="45" t="s">
        <v>1279</v>
      </c>
      <c r="M146" s="49" t="s">
        <v>1503</v>
      </c>
      <c r="N146" s="46" t="s">
        <v>1568</v>
      </c>
      <c r="O146" s="45" t="s">
        <v>1326</v>
      </c>
      <c r="P146" s="45" t="str">
        <f t="shared" si="0"/>
        <v>F010</v>
      </c>
      <c r="Q146" s="46" t="s">
        <v>127</v>
      </c>
      <c r="S146" s="50">
        <v>20</v>
      </c>
      <c r="T146" s="45" t="s">
        <v>302</v>
      </c>
      <c r="U146" s="49" t="s">
        <v>1503</v>
      </c>
      <c r="V146" s="45" t="s">
        <v>1504</v>
      </c>
      <c r="Y146" s="51">
        <v>1819</v>
      </c>
      <c r="AB146" s="52">
        <v>227.38</v>
      </c>
    </row>
    <row r="147" spans="2:28" s="45" customFormat="1" x14ac:dyDescent="0.2">
      <c r="B147" s="46" t="s">
        <v>1321</v>
      </c>
      <c r="C147" s="47">
        <v>1700</v>
      </c>
      <c r="D147" s="48">
        <f t="shared" si="4"/>
        <v>1.7000000000000001E-2</v>
      </c>
      <c r="E147" s="45" t="s">
        <v>1352</v>
      </c>
      <c r="F147" s="45" t="s">
        <v>1322</v>
      </c>
      <c r="G147" s="45" t="s">
        <v>1501</v>
      </c>
      <c r="K147" s="46" t="s">
        <v>1502</v>
      </c>
      <c r="L147" s="45" t="s">
        <v>1279</v>
      </c>
      <c r="M147" s="49" t="s">
        <v>1503</v>
      </c>
      <c r="N147" s="46" t="s">
        <v>1286</v>
      </c>
      <c r="O147" s="45" t="s">
        <v>1326</v>
      </c>
      <c r="P147" s="45" t="str">
        <f t="shared" si="0"/>
        <v>F010</v>
      </c>
      <c r="Q147" s="46" t="s">
        <v>127</v>
      </c>
      <c r="S147" s="50">
        <v>20</v>
      </c>
      <c r="T147" s="45" t="s">
        <v>302</v>
      </c>
      <c r="U147" s="49" t="s">
        <v>1503</v>
      </c>
      <c r="V147" s="45" t="s">
        <v>1504</v>
      </c>
      <c r="Y147" s="51">
        <v>1819</v>
      </c>
      <c r="AB147" s="52">
        <v>227.38</v>
      </c>
    </row>
    <row r="148" spans="2:28" s="45" customFormat="1" x14ac:dyDescent="0.2">
      <c r="B148" s="46" t="s">
        <v>1321</v>
      </c>
      <c r="C148" s="47">
        <v>900</v>
      </c>
      <c r="D148" s="48">
        <f t="shared" si="4"/>
        <v>8.9999999999999993E-3</v>
      </c>
      <c r="E148" s="45" t="s">
        <v>1353</v>
      </c>
      <c r="F148" s="45" t="s">
        <v>1322</v>
      </c>
      <c r="G148" s="45" t="s">
        <v>1501</v>
      </c>
      <c r="K148" s="46" t="s">
        <v>1502</v>
      </c>
      <c r="L148" s="45" t="s">
        <v>1279</v>
      </c>
      <c r="M148" s="49" t="s">
        <v>1503</v>
      </c>
      <c r="N148" s="46" t="s">
        <v>1715</v>
      </c>
      <c r="O148" s="45" t="s">
        <v>1326</v>
      </c>
      <c r="P148" s="45" t="str">
        <f t="shared" si="0"/>
        <v>F010</v>
      </c>
      <c r="Q148" s="46" t="s">
        <v>127</v>
      </c>
      <c r="S148" s="50">
        <v>20</v>
      </c>
      <c r="T148" s="45" t="s">
        <v>302</v>
      </c>
      <c r="U148" s="49" t="s">
        <v>1503</v>
      </c>
      <c r="V148" s="45" t="s">
        <v>1504</v>
      </c>
      <c r="Y148" s="51">
        <v>963</v>
      </c>
      <c r="AB148" s="52">
        <v>120.38</v>
      </c>
    </row>
    <row r="149" spans="2:28" s="45" customFormat="1" x14ac:dyDescent="0.2">
      <c r="B149" s="46" t="s">
        <v>1321</v>
      </c>
      <c r="C149" s="47">
        <v>8800</v>
      </c>
      <c r="D149" s="48">
        <f t="shared" si="4"/>
        <v>8.7999999999999995E-2</v>
      </c>
      <c r="E149" s="45" t="s">
        <v>1367</v>
      </c>
      <c r="F149" s="45" t="s">
        <v>1469</v>
      </c>
      <c r="G149" s="45" t="s">
        <v>1501</v>
      </c>
      <c r="K149" s="46" t="s">
        <v>1502</v>
      </c>
      <c r="L149" s="45" t="s">
        <v>1279</v>
      </c>
      <c r="M149" s="49" t="s">
        <v>1503</v>
      </c>
      <c r="N149" s="46" t="s">
        <v>1715</v>
      </c>
      <c r="O149" s="45" t="s">
        <v>1472</v>
      </c>
      <c r="P149" s="45" t="str">
        <f t="shared" si="0"/>
        <v>F010</v>
      </c>
      <c r="Q149" s="46" t="s">
        <v>127</v>
      </c>
      <c r="S149" s="50">
        <v>20</v>
      </c>
      <c r="T149" s="45" t="s">
        <v>302</v>
      </c>
      <c r="U149" s="49" t="s">
        <v>1503</v>
      </c>
      <c r="V149" s="45" t="s">
        <v>1504</v>
      </c>
      <c r="Y149" s="51">
        <v>9416</v>
      </c>
      <c r="AB149" s="52">
        <v>1177</v>
      </c>
    </row>
    <row r="150" spans="2:28" s="45" customFormat="1" x14ac:dyDescent="0.2">
      <c r="B150" s="46" t="s">
        <v>1321</v>
      </c>
      <c r="C150" s="47">
        <v>2100</v>
      </c>
      <c r="D150" s="48">
        <f t="shared" si="4"/>
        <v>2.1000000000000001E-2</v>
      </c>
      <c r="E150" s="45" t="s">
        <v>1368</v>
      </c>
      <c r="F150" s="45" t="s">
        <v>1322</v>
      </c>
      <c r="G150" s="45" t="s">
        <v>1501</v>
      </c>
      <c r="K150" s="46" t="s">
        <v>1502</v>
      </c>
      <c r="L150" s="45" t="s">
        <v>1279</v>
      </c>
      <c r="M150" s="49" t="s">
        <v>1503</v>
      </c>
      <c r="N150" s="46" t="s">
        <v>2094</v>
      </c>
      <c r="O150" s="45" t="s">
        <v>1326</v>
      </c>
      <c r="P150" s="45" t="str">
        <f t="shared" si="0"/>
        <v>F010</v>
      </c>
      <c r="Q150" s="46" t="s">
        <v>127</v>
      </c>
      <c r="S150" s="50">
        <v>20</v>
      </c>
      <c r="T150" s="45" t="s">
        <v>302</v>
      </c>
      <c r="U150" s="49" t="s">
        <v>1503</v>
      </c>
      <c r="V150" s="45" t="s">
        <v>1504</v>
      </c>
      <c r="Y150" s="51">
        <v>2247</v>
      </c>
      <c r="AB150" s="52">
        <v>280.88</v>
      </c>
    </row>
    <row r="151" spans="2:28" s="45" customFormat="1" x14ac:dyDescent="0.2">
      <c r="B151" s="46" t="s">
        <v>1321</v>
      </c>
      <c r="C151" s="47">
        <v>1900</v>
      </c>
      <c r="D151" s="48">
        <f t="shared" si="4"/>
        <v>1.9E-2</v>
      </c>
      <c r="E151" s="45" t="s">
        <v>1369</v>
      </c>
      <c r="F151" s="45" t="s">
        <v>1322</v>
      </c>
      <c r="G151" s="45" t="s">
        <v>1501</v>
      </c>
      <c r="K151" s="46" t="s">
        <v>1502</v>
      </c>
      <c r="L151" s="45" t="s">
        <v>1279</v>
      </c>
      <c r="M151" s="49" t="s">
        <v>1503</v>
      </c>
      <c r="N151" s="46" t="s">
        <v>1564</v>
      </c>
      <c r="O151" s="45" t="s">
        <v>1326</v>
      </c>
      <c r="P151" s="45" t="str">
        <f t="shared" si="0"/>
        <v>F010</v>
      </c>
      <c r="Q151" s="46" t="s">
        <v>127</v>
      </c>
      <c r="S151" s="50">
        <v>20</v>
      </c>
      <c r="T151" s="45" t="s">
        <v>302</v>
      </c>
      <c r="U151" s="49" t="s">
        <v>1503</v>
      </c>
      <c r="V151" s="45" t="s">
        <v>1504</v>
      </c>
      <c r="Y151" s="51">
        <v>2033</v>
      </c>
      <c r="AB151" s="52">
        <v>254.13</v>
      </c>
    </row>
    <row r="152" spans="2:28" x14ac:dyDescent="0.2">
      <c r="B152" s="42" t="s">
        <v>1321</v>
      </c>
      <c r="C152" s="36"/>
      <c r="D152" s="36"/>
      <c r="F152" s="1" t="s">
        <v>1322</v>
      </c>
      <c r="G152" s="1" t="s">
        <v>1506</v>
      </c>
      <c r="K152" s="42" t="s">
        <v>1269</v>
      </c>
      <c r="L152" s="1" t="s">
        <v>1279</v>
      </c>
      <c r="M152" s="30" t="s">
        <v>1507</v>
      </c>
      <c r="N152" s="42" t="s">
        <v>1285</v>
      </c>
      <c r="O152" s="1" t="s">
        <v>1326</v>
      </c>
      <c r="P152" s="34" t="str">
        <f t="shared" si="0"/>
        <v>F010</v>
      </c>
      <c r="Q152" s="42" t="s">
        <v>127</v>
      </c>
      <c r="S152" s="16">
        <v>20</v>
      </c>
      <c r="T152" s="1" t="s">
        <v>302</v>
      </c>
      <c r="U152" s="30" t="s">
        <v>1507</v>
      </c>
      <c r="V152" s="1" t="s">
        <v>1508</v>
      </c>
      <c r="Y152" s="43">
        <v>200000</v>
      </c>
      <c r="AB152" s="44">
        <v>200000</v>
      </c>
    </row>
    <row r="153" spans="2:28" x14ac:dyDescent="0.2">
      <c r="B153" s="42" t="s">
        <v>1321</v>
      </c>
      <c r="C153" s="36"/>
      <c r="D153" s="36"/>
      <c r="F153" s="1" t="s">
        <v>1469</v>
      </c>
      <c r="G153" s="1" t="s">
        <v>1509</v>
      </c>
      <c r="K153" s="42" t="s">
        <v>1270</v>
      </c>
      <c r="L153" s="1" t="s">
        <v>1279</v>
      </c>
      <c r="M153" s="30" t="s">
        <v>1510</v>
      </c>
      <c r="N153" s="42" t="s">
        <v>1281</v>
      </c>
      <c r="O153" s="1" t="s">
        <v>1472</v>
      </c>
      <c r="P153" s="34" t="str">
        <f t="shared" si="0"/>
        <v>F010</v>
      </c>
      <c r="Q153" s="42" t="s">
        <v>137</v>
      </c>
      <c r="S153" s="16">
        <v>20</v>
      </c>
      <c r="T153" s="1" t="s">
        <v>302</v>
      </c>
      <c r="U153" s="30" t="s">
        <v>1510</v>
      </c>
      <c r="V153" s="1" t="s">
        <v>1511</v>
      </c>
      <c r="Y153" s="43">
        <v>424743.64</v>
      </c>
      <c r="AB153" s="44">
        <v>424743.64</v>
      </c>
    </row>
    <row r="154" spans="2:28" x14ac:dyDescent="0.2">
      <c r="B154" s="42" t="s">
        <v>1321</v>
      </c>
      <c r="C154" s="36"/>
      <c r="D154" s="36"/>
      <c r="F154" s="1" t="s">
        <v>1322</v>
      </c>
      <c r="G154" s="1" t="s">
        <v>1512</v>
      </c>
      <c r="K154" s="42" t="s">
        <v>1271</v>
      </c>
      <c r="L154" s="1" t="s">
        <v>1279</v>
      </c>
      <c r="M154" s="30" t="s">
        <v>1503</v>
      </c>
      <c r="N154" s="42" t="s">
        <v>1282</v>
      </c>
      <c r="O154" s="1" t="s">
        <v>1326</v>
      </c>
      <c r="P154" s="34" t="str">
        <f t="shared" si="0"/>
        <v>F010</v>
      </c>
      <c r="Q154" s="42" t="s">
        <v>135</v>
      </c>
      <c r="S154" s="16">
        <v>20</v>
      </c>
      <c r="T154" s="1" t="s">
        <v>302</v>
      </c>
      <c r="U154" s="30" t="s">
        <v>1503</v>
      </c>
      <c r="V154" s="1" t="s">
        <v>1513</v>
      </c>
      <c r="Y154" s="43">
        <v>143838</v>
      </c>
      <c r="AB154" s="44">
        <v>102741.45</v>
      </c>
    </row>
    <row r="155" spans="2:28" s="45" customFormat="1" x14ac:dyDescent="0.2">
      <c r="B155" s="46" t="s">
        <v>1321</v>
      </c>
      <c r="C155" s="47">
        <v>52620</v>
      </c>
      <c r="D155" s="48">
        <f>+C155/100000</f>
        <v>0.5262</v>
      </c>
      <c r="E155" s="45" t="s">
        <v>1331</v>
      </c>
      <c r="F155" s="45" t="s">
        <v>1322</v>
      </c>
      <c r="G155" s="45" t="s">
        <v>1514</v>
      </c>
      <c r="K155" s="46" t="s">
        <v>1515</v>
      </c>
      <c r="L155" s="45" t="s">
        <v>1279</v>
      </c>
      <c r="M155" s="49" t="s">
        <v>1516</v>
      </c>
      <c r="N155" s="46" t="s">
        <v>1708</v>
      </c>
      <c r="O155" s="45" t="s">
        <v>1326</v>
      </c>
      <c r="P155" s="45" t="str">
        <f t="shared" si="0"/>
        <v>F010</v>
      </c>
      <c r="Q155" s="46" t="s">
        <v>127</v>
      </c>
      <c r="S155" s="50">
        <v>20</v>
      </c>
      <c r="T155" s="45" t="s">
        <v>302</v>
      </c>
      <c r="U155" s="49" t="s">
        <v>1516</v>
      </c>
      <c r="V155" s="45" t="s">
        <v>1517</v>
      </c>
      <c r="Y155" s="51">
        <v>982067.37</v>
      </c>
      <c r="AB155" s="52">
        <v>320937.01</v>
      </c>
    </row>
    <row r="156" spans="2:28" s="45" customFormat="1" x14ac:dyDescent="0.2">
      <c r="B156" s="46" t="s">
        <v>1321</v>
      </c>
      <c r="C156" s="47">
        <v>26310</v>
      </c>
      <c r="D156" s="48">
        <f>+C156/100000</f>
        <v>0.2631</v>
      </c>
      <c r="E156" s="45" t="s">
        <v>1337</v>
      </c>
      <c r="F156" s="45" t="s">
        <v>1469</v>
      </c>
      <c r="G156" s="45" t="s">
        <v>1514</v>
      </c>
      <c r="K156" s="46" t="s">
        <v>1515</v>
      </c>
      <c r="L156" s="45" t="s">
        <v>1279</v>
      </c>
      <c r="M156" s="49" t="s">
        <v>1516</v>
      </c>
      <c r="N156" s="46" t="s">
        <v>1614</v>
      </c>
      <c r="O156" s="45" t="s">
        <v>1472</v>
      </c>
      <c r="P156" s="45" t="str">
        <f t="shared" si="0"/>
        <v>F010</v>
      </c>
      <c r="Q156" s="46" t="s">
        <v>127</v>
      </c>
      <c r="S156" s="50">
        <v>20</v>
      </c>
      <c r="T156" s="45" t="s">
        <v>302</v>
      </c>
      <c r="U156" s="49" t="s">
        <v>1516</v>
      </c>
      <c r="V156" s="45" t="s">
        <v>1517</v>
      </c>
      <c r="Y156" s="51">
        <v>491033.68</v>
      </c>
      <c r="AB156" s="52">
        <v>160468.5</v>
      </c>
    </row>
    <row r="157" spans="2:28" s="45" customFormat="1" x14ac:dyDescent="0.2">
      <c r="B157" s="46" t="s">
        <v>1321</v>
      </c>
      <c r="C157" s="47">
        <v>11850</v>
      </c>
      <c r="D157" s="48">
        <f>+C157/100000</f>
        <v>0.11849999999999999</v>
      </c>
      <c r="E157" s="45" t="s">
        <v>1348</v>
      </c>
      <c r="F157" s="45" t="s">
        <v>1322</v>
      </c>
      <c r="G157" s="45" t="s">
        <v>1514</v>
      </c>
      <c r="K157" s="46" t="s">
        <v>1515</v>
      </c>
      <c r="L157" s="45" t="s">
        <v>1279</v>
      </c>
      <c r="M157" s="49" t="s">
        <v>1516</v>
      </c>
      <c r="N157" s="46" t="s">
        <v>1568</v>
      </c>
      <c r="O157" s="45" t="s">
        <v>1326</v>
      </c>
      <c r="P157" s="45" t="str">
        <f t="shared" si="0"/>
        <v>F010</v>
      </c>
      <c r="Q157" s="46" t="s">
        <v>127</v>
      </c>
      <c r="S157" s="50">
        <v>20</v>
      </c>
      <c r="T157" s="45" t="s">
        <v>302</v>
      </c>
      <c r="U157" s="49" t="s">
        <v>1516</v>
      </c>
      <c r="V157" s="45" t="s">
        <v>1517</v>
      </c>
      <c r="Y157" s="51">
        <v>221161.12</v>
      </c>
      <c r="AB157" s="52">
        <v>72274.87</v>
      </c>
    </row>
    <row r="158" spans="2:28" s="45" customFormat="1" x14ac:dyDescent="0.2">
      <c r="B158" s="46" t="s">
        <v>1321</v>
      </c>
      <c r="C158" s="47">
        <v>9220</v>
      </c>
      <c r="D158" s="48">
        <f>+C158/100000</f>
        <v>9.2200000000000004E-2</v>
      </c>
      <c r="E158" s="45" t="s">
        <v>1351</v>
      </c>
      <c r="F158" s="45" t="s">
        <v>1322</v>
      </c>
      <c r="G158" s="45" t="s">
        <v>1514</v>
      </c>
      <c r="K158" s="46" t="s">
        <v>1515</v>
      </c>
      <c r="L158" s="45" t="s">
        <v>1279</v>
      </c>
      <c r="M158" s="49" t="s">
        <v>1516</v>
      </c>
      <c r="N158" s="46" t="s">
        <v>1287</v>
      </c>
      <c r="O158" s="45" t="s">
        <v>1326</v>
      </c>
      <c r="P158" s="45" t="str">
        <f t="shared" si="0"/>
        <v>F010</v>
      </c>
      <c r="Q158" s="46" t="s">
        <v>127</v>
      </c>
      <c r="S158" s="50">
        <v>20</v>
      </c>
      <c r="T158" s="45" t="s">
        <v>302</v>
      </c>
      <c r="U158" s="49" t="s">
        <v>1516</v>
      </c>
      <c r="V158" s="45" t="s">
        <v>1517</v>
      </c>
      <c r="Y158" s="51">
        <v>172076.42</v>
      </c>
      <c r="AB158" s="52">
        <v>56234.12</v>
      </c>
    </row>
    <row r="159" spans="2:28" x14ac:dyDescent="0.2">
      <c r="B159" s="42" t="s">
        <v>1321</v>
      </c>
      <c r="C159" s="36"/>
      <c r="D159" s="36"/>
      <c r="F159" s="1" t="s">
        <v>1469</v>
      </c>
      <c r="G159" s="1" t="s">
        <v>1518</v>
      </c>
      <c r="K159" s="42" t="s">
        <v>1272</v>
      </c>
      <c r="L159" s="1" t="s">
        <v>1279</v>
      </c>
      <c r="M159" s="30" t="s">
        <v>1516</v>
      </c>
      <c r="N159" s="42" t="s">
        <v>1294</v>
      </c>
      <c r="O159" s="1" t="s">
        <v>1472</v>
      </c>
      <c r="P159" s="34" t="str">
        <f t="shared" si="0"/>
        <v>F010</v>
      </c>
      <c r="Q159" s="42" t="s">
        <v>127</v>
      </c>
      <c r="S159" s="16">
        <v>20</v>
      </c>
      <c r="T159" s="1" t="s">
        <v>302</v>
      </c>
      <c r="U159" s="30" t="s">
        <v>1516</v>
      </c>
      <c r="V159" s="1" t="s">
        <v>1517</v>
      </c>
      <c r="Y159" s="43">
        <v>1370000</v>
      </c>
      <c r="AB159" s="44">
        <v>447712.5</v>
      </c>
    </row>
    <row r="160" spans="2:28" x14ac:dyDescent="0.2">
      <c r="B160" s="42" t="s">
        <v>1321</v>
      </c>
      <c r="C160" s="36"/>
      <c r="D160" s="36"/>
      <c r="F160" s="1" t="s">
        <v>1322</v>
      </c>
      <c r="G160" s="1" t="s">
        <v>1519</v>
      </c>
      <c r="K160" s="42" t="s">
        <v>1273</v>
      </c>
      <c r="L160" s="1" t="s">
        <v>1279</v>
      </c>
      <c r="M160" s="30" t="s">
        <v>1467</v>
      </c>
      <c r="N160" s="42" t="s">
        <v>1291</v>
      </c>
      <c r="O160" s="1" t="s">
        <v>1326</v>
      </c>
      <c r="P160" s="34" t="str">
        <f t="shared" si="0"/>
        <v>F010</v>
      </c>
      <c r="Q160" s="42" t="s">
        <v>1297</v>
      </c>
      <c r="S160" s="16">
        <v>20</v>
      </c>
      <c r="T160" s="1" t="s">
        <v>302</v>
      </c>
      <c r="U160" s="30" t="s">
        <v>1467</v>
      </c>
      <c r="V160" s="1" t="s">
        <v>1503</v>
      </c>
      <c r="Y160" s="43">
        <v>164286.82999999999</v>
      </c>
      <c r="AB160" s="44">
        <v>164286.82999999999</v>
      </c>
    </row>
    <row r="161" spans="2:28" x14ac:dyDescent="0.2">
      <c r="B161" s="42" t="s">
        <v>1321</v>
      </c>
      <c r="C161" s="36"/>
      <c r="D161" s="36"/>
      <c r="F161" s="1" t="s">
        <v>1322</v>
      </c>
      <c r="G161" s="1" t="s">
        <v>1520</v>
      </c>
      <c r="K161" s="42" t="s">
        <v>1274</v>
      </c>
      <c r="L161" s="1" t="s">
        <v>1279</v>
      </c>
      <c r="M161" s="30" t="s">
        <v>1484</v>
      </c>
      <c r="N161" s="42" t="s">
        <v>1287</v>
      </c>
      <c r="O161" s="1" t="s">
        <v>1326</v>
      </c>
      <c r="P161" s="34" t="str">
        <f t="shared" si="0"/>
        <v>F010</v>
      </c>
      <c r="Q161" s="42" t="s">
        <v>138</v>
      </c>
      <c r="S161" s="16">
        <v>20</v>
      </c>
      <c r="T161" s="1" t="s">
        <v>302</v>
      </c>
      <c r="U161" s="30" t="s">
        <v>1484</v>
      </c>
      <c r="V161" s="1" t="s">
        <v>1476</v>
      </c>
      <c r="Y161" s="43">
        <v>273000</v>
      </c>
      <c r="AB161" s="44">
        <v>273000</v>
      </c>
    </row>
    <row r="162" spans="2:28" s="45" customFormat="1" x14ac:dyDescent="0.2">
      <c r="B162" s="46" t="s">
        <v>1321</v>
      </c>
      <c r="C162" s="47">
        <v>10000</v>
      </c>
      <c r="D162" s="48">
        <f>+C162/100000</f>
        <v>0.1</v>
      </c>
      <c r="E162" s="46" t="s">
        <v>1331</v>
      </c>
      <c r="F162" s="45" t="s">
        <v>1322</v>
      </c>
      <c r="G162" s="45" t="s">
        <v>1521</v>
      </c>
      <c r="K162" s="46" t="s">
        <v>1522</v>
      </c>
      <c r="L162" s="45" t="s">
        <v>1279</v>
      </c>
      <c r="M162" s="49" t="s">
        <v>1334</v>
      </c>
      <c r="N162" s="46" t="s">
        <v>1577</v>
      </c>
      <c r="O162" s="45" t="s">
        <v>1326</v>
      </c>
      <c r="P162" s="45" t="str">
        <f t="shared" si="0"/>
        <v>F010</v>
      </c>
      <c r="Q162" s="46" t="s">
        <v>138</v>
      </c>
      <c r="S162" s="50">
        <v>20</v>
      </c>
      <c r="T162" s="45" t="s">
        <v>302</v>
      </c>
      <c r="U162" s="49" t="s">
        <v>1334</v>
      </c>
      <c r="V162" s="45" t="s">
        <v>1377</v>
      </c>
      <c r="Y162" s="51">
        <v>57094.86</v>
      </c>
      <c r="AB162" s="52">
        <v>34891.300000000003</v>
      </c>
    </row>
    <row r="163" spans="2:28" s="45" customFormat="1" x14ac:dyDescent="0.2">
      <c r="B163" s="46" t="s">
        <v>1321</v>
      </c>
      <c r="C163" s="47">
        <v>90000</v>
      </c>
      <c r="D163" s="48">
        <f>+C163/100000</f>
        <v>0.9</v>
      </c>
      <c r="E163" s="46" t="s">
        <v>1337</v>
      </c>
      <c r="F163" s="45" t="s">
        <v>1322</v>
      </c>
      <c r="G163" s="45" t="s">
        <v>1521</v>
      </c>
      <c r="K163" s="46" t="s">
        <v>1522</v>
      </c>
      <c r="L163" s="45" t="s">
        <v>1279</v>
      </c>
      <c r="M163" s="49" t="s">
        <v>1334</v>
      </c>
      <c r="N163" s="46" t="s">
        <v>1286</v>
      </c>
      <c r="O163" s="45" t="s">
        <v>1326</v>
      </c>
      <c r="P163" s="45" t="str">
        <f t="shared" si="0"/>
        <v>F010</v>
      </c>
      <c r="Q163" s="46" t="s">
        <v>138</v>
      </c>
      <c r="S163" s="50">
        <v>20</v>
      </c>
      <c r="T163" s="45" t="s">
        <v>302</v>
      </c>
      <c r="U163" s="49" t="s">
        <v>1334</v>
      </c>
      <c r="V163" s="45" t="s">
        <v>1377</v>
      </c>
      <c r="Y163" s="51">
        <v>513853.75</v>
      </c>
      <c r="AB163" s="52">
        <v>314021.73</v>
      </c>
    </row>
    <row r="164" spans="2:28" x14ac:dyDescent="0.2">
      <c r="B164" s="42" t="s">
        <v>1321</v>
      </c>
      <c r="C164" s="36"/>
      <c r="D164" s="36"/>
      <c r="F164" s="1" t="s">
        <v>1322</v>
      </c>
      <c r="G164" s="1" t="s">
        <v>1523</v>
      </c>
      <c r="K164" s="42" t="s">
        <v>1275</v>
      </c>
      <c r="L164" s="1" t="s">
        <v>1279</v>
      </c>
      <c r="M164" s="30" t="s">
        <v>1415</v>
      </c>
      <c r="N164" s="42" t="s">
        <v>1286</v>
      </c>
      <c r="O164" s="1" t="s">
        <v>1326</v>
      </c>
      <c r="P164" s="34" t="str">
        <f t="shared" si="0"/>
        <v>F010</v>
      </c>
      <c r="Q164" s="42" t="s">
        <v>138</v>
      </c>
      <c r="S164" s="16">
        <v>20</v>
      </c>
      <c r="T164" s="1" t="s">
        <v>302</v>
      </c>
      <c r="U164" s="30" t="s">
        <v>1415</v>
      </c>
      <c r="V164" s="1" t="s">
        <v>1503</v>
      </c>
      <c r="Y164" s="43">
        <v>209700</v>
      </c>
      <c r="AB164" s="44">
        <v>209700</v>
      </c>
    </row>
    <row r="165" spans="2:28" x14ac:dyDescent="0.2">
      <c r="B165" s="42" t="s">
        <v>1321</v>
      </c>
      <c r="C165" s="36"/>
      <c r="D165" s="36"/>
      <c r="F165" s="1" t="s">
        <v>1469</v>
      </c>
      <c r="G165" s="1" t="s">
        <v>1524</v>
      </c>
      <c r="K165" s="42" t="s">
        <v>1276</v>
      </c>
      <c r="L165" s="1" t="s">
        <v>1279</v>
      </c>
      <c r="M165" s="30" t="s">
        <v>1441</v>
      </c>
      <c r="N165" s="42" t="s">
        <v>1295</v>
      </c>
      <c r="O165" s="1" t="s">
        <v>1472</v>
      </c>
      <c r="P165" s="34" t="str">
        <f t="shared" si="0"/>
        <v>F010</v>
      </c>
      <c r="Q165" s="42" t="s">
        <v>136</v>
      </c>
      <c r="S165" s="16">
        <v>20</v>
      </c>
      <c r="T165" s="1" t="s">
        <v>302</v>
      </c>
      <c r="U165" s="30" t="s">
        <v>1441</v>
      </c>
      <c r="V165" s="1" t="s">
        <v>1468</v>
      </c>
      <c r="Y165" s="43">
        <v>192103.47</v>
      </c>
      <c r="AB165" s="44">
        <v>192103.47</v>
      </c>
    </row>
    <row r="166" spans="2:28" x14ac:dyDescent="0.2">
      <c r="B166" s="42" t="s">
        <v>1321</v>
      </c>
      <c r="C166" s="36"/>
      <c r="D166" s="36"/>
      <c r="F166" s="1" t="s">
        <v>1322</v>
      </c>
      <c r="G166" s="1" t="s">
        <v>1525</v>
      </c>
      <c r="K166" s="42" t="s">
        <v>1277</v>
      </c>
      <c r="L166" s="1" t="s">
        <v>1279</v>
      </c>
      <c r="M166" s="30" t="s">
        <v>1334</v>
      </c>
      <c r="N166" s="42" t="s">
        <v>1295</v>
      </c>
      <c r="O166" s="1" t="s">
        <v>1326</v>
      </c>
      <c r="P166" s="34" t="str">
        <f t="shared" si="0"/>
        <v>F010</v>
      </c>
      <c r="Q166" s="42" t="s">
        <v>127</v>
      </c>
      <c r="S166" s="16">
        <v>20</v>
      </c>
      <c r="T166" s="1" t="s">
        <v>302</v>
      </c>
      <c r="U166" s="30" t="s">
        <v>1334</v>
      </c>
      <c r="V166" s="1" t="s">
        <v>1526</v>
      </c>
      <c r="Y166" s="43">
        <v>83700</v>
      </c>
      <c r="AB166" s="44">
        <v>63496.57</v>
      </c>
    </row>
    <row r="167" spans="2:28" x14ac:dyDescent="0.2">
      <c r="B167" s="42" t="s">
        <v>1321</v>
      </c>
      <c r="C167" s="36"/>
      <c r="D167" s="36"/>
      <c r="F167" s="1" t="s">
        <v>1469</v>
      </c>
      <c r="G167" s="1" t="s">
        <v>1527</v>
      </c>
      <c r="K167" s="42" t="s">
        <v>1278</v>
      </c>
      <c r="L167" s="1" t="s">
        <v>1279</v>
      </c>
      <c r="M167" s="30" t="s">
        <v>1528</v>
      </c>
      <c r="N167" s="42" t="s">
        <v>1295</v>
      </c>
      <c r="O167" s="1" t="s">
        <v>1472</v>
      </c>
      <c r="P167" s="34" t="str">
        <f t="shared" si="0"/>
        <v>F010</v>
      </c>
      <c r="Q167" s="42" t="s">
        <v>1298</v>
      </c>
      <c r="S167" s="16">
        <v>20</v>
      </c>
      <c r="T167" s="1" t="s">
        <v>302</v>
      </c>
      <c r="U167" s="30" t="s">
        <v>1528</v>
      </c>
      <c r="V167" s="1" t="s">
        <v>1529</v>
      </c>
      <c r="Y167" s="43">
        <v>11740.76</v>
      </c>
      <c r="AB167" s="44">
        <v>11740.76</v>
      </c>
    </row>
    <row r="168" spans="2:28" x14ac:dyDescent="0.2">
      <c r="B168" s="53" t="s">
        <v>1530</v>
      </c>
      <c r="C168" s="36"/>
      <c r="D168" s="36"/>
      <c r="F168" s="1" t="s">
        <v>1469</v>
      </c>
      <c r="G168" s="1" t="s">
        <v>1531</v>
      </c>
      <c r="K168" s="53" t="s">
        <v>1532</v>
      </c>
      <c r="L168" s="1" t="s">
        <v>1279</v>
      </c>
      <c r="M168" s="30" t="s">
        <v>1533</v>
      </c>
      <c r="N168" s="53" t="s">
        <v>1534</v>
      </c>
      <c r="P168" s="34" t="str">
        <f t="shared" si="0"/>
        <v/>
      </c>
      <c r="Q168" s="53"/>
      <c r="S168" s="16">
        <v>20</v>
      </c>
      <c r="T168" s="1" t="s">
        <v>302</v>
      </c>
      <c r="U168" s="30" t="s">
        <v>1533</v>
      </c>
      <c r="V168" s="1" t="s">
        <v>1535</v>
      </c>
      <c r="Y168" s="43">
        <v>415583.63</v>
      </c>
      <c r="AB168" s="44">
        <v>415583.63</v>
      </c>
    </row>
    <row r="169" spans="2:28" x14ac:dyDescent="0.2">
      <c r="B169" s="53" t="s">
        <v>1530</v>
      </c>
      <c r="C169" s="36"/>
      <c r="D169" s="36"/>
      <c r="F169" s="1" t="s">
        <v>1469</v>
      </c>
      <c r="G169" s="1" t="s">
        <v>1536</v>
      </c>
      <c r="K169" s="53" t="s">
        <v>1537</v>
      </c>
      <c r="L169" s="1" t="s">
        <v>1279</v>
      </c>
      <c r="M169" s="30" t="s">
        <v>1467</v>
      </c>
      <c r="N169" s="53" t="s">
        <v>1534</v>
      </c>
      <c r="P169" s="34" t="str">
        <f t="shared" si="0"/>
        <v/>
      </c>
      <c r="Q169" s="53"/>
      <c r="S169" s="16">
        <v>20</v>
      </c>
      <c r="T169" s="1" t="s">
        <v>302</v>
      </c>
      <c r="U169" s="30" t="s">
        <v>1467</v>
      </c>
      <c r="V169" s="1" t="s">
        <v>1468</v>
      </c>
      <c r="Y169" s="43">
        <v>1601451.51</v>
      </c>
      <c r="AB169" s="44">
        <v>1601451.51</v>
      </c>
    </row>
    <row r="170" spans="2:28" x14ac:dyDescent="0.2">
      <c r="B170" s="53" t="s">
        <v>1530</v>
      </c>
      <c r="C170" s="36"/>
      <c r="D170" s="36"/>
      <c r="F170" s="1" t="s">
        <v>1469</v>
      </c>
      <c r="G170" s="1" t="s">
        <v>1538</v>
      </c>
      <c r="K170" s="53" t="s">
        <v>1539</v>
      </c>
      <c r="L170" s="1" t="s">
        <v>1279</v>
      </c>
      <c r="M170" s="30" t="s">
        <v>1540</v>
      </c>
      <c r="N170" s="53" t="s">
        <v>1294</v>
      </c>
      <c r="P170" s="34" t="str">
        <f t="shared" si="0"/>
        <v>F010</v>
      </c>
      <c r="Q170" s="53" t="s">
        <v>127</v>
      </c>
      <c r="S170" s="16">
        <v>20</v>
      </c>
      <c r="T170" s="1" t="s">
        <v>302</v>
      </c>
      <c r="U170" s="30" t="s">
        <v>1540</v>
      </c>
      <c r="V170" s="1" t="s">
        <v>1541</v>
      </c>
      <c r="Y170" s="43">
        <v>727161.12</v>
      </c>
      <c r="AB170" s="44">
        <v>727161.12</v>
      </c>
    </row>
    <row r="171" spans="2:28" x14ac:dyDescent="0.2">
      <c r="B171" s="53" t="s">
        <v>1530</v>
      </c>
      <c r="C171" s="36"/>
      <c r="D171" s="36"/>
      <c r="F171" s="1" t="s">
        <v>1322</v>
      </c>
      <c r="G171" s="1" t="s">
        <v>1542</v>
      </c>
      <c r="K171" s="53" t="s">
        <v>1543</v>
      </c>
      <c r="L171" s="1" t="s">
        <v>1279</v>
      </c>
      <c r="M171" s="30" t="s">
        <v>1544</v>
      </c>
      <c r="N171" s="53" t="s">
        <v>1294</v>
      </c>
      <c r="P171" s="34" t="str">
        <f t="shared" si="0"/>
        <v>F010</v>
      </c>
      <c r="Q171" s="53" t="s">
        <v>127</v>
      </c>
      <c r="S171" s="16">
        <v>20</v>
      </c>
      <c r="T171" s="1" t="s">
        <v>302</v>
      </c>
      <c r="U171" s="30" t="s">
        <v>1544</v>
      </c>
      <c r="V171" s="1" t="s">
        <v>1413</v>
      </c>
      <c r="Y171" s="43">
        <v>537972.5</v>
      </c>
      <c r="AB171" s="44">
        <v>537972.5</v>
      </c>
    </row>
    <row r="172" spans="2:28" x14ac:dyDescent="0.2">
      <c r="B172" s="53" t="s">
        <v>1545</v>
      </c>
      <c r="C172" s="36"/>
      <c r="D172" s="36"/>
      <c r="F172" s="1" t="s">
        <v>1469</v>
      </c>
      <c r="G172" s="1" t="s">
        <v>1546</v>
      </c>
      <c r="K172" s="53" t="s">
        <v>1547</v>
      </c>
      <c r="L172" s="1" t="s">
        <v>1279</v>
      </c>
      <c r="M172" s="30" t="s">
        <v>1548</v>
      </c>
      <c r="N172" s="53" t="s">
        <v>6094</v>
      </c>
      <c r="O172" s="1" t="s">
        <v>1550</v>
      </c>
      <c r="P172" s="34" t="str">
        <f t="shared" si="0"/>
        <v/>
      </c>
      <c r="Q172" s="53"/>
      <c r="S172" s="16">
        <v>20</v>
      </c>
      <c r="T172" s="1" t="s">
        <v>302</v>
      </c>
      <c r="U172" s="30" t="s">
        <v>1548</v>
      </c>
      <c r="V172" s="1" t="s">
        <v>1516</v>
      </c>
      <c r="Y172" s="43">
        <v>361083</v>
      </c>
      <c r="AB172" s="44">
        <v>361083</v>
      </c>
    </row>
    <row r="173" spans="2:28" x14ac:dyDescent="0.2">
      <c r="B173" s="53" t="s">
        <v>1545</v>
      </c>
      <c r="C173" s="36"/>
      <c r="D173" s="36"/>
      <c r="F173" s="1" t="s">
        <v>1469</v>
      </c>
      <c r="G173" s="1" t="s">
        <v>1551</v>
      </c>
      <c r="K173" s="53" t="s">
        <v>1552</v>
      </c>
      <c r="L173" s="1" t="s">
        <v>1279</v>
      </c>
      <c r="M173" s="30" t="s">
        <v>1372</v>
      </c>
      <c r="N173" s="53" t="s">
        <v>1287</v>
      </c>
      <c r="O173" s="1" t="s">
        <v>1550</v>
      </c>
      <c r="P173" s="34" t="str">
        <f t="shared" si="0"/>
        <v>F010</v>
      </c>
      <c r="Q173" s="53" t="s">
        <v>138</v>
      </c>
      <c r="S173" s="16">
        <v>20</v>
      </c>
      <c r="T173" s="1" t="s">
        <v>302</v>
      </c>
      <c r="U173" s="30" t="s">
        <v>1372</v>
      </c>
      <c r="V173" s="1" t="s">
        <v>1413</v>
      </c>
      <c r="Y173" s="43">
        <v>349062.29</v>
      </c>
      <c r="AB173" s="44">
        <v>349062.29</v>
      </c>
    </row>
    <row r="174" spans="2:28" x14ac:dyDescent="0.2">
      <c r="B174" s="53" t="s">
        <v>1545</v>
      </c>
      <c r="C174" s="36"/>
      <c r="D174" s="36"/>
      <c r="F174" s="1" t="s">
        <v>1322</v>
      </c>
      <c r="G174" s="1" t="s">
        <v>1553</v>
      </c>
      <c r="K174" s="53" t="s">
        <v>1554</v>
      </c>
      <c r="L174" s="1" t="s">
        <v>1279</v>
      </c>
      <c r="M174" s="30" t="s">
        <v>1555</v>
      </c>
      <c r="N174" s="53" t="s">
        <v>1556</v>
      </c>
      <c r="O174" s="1" t="s">
        <v>1549</v>
      </c>
      <c r="P174" s="34" t="str">
        <f t="shared" si="0"/>
        <v>F010</v>
      </c>
      <c r="Q174" s="53" t="s">
        <v>127</v>
      </c>
      <c r="S174" s="16">
        <v>20</v>
      </c>
      <c r="T174" s="1" t="s">
        <v>302</v>
      </c>
      <c r="U174" s="30" t="s">
        <v>1555</v>
      </c>
      <c r="V174" s="1" t="s">
        <v>1557</v>
      </c>
      <c r="Y174" s="43">
        <v>1250000</v>
      </c>
      <c r="AB174" s="44">
        <v>1250000</v>
      </c>
    </row>
    <row r="175" spans="2:28" x14ac:dyDescent="0.2">
      <c r="B175" s="53" t="s">
        <v>1545</v>
      </c>
      <c r="C175" s="36"/>
      <c r="D175" s="36"/>
      <c r="F175" s="1" t="s">
        <v>1469</v>
      </c>
      <c r="G175" s="1" t="s">
        <v>1558</v>
      </c>
      <c r="K175" s="53" t="s">
        <v>1559</v>
      </c>
      <c r="L175" s="1" t="s">
        <v>1279</v>
      </c>
      <c r="M175" s="30" t="s">
        <v>1413</v>
      </c>
      <c r="N175" s="53" t="s">
        <v>1556</v>
      </c>
      <c r="O175" s="1" t="s">
        <v>1550</v>
      </c>
      <c r="P175" s="34" t="str">
        <f t="shared" si="0"/>
        <v>F010</v>
      </c>
      <c r="Q175" s="53" t="s">
        <v>127</v>
      </c>
      <c r="S175" s="16">
        <v>20</v>
      </c>
      <c r="T175" s="1" t="s">
        <v>302</v>
      </c>
      <c r="U175" s="30" t="s">
        <v>1413</v>
      </c>
      <c r="V175" s="1" t="s">
        <v>1560</v>
      </c>
      <c r="Y175" s="43">
        <v>160000</v>
      </c>
      <c r="AB175" s="44">
        <v>160000</v>
      </c>
    </row>
    <row r="176" spans="2:28" s="34" customFormat="1" x14ac:dyDescent="0.2">
      <c r="B176" s="39" t="s">
        <v>1561</v>
      </c>
      <c r="C176" s="36"/>
      <c r="D176" s="36"/>
      <c r="F176" s="34" t="s">
        <v>1322</v>
      </c>
      <c r="G176" s="34" t="s">
        <v>1562</v>
      </c>
      <c r="K176" s="34" t="s">
        <v>1563</v>
      </c>
      <c r="L176" s="1" t="s">
        <v>1279</v>
      </c>
      <c r="M176" s="34" t="s">
        <v>1484</v>
      </c>
      <c r="N176" s="34" t="s">
        <v>1564</v>
      </c>
      <c r="O176" s="34" t="s">
        <v>1286</v>
      </c>
      <c r="P176" s="34" t="str">
        <f t="shared" si="0"/>
        <v>F010</v>
      </c>
      <c r="Q176" s="34" t="s">
        <v>127</v>
      </c>
      <c r="S176" s="34">
        <v>20</v>
      </c>
      <c r="T176" s="34" t="s">
        <v>302</v>
      </c>
      <c r="U176" s="39" t="s">
        <v>1484</v>
      </c>
      <c r="V176" s="34" t="s">
        <v>1465</v>
      </c>
      <c r="Y176" s="34">
        <v>3889053.64</v>
      </c>
      <c r="AB176" s="34">
        <v>2657519.96</v>
      </c>
    </row>
    <row r="177" spans="2:28" x14ac:dyDescent="0.2">
      <c r="B177" s="30" t="s">
        <v>1561</v>
      </c>
      <c r="C177" s="36"/>
      <c r="D177" s="36"/>
      <c r="F177" s="1" t="s">
        <v>1469</v>
      </c>
      <c r="G177" s="1" t="s">
        <v>1565</v>
      </c>
      <c r="K177" s="1" t="s">
        <v>1566</v>
      </c>
      <c r="L177" s="1" t="s">
        <v>1279</v>
      </c>
      <c r="M177" s="1" t="s">
        <v>1567</v>
      </c>
      <c r="N177" s="1" t="s">
        <v>1568</v>
      </c>
      <c r="O177" s="1" t="s">
        <v>1550</v>
      </c>
      <c r="P177" s="34" t="str">
        <f t="shared" si="0"/>
        <v>F010</v>
      </c>
      <c r="Q177" s="1" t="s">
        <v>127</v>
      </c>
      <c r="S177" s="16">
        <v>20</v>
      </c>
      <c r="T177" s="1" t="s">
        <v>302</v>
      </c>
      <c r="U177" s="30" t="s">
        <v>1567</v>
      </c>
      <c r="V177" s="1" t="s">
        <v>1569</v>
      </c>
      <c r="Y177" s="1">
        <v>2930141.94</v>
      </c>
      <c r="AB177" s="1">
        <v>1465071</v>
      </c>
    </row>
    <row r="178" spans="2:28" x14ac:dyDescent="0.2">
      <c r="B178" s="30" t="s">
        <v>1561</v>
      </c>
      <c r="C178" s="36"/>
      <c r="D178" s="36"/>
      <c r="F178" s="1" t="s">
        <v>1322</v>
      </c>
      <c r="G178" s="1" t="s">
        <v>1570</v>
      </c>
      <c r="K178" s="1" t="s">
        <v>1571</v>
      </c>
      <c r="L178" s="1" t="s">
        <v>1279</v>
      </c>
      <c r="M178" s="1" t="s">
        <v>1572</v>
      </c>
      <c r="N178" s="1" t="s">
        <v>1573</v>
      </c>
      <c r="O178" s="1" t="s">
        <v>1549</v>
      </c>
      <c r="P178" s="34" t="str">
        <f t="shared" si="0"/>
        <v>F010</v>
      </c>
      <c r="Q178" s="1" t="s">
        <v>127</v>
      </c>
      <c r="S178" s="16">
        <v>20</v>
      </c>
      <c r="T178" s="1" t="s">
        <v>302</v>
      </c>
      <c r="U178" s="30" t="s">
        <v>1572</v>
      </c>
      <c r="V178" s="1" t="s">
        <v>1574</v>
      </c>
      <c r="Y178" s="1">
        <v>2193213.4</v>
      </c>
      <c r="AB178" s="1">
        <v>1352481.65</v>
      </c>
    </row>
    <row r="179" spans="2:28" x14ac:dyDescent="0.2">
      <c r="B179" s="30" t="s">
        <v>1561</v>
      </c>
      <c r="C179" s="36"/>
      <c r="D179" s="36"/>
      <c r="F179" s="1" t="s">
        <v>1322</v>
      </c>
      <c r="G179" s="1" t="s">
        <v>1575</v>
      </c>
      <c r="K179" s="1" t="s">
        <v>1576</v>
      </c>
      <c r="L179" s="1" t="s">
        <v>1279</v>
      </c>
      <c r="M179" s="1" t="s">
        <v>1541</v>
      </c>
      <c r="N179" s="1" t="s">
        <v>1577</v>
      </c>
      <c r="O179" s="1" t="s">
        <v>1549</v>
      </c>
      <c r="P179" s="34" t="str">
        <f t="shared" si="0"/>
        <v>F010</v>
      </c>
      <c r="Q179" s="1" t="s">
        <v>127</v>
      </c>
      <c r="S179" s="16">
        <v>20</v>
      </c>
      <c r="T179" s="1" t="s">
        <v>302</v>
      </c>
      <c r="U179" s="30" t="s">
        <v>1541</v>
      </c>
      <c r="V179" s="1" t="s">
        <v>1578</v>
      </c>
      <c r="Y179" s="1">
        <v>3723587.72</v>
      </c>
      <c r="AB179" s="1">
        <v>1923853.68</v>
      </c>
    </row>
    <row r="180" spans="2:28" x14ac:dyDescent="0.2">
      <c r="B180" s="30" t="s">
        <v>1561</v>
      </c>
      <c r="C180" s="36"/>
      <c r="D180" s="36"/>
      <c r="F180" s="1" t="s">
        <v>1579</v>
      </c>
      <c r="G180" s="1" t="s">
        <v>1580</v>
      </c>
      <c r="K180" s="1" t="s">
        <v>1581</v>
      </c>
      <c r="L180" s="1" t="s">
        <v>1279</v>
      </c>
      <c r="M180" s="1" t="s">
        <v>1582</v>
      </c>
      <c r="N180" s="1" t="s">
        <v>1577</v>
      </c>
      <c r="O180" s="1" t="s">
        <v>1583</v>
      </c>
      <c r="P180" s="34" t="str">
        <f t="shared" si="0"/>
        <v>F010</v>
      </c>
      <c r="Q180" s="1" t="s">
        <v>127</v>
      </c>
      <c r="S180" s="16">
        <v>20</v>
      </c>
      <c r="T180" s="1" t="s">
        <v>302</v>
      </c>
      <c r="U180" s="30" t="s">
        <v>1582</v>
      </c>
      <c r="V180" s="1" t="s">
        <v>1476</v>
      </c>
      <c r="Y180" s="1">
        <v>2764172.94</v>
      </c>
      <c r="AB180" s="1">
        <v>2764172.94</v>
      </c>
    </row>
    <row r="181" spans="2:28" x14ac:dyDescent="0.2">
      <c r="B181" s="30" t="s">
        <v>1561</v>
      </c>
      <c r="C181" s="36"/>
      <c r="D181" s="36"/>
      <c r="F181" s="1" t="s">
        <v>1584</v>
      </c>
      <c r="G181" s="1" t="s">
        <v>1585</v>
      </c>
      <c r="K181" s="1" t="s">
        <v>1586</v>
      </c>
      <c r="L181" s="1" t="s">
        <v>1279</v>
      </c>
      <c r="M181" s="1" t="s">
        <v>1330</v>
      </c>
      <c r="N181" s="1" t="s">
        <v>1587</v>
      </c>
      <c r="O181" s="1" t="s">
        <v>1588</v>
      </c>
      <c r="P181" s="34" t="str">
        <f t="shared" si="0"/>
        <v/>
      </c>
      <c r="S181" s="16">
        <v>20</v>
      </c>
      <c r="T181" s="1" t="s">
        <v>302</v>
      </c>
      <c r="U181" s="30" t="s">
        <v>1330</v>
      </c>
      <c r="V181" s="1" t="s">
        <v>1589</v>
      </c>
      <c r="Y181" s="1">
        <v>1184585.94</v>
      </c>
      <c r="AB181" s="1">
        <v>98715.5</v>
      </c>
    </row>
    <row r="182" spans="2:28" x14ac:dyDescent="0.2">
      <c r="B182" s="30" t="s">
        <v>1561</v>
      </c>
      <c r="C182" s="36"/>
      <c r="D182" s="36"/>
      <c r="F182" s="1" t="s">
        <v>1584</v>
      </c>
      <c r="G182" s="1" t="s">
        <v>1590</v>
      </c>
      <c r="K182" s="1" t="s">
        <v>1591</v>
      </c>
      <c r="L182" s="1" t="s">
        <v>1279</v>
      </c>
      <c r="M182" s="1" t="s">
        <v>1444</v>
      </c>
      <c r="N182" s="1" t="s">
        <v>1573</v>
      </c>
      <c r="O182" s="1" t="s">
        <v>1588</v>
      </c>
      <c r="P182" s="34" t="str">
        <f t="shared" ref="P182:P249" si="5">+LEFT(Q182,4)</f>
        <v>F010</v>
      </c>
      <c r="Q182" s="1" t="s">
        <v>127</v>
      </c>
      <c r="S182" s="16">
        <v>20</v>
      </c>
      <c r="T182" s="1" t="s">
        <v>302</v>
      </c>
      <c r="U182" s="30" t="s">
        <v>1444</v>
      </c>
      <c r="V182" s="1" t="s">
        <v>1513</v>
      </c>
      <c r="Y182" s="1">
        <v>3054984.48</v>
      </c>
      <c r="AB182" s="1">
        <v>2749486.05</v>
      </c>
    </row>
    <row r="183" spans="2:28" x14ac:dyDescent="0.2">
      <c r="B183" s="30" t="s">
        <v>1561</v>
      </c>
      <c r="C183" s="36"/>
      <c r="D183" s="36"/>
      <c r="F183" s="1" t="s">
        <v>1322</v>
      </c>
      <c r="G183" s="1" t="s">
        <v>1592</v>
      </c>
      <c r="K183" s="1" t="s">
        <v>1593</v>
      </c>
      <c r="L183" s="1" t="s">
        <v>1279</v>
      </c>
      <c r="M183" s="1" t="s">
        <v>1594</v>
      </c>
      <c r="N183" s="1" t="s">
        <v>1573</v>
      </c>
      <c r="O183" s="1" t="s">
        <v>1549</v>
      </c>
      <c r="P183" s="34" t="str">
        <f t="shared" si="5"/>
        <v>F010</v>
      </c>
      <c r="Q183" s="1" t="s">
        <v>137</v>
      </c>
      <c r="S183" s="16">
        <v>20</v>
      </c>
      <c r="T183" s="1" t="s">
        <v>302</v>
      </c>
      <c r="U183" s="30" t="s">
        <v>1594</v>
      </c>
      <c r="V183" s="1" t="s">
        <v>1560</v>
      </c>
      <c r="Y183" s="1">
        <v>6966662</v>
      </c>
      <c r="AB183" s="1">
        <v>6966662</v>
      </c>
    </row>
    <row r="184" spans="2:28" x14ac:dyDescent="0.2">
      <c r="B184" s="30" t="s">
        <v>1561</v>
      </c>
      <c r="C184" s="36"/>
      <c r="D184" s="36"/>
      <c r="F184" s="1" t="s">
        <v>1322</v>
      </c>
      <c r="G184" s="1" t="s">
        <v>1595</v>
      </c>
      <c r="K184" s="1" t="s">
        <v>1596</v>
      </c>
      <c r="L184" s="1" t="s">
        <v>1279</v>
      </c>
      <c r="M184" s="1" t="s">
        <v>1594</v>
      </c>
      <c r="N184" s="1" t="s">
        <v>1573</v>
      </c>
      <c r="O184" s="1" t="s">
        <v>1549</v>
      </c>
      <c r="P184" s="34" t="str">
        <f t="shared" si="5"/>
        <v>F010</v>
      </c>
      <c r="Q184" s="1" t="s">
        <v>137</v>
      </c>
      <c r="S184" s="16">
        <v>20</v>
      </c>
      <c r="T184" s="1" t="s">
        <v>302</v>
      </c>
      <c r="U184" s="30" t="s">
        <v>1594</v>
      </c>
      <c r="V184" s="1" t="s">
        <v>1560</v>
      </c>
      <c r="Y184" s="1">
        <v>4956328.0199999996</v>
      </c>
      <c r="AB184" s="1">
        <v>4956328.0199999996</v>
      </c>
    </row>
    <row r="185" spans="2:28" x14ac:dyDescent="0.2">
      <c r="B185" s="30" t="s">
        <v>1561</v>
      </c>
      <c r="C185" s="36"/>
      <c r="D185" s="36"/>
      <c r="F185" s="1" t="s">
        <v>1584</v>
      </c>
      <c r="G185" s="1" t="s">
        <v>1597</v>
      </c>
      <c r="K185" s="1" t="s">
        <v>1598</v>
      </c>
      <c r="L185" s="1" t="s">
        <v>1279</v>
      </c>
      <c r="M185" s="1" t="s">
        <v>1444</v>
      </c>
      <c r="N185" s="1" t="s">
        <v>1573</v>
      </c>
      <c r="O185" s="1" t="s">
        <v>1588</v>
      </c>
      <c r="P185" s="34" t="str">
        <f t="shared" si="5"/>
        <v>F010</v>
      </c>
      <c r="Q185" s="1" t="s">
        <v>127</v>
      </c>
      <c r="S185" s="16">
        <v>20</v>
      </c>
      <c r="T185" s="1" t="s">
        <v>302</v>
      </c>
      <c r="U185" s="30" t="s">
        <v>1444</v>
      </c>
      <c r="V185" s="1" t="s">
        <v>1513</v>
      </c>
      <c r="Y185" s="1">
        <v>6461933.9699999997</v>
      </c>
      <c r="AB185" s="1">
        <v>5815740.5999999996</v>
      </c>
    </row>
    <row r="186" spans="2:28" x14ac:dyDescent="0.2">
      <c r="B186" s="30" t="s">
        <v>1561</v>
      </c>
      <c r="C186" s="36"/>
      <c r="D186" s="36"/>
      <c r="F186" s="1" t="s">
        <v>1322</v>
      </c>
      <c r="G186" s="1" t="s">
        <v>1599</v>
      </c>
      <c r="K186" s="1" t="s">
        <v>1600</v>
      </c>
      <c r="L186" s="1" t="s">
        <v>1279</v>
      </c>
      <c r="M186" s="1" t="s">
        <v>1329</v>
      </c>
      <c r="N186" s="1" t="s">
        <v>1573</v>
      </c>
      <c r="O186" s="1" t="s">
        <v>1549</v>
      </c>
      <c r="P186" s="34" t="str">
        <f t="shared" si="5"/>
        <v>F010</v>
      </c>
      <c r="Q186" s="1" t="s">
        <v>127</v>
      </c>
      <c r="S186" s="16">
        <v>20</v>
      </c>
      <c r="T186" s="1" t="s">
        <v>302</v>
      </c>
      <c r="U186" s="30" t="s">
        <v>1329</v>
      </c>
      <c r="V186" s="1" t="s">
        <v>1601</v>
      </c>
      <c r="Y186" s="1">
        <v>3421150.56</v>
      </c>
      <c r="AB186" s="1">
        <v>3364131.39</v>
      </c>
    </row>
    <row r="187" spans="2:28" x14ac:dyDescent="0.2">
      <c r="B187" s="30" t="s">
        <v>1561</v>
      </c>
      <c r="C187" s="36"/>
      <c r="D187" s="36"/>
      <c r="F187" s="1" t="s">
        <v>1584</v>
      </c>
      <c r="G187" s="1" t="s">
        <v>1602</v>
      </c>
      <c r="K187" s="1" t="s">
        <v>1603</v>
      </c>
      <c r="L187" s="1" t="s">
        <v>1279</v>
      </c>
      <c r="M187" s="1" t="s">
        <v>1604</v>
      </c>
      <c r="N187" s="1" t="s">
        <v>1605</v>
      </c>
      <c r="O187" s="1" t="s">
        <v>1588</v>
      </c>
      <c r="P187" s="34" t="str">
        <f t="shared" si="5"/>
        <v>F010</v>
      </c>
      <c r="Q187" s="1" t="s">
        <v>138</v>
      </c>
      <c r="S187" s="16">
        <v>20</v>
      </c>
      <c r="T187" s="1" t="s">
        <v>302</v>
      </c>
      <c r="U187" s="30" t="s">
        <v>1604</v>
      </c>
      <c r="V187" s="1" t="s">
        <v>1606</v>
      </c>
      <c r="Y187" s="1">
        <v>1945045.25</v>
      </c>
      <c r="AB187" s="1">
        <v>1426366.48</v>
      </c>
    </row>
    <row r="188" spans="2:28" x14ac:dyDescent="0.2">
      <c r="B188" s="30" t="s">
        <v>1561</v>
      </c>
      <c r="C188" s="36"/>
      <c r="D188" s="36"/>
      <c r="F188" s="1" t="s">
        <v>1322</v>
      </c>
      <c r="G188" s="1" t="s">
        <v>1607</v>
      </c>
      <c r="K188" s="1" t="s">
        <v>1608</v>
      </c>
      <c r="L188" s="1" t="s">
        <v>1279</v>
      </c>
      <c r="M188" s="1" t="s">
        <v>1476</v>
      </c>
      <c r="N188" s="1" t="s">
        <v>1609</v>
      </c>
      <c r="O188" s="1" t="s">
        <v>1549</v>
      </c>
      <c r="P188" s="34" t="str">
        <f t="shared" si="5"/>
        <v/>
      </c>
      <c r="S188" s="16">
        <v>20</v>
      </c>
      <c r="T188" s="1" t="s">
        <v>302</v>
      </c>
      <c r="U188" s="30" t="s">
        <v>1476</v>
      </c>
      <c r="V188" s="1" t="s">
        <v>1610</v>
      </c>
      <c r="Y188" s="1">
        <v>1759746.81</v>
      </c>
      <c r="AB188" s="1">
        <v>175974.66</v>
      </c>
    </row>
    <row r="189" spans="2:28" x14ac:dyDescent="0.2">
      <c r="B189" s="30" t="s">
        <v>1561</v>
      </c>
      <c r="C189" s="36"/>
      <c r="D189" s="36"/>
      <c r="F189" s="1" t="s">
        <v>1322</v>
      </c>
      <c r="G189" s="1" t="s">
        <v>1611</v>
      </c>
      <c r="K189" s="1" t="s">
        <v>1612</v>
      </c>
      <c r="L189" s="1" t="s">
        <v>1279</v>
      </c>
      <c r="M189" s="1" t="s">
        <v>1613</v>
      </c>
      <c r="N189" s="1" t="s">
        <v>1614</v>
      </c>
      <c r="O189" s="1" t="s">
        <v>1549</v>
      </c>
      <c r="P189" s="34" t="str">
        <f t="shared" si="5"/>
        <v>F010</v>
      </c>
      <c r="Q189" s="1" t="s">
        <v>127</v>
      </c>
      <c r="S189" s="16">
        <v>20</v>
      </c>
      <c r="T189" s="1" t="s">
        <v>302</v>
      </c>
      <c r="U189" s="30" t="s">
        <v>1613</v>
      </c>
      <c r="V189" s="1" t="s">
        <v>1431</v>
      </c>
      <c r="Y189" s="1">
        <v>5866997.3600000003</v>
      </c>
      <c r="AB189" s="1">
        <v>3226848.57</v>
      </c>
    </row>
    <row r="190" spans="2:28" x14ac:dyDescent="0.2">
      <c r="B190" s="30" t="s">
        <v>1561</v>
      </c>
      <c r="C190" s="36"/>
      <c r="D190" s="36"/>
      <c r="F190" s="1" t="s">
        <v>1322</v>
      </c>
      <c r="G190" s="1" t="s">
        <v>1615</v>
      </c>
      <c r="K190" s="1" t="s">
        <v>1616</v>
      </c>
      <c r="L190" s="1" t="s">
        <v>1279</v>
      </c>
      <c r="M190" s="1" t="s">
        <v>1511</v>
      </c>
      <c r="N190" s="1" t="s">
        <v>1614</v>
      </c>
      <c r="O190" s="1" t="s">
        <v>1549</v>
      </c>
      <c r="P190" s="34" t="str">
        <f t="shared" si="5"/>
        <v>F010</v>
      </c>
      <c r="Q190" s="1" t="s">
        <v>127</v>
      </c>
      <c r="S190" s="16">
        <v>20</v>
      </c>
      <c r="T190" s="1" t="s">
        <v>302</v>
      </c>
      <c r="U190" s="30" t="s">
        <v>1511</v>
      </c>
      <c r="V190" s="1" t="s">
        <v>1617</v>
      </c>
      <c r="Y190" s="1">
        <v>3343498.4</v>
      </c>
      <c r="AB190" s="1">
        <v>1058774.45</v>
      </c>
    </row>
    <row r="191" spans="2:28" x14ac:dyDescent="0.2">
      <c r="B191" s="30" t="s">
        <v>1561</v>
      </c>
      <c r="C191" s="36"/>
      <c r="D191" s="36"/>
      <c r="F191" s="1" t="s">
        <v>1322</v>
      </c>
      <c r="G191" s="1" t="s">
        <v>1618</v>
      </c>
      <c r="K191" s="1" t="s">
        <v>1619</v>
      </c>
      <c r="L191" s="1" t="s">
        <v>1279</v>
      </c>
      <c r="M191" s="1" t="s">
        <v>1535</v>
      </c>
      <c r="N191" s="1" t="s">
        <v>1614</v>
      </c>
      <c r="O191" s="1" t="s">
        <v>1549</v>
      </c>
      <c r="P191" s="34" t="str">
        <f t="shared" si="5"/>
        <v>F010</v>
      </c>
      <c r="Q191" s="1" t="s">
        <v>127</v>
      </c>
      <c r="S191" s="16">
        <v>20</v>
      </c>
      <c r="T191" s="1" t="s">
        <v>302</v>
      </c>
      <c r="U191" s="30" t="s">
        <v>1535</v>
      </c>
      <c r="V191" s="1" t="s">
        <v>1620</v>
      </c>
      <c r="Y191" s="1">
        <v>4900383.8099999996</v>
      </c>
      <c r="AB191" s="1">
        <v>1715134.3</v>
      </c>
    </row>
    <row r="192" spans="2:28" x14ac:dyDescent="0.2">
      <c r="B192" s="30" t="s">
        <v>1561</v>
      </c>
      <c r="C192" s="36"/>
      <c r="D192" s="36"/>
      <c r="F192" s="1" t="s">
        <v>1584</v>
      </c>
      <c r="G192" s="1" t="s">
        <v>1621</v>
      </c>
      <c r="K192" s="1" t="s">
        <v>1622</v>
      </c>
      <c r="L192" s="1" t="s">
        <v>1279</v>
      </c>
      <c r="M192" s="1" t="s">
        <v>1535</v>
      </c>
      <c r="N192" s="1" t="s">
        <v>1609</v>
      </c>
      <c r="O192" s="1" t="s">
        <v>1588</v>
      </c>
      <c r="P192" s="34" t="str">
        <f t="shared" si="5"/>
        <v>F010</v>
      </c>
      <c r="Q192" s="1" t="s">
        <v>127</v>
      </c>
      <c r="S192" s="16">
        <v>20</v>
      </c>
      <c r="T192" s="1" t="s">
        <v>302</v>
      </c>
      <c r="U192" s="30" t="s">
        <v>1535</v>
      </c>
      <c r="V192" s="1" t="s">
        <v>1620</v>
      </c>
      <c r="Y192" s="1">
        <v>3050645.16</v>
      </c>
      <c r="AB192" s="1">
        <v>1067725.8700000001</v>
      </c>
    </row>
    <row r="193" spans="2:28" s="45" customFormat="1" x14ac:dyDescent="0.2">
      <c r="B193" s="49" t="s">
        <v>1561</v>
      </c>
      <c r="C193" s="47">
        <v>50000</v>
      </c>
      <c r="D193" s="48">
        <f>+C193/100000</f>
        <v>0.5</v>
      </c>
      <c r="E193" s="45" t="s">
        <v>1331</v>
      </c>
      <c r="F193" s="45" t="s">
        <v>1584</v>
      </c>
      <c r="G193" s="45" t="s">
        <v>1623</v>
      </c>
      <c r="K193" s="45" t="s">
        <v>1624</v>
      </c>
      <c r="L193" s="45" t="s">
        <v>1279</v>
      </c>
      <c r="M193" s="45" t="s">
        <v>1329</v>
      </c>
      <c r="N193" s="45" t="s">
        <v>1642</v>
      </c>
      <c r="O193" s="45" t="s">
        <v>1588</v>
      </c>
      <c r="P193" s="45" t="str">
        <f t="shared" si="5"/>
        <v>F010</v>
      </c>
      <c r="Q193" s="45" t="s">
        <v>127</v>
      </c>
      <c r="S193" s="50">
        <v>20</v>
      </c>
      <c r="T193" s="45" t="s">
        <v>302</v>
      </c>
      <c r="U193" s="49" t="s">
        <v>1329</v>
      </c>
      <c r="V193" s="45" t="s">
        <v>1625</v>
      </c>
      <c r="Y193" s="45">
        <v>2683940.02</v>
      </c>
      <c r="AB193" s="45">
        <v>1319603.82</v>
      </c>
    </row>
    <row r="194" spans="2:28" s="45" customFormat="1" x14ac:dyDescent="0.2">
      <c r="B194" s="49" t="s">
        <v>1561</v>
      </c>
      <c r="C194" s="47">
        <v>50000</v>
      </c>
      <c r="D194" s="48">
        <f>+C194/100000</f>
        <v>0.5</v>
      </c>
      <c r="E194" s="45" t="s">
        <v>1337</v>
      </c>
      <c r="F194" s="45" t="s">
        <v>1626</v>
      </c>
      <c r="G194" s="45" t="s">
        <v>1623</v>
      </c>
      <c r="K194" s="45" t="s">
        <v>1624</v>
      </c>
      <c r="L194" s="45" t="s">
        <v>1279</v>
      </c>
      <c r="M194" s="45" t="s">
        <v>1329</v>
      </c>
      <c r="N194" s="45" t="s">
        <v>1754</v>
      </c>
      <c r="O194" s="45" t="s">
        <v>1627</v>
      </c>
      <c r="P194" s="45" t="str">
        <f t="shared" si="5"/>
        <v>F010</v>
      </c>
      <c r="Q194" s="45" t="s">
        <v>127</v>
      </c>
      <c r="S194" s="50">
        <v>20</v>
      </c>
      <c r="T194" s="45" t="s">
        <v>302</v>
      </c>
      <c r="U194" s="49" t="s">
        <v>1329</v>
      </c>
      <c r="V194" s="45" t="s">
        <v>1625</v>
      </c>
      <c r="Y194" s="45">
        <v>2683940.02</v>
      </c>
      <c r="AB194" s="45">
        <v>1319603.82</v>
      </c>
    </row>
    <row r="195" spans="2:28" x14ac:dyDescent="0.2">
      <c r="B195" s="30" t="s">
        <v>1561</v>
      </c>
      <c r="C195" s="36"/>
      <c r="D195" s="36"/>
      <c r="F195" s="1" t="s">
        <v>1322</v>
      </c>
      <c r="G195" s="1" t="s">
        <v>1628</v>
      </c>
      <c r="K195" s="1" t="s">
        <v>1629</v>
      </c>
      <c r="L195" s="1" t="s">
        <v>1279</v>
      </c>
      <c r="M195" s="1" t="s">
        <v>1560</v>
      </c>
      <c r="N195" s="1" t="s">
        <v>1630</v>
      </c>
      <c r="O195" s="1" t="s">
        <v>1549</v>
      </c>
      <c r="P195" s="34" t="str">
        <f t="shared" si="5"/>
        <v/>
      </c>
      <c r="S195" s="16">
        <v>20</v>
      </c>
      <c r="T195" s="1" t="s">
        <v>302</v>
      </c>
      <c r="U195" s="30" t="s">
        <v>1560</v>
      </c>
      <c r="V195" s="1" t="s">
        <v>1631</v>
      </c>
      <c r="Y195" s="1">
        <v>4456074.6500000004</v>
      </c>
      <c r="AB195" s="1">
        <v>519875.37</v>
      </c>
    </row>
    <row r="196" spans="2:28" x14ac:dyDescent="0.2">
      <c r="B196" s="30" t="s">
        <v>1561</v>
      </c>
      <c r="C196" s="36"/>
      <c r="D196" s="36"/>
      <c r="F196" s="1" t="s">
        <v>1322</v>
      </c>
      <c r="G196" s="1" t="s">
        <v>1632</v>
      </c>
      <c r="K196" s="1" t="s">
        <v>1633</v>
      </c>
      <c r="L196" s="1" t="s">
        <v>1279</v>
      </c>
      <c r="M196" s="1" t="s">
        <v>1413</v>
      </c>
      <c r="N196" s="1" t="s">
        <v>1534</v>
      </c>
      <c r="O196" s="1" t="s">
        <v>1549</v>
      </c>
      <c r="P196" s="34" t="str">
        <f t="shared" si="5"/>
        <v>F010</v>
      </c>
      <c r="Q196" s="1" t="s">
        <v>127</v>
      </c>
      <c r="S196" s="16">
        <v>20</v>
      </c>
      <c r="T196" s="1" t="s">
        <v>302</v>
      </c>
      <c r="U196" s="30" t="s">
        <v>1413</v>
      </c>
      <c r="V196" s="1" t="s">
        <v>1634</v>
      </c>
      <c r="Y196" s="1">
        <v>1568313.24</v>
      </c>
      <c r="AB196" s="1">
        <v>1097819.26</v>
      </c>
    </row>
    <row r="197" spans="2:28" x14ac:dyDescent="0.2">
      <c r="B197" s="30" t="s">
        <v>1561</v>
      </c>
      <c r="C197" s="36"/>
      <c r="D197" s="36"/>
      <c r="F197" s="1" t="s">
        <v>1322</v>
      </c>
      <c r="G197" s="1" t="s">
        <v>1635</v>
      </c>
      <c r="K197" s="1" t="s">
        <v>1636</v>
      </c>
      <c r="L197" s="1" t="s">
        <v>1279</v>
      </c>
      <c r="M197" s="1" t="s">
        <v>1468</v>
      </c>
      <c r="N197" s="1" t="s">
        <v>1637</v>
      </c>
      <c r="O197" s="1" t="s">
        <v>1549</v>
      </c>
      <c r="P197" s="34" t="str">
        <f t="shared" si="5"/>
        <v/>
      </c>
      <c r="S197" s="16">
        <v>20</v>
      </c>
      <c r="T197" s="1" t="s">
        <v>302</v>
      </c>
      <c r="U197" s="30" t="s">
        <v>1468</v>
      </c>
      <c r="V197" s="1" t="s">
        <v>1638</v>
      </c>
      <c r="Y197" s="1">
        <v>6907650.21</v>
      </c>
      <c r="AB197" s="1">
        <v>2072295.02</v>
      </c>
    </row>
    <row r="198" spans="2:28" x14ac:dyDescent="0.2">
      <c r="B198" s="30" t="s">
        <v>1561</v>
      </c>
      <c r="C198" s="36"/>
      <c r="D198" s="36"/>
      <c r="F198" s="1" t="s">
        <v>1322</v>
      </c>
      <c r="G198" s="1" t="s">
        <v>1639</v>
      </c>
      <c r="K198" s="1" t="s">
        <v>1640</v>
      </c>
      <c r="L198" s="1" t="s">
        <v>1279</v>
      </c>
      <c r="M198" s="1" t="s">
        <v>1641</v>
      </c>
      <c r="N198" s="1" t="s">
        <v>1642</v>
      </c>
      <c r="O198" s="1" t="s">
        <v>1549</v>
      </c>
      <c r="P198" s="34" t="str">
        <f t="shared" si="5"/>
        <v>F010</v>
      </c>
      <c r="Q198" s="1" t="s">
        <v>127</v>
      </c>
      <c r="S198" s="16">
        <v>20</v>
      </c>
      <c r="T198" s="1" t="s">
        <v>302</v>
      </c>
      <c r="U198" s="30" t="s">
        <v>1641</v>
      </c>
      <c r="V198" s="1" t="s">
        <v>1500</v>
      </c>
      <c r="Y198" s="1">
        <v>4157904.24</v>
      </c>
      <c r="AB198" s="1">
        <v>3257024.98</v>
      </c>
    </row>
    <row r="199" spans="2:28" s="45" customFormat="1" x14ac:dyDescent="0.2">
      <c r="B199" s="49" t="s">
        <v>1561</v>
      </c>
      <c r="C199" s="47">
        <v>83000</v>
      </c>
      <c r="D199" s="48">
        <f>+C199/100000</f>
        <v>0.83</v>
      </c>
      <c r="E199" s="45" t="s">
        <v>1331</v>
      </c>
      <c r="F199" s="45" t="s">
        <v>1322</v>
      </c>
      <c r="G199" s="45" t="s">
        <v>1643</v>
      </c>
      <c r="K199" s="45" t="s">
        <v>1644</v>
      </c>
      <c r="L199" s="45" t="s">
        <v>1279</v>
      </c>
      <c r="M199" s="45" t="s">
        <v>1645</v>
      </c>
      <c r="N199" s="45" t="s">
        <v>1687</v>
      </c>
      <c r="O199" s="45" t="s">
        <v>1549</v>
      </c>
      <c r="P199" s="45" t="str">
        <f t="shared" si="5"/>
        <v>F010</v>
      </c>
      <c r="Q199" s="45" t="s">
        <v>127</v>
      </c>
      <c r="S199" s="50">
        <v>20</v>
      </c>
      <c r="T199" s="45" t="s">
        <v>302</v>
      </c>
      <c r="U199" s="49" t="s">
        <v>1645</v>
      </c>
      <c r="V199" s="45" t="s">
        <v>1330</v>
      </c>
      <c r="Y199" s="45">
        <v>3159004.19</v>
      </c>
      <c r="AB199" s="45">
        <v>3159004.19</v>
      </c>
    </row>
    <row r="200" spans="2:28" s="45" customFormat="1" x14ac:dyDescent="0.2">
      <c r="B200" s="49" t="s">
        <v>1561</v>
      </c>
      <c r="C200" s="47">
        <v>17000</v>
      </c>
      <c r="D200" s="48">
        <f>+C200/100000</f>
        <v>0.17</v>
      </c>
      <c r="E200" s="45" t="s">
        <v>1337</v>
      </c>
      <c r="F200" s="45" t="s">
        <v>1322</v>
      </c>
      <c r="G200" s="45" t="s">
        <v>1643</v>
      </c>
      <c r="K200" s="45" t="s">
        <v>1644</v>
      </c>
      <c r="L200" s="45" t="s">
        <v>1279</v>
      </c>
      <c r="M200" s="45" t="s">
        <v>1645</v>
      </c>
      <c r="N200" s="45" t="s">
        <v>1715</v>
      </c>
      <c r="O200" s="45" t="s">
        <v>1549</v>
      </c>
      <c r="P200" s="45" t="str">
        <f t="shared" si="5"/>
        <v>F010</v>
      </c>
      <c r="Q200" s="45" t="s">
        <v>127</v>
      </c>
      <c r="S200" s="50">
        <v>20</v>
      </c>
      <c r="T200" s="45" t="s">
        <v>302</v>
      </c>
      <c r="U200" s="49" t="s">
        <v>1645</v>
      </c>
      <c r="V200" s="45" t="s">
        <v>1330</v>
      </c>
      <c r="Y200" s="45">
        <v>647024.96</v>
      </c>
      <c r="AB200" s="45">
        <v>647024.96</v>
      </c>
    </row>
    <row r="201" spans="2:28" x14ac:dyDescent="0.2">
      <c r="B201" s="30" t="s">
        <v>1561</v>
      </c>
      <c r="C201" s="36"/>
      <c r="D201" s="36"/>
      <c r="F201" s="1" t="s">
        <v>1646</v>
      </c>
      <c r="G201" s="1" t="s">
        <v>1647</v>
      </c>
      <c r="K201" s="1" t="s">
        <v>1648</v>
      </c>
      <c r="L201" s="1" t="s">
        <v>1279</v>
      </c>
      <c r="M201" s="1" t="s">
        <v>1330</v>
      </c>
      <c r="N201" s="1" t="s">
        <v>1573</v>
      </c>
      <c r="O201" s="1" t="s">
        <v>1649</v>
      </c>
      <c r="P201" s="34" t="str">
        <f t="shared" si="5"/>
        <v/>
      </c>
      <c r="S201" s="16">
        <v>20</v>
      </c>
      <c r="T201" s="1" t="s">
        <v>302</v>
      </c>
      <c r="U201" s="30" t="s">
        <v>1330</v>
      </c>
      <c r="V201" s="1" t="s">
        <v>1589</v>
      </c>
      <c r="Y201" s="1">
        <v>3783216.27</v>
      </c>
      <c r="AB201" s="1">
        <v>315268.02</v>
      </c>
    </row>
    <row r="202" spans="2:28" x14ac:dyDescent="0.2">
      <c r="B202" s="30" t="s">
        <v>1561</v>
      </c>
      <c r="C202" s="36"/>
      <c r="D202" s="36"/>
      <c r="F202" s="1" t="s">
        <v>1646</v>
      </c>
      <c r="G202" s="1" t="s">
        <v>1650</v>
      </c>
      <c r="K202" s="1" t="s">
        <v>1651</v>
      </c>
      <c r="L202" s="1" t="s">
        <v>1279</v>
      </c>
      <c r="M202" s="1" t="s">
        <v>1476</v>
      </c>
      <c r="N202" s="1" t="s">
        <v>1286</v>
      </c>
      <c r="O202" s="1" t="s">
        <v>1649</v>
      </c>
      <c r="P202" s="34" t="str">
        <f t="shared" si="5"/>
        <v/>
      </c>
      <c r="S202" s="16">
        <v>20</v>
      </c>
      <c r="T202" s="1" t="s">
        <v>302</v>
      </c>
      <c r="U202" s="30" t="s">
        <v>1476</v>
      </c>
      <c r="V202" s="1" t="s">
        <v>1610</v>
      </c>
      <c r="Y202" s="1">
        <v>14675688.720000001</v>
      </c>
      <c r="AB202" s="1">
        <v>1467568.86</v>
      </c>
    </row>
    <row r="203" spans="2:28" x14ac:dyDescent="0.2">
      <c r="B203" s="30" t="s">
        <v>1561</v>
      </c>
      <c r="C203" s="36"/>
      <c r="D203" s="36"/>
      <c r="F203" s="1" t="s">
        <v>1646</v>
      </c>
      <c r="G203" s="1" t="s">
        <v>1652</v>
      </c>
      <c r="K203" s="1" t="s">
        <v>1653</v>
      </c>
      <c r="L203" s="1" t="s">
        <v>1279</v>
      </c>
      <c r="M203" s="1" t="s">
        <v>1654</v>
      </c>
      <c r="N203" s="1" t="s">
        <v>1335</v>
      </c>
      <c r="O203" s="1" t="s">
        <v>1649</v>
      </c>
      <c r="P203" s="34" t="str">
        <f t="shared" si="5"/>
        <v/>
      </c>
      <c r="S203" s="16">
        <v>20</v>
      </c>
      <c r="T203" s="1" t="s">
        <v>302</v>
      </c>
      <c r="U203" s="30" t="s">
        <v>1654</v>
      </c>
      <c r="V203" s="1" t="s">
        <v>1655</v>
      </c>
      <c r="Y203" s="1">
        <v>3235616.51</v>
      </c>
      <c r="AB203" s="1">
        <v>431415.52</v>
      </c>
    </row>
    <row r="204" spans="2:28" x14ac:dyDescent="0.2">
      <c r="B204" s="30" t="s">
        <v>1561</v>
      </c>
      <c r="C204" s="36"/>
      <c r="D204" s="36"/>
      <c r="F204" s="1" t="s">
        <v>1646</v>
      </c>
      <c r="G204" s="1" t="s">
        <v>1656</v>
      </c>
      <c r="K204" s="1" t="s">
        <v>1657</v>
      </c>
      <c r="L204" s="1" t="s">
        <v>1279</v>
      </c>
      <c r="M204" s="1" t="s">
        <v>1330</v>
      </c>
      <c r="N204" s="1" t="s">
        <v>1658</v>
      </c>
      <c r="O204" s="1" t="s">
        <v>1649</v>
      </c>
      <c r="P204" s="34" t="str">
        <f t="shared" si="5"/>
        <v/>
      </c>
      <c r="S204" s="16">
        <v>20</v>
      </c>
      <c r="T204" s="1" t="s">
        <v>302</v>
      </c>
      <c r="U204" s="30" t="s">
        <v>1330</v>
      </c>
      <c r="V204" s="1" t="s">
        <v>1589</v>
      </c>
      <c r="Y204" s="1">
        <v>9431760.0899999999</v>
      </c>
      <c r="AB204" s="1">
        <v>785980</v>
      </c>
    </row>
    <row r="205" spans="2:28" x14ac:dyDescent="0.2">
      <c r="B205" s="30" t="s">
        <v>1561</v>
      </c>
      <c r="C205" s="36"/>
      <c r="D205" s="36"/>
      <c r="F205" s="1" t="s">
        <v>1646</v>
      </c>
      <c r="G205" s="1" t="s">
        <v>1659</v>
      </c>
      <c r="K205" s="1" t="s">
        <v>1660</v>
      </c>
      <c r="L205" s="1" t="s">
        <v>1279</v>
      </c>
      <c r="M205" s="1" t="s">
        <v>1511</v>
      </c>
      <c r="N205" s="1" t="s">
        <v>1286</v>
      </c>
      <c r="O205" s="1" t="s">
        <v>1649</v>
      </c>
      <c r="P205" s="34" t="str">
        <f t="shared" si="5"/>
        <v>F010</v>
      </c>
      <c r="Q205" s="1" t="s">
        <v>127</v>
      </c>
      <c r="S205" s="16">
        <v>20</v>
      </c>
      <c r="T205" s="1" t="s">
        <v>302</v>
      </c>
      <c r="U205" s="30" t="s">
        <v>1511</v>
      </c>
      <c r="V205" s="1" t="s">
        <v>1617</v>
      </c>
      <c r="Y205" s="1">
        <v>4472959.8600000003</v>
      </c>
      <c r="AB205" s="1">
        <v>1416437.27</v>
      </c>
    </row>
    <row r="206" spans="2:28" x14ac:dyDescent="0.2">
      <c r="B206" s="30" t="s">
        <v>1561</v>
      </c>
      <c r="C206" s="36"/>
      <c r="D206" s="36"/>
      <c r="F206" s="1" t="s">
        <v>1584</v>
      </c>
      <c r="G206" s="1" t="s">
        <v>1661</v>
      </c>
      <c r="K206" s="1" t="s">
        <v>1662</v>
      </c>
      <c r="L206" s="1" t="s">
        <v>1279</v>
      </c>
      <c r="M206" s="1" t="s">
        <v>1453</v>
      </c>
      <c r="N206" s="1" t="s">
        <v>1287</v>
      </c>
      <c r="O206" s="1" t="s">
        <v>1588</v>
      </c>
      <c r="P206" s="34" t="str">
        <f t="shared" si="5"/>
        <v>F010</v>
      </c>
      <c r="Q206" s="1" t="s">
        <v>138</v>
      </c>
      <c r="S206" s="16">
        <v>20</v>
      </c>
      <c r="T206" s="1" t="s">
        <v>302</v>
      </c>
      <c r="U206" s="30" t="s">
        <v>1453</v>
      </c>
      <c r="V206" s="1" t="s">
        <v>1541</v>
      </c>
      <c r="Y206" s="1">
        <v>5996737.1500000004</v>
      </c>
      <c r="AB206" s="1">
        <v>5996737.1500000004</v>
      </c>
    </row>
    <row r="207" spans="2:28" x14ac:dyDescent="0.2">
      <c r="B207" s="30" t="s">
        <v>1561</v>
      </c>
      <c r="C207" s="36"/>
      <c r="D207" s="36"/>
      <c r="F207" s="1" t="s">
        <v>1663</v>
      </c>
      <c r="G207" s="1" t="s">
        <v>1664</v>
      </c>
      <c r="K207" s="1" t="s">
        <v>1665</v>
      </c>
      <c r="L207" s="1" t="s">
        <v>1279</v>
      </c>
      <c r="M207" s="1" t="s">
        <v>1444</v>
      </c>
      <c r="N207" s="1" t="s">
        <v>1287</v>
      </c>
      <c r="O207" s="1" t="s">
        <v>1666</v>
      </c>
      <c r="P207" s="34" t="str">
        <f t="shared" si="5"/>
        <v>F010</v>
      </c>
      <c r="Q207" s="1" t="s">
        <v>127</v>
      </c>
      <c r="S207" s="16">
        <v>20</v>
      </c>
      <c r="T207" s="1" t="s">
        <v>302</v>
      </c>
      <c r="U207" s="30" t="s">
        <v>1444</v>
      </c>
      <c r="V207" s="1" t="s">
        <v>1541</v>
      </c>
      <c r="Y207" s="1">
        <v>5356215.63</v>
      </c>
      <c r="AB207" s="1">
        <v>5356215.63</v>
      </c>
    </row>
    <row r="208" spans="2:28" x14ac:dyDescent="0.2">
      <c r="B208" s="30" t="s">
        <v>1561</v>
      </c>
      <c r="C208" s="36"/>
      <c r="D208" s="36"/>
      <c r="F208" s="1" t="s">
        <v>1667</v>
      </c>
      <c r="G208" s="1" t="s">
        <v>1668</v>
      </c>
      <c r="K208" s="1" t="s">
        <v>1669</v>
      </c>
      <c r="L208" s="1" t="s">
        <v>1279</v>
      </c>
      <c r="M208" s="1" t="s">
        <v>1670</v>
      </c>
      <c r="N208" s="1" t="s">
        <v>1287</v>
      </c>
      <c r="O208" s="1" t="s">
        <v>1671</v>
      </c>
      <c r="P208" s="34" t="str">
        <f t="shared" si="5"/>
        <v>F010</v>
      </c>
      <c r="Q208" s="1" t="s">
        <v>138</v>
      </c>
      <c r="S208" s="16">
        <v>20</v>
      </c>
      <c r="T208" s="1" t="s">
        <v>302</v>
      </c>
      <c r="U208" s="30" t="s">
        <v>1670</v>
      </c>
      <c r="V208" s="1" t="s">
        <v>1345</v>
      </c>
      <c r="Y208" s="1">
        <v>2599370.04</v>
      </c>
      <c r="AB208" s="1">
        <v>2599370.04</v>
      </c>
    </row>
    <row r="209" spans="2:28" x14ac:dyDescent="0.2">
      <c r="B209" s="30" t="s">
        <v>1561</v>
      </c>
      <c r="C209" s="36"/>
      <c r="D209" s="36"/>
      <c r="F209" s="1" t="s">
        <v>1672</v>
      </c>
      <c r="G209" s="1" t="s">
        <v>1668</v>
      </c>
      <c r="K209" s="1" t="s">
        <v>1673</v>
      </c>
      <c r="L209" s="1" t="s">
        <v>1279</v>
      </c>
      <c r="M209" s="1" t="s">
        <v>1594</v>
      </c>
      <c r="N209" s="1" t="s">
        <v>1287</v>
      </c>
      <c r="O209" s="1" t="s">
        <v>1674</v>
      </c>
      <c r="P209" s="34" t="str">
        <f t="shared" si="5"/>
        <v>F010</v>
      </c>
      <c r="Q209" s="1" t="s">
        <v>138</v>
      </c>
      <c r="S209" s="16">
        <v>20</v>
      </c>
      <c r="T209" s="1" t="s">
        <v>302</v>
      </c>
      <c r="U209" s="30" t="s">
        <v>1594</v>
      </c>
      <c r="V209" s="1" t="s">
        <v>1541</v>
      </c>
      <c r="Y209" s="1">
        <v>11162000.23</v>
      </c>
      <c r="AB209" s="1">
        <v>11162000.23</v>
      </c>
    </row>
    <row r="210" spans="2:28" x14ac:dyDescent="0.2">
      <c r="B210" s="30" t="s">
        <v>1561</v>
      </c>
      <c r="C210" s="36"/>
      <c r="D210" s="36"/>
      <c r="F210" s="1" t="s">
        <v>1322</v>
      </c>
      <c r="G210" s="1" t="s">
        <v>1675</v>
      </c>
      <c r="K210" s="1" t="s">
        <v>1676</v>
      </c>
      <c r="L210" s="1" t="s">
        <v>1279</v>
      </c>
      <c r="M210" s="1" t="s">
        <v>1645</v>
      </c>
      <c r="N210" s="1" t="s">
        <v>1573</v>
      </c>
      <c r="O210" s="1" t="s">
        <v>1549</v>
      </c>
      <c r="P210" s="34" t="str">
        <f t="shared" si="5"/>
        <v>F010</v>
      </c>
      <c r="Q210" s="1" t="s">
        <v>127</v>
      </c>
      <c r="S210" s="16">
        <v>20</v>
      </c>
      <c r="T210" s="1" t="s">
        <v>302</v>
      </c>
      <c r="U210" s="30" t="s">
        <v>1645</v>
      </c>
      <c r="V210" s="1" t="s">
        <v>1330</v>
      </c>
      <c r="Y210" s="1">
        <v>169268</v>
      </c>
      <c r="AB210" s="1">
        <v>169268</v>
      </c>
    </row>
    <row r="211" spans="2:28" x14ac:dyDescent="0.2">
      <c r="B211" s="30" t="s">
        <v>1561</v>
      </c>
      <c r="C211" s="36"/>
      <c r="D211" s="36"/>
      <c r="F211" s="1" t="s">
        <v>1322</v>
      </c>
      <c r="G211" s="1" t="s">
        <v>1677</v>
      </c>
      <c r="K211" s="1" t="s">
        <v>1678</v>
      </c>
      <c r="L211" s="1" t="s">
        <v>1279</v>
      </c>
      <c r="M211" s="1" t="s">
        <v>1417</v>
      </c>
      <c r="N211" s="1" t="s">
        <v>1287</v>
      </c>
      <c r="O211" s="1" t="s">
        <v>1549</v>
      </c>
      <c r="P211" s="34" t="str">
        <f t="shared" si="5"/>
        <v>F010</v>
      </c>
      <c r="Q211" s="1" t="s">
        <v>138</v>
      </c>
      <c r="S211" s="16">
        <v>20</v>
      </c>
      <c r="T211" s="1" t="s">
        <v>302</v>
      </c>
      <c r="U211" s="30" t="s">
        <v>1417</v>
      </c>
      <c r="V211" s="1" t="s">
        <v>1345</v>
      </c>
      <c r="Y211" s="1">
        <v>24017212.719999999</v>
      </c>
      <c r="AB211" s="1">
        <v>24017212.719999999</v>
      </c>
    </row>
    <row r="212" spans="2:28" x14ac:dyDescent="0.2">
      <c r="B212" s="30" t="s">
        <v>1561</v>
      </c>
      <c r="C212" s="36"/>
      <c r="D212" s="36"/>
      <c r="F212" s="1" t="s">
        <v>1322</v>
      </c>
      <c r="G212" s="1" t="s">
        <v>1677</v>
      </c>
      <c r="K212" s="1" t="s">
        <v>1679</v>
      </c>
      <c r="L212" s="1" t="s">
        <v>1279</v>
      </c>
      <c r="M212" s="1" t="s">
        <v>1594</v>
      </c>
      <c r="N212" s="1" t="s">
        <v>1287</v>
      </c>
      <c r="O212" s="1" t="s">
        <v>1549</v>
      </c>
      <c r="P212" s="34" t="str">
        <f t="shared" si="5"/>
        <v>F010</v>
      </c>
      <c r="Q212" s="1" t="s">
        <v>138</v>
      </c>
      <c r="S212" s="16">
        <v>20</v>
      </c>
      <c r="T212" s="1" t="s">
        <v>302</v>
      </c>
      <c r="U212" s="30" t="s">
        <v>1594</v>
      </c>
      <c r="V212" s="1" t="s">
        <v>1541</v>
      </c>
      <c r="Y212" s="1">
        <v>69963185.400000006</v>
      </c>
      <c r="AB212" s="1">
        <v>69963185.400000006</v>
      </c>
    </row>
    <row r="213" spans="2:28" x14ac:dyDescent="0.2">
      <c r="B213" s="30" t="s">
        <v>1561</v>
      </c>
      <c r="C213" s="36"/>
      <c r="D213" s="36"/>
      <c r="F213" s="1" t="s">
        <v>1680</v>
      </c>
      <c r="G213" s="1" t="s">
        <v>1681</v>
      </c>
      <c r="K213" s="1" t="s">
        <v>1682</v>
      </c>
      <c r="L213" s="1" t="s">
        <v>1279</v>
      </c>
      <c r="M213" s="1" t="s">
        <v>1654</v>
      </c>
      <c r="N213" s="1" t="s">
        <v>1577</v>
      </c>
      <c r="O213" s="1" t="s">
        <v>1683</v>
      </c>
      <c r="P213" s="34" t="str">
        <f t="shared" si="5"/>
        <v/>
      </c>
      <c r="S213" s="16">
        <v>20</v>
      </c>
      <c r="T213" s="1" t="s">
        <v>302</v>
      </c>
      <c r="U213" s="30" t="s">
        <v>1654</v>
      </c>
      <c r="V213" s="1" t="s">
        <v>1655</v>
      </c>
      <c r="Y213" s="1">
        <v>13169523.18</v>
      </c>
      <c r="AB213" s="1">
        <v>1755936.4</v>
      </c>
    </row>
    <row r="214" spans="2:28" x14ac:dyDescent="0.2">
      <c r="B214" s="30" t="s">
        <v>1561</v>
      </c>
      <c r="C214" s="36"/>
      <c r="D214" s="36"/>
      <c r="F214" s="1" t="s">
        <v>1680</v>
      </c>
      <c r="G214" s="1" t="s">
        <v>1684</v>
      </c>
      <c r="K214" s="1" t="s">
        <v>1685</v>
      </c>
      <c r="L214" s="1" t="s">
        <v>1279</v>
      </c>
      <c r="M214" s="1" t="s">
        <v>1686</v>
      </c>
      <c r="N214" s="1" t="s">
        <v>1687</v>
      </c>
      <c r="O214" s="1" t="s">
        <v>1683</v>
      </c>
      <c r="P214" s="34" t="str">
        <f t="shared" si="5"/>
        <v/>
      </c>
      <c r="S214" s="16">
        <v>20</v>
      </c>
      <c r="T214" s="1" t="s">
        <v>302</v>
      </c>
      <c r="U214" s="30" t="s">
        <v>1686</v>
      </c>
      <c r="V214" s="1" t="s">
        <v>1688</v>
      </c>
      <c r="Y214" s="1">
        <v>1499094.2</v>
      </c>
      <c r="AB214" s="1">
        <v>324803.7</v>
      </c>
    </row>
    <row r="215" spans="2:28" x14ac:dyDescent="0.2">
      <c r="B215" s="30" t="s">
        <v>1561</v>
      </c>
      <c r="C215" s="36"/>
      <c r="D215" s="36"/>
      <c r="F215" s="1" t="s">
        <v>1680</v>
      </c>
      <c r="G215" s="1" t="s">
        <v>1689</v>
      </c>
      <c r="K215" s="1" t="s">
        <v>1690</v>
      </c>
      <c r="L215" s="1" t="s">
        <v>1279</v>
      </c>
      <c r="M215" s="1" t="s">
        <v>1691</v>
      </c>
      <c r="N215" s="1" t="s">
        <v>1573</v>
      </c>
      <c r="O215" s="1" t="s">
        <v>1683</v>
      </c>
      <c r="P215" s="34" t="str">
        <f t="shared" si="5"/>
        <v>F010</v>
      </c>
      <c r="Q215" s="1" t="s">
        <v>138</v>
      </c>
      <c r="S215" s="16">
        <v>20</v>
      </c>
      <c r="T215" s="1" t="s">
        <v>302</v>
      </c>
      <c r="U215" s="30" t="s">
        <v>1691</v>
      </c>
      <c r="V215" s="1" t="s">
        <v>1541</v>
      </c>
      <c r="Y215" s="1">
        <v>2287065.16</v>
      </c>
      <c r="AB215" s="1">
        <v>2287065.16</v>
      </c>
    </row>
    <row r="216" spans="2:28" x14ac:dyDescent="0.2">
      <c r="B216" s="30" t="s">
        <v>1561</v>
      </c>
      <c r="C216" s="36"/>
      <c r="D216" s="36"/>
      <c r="F216" s="1" t="s">
        <v>1680</v>
      </c>
      <c r="G216" s="1" t="s">
        <v>1692</v>
      </c>
      <c r="K216" s="1" t="s">
        <v>1693</v>
      </c>
      <c r="L216" s="1" t="s">
        <v>1279</v>
      </c>
      <c r="M216" s="1" t="s">
        <v>1325</v>
      </c>
      <c r="N216" s="1" t="s">
        <v>1573</v>
      </c>
      <c r="O216" s="1" t="s">
        <v>1683</v>
      </c>
      <c r="P216" s="34" t="str">
        <f t="shared" si="5"/>
        <v>F010</v>
      </c>
      <c r="Q216" s="1" t="s">
        <v>129</v>
      </c>
      <c r="S216" s="16">
        <v>20</v>
      </c>
      <c r="T216" s="1" t="s">
        <v>302</v>
      </c>
      <c r="U216" s="30" t="s">
        <v>1325</v>
      </c>
      <c r="V216" s="1" t="s">
        <v>1345</v>
      </c>
      <c r="Y216" s="1">
        <v>7449910.2999999998</v>
      </c>
      <c r="AB216" s="1">
        <v>7449910.2999999998</v>
      </c>
    </row>
    <row r="217" spans="2:28" x14ac:dyDescent="0.2">
      <c r="B217" s="30" t="s">
        <v>1561</v>
      </c>
      <c r="C217" s="36"/>
      <c r="D217" s="36"/>
      <c r="F217" s="1" t="s">
        <v>1680</v>
      </c>
      <c r="G217" s="1" t="s">
        <v>1694</v>
      </c>
      <c r="K217" s="1" t="s">
        <v>1695</v>
      </c>
      <c r="L217" s="1" t="s">
        <v>1279</v>
      </c>
      <c r="M217" s="1" t="s">
        <v>1492</v>
      </c>
      <c r="N217" s="1" t="s">
        <v>1573</v>
      </c>
      <c r="O217" s="1" t="s">
        <v>1683</v>
      </c>
      <c r="P217" s="34" t="str">
        <f t="shared" si="5"/>
        <v>F010</v>
      </c>
      <c r="Q217" s="1" t="s">
        <v>127</v>
      </c>
      <c r="S217" s="16">
        <v>20</v>
      </c>
      <c r="T217" s="1" t="s">
        <v>302</v>
      </c>
      <c r="U217" s="30" t="s">
        <v>1492</v>
      </c>
      <c r="V217" s="1" t="s">
        <v>1696</v>
      </c>
      <c r="Y217" s="1">
        <v>5589048.7300000004</v>
      </c>
      <c r="AB217" s="1">
        <v>3726032.44</v>
      </c>
    </row>
    <row r="218" spans="2:28" x14ac:dyDescent="0.2">
      <c r="B218" s="30" t="s">
        <v>1561</v>
      </c>
      <c r="C218" s="36"/>
      <c r="D218" s="36"/>
      <c r="F218" s="1" t="s">
        <v>1384</v>
      </c>
      <c r="G218" s="1" t="s">
        <v>1697</v>
      </c>
      <c r="K218" s="1" t="s">
        <v>1698</v>
      </c>
      <c r="L218" s="1" t="s">
        <v>1279</v>
      </c>
      <c r="M218" s="1" t="s">
        <v>1699</v>
      </c>
      <c r="N218" s="1" t="s">
        <v>1568</v>
      </c>
      <c r="O218" s="1" t="s">
        <v>1700</v>
      </c>
      <c r="P218" s="34" t="str">
        <f t="shared" si="5"/>
        <v>F010</v>
      </c>
      <c r="Q218" s="1" t="s">
        <v>127</v>
      </c>
      <c r="S218" s="16">
        <v>20</v>
      </c>
      <c r="T218" s="1" t="s">
        <v>302</v>
      </c>
      <c r="U218" s="30" t="s">
        <v>1699</v>
      </c>
      <c r="V218" s="1" t="s">
        <v>1701</v>
      </c>
      <c r="Y218" s="1">
        <v>2071466</v>
      </c>
      <c r="AB218" s="1">
        <v>1104781.83</v>
      </c>
    </row>
    <row r="219" spans="2:28" s="45" customFormat="1" x14ac:dyDescent="0.2">
      <c r="B219" s="49" t="s">
        <v>1561</v>
      </c>
      <c r="C219" s="47">
        <v>50000</v>
      </c>
      <c r="D219" s="48">
        <f>+C219/100000</f>
        <v>0.5</v>
      </c>
      <c r="E219" s="45" t="s">
        <v>1331</v>
      </c>
      <c r="F219" s="45" t="s">
        <v>1340</v>
      </c>
      <c r="G219" s="45" t="s">
        <v>1702</v>
      </c>
      <c r="K219" s="45" t="s">
        <v>1703</v>
      </c>
      <c r="L219" s="45" t="s">
        <v>1279</v>
      </c>
      <c r="M219" s="45" t="s">
        <v>1613</v>
      </c>
      <c r="N219" s="45" t="s">
        <v>1754</v>
      </c>
      <c r="O219" s="45" t="s">
        <v>1704</v>
      </c>
      <c r="P219" s="45" t="str">
        <f t="shared" si="5"/>
        <v>F010</v>
      </c>
      <c r="Q219" s="45" t="s">
        <v>127</v>
      </c>
      <c r="S219" s="50">
        <v>20</v>
      </c>
      <c r="T219" s="45" t="s">
        <v>302</v>
      </c>
      <c r="U219" s="49" t="s">
        <v>1613</v>
      </c>
      <c r="V219" s="45" t="s">
        <v>1431</v>
      </c>
      <c r="Y219" s="45">
        <v>1080492.6000000001</v>
      </c>
      <c r="AB219" s="45">
        <v>594270.93000000005</v>
      </c>
    </row>
    <row r="220" spans="2:28" s="45" customFormat="1" x14ac:dyDescent="0.2">
      <c r="B220" s="49" t="s">
        <v>1561</v>
      </c>
      <c r="C220" s="47">
        <v>50000</v>
      </c>
      <c r="D220" s="48">
        <f>+C220/100000</f>
        <v>0.5</v>
      </c>
      <c r="E220" s="45" t="s">
        <v>1337</v>
      </c>
      <c r="F220" s="45" t="s">
        <v>1447</v>
      </c>
      <c r="G220" s="45" t="s">
        <v>1702</v>
      </c>
      <c r="K220" s="45" t="s">
        <v>1703</v>
      </c>
      <c r="L220" s="45" t="s">
        <v>1279</v>
      </c>
      <c r="M220" s="45" t="s">
        <v>1613</v>
      </c>
      <c r="N220" s="45" t="s">
        <v>1642</v>
      </c>
      <c r="O220" s="45" t="s">
        <v>1705</v>
      </c>
      <c r="P220" s="45" t="str">
        <f t="shared" si="5"/>
        <v>F010</v>
      </c>
      <c r="Q220" s="45" t="s">
        <v>127</v>
      </c>
      <c r="S220" s="50">
        <v>20</v>
      </c>
      <c r="T220" s="45" t="s">
        <v>302</v>
      </c>
      <c r="U220" s="49" t="s">
        <v>1613</v>
      </c>
      <c r="V220" s="45" t="s">
        <v>1431</v>
      </c>
      <c r="Y220" s="45">
        <v>1080492.6000000001</v>
      </c>
      <c r="AB220" s="45">
        <v>594270.93000000005</v>
      </c>
    </row>
    <row r="221" spans="2:28" x14ac:dyDescent="0.2">
      <c r="B221" s="30" t="s">
        <v>1561</v>
      </c>
      <c r="C221" s="36"/>
      <c r="D221" s="36"/>
      <c r="F221" s="1" t="s">
        <v>1680</v>
      </c>
      <c r="G221" s="1" t="s">
        <v>1706</v>
      </c>
      <c r="K221" s="1" t="s">
        <v>1707</v>
      </c>
      <c r="L221" s="1" t="s">
        <v>1279</v>
      </c>
      <c r="M221" s="1" t="s">
        <v>1480</v>
      </c>
      <c r="N221" s="1" t="s">
        <v>1708</v>
      </c>
      <c r="O221" s="1" t="s">
        <v>1683</v>
      </c>
      <c r="P221" s="34" t="str">
        <f t="shared" si="5"/>
        <v>F010</v>
      </c>
      <c r="Q221" s="1" t="s">
        <v>127</v>
      </c>
      <c r="S221" s="16">
        <v>20</v>
      </c>
      <c r="T221" s="1" t="s">
        <v>302</v>
      </c>
      <c r="U221" s="30" t="s">
        <v>1480</v>
      </c>
      <c r="V221" s="1" t="s">
        <v>1709</v>
      </c>
      <c r="Y221" s="1">
        <v>2233618.64</v>
      </c>
      <c r="AB221" s="1">
        <v>198543.84</v>
      </c>
    </row>
    <row r="222" spans="2:28" x14ac:dyDescent="0.2">
      <c r="B222" s="30" t="s">
        <v>1561</v>
      </c>
      <c r="C222" s="36"/>
      <c r="D222" s="36"/>
      <c r="F222" s="1" t="s">
        <v>1680</v>
      </c>
      <c r="G222" s="1" t="s">
        <v>1710</v>
      </c>
      <c r="K222" s="1" t="s">
        <v>1711</v>
      </c>
      <c r="L222" s="1" t="s">
        <v>1279</v>
      </c>
      <c r="M222" s="1" t="s">
        <v>1463</v>
      </c>
      <c r="N222" s="1" t="s">
        <v>1630</v>
      </c>
      <c r="O222" s="1" t="s">
        <v>1683</v>
      </c>
      <c r="P222" s="34" t="str">
        <f t="shared" si="5"/>
        <v/>
      </c>
      <c r="S222" s="16">
        <v>20</v>
      </c>
      <c r="T222" s="1" t="s">
        <v>302</v>
      </c>
      <c r="U222" s="1" t="s">
        <v>1463</v>
      </c>
      <c r="V222" s="1" t="s">
        <v>1712</v>
      </c>
      <c r="Y222" s="1">
        <v>7727042.0199999996</v>
      </c>
      <c r="AB222" s="1">
        <v>2189328.54</v>
      </c>
    </row>
    <row r="223" spans="2:28" x14ac:dyDescent="0.2">
      <c r="B223" s="30" t="s">
        <v>1561</v>
      </c>
      <c r="C223" s="36"/>
      <c r="D223" s="36"/>
      <c r="F223" s="1" t="s">
        <v>1680</v>
      </c>
      <c r="G223" s="1" t="s">
        <v>1713</v>
      </c>
      <c r="K223" s="1" t="s">
        <v>1714</v>
      </c>
      <c r="L223" s="1" t="s">
        <v>1279</v>
      </c>
      <c r="M223" s="1" t="s">
        <v>1330</v>
      </c>
      <c r="N223" s="1" t="s">
        <v>1715</v>
      </c>
      <c r="O223" s="1" t="s">
        <v>1683</v>
      </c>
      <c r="P223" s="34" t="str">
        <f t="shared" si="5"/>
        <v/>
      </c>
      <c r="S223" s="16">
        <v>20</v>
      </c>
      <c r="T223" s="1" t="s">
        <v>302</v>
      </c>
      <c r="U223" s="1" t="s">
        <v>1330</v>
      </c>
      <c r="V223" s="1" t="s">
        <v>1716</v>
      </c>
      <c r="Y223" s="1">
        <v>890431.7</v>
      </c>
      <c r="AB223" s="1">
        <v>123671.05</v>
      </c>
    </row>
    <row r="224" spans="2:28" x14ac:dyDescent="0.2">
      <c r="B224" s="30" t="s">
        <v>1561</v>
      </c>
      <c r="C224" s="36"/>
      <c r="D224" s="36"/>
      <c r="F224" s="1" t="s">
        <v>1680</v>
      </c>
      <c r="G224" s="1" t="s">
        <v>1717</v>
      </c>
      <c r="K224" s="1" t="s">
        <v>1718</v>
      </c>
      <c r="L224" s="1" t="s">
        <v>1279</v>
      </c>
      <c r="M224" s="1" t="s">
        <v>1476</v>
      </c>
      <c r="N224" s="1" t="s">
        <v>1658</v>
      </c>
      <c r="O224" s="1" t="s">
        <v>1683</v>
      </c>
      <c r="P224" s="34" t="str">
        <f t="shared" si="5"/>
        <v>F010</v>
      </c>
      <c r="Q224" s="1" t="s">
        <v>127</v>
      </c>
      <c r="S224" s="16">
        <v>20</v>
      </c>
      <c r="T224" s="1" t="s">
        <v>302</v>
      </c>
      <c r="U224" s="1" t="s">
        <v>1476</v>
      </c>
      <c r="V224" s="1" t="s">
        <v>1610</v>
      </c>
      <c r="Y224" s="1">
        <v>1946839.84</v>
      </c>
      <c r="AB224" s="1">
        <v>194683.98</v>
      </c>
    </row>
    <row r="225" spans="2:28" x14ac:dyDescent="0.2">
      <c r="B225" s="30" t="s">
        <v>1719</v>
      </c>
      <c r="C225" s="36"/>
      <c r="D225" s="36"/>
      <c r="F225" s="1" t="s">
        <v>1322</v>
      </c>
      <c r="G225" s="1" t="s">
        <v>1720</v>
      </c>
      <c r="K225" s="1" t="s">
        <v>1721</v>
      </c>
      <c r="L225" s="1" t="s">
        <v>1279</v>
      </c>
      <c r="M225" s="1" t="s">
        <v>1535</v>
      </c>
      <c r="N225" s="1" t="s">
        <v>1534</v>
      </c>
      <c r="O225" s="1" t="s">
        <v>1549</v>
      </c>
      <c r="P225" s="34" t="str">
        <f t="shared" si="5"/>
        <v>F010</v>
      </c>
      <c r="Q225" s="1" t="s">
        <v>127</v>
      </c>
      <c r="S225" s="16">
        <v>20</v>
      </c>
      <c r="T225" s="1" t="s">
        <v>302</v>
      </c>
      <c r="U225" s="1" t="s">
        <v>1535</v>
      </c>
      <c r="V225" s="1" t="s">
        <v>1620</v>
      </c>
      <c r="Y225" s="1">
        <v>3911831.34</v>
      </c>
      <c r="AB225" s="1">
        <v>1369140.99</v>
      </c>
    </row>
    <row r="226" spans="2:28" x14ac:dyDescent="0.2">
      <c r="B226" s="30" t="s">
        <v>1719</v>
      </c>
      <c r="C226" s="36"/>
      <c r="D226" s="36"/>
      <c r="F226" s="1" t="s">
        <v>1322</v>
      </c>
      <c r="G226" s="1" t="s">
        <v>1722</v>
      </c>
      <c r="K226" s="1" t="s">
        <v>1723</v>
      </c>
      <c r="L226" s="1" t="s">
        <v>1279</v>
      </c>
      <c r="M226" s="1" t="s">
        <v>1724</v>
      </c>
      <c r="N226" s="1" t="s">
        <v>1287</v>
      </c>
      <c r="O226" s="1" t="s">
        <v>1549</v>
      </c>
      <c r="P226" s="34" t="str">
        <f t="shared" si="5"/>
        <v>F010</v>
      </c>
      <c r="Q226" s="1" t="s">
        <v>138</v>
      </c>
      <c r="S226" s="16">
        <v>20</v>
      </c>
      <c r="T226" s="1" t="s">
        <v>302</v>
      </c>
      <c r="U226" s="1" t="s">
        <v>1724</v>
      </c>
      <c r="V226" s="1" t="s">
        <v>1725</v>
      </c>
      <c r="Y226" s="1">
        <v>749.38</v>
      </c>
      <c r="AB226" s="1">
        <v>749.38</v>
      </c>
    </row>
    <row r="227" spans="2:28" x14ac:dyDescent="0.2">
      <c r="B227" s="30" t="s">
        <v>1719</v>
      </c>
      <c r="C227" s="36"/>
      <c r="D227" s="36"/>
      <c r="F227" s="1" t="s">
        <v>1726</v>
      </c>
      <c r="G227" s="1" t="s">
        <v>1727</v>
      </c>
      <c r="K227" s="1" t="s">
        <v>1728</v>
      </c>
      <c r="L227" s="1" t="s">
        <v>1279</v>
      </c>
      <c r="M227" s="1" t="s">
        <v>1729</v>
      </c>
      <c r="N227" s="1" t="s">
        <v>1287</v>
      </c>
      <c r="O227" s="1" t="s">
        <v>1730</v>
      </c>
      <c r="P227" s="34" t="str">
        <f t="shared" si="5"/>
        <v>F010</v>
      </c>
      <c r="Q227" s="1" t="s">
        <v>138</v>
      </c>
      <c r="S227" s="16">
        <v>20</v>
      </c>
      <c r="T227" s="1" t="s">
        <v>302</v>
      </c>
      <c r="U227" s="1" t="s">
        <v>1729</v>
      </c>
      <c r="V227" s="1" t="s">
        <v>1371</v>
      </c>
      <c r="Y227" s="1">
        <v>3300</v>
      </c>
      <c r="AB227" s="1">
        <v>3300</v>
      </c>
    </row>
    <row r="228" spans="2:28" x14ac:dyDescent="0.2">
      <c r="B228" s="30" t="s">
        <v>1719</v>
      </c>
      <c r="C228" s="36"/>
      <c r="D228" s="36"/>
      <c r="F228" s="1" t="s">
        <v>1322</v>
      </c>
      <c r="G228" s="1" t="s">
        <v>1731</v>
      </c>
      <c r="K228" s="1" t="s">
        <v>1732</v>
      </c>
      <c r="L228" s="1" t="s">
        <v>1279</v>
      </c>
      <c r="M228" s="1" t="s">
        <v>1463</v>
      </c>
      <c r="N228" s="1" t="s">
        <v>1577</v>
      </c>
      <c r="O228" s="1" t="s">
        <v>1549</v>
      </c>
      <c r="P228" s="34" t="str">
        <f t="shared" si="5"/>
        <v>F010</v>
      </c>
      <c r="Q228" s="1" t="s">
        <v>127</v>
      </c>
      <c r="S228" s="16">
        <v>20</v>
      </c>
      <c r="T228" s="1" t="s">
        <v>302</v>
      </c>
      <c r="U228" s="1" t="s">
        <v>1463</v>
      </c>
      <c r="V228" s="1" t="s">
        <v>1712</v>
      </c>
      <c r="Y228" s="1">
        <v>5126010.76</v>
      </c>
      <c r="AB228" s="1">
        <v>1452369.67</v>
      </c>
    </row>
    <row r="229" spans="2:28" x14ac:dyDescent="0.2">
      <c r="B229" s="30" t="s">
        <v>1719</v>
      </c>
      <c r="C229" s="36"/>
      <c r="D229" s="36"/>
      <c r="F229" s="1" t="s">
        <v>1733</v>
      </c>
      <c r="G229" s="1" t="s">
        <v>1734</v>
      </c>
      <c r="K229" s="1" t="s">
        <v>1735</v>
      </c>
      <c r="L229" s="1" t="s">
        <v>1279</v>
      </c>
      <c r="M229" s="1" t="s">
        <v>1724</v>
      </c>
      <c r="N229" s="1" t="s">
        <v>1287</v>
      </c>
      <c r="O229" s="1" t="s">
        <v>1736</v>
      </c>
      <c r="P229" s="34" t="str">
        <f t="shared" si="5"/>
        <v>F010</v>
      </c>
      <c r="Q229" s="1" t="s">
        <v>138</v>
      </c>
      <c r="S229" s="16">
        <v>20</v>
      </c>
      <c r="T229" s="1" t="s">
        <v>302</v>
      </c>
      <c r="U229" s="1" t="s">
        <v>1724</v>
      </c>
      <c r="V229" s="1" t="s">
        <v>1737</v>
      </c>
      <c r="Y229" s="1">
        <v>6207.58</v>
      </c>
      <c r="AB229" s="1">
        <v>6207.58</v>
      </c>
    </row>
    <row r="230" spans="2:28" x14ac:dyDescent="0.2">
      <c r="B230" s="30" t="s">
        <v>1719</v>
      </c>
      <c r="C230" s="36"/>
      <c r="D230" s="36"/>
      <c r="F230" s="1" t="s">
        <v>1409</v>
      </c>
      <c r="G230" s="1" t="s">
        <v>1738</v>
      </c>
      <c r="K230" s="1" t="s">
        <v>1739</v>
      </c>
      <c r="L230" s="1" t="s">
        <v>1279</v>
      </c>
      <c r="M230" s="1" t="s">
        <v>1737</v>
      </c>
      <c r="N230" s="1" t="s">
        <v>1287</v>
      </c>
      <c r="O230" s="1" t="s">
        <v>1740</v>
      </c>
      <c r="P230" s="34" t="str">
        <f t="shared" si="5"/>
        <v>F010</v>
      </c>
      <c r="Q230" s="1" t="s">
        <v>138</v>
      </c>
      <c r="S230" s="16">
        <v>20</v>
      </c>
      <c r="T230" s="1" t="s">
        <v>302</v>
      </c>
      <c r="U230" s="1" t="s">
        <v>1737</v>
      </c>
      <c r="V230" s="1" t="s">
        <v>1741</v>
      </c>
      <c r="Y230" s="1">
        <v>33523.160000000003</v>
      </c>
      <c r="AB230" s="1">
        <v>33523.160000000003</v>
      </c>
    </row>
    <row r="231" spans="2:28" x14ac:dyDescent="0.2">
      <c r="B231" s="30" t="s">
        <v>1719</v>
      </c>
      <c r="C231" s="36"/>
      <c r="D231" s="36"/>
      <c r="F231" s="1" t="s">
        <v>1384</v>
      </c>
      <c r="G231" s="1" t="s">
        <v>1742</v>
      </c>
      <c r="K231" s="1" t="s">
        <v>1743</v>
      </c>
      <c r="L231" s="1" t="s">
        <v>1279</v>
      </c>
      <c r="M231" s="1" t="s">
        <v>1325</v>
      </c>
      <c r="N231" s="1" t="s">
        <v>1744</v>
      </c>
      <c r="O231" s="1" t="s">
        <v>1700</v>
      </c>
      <c r="P231" s="34" t="str">
        <f t="shared" si="5"/>
        <v>F010</v>
      </c>
      <c r="Q231" s="1" t="s">
        <v>127</v>
      </c>
      <c r="S231" s="16">
        <v>20</v>
      </c>
      <c r="T231" s="1" t="s">
        <v>302</v>
      </c>
      <c r="U231" s="1" t="s">
        <v>1325</v>
      </c>
      <c r="V231" s="1" t="s">
        <v>1345</v>
      </c>
      <c r="Y231" s="1">
        <v>2497903</v>
      </c>
      <c r="AB231" s="1">
        <v>2497903</v>
      </c>
    </row>
    <row r="232" spans="2:28" x14ac:dyDescent="0.2">
      <c r="B232" s="30" t="s">
        <v>1719</v>
      </c>
      <c r="C232" s="36"/>
      <c r="D232" s="36"/>
      <c r="F232" s="1" t="s">
        <v>1445</v>
      </c>
      <c r="G232" s="1" t="s">
        <v>1745</v>
      </c>
      <c r="K232" s="1" t="s">
        <v>1746</v>
      </c>
      <c r="L232" s="1" t="s">
        <v>1279</v>
      </c>
      <c r="M232" s="1" t="s">
        <v>1468</v>
      </c>
      <c r="N232" s="1" t="s">
        <v>1587</v>
      </c>
      <c r="O232" s="1" t="s">
        <v>1747</v>
      </c>
      <c r="P232" s="34" t="str">
        <f t="shared" si="5"/>
        <v>F010</v>
      </c>
      <c r="Q232" s="1" t="s">
        <v>127</v>
      </c>
      <c r="S232" s="16">
        <v>20</v>
      </c>
      <c r="T232" s="1" t="s">
        <v>302</v>
      </c>
      <c r="U232" s="1" t="s">
        <v>1468</v>
      </c>
      <c r="V232" s="1" t="s">
        <v>1638</v>
      </c>
      <c r="Y232" s="1">
        <v>2639396.96</v>
      </c>
      <c r="AB232" s="1">
        <v>791819.1</v>
      </c>
    </row>
    <row r="233" spans="2:28" x14ac:dyDescent="0.2">
      <c r="B233" s="30" t="s">
        <v>1719</v>
      </c>
      <c r="C233" s="36"/>
      <c r="D233" s="36"/>
      <c r="F233" s="1" t="s">
        <v>1384</v>
      </c>
      <c r="G233" s="1" t="s">
        <v>1748</v>
      </c>
      <c r="K233" s="1" t="s">
        <v>1749</v>
      </c>
      <c r="L233" s="1" t="s">
        <v>1279</v>
      </c>
      <c r="M233" s="1" t="s">
        <v>1750</v>
      </c>
      <c r="N233" s="1" t="s">
        <v>1287</v>
      </c>
      <c r="O233" s="1" t="s">
        <v>1700</v>
      </c>
      <c r="P233" s="34" t="str">
        <f t="shared" si="5"/>
        <v>F010</v>
      </c>
      <c r="Q233" s="1" t="s">
        <v>138</v>
      </c>
      <c r="S233" s="16">
        <v>20</v>
      </c>
      <c r="T233" s="1" t="s">
        <v>302</v>
      </c>
      <c r="U233" s="1" t="s">
        <v>1750</v>
      </c>
      <c r="V233" s="1" t="s">
        <v>1751</v>
      </c>
      <c r="Y233" s="1">
        <v>65805</v>
      </c>
      <c r="AB233" s="1">
        <v>65805</v>
      </c>
    </row>
    <row r="234" spans="2:28" x14ac:dyDescent="0.2">
      <c r="B234" s="30" t="s">
        <v>1719</v>
      </c>
      <c r="C234" s="36"/>
      <c r="D234" s="36"/>
      <c r="F234" s="1" t="s">
        <v>1384</v>
      </c>
      <c r="G234" s="1" t="s">
        <v>1752</v>
      </c>
      <c r="K234" s="1" t="s">
        <v>1753</v>
      </c>
      <c r="L234" s="1" t="s">
        <v>1279</v>
      </c>
      <c r="M234" s="1" t="s">
        <v>1460</v>
      </c>
      <c r="N234" s="1" t="s">
        <v>1754</v>
      </c>
      <c r="O234" s="1" t="s">
        <v>1700</v>
      </c>
      <c r="P234" s="34" t="str">
        <f t="shared" si="5"/>
        <v>F010</v>
      </c>
      <c r="Q234" s="1" t="s">
        <v>127</v>
      </c>
      <c r="S234" s="16">
        <v>20</v>
      </c>
      <c r="T234" s="1" t="s">
        <v>302</v>
      </c>
      <c r="U234" s="1" t="s">
        <v>1460</v>
      </c>
      <c r="V234" s="1" t="s">
        <v>1755</v>
      </c>
      <c r="Y234" s="1">
        <v>1072752.5</v>
      </c>
      <c r="AB234" s="1">
        <v>429101.04</v>
      </c>
    </row>
    <row r="235" spans="2:28" x14ac:dyDescent="0.2">
      <c r="B235" s="30" t="s">
        <v>1719</v>
      </c>
      <c r="C235" s="36"/>
      <c r="D235" s="36"/>
      <c r="F235" s="1" t="s">
        <v>1437</v>
      </c>
      <c r="G235" s="1" t="s">
        <v>1756</v>
      </c>
      <c r="K235" s="1" t="s">
        <v>1757</v>
      </c>
      <c r="L235" s="1" t="s">
        <v>1279</v>
      </c>
      <c r="M235" s="1" t="s">
        <v>1567</v>
      </c>
      <c r="N235" s="1" t="s">
        <v>1614</v>
      </c>
      <c r="O235" s="1" t="s">
        <v>1758</v>
      </c>
      <c r="P235" s="34" t="str">
        <f t="shared" si="5"/>
        <v/>
      </c>
      <c r="S235" s="16">
        <v>20</v>
      </c>
      <c r="T235" s="1" t="s">
        <v>302</v>
      </c>
      <c r="U235" s="1" t="s">
        <v>1567</v>
      </c>
      <c r="V235" s="1" t="s">
        <v>1569</v>
      </c>
      <c r="Y235" s="1">
        <v>2017705.69</v>
      </c>
      <c r="AB235" s="1">
        <v>1008852.9</v>
      </c>
    </row>
    <row r="236" spans="2:28" x14ac:dyDescent="0.2">
      <c r="B236" s="30" t="s">
        <v>1719</v>
      </c>
      <c r="C236" s="36"/>
      <c r="D236" s="36"/>
      <c r="F236" s="1" t="s">
        <v>1437</v>
      </c>
      <c r="G236" s="1" t="s">
        <v>1759</v>
      </c>
      <c r="K236" s="1" t="s">
        <v>1760</v>
      </c>
      <c r="L236" s="1" t="s">
        <v>1279</v>
      </c>
      <c r="M236" s="1" t="s">
        <v>1761</v>
      </c>
      <c r="N236" s="1" t="s">
        <v>1287</v>
      </c>
      <c r="O236" s="1" t="s">
        <v>1758</v>
      </c>
      <c r="P236" s="34" t="str">
        <f t="shared" si="5"/>
        <v>F010</v>
      </c>
      <c r="Q236" s="1" t="s">
        <v>138</v>
      </c>
      <c r="S236" s="16">
        <v>20</v>
      </c>
      <c r="T236" s="1" t="s">
        <v>302</v>
      </c>
      <c r="U236" s="1" t="s">
        <v>1761</v>
      </c>
      <c r="V236" s="1" t="s">
        <v>1762</v>
      </c>
      <c r="Y236" s="1">
        <v>679000</v>
      </c>
      <c r="AB236" s="1">
        <v>679000</v>
      </c>
    </row>
    <row r="237" spans="2:28" x14ac:dyDescent="0.2">
      <c r="B237" s="30" t="s">
        <v>1719</v>
      </c>
      <c r="C237" s="36"/>
      <c r="D237" s="36"/>
      <c r="F237" s="1" t="s">
        <v>1427</v>
      </c>
      <c r="G237" s="1" t="s">
        <v>1763</v>
      </c>
      <c r="K237" s="1" t="s">
        <v>1764</v>
      </c>
      <c r="L237" s="1" t="s">
        <v>1279</v>
      </c>
      <c r="M237" s="1" t="s">
        <v>1511</v>
      </c>
      <c r="N237" s="1" t="s">
        <v>1614</v>
      </c>
      <c r="O237" s="1" t="s">
        <v>1765</v>
      </c>
      <c r="P237" s="34" t="str">
        <f t="shared" si="5"/>
        <v>F010</v>
      </c>
      <c r="Q237" s="1" t="s">
        <v>127</v>
      </c>
      <c r="S237" s="16">
        <v>20</v>
      </c>
      <c r="T237" s="1" t="s">
        <v>302</v>
      </c>
      <c r="U237" s="1" t="s">
        <v>1511</v>
      </c>
      <c r="V237" s="1" t="s">
        <v>1766</v>
      </c>
      <c r="Y237" s="1">
        <v>2571909.17</v>
      </c>
      <c r="AB237" s="1">
        <v>958162.21</v>
      </c>
    </row>
    <row r="238" spans="2:28" x14ac:dyDescent="0.2">
      <c r="B238" s="30" t="s">
        <v>1719</v>
      </c>
      <c r="C238" s="36"/>
      <c r="D238" s="36"/>
      <c r="F238" s="1" t="s">
        <v>1384</v>
      </c>
      <c r="G238" s="1" t="s">
        <v>1767</v>
      </c>
      <c r="K238" s="1" t="s">
        <v>1768</v>
      </c>
      <c r="L238" s="1" t="s">
        <v>1279</v>
      </c>
      <c r="M238" s="1" t="s">
        <v>1460</v>
      </c>
      <c r="N238" s="1" t="s">
        <v>1642</v>
      </c>
      <c r="O238" s="1" t="s">
        <v>1700</v>
      </c>
      <c r="P238" s="34" t="str">
        <f t="shared" si="5"/>
        <v>F010</v>
      </c>
      <c r="Q238" s="1" t="s">
        <v>127</v>
      </c>
      <c r="S238" s="16">
        <v>20</v>
      </c>
      <c r="T238" s="1" t="s">
        <v>302</v>
      </c>
      <c r="U238" s="1" t="s">
        <v>1460</v>
      </c>
      <c r="V238" s="1" t="s">
        <v>1755</v>
      </c>
      <c r="Y238" s="1">
        <v>976660</v>
      </c>
      <c r="AB238" s="1">
        <v>390664.08</v>
      </c>
    </row>
    <row r="239" spans="2:28" x14ac:dyDescent="0.2">
      <c r="B239" s="30" t="s">
        <v>1719</v>
      </c>
      <c r="C239" s="36"/>
      <c r="D239" s="36"/>
      <c r="F239" s="1" t="s">
        <v>1384</v>
      </c>
      <c r="G239" s="1" t="s">
        <v>1769</v>
      </c>
      <c r="K239" s="1" t="s">
        <v>1770</v>
      </c>
      <c r="L239" s="1" t="s">
        <v>1279</v>
      </c>
      <c r="M239" s="1" t="s">
        <v>1724</v>
      </c>
      <c r="N239" s="1" t="s">
        <v>1287</v>
      </c>
      <c r="O239" s="1" t="s">
        <v>1700</v>
      </c>
      <c r="P239" s="34" t="str">
        <f t="shared" si="5"/>
        <v>F010</v>
      </c>
      <c r="Q239" s="1" t="s">
        <v>138</v>
      </c>
      <c r="S239" s="16">
        <v>20</v>
      </c>
      <c r="T239" s="1" t="s">
        <v>302</v>
      </c>
      <c r="U239" s="1" t="s">
        <v>1724</v>
      </c>
      <c r="V239" s="1" t="s">
        <v>1771</v>
      </c>
      <c r="Y239" s="1">
        <v>14575.34</v>
      </c>
      <c r="AB239" s="1">
        <v>14575.34</v>
      </c>
    </row>
    <row r="240" spans="2:28" x14ac:dyDescent="0.2">
      <c r="B240" s="30" t="s">
        <v>1719</v>
      </c>
      <c r="C240" s="36"/>
      <c r="D240" s="36"/>
      <c r="F240" s="1" t="s">
        <v>1340</v>
      </c>
      <c r="G240" s="1" t="s">
        <v>1772</v>
      </c>
      <c r="K240" s="1" t="s">
        <v>1773</v>
      </c>
      <c r="L240" s="1" t="s">
        <v>1279</v>
      </c>
      <c r="M240" s="1" t="s">
        <v>1774</v>
      </c>
      <c r="N240" s="1" t="s">
        <v>1287</v>
      </c>
      <c r="O240" s="1" t="s">
        <v>1704</v>
      </c>
      <c r="P240" s="34" t="str">
        <f t="shared" si="5"/>
        <v>F010</v>
      </c>
      <c r="Q240" s="1" t="s">
        <v>138</v>
      </c>
      <c r="S240" s="16">
        <v>20</v>
      </c>
      <c r="T240" s="1" t="s">
        <v>302</v>
      </c>
      <c r="U240" s="1" t="s">
        <v>1774</v>
      </c>
      <c r="V240" s="1" t="s">
        <v>1775</v>
      </c>
      <c r="Y240" s="1">
        <v>128000</v>
      </c>
      <c r="AB240" s="1">
        <v>128000</v>
      </c>
    </row>
    <row r="241" spans="2:28" x14ac:dyDescent="0.2">
      <c r="B241" s="30" t="s">
        <v>1719</v>
      </c>
      <c r="C241" s="36"/>
      <c r="D241" s="36"/>
      <c r="F241" s="1" t="s">
        <v>1384</v>
      </c>
      <c r="G241" s="1" t="s">
        <v>1776</v>
      </c>
      <c r="K241" s="1" t="s">
        <v>1777</v>
      </c>
      <c r="L241" s="1" t="s">
        <v>1279</v>
      </c>
      <c r="M241" s="1" t="s">
        <v>1761</v>
      </c>
      <c r="N241" s="1" t="s">
        <v>1287</v>
      </c>
      <c r="O241" s="1" t="s">
        <v>1700</v>
      </c>
      <c r="P241" s="34" t="str">
        <f t="shared" si="5"/>
        <v>F010</v>
      </c>
      <c r="Q241" s="1" t="s">
        <v>138</v>
      </c>
      <c r="S241" s="16">
        <v>20</v>
      </c>
      <c r="T241" s="1" t="s">
        <v>302</v>
      </c>
      <c r="U241" s="1" t="s">
        <v>1761</v>
      </c>
      <c r="V241" s="1" t="s">
        <v>1762</v>
      </c>
      <c r="Y241" s="1">
        <v>191800</v>
      </c>
      <c r="AB241" s="1">
        <v>191800</v>
      </c>
    </row>
    <row r="242" spans="2:28" s="54" customFormat="1" x14ac:dyDescent="0.2">
      <c r="B242" s="37" t="s">
        <v>1719</v>
      </c>
      <c r="C242" s="54" t="s">
        <v>1778</v>
      </c>
      <c r="F242" s="54" t="s">
        <v>1419</v>
      </c>
      <c r="G242" s="54" t="s">
        <v>1779</v>
      </c>
      <c r="K242" s="54" t="s">
        <v>1778</v>
      </c>
      <c r="L242" s="54" t="s">
        <v>1279</v>
      </c>
      <c r="M242" s="54" t="s">
        <v>1780</v>
      </c>
      <c r="N242" s="54" t="s">
        <v>6096</v>
      </c>
      <c r="O242" s="54" t="s">
        <v>1781</v>
      </c>
      <c r="P242" s="54" t="str">
        <f t="shared" si="5"/>
        <v/>
      </c>
      <c r="S242" s="55">
        <v>20</v>
      </c>
      <c r="T242" s="54" t="s">
        <v>302</v>
      </c>
      <c r="U242" s="54" t="s">
        <v>1780</v>
      </c>
      <c r="V242" s="54" t="s">
        <v>1780</v>
      </c>
      <c r="Y242" s="54">
        <v>81966.720000000001</v>
      </c>
      <c r="AB242" s="54">
        <v>81966.720000000001</v>
      </c>
    </row>
    <row r="243" spans="2:28" s="54" customFormat="1" x14ac:dyDescent="0.2">
      <c r="B243" s="37" t="s">
        <v>1719</v>
      </c>
      <c r="C243" s="54" t="s">
        <v>1782</v>
      </c>
      <c r="F243" s="54" t="s">
        <v>1419</v>
      </c>
      <c r="G243" s="54" t="s">
        <v>1783</v>
      </c>
      <c r="K243" s="54" t="s">
        <v>1782</v>
      </c>
      <c r="L243" s="54" t="s">
        <v>1279</v>
      </c>
      <c r="M243" s="54" t="s">
        <v>1780</v>
      </c>
      <c r="N243" s="54" t="s">
        <v>6096</v>
      </c>
      <c r="O243" s="54" t="s">
        <v>1781</v>
      </c>
      <c r="P243" s="54" t="str">
        <f t="shared" si="5"/>
        <v/>
      </c>
      <c r="S243" s="55">
        <v>20</v>
      </c>
      <c r="T243" s="54" t="s">
        <v>302</v>
      </c>
      <c r="U243" s="54" t="s">
        <v>1780</v>
      </c>
      <c r="V243" s="54" t="s">
        <v>1780</v>
      </c>
      <c r="Y243" s="54">
        <v>172262.97</v>
      </c>
      <c r="AB243" s="54">
        <v>172262.97</v>
      </c>
    </row>
    <row r="244" spans="2:28" x14ac:dyDescent="0.2">
      <c r="B244" s="30" t="s">
        <v>1719</v>
      </c>
      <c r="C244" s="36"/>
      <c r="D244" s="36"/>
      <c r="F244" s="1" t="s">
        <v>1419</v>
      </c>
      <c r="G244" s="1" t="s">
        <v>1784</v>
      </c>
      <c r="K244" s="1" t="s">
        <v>1785</v>
      </c>
      <c r="L244" s="1" t="s">
        <v>1279</v>
      </c>
      <c r="M244" s="1" t="s">
        <v>1460</v>
      </c>
      <c r="N244" s="1" t="s">
        <v>1335</v>
      </c>
      <c r="O244" s="1" t="s">
        <v>1781</v>
      </c>
      <c r="P244" s="34" t="str">
        <f t="shared" si="5"/>
        <v/>
      </c>
      <c r="S244" s="16">
        <v>20</v>
      </c>
      <c r="T244" s="1" t="s">
        <v>302</v>
      </c>
      <c r="U244" s="1" t="s">
        <v>1460</v>
      </c>
      <c r="V244" s="1" t="s">
        <v>1755</v>
      </c>
      <c r="Y244" s="1">
        <v>2060074.36</v>
      </c>
      <c r="AB244" s="1">
        <v>824029.68</v>
      </c>
    </row>
    <row r="245" spans="2:28" x14ac:dyDescent="0.2">
      <c r="B245" s="30" t="s">
        <v>1719</v>
      </c>
      <c r="C245" s="36"/>
      <c r="D245" s="36"/>
      <c r="F245" s="1" t="s">
        <v>1419</v>
      </c>
      <c r="G245" s="1" t="s">
        <v>1786</v>
      </c>
      <c r="K245" s="1" t="s">
        <v>1787</v>
      </c>
      <c r="L245" s="1" t="s">
        <v>1279</v>
      </c>
      <c r="M245" s="1" t="s">
        <v>1468</v>
      </c>
      <c r="N245" s="1" t="s">
        <v>1788</v>
      </c>
      <c r="O245" s="1" t="s">
        <v>1781</v>
      </c>
      <c r="P245" s="34" t="str">
        <f t="shared" si="5"/>
        <v>F010</v>
      </c>
      <c r="Q245" s="1" t="s">
        <v>127</v>
      </c>
      <c r="S245" s="16">
        <v>20</v>
      </c>
      <c r="T245" s="1" t="s">
        <v>302</v>
      </c>
      <c r="U245" s="1" t="s">
        <v>1468</v>
      </c>
      <c r="V245" s="1" t="s">
        <v>1634</v>
      </c>
      <c r="Y245" s="1">
        <v>1781196.75</v>
      </c>
      <c r="AB245" s="1">
        <v>890598.42</v>
      </c>
    </row>
    <row r="246" spans="2:28" s="58" customFormat="1" x14ac:dyDescent="0.2">
      <c r="B246" s="56" t="s">
        <v>1719</v>
      </c>
      <c r="C246" s="57">
        <v>36000</v>
      </c>
      <c r="D246" s="48">
        <f>+C246/100000</f>
        <v>0.36</v>
      </c>
      <c r="E246" s="58" t="s">
        <v>1331</v>
      </c>
      <c r="F246" s="58" t="s">
        <v>1384</v>
      </c>
      <c r="G246" s="58" t="s">
        <v>1789</v>
      </c>
      <c r="K246" s="58" t="s">
        <v>1790</v>
      </c>
      <c r="L246" s="58" t="s">
        <v>1279</v>
      </c>
      <c r="M246" s="58" t="s">
        <v>1463</v>
      </c>
      <c r="N246" s="58" t="s">
        <v>1708</v>
      </c>
      <c r="O246" s="58" t="s">
        <v>1700</v>
      </c>
      <c r="P246" s="58" t="str">
        <f t="shared" si="5"/>
        <v>F010</v>
      </c>
      <c r="Q246" s="58" t="s">
        <v>127</v>
      </c>
      <c r="S246" s="59">
        <v>20</v>
      </c>
      <c r="T246" s="58" t="s">
        <v>302</v>
      </c>
      <c r="U246" s="58" t="s">
        <v>1463</v>
      </c>
      <c r="V246" s="58" t="s">
        <v>1712</v>
      </c>
      <c r="Y246" s="58">
        <v>692327.91</v>
      </c>
      <c r="AB246" s="58">
        <v>196159.59</v>
      </c>
    </row>
    <row r="247" spans="2:28" s="58" customFormat="1" x14ac:dyDescent="0.2">
      <c r="B247" s="56" t="s">
        <v>1719</v>
      </c>
      <c r="C247" s="57">
        <v>64000</v>
      </c>
      <c r="D247" s="48">
        <f>+C247/100000</f>
        <v>0.64</v>
      </c>
      <c r="E247" s="58" t="s">
        <v>1337</v>
      </c>
      <c r="F247" s="58" t="s">
        <v>1416</v>
      </c>
      <c r="G247" s="58" t="s">
        <v>1789</v>
      </c>
      <c r="K247" s="58" t="s">
        <v>1790</v>
      </c>
      <c r="L247" s="58" t="s">
        <v>1279</v>
      </c>
      <c r="M247" s="58" t="s">
        <v>1463</v>
      </c>
      <c r="N247" s="58" t="s">
        <v>1715</v>
      </c>
      <c r="O247" s="58" t="s">
        <v>1791</v>
      </c>
      <c r="P247" s="58" t="str">
        <f t="shared" si="5"/>
        <v>F010</v>
      </c>
      <c r="Q247" s="58" t="s">
        <v>127</v>
      </c>
      <c r="S247" s="59">
        <v>20</v>
      </c>
      <c r="T247" s="58" t="s">
        <v>302</v>
      </c>
      <c r="U247" s="58" t="s">
        <v>1463</v>
      </c>
      <c r="V247" s="58" t="s">
        <v>1712</v>
      </c>
      <c r="Y247" s="58">
        <v>1230805.17</v>
      </c>
      <c r="AB247" s="58">
        <v>348728.15</v>
      </c>
    </row>
    <row r="248" spans="2:28" x14ac:dyDescent="0.2">
      <c r="B248" s="30" t="s">
        <v>1719</v>
      </c>
      <c r="C248" s="36"/>
      <c r="D248" s="36"/>
      <c r="F248" s="1" t="s">
        <v>1680</v>
      </c>
      <c r="G248" s="1" t="s">
        <v>1792</v>
      </c>
      <c r="K248" s="1" t="s">
        <v>1793</v>
      </c>
      <c r="L248" s="1" t="s">
        <v>1279</v>
      </c>
      <c r="M248" s="1" t="s">
        <v>1794</v>
      </c>
      <c r="N248" s="1" t="s">
        <v>1795</v>
      </c>
      <c r="O248" s="1" t="s">
        <v>1683</v>
      </c>
      <c r="P248" s="34" t="str">
        <f t="shared" si="5"/>
        <v/>
      </c>
      <c r="S248" s="16">
        <v>20</v>
      </c>
      <c r="T248" s="1" t="s">
        <v>302</v>
      </c>
      <c r="U248" s="1" t="s">
        <v>1794</v>
      </c>
      <c r="V248" s="1" t="s">
        <v>1796</v>
      </c>
      <c r="Y248" s="1">
        <v>1499655.68</v>
      </c>
      <c r="AB248" s="1">
        <v>1083084.6399999999</v>
      </c>
    </row>
    <row r="249" spans="2:28" x14ac:dyDescent="0.2">
      <c r="B249" s="30" t="s">
        <v>1719</v>
      </c>
      <c r="C249" s="36"/>
      <c r="D249" s="36"/>
      <c r="F249" s="1" t="s">
        <v>1680</v>
      </c>
      <c r="G249" s="1" t="s">
        <v>1797</v>
      </c>
      <c r="K249" s="1" t="s">
        <v>1798</v>
      </c>
      <c r="L249" s="1" t="s">
        <v>1279</v>
      </c>
      <c r="M249" s="1" t="s">
        <v>1724</v>
      </c>
      <c r="N249" s="1" t="s">
        <v>1287</v>
      </c>
      <c r="O249" s="1" t="s">
        <v>1683</v>
      </c>
      <c r="P249" s="34" t="str">
        <f t="shared" si="5"/>
        <v>F010</v>
      </c>
      <c r="Q249" s="1" t="s">
        <v>138</v>
      </c>
      <c r="S249" s="16">
        <v>20</v>
      </c>
      <c r="T249" s="1" t="s">
        <v>302</v>
      </c>
      <c r="U249" s="1" t="s">
        <v>1724</v>
      </c>
      <c r="V249" s="1" t="s">
        <v>1799</v>
      </c>
      <c r="Y249" s="1">
        <v>1800.57</v>
      </c>
      <c r="AB249" s="1">
        <v>1800.57</v>
      </c>
    </row>
    <row r="250" spans="2:28" x14ac:dyDescent="0.2">
      <c r="B250" s="30" t="s">
        <v>1719</v>
      </c>
      <c r="C250" s="36"/>
      <c r="D250" s="36"/>
      <c r="F250" s="1" t="s">
        <v>1384</v>
      </c>
      <c r="G250" s="1" t="s">
        <v>1800</v>
      </c>
      <c r="K250" s="1" t="s">
        <v>1801</v>
      </c>
      <c r="L250" s="1" t="s">
        <v>1279</v>
      </c>
      <c r="M250" s="1" t="s">
        <v>1802</v>
      </c>
      <c r="N250" s="1" t="s">
        <v>1287</v>
      </c>
      <c r="O250" s="1" t="s">
        <v>1700</v>
      </c>
      <c r="P250" s="34" t="str">
        <f t="shared" ref="P250:P313" si="6">+LEFT(Q250,4)</f>
        <v>F010</v>
      </c>
      <c r="Q250" s="1" t="s">
        <v>138</v>
      </c>
      <c r="S250" s="16">
        <v>20</v>
      </c>
      <c r="T250" s="1" t="s">
        <v>302</v>
      </c>
      <c r="U250" s="1" t="s">
        <v>1802</v>
      </c>
      <c r="V250" s="1" t="s">
        <v>1457</v>
      </c>
      <c r="Y250" s="1">
        <v>444400</v>
      </c>
      <c r="AB250" s="1">
        <v>444400</v>
      </c>
    </row>
    <row r="251" spans="2:28" x14ac:dyDescent="0.2">
      <c r="B251" s="30" t="s">
        <v>1719</v>
      </c>
      <c r="C251" s="36"/>
      <c r="D251" s="36"/>
      <c r="F251" s="1" t="s">
        <v>1680</v>
      </c>
      <c r="G251" s="1" t="s">
        <v>1803</v>
      </c>
      <c r="K251" s="1" t="s">
        <v>1804</v>
      </c>
      <c r="L251" s="1" t="s">
        <v>1279</v>
      </c>
      <c r="M251" s="1" t="s">
        <v>1805</v>
      </c>
      <c r="N251" s="1" t="s">
        <v>1806</v>
      </c>
      <c r="O251" s="1" t="s">
        <v>1683</v>
      </c>
      <c r="P251" s="34" t="str">
        <f t="shared" si="6"/>
        <v>F010</v>
      </c>
      <c r="Q251" s="1" t="s">
        <v>127</v>
      </c>
      <c r="S251" s="16">
        <v>20</v>
      </c>
      <c r="T251" s="1" t="s">
        <v>302</v>
      </c>
      <c r="U251" s="1" t="s">
        <v>1805</v>
      </c>
      <c r="V251" s="1" t="s">
        <v>1807</v>
      </c>
      <c r="Y251" s="1">
        <v>3274003.1</v>
      </c>
      <c r="AB251" s="1">
        <v>1473301.44</v>
      </c>
    </row>
    <row r="252" spans="2:28" x14ac:dyDescent="0.2">
      <c r="B252" s="30" t="s">
        <v>1719</v>
      </c>
      <c r="C252" s="36"/>
      <c r="D252" s="36"/>
      <c r="F252" s="1" t="s">
        <v>1384</v>
      </c>
      <c r="G252" s="1" t="s">
        <v>1808</v>
      </c>
      <c r="K252" s="1" t="s">
        <v>1809</v>
      </c>
      <c r="L252" s="1" t="s">
        <v>1279</v>
      </c>
      <c r="M252" s="1" t="s">
        <v>1802</v>
      </c>
      <c r="N252" s="1" t="s">
        <v>1287</v>
      </c>
      <c r="O252" s="1" t="s">
        <v>1700</v>
      </c>
      <c r="P252" s="34" t="str">
        <f t="shared" si="6"/>
        <v>F010</v>
      </c>
      <c r="Q252" s="1" t="s">
        <v>138</v>
      </c>
      <c r="S252" s="16">
        <v>20</v>
      </c>
      <c r="T252" s="1" t="s">
        <v>302</v>
      </c>
      <c r="U252" s="1" t="s">
        <v>1802</v>
      </c>
      <c r="V252" s="1" t="s">
        <v>1457</v>
      </c>
      <c r="Y252" s="1">
        <v>521200</v>
      </c>
      <c r="AB252" s="1">
        <v>521200</v>
      </c>
    </row>
    <row r="253" spans="2:28" x14ac:dyDescent="0.2">
      <c r="B253" s="30" t="s">
        <v>1719</v>
      </c>
      <c r="C253" s="36"/>
      <c r="D253" s="36"/>
      <c r="F253" s="1" t="s">
        <v>1340</v>
      </c>
      <c r="G253" s="1" t="s">
        <v>1810</v>
      </c>
      <c r="K253" s="1" t="s">
        <v>1811</v>
      </c>
      <c r="L253" s="1" t="s">
        <v>1279</v>
      </c>
      <c r="M253" s="1" t="s">
        <v>1724</v>
      </c>
      <c r="N253" s="1" t="s">
        <v>1287</v>
      </c>
      <c r="O253" s="1" t="s">
        <v>1704</v>
      </c>
      <c r="P253" s="34" t="str">
        <f t="shared" si="6"/>
        <v>F010</v>
      </c>
      <c r="Q253" s="1" t="s">
        <v>138</v>
      </c>
      <c r="S253" s="16">
        <v>20</v>
      </c>
      <c r="T253" s="1" t="s">
        <v>302</v>
      </c>
      <c r="U253" s="1" t="s">
        <v>1724</v>
      </c>
      <c r="V253" s="1" t="s">
        <v>1771</v>
      </c>
      <c r="Y253" s="1">
        <v>4912.5</v>
      </c>
      <c r="AB253" s="1">
        <v>4912.5</v>
      </c>
    </row>
    <row r="254" spans="2:28" x14ac:dyDescent="0.2">
      <c r="B254" s="30" t="s">
        <v>1719</v>
      </c>
      <c r="C254" s="36"/>
      <c r="D254" s="36"/>
      <c r="F254" s="1" t="s">
        <v>1680</v>
      </c>
      <c r="G254" s="1" t="s">
        <v>1812</v>
      </c>
      <c r="K254" s="1" t="s">
        <v>1813</v>
      </c>
      <c r="L254" s="1" t="s">
        <v>1279</v>
      </c>
      <c r="M254" s="1" t="s">
        <v>1724</v>
      </c>
      <c r="N254" s="1" t="s">
        <v>1287</v>
      </c>
      <c r="O254" s="1" t="s">
        <v>1683</v>
      </c>
      <c r="P254" s="34" t="str">
        <f t="shared" si="6"/>
        <v>F010</v>
      </c>
      <c r="Q254" s="1" t="s">
        <v>138</v>
      </c>
      <c r="S254" s="16">
        <v>20</v>
      </c>
      <c r="T254" s="1" t="s">
        <v>302</v>
      </c>
      <c r="U254" s="1" t="s">
        <v>1724</v>
      </c>
      <c r="V254" s="1" t="s">
        <v>1814</v>
      </c>
      <c r="Y254" s="1">
        <v>75339.240000000005</v>
      </c>
      <c r="AB254" s="1">
        <v>75339.240000000005</v>
      </c>
    </row>
    <row r="255" spans="2:28" x14ac:dyDescent="0.2">
      <c r="B255" s="30" t="s">
        <v>1719</v>
      </c>
      <c r="C255" s="36"/>
      <c r="D255" s="36"/>
      <c r="F255" s="1" t="s">
        <v>1384</v>
      </c>
      <c r="G255" s="1" t="s">
        <v>1815</v>
      </c>
      <c r="K255" s="1" t="s">
        <v>1816</v>
      </c>
      <c r="L255" s="1" t="s">
        <v>1279</v>
      </c>
      <c r="M255" s="1" t="s">
        <v>1817</v>
      </c>
      <c r="N255" s="1" t="s">
        <v>1287</v>
      </c>
      <c r="O255" s="1" t="s">
        <v>1700</v>
      </c>
      <c r="P255" s="34" t="str">
        <f t="shared" si="6"/>
        <v>F010</v>
      </c>
      <c r="Q255" s="1" t="s">
        <v>138</v>
      </c>
      <c r="S255" s="16">
        <v>20</v>
      </c>
      <c r="T255" s="1" t="s">
        <v>302</v>
      </c>
      <c r="U255" s="1" t="s">
        <v>1817</v>
      </c>
      <c r="V255" s="1" t="s">
        <v>1818</v>
      </c>
      <c r="Y255" s="1">
        <v>49800</v>
      </c>
      <c r="AB255" s="1">
        <v>49800</v>
      </c>
    </row>
    <row r="256" spans="2:28" x14ac:dyDescent="0.2">
      <c r="B256" s="30" t="s">
        <v>1719</v>
      </c>
      <c r="C256" s="36"/>
      <c r="D256" s="36"/>
      <c r="F256" s="1" t="s">
        <v>1340</v>
      </c>
      <c r="G256" s="1" t="s">
        <v>1819</v>
      </c>
      <c r="K256" s="1" t="s">
        <v>1820</v>
      </c>
      <c r="L256" s="1" t="s">
        <v>1279</v>
      </c>
      <c r="M256" s="1" t="s">
        <v>1799</v>
      </c>
      <c r="N256" s="1" t="s">
        <v>1287</v>
      </c>
      <c r="O256" s="1" t="s">
        <v>1704</v>
      </c>
      <c r="P256" s="34" t="str">
        <f t="shared" si="6"/>
        <v>F010</v>
      </c>
      <c r="Q256" s="1" t="s">
        <v>138</v>
      </c>
      <c r="S256" s="16">
        <v>20</v>
      </c>
      <c r="T256" s="1" t="s">
        <v>302</v>
      </c>
      <c r="U256" s="1" t="s">
        <v>1799</v>
      </c>
      <c r="V256" s="1" t="s">
        <v>1821</v>
      </c>
      <c r="Y256" s="1">
        <v>33200</v>
      </c>
      <c r="AB256" s="1">
        <v>33200</v>
      </c>
    </row>
    <row r="257" spans="2:28" x14ac:dyDescent="0.2">
      <c r="B257" s="30" t="s">
        <v>1719</v>
      </c>
      <c r="C257" s="36"/>
      <c r="D257" s="36"/>
      <c r="F257" s="1" t="s">
        <v>1680</v>
      </c>
      <c r="G257" s="1" t="s">
        <v>1822</v>
      </c>
      <c r="K257" s="1" t="s">
        <v>1823</v>
      </c>
      <c r="L257" s="1" t="s">
        <v>1279</v>
      </c>
      <c r="M257" s="1" t="s">
        <v>1724</v>
      </c>
      <c r="N257" s="1" t="s">
        <v>1287</v>
      </c>
      <c r="O257" s="1" t="s">
        <v>1683</v>
      </c>
      <c r="P257" s="34" t="str">
        <f t="shared" si="6"/>
        <v>F010</v>
      </c>
      <c r="Q257" s="1" t="s">
        <v>138</v>
      </c>
      <c r="S257" s="16">
        <v>20</v>
      </c>
      <c r="T257" s="1" t="s">
        <v>302</v>
      </c>
      <c r="U257" s="1" t="s">
        <v>1724</v>
      </c>
      <c r="V257" s="1" t="s">
        <v>1725</v>
      </c>
      <c r="Y257" s="1">
        <v>5133.67</v>
      </c>
      <c r="AB257" s="1">
        <v>5133.67</v>
      </c>
    </row>
    <row r="258" spans="2:28" x14ac:dyDescent="0.2">
      <c r="B258" s="30" t="s">
        <v>1719</v>
      </c>
      <c r="C258" s="36"/>
      <c r="D258" s="36"/>
      <c r="F258" s="1" t="s">
        <v>1384</v>
      </c>
      <c r="G258" s="1" t="s">
        <v>1824</v>
      </c>
      <c r="K258" s="1" t="s">
        <v>1825</v>
      </c>
      <c r="L258" s="1" t="s">
        <v>1279</v>
      </c>
      <c r="M258" s="1" t="s">
        <v>1826</v>
      </c>
      <c r="N258" s="1" t="s">
        <v>1287</v>
      </c>
      <c r="O258" s="1" t="s">
        <v>1700</v>
      </c>
      <c r="P258" s="34" t="str">
        <f t="shared" si="6"/>
        <v>F010</v>
      </c>
      <c r="Q258" s="1" t="s">
        <v>138</v>
      </c>
      <c r="S258" s="16">
        <v>20</v>
      </c>
      <c r="T258" s="1" t="s">
        <v>302</v>
      </c>
      <c r="U258" s="1" t="s">
        <v>1826</v>
      </c>
      <c r="V258" s="1" t="s">
        <v>1827</v>
      </c>
      <c r="Y258" s="1">
        <v>13482</v>
      </c>
      <c r="AB258" s="1">
        <v>13482</v>
      </c>
    </row>
    <row r="259" spans="2:28" x14ac:dyDescent="0.2">
      <c r="B259" s="30" t="s">
        <v>1719</v>
      </c>
      <c r="C259" s="36"/>
      <c r="D259" s="36"/>
      <c r="F259" s="1" t="s">
        <v>1340</v>
      </c>
      <c r="G259" s="1" t="s">
        <v>1824</v>
      </c>
      <c r="K259" s="1" t="s">
        <v>1828</v>
      </c>
      <c r="L259" s="1" t="s">
        <v>1279</v>
      </c>
      <c r="M259" s="1" t="s">
        <v>1826</v>
      </c>
      <c r="N259" s="1" t="s">
        <v>1573</v>
      </c>
      <c r="O259" s="1" t="s">
        <v>1704</v>
      </c>
      <c r="P259" s="34" t="str">
        <f t="shared" si="6"/>
        <v>F010</v>
      </c>
      <c r="Q259" s="1" t="s">
        <v>129</v>
      </c>
      <c r="S259" s="16">
        <v>20</v>
      </c>
      <c r="T259" s="1" t="s">
        <v>302</v>
      </c>
      <c r="U259" s="1" t="s">
        <v>1826</v>
      </c>
      <c r="V259" s="1" t="s">
        <v>1827</v>
      </c>
      <c r="Y259" s="1">
        <v>32813</v>
      </c>
      <c r="AB259" s="1">
        <v>32813</v>
      </c>
    </row>
    <row r="260" spans="2:28" x14ac:dyDescent="0.2">
      <c r="B260" s="30" t="s">
        <v>1719</v>
      </c>
      <c r="C260" s="36"/>
      <c r="D260" s="36"/>
      <c r="F260" s="1" t="s">
        <v>1680</v>
      </c>
      <c r="G260" s="1" t="s">
        <v>1824</v>
      </c>
      <c r="K260" s="1" t="s">
        <v>1829</v>
      </c>
      <c r="L260" s="1" t="s">
        <v>1279</v>
      </c>
      <c r="M260" s="1" t="s">
        <v>1826</v>
      </c>
      <c r="N260" s="1" t="s">
        <v>1708</v>
      </c>
      <c r="O260" s="1" t="s">
        <v>1683</v>
      </c>
      <c r="P260" s="34" t="str">
        <f t="shared" si="6"/>
        <v>F010</v>
      </c>
      <c r="Q260" s="1" t="s">
        <v>127</v>
      </c>
      <c r="S260" s="16">
        <v>20</v>
      </c>
      <c r="T260" s="1" t="s">
        <v>302</v>
      </c>
      <c r="U260" s="1" t="s">
        <v>1826</v>
      </c>
      <c r="V260" s="1" t="s">
        <v>1827</v>
      </c>
      <c r="Y260" s="1">
        <v>11877</v>
      </c>
      <c r="AB260" s="1">
        <v>11877</v>
      </c>
    </row>
    <row r="261" spans="2:28" x14ac:dyDescent="0.2">
      <c r="B261" s="30" t="s">
        <v>1719</v>
      </c>
      <c r="C261" s="36"/>
      <c r="D261" s="36"/>
      <c r="F261" s="1" t="s">
        <v>1384</v>
      </c>
      <c r="G261" s="1" t="s">
        <v>1824</v>
      </c>
      <c r="K261" s="1" t="s">
        <v>1830</v>
      </c>
      <c r="L261" s="1" t="s">
        <v>1279</v>
      </c>
      <c r="M261" s="1" t="s">
        <v>1826</v>
      </c>
      <c r="N261" s="1" t="s">
        <v>1715</v>
      </c>
      <c r="O261" s="1" t="s">
        <v>1700</v>
      </c>
      <c r="P261" s="34" t="str">
        <f t="shared" si="6"/>
        <v>F010</v>
      </c>
      <c r="Q261" s="1" t="s">
        <v>127</v>
      </c>
      <c r="S261" s="16">
        <v>20</v>
      </c>
      <c r="T261" s="1" t="s">
        <v>302</v>
      </c>
      <c r="U261" s="1" t="s">
        <v>1826</v>
      </c>
      <c r="V261" s="1" t="s">
        <v>1827</v>
      </c>
      <c r="Y261" s="1">
        <v>10857</v>
      </c>
      <c r="AB261" s="1">
        <v>10857</v>
      </c>
    </row>
    <row r="262" spans="2:28" x14ac:dyDescent="0.2">
      <c r="B262" s="30" t="s">
        <v>1719</v>
      </c>
      <c r="C262" s="36"/>
      <c r="D262" s="36"/>
      <c r="F262" s="1" t="s">
        <v>1680</v>
      </c>
      <c r="G262" s="1" t="s">
        <v>1824</v>
      </c>
      <c r="K262" s="1" t="s">
        <v>1831</v>
      </c>
      <c r="L262" s="1" t="s">
        <v>1279</v>
      </c>
      <c r="M262" s="1" t="s">
        <v>1826</v>
      </c>
      <c r="N262" s="1" t="s">
        <v>1294</v>
      </c>
      <c r="O262" s="1" t="s">
        <v>1683</v>
      </c>
      <c r="P262" s="34" t="str">
        <f t="shared" si="6"/>
        <v>F010</v>
      </c>
      <c r="Q262" s="1" t="s">
        <v>127</v>
      </c>
      <c r="S262" s="16">
        <v>20</v>
      </c>
      <c r="T262" s="1" t="s">
        <v>302</v>
      </c>
      <c r="U262" s="1" t="s">
        <v>1826</v>
      </c>
      <c r="V262" s="1" t="s">
        <v>1827</v>
      </c>
      <c r="Y262" s="1">
        <v>27713</v>
      </c>
      <c r="AB262" s="1">
        <v>27713</v>
      </c>
    </row>
    <row r="263" spans="2:28" x14ac:dyDescent="0.2">
      <c r="B263" s="30" t="s">
        <v>1719</v>
      </c>
      <c r="C263" s="36"/>
      <c r="D263" s="36"/>
      <c r="F263" s="1" t="s">
        <v>1384</v>
      </c>
      <c r="G263" s="1" t="s">
        <v>1824</v>
      </c>
      <c r="K263" s="1" t="s">
        <v>1832</v>
      </c>
      <c r="L263" s="1" t="s">
        <v>1279</v>
      </c>
      <c r="M263" s="1" t="s">
        <v>1826</v>
      </c>
      <c r="N263" s="1" t="s">
        <v>1833</v>
      </c>
      <c r="O263" s="1" t="s">
        <v>1700</v>
      </c>
      <c r="P263" s="34" t="str">
        <f t="shared" si="6"/>
        <v>F010</v>
      </c>
      <c r="Q263" s="1" t="s">
        <v>127</v>
      </c>
      <c r="S263" s="16">
        <v>20</v>
      </c>
      <c r="T263" s="1" t="s">
        <v>302</v>
      </c>
      <c r="U263" s="1" t="s">
        <v>1826</v>
      </c>
      <c r="V263" s="1" t="s">
        <v>1827</v>
      </c>
      <c r="Y263" s="1">
        <v>5878</v>
      </c>
      <c r="AB263" s="1">
        <v>5878</v>
      </c>
    </row>
    <row r="264" spans="2:28" x14ac:dyDescent="0.2">
      <c r="B264" s="30" t="s">
        <v>1719</v>
      </c>
      <c r="C264" s="36"/>
      <c r="D264" s="36"/>
      <c r="F264" s="1" t="s">
        <v>1680</v>
      </c>
      <c r="G264" s="1" t="s">
        <v>1824</v>
      </c>
      <c r="K264" s="1" t="s">
        <v>1834</v>
      </c>
      <c r="L264" s="1" t="s">
        <v>1279</v>
      </c>
      <c r="M264" s="1" t="s">
        <v>1826</v>
      </c>
      <c r="N264" s="1" t="s">
        <v>1286</v>
      </c>
      <c r="O264" s="1" t="s">
        <v>1683</v>
      </c>
      <c r="P264" s="34" t="str">
        <f t="shared" si="6"/>
        <v>F010</v>
      </c>
      <c r="Q264" s="1" t="s">
        <v>129</v>
      </c>
      <c r="S264" s="16">
        <v>20</v>
      </c>
      <c r="T264" s="1" t="s">
        <v>302</v>
      </c>
      <c r="U264" s="1" t="s">
        <v>1826</v>
      </c>
      <c r="V264" s="1" t="s">
        <v>1827</v>
      </c>
      <c r="Y264" s="1">
        <v>66283</v>
      </c>
      <c r="AB264" s="1">
        <v>66283</v>
      </c>
    </row>
    <row r="265" spans="2:28" x14ac:dyDescent="0.2">
      <c r="B265" s="30" t="s">
        <v>1719</v>
      </c>
      <c r="C265" s="36"/>
      <c r="D265" s="36"/>
      <c r="F265" s="1" t="s">
        <v>1384</v>
      </c>
      <c r="G265" s="1" t="s">
        <v>1824</v>
      </c>
      <c r="K265" s="1" t="s">
        <v>1835</v>
      </c>
      <c r="L265" s="1" t="s">
        <v>1279</v>
      </c>
      <c r="M265" s="1" t="s">
        <v>1826</v>
      </c>
      <c r="N265" s="1" t="s">
        <v>1284</v>
      </c>
      <c r="O265" s="1" t="s">
        <v>1700</v>
      </c>
      <c r="P265" s="34" t="str">
        <f t="shared" si="6"/>
        <v>F010</v>
      </c>
      <c r="Q265" s="1" t="s">
        <v>127</v>
      </c>
      <c r="S265" s="16">
        <v>20</v>
      </c>
      <c r="T265" s="1" t="s">
        <v>302</v>
      </c>
      <c r="U265" s="1" t="s">
        <v>1826</v>
      </c>
      <c r="V265" s="1" t="s">
        <v>1827</v>
      </c>
      <c r="Y265" s="1">
        <v>5218</v>
      </c>
      <c r="AB265" s="1">
        <v>5218</v>
      </c>
    </row>
    <row r="266" spans="2:28" x14ac:dyDescent="0.2">
      <c r="B266" s="30" t="s">
        <v>1719</v>
      </c>
      <c r="C266" s="36"/>
      <c r="D266" s="36"/>
      <c r="F266" s="1" t="s">
        <v>1680</v>
      </c>
      <c r="G266" s="1" t="s">
        <v>1824</v>
      </c>
      <c r="K266" s="1" t="s">
        <v>1836</v>
      </c>
      <c r="L266" s="1" t="s">
        <v>1279</v>
      </c>
      <c r="M266" s="1" t="s">
        <v>1826</v>
      </c>
      <c r="N266" s="1" t="s">
        <v>1837</v>
      </c>
      <c r="O266" s="1" t="s">
        <v>1683</v>
      </c>
      <c r="P266" s="34" t="str">
        <f t="shared" si="6"/>
        <v>F010</v>
      </c>
      <c r="Q266" s="1" t="s">
        <v>129</v>
      </c>
      <c r="S266" s="16">
        <v>20</v>
      </c>
      <c r="T266" s="1" t="s">
        <v>302</v>
      </c>
      <c r="U266" s="1" t="s">
        <v>1826</v>
      </c>
      <c r="V266" s="1" t="s">
        <v>1827</v>
      </c>
      <c r="Y266" s="1">
        <v>3482</v>
      </c>
      <c r="AB266" s="1">
        <v>3482</v>
      </c>
    </row>
    <row r="267" spans="2:28" x14ac:dyDescent="0.2">
      <c r="B267" s="30" t="s">
        <v>1719</v>
      </c>
      <c r="C267" s="36"/>
      <c r="D267" s="36"/>
      <c r="F267" s="1" t="s">
        <v>1384</v>
      </c>
      <c r="G267" s="1" t="s">
        <v>1838</v>
      </c>
      <c r="K267" s="1" t="s">
        <v>1839</v>
      </c>
      <c r="L267" s="1" t="s">
        <v>1279</v>
      </c>
      <c r="M267" s="1" t="s">
        <v>1840</v>
      </c>
      <c r="N267" s="1" t="s">
        <v>1806</v>
      </c>
      <c r="O267" s="1" t="s">
        <v>1700</v>
      </c>
      <c r="P267" s="34" t="str">
        <f t="shared" si="6"/>
        <v>F010</v>
      </c>
      <c r="Q267" s="1" t="s">
        <v>127</v>
      </c>
      <c r="S267" s="16">
        <v>20</v>
      </c>
      <c r="T267" s="1" t="s">
        <v>302</v>
      </c>
      <c r="U267" s="1" t="s">
        <v>1840</v>
      </c>
      <c r="V267" s="1" t="s">
        <v>1477</v>
      </c>
      <c r="Y267" s="1">
        <v>2621240.09</v>
      </c>
      <c r="AB267" s="1">
        <v>436873.37</v>
      </c>
    </row>
    <row r="268" spans="2:28" x14ac:dyDescent="0.2">
      <c r="B268" s="30" t="s">
        <v>1719</v>
      </c>
      <c r="C268" s="36"/>
      <c r="D268" s="36"/>
      <c r="F268" s="1" t="s">
        <v>1340</v>
      </c>
      <c r="G268" s="1" t="s">
        <v>1841</v>
      </c>
      <c r="K268" s="1" t="s">
        <v>1842</v>
      </c>
      <c r="L268" s="1" t="s">
        <v>1279</v>
      </c>
      <c r="M268" s="1" t="s">
        <v>1805</v>
      </c>
      <c r="N268" s="1" t="s">
        <v>1287</v>
      </c>
      <c r="O268" s="1" t="s">
        <v>1704</v>
      </c>
      <c r="P268" s="34" t="str">
        <f t="shared" si="6"/>
        <v>F010</v>
      </c>
      <c r="Q268" s="1" t="s">
        <v>127</v>
      </c>
      <c r="S268" s="16">
        <v>20</v>
      </c>
      <c r="T268" s="1" t="s">
        <v>302</v>
      </c>
      <c r="U268" s="1" t="s">
        <v>1805</v>
      </c>
      <c r="V268" s="1" t="s">
        <v>1807</v>
      </c>
      <c r="Y268" s="1">
        <v>2248587.3199999998</v>
      </c>
      <c r="AB268" s="1">
        <v>1011864.32</v>
      </c>
    </row>
    <row r="269" spans="2:28" x14ac:dyDescent="0.2">
      <c r="B269" s="30" t="s">
        <v>1719</v>
      </c>
      <c r="C269" s="36"/>
      <c r="D269" s="36"/>
      <c r="F269" s="1" t="s">
        <v>1680</v>
      </c>
      <c r="G269" s="1" t="s">
        <v>1843</v>
      </c>
      <c r="K269" s="1" t="s">
        <v>1844</v>
      </c>
      <c r="L269" s="1" t="s">
        <v>1279</v>
      </c>
      <c r="M269" s="1" t="s">
        <v>1761</v>
      </c>
      <c r="N269" s="1" t="s">
        <v>1287</v>
      </c>
      <c r="O269" s="1" t="s">
        <v>1683</v>
      </c>
      <c r="P269" s="34" t="str">
        <f t="shared" si="6"/>
        <v>F010</v>
      </c>
      <c r="Q269" s="1" t="s">
        <v>138</v>
      </c>
      <c r="S269" s="16">
        <v>20</v>
      </c>
      <c r="T269" s="1" t="s">
        <v>302</v>
      </c>
      <c r="U269" s="1" t="s">
        <v>1761</v>
      </c>
      <c r="V269" s="1" t="s">
        <v>1762</v>
      </c>
      <c r="Y269" s="1">
        <v>272221.42</v>
      </c>
      <c r="AB269" s="1">
        <v>272221.42</v>
      </c>
    </row>
    <row r="270" spans="2:28" x14ac:dyDescent="0.2">
      <c r="B270" s="30" t="s">
        <v>1719</v>
      </c>
      <c r="C270" s="36"/>
      <c r="D270" s="36"/>
      <c r="F270" s="1" t="s">
        <v>1384</v>
      </c>
      <c r="G270" s="1" t="s">
        <v>1845</v>
      </c>
      <c r="K270" s="1" t="s">
        <v>1846</v>
      </c>
      <c r="L270" s="1" t="s">
        <v>1279</v>
      </c>
      <c r="M270" s="1" t="s">
        <v>1814</v>
      </c>
      <c r="N270" s="1" t="s">
        <v>1287</v>
      </c>
      <c r="O270" s="1" t="s">
        <v>1700</v>
      </c>
      <c r="P270" s="34" t="str">
        <f t="shared" si="6"/>
        <v>F010</v>
      </c>
      <c r="Q270" s="1" t="s">
        <v>138</v>
      </c>
      <c r="S270" s="16">
        <v>20</v>
      </c>
      <c r="T270" s="1" t="s">
        <v>302</v>
      </c>
      <c r="U270" s="1" t="s">
        <v>1814</v>
      </c>
      <c r="V270" s="1" t="s">
        <v>1847</v>
      </c>
      <c r="Y270" s="1">
        <v>65780</v>
      </c>
      <c r="AB270" s="1">
        <v>65780</v>
      </c>
    </row>
    <row r="271" spans="2:28" x14ac:dyDescent="0.2">
      <c r="B271" s="30" t="s">
        <v>1719</v>
      </c>
      <c r="C271" s="36"/>
      <c r="D271" s="36"/>
      <c r="F271" s="1" t="s">
        <v>1680</v>
      </c>
      <c r="G271" s="1" t="s">
        <v>1848</v>
      </c>
      <c r="K271" s="1" t="s">
        <v>1849</v>
      </c>
      <c r="L271" s="1" t="s">
        <v>1279</v>
      </c>
      <c r="M271" s="1" t="s">
        <v>1724</v>
      </c>
      <c r="N271" s="1" t="s">
        <v>1287</v>
      </c>
      <c r="O271" s="1" t="s">
        <v>1683</v>
      </c>
      <c r="P271" s="34" t="str">
        <f t="shared" si="6"/>
        <v>F010</v>
      </c>
      <c r="Q271" s="1" t="s">
        <v>138</v>
      </c>
      <c r="S271" s="16">
        <v>20</v>
      </c>
      <c r="T271" s="1" t="s">
        <v>302</v>
      </c>
      <c r="U271" s="1" t="s">
        <v>1724</v>
      </c>
      <c r="V271" s="1" t="s">
        <v>1737</v>
      </c>
      <c r="Y271" s="1">
        <v>18683</v>
      </c>
      <c r="AB271" s="1">
        <v>18683</v>
      </c>
    </row>
    <row r="272" spans="2:28" x14ac:dyDescent="0.2">
      <c r="B272" s="30" t="s">
        <v>1719</v>
      </c>
      <c r="C272" s="36"/>
      <c r="D272" s="36"/>
      <c r="F272" s="1" t="s">
        <v>1384</v>
      </c>
      <c r="G272" s="1" t="s">
        <v>1850</v>
      </c>
      <c r="K272" s="1" t="s">
        <v>1851</v>
      </c>
      <c r="L272" s="1" t="s">
        <v>1279</v>
      </c>
      <c r="M272" s="1" t="s">
        <v>1724</v>
      </c>
      <c r="N272" s="1" t="s">
        <v>1287</v>
      </c>
      <c r="O272" s="1" t="s">
        <v>1700</v>
      </c>
      <c r="P272" s="34" t="str">
        <f t="shared" si="6"/>
        <v>F010</v>
      </c>
      <c r="Q272" s="1" t="s">
        <v>138</v>
      </c>
      <c r="S272" s="16">
        <v>20</v>
      </c>
      <c r="T272" s="1" t="s">
        <v>302</v>
      </c>
      <c r="U272" s="1" t="s">
        <v>1724</v>
      </c>
      <c r="V272" s="1" t="s">
        <v>1737</v>
      </c>
      <c r="Y272" s="1">
        <v>63429.95</v>
      </c>
      <c r="AB272" s="1">
        <v>63429.95</v>
      </c>
    </row>
    <row r="273" spans="2:28" x14ac:dyDescent="0.2">
      <c r="B273" s="30" t="s">
        <v>1719</v>
      </c>
      <c r="C273" s="36"/>
      <c r="D273" s="36"/>
      <c r="F273" s="1" t="s">
        <v>1340</v>
      </c>
      <c r="G273" s="1" t="s">
        <v>1852</v>
      </c>
      <c r="K273" s="1" t="s">
        <v>1853</v>
      </c>
      <c r="L273" s="1" t="s">
        <v>1279</v>
      </c>
      <c r="M273" s="1" t="s">
        <v>1724</v>
      </c>
      <c r="N273" s="1" t="s">
        <v>1287</v>
      </c>
      <c r="O273" s="1" t="s">
        <v>1704</v>
      </c>
      <c r="P273" s="34" t="str">
        <f t="shared" si="6"/>
        <v>F010</v>
      </c>
      <c r="Q273" s="1" t="s">
        <v>138</v>
      </c>
      <c r="S273" s="16">
        <v>20</v>
      </c>
      <c r="T273" s="1" t="s">
        <v>302</v>
      </c>
      <c r="U273" s="1" t="s">
        <v>1724</v>
      </c>
      <c r="V273" s="1" t="s">
        <v>1854</v>
      </c>
      <c r="Y273" s="1">
        <v>38745</v>
      </c>
      <c r="AB273" s="1">
        <v>38745</v>
      </c>
    </row>
    <row r="274" spans="2:28" x14ac:dyDescent="0.2">
      <c r="B274" s="30" t="s">
        <v>1719</v>
      </c>
      <c r="C274" s="36"/>
      <c r="D274" s="36"/>
      <c r="F274" s="1" t="s">
        <v>1680</v>
      </c>
      <c r="G274" s="1" t="s">
        <v>1855</v>
      </c>
      <c r="K274" s="1" t="s">
        <v>1856</v>
      </c>
      <c r="L274" s="1" t="s">
        <v>1279</v>
      </c>
      <c r="M274" s="1" t="s">
        <v>1857</v>
      </c>
      <c r="N274" s="1" t="s">
        <v>1806</v>
      </c>
      <c r="O274" s="1" t="s">
        <v>1683</v>
      </c>
      <c r="P274" s="34" t="str">
        <f t="shared" si="6"/>
        <v>F010</v>
      </c>
      <c r="Q274" s="1" t="s">
        <v>127</v>
      </c>
      <c r="S274" s="16">
        <v>20</v>
      </c>
      <c r="T274" s="1" t="s">
        <v>302</v>
      </c>
      <c r="U274" s="1" t="s">
        <v>1857</v>
      </c>
      <c r="V274" s="1" t="s">
        <v>1858</v>
      </c>
      <c r="Y274" s="1">
        <v>1221040</v>
      </c>
      <c r="AB274" s="1">
        <v>223857.37</v>
      </c>
    </row>
    <row r="275" spans="2:28" x14ac:dyDescent="0.2">
      <c r="B275" s="30" t="s">
        <v>1719</v>
      </c>
      <c r="C275" s="36"/>
      <c r="D275" s="36"/>
      <c r="F275" s="1" t="s">
        <v>1384</v>
      </c>
      <c r="G275" s="1" t="s">
        <v>1859</v>
      </c>
      <c r="K275" s="1" t="s">
        <v>1860</v>
      </c>
      <c r="L275" s="1" t="s">
        <v>1279</v>
      </c>
      <c r="M275" s="1" t="s">
        <v>1861</v>
      </c>
      <c r="N275" s="1" t="s">
        <v>1286</v>
      </c>
      <c r="O275" s="1" t="s">
        <v>1700</v>
      </c>
      <c r="P275" s="34" t="str">
        <f t="shared" si="6"/>
        <v>F010</v>
      </c>
      <c r="Q275" s="1" t="s">
        <v>129</v>
      </c>
      <c r="S275" s="16">
        <v>20</v>
      </c>
      <c r="T275" s="1" t="s">
        <v>302</v>
      </c>
      <c r="U275" s="1" t="s">
        <v>1861</v>
      </c>
      <c r="V275" s="1" t="s">
        <v>1862</v>
      </c>
      <c r="Y275" s="1">
        <v>345888</v>
      </c>
      <c r="AB275" s="1">
        <v>345888</v>
      </c>
    </row>
    <row r="276" spans="2:28" x14ac:dyDescent="0.2">
      <c r="B276" s="30" t="s">
        <v>1719</v>
      </c>
      <c r="C276" s="36"/>
      <c r="D276" s="36"/>
      <c r="F276" s="1" t="s">
        <v>1680</v>
      </c>
      <c r="G276" s="1" t="s">
        <v>1863</v>
      </c>
      <c r="K276" s="1" t="s">
        <v>1864</v>
      </c>
      <c r="L276" s="1" t="s">
        <v>1279</v>
      </c>
      <c r="M276" s="1" t="s">
        <v>1468</v>
      </c>
      <c r="N276" s="1" t="s">
        <v>1284</v>
      </c>
      <c r="O276" s="1" t="s">
        <v>1683</v>
      </c>
      <c r="P276" s="34" t="str">
        <f t="shared" si="6"/>
        <v>F010</v>
      </c>
      <c r="Q276" s="1" t="s">
        <v>127</v>
      </c>
      <c r="S276" s="16">
        <v>20</v>
      </c>
      <c r="T276" s="1" t="s">
        <v>302</v>
      </c>
      <c r="U276" s="1" t="s">
        <v>1468</v>
      </c>
      <c r="V276" s="1" t="s">
        <v>1634</v>
      </c>
      <c r="Y276" s="1">
        <v>1093258.33</v>
      </c>
      <c r="AB276" s="1">
        <v>546629.21</v>
      </c>
    </row>
    <row r="277" spans="2:28" x14ac:dyDescent="0.2">
      <c r="B277" s="30" t="s">
        <v>1719</v>
      </c>
      <c r="C277" s="36"/>
      <c r="D277" s="36"/>
      <c r="F277" s="1" t="s">
        <v>1384</v>
      </c>
      <c r="G277" s="1" t="s">
        <v>1865</v>
      </c>
      <c r="K277" s="1" t="s">
        <v>1866</v>
      </c>
      <c r="L277" s="1" t="s">
        <v>1279</v>
      </c>
      <c r="M277" s="1" t="s">
        <v>1867</v>
      </c>
      <c r="N277" s="1" t="s">
        <v>1287</v>
      </c>
      <c r="O277" s="1" t="s">
        <v>1700</v>
      </c>
      <c r="P277" s="34" t="str">
        <f t="shared" si="6"/>
        <v>F010</v>
      </c>
      <c r="Q277" s="1" t="s">
        <v>138</v>
      </c>
      <c r="S277" s="16">
        <v>20</v>
      </c>
      <c r="T277" s="1" t="s">
        <v>302</v>
      </c>
      <c r="U277" s="1" t="s">
        <v>1867</v>
      </c>
      <c r="V277" s="1" t="s">
        <v>1473</v>
      </c>
      <c r="Y277" s="1">
        <v>82387</v>
      </c>
      <c r="AB277" s="1">
        <v>82387</v>
      </c>
    </row>
    <row r="278" spans="2:28" x14ac:dyDescent="0.2">
      <c r="B278" s="30" t="s">
        <v>1719</v>
      </c>
      <c r="C278" s="36"/>
      <c r="D278" s="36"/>
      <c r="F278" s="1" t="s">
        <v>1340</v>
      </c>
      <c r="G278" s="1" t="s">
        <v>1868</v>
      </c>
      <c r="K278" s="1" t="s">
        <v>1869</v>
      </c>
      <c r="L278" s="1" t="s">
        <v>1279</v>
      </c>
      <c r="M278" s="1" t="s">
        <v>1870</v>
      </c>
      <c r="N278" s="1" t="s">
        <v>1286</v>
      </c>
      <c r="O278" s="1" t="s">
        <v>1704</v>
      </c>
      <c r="P278" s="34" t="str">
        <f t="shared" si="6"/>
        <v>F010</v>
      </c>
      <c r="Q278" s="1" t="s">
        <v>129</v>
      </c>
      <c r="S278" s="16">
        <v>20</v>
      </c>
      <c r="T278" s="1" t="s">
        <v>302</v>
      </c>
      <c r="U278" s="1" t="s">
        <v>1870</v>
      </c>
      <c r="V278" s="1" t="s">
        <v>1871</v>
      </c>
      <c r="Y278" s="1">
        <v>5503.96</v>
      </c>
      <c r="AB278" s="1">
        <v>5503.96</v>
      </c>
    </row>
    <row r="279" spans="2:28" x14ac:dyDescent="0.2">
      <c r="B279" s="30" t="s">
        <v>1719</v>
      </c>
      <c r="C279" s="36"/>
      <c r="D279" s="36"/>
      <c r="F279" s="1" t="s">
        <v>1733</v>
      </c>
      <c r="G279" s="1" t="s">
        <v>1872</v>
      </c>
      <c r="K279" s="1" t="s">
        <v>1873</v>
      </c>
      <c r="L279" s="1" t="s">
        <v>1279</v>
      </c>
      <c r="M279" s="1" t="s">
        <v>1874</v>
      </c>
      <c r="N279" s="1" t="s">
        <v>1287</v>
      </c>
      <c r="O279" s="1" t="s">
        <v>1736</v>
      </c>
      <c r="P279" s="34" t="str">
        <f t="shared" si="6"/>
        <v>F010</v>
      </c>
      <c r="Q279" s="1" t="s">
        <v>138</v>
      </c>
      <c r="S279" s="16">
        <v>20</v>
      </c>
      <c r="T279" s="1" t="s">
        <v>302</v>
      </c>
      <c r="U279" s="1" t="s">
        <v>1874</v>
      </c>
      <c r="V279" s="1" t="s">
        <v>1875</v>
      </c>
      <c r="Y279" s="1">
        <v>10800</v>
      </c>
      <c r="AB279" s="1">
        <v>10800</v>
      </c>
    </row>
    <row r="280" spans="2:28" x14ac:dyDescent="0.2">
      <c r="B280" s="30" t="s">
        <v>1719</v>
      </c>
      <c r="C280" s="36"/>
      <c r="D280" s="36"/>
      <c r="F280" s="1" t="s">
        <v>1322</v>
      </c>
      <c r="G280" s="1" t="s">
        <v>1876</v>
      </c>
      <c r="K280" s="1" t="s">
        <v>1877</v>
      </c>
      <c r="L280" s="1" t="s">
        <v>1279</v>
      </c>
      <c r="M280" s="1" t="s">
        <v>1878</v>
      </c>
      <c r="N280" s="1" t="s">
        <v>1287</v>
      </c>
      <c r="O280" s="1" t="s">
        <v>1549</v>
      </c>
      <c r="P280" s="34" t="str">
        <f t="shared" si="6"/>
        <v>F010</v>
      </c>
      <c r="Q280" s="1" t="s">
        <v>138</v>
      </c>
      <c r="S280" s="16">
        <v>20</v>
      </c>
      <c r="T280" s="1" t="s">
        <v>302</v>
      </c>
      <c r="U280" s="1" t="s">
        <v>1878</v>
      </c>
      <c r="V280" s="1" t="s">
        <v>1879</v>
      </c>
      <c r="Y280" s="1">
        <v>30300</v>
      </c>
      <c r="AB280" s="1">
        <v>30300</v>
      </c>
    </row>
    <row r="281" spans="2:28" x14ac:dyDescent="0.2">
      <c r="B281" s="30" t="s">
        <v>1719</v>
      </c>
      <c r="C281" s="36"/>
      <c r="D281" s="36"/>
      <c r="F281" s="1" t="s">
        <v>1322</v>
      </c>
      <c r="G281" s="1" t="s">
        <v>1880</v>
      </c>
      <c r="K281" s="1" t="s">
        <v>1881</v>
      </c>
      <c r="L281" s="1" t="s">
        <v>1279</v>
      </c>
      <c r="M281" s="1" t="s">
        <v>1882</v>
      </c>
      <c r="N281" s="1" t="s">
        <v>1287</v>
      </c>
      <c r="O281" s="1" t="s">
        <v>1549</v>
      </c>
      <c r="P281" s="34" t="str">
        <f t="shared" si="6"/>
        <v>F010</v>
      </c>
      <c r="Q281" s="1" t="s">
        <v>138</v>
      </c>
      <c r="S281" s="16">
        <v>20</v>
      </c>
      <c r="T281" s="1" t="s">
        <v>302</v>
      </c>
      <c r="U281" s="1" t="s">
        <v>1882</v>
      </c>
      <c r="V281" s="1" t="s">
        <v>1883</v>
      </c>
      <c r="Y281" s="1">
        <v>49860</v>
      </c>
      <c r="AB281" s="1">
        <v>49860</v>
      </c>
    </row>
    <row r="282" spans="2:28" x14ac:dyDescent="0.2">
      <c r="B282" s="30" t="s">
        <v>1719</v>
      </c>
      <c r="C282" s="36"/>
      <c r="D282" s="36"/>
      <c r="F282" s="1" t="s">
        <v>1322</v>
      </c>
      <c r="G282" s="1" t="s">
        <v>1884</v>
      </c>
      <c r="K282" s="1" t="s">
        <v>1885</v>
      </c>
      <c r="L282" s="1" t="s">
        <v>1279</v>
      </c>
      <c r="M282" s="1" t="s">
        <v>1867</v>
      </c>
      <c r="N282" s="1" t="s">
        <v>1287</v>
      </c>
      <c r="O282" s="1" t="s">
        <v>1549</v>
      </c>
      <c r="P282" s="34" t="str">
        <f t="shared" si="6"/>
        <v>F010</v>
      </c>
      <c r="Q282" s="1" t="s">
        <v>138</v>
      </c>
      <c r="S282" s="16">
        <v>20</v>
      </c>
      <c r="T282" s="1" t="s">
        <v>302</v>
      </c>
      <c r="U282" s="1" t="s">
        <v>1867</v>
      </c>
      <c r="V282" s="1" t="s">
        <v>1473</v>
      </c>
      <c r="Y282" s="1">
        <v>27453.83</v>
      </c>
      <c r="AB282" s="1">
        <v>27453.83</v>
      </c>
    </row>
    <row r="283" spans="2:28" x14ac:dyDescent="0.2">
      <c r="B283" s="30" t="s">
        <v>1719</v>
      </c>
      <c r="C283" s="36"/>
      <c r="D283" s="36"/>
      <c r="F283" s="1" t="s">
        <v>1322</v>
      </c>
      <c r="G283" s="1" t="s">
        <v>1884</v>
      </c>
      <c r="K283" s="1" t="s">
        <v>1886</v>
      </c>
      <c r="L283" s="1" t="s">
        <v>1279</v>
      </c>
      <c r="M283" s="1" t="s">
        <v>1887</v>
      </c>
      <c r="N283" s="1" t="s">
        <v>1287</v>
      </c>
      <c r="O283" s="1" t="s">
        <v>1549</v>
      </c>
      <c r="P283" s="34" t="str">
        <f t="shared" si="6"/>
        <v>F010</v>
      </c>
      <c r="Q283" s="1" t="s">
        <v>138</v>
      </c>
      <c r="S283" s="16">
        <v>20</v>
      </c>
      <c r="T283" s="1" t="s">
        <v>302</v>
      </c>
      <c r="U283" s="1" t="s">
        <v>1887</v>
      </c>
      <c r="V283" s="1" t="s">
        <v>1544</v>
      </c>
      <c r="Y283" s="1">
        <v>9000</v>
      </c>
      <c r="AB283" s="1">
        <v>9000</v>
      </c>
    </row>
    <row r="284" spans="2:28" x14ac:dyDescent="0.2">
      <c r="B284" s="30" t="s">
        <v>1719</v>
      </c>
      <c r="C284" s="36"/>
      <c r="D284" s="36"/>
      <c r="F284" s="1" t="s">
        <v>1322</v>
      </c>
      <c r="G284" s="1" t="s">
        <v>1884</v>
      </c>
      <c r="K284" s="1" t="s">
        <v>1888</v>
      </c>
      <c r="L284" s="1" t="s">
        <v>1279</v>
      </c>
      <c r="M284" s="1" t="s">
        <v>1889</v>
      </c>
      <c r="N284" s="1" t="s">
        <v>1287</v>
      </c>
      <c r="O284" s="1" t="s">
        <v>1549</v>
      </c>
      <c r="P284" s="34" t="str">
        <f t="shared" si="6"/>
        <v>F010</v>
      </c>
      <c r="Q284" s="1" t="s">
        <v>138</v>
      </c>
      <c r="S284" s="16">
        <v>20</v>
      </c>
      <c r="T284" s="1" t="s">
        <v>302</v>
      </c>
      <c r="U284" s="1" t="s">
        <v>1889</v>
      </c>
      <c r="V284" s="1" t="s">
        <v>1890</v>
      </c>
      <c r="Y284" s="1">
        <v>13360.82</v>
      </c>
      <c r="AB284" s="1">
        <v>13360.82</v>
      </c>
    </row>
    <row r="285" spans="2:28" x14ac:dyDescent="0.2">
      <c r="B285" s="30" t="s">
        <v>1719</v>
      </c>
      <c r="C285" s="36"/>
      <c r="D285" s="36"/>
      <c r="F285" s="1" t="s">
        <v>1891</v>
      </c>
      <c r="G285" s="1" t="s">
        <v>1884</v>
      </c>
      <c r="K285" s="1" t="s">
        <v>1892</v>
      </c>
      <c r="L285" s="1" t="s">
        <v>1279</v>
      </c>
      <c r="M285" s="1" t="s">
        <v>1771</v>
      </c>
      <c r="N285" s="1" t="s">
        <v>1287</v>
      </c>
      <c r="O285" s="1" t="s">
        <v>1893</v>
      </c>
      <c r="P285" s="34" t="str">
        <f t="shared" si="6"/>
        <v>F010</v>
      </c>
      <c r="Q285" s="1" t="s">
        <v>138</v>
      </c>
      <c r="S285" s="16">
        <v>20</v>
      </c>
      <c r="T285" s="1" t="s">
        <v>302</v>
      </c>
      <c r="U285" s="1" t="s">
        <v>1771</v>
      </c>
      <c r="V285" s="1" t="s">
        <v>1894</v>
      </c>
      <c r="Y285" s="1">
        <v>3500</v>
      </c>
      <c r="AB285" s="1">
        <v>3500</v>
      </c>
    </row>
    <row r="286" spans="2:28" x14ac:dyDescent="0.2">
      <c r="B286" s="30" t="s">
        <v>1719</v>
      </c>
      <c r="C286" s="36"/>
      <c r="D286" s="36"/>
      <c r="F286" s="1" t="s">
        <v>1895</v>
      </c>
      <c r="G286" s="1" t="s">
        <v>1884</v>
      </c>
      <c r="K286" s="1" t="s">
        <v>1896</v>
      </c>
      <c r="L286" s="1" t="s">
        <v>1279</v>
      </c>
      <c r="M286" s="1" t="s">
        <v>1771</v>
      </c>
      <c r="N286" s="1" t="s">
        <v>1287</v>
      </c>
      <c r="O286" s="1" t="s">
        <v>1897</v>
      </c>
      <c r="P286" s="34" t="str">
        <f t="shared" si="6"/>
        <v>F010</v>
      </c>
      <c r="Q286" s="1" t="s">
        <v>138</v>
      </c>
      <c r="S286" s="16">
        <v>20</v>
      </c>
      <c r="T286" s="1" t="s">
        <v>302</v>
      </c>
      <c r="U286" s="1" t="s">
        <v>1771</v>
      </c>
      <c r="V286" s="1" t="s">
        <v>1894</v>
      </c>
      <c r="Y286" s="1">
        <v>794650</v>
      </c>
      <c r="AB286" s="1">
        <v>794650</v>
      </c>
    </row>
    <row r="287" spans="2:28" x14ac:dyDescent="0.2">
      <c r="B287" s="30" t="s">
        <v>1719</v>
      </c>
      <c r="C287" s="36"/>
      <c r="D287" s="36"/>
      <c r="F287" s="1" t="s">
        <v>1322</v>
      </c>
      <c r="G287" s="1" t="s">
        <v>1898</v>
      </c>
      <c r="K287" s="1" t="s">
        <v>1899</v>
      </c>
      <c r="L287" s="1" t="s">
        <v>1279</v>
      </c>
      <c r="M287" s="1" t="s">
        <v>1456</v>
      </c>
      <c r="N287" s="1" t="s">
        <v>1287</v>
      </c>
      <c r="O287" s="1" t="s">
        <v>1549</v>
      </c>
      <c r="P287" s="34" t="str">
        <f t="shared" si="6"/>
        <v>F010</v>
      </c>
      <c r="Q287" s="1" t="s">
        <v>138</v>
      </c>
      <c r="S287" s="16">
        <v>20</v>
      </c>
      <c r="T287" s="1" t="s">
        <v>302</v>
      </c>
      <c r="U287" s="1" t="s">
        <v>1456</v>
      </c>
      <c r="V287" s="1" t="s">
        <v>1900</v>
      </c>
      <c r="Y287" s="1">
        <v>273000</v>
      </c>
      <c r="AB287" s="1">
        <v>273000</v>
      </c>
    </row>
    <row r="288" spans="2:28" x14ac:dyDescent="0.2">
      <c r="B288" s="30" t="s">
        <v>1719</v>
      </c>
      <c r="C288" s="36"/>
      <c r="D288" s="36"/>
      <c r="F288" s="1" t="s">
        <v>1895</v>
      </c>
      <c r="G288" s="1" t="s">
        <v>1901</v>
      </c>
      <c r="K288" s="1" t="s">
        <v>1902</v>
      </c>
      <c r="L288" s="1" t="s">
        <v>1279</v>
      </c>
      <c r="M288" s="1" t="s">
        <v>1456</v>
      </c>
      <c r="N288" s="1" t="s">
        <v>1903</v>
      </c>
      <c r="O288" s="1" t="s">
        <v>1897</v>
      </c>
      <c r="P288" s="34" t="str">
        <f t="shared" si="6"/>
        <v>F010</v>
      </c>
      <c r="Q288" s="1" t="s">
        <v>127</v>
      </c>
      <c r="S288" s="16">
        <v>20</v>
      </c>
      <c r="T288" s="1" t="s">
        <v>302</v>
      </c>
      <c r="U288" s="1" t="s">
        <v>1456</v>
      </c>
      <c r="V288" s="1" t="s">
        <v>1900</v>
      </c>
      <c r="Y288" s="1">
        <v>3708</v>
      </c>
      <c r="AB288" s="1">
        <v>3708</v>
      </c>
    </row>
    <row r="289" spans="2:28" x14ac:dyDescent="0.2">
      <c r="B289" s="30" t="s">
        <v>1719</v>
      </c>
      <c r="C289" s="36"/>
      <c r="D289" s="36"/>
      <c r="F289" s="1" t="s">
        <v>1322</v>
      </c>
      <c r="G289" s="1" t="s">
        <v>1904</v>
      </c>
      <c r="K289" s="1" t="s">
        <v>1905</v>
      </c>
      <c r="L289" s="1" t="s">
        <v>1279</v>
      </c>
      <c r="M289" s="1" t="s">
        <v>1456</v>
      </c>
      <c r="N289" s="1" t="s">
        <v>1903</v>
      </c>
      <c r="O289" s="1" t="s">
        <v>1549</v>
      </c>
      <c r="P289" s="34" t="str">
        <f t="shared" si="6"/>
        <v>F010</v>
      </c>
      <c r="Q289" s="1" t="s">
        <v>127</v>
      </c>
      <c r="S289" s="16">
        <v>20</v>
      </c>
      <c r="T289" s="1" t="s">
        <v>302</v>
      </c>
      <c r="U289" s="1" t="s">
        <v>1456</v>
      </c>
      <c r="V289" s="1" t="s">
        <v>1900</v>
      </c>
      <c r="Y289" s="1">
        <v>2884</v>
      </c>
      <c r="AB289" s="1">
        <v>2884</v>
      </c>
    </row>
    <row r="290" spans="2:28" x14ac:dyDescent="0.2">
      <c r="B290" s="30" t="s">
        <v>1719</v>
      </c>
      <c r="C290" s="36"/>
      <c r="D290" s="36"/>
      <c r="F290" s="1" t="s">
        <v>1895</v>
      </c>
      <c r="G290" s="1" t="s">
        <v>1906</v>
      </c>
      <c r="K290" s="1" t="s">
        <v>1907</v>
      </c>
      <c r="L290" s="1" t="s">
        <v>1279</v>
      </c>
      <c r="M290" s="1" t="s">
        <v>1456</v>
      </c>
      <c r="N290" s="1" t="s">
        <v>1287</v>
      </c>
      <c r="O290" s="1" t="s">
        <v>1897</v>
      </c>
      <c r="P290" s="34" t="str">
        <f t="shared" si="6"/>
        <v>F010</v>
      </c>
      <c r="Q290" s="1" t="s">
        <v>138</v>
      </c>
      <c r="S290" s="16">
        <v>20</v>
      </c>
      <c r="T290" s="1" t="s">
        <v>302</v>
      </c>
      <c r="U290" s="1" t="s">
        <v>1456</v>
      </c>
      <c r="V290" s="1" t="s">
        <v>1900</v>
      </c>
      <c r="Y290" s="1">
        <v>4355.8500000000004</v>
      </c>
      <c r="AB290" s="1">
        <v>4355.8500000000004</v>
      </c>
    </row>
    <row r="291" spans="2:28" x14ac:dyDescent="0.2">
      <c r="B291" s="30" t="s">
        <v>1719</v>
      </c>
      <c r="C291" s="36"/>
      <c r="D291" s="36"/>
      <c r="F291" s="1" t="s">
        <v>1322</v>
      </c>
      <c r="G291" s="1" t="s">
        <v>1908</v>
      </c>
      <c r="K291" s="1" t="s">
        <v>1909</v>
      </c>
      <c r="L291" s="1" t="s">
        <v>1279</v>
      </c>
      <c r="M291" s="1" t="s">
        <v>1456</v>
      </c>
      <c r="N291" s="1" t="s">
        <v>1903</v>
      </c>
      <c r="O291" s="1" t="s">
        <v>1549</v>
      </c>
      <c r="P291" s="34" t="str">
        <f t="shared" si="6"/>
        <v>F010</v>
      </c>
      <c r="Q291" s="1" t="s">
        <v>127</v>
      </c>
      <c r="S291" s="16">
        <v>20</v>
      </c>
      <c r="T291" s="1" t="s">
        <v>302</v>
      </c>
      <c r="U291" s="1" t="s">
        <v>1456</v>
      </c>
      <c r="V291" s="1" t="s">
        <v>1900</v>
      </c>
      <c r="Y291" s="1">
        <v>5150</v>
      </c>
      <c r="AB291" s="1">
        <v>5150</v>
      </c>
    </row>
    <row r="292" spans="2:28" x14ac:dyDescent="0.2">
      <c r="B292" s="30" t="s">
        <v>1719</v>
      </c>
      <c r="C292" s="36"/>
      <c r="D292" s="36"/>
      <c r="F292" s="1" t="s">
        <v>1895</v>
      </c>
      <c r="G292" s="1" t="s">
        <v>1910</v>
      </c>
      <c r="K292" s="1" t="s">
        <v>1911</v>
      </c>
      <c r="L292" s="1" t="s">
        <v>1279</v>
      </c>
      <c r="M292" s="1" t="s">
        <v>1912</v>
      </c>
      <c r="N292" s="1" t="s">
        <v>1837</v>
      </c>
      <c r="O292" s="1" t="s">
        <v>1897</v>
      </c>
      <c r="P292" s="34" t="str">
        <f t="shared" si="6"/>
        <v>F010</v>
      </c>
      <c r="Q292" s="1" t="s">
        <v>129</v>
      </c>
      <c r="S292" s="16">
        <v>20</v>
      </c>
      <c r="T292" s="1" t="s">
        <v>302</v>
      </c>
      <c r="U292" s="1" t="s">
        <v>1912</v>
      </c>
      <c r="V292" s="1" t="s">
        <v>1913</v>
      </c>
      <c r="Y292" s="1">
        <v>3317376.35</v>
      </c>
      <c r="AB292" s="1">
        <v>3317376.35</v>
      </c>
    </row>
    <row r="293" spans="2:28" x14ac:dyDescent="0.2">
      <c r="B293" s="30" t="s">
        <v>1719</v>
      </c>
      <c r="C293" s="36"/>
      <c r="D293" s="36"/>
      <c r="F293" s="1" t="s">
        <v>1322</v>
      </c>
      <c r="G293" s="1" t="s">
        <v>1914</v>
      </c>
      <c r="K293" s="1" t="s">
        <v>1915</v>
      </c>
      <c r="L293" s="1" t="s">
        <v>1279</v>
      </c>
      <c r="M293" s="1" t="s">
        <v>1916</v>
      </c>
      <c r="N293" s="1" t="s">
        <v>1287</v>
      </c>
      <c r="O293" s="1" t="s">
        <v>1549</v>
      </c>
      <c r="P293" s="34" t="str">
        <f t="shared" si="6"/>
        <v>F010</v>
      </c>
      <c r="Q293" s="1" t="s">
        <v>138</v>
      </c>
      <c r="S293" s="16">
        <v>20</v>
      </c>
      <c r="T293" s="1" t="s">
        <v>302</v>
      </c>
      <c r="U293" s="1" t="s">
        <v>1916</v>
      </c>
      <c r="V293" s="1" t="s">
        <v>1917</v>
      </c>
      <c r="Y293" s="1">
        <v>18562.28</v>
      </c>
      <c r="AB293" s="1">
        <v>18562.28</v>
      </c>
    </row>
    <row r="294" spans="2:28" x14ac:dyDescent="0.2">
      <c r="B294" s="30" t="s">
        <v>1719</v>
      </c>
      <c r="C294" s="36"/>
      <c r="D294" s="36"/>
      <c r="F294" s="1" t="s">
        <v>1895</v>
      </c>
      <c r="G294" s="1" t="s">
        <v>1918</v>
      </c>
      <c r="K294" s="1" t="s">
        <v>1919</v>
      </c>
      <c r="L294" s="1" t="s">
        <v>1279</v>
      </c>
      <c r="M294" s="1" t="s">
        <v>1456</v>
      </c>
      <c r="N294" s="1" t="s">
        <v>1903</v>
      </c>
      <c r="O294" s="1" t="s">
        <v>1897</v>
      </c>
      <c r="P294" s="34" t="str">
        <f t="shared" si="6"/>
        <v>F010</v>
      </c>
      <c r="Q294" s="1" t="s">
        <v>127</v>
      </c>
      <c r="S294" s="16">
        <v>20</v>
      </c>
      <c r="T294" s="1" t="s">
        <v>302</v>
      </c>
      <c r="U294" s="1" t="s">
        <v>1456</v>
      </c>
      <c r="V294" s="1" t="s">
        <v>1900</v>
      </c>
      <c r="Y294" s="1">
        <v>5171</v>
      </c>
      <c r="AB294" s="1">
        <v>5171</v>
      </c>
    </row>
    <row r="295" spans="2:28" x14ac:dyDescent="0.2">
      <c r="B295" s="30" t="s">
        <v>1719</v>
      </c>
      <c r="C295" s="36"/>
      <c r="D295" s="36"/>
      <c r="F295" s="1" t="s">
        <v>1322</v>
      </c>
      <c r="G295" s="1" t="s">
        <v>1920</v>
      </c>
      <c r="K295" s="1" t="s">
        <v>1921</v>
      </c>
      <c r="L295" s="1" t="s">
        <v>1279</v>
      </c>
      <c r="M295" s="1" t="s">
        <v>1922</v>
      </c>
      <c r="N295" s="1" t="s">
        <v>1287</v>
      </c>
      <c r="O295" s="1" t="s">
        <v>1549</v>
      </c>
      <c r="P295" s="34" t="str">
        <f t="shared" si="6"/>
        <v>F010</v>
      </c>
      <c r="Q295" s="1" t="s">
        <v>138</v>
      </c>
      <c r="S295" s="16">
        <v>20</v>
      </c>
      <c r="T295" s="1" t="s">
        <v>302</v>
      </c>
      <c r="U295" s="1" t="s">
        <v>1922</v>
      </c>
      <c r="V295" s="1" t="s">
        <v>1528</v>
      </c>
      <c r="Y295" s="1">
        <v>19156.8</v>
      </c>
      <c r="AB295" s="1">
        <v>19156.8</v>
      </c>
    </row>
    <row r="296" spans="2:28" x14ac:dyDescent="0.2">
      <c r="B296" s="30" t="s">
        <v>1719</v>
      </c>
      <c r="C296" s="36"/>
      <c r="D296" s="36"/>
      <c r="F296" s="1" t="s">
        <v>1895</v>
      </c>
      <c r="G296" s="1" t="s">
        <v>1923</v>
      </c>
      <c r="K296" s="1" t="s">
        <v>1924</v>
      </c>
      <c r="L296" s="1" t="s">
        <v>1279</v>
      </c>
      <c r="M296" s="1" t="s">
        <v>1922</v>
      </c>
      <c r="N296" s="1" t="s">
        <v>1708</v>
      </c>
      <c r="O296" s="1" t="s">
        <v>1897</v>
      </c>
      <c r="P296" s="34" t="str">
        <f t="shared" si="6"/>
        <v>F010</v>
      </c>
      <c r="Q296" s="1" t="s">
        <v>127</v>
      </c>
      <c r="S296" s="16">
        <v>20</v>
      </c>
      <c r="T296" s="1" t="s">
        <v>302</v>
      </c>
      <c r="U296" s="1" t="s">
        <v>1922</v>
      </c>
      <c r="V296" s="1" t="s">
        <v>1528</v>
      </c>
      <c r="Y296" s="1">
        <v>471880.06</v>
      </c>
      <c r="AB296" s="1">
        <v>471880.06</v>
      </c>
    </row>
    <row r="297" spans="2:28" x14ac:dyDescent="0.2">
      <c r="B297" s="30" t="s">
        <v>1719</v>
      </c>
      <c r="C297" s="36"/>
      <c r="D297" s="36"/>
      <c r="F297" s="1" t="s">
        <v>1322</v>
      </c>
      <c r="G297" s="1" t="s">
        <v>1925</v>
      </c>
      <c r="K297" s="1" t="s">
        <v>1926</v>
      </c>
      <c r="L297" s="1" t="s">
        <v>1279</v>
      </c>
      <c r="M297" s="1" t="s">
        <v>1861</v>
      </c>
      <c r="N297" s="1" t="s">
        <v>1287</v>
      </c>
      <c r="O297" s="1" t="s">
        <v>1549</v>
      </c>
      <c r="P297" s="34" t="str">
        <f t="shared" si="6"/>
        <v>F010</v>
      </c>
      <c r="Q297" s="1" t="s">
        <v>138</v>
      </c>
      <c r="S297" s="16">
        <v>20</v>
      </c>
      <c r="T297" s="1" t="s">
        <v>302</v>
      </c>
      <c r="U297" s="1" t="s">
        <v>1861</v>
      </c>
      <c r="V297" s="1" t="s">
        <v>1862</v>
      </c>
      <c r="Y297" s="1">
        <v>8240</v>
      </c>
      <c r="AB297" s="1">
        <v>8240</v>
      </c>
    </row>
    <row r="298" spans="2:28" x14ac:dyDescent="0.2">
      <c r="B298" s="30" t="s">
        <v>1719</v>
      </c>
      <c r="C298" s="36"/>
      <c r="D298" s="36"/>
      <c r="F298" s="1" t="s">
        <v>1895</v>
      </c>
      <c r="G298" s="1" t="s">
        <v>113</v>
      </c>
      <c r="K298" s="1" t="s">
        <v>1927</v>
      </c>
      <c r="L298" s="1" t="s">
        <v>1279</v>
      </c>
      <c r="M298" s="1" t="s">
        <v>1928</v>
      </c>
      <c r="N298" s="1" t="s">
        <v>1286</v>
      </c>
      <c r="O298" s="1" t="s">
        <v>1897</v>
      </c>
      <c r="P298" s="34" t="str">
        <f t="shared" si="6"/>
        <v>F010</v>
      </c>
      <c r="Q298" s="1" t="s">
        <v>129</v>
      </c>
      <c r="S298" s="16">
        <v>20</v>
      </c>
      <c r="T298" s="1" t="s">
        <v>302</v>
      </c>
      <c r="U298" s="1" t="s">
        <v>1928</v>
      </c>
      <c r="V298" s="1" t="s">
        <v>1929</v>
      </c>
      <c r="Y298" s="1">
        <v>5400</v>
      </c>
      <c r="AB298" s="1">
        <v>5400</v>
      </c>
    </row>
    <row r="299" spans="2:28" x14ac:dyDescent="0.2">
      <c r="B299" s="30" t="s">
        <v>1719</v>
      </c>
      <c r="C299" s="36"/>
      <c r="D299" s="36"/>
      <c r="F299" s="1" t="s">
        <v>1322</v>
      </c>
      <c r="G299" s="1" t="s">
        <v>113</v>
      </c>
      <c r="K299" s="1" t="s">
        <v>1930</v>
      </c>
      <c r="L299" s="1" t="s">
        <v>1279</v>
      </c>
      <c r="M299" s="1" t="s">
        <v>1928</v>
      </c>
      <c r="N299" s="1" t="s">
        <v>1287</v>
      </c>
      <c r="O299" s="1" t="s">
        <v>1549</v>
      </c>
      <c r="P299" s="34" t="str">
        <f t="shared" si="6"/>
        <v>F010</v>
      </c>
      <c r="Q299" s="1" t="s">
        <v>138</v>
      </c>
      <c r="S299" s="16">
        <v>20</v>
      </c>
      <c r="T299" s="1" t="s">
        <v>302</v>
      </c>
      <c r="U299" s="1" t="s">
        <v>1928</v>
      </c>
      <c r="V299" s="1" t="s">
        <v>1929</v>
      </c>
      <c r="Y299" s="1">
        <v>406843.94</v>
      </c>
      <c r="AB299" s="1">
        <v>406843.94</v>
      </c>
    </row>
    <row r="300" spans="2:28" x14ac:dyDescent="0.2">
      <c r="B300" s="30" t="s">
        <v>1719</v>
      </c>
      <c r="C300" s="36"/>
      <c r="D300" s="36"/>
      <c r="F300" s="1" t="s">
        <v>1895</v>
      </c>
      <c r="G300" s="1" t="s">
        <v>1931</v>
      </c>
      <c r="K300" s="1" t="s">
        <v>1932</v>
      </c>
      <c r="L300" s="1" t="s">
        <v>1279</v>
      </c>
      <c r="M300" s="1" t="s">
        <v>1750</v>
      </c>
      <c r="N300" s="1" t="s">
        <v>1287</v>
      </c>
      <c r="O300" s="1" t="s">
        <v>1897</v>
      </c>
      <c r="P300" s="34" t="str">
        <f t="shared" si="6"/>
        <v>F010</v>
      </c>
      <c r="Q300" s="1" t="s">
        <v>138</v>
      </c>
      <c r="S300" s="16">
        <v>20</v>
      </c>
      <c r="T300" s="1" t="s">
        <v>302</v>
      </c>
      <c r="U300" s="1" t="s">
        <v>1750</v>
      </c>
      <c r="V300" s="1" t="s">
        <v>1751</v>
      </c>
      <c r="Y300" s="1">
        <v>17537.3</v>
      </c>
      <c r="AB300" s="1">
        <v>17537.3</v>
      </c>
    </row>
    <row r="301" spans="2:28" x14ac:dyDescent="0.2">
      <c r="B301" s="30" t="s">
        <v>1719</v>
      </c>
      <c r="C301" s="36"/>
      <c r="D301" s="36"/>
      <c r="F301" s="1" t="s">
        <v>1322</v>
      </c>
      <c r="G301" s="1" t="s">
        <v>1933</v>
      </c>
      <c r="K301" s="1" t="s">
        <v>1934</v>
      </c>
      <c r="L301" s="1" t="s">
        <v>1279</v>
      </c>
      <c r="M301" s="1" t="s">
        <v>1750</v>
      </c>
      <c r="N301" s="1" t="s">
        <v>1287</v>
      </c>
      <c r="O301" s="1" t="s">
        <v>1549</v>
      </c>
      <c r="P301" s="34" t="str">
        <f t="shared" si="6"/>
        <v>F010</v>
      </c>
      <c r="Q301" s="1" t="s">
        <v>138</v>
      </c>
      <c r="S301" s="16">
        <v>20</v>
      </c>
      <c r="T301" s="1" t="s">
        <v>302</v>
      </c>
      <c r="U301" s="1" t="s">
        <v>1750</v>
      </c>
      <c r="V301" s="1" t="s">
        <v>1751</v>
      </c>
      <c r="Y301" s="1">
        <v>17243</v>
      </c>
      <c r="AB301" s="1">
        <v>17243</v>
      </c>
    </row>
    <row r="302" spans="2:28" x14ac:dyDescent="0.2">
      <c r="B302" s="30" t="s">
        <v>1719</v>
      </c>
      <c r="C302" s="36"/>
      <c r="D302" s="36"/>
      <c r="F302" s="1" t="s">
        <v>1895</v>
      </c>
      <c r="G302" s="1" t="s">
        <v>1935</v>
      </c>
      <c r="K302" s="1" t="s">
        <v>1936</v>
      </c>
      <c r="L302" s="1" t="s">
        <v>1279</v>
      </c>
      <c r="M302" s="1" t="s">
        <v>1724</v>
      </c>
      <c r="N302" s="1" t="s">
        <v>1287</v>
      </c>
      <c r="O302" s="1" t="s">
        <v>1897</v>
      </c>
      <c r="P302" s="34" t="str">
        <f t="shared" si="6"/>
        <v>F010</v>
      </c>
      <c r="Q302" s="1" t="s">
        <v>138</v>
      </c>
      <c r="S302" s="16">
        <v>20</v>
      </c>
      <c r="T302" s="1" t="s">
        <v>302</v>
      </c>
      <c r="U302" s="1" t="s">
        <v>1724</v>
      </c>
      <c r="V302" s="1" t="s">
        <v>1407</v>
      </c>
      <c r="Y302" s="1">
        <v>3202.92</v>
      </c>
      <c r="AB302" s="1">
        <v>3202.92</v>
      </c>
    </row>
    <row r="303" spans="2:28" x14ac:dyDescent="0.2">
      <c r="B303" s="30" t="s">
        <v>1719</v>
      </c>
      <c r="C303" s="36"/>
      <c r="D303" s="36"/>
      <c r="F303" s="1" t="s">
        <v>1322</v>
      </c>
      <c r="G303" s="1" t="s">
        <v>1937</v>
      </c>
      <c r="K303" s="1" t="s">
        <v>1938</v>
      </c>
      <c r="L303" s="1" t="s">
        <v>1279</v>
      </c>
      <c r="M303" s="1" t="s">
        <v>1456</v>
      </c>
      <c r="N303" s="1" t="s">
        <v>1286</v>
      </c>
      <c r="O303" s="1" t="s">
        <v>1549</v>
      </c>
      <c r="P303" s="34" t="str">
        <f t="shared" si="6"/>
        <v>F010</v>
      </c>
      <c r="Q303" s="1" t="s">
        <v>129</v>
      </c>
      <c r="S303" s="16">
        <v>20</v>
      </c>
      <c r="T303" s="1" t="s">
        <v>302</v>
      </c>
      <c r="U303" s="1" t="s">
        <v>1456</v>
      </c>
      <c r="V303" s="1" t="s">
        <v>1900</v>
      </c>
      <c r="Y303" s="1">
        <v>35192</v>
      </c>
      <c r="AB303" s="1">
        <v>35192</v>
      </c>
    </row>
    <row r="304" spans="2:28" x14ac:dyDescent="0.2">
      <c r="B304" s="30" t="s">
        <v>1719</v>
      </c>
      <c r="C304" s="36"/>
      <c r="D304" s="36"/>
      <c r="F304" s="1" t="s">
        <v>1895</v>
      </c>
      <c r="G304" s="1" t="s">
        <v>1939</v>
      </c>
      <c r="K304" s="1" t="s">
        <v>1940</v>
      </c>
      <c r="L304" s="1" t="s">
        <v>1279</v>
      </c>
      <c r="M304" s="1" t="s">
        <v>1941</v>
      </c>
      <c r="N304" s="1" t="s">
        <v>1287</v>
      </c>
      <c r="O304" s="1" t="s">
        <v>1897</v>
      </c>
      <c r="P304" s="34" t="str">
        <f t="shared" si="6"/>
        <v>F010</v>
      </c>
      <c r="Q304" s="1" t="s">
        <v>138</v>
      </c>
      <c r="S304" s="16">
        <v>20</v>
      </c>
      <c r="T304" s="1" t="s">
        <v>302</v>
      </c>
      <c r="U304" s="1" t="s">
        <v>1941</v>
      </c>
      <c r="V304" s="1" t="s">
        <v>1371</v>
      </c>
      <c r="Y304" s="1">
        <v>20000</v>
      </c>
      <c r="AB304" s="1">
        <v>20000</v>
      </c>
    </row>
    <row r="305" spans="2:28" x14ac:dyDescent="0.2">
      <c r="B305" s="30" t="s">
        <v>1719</v>
      </c>
      <c r="C305" s="36"/>
      <c r="D305" s="36"/>
      <c r="F305" s="1" t="s">
        <v>1322</v>
      </c>
      <c r="G305" s="1" t="s">
        <v>1942</v>
      </c>
      <c r="K305" s="1" t="s">
        <v>1943</v>
      </c>
      <c r="L305" s="1" t="s">
        <v>1279</v>
      </c>
      <c r="M305" s="1" t="s">
        <v>1468</v>
      </c>
      <c r="N305" s="1" t="s">
        <v>1944</v>
      </c>
      <c r="O305" s="1" t="s">
        <v>1549</v>
      </c>
      <c r="P305" s="34" t="str">
        <f t="shared" si="6"/>
        <v>F010</v>
      </c>
      <c r="Q305" s="1" t="s">
        <v>127</v>
      </c>
      <c r="S305" s="16">
        <v>20</v>
      </c>
      <c r="T305" s="1" t="s">
        <v>302</v>
      </c>
      <c r="U305" s="1" t="s">
        <v>1468</v>
      </c>
      <c r="V305" s="1" t="s">
        <v>1638</v>
      </c>
      <c r="Y305" s="1">
        <v>1376245.74</v>
      </c>
      <c r="AB305" s="1">
        <v>412873.74</v>
      </c>
    </row>
    <row r="306" spans="2:28" x14ac:dyDescent="0.2">
      <c r="B306" s="30" t="s">
        <v>1719</v>
      </c>
      <c r="C306" s="36"/>
      <c r="D306" s="36"/>
      <c r="F306" s="1" t="s">
        <v>1895</v>
      </c>
      <c r="G306" s="1" t="s">
        <v>1945</v>
      </c>
      <c r="K306" s="1" t="s">
        <v>1946</v>
      </c>
      <c r="L306" s="1" t="s">
        <v>1279</v>
      </c>
      <c r="M306" s="1" t="s">
        <v>1750</v>
      </c>
      <c r="N306" s="1" t="s">
        <v>1287</v>
      </c>
      <c r="O306" s="1" t="s">
        <v>1897</v>
      </c>
      <c r="P306" s="34" t="str">
        <f t="shared" si="6"/>
        <v>F010</v>
      </c>
      <c r="Q306" s="1" t="s">
        <v>138</v>
      </c>
      <c r="S306" s="16">
        <v>20</v>
      </c>
      <c r="T306" s="1" t="s">
        <v>302</v>
      </c>
      <c r="U306" s="1" t="s">
        <v>1750</v>
      </c>
      <c r="V306" s="1" t="s">
        <v>1751</v>
      </c>
      <c r="Y306" s="1">
        <v>26311.1</v>
      </c>
      <c r="AB306" s="1">
        <v>26311.1</v>
      </c>
    </row>
    <row r="307" spans="2:28" x14ac:dyDescent="0.2">
      <c r="B307" s="30" t="s">
        <v>1719</v>
      </c>
      <c r="C307" s="36"/>
      <c r="D307" s="36"/>
      <c r="F307" s="1" t="s">
        <v>1322</v>
      </c>
      <c r="G307" s="1" t="s">
        <v>1947</v>
      </c>
      <c r="K307" s="1" t="s">
        <v>1948</v>
      </c>
      <c r="L307" s="1" t="s">
        <v>1279</v>
      </c>
      <c r="M307" s="1" t="s">
        <v>1750</v>
      </c>
      <c r="N307" s="1" t="s">
        <v>1287</v>
      </c>
      <c r="O307" s="1" t="s">
        <v>1549</v>
      </c>
      <c r="P307" s="34" t="str">
        <f t="shared" si="6"/>
        <v>F010</v>
      </c>
      <c r="Q307" s="1" t="s">
        <v>138</v>
      </c>
      <c r="S307" s="16">
        <v>20</v>
      </c>
      <c r="T307" s="1" t="s">
        <v>302</v>
      </c>
      <c r="U307" s="1" t="s">
        <v>1750</v>
      </c>
      <c r="V307" s="1" t="s">
        <v>1751</v>
      </c>
      <c r="Y307" s="1">
        <v>25872.6</v>
      </c>
      <c r="AB307" s="1">
        <v>25872.6</v>
      </c>
    </row>
    <row r="308" spans="2:28" x14ac:dyDescent="0.2">
      <c r="B308" s="30" t="s">
        <v>1719</v>
      </c>
      <c r="C308" s="36"/>
      <c r="D308" s="36"/>
      <c r="F308" s="1" t="s">
        <v>1895</v>
      </c>
      <c r="G308" s="1" t="s">
        <v>1947</v>
      </c>
      <c r="K308" s="1" t="s">
        <v>1949</v>
      </c>
      <c r="L308" s="1" t="s">
        <v>1279</v>
      </c>
      <c r="M308" s="1" t="s">
        <v>1750</v>
      </c>
      <c r="N308" s="1" t="s">
        <v>1287</v>
      </c>
      <c r="O308" s="1" t="s">
        <v>1897</v>
      </c>
      <c r="P308" s="34" t="str">
        <f t="shared" si="6"/>
        <v>F010</v>
      </c>
      <c r="Q308" s="1" t="s">
        <v>138</v>
      </c>
      <c r="S308" s="16">
        <v>20</v>
      </c>
      <c r="T308" s="1" t="s">
        <v>302</v>
      </c>
      <c r="U308" s="1" t="s">
        <v>1750</v>
      </c>
      <c r="V308" s="1" t="s">
        <v>1751</v>
      </c>
      <c r="Y308" s="1">
        <v>25872.6</v>
      </c>
      <c r="AB308" s="1">
        <v>25872.6</v>
      </c>
    </row>
    <row r="309" spans="2:28" x14ac:dyDescent="0.2">
      <c r="B309" s="30" t="s">
        <v>1719</v>
      </c>
      <c r="C309" s="36"/>
      <c r="D309" s="36"/>
      <c r="F309" s="1" t="s">
        <v>1322</v>
      </c>
      <c r="G309" s="1" t="s">
        <v>1947</v>
      </c>
      <c r="K309" s="1" t="s">
        <v>1950</v>
      </c>
      <c r="L309" s="1" t="s">
        <v>1279</v>
      </c>
      <c r="M309" s="1" t="s">
        <v>1750</v>
      </c>
      <c r="N309" s="1" t="s">
        <v>1287</v>
      </c>
      <c r="O309" s="1" t="s">
        <v>1549</v>
      </c>
      <c r="P309" s="34" t="str">
        <f t="shared" si="6"/>
        <v>F010</v>
      </c>
      <c r="Q309" s="1" t="s">
        <v>138</v>
      </c>
      <c r="S309" s="16">
        <v>20</v>
      </c>
      <c r="T309" s="1" t="s">
        <v>302</v>
      </c>
      <c r="U309" s="1" t="s">
        <v>1750</v>
      </c>
      <c r="V309" s="1" t="s">
        <v>1751</v>
      </c>
      <c r="Y309" s="1">
        <v>25872.6</v>
      </c>
      <c r="AB309" s="1">
        <v>25872.6</v>
      </c>
    </row>
    <row r="310" spans="2:28" x14ac:dyDescent="0.2">
      <c r="B310" s="30" t="s">
        <v>1719</v>
      </c>
      <c r="C310" s="36"/>
      <c r="D310" s="36"/>
      <c r="F310" s="1" t="s">
        <v>1895</v>
      </c>
      <c r="G310" s="1" t="s">
        <v>1947</v>
      </c>
      <c r="K310" s="1" t="s">
        <v>1951</v>
      </c>
      <c r="L310" s="1" t="s">
        <v>1279</v>
      </c>
      <c r="M310" s="1" t="s">
        <v>1750</v>
      </c>
      <c r="N310" s="1" t="s">
        <v>1287</v>
      </c>
      <c r="O310" s="1" t="s">
        <v>1897</v>
      </c>
      <c r="P310" s="34" t="str">
        <f t="shared" si="6"/>
        <v>F010</v>
      </c>
      <c r="Q310" s="1" t="s">
        <v>138</v>
      </c>
      <c r="S310" s="16">
        <v>20</v>
      </c>
      <c r="T310" s="1" t="s">
        <v>302</v>
      </c>
      <c r="U310" s="1" t="s">
        <v>1750</v>
      </c>
      <c r="V310" s="1" t="s">
        <v>1751</v>
      </c>
      <c r="Y310" s="1">
        <v>25872.6</v>
      </c>
      <c r="AB310" s="1">
        <v>25872.6</v>
      </c>
    </row>
    <row r="311" spans="2:28" x14ac:dyDescent="0.2">
      <c r="B311" s="30" t="s">
        <v>1719</v>
      </c>
      <c r="C311" s="36"/>
      <c r="D311" s="36"/>
      <c r="F311" s="1" t="s">
        <v>1322</v>
      </c>
      <c r="G311" s="1" t="s">
        <v>1947</v>
      </c>
      <c r="K311" s="1" t="s">
        <v>1952</v>
      </c>
      <c r="L311" s="1" t="s">
        <v>1279</v>
      </c>
      <c r="M311" s="1" t="s">
        <v>1750</v>
      </c>
      <c r="N311" s="1" t="s">
        <v>1287</v>
      </c>
      <c r="O311" s="1" t="s">
        <v>1549</v>
      </c>
      <c r="P311" s="34" t="str">
        <f t="shared" si="6"/>
        <v>F010</v>
      </c>
      <c r="Q311" s="1" t="s">
        <v>138</v>
      </c>
      <c r="S311" s="16">
        <v>20</v>
      </c>
      <c r="T311" s="1" t="s">
        <v>302</v>
      </c>
      <c r="U311" s="1" t="s">
        <v>1750</v>
      </c>
      <c r="V311" s="1" t="s">
        <v>1751</v>
      </c>
      <c r="Y311" s="1">
        <v>25872.6</v>
      </c>
      <c r="AB311" s="1">
        <v>25872.6</v>
      </c>
    </row>
    <row r="312" spans="2:28" x14ac:dyDescent="0.2">
      <c r="B312" s="30" t="s">
        <v>1719</v>
      </c>
      <c r="C312" s="36"/>
      <c r="D312" s="36"/>
      <c r="F312" s="1" t="s">
        <v>1895</v>
      </c>
      <c r="G312" s="1" t="s">
        <v>1947</v>
      </c>
      <c r="K312" s="1" t="s">
        <v>1953</v>
      </c>
      <c r="L312" s="1" t="s">
        <v>1279</v>
      </c>
      <c r="M312" s="1" t="s">
        <v>1750</v>
      </c>
      <c r="N312" s="1" t="s">
        <v>1287</v>
      </c>
      <c r="O312" s="1" t="s">
        <v>1897</v>
      </c>
      <c r="P312" s="34" t="str">
        <f t="shared" si="6"/>
        <v>F010</v>
      </c>
      <c r="Q312" s="1" t="s">
        <v>138</v>
      </c>
      <c r="S312" s="16">
        <v>20</v>
      </c>
      <c r="T312" s="1" t="s">
        <v>302</v>
      </c>
      <c r="U312" s="1" t="s">
        <v>1750</v>
      </c>
      <c r="V312" s="1" t="s">
        <v>1751</v>
      </c>
      <c r="Y312" s="1">
        <v>25872.6</v>
      </c>
      <c r="AB312" s="1">
        <v>25872.6</v>
      </c>
    </row>
    <row r="313" spans="2:28" x14ac:dyDescent="0.2">
      <c r="B313" s="30" t="s">
        <v>1719</v>
      </c>
      <c r="C313" s="36"/>
      <c r="D313" s="36"/>
      <c r="F313" s="1" t="s">
        <v>1322</v>
      </c>
      <c r="G313" s="1" t="s">
        <v>1954</v>
      </c>
      <c r="K313" s="1" t="s">
        <v>1955</v>
      </c>
      <c r="L313" s="1" t="s">
        <v>1279</v>
      </c>
      <c r="M313" s="1" t="s">
        <v>1724</v>
      </c>
      <c r="N313" s="1" t="s">
        <v>1287</v>
      </c>
      <c r="O313" s="1" t="s">
        <v>1549</v>
      </c>
      <c r="P313" s="34" t="str">
        <f t="shared" si="6"/>
        <v>F010</v>
      </c>
      <c r="Q313" s="1" t="s">
        <v>138</v>
      </c>
      <c r="S313" s="16">
        <v>20</v>
      </c>
      <c r="T313" s="1" t="s">
        <v>302</v>
      </c>
      <c r="U313" s="1" t="s">
        <v>1724</v>
      </c>
      <c r="V313" s="1" t="s">
        <v>1956</v>
      </c>
      <c r="Y313" s="1">
        <v>2328</v>
      </c>
      <c r="AB313" s="1">
        <v>2328</v>
      </c>
    </row>
    <row r="314" spans="2:28" x14ac:dyDescent="0.2">
      <c r="B314" s="30" t="s">
        <v>1719</v>
      </c>
      <c r="C314" s="36"/>
      <c r="D314" s="36"/>
      <c r="F314" s="1" t="s">
        <v>1895</v>
      </c>
      <c r="G314" s="1" t="s">
        <v>1957</v>
      </c>
      <c r="K314" s="1" t="s">
        <v>1958</v>
      </c>
      <c r="L314" s="1" t="s">
        <v>1279</v>
      </c>
      <c r="M314" s="1" t="s">
        <v>1724</v>
      </c>
      <c r="N314" s="1" t="s">
        <v>1287</v>
      </c>
      <c r="O314" s="1" t="s">
        <v>1897</v>
      </c>
      <c r="P314" s="34" t="str">
        <f t="shared" ref="P314:P379" si="7">+LEFT(Q314,4)</f>
        <v>F010</v>
      </c>
      <c r="Q314" s="1" t="s">
        <v>138</v>
      </c>
      <c r="S314" s="16">
        <v>20</v>
      </c>
      <c r="T314" s="1" t="s">
        <v>302</v>
      </c>
      <c r="U314" s="1" t="s">
        <v>1724</v>
      </c>
      <c r="V314" s="1" t="s">
        <v>1959</v>
      </c>
      <c r="Y314" s="1">
        <v>15267.5</v>
      </c>
      <c r="AB314" s="1">
        <v>15267.5</v>
      </c>
    </row>
    <row r="315" spans="2:28" x14ac:dyDescent="0.2">
      <c r="B315" s="30" t="s">
        <v>1719</v>
      </c>
      <c r="C315" s="36"/>
      <c r="D315" s="36"/>
      <c r="F315" s="1" t="s">
        <v>1322</v>
      </c>
      <c r="G315" s="1" t="s">
        <v>1960</v>
      </c>
      <c r="K315" s="1" t="s">
        <v>1961</v>
      </c>
      <c r="L315" s="1" t="s">
        <v>1279</v>
      </c>
      <c r="M315" s="1" t="s">
        <v>1962</v>
      </c>
      <c r="N315" s="1" t="s">
        <v>1287</v>
      </c>
      <c r="O315" s="1" t="s">
        <v>1549</v>
      </c>
      <c r="P315" s="34" t="str">
        <f t="shared" si="7"/>
        <v>F010</v>
      </c>
      <c r="Q315" s="1" t="s">
        <v>138</v>
      </c>
      <c r="S315" s="16">
        <v>20</v>
      </c>
      <c r="T315" s="1" t="s">
        <v>302</v>
      </c>
      <c r="U315" s="1" t="s">
        <v>1962</v>
      </c>
      <c r="V315" s="1" t="s">
        <v>1963</v>
      </c>
      <c r="Y315" s="1">
        <v>74289</v>
      </c>
      <c r="AB315" s="1">
        <v>74289</v>
      </c>
    </row>
    <row r="316" spans="2:28" x14ac:dyDescent="0.2">
      <c r="B316" s="30" t="s">
        <v>1719</v>
      </c>
      <c r="C316" s="36"/>
      <c r="D316" s="36"/>
      <c r="F316" s="1" t="s">
        <v>1895</v>
      </c>
      <c r="G316" s="1" t="s">
        <v>1964</v>
      </c>
      <c r="K316" s="1" t="s">
        <v>1965</v>
      </c>
      <c r="L316" s="1" t="s">
        <v>1279</v>
      </c>
      <c r="M316" s="1" t="s">
        <v>1750</v>
      </c>
      <c r="N316" s="1" t="s">
        <v>1287</v>
      </c>
      <c r="O316" s="1" t="s">
        <v>1897</v>
      </c>
      <c r="P316" s="34" t="str">
        <f t="shared" si="7"/>
        <v>F010</v>
      </c>
      <c r="Q316" s="1" t="s">
        <v>138</v>
      </c>
      <c r="S316" s="16">
        <v>20</v>
      </c>
      <c r="T316" s="1" t="s">
        <v>302</v>
      </c>
      <c r="U316" s="1" t="s">
        <v>1750</v>
      </c>
      <c r="V316" s="1" t="s">
        <v>1751</v>
      </c>
      <c r="Y316" s="1">
        <v>65585</v>
      </c>
      <c r="AB316" s="1">
        <v>65585</v>
      </c>
    </row>
    <row r="317" spans="2:28" x14ac:dyDescent="0.2">
      <c r="B317" s="30" t="s">
        <v>1719</v>
      </c>
      <c r="C317" s="36"/>
      <c r="D317" s="36"/>
      <c r="F317" s="1" t="s">
        <v>1322</v>
      </c>
      <c r="G317" s="1" t="s">
        <v>1966</v>
      </c>
      <c r="K317" s="1" t="s">
        <v>1967</v>
      </c>
      <c r="L317" s="1" t="s">
        <v>1279</v>
      </c>
      <c r="M317" s="1" t="s">
        <v>1468</v>
      </c>
      <c r="N317" s="1" t="s">
        <v>1568</v>
      </c>
      <c r="O317" s="1" t="s">
        <v>1549</v>
      </c>
      <c r="P317" s="34" t="str">
        <f t="shared" si="7"/>
        <v>F010</v>
      </c>
      <c r="Q317" s="1" t="s">
        <v>127</v>
      </c>
      <c r="S317" s="16">
        <v>20</v>
      </c>
      <c r="T317" s="1" t="s">
        <v>302</v>
      </c>
      <c r="U317" s="1" t="s">
        <v>1468</v>
      </c>
      <c r="V317" s="1" t="s">
        <v>1638</v>
      </c>
      <c r="Y317" s="1">
        <v>4260165.2699999996</v>
      </c>
      <c r="AB317" s="1">
        <v>1278049.58</v>
      </c>
    </row>
    <row r="318" spans="2:28" x14ac:dyDescent="0.2">
      <c r="B318" s="30" t="s">
        <v>1719</v>
      </c>
      <c r="C318" s="36"/>
      <c r="D318" s="36"/>
      <c r="F318" s="1" t="s">
        <v>1895</v>
      </c>
      <c r="G318" s="1" t="s">
        <v>1968</v>
      </c>
      <c r="K318" s="1" t="s">
        <v>1969</v>
      </c>
      <c r="L318" s="1" t="s">
        <v>1279</v>
      </c>
      <c r="M318" s="1" t="s">
        <v>1861</v>
      </c>
      <c r="N318" s="1" t="s">
        <v>1286</v>
      </c>
      <c r="O318" s="1" t="s">
        <v>1897</v>
      </c>
      <c r="P318" s="34" t="str">
        <f t="shared" si="7"/>
        <v>F010</v>
      </c>
      <c r="Q318" s="1" t="s">
        <v>129</v>
      </c>
      <c r="S318" s="16">
        <v>20</v>
      </c>
      <c r="T318" s="1" t="s">
        <v>302</v>
      </c>
      <c r="U318" s="1" t="s">
        <v>1861</v>
      </c>
      <c r="V318" s="1" t="s">
        <v>1862</v>
      </c>
      <c r="Y318" s="1">
        <v>25000</v>
      </c>
      <c r="AB318" s="1">
        <v>25000</v>
      </c>
    </row>
    <row r="319" spans="2:28" x14ac:dyDescent="0.2">
      <c r="B319" s="30" t="s">
        <v>1719</v>
      </c>
      <c r="C319" s="36"/>
      <c r="D319" s="36"/>
      <c r="F319" s="1" t="s">
        <v>1322</v>
      </c>
      <c r="G319" s="1" t="s">
        <v>1970</v>
      </c>
      <c r="K319" s="1" t="s">
        <v>1971</v>
      </c>
      <c r="L319" s="1" t="s">
        <v>1279</v>
      </c>
      <c r="M319" s="1" t="s">
        <v>1962</v>
      </c>
      <c r="N319" s="1" t="s">
        <v>1286</v>
      </c>
      <c r="O319" s="1" t="s">
        <v>1549</v>
      </c>
      <c r="P319" s="34" t="str">
        <f t="shared" si="7"/>
        <v>F010</v>
      </c>
      <c r="Q319" s="1" t="s">
        <v>129</v>
      </c>
      <c r="S319" s="16">
        <v>20</v>
      </c>
      <c r="T319" s="1" t="s">
        <v>302</v>
      </c>
      <c r="U319" s="1" t="s">
        <v>1962</v>
      </c>
      <c r="V319" s="1" t="s">
        <v>1963</v>
      </c>
      <c r="Y319" s="1">
        <v>130000</v>
      </c>
      <c r="AB319" s="1">
        <v>130000</v>
      </c>
    </row>
    <row r="320" spans="2:28" x14ac:dyDescent="0.2">
      <c r="B320" s="30" t="s">
        <v>1719</v>
      </c>
      <c r="C320" s="36"/>
      <c r="D320" s="36"/>
      <c r="F320" s="1" t="s">
        <v>1895</v>
      </c>
      <c r="G320" s="1" t="s">
        <v>1972</v>
      </c>
      <c r="K320" s="1" t="s">
        <v>1973</v>
      </c>
      <c r="L320" s="1" t="s">
        <v>1279</v>
      </c>
      <c r="M320" s="1" t="s">
        <v>1799</v>
      </c>
      <c r="N320" s="1" t="s">
        <v>1287</v>
      </c>
      <c r="O320" s="1" t="s">
        <v>1897</v>
      </c>
      <c r="P320" s="34" t="str">
        <f t="shared" si="7"/>
        <v>F010</v>
      </c>
      <c r="Q320" s="1" t="s">
        <v>138</v>
      </c>
      <c r="S320" s="16">
        <v>20</v>
      </c>
      <c r="T320" s="1" t="s">
        <v>302</v>
      </c>
      <c r="U320" s="1" t="s">
        <v>1799</v>
      </c>
      <c r="V320" s="1" t="s">
        <v>1821</v>
      </c>
      <c r="Y320" s="1">
        <v>268875</v>
      </c>
      <c r="AB320" s="1">
        <v>268875</v>
      </c>
    </row>
    <row r="321" spans="2:28" x14ac:dyDescent="0.2">
      <c r="B321" s="30" t="s">
        <v>1719</v>
      </c>
      <c r="C321" s="36"/>
      <c r="D321" s="36"/>
      <c r="F321" s="1" t="s">
        <v>1322</v>
      </c>
      <c r="G321" s="1" t="s">
        <v>1974</v>
      </c>
      <c r="K321" s="1" t="s">
        <v>1975</v>
      </c>
      <c r="L321" s="1" t="s">
        <v>1279</v>
      </c>
      <c r="M321" s="1" t="s">
        <v>1976</v>
      </c>
      <c r="N321" s="1" t="s">
        <v>1286</v>
      </c>
      <c r="O321" s="1" t="s">
        <v>1549</v>
      </c>
      <c r="P321" s="34" t="str">
        <f t="shared" si="7"/>
        <v>F010</v>
      </c>
      <c r="Q321" s="1" t="s">
        <v>129</v>
      </c>
      <c r="S321" s="16">
        <v>20</v>
      </c>
      <c r="T321" s="1" t="s">
        <v>302</v>
      </c>
      <c r="U321" s="1" t="s">
        <v>1976</v>
      </c>
      <c r="V321" s="1" t="s">
        <v>1977</v>
      </c>
      <c r="Y321" s="1">
        <v>15710</v>
      </c>
      <c r="AB321" s="1">
        <v>15710</v>
      </c>
    </row>
    <row r="322" spans="2:28" x14ac:dyDescent="0.2">
      <c r="B322" s="30" t="s">
        <v>1719</v>
      </c>
      <c r="C322" s="36"/>
      <c r="D322" s="36"/>
      <c r="F322" s="1" t="s">
        <v>1895</v>
      </c>
      <c r="G322" s="1" t="s">
        <v>1978</v>
      </c>
      <c r="K322" s="1" t="s">
        <v>1979</v>
      </c>
      <c r="L322" s="1" t="s">
        <v>1279</v>
      </c>
      <c r="M322" s="1" t="s">
        <v>1976</v>
      </c>
      <c r="N322" s="1" t="s">
        <v>1287</v>
      </c>
      <c r="O322" s="1" t="s">
        <v>1897</v>
      </c>
      <c r="P322" s="34" t="str">
        <f t="shared" si="7"/>
        <v>F010</v>
      </c>
      <c r="Q322" s="1" t="s">
        <v>138</v>
      </c>
      <c r="S322" s="16">
        <v>20</v>
      </c>
      <c r="T322" s="1" t="s">
        <v>302</v>
      </c>
      <c r="U322" s="1" t="s">
        <v>1976</v>
      </c>
      <c r="V322" s="1" t="s">
        <v>1977</v>
      </c>
      <c r="Y322" s="1">
        <v>24285</v>
      </c>
      <c r="AB322" s="1">
        <v>24285</v>
      </c>
    </row>
    <row r="323" spans="2:28" x14ac:dyDescent="0.2">
      <c r="B323" s="30" t="s">
        <v>1719</v>
      </c>
      <c r="C323" s="36"/>
      <c r="D323" s="36"/>
      <c r="F323" s="1" t="s">
        <v>1322</v>
      </c>
      <c r="G323" s="1" t="s">
        <v>1980</v>
      </c>
      <c r="K323" s="1" t="s">
        <v>1981</v>
      </c>
      <c r="L323" s="1" t="s">
        <v>1279</v>
      </c>
      <c r="M323" s="1" t="s">
        <v>1976</v>
      </c>
      <c r="N323" s="1" t="s">
        <v>1287</v>
      </c>
      <c r="O323" s="1" t="s">
        <v>1549</v>
      </c>
      <c r="P323" s="34" t="str">
        <f t="shared" si="7"/>
        <v>F010</v>
      </c>
      <c r="Q323" s="1" t="s">
        <v>138</v>
      </c>
      <c r="S323" s="16">
        <v>20</v>
      </c>
      <c r="T323" s="1" t="s">
        <v>302</v>
      </c>
      <c r="U323" s="1" t="s">
        <v>1976</v>
      </c>
      <c r="V323" s="1" t="s">
        <v>1977</v>
      </c>
      <c r="Y323" s="1">
        <v>53770</v>
      </c>
      <c r="AB323" s="1">
        <v>53770</v>
      </c>
    </row>
    <row r="324" spans="2:28" x14ac:dyDescent="0.2">
      <c r="B324" s="30" t="s">
        <v>1719</v>
      </c>
      <c r="C324" s="36"/>
      <c r="D324" s="36"/>
      <c r="F324" s="1" t="s">
        <v>1895</v>
      </c>
      <c r="G324" s="1" t="s">
        <v>1982</v>
      </c>
      <c r="K324" s="1" t="s">
        <v>1983</v>
      </c>
      <c r="L324" s="1" t="s">
        <v>1279</v>
      </c>
      <c r="M324" s="1" t="s">
        <v>1976</v>
      </c>
      <c r="N324" s="1" t="s">
        <v>1287</v>
      </c>
      <c r="O324" s="1" t="s">
        <v>1897</v>
      </c>
      <c r="P324" s="34" t="str">
        <f t="shared" si="7"/>
        <v>F010</v>
      </c>
      <c r="Q324" s="1" t="s">
        <v>138</v>
      </c>
      <c r="S324" s="16">
        <v>20</v>
      </c>
      <c r="T324" s="1" t="s">
        <v>302</v>
      </c>
      <c r="U324" s="1" t="s">
        <v>1976</v>
      </c>
      <c r="V324" s="1" t="s">
        <v>1977</v>
      </c>
      <c r="Y324" s="1">
        <v>26900</v>
      </c>
      <c r="AB324" s="1">
        <v>26900</v>
      </c>
    </row>
    <row r="325" spans="2:28" x14ac:dyDescent="0.2">
      <c r="B325" s="30" t="s">
        <v>1984</v>
      </c>
      <c r="C325" s="36"/>
      <c r="D325" s="36"/>
      <c r="F325" s="1" t="s">
        <v>1322</v>
      </c>
      <c r="G325" s="1" t="s">
        <v>1985</v>
      </c>
      <c r="K325" s="1" t="s">
        <v>1986</v>
      </c>
      <c r="L325" s="1" t="s">
        <v>1279</v>
      </c>
      <c r="M325" s="1" t="s">
        <v>1334</v>
      </c>
      <c r="N325" s="1" t="s">
        <v>1788</v>
      </c>
      <c r="O325" s="1" t="s">
        <v>1549</v>
      </c>
      <c r="P325" s="34" t="str">
        <f t="shared" si="7"/>
        <v>F010</v>
      </c>
      <c r="Q325" s="1" t="s">
        <v>127</v>
      </c>
      <c r="S325" s="16">
        <v>20</v>
      </c>
      <c r="T325" s="1" t="s">
        <v>302</v>
      </c>
      <c r="U325" s="1" t="s">
        <v>1334</v>
      </c>
      <c r="V325" s="1" t="s">
        <v>1987</v>
      </c>
      <c r="Y325" s="1">
        <v>14734.63</v>
      </c>
      <c r="AB325" s="1">
        <v>5402.76</v>
      </c>
    </row>
    <row r="326" spans="2:28" x14ac:dyDescent="0.2">
      <c r="B326" s="30" t="s">
        <v>1984</v>
      </c>
      <c r="C326" s="36"/>
      <c r="D326" s="36"/>
      <c r="F326" s="1" t="s">
        <v>1895</v>
      </c>
      <c r="G326" s="1" t="s">
        <v>1988</v>
      </c>
      <c r="K326" s="1" t="s">
        <v>1989</v>
      </c>
      <c r="L326" s="1" t="s">
        <v>1279</v>
      </c>
      <c r="M326" s="1" t="s">
        <v>1990</v>
      </c>
      <c r="N326" s="1" t="s">
        <v>1287</v>
      </c>
      <c r="O326" s="1" t="s">
        <v>1897</v>
      </c>
      <c r="P326" s="34" t="str">
        <f t="shared" si="7"/>
        <v>F010</v>
      </c>
      <c r="Q326" s="1" t="s">
        <v>138</v>
      </c>
      <c r="S326" s="16">
        <v>20</v>
      </c>
      <c r="T326" s="1" t="s">
        <v>302</v>
      </c>
      <c r="U326" s="1" t="s">
        <v>1990</v>
      </c>
      <c r="V326" s="1" t="s">
        <v>1991</v>
      </c>
      <c r="Y326" s="1">
        <v>528866.31999999995</v>
      </c>
      <c r="AB326" s="1">
        <v>26443.32</v>
      </c>
    </row>
    <row r="327" spans="2:28" x14ac:dyDescent="0.2">
      <c r="B327" s="30" t="s">
        <v>1984</v>
      </c>
      <c r="C327" s="36"/>
      <c r="D327" s="36"/>
      <c r="F327" s="1" t="s">
        <v>1322</v>
      </c>
      <c r="G327" s="1" t="s">
        <v>1992</v>
      </c>
      <c r="K327" s="1" t="s">
        <v>1993</v>
      </c>
      <c r="L327" s="1" t="s">
        <v>1279</v>
      </c>
      <c r="M327" s="1" t="s">
        <v>1994</v>
      </c>
      <c r="N327" s="1" t="s">
        <v>1287</v>
      </c>
      <c r="O327" s="1" t="s">
        <v>1549</v>
      </c>
      <c r="P327" s="34" t="str">
        <f t="shared" si="7"/>
        <v>F010</v>
      </c>
      <c r="Q327" s="1" t="s">
        <v>138</v>
      </c>
      <c r="S327" s="16">
        <v>20</v>
      </c>
      <c r="T327" s="1" t="s">
        <v>302</v>
      </c>
      <c r="U327" s="1" t="s">
        <v>1994</v>
      </c>
      <c r="V327" s="1" t="s">
        <v>1533</v>
      </c>
      <c r="Y327" s="1">
        <v>440000</v>
      </c>
      <c r="AB327" s="1">
        <v>440000</v>
      </c>
    </row>
    <row r="328" spans="2:28" x14ac:dyDescent="0.2">
      <c r="B328" s="30" t="s">
        <v>1984</v>
      </c>
      <c r="C328" s="36"/>
      <c r="D328" s="36"/>
      <c r="F328" s="1" t="s">
        <v>1895</v>
      </c>
      <c r="G328" s="1" t="s">
        <v>1995</v>
      </c>
      <c r="K328" s="1" t="s">
        <v>1996</v>
      </c>
      <c r="L328" s="1" t="s">
        <v>1279</v>
      </c>
      <c r="M328" s="1" t="s">
        <v>1516</v>
      </c>
      <c r="N328" s="1" t="s">
        <v>1294</v>
      </c>
      <c r="O328" s="1" t="s">
        <v>1897</v>
      </c>
      <c r="P328" s="34" t="str">
        <f t="shared" si="7"/>
        <v>F010</v>
      </c>
      <c r="Q328" s="1" t="s">
        <v>127</v>
      </c>
      <c r="S328" s="16">
        <v>20</v>
      </c>
      <c r="T328" s="1" t="s">
        <v>302</v>
      </c>
      <c r="U328" s="1" t="s">
        <v>1516</v>
      </c>
      <c r="V328" s="1" t="s">
        <v>1503</v>
      </c>
      <c r="Y328" s="1">
        <v>681475</v>
      </c>
      <c r="AB328" s="1">
        <v>681475</v>
      </c>
    </row>
    <row r="329" spans="2:28" x14ac:dyDescent="0.2">
      <c r="B329" s="30" t="s">
        <v>1984</v>
      </c>
      <c r="C329" s="36"/>
      <c r="D329" s="36"/>
      <c r="F329" s="1" t="s">
        <v>1322</v>
      </c>
      <c r="G329" s="1" t="s">
        <v>1997</v>
      </c>
      <c r="K329" s="1" t="s">
        <v>1998</v>
      </c>
      <c r="L329" s="1" t="s">
        <v>1279</v>
      </c>
      <c r="M329" s="1" t="s">
        <v>1999</v>
      </c>
      <c r="N329" s="1" t="s">
        <v>1284</v>
      </c>
      <c r="O329" s="1" t="s">
        <v>1549</v>
      </c>
      <c r="P329" s="34" t="str">
        <f t="shared" si="7"/>
        <v>F010</v>
      </c>
      <c r="Q329" s="1" t="s">
        <v>127</v>
      </c>
      <c r="S329" s="16">
        <v>20</v>
      </c>
      <c r="T329" s="1" t="s">
        <v>302</v>
      </c>
      <c r="U329" s="1" t="s">
        <v>1999</v>
      </c>
      <c r="V329" s="1" t="s">
        <v>1716</v>
      </c>
      <c r="Y329" s="1">
        <v>8500</v>
      </c>
      <c r="AB329" s="1">
        <v>4108.3999999999996</v>
      </c>
    </row>
    <row r="330" spans="2:28" x14ac:dyDescent="0.2">
      <c r="B330" s="30" t="s">
        <v>1984</v>
      </c>
      <c r="C330" s="36"/>
      <c r="D330" s="36"/>
      <c r="F330" s="1" t="s">
        <v>1895</v>
      </c>
      <c r="G330" s="1" t="s">
        <v>2000</v>
      </c>
      <c r="K330" s="1" t="s">
        <v>2001</v>
      </c>
      <c r="L330" s="1" t="s">
        <v>1279</v>
      </c>
      <c r="M330" s="1" t="s">
        <v>1467</v>
      </c>
      <c r="N330" s="1" t="s">
        <v>1287</v>
      </c>
      <c r="O330" s="1" t="s">
        <v>1897</v>
      </c>
      <c r="P330" s="34" t="str">
        <f t="shared" si="7"/>
        <v>F010</v>
      </c>
      <c r="Q330" s="1" t="s">
        <v>138</v>
      </c>
      <c r="S330" s="16">
        <v>20</v>
      </c>
      <c r="T330" s="1" t="s">
        <v>302</v>
      </c>
      <c r="U330" s="1" t="s">
        <v>1467</v>
      </c>
      <c r="V330" s="1" t="s">
        <v>1468</v>
      </c>
      <c r="Y330" s="1">
        <v>211817.07</v>
      </c>
      <c r="AB330" s="1">
        <v>211817.07</v>
      </c>
    </row>
    <row r="331" spans="2:28" x14ac:dyDescent="0.2">
      <c r="B331" s="30" t="s">
        <v>1984</v>
      </c>
      <c r="C331" s="36"/>
      <c r="D331" s="36"/>
      <c r="F331" s="1" t="s">
        <v>1322</v>
      </c>
      <c r="G331" s="1" t="s">
        <v>2002</v>
      </c>
      <c r="K331" s="1" t="s">
        <v>2003</v>
      </c>
      <c r="L331" s="1" t="s">
        <v>1279</v>
      </c>
      <c r="M331" s="1" t="s">
        <v>1467</v>
      </c>
      <c r="N331" s="1" t="s">
        <v>1287</v>
      </c>
      <c r="O331" s="1" t="s">
        <v>1549</v>
      </c>
      <c r="P331" s="34" t="str">
        <f t="shared" si="7"/>
        <v>F010</v>
      </c>
      <c r="Q331" s="1" t="s">
        <v>138</v>
      </c>
      <c r="S331" s="16">
        <v>20</v>
      </c>
      <c r="T331" s="1" t="s">
        <v>302</v>
      </c>
      <c r="U331" s="1" t="s">
        <v>1467</v>
      </c>
      <c r="V331" s="1" t="s">
        <v>1468</v>
      </c>
      <c r="Y331" s="1">
        <v>9000</v>
      </c>
      <c r="AB331" s="1">
        <v>9000</v>
      </c>
    </row>
    <row r="332" spans="2:28" x14ac:dyDescent="0.2">
      <c r="B332" s="30" t="s">
        <v>1984</v>
      </c>
      <c r="C332" s="36"/>
      <c r="D332" s="36"/>
      <c r="F332" s="1" t="s">
        <v>1895</v>
      </c>
      <c r="G332" s="1" t="s">
        <v>2004</v>
      </c>
      <c r="K332" s="1" t="s">
        <v>2005</v>
      </c>
      <c r="L332" s="1" t="s">
        <v>1279</v>
      </c>
      <c r="M332" s="1" t="s">
        <v>2006</v>
      </c>
      <c r="N332" s="1" t="s">
        <v>1287</v>
      </c>
      <c r="O332" s="1" t="s">
        <v>1897</v>
      </c>
      <c r="P332" s="34" t="str">
        <f t="shared" si="7"/>
        <v>F010</v>
      </c>
      <c r="Q332" s="1" t="s">
        <v>138</v>
      </c>
      <c r="S332" s="16">
        <v>20</v>
      </c>
      <c r="T332" s="1" t="s">
        <v>302</v>
      </c>
      <c r="U332" s="1" t="s">
        <v>2006</v>
      </c>
      <c r="V332" s="1" t="s">
        <v>2007</v>
      </c>
      <c r="Y332" s="1">
        <v>510044.19</v>
      </c>
      <c r="AB332" s="1">
        <v>102008.88</v>
      </c>
    </row>
    <row r="333" spans="2:28" x14ac:dyDescent="0.2">
      <c r="B333" s="30" t="s">
        <v>1984</v>
      </c>
      <c r="C333" s="36"/>
      <c r="D333" s="36"/>
      <c r="F333" s="1" t="s">
        <v>1322</v>
      </c>
      <c r="G333" s="1" t="s">
        <v>2008</v>
      </c>
      <c r="K333" s="1" t="s">
        <v>2009</v>
      </c>
      <c r="L333" s="1" t="s">
        <v>1279</v>
      </c>
      <c r="M333" s="1" t="s">
        <v>1459</v>
      </c>
      <c r="N333" s="1" t="s">
        <v>1287</v>
      </c>
      <c r="O333" s="1" t="s">
        <v>1549</v>
      </c>
      <c r="P333" s="34" t="str">
        <f t="shared" si="7"/>
        <v>F010</v>
      </c>
      <c r="Q333" s="1" t="s">
        <v>138</v>
      </c>
      <c r="S333" s="16">
        <v>20</v>
      </c>
      <c r="T333" s="1" t="s">
        <v>302</v>
      </c>
      <c r="U333" s="1" t="s">
        <v>1459</v>
      </c>
      <c r="V333" s="1" t="s">
        <v>1436</v>
      </c>
      <c r="Y333" s="1">
        <v>153573.17000000001</v>
      </c>
      <c r="AB333" s="1">
        <v>153573.17000000001</v>
      </c>
    </row>
    <row r="334" spans="2:28" x14ac:dyDescent="0.2">
      <c r="B334" s="30" t="s">
        <v>1984</v>
      </c>
      <c r="C334" s="36"/>
      <c r="D334" s="36"/>
      <c r="F334" s="1" t="s">
        <v>1895</v>
      </c>
      <c r="G334" s="1" t="s">
        <v>2010</v>
      </c>
      <c r="K334" s="1" t="s">
        <v>2011</v>
      </c>
      <c r="L334" s="1" t="s">
        <v>1279</v>
      </c>
      <c r="M334" s="1" t="s">
        <v>1459</v>
      </c>
      <c r="N334" s="1" t="s">
        <v>1287</v>
      </c>
      <c r="O334" s="1" t="s">
        <v>1897</v>
      </c>
      <c r="P334" s="34" t="str">
        <f t="shared" si="7"/>
        <v>F010</v>
      </c>
      <c r="Q334" s="1" t="s">
        <v>138</v>
      </c>
      <c r="S334" s="16">
        <v>20</v>
      </c>
      <c r="T334" s="1" t="s">
        <v>302</v>
      </c>
      <c r="U334" s="1" t="s">
        <v>1459</v>
      </c>
      <c r="V334" s="1" t="s">
        <v>1436</v>
      </c>
      <c r="Y334" s="1">
        <v>134037.51999999999</v>
      </c>
      <c r="AB334" s="1">
        <v>134037.51999999999</v>
      </c>
    </row>
    <row r="335" spans="2:28" x14ac:dyDescent="0.2">
      <c r="B335" s="30" t="s">
        <v>1984</v>
      </c>
      <c r="C335" s="36"/>
      <c r="D335" s="36"/>
      <c r="F335" s="1" t="s">
        <v>1322</v>
      </c>
      <c r="G335" s="1" t="s">
        <v>2012</v>
      </c>
      <c r="K335" s="1" t="s">
        <v>2013</v>
      </c>
      <c r="L335" s="1" t="s">
        <v>1279</v>
      </c>
      <c r="M335" s="1" t="s">
        <v>2014</v>
      </c>
      <c r="N335" s="1" t="s">
        <v>1287</v>
      </c>
      <c r="O335" s="1" t="s">
        <v>1549</v>
      </c>
      <c r="P335" s="34" t="str">
        <f t="shared" si="7"/>
        <v>F010</v>
      </c>
      <c r="Q335" s="1" t="s">
        <v>127</v>
      </c>
      <c r="S335" s="16">
        <v>20</v>
      </c>
      <c r="T335" s="1" t="s">
        <v>302</v>
      </c>
      <c r="U335" s="1" t="s">
        <v>2014</v>
      </c>
      <c r="V335" s="1" t="s">
        <v>2015</v>
      </c>
      <c r="Y335" s="1">
        <v>331581.93</v>
      </c>
      <c r="AB335" s="1">
        <v>127106.44</v>
      </c>
    </row>
    <row r="336" spans="2:28" s="58" customFormat="1" x14ac:dyDescent="0.2">
      <c r="B336" s="56" t="s">
        <v>1984</v>
      </c>
      <c r="C336" s="57">
        <v>65000</v>
      </c>
      <c r="D336" s="48">
        <f>+C336/100000</f>
        <v>0.65</v>
      </c>
      <c r="E336" s="58" t="s">
        <v>1331</v>
      </c>
      <c r="F336" s="58" t="s">
        <v>1895</v>
      </c>
      <c r="G336" s="58" t="s">
        <v>2016</v>
      </c>
      <c r="K336" s="58" t="s">
        <v>2017</v>
      </c>
      <c r="L336" s="58" t="s">
        <v>1279</v>
      </c>
      <c r="M336" s="58" t="s">
        <v>1460</v>
      </c>
      <c r="N336" s="58" t="s">
        <v>1708</v>
      </c>
      <c r="O336" s="58" t="s">
        <v>1897</v>
      </c>
      <c r="P336" s="58" t="str">
        <f t="shared" si="7"/>
        <v>F010</v>
      </c>
      <c r="Q336" s="58" t="s">
        <v>127</v>
      </c>
      <c r="S336" s="59">
        <v>20</v>
      </c>
      <c r="T336" s="58" t="s">
        <v>302</v>
      </c>
      <c r="U336" s="58" t="s">
        <v>1460</v>
      </c>
      <c r="V336" s="58" t="s">
        <v>1755</v>
      </c>
      <c r="Y336" s="58">
        <v>32262.65</v>
      </c>
      <c r="AB336" s="58">
        <v>12905.1</v>
      </c>
    </row>
    <row r="337" spans="2:28" s="58" customFormat="1" x14ac:dyDescent="0.2">
      <c r="B337" s="56" t="s">
        <v>1984</v>
      </c>
      <c r="C337" s="57">
        <v>35000</v>
      </c>
      <c r="D337" s="48">
        <f>+C337/100000</f>
        <v>0.35</v>
      </c>
      <c r="E337" s="58" t="s">
        <v>1337</v>
      </c>
      <c r="F337" s="58" t="s">
        <v>1322</v>
      </c>
      <c r="G337" s="58" t="s">
        <v>2016</v>
      </c>
      <c r="K337" s="58" t="s">
        <v>2017</v>
      </c>
      <c r="L337" s="58" t="s">
        <v>1279</v>
      </c>
      <c r="M337" s="58" t="s">
        <v>1460</v>
      </c>
      <c r="N337" s="58" t="s">
        <v>2495</v>
      </c>
      <c r="O337" s="58" t="s">
        <v>1549</v>
      </c>
      <c r="P337" s="58" t="str">
        <f t="shared" si="7"/>
        <v>F010</v>
      </c>
      <c r="Q337" s="58" t="s">
        <v>127</v>
      </c>
      <c r="S337" s="59">
        <v>20</v>
      </c>
      <c r="T337" s="58" t="s">
        <v>302</v>
      </c>
      <c r="U337" s="58" t="s">
        <v>1460</v>
      </c>
      <c r="V337" s="58" t="s">
        <v>1755</v>
      </c>
      <c r="Y337" s="58">
        <v>17372.2</v>
      </c>
      <c r="AB337" s="58">
        <v>6948.9</v>
      </c>
    </row>
    <row r="338" spans="2:28" x14ac:dyDescent="0.2">
      <c r="B338" s="30" t="s">
        <v>1984</v>
      </c>
      <c r="C338" s="36"/>
      <c r="D338" s="36"/>
      <c r="F338" s="1" t="s">
        <v>1895</v>
      </c>
      <c r="G338" s="1" t="s">
        <v>2018</v>
      </c>
      <c r="K338" s="1" t="s">
        <v>2019</v>
      </c>
      <c r="L338" s="1" t="s">
        <v>1279</v>
      </c>
      <c r="M338" s="1" t="s">
        <v>1511</v>
      </c>
      <c r="N338" s="1" t="s">
        <v>1287</v>
      </c>
      <c r="O338" s="1" t="s">
        <v>1897</v>
      </c>
      <c r="P338" s="34" t="str">
        <f t="shared" si="7"/>
        <v>F010</v>
      </c>
      <c r="Q338" s="1" t="s">
        <v>127</v>
      </c>
      <c r="S338" s="16">
        <v>20</v>
      </c>
      <c r="T338" s="1" t="s">
        <v>302</v>
      </c>
      <c r="U338" s="1" t="s">
        <v>1511</v>
      </c>
      <c r="V338" s="1" t="s">
        <v>1617</v>
      </c>
      <c r="Y338" s="1">
        <v>5133.33</v>
      </c>
      <c r="AB338" s="1">
        <v>1625.6</v>
      </c>
    </row>
    <row r="339" spans="2:28" x14ac:dyDescent="0.2">
      <c r="B339" s="30" t="s">
        <v>1984</v>
      </c>
      <c r="C339" s="36"/>
      <c r="D339" s="36"/>
      <c r="F339" s="1" t="s">
        <v>1322</v>
      </c>
      <c r="G339" s="1" t="s">
        <v>2020</v>
      </c>
      <c r="K339" s="1" t="s">
        <v>2021</v>
      </c>
      <c r="L339" s="1" t="s">
        <v>1279</v>
      </c>
      <c r="M339" s="1" t="s">
        <v>2022</v>
      </c>
      <c r="N339" s="1" t="s">
        <v>1287</v>
      </c>
      <c r="O339" s="1" t="s">
        <v>1549</v>
      </c>
      <c r="P339" s="34" t="str">
        <f t="shared" si="7"/>
        <v>F010</v>
      </c>
      <c r="Q339" s="1" t="s">
        <v>138</v>
      </c>
      <c r="S339" s="16">
        <v>20</v>
      </c>
      <c r="T339" s="1" t="s">
        <v>302</v>
      </c>
      <c r="U339" s="1" t="s">
        <v>2022</v>
      </c>
      <c r="V339" s="1" t="s">
        <v>2023</v>
      </c>
      <c r="Y339" s="1">
        <v>193872.42</v>
      </c>
      <c r="AB339" s="1">
        <v>193872.42</v>
      </c>
    </row>
    <row r="340" spans="2:28" x14ac:dyDescent="0.2">
      <c r="B340" s="30" t="s">
        <v>1984</v>
      </c>
      <c r="C340" s="36"/>
      <c r="D340" s="36"/>
      <c r="F340" s="1" t="s">
        <v>1895</v>
      </c>
      <c r="G340" s="1" t="s">
        <v>2024</v>
      </c>
      <c r="K340" s="1" t="s">
        <v>2025</v>
      </c>
      <c r="L340" s="1" t="s">
        <v>1279</v>
      </c>
      <c r="M340" s="1" t="s">
        <v>1467</v>
      </c>
      <c r="N340" s="1" t="s">
        <v>1287</v>
      </c>
      <c r="O340" s="1" t="s">
        <v>1897</v>
      </c>
      <c r="P340" s="34" t="str">
        <f t="shared" si="7"/>
        <v>F010</v>
      </c>
      <c r="Q340" s="1" t="s">
        <v>138</v>
      </c>
      <c r="S340" s="16">
        <v>20</v>
      </c>
      <c r="T340" s="1" t="s">
        <v>302</v>
      </c>
      <c r="U340" s="1" t="s">
        <v>1467</v>
      </c>
      <c r="V340" s="1" t="s">
        <v>1468</v>
      </c>
      <c r="Y340" s="1">
        <v>1244220</v>
      </c>
      <c r="AB340" s="1">
        <v>1244220</v>
      </c>
    </row>
    <row r="341" spans="2:28" x14ac:dyDescent="0.2">
      <c r="B341" s="30" t="s">
        <v>1984</v>
      </c>
      <c r="C341" s="36"/>
      <c r="D341" s="36"/>
      <c r="F341" s="1" t="s">
        <v>1322</v>
      </c>
      <c r="G341" s="1" t="s">
        <v>2026</v>
      </c>
      <c r="K341" s="1" t="s">
        <v>2027</v>
      </c>
      <c r="L341" s="1" t="s">
        <v>1279</v>
      </c>
      <c r="M341" s="1" t="s">
        <v>1691</v>
      </c>
      <c r="N341" s="1" t="s">
        <v>1287</v>
      </c>
      <c r="O341" s="1" t="s">
        <v>1549</v>
      </c>
      <c r="P341" s="34" t="str">
        <f t="shared" si="7"/>
        <v>F010</v>
      </c>
      <c r="Q341" s="1" t="s">
        <v>138</v>
      </c>
      <c r="S341" s="16">
        <v>20</v>
      </c>
      <c r="T341" s="1" t="s">
        <v>302</v>
      </c>
      <c r="U341" s="1" t="s">
        <v>1691</v>
      </c>
      <c r="V341" s="1" t="s">
        <v>1327</v>
      </c>
      <c r="Y341" s="1">
        <v>225000</v>
      </c>
      <c r="AB341" s="1">
        <v>225000</v>
      </c>
    </row>
    <row r="342" spans="2:28" x14ac:dyDescent="0.2">
      <c r="B342" s="30" t="s">
        <v>1984</v>
      </c>
      <c r="C342" s="36"/>
      <c r="D342" s="36"/>
      <c r="F342" s="1" t="s">
        <v>1895</v>
      </c>
      <c r="G342" s="1" t="s">
        <v>2028</v>
      </c>
      <c r="K342" s="1" t="s">
        <v>2029</v>
      </c>
      <c r="L342" s="1" t="s">
        <v>1279</v>
      </c>
      <c r="M342" s="1" t="s">
        <v>1425</v>
      </c>
      <c r="N342" s="1" t="s">
        <v>1287</v>
      </c>
      <c r="O342" s="1" t="s">
        <v>1897</v>
      </c>
      <c r="P342" s="34" t="str">
        <f t="shared" si="7"/>
        <v>F010</v>
      </c>
      <c r="Q342" s="1" t="s">
        <v>138</v>
      </c>
      <c r="S342" s="16">
        <v>20</v>
      </c>
      <c r="T342" s="1" t="s">
        <v>302</v>
      </c>
      <c r="U342" s="1" t="s">
        <v>1425</v>
      </c>
      <c r="V342" s="1" t="s">
        <v>1426</v>
      </c>
      <c r="Y342" s="1">
        <v>231000</v>
      </c>
      <c r="AB342" s="1">
        <v>231000</v>
      </c>
    </row>
    <row r="343" spans="2:28" x14ac:dyDescent="0.2">
      <c r="B343" s="30" t="s">
        <v>1984</v>
      </c>
      <c r="C343" s="36"/>
      <c r="D343" s="36"/>
      <c r="F343" s="1" t="s">
        <v>1322</v>
      </c>
      <c r="G343" s="1" t="s">
        <v>2030</v>
      </c>
      <c r="K343" s="1" t="s">
        <v>2031</v>
      </c>
      <c r="L343" s="1" t="s">
        <v>1279</v>
      </c>
      <c r="M343" s="1" t="s">
        <v>2022</v>
      </c>
      <c r="N343" s="1" t="s">
        <v>1287</v>
      </c>
      <c r="O343" s="1" t="s">
        <v>1549</v>
      </c>
      <c r="P343" s="34" t="str">
        <f t="shared" si="7"/>
        <v>F010</v>
      </c>
      <c r="Q343" s="1" t="s">
        <v>138</v>
      </c>
      <c r="S343" s="16">
        <v>20</v>
      </c>
      <c r="T343" s="1" t="s">
        <v>302</v>
      </c>
      <c r="U343" s="1" t="s">
        <v>2022</v>
      </c>
      <c r="V343" s="1" t="s">
        <v>2023</v>
      </c>
      <c r="Y343" s="1">
        <v>203061.22</v>
      </c>
      <c r="AB343" s="1">
        <v>203061.22</v>
      </c>
    </row>
    <row r="344" spans="2:28" x14ac:dyDescent="0.2">
      <c r="B344" s="30" t="s">
        <v>1984</v>
      </c>
      <c r="C344" s="36"/>
      <c r="D344" s="36"/>
      <c r="F344" s="1" t="s">
        <v>1895</v>
      </c>
      <c r="G344" s="1" t="s">
        <v>2032</v>
      </c>
      <c r="K344" s="1" t="s">
        <v>2033</v>
      </c>
      <c r="L344" s="1" t="s">
        <v>1279</v>
      </c>
      <c r="M344" s="1" t="s">
        <v>2034</v>
      </c>
      <c r="N344" s="1" t="s">
        <v>1754</v>
      </c>
      <c r="O344" s="1" t="s">
        <v>1897</v>
      </c>
      <c r="P344" s="34" t="str">
        <f t="shared" si="7"/>
        <v>F010</v>
      </c>
      <c r="Q344" s="1" t="s">
        <v>127</v>
      </c>
      <c r="S344" s="16">
        <v>20</v>
      </c>
      <c r="T344" s="1" t="s">
        <v>302</v>
      </c>
      <c r="U344" s="1" t="s">
        <v>2034</v>
      </c>
      <c r="V344" s="1" t="s">
        <v>1510</v>
      </c>
      <c r="Y344" s="1">
        <v>482000</v>
      </c>
      <c r="AB344" s="1">
        <v>482000</v>
      </c>
    </row>
    <row r="345" spans="2:28" x14ac:dyDescent="0.2">
      <c r="B345" s="30" t="s">
        <v>1984</v>
      </c>
      <c r="C345" s="36"/>
      <c r="D345" s="36"/>
      <c r="F345" s="1" t="s">
        <v>1322</v>
      </c>
      <c r="G345" s="1" t="s">
        <v>2035</v>
      </c>
      <c r="K345" s="1" t="s">
        <v>2036</v>
      </c>
      <c r="L345" s="1" t="s">
        <v>1279</v>
      </c>
      <c r="M345" s="1" t="s">
        <v>2037</v>
      </c>
      <c r="N345" s="1" t="s">
        <v>1287</v>
      </c>
      <c r="O345" s="1" t="s">
        <v>1549</v>
      </c>
      <c r="P345" s="34" t="str">
        <f t="shared" si="7"/>
        <v>F010</v>
      </c>
      <c r="Q345" s="1" t="s">
        <v>138</v>
      </c>
      <c r="S345" s="16">
        <v>20</v>
      </c>
      <c r="T345" s="1" t="s">
        <v>302</v>
      </c>
      <c r="U345" s="1" t="s">
        <v>2037</v>
      </c>
      <c r="V345" s="1" t="s">
        <v>2038</v>
      </c>
      <c r="Y345" s="1">
        <v>328551.21000000002</v>
      </c>
      <c r="AB345" s="1">
        <v>328551.21000000002</v>
      </c>
    </row>
    <row r="346" spans="2:28" x14ac:dyDescent="0.2">
      <c r="B346" s="30" t="s">
        <v>1984</v>
      </c>
      <c r="C346" s="36"/>
      <c r="D346" s="36"/>
      <c r="F346" s="1" t="s">
        <v>1895</v>
      </c>
      <c r="G346" s="1" t="s">
        <v>2039</v>
      </c>
      <c r="K346" s="1" t="s">
        <v>2040</v>
      </c>
      <c r="L346" s="1" t="s">
        <v>1279</v>
      </c>
      <c r="M346" s="1" t="s">
        <v>1329</v>
      </c>
      <c r="N346" s="1" t="s">
        <v>1284</v>
      </c>
      <c r="O346" s="1" t="s">
        <v>1897</v>
      </c>
      <c r="P346" s="34" t="str">
        <f t="shared" si="7"/>
        <v>F010</v>
      </c>
      <c r="Q346" s="1" t="s">
        <v>127</v>
      </c>
      <c r="S346" s="16">
        <v>20</v>
      </c>
      <c r="T346" s="1" t="s">
        <v>302</v>
      </c>
      <c r="U346" s="1" t="s">
        <v>1329</v>
      </c>
      <c r="V346" s="1" t="s">
        <v>1460</v>
      </c>
      <c r="Y346" s="1">
        <v>250000</v>
      </c>
      <c r="AB346" s="1">
        <v>250000</v>
      </c>
    </row>
    <row r="347" spans="2:28" x14ac:dyDescent="0.2">
      <c r="B347" s="30" t="s">
        <v>1984</v>
      </c>
      <c r="C347" s="36"/>
      <c r="D347" s="36"/>
      <c r="F347" s="1" t="s">
        <v>1322</v>
      </c>
      <c r="G347" s="1" t="s">
        <v>2041</v>
      </c>
      <c r="K347" s="1" t="s">
        <v>2042</v>
      </c>
      <c r="L347" s="1" t="s">
        <v>1279</v>
      </c>
      <c r="M347" s="1" t="s">
        <v>2043</v>
      </c>
      <c r="N347" s="1" t="s">
        <v>1573</v>
      </c>
      <c r="O347" s="1" t="s">
        <v>1549</v>
      </c>
      <c r="P347" s="34" t="str">
        <f t="shared" si="7"/>
        <v>F010</v>
      </c>
      <c r="Q347" s="1" t="s">
        <v>127</v>
      </c>
      <c r="S347" s="16">
        <v>20</v>
      </c>
      <c r="T347" s="1" t="s">
        <v>302</v>
      </c>
      <c r="U347" s="1" t="s">
        <v>2043</v>
      </c>
      <c r="V347" s="1" t="s">
        <v>1329</v>
      </c>
      <c r="Y347" s="1">
        <v>128927.37</v>
      </c>
      <c r="AB347" s="1">
        <v>128927.37</v>
      </c>
    </row>
    <row r="348" spans="2:28" x14ac:dyDescent="0.2">
      <c r="B348" s="30" t="s">
        <v>1984</v>
      </c>
      <c r="C348" s="36"/>
      <c r="D348" s="36"/>
      <c r="F348" s="1" t="s">
        <v>1895</v>
      </c>
      <c r="G348" s="1" t="s">
        <v>2044</v>
      </c>
      <c r="K348" s="1" t="s">
        <v>2045</v>
      </c>
      <c r="L348" s="1" t="s">
        <v>1279</v>
      </c>
      <c r="M348" s="1" t="s">
        <v>1840</v>
      </c>
      <c r="N348" s="1" t="s">
        <v>1286</v>
      </c>
      <c r="O348" s="1" t="s">
        <v>1897</v>
      </c>
      <c r="P348" s="34" t="str">
        <f t="shared" si="7"/>
        <v>F010</v>
      </c>
      <c r="Q348" s="1" t="s">
        <v>138</v>
      </c>
      <c r="S348" s="16">
        <v>20</v>
      </c>
      <c r="T348" s="1" t="s">
        <v>302</v>
      </c>
      <c r="U348" s="1" t="s">
        <v>1840</v>
      </c>
      <c r="V348" s="1" t="s">
        <v>1477</v>
      </c>
      <c r="Y348" s="1">
        <v>169538.46</v>
      </c>
      <c r="AB348" s="1">
        <v>28256.400000000001</v>
      </c>
    </row>
    <row r="349" spans="2:28" x14ac:dyDescent="0.2">
      <c r="B349" s="30" t="s">
        <v>1984</v>
      </c>
      <c r="C349" s="36"/>
      <c r="D349" s="36"/>
      <c r="F349" s="1" t="s">
        <v>1322</v>
      </c>
      <c r="G349" s="1" t="s">
        <v>2046</v>
      </c>
      <c r="K349" s="1" t="s">
        <v>2047</v>
      </c>
      <c r="L349" s="1" t="s">
        <v>1279</v>
      </c>
      <c r="M349" s="1" t="s">
        <v>2038</v>
      </c>
      <c r="N349" s="1" t="s">
        <v>1287</v>
      </c>
      <c r="O349" s="1" t="s">
        <v>1549</v>
      </c>
      <c r="P349" s="34" t="str">
        <f t="shared" si="7"/>
        <v>F010</v>
      </c>
      <c r="Q349" s="1" t="s">
        <v>138</v>
      </c>
      <c r="S349" s="16">
        <v>20</v>
      </c>
      <c r="T349" s="1" t="s">
        <v>302</v>
      </c>
      <c r="U349" s="1" t="s">
        <v>2038</v>
      </c>
      <c r="V349" s="1" t="s">
        <v>1497</v>
      </c>
      <c r="Y349" s="1">
        <v>195006.01</v>
      </c>
      <c r="AB349" s="1">
        <v>195006.01</v>
      </c>
    </row>
    <row r="350" spans="2:28" x14ac:dyDescent="0.2">
      <c r="B350" s="30" t="s">
        <v>1984</v>
      </c>
      <c r="C350" s="36"/>
      <c r="D350" s="36"/>
      <c r="F350" s="1" t="s">
        <v>1895</v>
      </c>
      <c r="G350" s="1" t="s">
        <v>2048</v>
      </c>
      <c r="K350" s="1" t="s">
        <v>2049</v>
      </c>
      <c r="L350" s="1" t="s">
        <v>1279</v>
      </c>
      <c r="M350" s="1" t="s">
        <v>1641</v>
      </c>
      <c r="N350" s="1" t="s">
        <v>1287</v>
      </c>
      <c r="O350" s="1" t="s">
        <v>1897</v>
      </c>
      <c r="P350" s="34" t="str">
        <f t="shared" si="7"/>
        <v>F010</v>
      </c>
      <c r="Q350" s="1" t="s">
        <v>127</v>
      </c>
      <c r="S350" s="16">
        <v>20</v>
      </c>
      <c r="T350" s="1" t="s">
        <v>302</v>
      </c>
      <c r="U350" s="1" t="s">
        <v>1641</v>
      </c>
      <c r="V350" s="1" t="s">
        <v>2006</v>
      </c>
      <c r="Y350" s="1">
        <v>57600</v>
      </c>
      <c r="AB350" s="1">
        <v>57600</v>
      </c>
    </row>
    <row r="351" spans="2:28" x14ac:dyDescent="0.2">
      <c r="B351" s="30" t="s">
        <v>1984</v>
      </c>
      <c r="C351" s="36"/>
      <c r="D351" s="36"/>
      <c r="F351" s="1" t="s">
        <v>1322</v>
      </c>
      <c r="G351" s="1" t="s">
        <v>2050</v>
      </c>
      <c r="K351" s="1" t="s">
        <v>2051</v>
      </c>
      <c r="L351" s="1" t="s">
        <v>1279</v>
      </c>
      <c r="M351" s="1" t="s">
        <v>1463</v>
      </c>
      <c r="N351" s="1" t="s">
        <v>1287</v>
      </c>
      <c r="O351" s="1" t="s">
        <v>1549</v>
      </c>
      <c r="P351" s="34" t="str">
        <f t="shared" si="7"/>
        <v>F010</v>
      </c>
      <c r="Q351" s="1" t="s">
        <v>127</v>
      </c>
      <c r="S351" s="16">
        <v>20</v>
      </c>
      <c r="T351" s="1" t="s">
        <v>302</v>
      </c>
      <c r="U351" s="1" t="s">
        <v>1463</v>
      </c>
      <c r="V351" s="1" t="s">
        <v>1712</v>
      </c>
      <c r="Y351" s="1">
        <v>750000</v>
      </c>
      <c r="AB351" s="1">
        <v>212500</v>
      </c>
    </row>
    <row r="352" spans="2:28" x14ac:dyDescent="0.2">
      <c r="B352" s="30" t="s">
        <v>1984</v>
      </c>
      <c r="C352" s="36"/>
      <c r="D352" s="36"/>
      <c r="F352" s="1" t="s">
        <v>1895</v>
      </c>
      <c r="G352" s="1" t="s">
        <v>2052</v>
      </c>
      <c r="K352" s="1" t="s">
        <v>2053</v>
      </c>
      <c r="L352" s="1" t="s">
        <v>1279</v>
      </c>
      <c r="M352" s="1" t="s">
        <v>2054</v>
      </c>
      <c r="N352" s="1" t="s">
        <v>1837</v>
      </c>
      <c r="O352" s="1" t="s">
        <v>1897</v>
      </c>
      <c r="P352" s="34" t="str">
        <f t="shared" si="7"/>
        <v>F010</v>
      </c>
      <c r="Q352" s="1" t="s">
        <v>137</v>
      </c>
      <c r="S352" s="16">
        <v>20</v>
      </c>
      <c r="T352" s="1" t="s">
        <v>302</v>
      </c>
      <c r="U352" s="1" t="s">
        <v>2054</v>
      </c>
      <c r="V352" s="1" t="s">
        <v>1334</v>
      </c>
      <c r="Y352" s="1">
        <v>1220000</v>
      </c>
      <c r="AB352" s="1">
        <v>1220000</v>
      </c>
    </row>
    <row r="353" spans="2:28" x14ac:dyDescent="0.2">
      <c r="B353" s="30" t="s">
        <v>1984</v>
      </c>
      <c r="C353" s="36"/>
      <c r="D353" s="36"/>
      <c r="F353" s="1" t="s">
        <v>1322</v>
      </c>
      <c r="G353" s="1" t="s">
        <v>2055</v>
      </c>
      <c r="K353" s="1" t="s">
        <v>2056</v>
      </c>
      <c r="L353" s="1" t="s">
        <v>1279</v>
      </c>
      <c r="M353" s="1" t="s">
        <v>2057</v>
      </c>
      <c r="N353" s="1" t="s">
        <v>1287</v>
      </c>
      <c r="O353" s="1" t="s">
        <v>1549</v>
      </c>
      <c r="P353" s="34" t="str">
        <f t="shared" si="7"/>
        <v>F010</v>
      </c>
      <c r="Q353" s="1" t="s">
        <v>138</v>
      </c>
      <c r="S353" s="16">
        <v>20</v>
      </c>
      <c r="T353" s="1" t="s">
        <v>302</v>
      </c>
      <c r="U353" s="1" t="s">
        <v>2057</v>
      </c>
      <c r="V353" s="1" t="s">
        <v>1594</v>
      </c>
      <c r="Y353" s="1">
        <v>172000</v>
      </c>
      <c r="AB353" s="1">
        <v>172000</v>
      </c>
    </row>
    <row r="354" spans="2:28" x14ac:dyDescent="0.2">
      <c r="B354" s="30" t="s">
        <v>1984</v>
      </c>
      <c r="C354" s="36"/>
      <c r="D354" s="36"/>
      <c r="F354" s="1" t="s">
        <v>1895</v>
      </c>
      <c r="G354" s="1" t="s">
        <v>2058</v>
      </c>
      <c r="K354" s="1" t="s">
        <v>2059</v>
      </c>
      <c r="L354" s="1" t="s">
        <v>1279</v>
      </c>
      <c r="M354" s="1" t="s">
        <v>1329</v>
      </c>
      <c r="N354" s="1" t="s">
        <v>1286</v>
      </c>
      <c r="O354" s="1" t="s">
        <v>1897</v>
      </c>
      <c r="P354" s="34" t="str">
        <f t="shared" si="7"/>
        <v>F010</v>
      </c>
      <c r="Q354" s="1" t="s">
        <v>138</v>
      </c>
      <c r="S354" s="16">
        <v>20</v>
      </c>
      <c r="T354" s="1" t="s">
        <v>302</v>
      </c>
      <c r="U354" s="1" t="s">
        <v>1329</v>
      </c>
      <c r="V354" s="1" t="s">
        <v>1460</v>
      </c>
      <c r="Y354" s="1">
        <v>243000</v>
      </c>
      <c r="AB354" s="1">
        <v>243000</v>
      </c>
    </row>
    <row r="355" spans="2:28" x14ac:dyDescent="0.2">
      <c r="B355" s="30" t="s">
        <v>1984</v>
      </c>
      <c r="C355" s="36"/>
      <c r="D355" s="36"/>
      <c r="F355" s="1" t="s">
        <v>1322</v>
      </c>
      <c r="G355" s="1" t="s">
        <v>2060</v>
      </c>
      <c r="K355" s="1" t="s">
        <v>2061</v>
      </c>
      <c r="L355" s="1" t="s">
        <v>1279</v>
      </c>
      <c r="M355" s="1" t="s">
        <v>1329</v>
      </c>
      <c r="N355" s="1" t="s">
        <v>1287</v>
      </c>
      <c r="O355" s="1" t="s">
        <v>1549</v>
      </c>
      <c r="P355" s="34" t="str">
        <f t="shared" si="7"/>
        <v>F010</v>
      </c>
      <c r="Q355" s="1" t="s">
        <v>138</v>
      </c>
      <c r="S355" s="16">
        <v>20</v>
      </c>
      <c r="T355" s="1" t="s">
        <v>302</v>
      </c>
      <c r="U355" s="1" t="s">
        <v>1329</v>
      </c>
      <c r="V355" s="1" t="s">
        <v>1460</v>
      </c>
      <c r="Y355" s="1">
        <v>514608</v>
      </c>
      <c r="AB355" s="1">
        <v>514608</v>
      </c>
    </row>
    <row r="356" spans="2:28" x14ac:dyDescent="0.2">
      <c r="B356" s="30" t="s">
        <v>1984</v>
      </c>
      <c r="C356" s="36"/>
      <c r="D356" s="36"/>
      <c r="F356" s="1" t="s">
        <v>1895</v>
      </c>
      <c r="G356" s="1" t="s">
        <v>2062</v>
      </c>
      <c r="K356" s="1" t="s">
        <v>2063</v>
      </c>
      <c r="L356" s="1" t="s">
        <v>1279</v>
      </c>
      <c r="M356" s="1" t="s">
        <v>1641</v>
      </c>
      <c r="N356" s="1" t="s">
        <v>1287</v>
      </c>
      <c r="O356" s="1" t="s">
        <v>1897</v>
      </c>
      <c r="P356" s="34" t="str">
        <f t="shared" si="7"/>
        <v>F010</v>
      </c>
      <c r="Q356" s="1" t="s">
        <v>127</v>
      </c>
      <c r="S356" s="16">
        <v>20</v>
      </c>
      <c r="T356" s="1" t="s">
        <v>302</v>
      </c>
      <c r="U356" s="1" t="s">
        <v>1641</v>
      </c>
      <c r="V356" s="1" t="s">
        <v>2006</v>
      </c>
      <c r="Y356" s="1">
        <v>395000</v>
      </c>
      <c r="AB356" s="1">
        <v>395000</v>
      </c>
    </row>
    <row r="357" spans="2:28" x14ac:dyDescent="0.2">
      <c r="B357" s="30" t="s">
        <v>1984</v>
      </c>
      <c r="C357" s="36"/>
      <c r="D357" s="36"/>
      <c r="F357" s="1" t="s">
        <v>1322</v>
      </c>
      <c r="G357" s="1" t="s">
        <v>2064</v>
      </c>
      <c r="K357" s="1" t="s">
        <v>2065</v>
      </c>
      <c r="L357" s="1" t="s">
        <v>1279</v>
      </c>
      <c r="M357" s="1" t="s">
        <v>2043</v>
      </c>
      <c r="N357" s="1" t="s">
        <v>1286</v>
      </c>
      <c r="O357" s="1" t="s">
        <v>1549</v>
      </c>
      <c r="P357" s="34" t="str">
        <f t="shared" si="7"/>
        <v>F010</v>
      </c>
      <c r="Q357" s="1" t="s">
        <v>137</v>
      </c>
      <c r="S357" s="16">
        <v>20</v>
      </c>
      <c r="T357" s="1" t="s">
        <v>302</v>
      </c>
      <c r="U357" s="1" t="s">
        <v>2043</v>
      </c>
      <c r="V357" s="1" t="s">
        <v>1329</v>
      </c>
      <c r="Y357" s="1">
        <v>39000</v>
      </c>
      <c r="AB357" s="1">
        <v>39000</v>
      </c>
    </row>
    <row r="358" spans="2:28" x14ac:dyDescent="0.2">
      <c r="B358" s="30" t="s">
        <v>1984</v>
      </c>
      <c r="C358" s="36"/>
      <c r="D358" s="36"/>
      <c r="F358" s="1" t="s">
        <v>1895</v>
      </c>
      <c r="G358" s="1" t="s">
        <v>2066</v>
      </c>
      <c r="K358" s="1" t="s">
        <v>2067</v>
      </c>
      <c r="L358" s="1" t="s">
        <v>1279</v>
      </c>
      <c r="M358" s="1" t="s">
        <v>2068</v>
      </c>
      <c r="N358" s="1" t="s">
        <v>1287</v>
      </c>
      <c r="O358" s="1" t="s">
        <v>1897</v>
      </c>
      <c r="P358" s="34" t="str">
        <f t="shared" si="7"/>
        <v>F010</v>
      </c>
      <c r="Q358" s="1" t="s">
        <v>127</v>
      </c>
      <c r="S358" s="16">
        <v>20</v>
      </c>
      <c r="T358" s="1" t="s">
        <v>302</v>
      </c>
      <c r="U358" s="1" t="s">
        <v>2068</v>
      </c>
      <c r="V358" s="1" t="s">
        <v>2069</v>
      </c>
      <c r="Y358" s="1">
        <v>397435.9</v>
      </c>
      <c r="AB358" s="1">
        <v>132478.6</v>
      </c>
    </row>
    <row r="359" spans="2:28" x14ac:dyDescent="0.2">
      <c r="B359" s="30" t="s">
        <v>1984</v>
      </c>
      <c r="C359" s="36"/>
      <c r="D359" s="36"/>
      <c r="F359" s="1" t="s">
        <v>1322</v>
      </c>
      <c r="G359" s="1" t="s">
        <v>2070</v>
      </c>
      <c r="K359" s="1" t="s">
        <v>2071</v>
      </c>
      <c r="L359" s="1" t="s">
        <v>1279</v>
      </c>
      <c r="M359" s="1" t="s">
        <v>2072</v>
      </c>
      <c r="N359" s="1" t="s">
        <v>1287</v>
      </c>
      <c r="O359" s="1" t="s">
        <v>1549</v>
      </c>
      <c r="P359" s="34" t="str">
        <f t="shared" si="7"/>
        <v>F010</v>
      </c>
      <c r="Q359" s="1" t="s">
        <v>138</v>
      </c>
      <c r="S359" s="16">
        <v>20</v>
      </c>
      <c r="T359" s="1" t="s">
        <v>302</v>
      </c>
      <c r="U359" s="1" t="s">
        <v>2072</v>
      </c>
      <c r="V359" s="1" t="s">
        <v>2073</v>
      </c>
      <c r="Y359" s="1">
        <v>39743.589999999997</v>
      </c>
      <c r="AB359" s="1">
        <v>9273.4599999999991</v>
      </c>
    </row>
    <row r="360" spans="2:28" x14ac:dyDescent="0.2">
      <c r="B360" s="30" t="s">
        <v>1984</v>
      </c>
      <c r="C360" s="36"/>
      <c r="D360" s="36"/>
      <c r="F360" s="1" t="s">
        <v>1895</v>
      </c>
      <c r="G360" s="1" t="s">
        <v>2070</v>
      </c>
      <c r="K360" s="1" t="s">
        <v>2074</v>
      </c>
      <c r="L360" s="1" t="s">
        <v>1279</v>
      </c>
      <c r="M360" s="1" t="s">
        <v>1330</v>
      </c>
      <c r="N360" s="1" t="s">
        <v>1287</v>
      </c>
      <c r="O360" s="1" t="s">
        <v>1897</v>
      </c>
      <c r="P360" s="34" t="str">
        <f t="shared" si="7"/>
        <v>F010</v>
      </c>
      <c r="Q360" s="1" t="s">
        <v>137</v>
      </c>
      <c r="S360" s="16">
        <v>20</v>
      </c>
      <c r="T360" s="1" t="s">
        <v>302</v>
      </c>
      <c r="U360" s="1" t="s">
        <v>1330</v>
      </c>
      <c r="V360" s="1" t="s">
        <v>1589</v>
      </c>
      <c r="Y360" s="1">
        <v>279000</v>
      </c>
      <c r="AB360" s="1">
        <v>23250</v>
      </c>
    </row>
    <row r="361" spans="2:28" x14ac:dyDescent="0.2">
      <c r="B361" s="30" t="s">
        <v>1984</v>
      </c>
      <c r="C361" s="36"/>
      <c r="D361" s="36"/>
      <c r="F361" s="1" t="s">
        <v>1322</v>
      </c>
      <c r="G361" s="1" t="s">
        <v>2075</v>
      </c>
      <c r="K361" s="1" t="s">
        <v>2076</v>
      </c>
      <c r="L361" s="1" t="s">
        <v>1279</v>
      </c>
      <c r="M361" s="1" t="s">
        <v>1555</v>
      </c>
      <c r="N361" s="1" t="s">
        <v>1287</v>
      </c>
      <c r="O361" s="1" t="s">
        <v>1549</v>
      </c>
      <c r="P361" s="34" t="str">
        <f t="shared" si="7"/>
        <v>F010</v>
      </c>
      <c r="Q361" s="1" t="s">
        <v>138</v>
      </c>
      <c r="S361" s="16">
        <v>20</v>
      </c>
      <c r="T361" s="1" t="s">
        <v>302</v>
      </c>
      <c r="U361" s="1" t="s">
        <v>1555</v>
      </c>
      <c r="V361" s="1" t="s">
        <v>1557</v>
      </c>
      <c r="Y361" s="1">
        <v>200000</v>
      </c>
      <c r="AB361" s="1">
        <v>200000</v>
      </c>
    </row>
    <row r="362" spans="2:28" x14ac:dyDescent="0.2">
      <c r="B362" s="30" t="s">
        <v>1984</v>
      </c>
      <c r="C362" s="36"/>
      <c r="D362" s="36"/>
      <c r="F362" s="1" t="s">
        <v>1895</v>
      </c>
      <c r="G362" s="1" t="s">
        <v>2077</v>
      </c>
      <c r="K362" s="1" t="s">
        <v>2078</v>
      </c>
      <c r="L362" s="1" t="s">
        <v>1279</v>
      </c>
      <c r="M362" s="1" t="s">
        <v>2034</v>
      </c>
      <c r="N362" s="1" t="s">
        <v>1556</v>
      </c>
      <c r="O362" s="1" t="s">
        <v>1897</v>
      </c>
      <c r="P362" s="34" t="str">
        <f t="shared" si="7"/>
        <v>F010</v>
      </c>
      <c r="Q362" s="1" t="s">
        <v>137</v>
      </c>
      <c r="S362" s="16">
        <v>20</v>
      </c>
      <c r="T362" s="1" t="s">
        <v>302</v>
      </c>
      <c r="U362" s="1" t="s">
        <v>2034</v>
      </c>
      <c r="V362" s="1" t="s">
        <v>1510</v>
      </c>
      <c r="Y362" s="1">
        <v>320000</v>
      </c>
      <c r="AB362" s="1">
        <v>320000</v>
      </c>
    </row>
    <row r="363" spans="2:28" s="58" customFormat="1" x14ac:dyDescent="0.2">
      <c r="B363" s="56" t="s">
        <v>1984</v>
      </c>
      <c r="C363" s="57">
        <v>90000</v>
      </c>
      <c r="D363" s="48">
        <f>+C363/100000</f>
        <v>0.9</v>
      </c>
      <c r="E363" s="58" t="s">
        <v>1331</v>
      </c>
      <c r="F363" s="58" t="s">
        <v>1322</v>
      </c>
      <c r="G363" s="58" t="s">
        <v>2079</v>
      </c>
      <c r="K363" s="58" t="s">
        <v>2080</v>
      </c>
      <c r="L363" s="58" t="s">
        <v>1279</v>
      </c>
      <c r="M363" s="58" t="s">
        <v>2081</v>
      </c>
      <c r="N363" s="58" t="s">
        <v>1534</v>
      </c>
      <c r="O363" s="58" t="s">
        <v>1549</v>
      </c>
      <c r="P363" s="58" t="str">
        <f t="shared" si="7"/>
        <v>F010</v>
      </c>
      <c r="Q363" s="58" t="s">
        <v>127</v>
      </c>
      <c r="S363" s="59">
        <v>20</v>
      </c>
      <c r="T363" s="58" t="s">
        <v>302</v>
      </c>
      <c r="U363" s="58" t="s">
        <v>2081</v>
      </c>
      <c r="V363" s="58" t="s">
        <v>1572</v>
      </c>
      <c r="Y363" s="58">
        <v>5246574.01</v>
      </c>
      <c r="AB363" s="58">
        <v>5246574.01</v>
      </c>
    </row>
    <row r="364" spans="2:28" s="58" customFormat="1" x14ac:dyDescent="0.2">
      <c r="B364" s="56" t="s">
        <v>1984</v>
      </c>
      <c r="C364" s="57">
        <v>10000</v>
      </c>
      <c r="D364" s="48">
        <f>+C364/100000</f>
        <v>0.1</v>
      </c>
      <c r="E364" s="58" t="s">
        <v>1337</v>
      </c>
      <c r="F364" s="58" t="s">
        <v>1895</v>
      </c>
      <c r="G364" s="58" t="s">
        <v>2079</v>
      </c>
      <c r="K364" s="58" t="s">
        <v>2080</v>
      </c>
      <c r="L364" s="58" t="s">
        <v>1279</v>
      </c>
      <c r="M364" s="58" t="s">
        <v>2081</v>
      </c>
      <c r="N364" s="58" t="s">
        <v>1754</v>
      </c>
      <c r="O364" s="58" t="s">
        <v>1897</v>
      </c>
      <c r="P364" s="58" t="str">
        <f t="shared" si="7"/>
        <v>F010</v>
      </c>
      <c r="Q364" s="58" t="s">
        <v>127</v>
      </c>
      <c r="S364" s="59">
        <v>20</v>
      </c>
      <c r="T364" s="58" t="s">
        <v>302</v>
      </c>
      <c r="U364" s="58" t="s">
        <v>2081</v>
      </c>
      <c r="V364" s="58" t="s">
        <v>1572</v>
      </c>
      <c r="Y364" s="58">
        <v>582952.67000000004</v>
      </c>
      <c r="AB364" s="58">
        <v>582952.67000000004</v>
      </c>
    </row>
    <row r="365" spans="2:28" x14ac:dyDescent="0.2">
      <c r="B365" s="30" t="s">
        <v>1984</v>
      </c>
      <c r="C365" s="36"/>
      <c r="D365" s="36"/>
      <c r="F365" s="1" t="s">
        <v>1322</v>
      </c>
      <c r="G365" s="1" t="s">
        <v>2082</v>
      </c>
      <c r="K365" s="1" t="s">
        <v>2083</v>
      </c>
      <c r="L365" s="1" t="s">
        <v>1279</v>
      </c>
      <c r="M365" s="1" t="s">
        <v>2084</v>
      </c>
      <c r="N365" s="1" t="s">
        <v>1287</v>
      </c>
      <c r="O365" s="1" t="s">
        <v>1549</v>
      </c>
      <c r="P365" s="34" t="str">
        <f t="shared" si="7"/>
        <v>F010</v>
      </c>
      <c r="Q365" s="1" t="s">
        <v>138</v>
      </c>
      <c r="S365" s="16">
        <v>20</v>
      </c>
      <c r="T365" s="1" t="s">
        <v>302</v>
      </c>
      <c r="U365" s="1" t="s">
        <v>2084</v>
      </c>
      <c r="V365" s="1" t="s">
        <v>2085</v>
      </c>
      <c r="Y365" s="1">
        <v>242366</v>
      </c>
      <c r="AB365" s="1">
        <v>242366</v>
      </c>
    </row>
    <row r="366" spans="2:28" x14ac:dyDescent="0.2">
      <c r="B366" s="30" t="s">
        <v>1984</v>
      </c>
      <c r="C366" s="36"/>
      <c r="D366" s="36"/>
      <c r="F366" s="1" t="s">
        <v>1895</v>
      </c>
      <c r="G366" s="1" t="s">
        <v>2086</v>
      </c>
      <c r="K366" s="1" t="s">
        <v>2087</v>
      </c>
      <c r="L366" s="1" t="s">
        <v>1279</v>
      </c>
      <c r="M366" s="1" t="s">
        <v>1453</v>
      </c>
      <c r="N366" s="1" t="s">
        <v>1287</v>
      </c>
      <c r="O366" s="1" t="s">
        <v>1897</v>
      </c>
      <c r="P366" s="34" t="str">
        <f t="shared" si="7"/>
        <v>F010</v>
      </c>
      <c r="Q366" s="1" t="s">
        <v>138</v>
      </c>
      <c r="S366" s="16">
        <v>20</v>
      </c>
      <c r="T366" s="1" t="s">
        <v>302</v>
      </c>
      <c r="U366" s="1" t="s">
        <v>1453</v>
      </c>
      <c r="V366" s="1" t="s">
        <v>1794</v>
      </c>
      <c r="Y366" s="1">
        <v>10000</v>
      </c>
      <c r="AB366" s="1">
        <v>10000</v>
      </c>
    </row>
    <row r="367" spans="2:28" x14ac:dyDescent="0.2">
      <c r="B367" s="30" t="s">
        <v>1984</v>
      </c>
      <c r="C367" s="36"/>
      <c r="D367" s="36"/>
      <c r="F367" s="1" t="s">
        <v>1322</v>
      </c>
      <c r="G367" s="1" t="s">
        <v>2088</v>
      </c>
      <c r="K367" s="1" t="s">
        <v>2089</v>
      </c>
      <c r="L367" s="1" t="s">
        <v>1279</v>
      </c>
      <c r="M367" s="1" t="s">
        <v>2081</v>
      </c>
      <c r="N367" s="1" t="s">
        <v>1287</v>
      </c>
      <c r="O367" s="1" t="s">
        <v>1549</v>
      </c>
      <c r="P367" s="34" t="str">
        <f t="shared" si="7"/>
        <v>F010</v>
      </c>
      <c r="Q367" s="1" t="s">
        <v>138</v>
      </c>
      <c r="S367" s="16">
        <v>20</v>
      </c>
      <c r="T367" s="1" t="s">
        <v>302</v>
      </c>
      <c r="U367" s="1" t="s">
        <v>2081</v>
      </c>
      <c r="V367" s="1" t="s">
        <v>1572</v>
      </c>
      <c r="Y367" s="1">
        <v>462681</v>
      </c>
      <c r="AB367" s="1">
        <v>462681</v>
      </c>
    </row>
    <row r="368" spans="2:28" x14ac:dyDescent="0.2">
      <c r="B368" s="30" t="s">
        <v>1984</v>
      </c>
      <c r="C368" s="36"/>
      <c r="D368" s="36"/>
      <c r="F368" s="1" t="s">
        <v>1895</v>
      </c>
      <c r="G368" s="1" t="s">
        <v>2090</v>
      </c>
      <c r="K368" s="1" t="s">
        <v>2091</v>
      </c>
      <c r="L368" s="1" t="s">
        <v>1279</v>
      </c>
      <c r="M368" s="1" t="s">
        <v>1468</v>
      </c>
      <c r="N368" s="1" t="s">
        <v>1286</v>
      </c>
      <c r="O368" s="1" t="s">
        <v>1897</v>
      </c>
      <c r="P368" s="34" t="str">
        <f t="shared" si="7"/>
        <v>F010</v>
      </c>
      <c r="Q368" s="1" t="s">
        <v>127</v>
      </c>
      <c r="S368" s="16">
        <v>20</v>
      </c>
      <c r="T368" s="1" t="s">
        <v>302</v>
      </c>
      <c r="U368" s="1" t="s">
        <v>1468</v>
      </c>
      <c r="V368" s="1" t="s">
        <v>1638</v>
      </c>
      <c r="Y368" s="1">
        <v>818906</v>
      </c>
      <c r="AB368" s="1">
        <v>245671.75</v>
      </c>
    </row>
    <row r="369" spans="2:28" x14ac:dyDescent="0.2">
      <c r="B369" s="30" t="s">
        <v>1984</v>
      </c>
      <c r="C369" s="36"/>
      <c r="D369" s="36"/>
      <c r="F369" s="1" t="s">
        <v>1322</v>
      </c>
      <c r="G369" s="1" t="s">
        <v>2092</v>
      </c>
      <c r="K369" s="1" t="s">
        <v>2093</v>
      </c>
      <c r="L369" s="1" t="s">
        <v>1279</v>
      </c>
      <c r="M369" s="1" t="s">
        <v>1425</v>
      </c>
      <c r="N369" s="1" t="s">
        <v>2094</v>
      </c>
      <c r="O369" s="1" t="s">
        <v>1549</v>
      </c>
      <c r="P369" s="34" t="str">
        <f t="shared" si="7"/>
        <v>F010</v>
      </c>
      <c r="Q369" s="1" t="s">
        <v>127</v>
      </c>
      <c r="S369" s="16">
        <v>20</v>
      </c>
      <c r="T369" s="1" t="s">
        <v>302</v>
      </c>
      <c r="U369" s="1" t="s">
        <v>1425</v>
      </c>
      <c r="V369" s="1" t="s">
        <v>2095</v>
      </c>
      <c r="Y369" s="1">
        <v>60000</v>
      </c>
      <c r="AB369" s="1">
        <v>39000</v>
      </c>
    </row>
    <row r="370" spans="2:28" x14ac:dyDescent="0.2">
      <c r="B370" s="30" t="s">
        <v>1984</v>
      </c>
      <c r="C370" s="36"/>
      <c r="D370" s="36"/>
      <c r="F370" s="1" t="s">
        <v>1895</v>
      </c>
      <c r="G370" s="1" t="s">
        <v>2096</v>
      </c>
      <c r="K370" s="1" t="s">
        <v>2097</v>
      </c>
      <c r="L370" s="1" t="s">
        <v>1279</v>
      </c>
      <c r="M370" s="1" t="s">
        <v>1691</v>
      </c>
      <c r="N370" s="1" t="s">
        <v>1287</v>
      </c>
      <c r="O370" s="1" t="s">
        <v>1897</v>
      </c>
      <c r="P370" s="34" t="str">
        <f t="shared" si="7"/>
        <v>F010</v>
      </c>
      <c r="Q370" s="1" t="s">
        <v>138</v>
      </c>
      <c r="S370" s="16">
        <v>20</v>
      </c>
      <c r="T370" s="1" t="s">
        <v>302</v>
      </c>
      <c r="U370" s="1" t="s">
        <v>1691</v>
      </c>
      <c r="V370" s="1" t="s">
        <v>1327</v>
      </c>
      <c r="Y370" s="1">
        <v>28688</v>
      </c>
      <c r="AB370" s="1">
        <v>28688</v>
      </c>
    </row>
    <row r="371" spans="2:28" x14ac:dyDescent="0.2">
      <c r="B371" s="30" t="s">
        <v>1984</v>
      </c>
      <c r="C371" s="36"/>
      <c r="D371" s="36"/>
      <c r="F371" s="1" t="s">
        <v>1322</v>
      </c>
      <c r="G371" s="1" t="s">
        <v>2098</v>
      </c>
      <c r="K371" s="1" t="s">
        <v>2099</v>
      </c>
      <c r="L371" s="1" t="s">
        <v>1279</v>
      </c>
      <c r="M371" s="1" t="s">
        <v>2081</v>
      </c>
      <c r="N371" s="1" t="s">
        <v>1287</v>
      </c>
      <c r="O371" s="1" t="s">
        <v>1549</v>
      </c>
      <c r="P371" s="34" t="str">
        <f t="shared" si="7"/>
        <v>F010</v>
      </c>
      <c r="Q371" s="1" t="s">
        <v>138</v>
      </c>
      <c r="S371" s="16">
        <v>20</v>
      </c>
      <c r="T371" s="1" t="s">
        <v>302</v>
      </c>
      <c r="U371" s="1" t="s">
        <v>2081</v>
      </c>
      <c r="V371" s="1" t="s">
        <v>1572</v>
      </c>
      <c r="Y371" s="1">
        <v>88560.8</v>
      </c>
      <c r="AB371" s="1">
        <v>88560.8</v>
      </c>
    </row>
    <row r="372" spans="2:28" x14ac:dyDescent="0.2">
      <c r="B372" s="30" t="s">
        <v>1984</v>
      </c>
      <c r="C372" s="36"/>
      <c r="D372" s="36"/>
      <c r="F372" s="1" t="s">
        <v>1895</v>
      </c>
      <c r="G372" s="1" t="s">
        <v>2100</v>
      </c>
      <c r="K372" s="1" t="s">
        <v>2101</v>
      </c>
      <c r="L372" s="1" t="s">
        <v>1279</v>
      </c>
      <c r="M372" s="1" t="s">
        <v>2102</v>
      </c>
      <c r="N372" s="1" t="s">
        <v>2103</v>
      </c>
      <c r="O372" s="1" t="s">
        <v>1897</v>
      </c>
      <c r="P372" s="34" t="str">
        <f t="shared" si="7"/>
        <v>F010</v>
      </c>
      <c r="Q372" s="1" t="s">
        <v>127</v>
      </c>
      <c r="S372" s="16">
        <v>20</v>
      </c>
      <c r="T372" s="1" t="s">
        <v>302</v>
      </c>
      <c r="U372" s="1" t="s">
        <v>2102</v>
      </c>
      <c r="V372" s="1" t="s">
        <v>1604</v>
      </c>
      <c r="Y372" s="1">
        <v>866704.63</v>
      </c>
      <c r="AB372" s="1">
        <v>866704.63</v>
      </c>
    </row>
    <row r="373" spans="2:28" x14ac:dyDescent="0.2">
      <c r="B373" s="30" t="s">
        <v>1984</v>
      </c>
      <c r="C373" s="36"/>
      <c r="D373" s="36"/>
      <c r="F373" s="1" t="s">
        <v>1322</v>
      </c>
      <c r="G373" s="1" t="s">
        <v>2104</v>
      </c>
      <c r="K373" s="1" t="s">
        <v>2105</v>
      </c>
      <c r="L373" s="1" t="s">
        <v>1279</v>
      </c>
      <c r="M373" s="1" t="s">
        <v>1345</v>
      </c>
      <c r="N373" s="1" t="s">
        <v>1287</v>
      </c>
      <c r="O373" s="1" t="s">
        <v>1549</v>
      </c>
      <c r="P373" s="34" t="str">
        <f t="shared" si="7"/>
        <v>F010</v>
      </c>
      <c r="Q373" s="1" t="s">
        <v>138</v>
      </c>
      <c r="S373" s="16">
        <v>20</v>
      </c>
      <c r="T373" s="1" t="s">
        <v>302</v>
      </c>
      <c r="U373" s="1" t="s">
        <v>1345</v>
      </c>
      <c r="V373" s="1" t="s">
        <v>1699</v>
      </c>
      <c r="Y373" s="1">
        <v>42900</v>
      </c>
      <c r="AB373" s="1">
        <v>42900</v>
      </c>
    </row>
    <row r="374" spans="2:28" x14ac:dyDescent="0.2">
      <c r="B374" s="30" t="s">
        <v>1984</v>
      </c>
      <c r="C374" s="36"/>
      <c r="D374" s="36"/>
      <c r="F374" s="1" t="s">
        <v>1895</v>
      </c>
      <c r="G374" s="1" t="s">
        <v>2106</v>
      </c>
      <c r="K374" s="1" t="s">
        <v>2107</v>
      </c>
      <c r="L374" s="1" t="s">
        <v>1279</v>
      </c>
      <c r="M374" s="1" t="s">
        <v>1857</v>
      </c>
      <c r="N374" s="1" t="s">
        <v>1287</v>
      </c>
      <c r="O374" s="1" t="s">
        <v>1897</v>
      </c>
      <c r="P374" s="34" t="str">
        <f t="shared" si="7"/>
        <v>F010</v>
      </c>
      <c r="Q374" s="1" t="s">
        <v>138</v>
      </c>
      <c r="S374" s="16">
        <v>20</v>
      </c>
      <c r="T374" s="1" t="s">
        <v>302</v>
      </c>
      <c r="U374" s="1" t="s">
        <v>1857</v>
      </c>
      <c r="V374" s="1" t="s">
        <v>1858</v>
      </c>
      <c r="Y374" s="1">
        <v>314361.38</v>
      </c>
      <c r="AB374" s="1">
        <v>57632.959999999999</v>
      </c>
    </row>
    <row r="375" spans="2:28" x14ac:dyDescent="0.2">
      <c r="B375" s="30" t="s">
        <v>1984</v>
      </c>
      <c r="C375" s="36"/>
      <c r="D375" s="36"/>
      <c r="F375" s="1" t="s">
        <v>1322</v>
      </c>
      <c r="G375" s="1" t="s">
        <v>2108</v>
      </c>
      <c r="K375" s="1" t="s">
        <v>2109</v>
      </c>
      <c r="L375" s="1" t="s">
        <v>1279</v>
      </c>
      <c r="M375" s="1" t="s">
        <v>1511</v>
      </c>
      <c r="N375" s="1" t="s">
        <v>1837</v>
      </c>
      <c r="O375" s="1" t="s">
        <v>1549</v>
      </c>
      <c r="P375" s="34" t="str">
        <f t="shared" si="7"/>
        <v>F010</v>
      </c>
      <c r="Q375" s="1" t="s">
        <v>127</v>
      </c>
      <c r="S375" s="16">
        <v>20</v>
      </c>
      <c r="T375" s="1" t="s">
        <v>302</v>
      </c>
      <c r="U375" s="1" t="s">
        <v>1511</v>
      </c>
      <c r="V375" s="1" t="s">
        <v>1617</v>
      </c>
      <c r="Y375" s="1">
        <v>139316.24</v>
      </c>
      <c r="AB375" s="1">
        <v>44116.86</v>
      </c>
    </row>
    <row r="376" spans="2:28" x14ac:dyDescent="0.2">
      <c r="B376" s="30" t="s">
        <v>1984</v>
      </c>
      <c r="C376" s="36"/>
      <c r="D376" s="36"/>
      <c r="F376" s="1" t="s">
        <v>1895</v>
      </c>
      <c r="G376" s="1" t="s">
        <v>2110</v>
      </c>
      <c r="K376" s="1" t="s">
        <v>2111</v>
      </c>
      <c r="L376" s="1" t="s">
        <v>1279</v>
      </c>
      <c r="M376" s="1" t="s">
        <v>1582</v>
      </c>
      <c r="N376" s="1" t="s">
        <v>1287</v>
      </c>
      <c r="O376" s="1" t="s">
        <v>1897</v>
      </c>
      <c r="P376" s="34" t="str">
        <f t="shared" si="7"/>
        <v>F010</v>
      </c>
      <c r="Q376" s="1" t="s">
        <v>127</v>
      </c>
      <c r="S376" s="16">
        <v>20</v>
      </c>
      <c r="T376" s="1" t="s">
        <v>302</v>
      </c>
      <c r="U376" s="1" t="s">
        <v>1582</v>
      </c>
      <c r="V376" s="1" t="s">
        <v>1567</v>
      </c>
      <c r="Y376" s="1">
        <v>102709.8</v>
      </c>
      <c r="AB376" s="1">
        <v>102709.8</v>
      </c>
    </row>
    <row r="377" spans="2:28" x14ac:dyDescent="0.2">
      <c r="B377" s="30" t="s">
        <v>1984</v>
      </c>
      <c r="C377" s="36"/>
      <c r="D377" s="36"/>
      <c r="F377" s="1" t="s">
        <v>1322</v>
      </c>
      <c r="G377" s="1" t="s">
        <v>2112</v>
      </c>
      <c r="K377" s="1" t="s">
        <v>2113</v>
      </c>
      <c r="L377" s="1" t="s">
        <v>1279</v>
      </c>
      <c r="M377" s="1" t="s">
        <v>2068</v>
      </c>
      <c r="N377" s="1" t="s">
        <v>1286</v>
      </c>
      <c r="O377" s="1" t="s">
        <v>1549</v>
      </c>
      <c r="P377" s="34" t="str">
        <f t="shared" si="7"/>
        <v>F010</v>
      </c>
      <c r="Q377" s="1" t="s">
        <v>127</v>
      </c>
      <c r="S377" s="16">
        <v>20</v>
      </c>
      <c r="T377" s="1" t="s">
        <v>302</v>
      </c>
      <c r="U377" s="1" t="s">
        <v>2068</v>
      </c>
      <c r="V377" s="1" t="s">
        <v>2069</v>
      </c>
      <c r="Y377" s="1">
        <v>700854.7</v>
      </c>
      <c r="AB377" s="1">
        <v>233618.2</v>
      </c>
    </row>
    <row r="378" spans="2:28" x14ac:dyDescent="0.2">
      <c r="B378" s="30" t="s">
        <v>1984</v>
      </c>
      <c r="C378" s="36"/>
      <c r="D378" s="36"/>
      <c r="F378" s="1" t="s">
        <v>1895</v>
      </c>
      <c r="G378" s="1" t="s">
        <v>2114</v>
      </c>
      <c r="K378" s="1" t="s">
        <v>2115</v>
      </c>
      <c r="L378" s="1" t="s">
        <v>1279</v>
      </c>
      <c r="M378" s="1" t="s">
        <v>1459</v>
      </c>
      <c r="N378" s="1" t="s">
        <v>1287</v>
      </c>
      <c r="O378" s="1" t="s">
        <v>1897</v>
      </c>
      <c r="P378" s="34" t="str">
        <f t="shared" si="7"/>
        <v>F010</v>
      </c>
      <c r="Q378" s="1" t="s">
        <v>138</v>
      </c>
      <c r="S378" s="16">
        <v>20</v>
      </c>
      <c r="T378" s="1" t="s">
        <v>302</v>
      </c>
      <c r="U378" s="1" t="s">
        <v>1459</v>
      </c>
      <c r="V378" s="1" t="s">
        <v>1436</v>
      </c>
      <c r="Y378" s="1">
        <v>866500</v>
      </c>
      <c r="AB378" s="1">
        <v>866500</v>
      </c>
    </row>
    <row r="379" spans="2:28" x14ac:dyDescent="0.2">
      <c r="B379" s="30" t="s">
        <v>1984</v>
      </c>
      <c r="C379" s="36"/>
      <c r="D379" s="36"/>
      <c r="F379" s="1" t="s">
        <v>1322</v>
      </c>
      <c r="G379" s="1" t="s">
        <v>2116</v>
      </c>
      <c r="K379" s="1" t="s">
        <v>2117</v>
      </c>
      <c r="L379" s="1" t="s">
        <v>1279</v>
      </c>
      <c r="M379" s="1" t="s">
        <v>1691</v>
      </c>
      <c r="N379" s="1" t="s">
        <v>1287</v>
      </c>
      <c r="O379" s="1" t="s">
        <v>1549</v>
      </c>
      <c r="P379" s="34" t="str">
        <f t="shared" si="7"/>
        <v>F010</v>
      </c>
      <c r="Q379" s="1" t="s">
        <v>138</v>
      </c>
      <c r="S379" s="16">
        <v>20</v>
      </c>
      <c r="T379" s="1" t="s">
        <v>302</v>
      </c>
      <c r="U379" s="1" t="s">
        <v>1691</v>
      </c>
      <c r="V379" s="1" t="s">
        <v>1327</v>
      </c>
      <c r="Y379" s="1">
        <v>2163336</v>
      </c>
      <c r="AB379" s="1">
        <v>2163336</v>
      </c>
    </row>
    <row r="380" spans="2:28" x14ac:dyDescent="0.2">
      <c r="B380" s="30" t="s">
        <v>1984</v>
      </c>
      <c r="C380" s="36"/>
      <c r="D380" s="36"/>
      <c r="F380" s="1" t="s">
        <v>1895</v>
      </c>
      <c r="G380" s="1" t="s">
        <v>2118</v>
      </c>
      <c r="K380" s="1" t="s">
        <v>2119</v>
      </c>
      <c r="L380" s="1" t="s">
        <v>1279</v>
      </c>
      <c r="M380" s="1" t="s">
        <v>1548</v>
      </c>
      <c r="N380" s="1" t="s">
        <v>1287</v>
      </c>
      <c r="O380" s="1" t="s">
        <v>1897</v>
      </c>
      <c r="P380" s="34" t="str">
        <f t="shared" ref="P380:P446" si="8">+LEFT(Q380,4)</f>
        <v>F010</v>
      </c>
      <c r="Q380" s="1" t="s">
        <v>138</v>
      </c>
      <c r="S380" s="16">
        <v>20</v>
      </c>
      <c r="T380" s="1" t="s">
        <v>302</v>
      </c>
      <c r="U380" s="1" t="s">
        <v>1548</v>
      </c>
      <c r="V380" s="1" t="s">
        <v>2120</v>
      </c>
      <c r="Y380" s="1">
        <v>85000</v>
      </c>
      <c r="AB380" s="1">
        <v>85000</v>
      </c>
    </row>
    <row r="381" spans="2:28" x14ac:dyDescent="0.2">
      <c r="B381" s="30" t="s">
        <v>1984</v>
      </c>
      <c r="C381" s="36"/>
      <c r="D381" s="36"/>
      <c r="F381" s="1" t="s">
        <v>1322</v>
      </c>
      <c r="G381" s="1" t="s">
        <v>2121</v>
      </c>
      <c r="K381" s="1" t="s">
        <v>2122</v>
      </c>
      <c r="L381" s="1" t="s">
        <v>1279</v>
      </c>
      <c r="M381" s="1" t="s">
        <v>1533</v>
      </c>
      <c r="N381" s="1" t="s">
        <v>1286</v>
      </c>
      <c r="O381" s="1" t="s">
        <v>1549</v>
      </c>
      <c r="P381" s="34" t="str">
        <f t="shared" si="8"/>
        <v>F010</v>
      </c>
      <c r="Q381" s="1" t="s">
        <v>138</v>
      </c>
      <c r="S381" s="16">
        <v>20</v>
      </c>
      <c r="T381" s="1" t="s">
        <v>302</v>
      </c>
      <c r="U381" s="1" t="s">
        <v>1533</v>
      </c>
      <c r="V381" s="1" t="s">
        <v>1535</v>
      </c>
      <c r="Y381" s="1">
        <v>1197591.26</v>
      </c>
      <c r="AB381" s="1">
        <v>1197591.26</v>
      </c>
    </row>
    <row r="382" spans="2:28" x14ac:dyDescent="0.2">
      <c r="B382" s="30" t="s">
        <v>1984</v>
      </c>
      <c r="C382" s="36"/>
      <c r="D382" s="36"/>
      <c r="F382" s="1" t="s">
        <v>1895</v>
      </c>
      <c r="G382" s="1" t="s">
        <v>2123</v>
      </c>
      <c r="K382" s="1" t="s">
        <v>2124</v>
      </c>
      <c r="L382" s="1" t="s">
        <v>1279</v>
      </c>
      <c r="M382" s="1" t="s">
        <v>1503</v>
      </c>
      <c r="N382" s="1" t="s">
        <v>1287</v>
      </c>
      <c r="O382" s="1" t="s">
        <v>1897</v>
      </c>
      <c r="P382" s="34" t="str">
        <f t="shared" si="8"/>
        <v>F010</v>
      </c>
      <c r="Q382" s="1" t="s">
        <v>138</v>
      </c>
      <c r="S382" s="16">
        <v>20</v>
      </c>
      <c r="T382" s="1" t="s">
        <v>302</v>
      </c>
      <c r="U382" s="1" t="s">
        <v>1503</v>
      </c>
      <c r="V382" s="1" t="s">
        <v>2095</v>
      </c>
      <c r="Y382" s="1">
        <v>765812</v>
      </c>
      <c r="AB382" s="1">
        <v>319088.36</v>
      </c>
    </row>
    <row r="383" spans="2:28" x14ac:dyDescent="0.2">
      <c r="B383" s="30" t="s">
        <v>1984</v>
      </c>
      <c r="C383" s="36"/>
      <c r="D383" s="36"/>
      <c r="F383" s="1" t="s">
        <v>1322</v>
      </c>
      <c r="G383" s="1" t="s">
        <v>2125</v>
      </c>
      <c r="K383" s="1" t="s">
        <v>2126</v>
      </c>
      <c r="L383" s="1" t="s">
        <v>1279</v>
      </c>
      <c r="M383" s="1" t="s">
        <v>1497</v>
      </c>
      <c r="N383" s="1" t="s">
        <v>1577</v>
      </c>
      <c r="O383" s="1" t="s">
        <v>1549</v>
      </c>
      <c r="P383" s="34" t="str">
        <f t="shared" si="8"/>
        <v>F010</v>
      </c>
      <c r="Q383" s="1" t="s">
        <v>138</v>
      </c>
      <c r="S383" s="16">
        <v>20</v>
      </c>
      <c r="T383" s="1" t="s">
        <v>302</v>
      </c>
      <c r="U383" s="1" t="s">
        <v>1497</v>
      </c>
      <c r="V383" s="1" t="s">
        <v>2127</v>
      </c>
      <c r="Y383" s="1">
        <v>341880.35</v>
      </c>
      <c r="AB383" s="1">
        <v>142450.19</v>
      </c>
    </row>
    <row r="384" spans="2:28" x14ac:dyDescent="0.2">
      <c r="B384" s="30" t="s">
        <v>1984</v>
      </c>
      <c r="C384" s="36"/>
      <c r="D384" s="36"/>
      <c r="F384" s="1" t="s">
        <v>1895</v>
      </c>
      <c r="G384" s="1" t="s">
        <v>2128</v>
      </c>
      <c r="K384" s="1" t="s">
        <v>2129</v>
      </c>
      <c r="L384" s="1" t="s">
        <v>1279</v>
      </c>
      <c r="M384" s="1" t="s">
        <v>2068</v>
      </c>
      <c r="N384" s="1" t="s">
        <v>1287</v>
      </c>
      <c r="O384" s="1" t="s">
        <v>1897</v>
      </c>
      <c r="P384" s="34" t="str">
        <f t="shared" si="8"/>
        <v>F010</v>
      </c>
      <c r="Q384" s="1" t="s">
        <v>127</v>
      </c>
      <c r="S384" s="16">
        <v>20</v>
      </c>
      <c r="T384" s="1" t="s">
        <v>302</v>
      </c>
      <c r="U384" s="1" t="s">
        <v>2068</v>
      </c>
      <c r="V384" s="1" t="s">
        <v>2069</v>
      </c>
      <c r="Y384" s="1">
        <v>323076.92</v>
      </c>
      <c r="AB384" s="1">
        <v>107692.34</v>
      </c>
    </row>
    <row r="385" spans="2:28" x14ac:dyDescent="0.2">
      <c r="B385" s="30" t="s">
        <v>1984</v>
      </c>
      <c r="C385" s="36"/>
      <c r="D385" s="36"/>
      <c r="F385" s="1" t="s">
        <v>1322</v>
      </c>
      <c r="G385" s="1" t="s">
        <v>2130</v>
      </c>
      <c r="K385" s="1" t="s">
        <v>2131</v>
      </c>
      <c r="L385" s="1" t="s">
        <v>1279</v>
      </c>
      <c r="M385" s="1" t="s">
        <v>1999</v>
      </c>
      <c r="N385" s="1" t="s">
        <v>1287</v>
      </c>
      <c r="O385" s="1" t="s">
        <v>1549</v>
      </c>
      <c r="P385" s="34" t="str">
        <f t="shared" si="8"/>
        <v>F010</v>
      </c>
      <c r="Q385" s="1" t="s">
        <v>127</v>
      </c>
      <c r="S385" s="16">
        <v>20</v>
      </c>
      <c r="T385" s="1" t="s">
        <v>302</v>
      </c>
      <c r="U385" s="1" t="s">
        <v>1999</v>
      </c>
      <c r="V385" s="1" t="s">
        <v>1716</v>
      </c>
      <c r="Y385" s="1">
        <v>754653</v>
      </c>
      <c r="AB385" s="1">
        <v>364748.95</v>
      </c>
    </row>
    <row r="386" spans="2:28" x14ac:dyDescent="0.2">
      <c r="B386" s="30" t="s">
        <v>1984</v>
      </c>
      <c r="C386" s="36"/>
      <c r="D386" s="36"/>
      <c r="F386" s="1" t="s">
        <v>1895</v>
      </c>
      <c r="G386" s="1" t="s">
        <v>2130</v>
      </c>
      <c r="K386" s="1" t="s">
        <v>2132</v>
      </c>
      <c r="L386" s="1" t="s">
        <v>1279</v>
      </c>
      <c r="M386" s="1" t="s">
        <v>1805</v>
      </c>
      <c r="N386" s="1" t="s">
        <v>1287</v>
      </c>
      <c r="O386" s="1" t="s">
        <v>1897</v>
      </c>
      <c r="P386" s="34" t="str">
        <f t="shared" si="8"/>
        <v>F010</v>
      </c>
      <c r="Q386" s="1" t="s">
        <v>127</v>
      </c>
      <c r="S386" s="16">
        <v>20</v>
      </c>
      <c r="T386" s="1" t="s">
        <v>302</v>
      </c>
      <c r="U386" s="1" t="s">
        <v>1805</v>
      </c>
      <c r="V386" s="1" t="s">
        <v>1807</v>
      </c>
      <c r="Y386" s="1">
        <v>400000</v>
      </c>
      <c r="AB386" s="1">
        <v>180000.07</v>
      </c>
    </row>
    <row r="387" spans="2:28" x14ac:dyDescent="0.2">
      <c r="B387" s="30" t="s">
        <v>1984</v>
      </c>
      <c r="C387" s="36"/>
      <c r="D387" s="36"/>
      <c r="F387" s="1" t="s">
        <v>1322</v>
      </c>
      <c r="G387" s="1" t="s">
        <v>2133</v>
      </c>
      <c r="K387" s="1" t="s">
        <v>2134</v>
      </c>
      <c r="L387" s="1" t="s">
        <v>1279</v>
      </c>
      <c r="M387" s="1" t="s">
        <v>2135</v>
      </c>
      <c r="N387" s="1" t="s">
        <v>1754</v>
      </c>
      <c r="O387" s="1" t="s">
        <v>1549</v>
      </c>
      <c r="P387" s="34" t="str">
        <f t="shared" si="8"/>
        <v>F010</v>
      </c>
      <c r="Q387" s="1" t="s">
        <v>127</v>
      </c>
      <c r="S387" s="16">
        <v>20</v>
      </c>
      <c r="T387" s="1" t="s">
        <v>302</v>
      </c>
      <c r="U387" s="1" t="s">
        <v>2135</v>
      </c>
      <c r="V387" s="1" t="s">
        <v>1645</v>
      </c>
      <c r="Y387" s="1">
        <v>94000</v>
      </c>
      <c r="AB387" s="1">
        <v>94000</v>
      </c>
    </row>
    <row r="388" spans="2:28" x14ac:dyDescent="0.2">
      <c r="B388" s="30" t="s">
        <v>1984</v>
      </c>
      <c r="C388" s="36"/>
      <c r="D388" s="36"/>
      <c r="F388" s="1" t="s">
        <v>1895</v>
      </c>
      <c r="G388" s="1" t="s">
        <v>2136</v>
      </c>
      <c r="K388" s="1" t="s">
        <v>2137</v>
      </c>
      <c r="L388" s="1" t="s">
        <v>1279</v>
      </c>
      <c r="M388" s="1" t="s">
        <v>2014</v>
      </c>
      <c r="N388" s="1" t="s">
        <v>1287</v>
      </c>
      <c r="O388" s="1" t="s">
        <v>1897</v>
      </c>
      <c r="P388" s="34" t="str">
        <f t="shared" si="8"/>
        <v>F010</v>
      </c>
      <c r="Q388" s="1" t="s">
        <v>127</v>
      </c>
      <c r="S388" s="16">
        <v>20</v>
      </c>
      <c r="T388" s="1" t="s">
        <v>302</v>
      </c>
      <c r="U388" s="1" t="s">
        <v>2014</v>
      </c>
      <c r="V388" s="1" t="s">
        <v>2015</v>
      </c>
      <c r="Y388" s="1">
        <v>2304098.7999999998</v>
      </c>
      <c r="AB388" s="1">
        <v>883237.95</v>
      </c>
    </row>
    <row r="389" spans="2:28" x14ac:dyDescent="0.2">
      <c r="B389" s="30" t="s">
        <v>1984</v>
      </c>
      <c r="C389" s="36"/>
      <c r="D389" s="36"/>
      <c r="F389" s="1" t="s">
        <v>1322</v>
      </c>
      <c r="G389" s="1" t="s">
        <v>2138</v>
      </c>
      <c r="K389" s="1" t="s">
        <v>2139</v>
      </c>
      <c r="L389" s="1" t="s">
        <v>1279</v>
      </c>
      <c r="M389" s="1" t="s">
        <v>2140</v>
      </c>
      <c r="N389" s="1" t="s">
        <v>1837</v>
      </c>
      <c r="O389" s="1" t="s">
        <v>1549</v>
      </c>
      <c r="P389" s="34" t="str">
        <f t="shared" si="8"/>
        <v>F010</v>
      </c>
      <c r="Q389" s="1" t="s">
        <v>127</v>
      </c>
      <c r="S389" s="16">
        <v>20</v>
      </c>
      <c r="T389" s="1" t="s">
        <v>302</v>
      </c>
      <c r="U389" s="1" t="s">
        <v>2140</v>
      </c>
      <c r="V389" s="1" t="s">
        <v>2141</v>
      </c>
      <c r="Y389" s="1">
        <v>128000</v>
      </c>
      <c r="AB389" s="1">
        <v>128000</v>
      </c>
    </row>
    <row r="390" spans="2:28" x14ac:dyDescent="0.2">
      <c r="B390" s="30" t="s">
        <v>1984</v>
      </c>
      <c r="C390" s="36"/>
      <c r="D390" s="36"/>
      <c r="F390" s="1" t="s">
        <v>1895</v>
      </c>
      <c r="G390" s="1" t="s">
        <v>2142</v>
      </c>
      <c r="K390" s="1" t="s">
        <v>2143</v>
      </c>
      <c r="L390" s="1" t="s">
        <v>1279</v>
      </c>
      <c r="M390" s="1" t="s">
        <v>2084</v>
      </c>
      <c r="N390" s="1" t="s">
        <v>1287</v>
      </c>
      <c r="O390" s="1" t="s">
        <v>1897</v>
      </c>
      <c r="P390" s="34" t="str">
        <f t="shared" si="8"/>
        <v>F010</v>
      </c>
      <c r="Q390" s="1" t="s">
        <v>138</v>
      </c>
      <c r="S390" s="16">
        <v>20</v>
      </c>
      <c r="T390" s="1" t="s">
        <v>302</v>
      </c>
      <c r="U390" s="1" t="s">
        <v>2084</v>
      </c>
      <c r="V390" s="1" t="s">
        <v>2085</v>
      </c>
      <c r="Y390" s="1">
        <v>348688</v>
      </c>
      <c r="AB390" s="1">
        <v>348688</v>
      </c>
    </row>
    <row r="391" spans="2:28" x14ac:dyDescent="0.2">
      <c r="B391" s="30" t="s">
        <v>1984</v>
      </c>
      <c r="C391" s="36"/>
      <c r="D391" s="36"/>
      <c r="F391" s="1" t="s">
        <v>1322</v>
      </c>
      <c r="G391" s="1" t="s">
        <v>2144</v>
      </c>
      <c r="K391" s="1" t="s">
        <v>2145</v>
      </c>
      <c r="L391" s="1" t="s">
        <v>1279</v>
      </c>
      <c r="M391" s="1" t="s">
        <v>1451</v>
      </c>
      <c r="N391" s="1" t="s">
        <v>1715</v>
      </c>
      <c r="O391" s="1" t="s">
        <v>1549</v>
      </c>
      <c r="P391" s="34" t="str">
        <f t="shared" si="8"/>
        <v>F010</v>
      </c>
      <c r="Q391" s="1" t="s">
        <v>127</v>
      </c>
      <c r="S391" s="16">
        <v>20</v>
      </c>
      <c r="T391" s="1" t="s">
        <v>302</v>
      </c>
      <c r="U391" s="1" t="s">
        <v>1451</v>
      </c>
      <c r="V391" s="1" t="s">
        <v>1613</v>
      </c>
      <c r="Y391" s="1">
        <v>198470</v>
      </c>
      <c r="AB391" s="1">
        <v>198470</v>
      </c>
    </row>
    <row r="392" spans="2:28" x14ac:dyDescent="0.2">
      <c r="B392" s="30" t="s">
        <v>1984</v>
      </c>
      <c r="C392" s="36"/>
      <c r="D392" s="36"/>
      <c r="F392" s="1" t="s">
        <v>1322</v>
      </c>
      <c r="G392" s="1" t="s">
        <v>2146</v>
      </c>
      <c r="K392" s="1" t="s">
        <v>2147</v>
      </c>
      <c r="L392" s="1" t="s">
        <v>1279</v>
      </c>
      <c r="M392" s="1" t="s">
        <v>2022</v>
      </c>
      <c r="N392" s="1" t="s">
        <v>1287</v>
      </c>
      <c r="O392" s="1" t="s">
        <v>1549</v>
      </c>
      <c r="P392" s="34" t="str">
        <f t="shared" si="8"/>
        <v>F010</v>
      </c>
      <c r="Q392" s="1" t="s">
        <v>138</v>
      </c>
      <c r="S392" s="16">
        <v>20</v>
      </c>
      <c r="T392" s="1" t="s">
        <v>302</v>
      </c>
      <c r="U392" s="1" t="s">
        <v>2022</v>
      </c>
      <c r="V392" s="1" t="s">
        <v>2023</v>
      </c>
      <c r="Y392" s="1">
        <v>35500</v>
      </c>
      <c r="AB392" s="1">
        <v>35500</v>
      </c>
    </row>
    <row r="393" spans="2:28" x14ac:dyDescent="0.2">
      <c r="B393" s="30" t="s">
        <v>1984</v>
      </c>
      <c r="C393" s="36"/>
      <c r="D393" s="36"/>
      <c r="F393" s="1" t="s">
        <v>1322</v>
      </c>
      <c r="G393" s="1" t="s">
        <v>2148</v>
      </c>
      <c r="K393" s="1" t="s">
        <v>2149</v>
      </c>
      <c r="L393" s="1" t="s">
        <v>1279</v>
      </c>
      <c r="M393" s="1" t="s">
        <v>1459</v>
      </c>
      <c r="N393" s="1" t="s">
        <v>2150</v>
      </c>
      <c r="O393" s="1" t="s">
        <v>1549</v>
      </c>
      <c r="P393" s="34" t="str">
        <f t="shared" si="8"/>
        <v>F010</v>
      </c>
      <c r="Q393" s="1" t="s">
        <v>138</v>
      </c>
      <c r="S393" s="16">
        <v>20</v>
      </c>
      <c r="T393" s="1" t="s">
        <v>302</v>
      </c>
      <c r="U393" s="1" t="s">
        <v>1459</v>
      </c>
      <c r="V393" s="1" t="s">
        <v>1436</v>
      </c>
      <c r="Y393" s="1">
        <v>29281.46</v>
      </c>
      <c r="AB393" s="1">
        <v>29281.46</v>
      </c>
    </row>
    <row r="394" spans="2:28" s="58" customFormat="1" x14ac:dyDescent="0.2">
      <c r="B394" s="56" t="s">
        <v>1984</v>
      </c>
      <c r="C394" s="57">
        <v>63450</v>
      </c>
      <c r="D394" s="48">
        <f>+C394/100000</f>
        <v>0.63449999999999995</v>
      </c>
      <c r="E394" s="58" t="s">
        <v>1331</v>
      </c>
      <c r="F394" s="58" t="s">
        <v>1322</v>
      </c>
      <c r="G394" s="58" t="s">
        <v>2151</v>
      </c>
      <c r="K394" s="58" t="s">
        <v>2152</v>
      </c>
      <c r="L394" s="58" t="s">
        <v>1279</v>
      </c>
      <c r="M394" s="58" t="s">
        <v>1345</v>
      </c>
      <c r="N394" s="58" t="s">
        <v>1287</v>
      </c>
      <c r="O394" s="58" t="s">
        <v>1549</v>
      </c>
      <c r="P394" s="58" t="str">
        <f t="shared" si="8"/>
        <v>F010</v>
      </c>
      <c r="Q394" s="58" t="s">
        <v>127</v>
      </c>
      <c r="S394" s="59">
        <v>20</v>
      </c>
      <c r="T394" s="58" t="s">
        <v>302</v>
      </c>
      <c r="U394" s="58" t="s">
        <v>1345</v>
      </c>
      <c r="V394" s="58" t="s">
        <v>1699</v>
      </c>
      <c r="Y394" s="58">
        <v>58754.7</v>
      </c>
      <c r="AB394" s="58">
        <v>58754.7</v>
      </c>
    </row>
    <row r="395" spans="2:28" s="58" customFormat="1" x14ac:dyDescent="0.2">
      <c r="B395" s="56" t="s">
        <v>1984</v>
      </c>
      <c r="C395" s="57">
        <v>36550</v>
      </c>
      <c r="D395" s="48">
        <f>+C395/100000</f>
        <v>0.36549999999999999</v>
      </c>
      <c r="E395" s="58" t="s">
        <v>1337</v>
      </c>
      <c r="F395" s="58" t="s">
        <v>1322</v>
      </c>
      <c r="G395" s="58" t="s">
        <v>2151</v>
      </c>
      <c r="K395" s="58" t="s">
        <v>2152</v>
      </c>
      <c r="L395" s="58" t="s">
        <v>1279</v>
      </c>
      <c r="M395" s="58" t="s">
        <v>1345</v>
      </c>
      <c r="N395" s="58" t="s">
        <v>1614</v>
      </c>
      <c r="O395" s="58" t="s">
        <v>1549</v>
      </c>
      <c r="P395" s="58" t="str">
        <f t="shared" si="8"/>
        <v>F010</v>
      </c>
      <c r="Q395" s="58" t="s">
        <v>127</v>
      </c>
      <c r="S395" s="59">
        <v>20</v>
      </c>
      <c r="T395" s="58" t="s">
        <v>302</v>
      </c>
      <c r="U395" s="58" t="s">
        <v>1345</v>
      </c>
      <c r="V395" s="58" t="s">
        <v>1699</v>
      </c>
      <c r="Y395" s="58">
        <v>33845.300000000003</v>
      </c>
      <c r="AB395" s="58">
        <v>33845.300000000003</v>
      </c>
    </row>
    <row r="396" spans="2:28" x14ac:dyDescent="0.2">
      <c r="B396" s="30" t="s">
        <v>1984</v>
      </c>
      <c r="C396" s="36"/>
      <c r="D396" s="36"/>
      <c r="F396" s="1" t="s">
        <v>1322</v>
      </c>
      <c r="G396" s="1" t="s">
        <v>2153</v>
      </c>
      <c r="K396" s="1" t="s">
        <v>2154</v>
      </c>
      <c r="L396" s="1" t="s">
        <v>1279</v>
      </c>
      <c r="M396" s="1" t="s">
        <v>1999</v>
      </c>
      <c r="N396" s="1" t="s">
        <v>1286</v>
      </c>
      <c r="O396" s="1" t="s">
        <v>1549</v>
      </c>
      <c r="P396" s="34" t="str">
        <f t="shared" si="8"/>
        <v>F010</v>
      </c>
      <c r="Q396" s="1" t="s">
        <v>127</v>
      </c>
      <c r="S396" s="16">
        <v>20</v>
      </c>
      <c r="T396" s="1" t="s">
        <v>302</v>
      </c>
      <c r="U396" s="1" t="s">
        <v>1999</v>
      </c>
      <c r="V396" s="1" t="s">
        <v>1716</v>
      </c>
      <c r="Y396" s="1">
        <v>32450</v>
      </c>
      <c r="AB396" s="1">
        <v>15684.13</v>
      </c>
    </row>
    <row r="397" spans="2:28" x14ac:dyDescent="0.2">
      <c r="B397" s="30" t="s">
        <v>1984</v>
      </c>
      <c r="C397" s="36"/>
      <c r="D397" s="36"/>
      <c r="F397" s="1" t="s">
        <v>1322</v>
      </c>
      <c r="G397" s="1" t="s">
        <v>2155</v>
      </c>
      <c r="K397" s="1" t="s">
        <v>2156</v>
      </c>
      <c r="L397" s="1" t="s">
        <v>1279</v>
      </c>
      <c r="M397" s="1" t="s">
        <v>2034</v>
      </c>
      <c r="N397" s="1" t="s">
        <v>2103</v>
      </c>
      <c r="O397" s="1" t="s">
        <v>1549</v>
      </c>
      <c r="P397" s="34" t="str">
        <f t="shared" si="8"/>
        <v>F010</v>
      </c>
      <c r="Q397" s="1" t="s">
        <v>127</v>
      </c>
      <c r="S397" s="16">
        <v>20</v>
      </c>
      <c r="T397" s="1" t="s">
        <v>302</v>
      </c>
      <c r="U397" s="1" t="s">
        <v>2034</v>
      </c>
      <c r="V397" s="1" t="s">
        <v>1510</v>
      </c>
      <c r="Y397" s="1">
        <v>120735.54</v>
      </c>
      <c r="AB397" s="1">
        <v>120735.54</v>
      </c>
    </row>
    <row r="398" spans="2:28" x14ac:dyDescent="0.2">
      <c r="B398" s="30" t="s">
        <v>1984</v>
      </c>
      <c r="C398" s="36"/>
      <c r="D398" s="36"/>
      <c r="F398" s="1" t="s">
        <v>1322</v>
      </c>
      <c r="G398" s="1" t="s">
        <v>2157</v>
      </c>
      <c r="K398" s="1" t="s">
        <v>2158</v>
      </c>
      <c r="L398" s="1" t="s">
        <v>1279</v>
      </c>
      <c r="M398" s="1" t="s">
        <v>1994</v>
      </c>
      <c r="N398" s="1" t="s">
        <v>1614</v>
      </c>
      <c r="O398" s="1" t="s">
        <v>1549</v>
      </c>
      <c r="P398" s="34" t="str">
        <f t="shared" si="8"/>
        <v>F010</v>
      </c>
      <c r="Q398" s="1" t="s">
        <v>127</v>
      </c>
      <c r="S398" s="16">
        <v>20</v>
      </c>
      <c r="T398" s="1" t="s">
        <v>302</v>
      </c>
      <c r="U398" s="1" t="s">
        <v>1994</v>
      </c>
      <c r="V398" s="1" t="s">
        <v>1533</v>
      </c>
      <c r="Y398" s="1">
        <v>76000</v>
      </c>
      <c r="AB398" s="1">
        <v>76000</v>
      </c>
    </row>
    <row r="399" spans="2:28" x14ac:dyDescent="0.2">
      <c r="B399" s="30" t="s">
        <v>1984</v>
      </c>
      <c r="C399" s="36"/>
      <c r="D399" s="36"/>
      <c r="F399" s="1" t="s">
        <v>1322</v>
      </c>
      <c r="G399" s="1" t="s">
        <v>2159</v>
      </c>
      <c r="K399" s="1" t="s">
        <v>2160</v>
      </c>
      <c r="L399" s="1" t="s">
        <v>1279</v>
      </c>
      <c r="M399" s="1" t="s">
        <v>1994</v>
      </c>
      <c r="N399" s="1" t="s">
        <v>1287</v>
      </c>
      <c r="O399" s="1" t="s">
        <v>1549</v>
      </c>
      <c r="P399" s="34" t="str">
        <f t="shared" si="8"/>
        <v>F010</v>
      </c>
      <c r="Q399" s="1" t="s">
        <v>138</v>
      </c>
      <c r="S399" s="16">
        <v>20</v>
      </c>
      <c r="T399" s="1" t="s">
        <v>302</v>
      </c>
      <c r="U399" s="1" t="s">
        <v>1994</v>
      </c>
      <c r="V399" s="1" t="s">
        <v>1533</v>
      </c>
      <c r="Y399" s="1">
        <v>76000</v>
      </c>
      <c r="AB399" s="1">
        <v>76000</v>
      </c>
    </row>
    <row r="400" spans="2:28" x14ac:dyDescent="0.2">
      <c r="B400" s="30" t="s">
        <v>1984</v>
      </c>
      <c r="C400" s="36"/>
      <c r="D400" s="36"/>
      <c r="F400" s="1" t="s">
        <v>1322</v>
      </c>
      <c r="G400" s="1" t="s">
        <v>2161</v>
      </c>
      <c r="K400" s="1" t="s">
        <v>2162</v>
      </c>
      <c r="L400" s="1" t="s">
        <v>1279</v>
      </c>
      <c r="M400" s="1" t="s">
        <v>1999</v>
      </c>
      <c r="N400" s="1" t="s">
        <v>1284</v>
      </c>
      <c r="O400" s="1" t="s">
        <v>1549</v>
      </c>
      <c r="P400" s="34" t="str">
        <f t="shared" si="8"/>
        <v>F010</v>
      </c>
      <c r="Q400" s="1" t="s">
        <v>127</v>
      </c>
      <c r="S400" s="16">
        <v>20</v>
      </c>
      <c r="T400" s="1" t="s">
        <v>302</v>
      </c>
      <c r="U400" s="1" t="s">
        <v>1999</v>
      </c>
      <c r="V400" s="1" t="s">
        <v>1716</v>
      </c>
      <c r="Y400" s="1">
        <v>58514</v>
      </c>
      <c r="AB400" s="1">
        <v>28281.73</v>
      </c>
    </row>
    <row r="401" spans="2:28" x14ac:dyDescent="0.2">
      <c r="B401" s="30" t="s">
        <v>1984</v>
      </c>
      <c r="C401" s="36"/>
      <c r="D401" s="36"/>
      <c r="F401" s="1" t="s">
        <v>1322</v>
      </c>
      <c r="G401" s="1" t="s">
        <v>2163</v>
      </c>
      <c r="K401" s="1" t="s">
        <v>2164</v>
      </c>
      <c r="L401" s="1" t="s">
        <v>1279</v>
      </c>
      <c r="M401" s="1" t="s">
        <v>2068</v>
      </c>
      <c r="N401" s="1" t="s">
        <v>1287</v>
      </c>
      <c r="O401" s="1" t="s">
        <v>1549</v>
      </c>
      <c r="P401" s="34" t="str">
        <f t="shared" si="8"/>
        <v>F010</v>
      </c>
      <c r="Q401" s="1" t="s">
        <v>127</v>
      </c>
      <c r="S401" s="16">
        <v>20</v>
      </c>
      <c r="T401" s="1" t="s">
        <v>302</v>
      </c>
      <c r="U401" s="1" t="s">
        <v>2068</v>
      </c>
      <c r="V401" s="1" t="s">
        <v>2069</v>
      </c>
      <c r="Y401" s="1">
        <v>1576415.13</v>
      </c>
      <c r="AB401" s="1">
        <v>525471.75</v>
      </c>
    </row>
    <row r="402" spans="2:28" x14ac:dyDescent="0.2">
      <c r="B402" s="30" t="s">
        <v>1984</v>
      </c>
      <c r="C402" s="36"/>
      <c r="D402" s="36"/>
      <c r="F402" s="1" t="s">
        <v>1322</v>
      </c>
      <c r="G402" s="1" t="s">
        <v>2165</v>
      </c>
      <c r="K402" s="1" t="s">
        <v>2166</v>
      </c>
      <c r="L402" s="1" t="s">
        <v>1279</v>
      </c>
      <c r="M402" s="1" t="s">
        <v>2167</v>
      </c>
      <c r="N402" s="1" t="s">
        <v>1715</v>
      </c>
      <c r="O402" s="1" t="s">
        <v>1549</v>
      </c>
      <c r="P402" s="34" t="str">
        <f t="shared" si="8"/>
        <v>F010</v>
      </c>
      <c r="Q402" s="1" t="s">
        <v>127</v>
      </c>
      <c r="S402" s="16">
        <v>20</v>
      </c>
      <c r="T402" s="1" t="s">
        <v>302</v>
      </c>
      <c r="U402" s="1" t="s">
        <v>2167</v>
      </c>
      <c r="V402" s="1" t="s">
        <v>1484</v>
      </c>
      <c r="Y402" s="1">
        <v>90866.01</v>
      </c>
      <c r="AB402" s="1">
        <v>90866.01</v>
      </c>
    </row>
    <row r="403" spans="2:28" x14ac:dyDescent="0.2">
      <c r="B403" s="30" t="s">
        <v>1984</v>
      </c>
      <c r="C403" s="36"/>
      <c r="D403" s="36"/>
      <c r="F403" s="1" t="s">
        <v>1322</v>
      </c>
      <c r="G403" s="1" t="s">
        <v>2168</v>
      </c>
      <c r="K403" s="1" t="s">
        <v>2169</v>
      </c>
      <c r="L403" s="1" t="s">
        <v>1279</v>
      </c>
      <c r="M403" s="1" t="s">
        <v>2043</v>
      </c>
      <c r="N403" s="1" t="s">
        <v>1287</v>
      </c>
      <c r="O403" s="1" t="s">
        <v>1549</v>
      </c>
      <c r="P403" s="34" t="str">
        <f t="shared" si="8"/>
        <v>F010</v>
      </c>
      <c r="Q403" s="1" t="s">
        <v>138</v>
      </c>
      <c r="S403" s="16">
        <v>20</v>
      </c>
      <c r="T403" s="1" t="s">
        <v>302</v>
      </c>
      <c r="U403" s="1" t="s">
        <v>2043</v>
      </c>
      <c r="V403" s="1" t="s">
        <v>1329</v>
      </c>
      <c r="Y403" s="1">
        <v>32169.68</v>
      </c>
      <c r="AB403" s="1">
        <v>32169.68</v>
      </c>
    </row>
    <row r="404" spans="2:28" x14ac:dyDescent="0.2">
      <c r="B404" s="30" t="s">
        <v>1984</v>
      </c>
      <c r="C404" s="36"/>
      <c r="D404" s="36"/>
      <c r="F404" s="1" t="s">
        <v>1322</v>
      </c>
      <c r="G404" s="1" t="s">
        <v>2170</v>
      </c>
      <c r="K404" s="1" t="s">
        <v>2171</v>
      </c>
      <c r="L404" s="1" t="s">
        <v>1279</v>
      </c>
      <c r="M404" s="1" t="s">
        <v>2043</v>
      </c>
      <c r="N404" s="1" t="s">
        <v>1287</v>
      </c>
      <c r="O404" s="1" t="s">
        <v>1549</v>
      </c>
      <c r="P404" s="34" t="str">
        <f t="shared" si="8"/>
        <v>F010</v>
      </c>
      <c r="Q404" s="1" t="s">
        <v>138</v>
      </c>
      <c r="S404" s="16">
        <v>20</v>
      </c>
      <c r="T404" s="1" t="s">
        <v>302</v>
      </c>
      <c r="U404" s="1" t="s">
        <v>2043</v>
      </c>
      <c r="V404" s="1" t="s">
        <v>1329</v>
      </c>
      <c r="Y404" s="1">
        <v>32169.68</v>
      </c>
      <c r="AB404" s="1">
        <v>32169.68</v>
      </c>
    </row>
    <row r="405" spans="2:28" x14ac:dyDescent="0.2">
      <c r="B405" s="30" t="s">
        <v>1984</v>
      </c>
      <c r="C405" s="36"/>
      <c r="D405" s="36"/>
      <c r="F405" s="1" t="s">
        <v>1322</v>
      </c>
      <c r="G405" s="1" t="s">
        <v>2172</v>
      </c>
      <c r="K405" s="1" t="s">
        <v>2173</v>
      </c>
      <c r="L405" s="1" t="s">
        <v>1279</v>
      </c>
      <c r="M405" s="1" t="s">
        <v>2043</v>
      </c>
      <c r="N405" s="1" t="s">
        <v>1287</v>
      </c>
      <c r="O405" s="1" t="s">
        <v>1549</v>
      </c>
      <c r="P405" s="34" t="str">
        <f t="shared" si="8"/>
        <v>F010</v>
      </c>
      <c r="Q405" s="1" t="s">
        <v>138</v>
      </c>
      <c r="S405" s="16">
        <v>20</v>
      </c>
      <c r="T405" s="1" t="s">
        <v>302</v>
      </c>
      <c r="U405" s="1" t="s">
        <v>2043</v>
      </c>
      <c r="V405" s="1" t="s">
        <v>1329</v>
      </c>
      <c r="Y405" s="1">
        <v>96509.08</v>
      </c>
      <c r="AB405" s="1">
        <v>96509.08</v>
      </c>
    </row>
    <row r="406" spans="2:28" x14ac:dyDescent="0.2">
      <c r="B406" s="30" t="s">
        <v>1984</v>
      </c>
      <c r="C406" s="36"/>
      <c r="D406" s="36"/>
      <c r="F406" s="1" t="s">
        <v>1322</v>
      </c>
      <c r="G406" s="1" t="s">
        <v>2174</v>
      </c>
      <c r="K406" s="1" t="s">
        <v>2175</v>
      </c>
      <c r="L406" s="1" t="s">
        <v>1279</v>
      </c>
      <c r="M406" s="1" t="s">
        <v>1329</v>
      </c>
      <c r="N406" s="1" t="s">
        <v>1294</v>
      </c>
      <c r="O406" s="1" t="s">
        <v>1549</v>
      </c>
      <c r="P406" s="34" t="str">
        <f t="shared" si="8"/>
        <v>F010</v>
      </c>
      <c r="Q406" s="1" t="s">
        <v>127</v>
      </c>
      <c r="S406" s="16">
        <v>20</v>
      </c>
      <c r="T406" s="1" t="s">
        <v>302</v>
      </c>
      <c r="U406" s="1" t="s">
        <v>1329</v>
      </c>
      <c r="V406" s="1" t="s">
        <v>1460</v>
      </c>
      <c r="Y406" s="1">
        <v>445000</v>
      </c>
      <c r="AB406" s="1">
        <v>445000</v>
      </c>
    </row>
    <row r="407" spans="2:28" x14ac:dyDescent="0.2">
      <c r="B407" s="30" t="s">
        <v>1984</v>
      </c>
      <c r="C407" s="36"/>
      <c r="D407" s="36"/>
      <c r="F407" s="1" t="s">
        <v>1322</v>
      </c>
      <c r="G407" s="1" t="s">
        <v>2176</v>
      </c>
      <c r="K407" s="1" t="s">
        <v>2177</v>
      </c>
      <c r="L407" s="1" t="s">
        <v>1279</v>
      </c>
      <c r="M407" s="1" t="s">
        <v>1476</v>
      </c>
      <c r="N407" s="1" t="s">
        <v>1287</v>
      </c>
      <c r="O407" s="1" t="s">
        <v>1549</v>
      </c>
      <c r="P407" s="34" t="str">
        <f t="shared" si="8"/>
        <v/>
      </c>
      <c r="S407" s="16">
        <v>20</v>
      </c>
      <c r="T407" s="1" t="s">
        <v>302</v>
      </c>
      <c r="U407" s="1" t="s">
        <v>1476</v>
      </c>
      <c r="V407" s="1" t="s">
        <v>1610</v>
      </c>
      <c r="Y407" s="1">
        <v>214527.6</v>
      </c>
      <c r="AB407" s="1">
        <v>21452.76</v>
      </c>
    </row>
    <row r="408" spans="2:28" x14ac:dyDescent="0.2">
      <c r="B408" s="30" t="s">
        <v>1984</v>
      </c>
      <c r="C408" s="36"/>
      <c r="D408" s="36"/>
      <c r="F408" s="1" t="s">
        <v>1322</v>
      </c>
      <c r="G408" s="1" t="s">
        <v>2178</v>
      </c>
      <c r="K408" s="1" t="s">
        <v>2179</v>
      </c>
      <c r="L408" s="1" t="s">
        <v>1279</v>
      </c>
      <c r="M408" s="1" t="s">
        <v>1329</v>
      </c>
      <c r="N408" s="1" t="s">
        <v>1287</v>
      </c>
      <c r="O408" s="1" t="s">
        <v>1549</v>
      </c>
      <c r="P408" s="34" t="str">
        <f t="shared" si="8"/>
        <v>F010</v>
      </c>
      <c r="Q408" s="1" t="s">
        <v>138</v>
      </c>
      <c r="S408" s="16">
        <v>20</v>
      </c>
      <c r="T408" s="1" t="s">
        <v>302</v>
      </c>
      <c r="U408" s="1" t="s">
        <v>1329</v>
      </c>
      <c r="V408" s="1" t="s">
        <v>1460</v>
      </c>
      <c r="Y408" s="1">
        <v>413742.7</v>
      </c>
      <c r="AB408" s="1">
        <v>413742.7</v>
      </c>
    </row>
    <row r="409" spans="2:28" x14ac:dyDescent="0.2">
      <c r="B409" s="30" t="s">
        <v>1984</v>
      </c>
      <c r="C409" s="36"/>
      <c r="D409" s="36"/>
      <c r="F409" s="1" t="s">
        <v>1322</v>
      </c>
      <c r="G409" s="1" t="s">
        <v>2180</v>
      </c>
      <c r="K409" s="1" t="s">
        <v>2181</v>
      </c>
      <c r="L409" s="1" t="s">
        <v>1279</v>
      </c>
      <c r="M409" s="1" t="s">
        <v>1453</v>
      </c>
      <c r="N409" s="1" t="s">
        <v>1837</v>
      </c>
      <c r="O409" s="1" t="s">
        <v>1549</v>
      </c>
      <c r="P409" s="34" t="str">
        <f t="shared" si="8"/>
        <v>F010</v>
      </c>
      <c r="Q409" s="1" t="s">
        <v>137</v>
      </c>
      <c r="S409" s="16">
        <v>20</v>
      </c>
      <c r="T409" s="1" t="s">
        <v>302</v>
      </c>
      <c r="U409" s="1" t="s">
        <v>1453</v>
      </c>
      <c r="V409" s="1" t="s">
        <v>1794</v>
      </c>
      <c r="Y409" s="1">
        <v>238000</v>
      </c>
      <c r="AB409" s="1">
        <v>238000</v>
      </c>
    </row>
    <row r="410" spans="2:28" x14ac:dyDescent="0.2">
      <c r="B410" s="30" t="s">
        <v>1984</v>
      </c>
      <c r="C410" s="36"/>
      <c r="D410" s="36"/>
      <c r="F410" s="1" t="s">
        <v>1322</v>
      </c>
      <c r="G410" s="1" t="s">
        <v>2182</v>
      </c>
      <c r="K410" s="1" t="s">
        <v>2183</v>
      </c>
      <c r="L410" s="1" t="s">
        <v>1279</v>
      </c>
      <c r="M410" s="1" t="s">
        <v>1480</v>
      </c>
      <c r="N410" s="1" t="s">
        <v>1658</v>
      </c>
      <c r="O410" s="1" t="s">
        <v>1549</v>
      </c>
      <c r="P410" s="34" t="str">
        <f t="shared" si="8"/>
        <v>F010</v>
      </c>
      <c r="Q410" s="1" t="s">
        <v>127</v>
      </c>
      <c r="S410" s="16">
        <v>20</v>
      </c>
      <c r="T410" s="1" t="s">
        <v>302</v>
      </c>
      <c r="U410" s="1" t="s">
        <v>1480</v>
      </c>
      <c r="V410" s="1" t="s">
        <v>2184</v>
      </c>
      <c r="Y410" s="1">
        <v>393609.96</v>
      </c>
      <c r="AB410" s="1">
        <v>104962.72</v>
      </c>
    </row>
    <row r="411" spans="2:28" x14ac:dyDescent="0.2">
      <c r="B411" s="30" t="s">
        <v>1984</v>
      </c>
      <c r="C411" s="36"/>
      <c r="D411" s="36"/>
      <c r="F411" s="1" t="s">
        <v>1322</v>
      </c>
      <c r="G411" s="1" t="s">
        <v>2185</v>
      </c>
      <c r="K411" s="1" t="s">
        <v>2186</v>
      </c>
      <c r="L411" s="1" t="s">
        <v>1279</v>
      </c>
      <c r="M411" s="1" t="s">
        <v>1459</v>
      </c>
      <c r="N411" s="1" t="s">
        <v>2150</v>
      </c>
      <c r="O411" s="1" t="s">
        <v>1549</v>
      </c>
      <c r="P411" s="34" t="str">
        <f t="shared" si="8"/>
        <v>F010</v>
      </c>
      <c r="Q411" s="1" t="s">
        <v>138</v>
      </c>
      <c r="S411" s="16">
        <v>20</v>
      </c>
      <c r="T411" s="1" t="s">
        <v>302</v>
      </c>
      <c r="U411" s="1" t="s">
        <v>1459</v>
      </c>
      <c r="V411" s="1" t="s">
        <v>1436</v>
      </c>
      <c r="Y411" s="1">
        <v>188136.14</v>
      </c>
      <c r="AB411" s="1">
        <v>188136.14</v>
      </c>
    </row>
    <row r="412" spans="2:28" x14ac:dyDescent="0.2">
      <c r="B412" s="30" t="s">
        <v>1984</v>
      </c>
      <c r="C412" s="36"/>
      <c r="D412" s="36"/>
      <c r="F412" s="1" t="s">
        <v>1322</v>
      </c>
      <c r="G412" s="1" t="s">
        <v>2187</v>
      </c>
      <c r="K412" s="1" t="s">
        <v>2188</v>
      </c>
      <c r="L412" s="1" t="s">
        <v>1279</v>
      </c>
      <c r="M412" s="1" t="s">
        <v>1533</v>
      </c>
      <c r="N412" s="1" t="s">
        <v>1284</v>
      </c>
      <c r="O412" s="1" t="s">
        <v>1549</v>
      </c>
      <c r="P412" s="34" t="str">
        <f t="shared" si="8"/>
        <v>F010</v>
      </c>
      <c r="Q412" s="1" t="s">
        <v>127</v>
      </c>
      <c r="S412" s="16">
        <v>20</v>
      </c>
      <c r="T412" s="1" t="s">
        <v>302</v>
      </c>
      <c r="U412" s="1" t="s">
        <v>1533</v>
      </c>
      <c r="V412" s="1" t="s">
        <v>1535</v>
      </c>
      <c r="Y412" s="1">
        <v>569000</v>
      </c>
      <c r="AB412" s="1">
        <v>569000</v>
      </c>
    </row>
    <row r="413" spans="2:28" x14ac:dyDescent="0.2">
      <c r="B413" s="30" t="s">
        <v>1984</v>
      </c>
      <c r="C413" s="36"/>
      <c r="D413" s="36"/>
      <c r="F413" s="1" t="s">
        <v>1322</v>
      </c>
      <c r="G413" s="1" t="s">
        <v>2189</v>
      </c>
      <c r="K413" s="1" t="s">
        <v>2190</v>
      </c>
      <c r="L413" s="1" t="s">
        <v>1279</v>
      </c>
      <c r="M413" s="1" t="s">
        <v>1459</v>
      </c>
      <c r="N413" s="1" t="s">
        <v>2150</v>
      </c>
      <c r="O413" s="1" t="s">
        <v>1549</v>
      </c>
      <c r="P413" s="34" t="str">
        <f t="shared" si="8"/>
        <v>F010</v>
      </c>
      <c r="Q413" s="1" t="s">
        <v>138</v>
      </c>
      <c r="S413" s="16">
        <v>20</v>
      </c>
      <c r="T413" s="1" t="s">
        <v>302</v>
      </c>
      <c r="U413" s="1" t="s">
        <v>1459</v>
      </c>
      <c r="V413" s="1" t="s">
        <v>1436</v>
      </c>
      <c r="Y413" s="1">
        <v>777113.86</v>
      </c>
      <c r="AB413" s="1">
        <v>777113.86</v>
      </c>
    </row>
    <row r="414" spans="2:28" x14ac:dyDescent="0.2">
      <c r="B414" s="30" t="s">
        <v>1984</v>
      </c>
      <c r="C414" s="36"/>
      <c r="D414" s="36"/>
      <c r="F414" s="1" t="s">
        <v>1322</v>
      </c>
      <c r="G414" s="1" t="s">
        <v>2191</v>
      </c>
      <c r="K414" s="1" t="s">
        <v>2192</v>
      </c>
      <c r="L414" s="1" t="s">
        <v>1279</v>
      </c>
      <c r="M414" s="1" t="s">
        <v>2068</v>
      </c>
      <c r="N414" s="1" t="s">
        <v>1287</v>
      </c>
      <c r="O414" s="1" t="s">
        <v>1549</v>
      </c>
      <c r="P414" s="34" t="str">
        <f t="shared" si="8"/>
        <v>F010</v>
      </c>
      <c r="Q414" s="1" t="s">
        <v>127</v>
      </c>
      <c r="S414" s="16">
        <v>20</v>
      </c>
      <c r="T414" s="1" t="s">
        <v>302</v>
      </c>
      <c r="U414" s="1" t="s">
        <v>2068</v>
      </c>
      <c r="V414" s="1" t="s">
        <v>2069</v>
      </c>
      <c r="Y414" s="1">
        <v>512820.54</v>
      </c>
      <c r="AB414" s="1">
        <v>170940.2</v>
      </c>
    </row>
    <row r="415" spans="2:28" x14ac:dyDescent="0.2">
      <c r="B415" s="30" t="s">
        <v>1984</v>
      </c>
      <c r="C415" s="36"/>
      <c r="D415" s="36"/>
      <c r="F415" s="1" t="s">
        <v>1322</v>
      </c>
      <c r="G415" s="1" t="s">
        <v>2193</v>
      </c>
      <c r="K415" s="1" t="s">
        <v>2194</v>
      </c>
      <c r="L415" s="1" t="s">
        <v>1279</v>
      </c>
      <c r="M415" s="1" t="s">
        <v>2057</v>
      </c>
      <c r="N415" s="1" t="s">
        <v>1284</v>
      </c>
      <c r="O415" s="1" t="s">
        <v>1549</v>
      </c>
      <c r="P415" s="34" t="str">
        <f t="shared" si="8"/>
        <v>F010</v>
      </c>
      <c r="Q415" s="1" t="s">
        <v>127</v>
      </c>
      <c r="S415" s="16">
        <v>20</v>
      </c>
      <c r="T415" s="1" t="s">
        <v>302</v>
      </c>
      <c r="U415" s="1" t="s">
        <v>2057</v>
      </c>
      <c r="V415" s="1" t="s">
        <v>1594</v>
      </c>
      <c r="Y415" s="1">
        <v>390000</v>
      </c>
      <c r="AB415" s="1">
        <v>390000</v>
      </c>
    </row>
    <row r="416" spans="2:28" x14ac:dyDescent="0.2">
      <c r="B416" s="30" t="s">
        <v>1984</v>
      </c>
      <c r="C416" s="36"/>
      <c r="D416" s="36"/>
      <c r="F416" s="1" t="s">
        <v>1322</v>
      </c>
      <c r="G416" s="1" t="s">
        <v>2195</v>
      </c>
      <c r="K416" s="1" t="s">
        <v>2196</v>
      </c>
      <c r="L416" s="1" t="s">
        <v>1279</v>
      </c>
      <c r="M416" s="1" t="s">
        <v>2197</v>
      </c>
      <c r="N416" s="1" t="s">
        <v>1286</v>
      </c>
      <c r="O416" s="1" t="s">
        <v>1549</v>
      </c>
      <c r="P416" s="34" t="str">
        <f t="shared" si="8"/>
        <v>F010</v>
      </c>
      <c r="Q416" s="1" t="s">
        <v>138</v>
      </c>
      <c r="S416" s="16">
        <v>20</v>
      </c>
      <c r="T416" s="1" t="s">
        <v>302</v>
      </c>
      <c r="U416" s="1" t="s">
        <v>2197</v>
      </c>
      <c r="V416" s="1" t="s">
        <v>2198</v>
      </c>
      <c r="Y416" s="1">
        <v>10000</v>
      </c>
      <c r="AB416" s="1">
        <v>5833.39</v>
      </c>
    </row>
    <row r="417" spans="2:28" x14ac:dyDescent="0.2">
      <c r="B417" s="30" t="s">
        <v>1984</v>
      </c>
      <c r="C417" s="36"/>
      <c r="D417" s="36"/>
      <c r="F417" s="1" t="s">
        <v>1322</v>
      </c>
      <c r="G417" s="1" t="s">
        <v>2199</v>
      </c>
      <c r="K417" s="1" t="s">
        <v>2200</v>
      </c>
      <c r="L417" s="1" t="s">
        <v>1279</v>
      </c>
      <c r="M417" s="1" t="s">
        <v>1691</v>
      </c>
      <c r="N417" s="1" t="s">
        <v>1287</v>
      </c>
      <c r="O417" s="1" t="s">
        <v>1549</v>
      </c>
      <c r="P417" s="34" t="str">
        <f t="shared" si="8"/>
        <v>F010</v>
      </c>
      <c r="Q417" s="1" t="s">
        <v>138</v>
      </c>
      <c r="S417" s="16">
        <v>20</v>
      </c>
      <c r="T417" s="1" t="s">
        <v>302</v>
      </c>
      <c r="U417" s="1" t="s">
        <v>1691</v>
      </c>
      <c r="V417" s="1" t="s">
        <v>1327</v>
      </c>
      <c r="Y417" s="1">
        <v>110000</v>
      </c>
      <c r="AB417" s="1">
        <v>110000</v>
      </c>
    </row>
    <row r="418" spans="2:28" x14ac:dyDescent="0.2">
      <c r="B418" s="30" t="s">
        <v>1984</v>
      </c>
      <c r="C418" s="36"/>
      <c r="D418" s="36"/>
      <c r="F418" s="1" t="s">
        <v>1322</v>
      </c>
      <c r="G418" s="1" t="s">
        <v>2201</v>
      </c>
      <c r="K418" s="1" t="s">
        <v>2202</v>
      </c>
      <c r="L418" s="1" t="s">
        <v>1279</v>
      </c>
      <c r="M418" s="1" t="s">
        <v>2203</v>
      </c>
      <c r="N418" s="1" t="s">
        <v>1287</v>
      </c>
      <c r="O418" s="1" t="s">
        <v>1549</v>
      </c>
      <c r="P418" s="34" t="str">
        <f t="shared" si="8"/>
        <v>F010</v>
      </c>
      <c r="Q418" s="1" t="s">
        <v>138</v>
      </c>
      <c r="S418" s="16">
        <v>20</v>
      </c>
      <c r="T418" s="1" t="s">
        <v>302</v>
      </c>
      <c r="U418" s="1" t="s">
        <v>2203</v>
      </c>
      <c r="V418" s="1" t="s">
        <v>1453</v>
      </c>
      <c r="Y418" s="1">
        <v>153600</v>
      </c>
      <c r="AB418" s="1">
        <v>153600</v>
      </c>
    </row>
    <row r="419" spans="2:28" x14ac:dyDescent="0.2">
      <c r="B419" s="30" t="s">
        <v>1984</v>
      </c>
      <c r="C419" s="36"/>
      <c r="D419" s="36"/>
      <c r="F419" s="1" t="s">
        <v>1322</v>
      </c>
      <c r="G419" s="1" t="s">
        <v>2204</v>
      </c>
      <c r="K419" s="1" t="s">
        <v>2205</v>
      </c>
      <c r="L419" s="1" t="s">
        <v>1279</v>
      </c>
      <c r="M419" s="1" t="s">
        <v>2081</v>
      </c>
      <c r="N419" s="1" t="s">
        <v>1287</v>
      </c>
      <c r="O419" s="1" t="s">
        <v>1549</v>
      </c>
      <c r="P419" s="34" t="str">
        <f t="shared" si="8"/>
        <v>F010</v>
      </c>
      <c r="Q419" s="1" t="s">
        <v>138</v>
      </c>
      <c r="S419" s="16">
        <v>20</v>
      </c>
      <c r="T419" s="1" t="s">
        <v>302</v>
      </c>
      <c r="U419" s="1" t="s">
        <v>2081</v>
      </c>
      <c r="V419" s="1" t="s">
        <v>1572</v>
      </c>
      <c r="Y419" s="1">
        <v>11800</v>
      </c>
      <c r="AB419" s="1">
        <v>11800</v>
      </c>
    </row>
    <row r="420" spans="2:28" x14ac:dyDescent="0.2">
      <c r="B420" s="30" t="s">
        <v>1984</v>
      </c>
      <c r="C420" s="36"/>
      <c r="D420" s="36"/>
      <c r="F420" s="1" t="s">
        <v>1322</v>
      </c>
      <c r="G420" s="1" t="s">
        <v>2206</v>
      </c>
      <c r="K420" s="1" t="s">
        <v>2207</v>
      </c>
      <c r="L420" s="1" t="s">
        <v>1279</v>
      </c>
      <c r="M420" s="1" t="s">
        <v>2208</v>
      </c>
      <c r="N420" s="1" t="s">
        <v>1287</v>
      </c>
      <c r="O420" s="1" t="s">
        <v>1549</v>
      </c>
      <c r="P420" s="34" t="str">
        <f t="shared" si="8"/>
        <v>F010</v>
      </c>
      <c r="Q420" s="1" t="s">
        <v>138</v>
      </c>
      <c r="S420" s="16">
        <v>20</v>
      </c>
      <c r="T420" s="1" t="s">
        <v>302</v>
      </c>
      <c r="U420" s="1" t="s">
        <v>2208</v>
      </c>
      <c r="V420" s="1" t="s">
        <v>1441</v>
      </c>
      <c r="Y420" s="1">
        <v>115000</v>
      </c>
      <c r="AB420" s="1">
        <v>115000</v>
      </c>
    </row>
    <row r="421" spans="2:28" x14ac:dyDescent="0.2">
      <c r="B421" s="30" t="s">
        <v>1984</v>
      </c>
      <c r="C421" s="36"/>
      <c r="D421" s="36"/>
      <c r="F421" s="1" t="s">
        <v>1322</v>
      </c>
      <c r="G421" s="1" t="s">
        <v>2209</v>
      </c>
      <c r="K421" s="1" t="s">
        <v>2210</v>
      </c>
      <c r="L421" s="1" t="s">
        <v>1279</v>
      </c>
      <c r="M421" s="1" t="s">
        <v>1840</v>
      </c>
      <c r="N421" s="1" t="s">
        <v>1287</v>
      </c>
      <c r="O421" s="1" t="s">
        <v>1549</v>
      </c>
      <c r="P421" s="34" t="str">
        <f t="shared" si="8"/>
        <v>F010</v>
      </c>
      <c r="Q421" s="1" t="s">
        <v>127</v>
      </c>
      <c r="S421" s="16">
        <v>20</v>
      </c>
      <c r="T421" s="1" t="s">
        <v>302</v>
      </c>
      <c r="U421" s="1" t="s">
        <v>1840</v>
      </c>
      <c r="V421" s="1" t="s">
        <v>1477</v>
      </c>
      <c r="Y421" s="1">
        <v>57179.49</v>
      </c>
      <c r="AB421" s="1">
        <v>9529.9</v>
      </c>
    </row>
    <row r="422" spans="2:28" s="58" customFormat="1" x14ac:dyDescent="0.2">
      <c r="B422" s="56" t="s">
        <v>1984</v>
      </c>
      <c r="C422" s="57">
        <v>8620</v>
      </c>
      <c r="D422" s="48">
        <f>+C422/100000</f>
        <v>8.6199999999999999E-2</v>
      </c>
      <c r="E422" s="58" t="s">
        <v>1331</v>
      </c>
      <c r="F422" s="58" t="s">
        <v>1322</v>
      </c>
      <c r="G422" s="58" t="s">
        <v>2211</v>
      </c>
      <c r="K422" s="58" t="s">
        <v>2212</v>
      </c>
      <c r="L422" s="58" t="s">
        <v>1279</v>
      </c>
      <c r="M422" s="58" t="s">
        <v>1582</v>
      </c>
      <c r="N422" s="58" t="s">
        <v>1573</v>
      </c>
      <c r="O422" s="58" t="s">
        <v>1549</v>
      </c>
      <c r="P422" s="58" t="str">
        <f t="shared" si="8"/>
        <v>F010</v>
      </c>
      <c r="Q422" s="58" t="s">
        <v>137</v>
      </c>
      <c r="S422" s="59">
        <v>20</v>
      </c>
      <c r="T422" s="58" t="s">
        <v>302</v>
      </c>
      <c r="U422" s="58" t="s">
        <v>1582</v>
      </c>
      <c r="V422" s="58" t="s">
        <v>1476</v>
      </c>
      <c r="Y422" s="58">
        <v>81272.2</v>
      </c>
      <c r="AB422" s="58">
        <v>81272.2</v>
      </c>
    </row>
    <row r="423" spans="2:28" s="58" customFormat="1" x14ac:dyDescent="0.2">
      <c r="B423" s="56" t="s">
        <v>1984</v>
      </c>
      <c r="C423" s="57">
        <v>91380</v>
      </c>
      <c r="D423" s="48">
        <f>+C423/100000</f>
        <v>0.91379999999999995</v>
      </c>
      <c r="E423" s="58" t="s">
        <v>1337</v>
      </c>
      <c r="F423" s="58" t="s">
        <v>1322</v>
      </c>
      <c r="G423" s="58" t="s">
        <v>2211</v>
      </c>
      <c r="K423" s="58" t="s">
        <v>2212</v>
      </c>
      <c r="L423" s="58" t="s">
        <v>1279</v>
      </c>
      <c r="M423" s="58" t="s">
        <v>1582</v>
      </c>
      <c r="N423" s="58" t="s">
        <v>1287</v>
      </c>
      <c r="O423" s="58" t="s">
        <v>1549</v>
      </c>
      <c r="P423" s="58" t="str">
        <f t="shared" si="8"/>
        <v>F010</v>
      </c>
      <c r="Q423" s="58" t="s">
        <v>137</v>
      </c>
      <c r="S423" s="59">
        <v>20</v>
      </c>
      <c r="T423" s="58" t="s">
        <v>302</v>
      </c>
      <c r="U423" s="58" t="s">
        <v>1582</v>
      </c>
      <c r="V423" s="58" t="s">
        <v>1476</v>
      </c>
      <c r="Y423" s="58">
        <v>861560.8</v>
      </c>
      <c r="AB423" s="58">
        <v>861560.8</v>
      </c>
    </row>
    <row r="424" spans="2:28" x14ac:dyDescent="0.2">
      <c r="B424" s="30" t="s">
        <v>1984</v>
      </c>
      <c r="C424" s="36"/>
      <c r="D424" s="36"/>
      <c r="F424" s="1" t="s">
        <v>1322</v>
      </c>
      <c r="G424" s="1" t="s">
        <v>2213</v>
      </c>
      <c r="K424" s="1" t="s">
        <v>2214</v>
      </c>
      <c r="L424" s="1" t="s">
        <v>1279</v>
      </c>
      <c r="M424" s="1" t="s">
        <v>1511</v>
      </c>
      <c r="N424" s="1" t="s">
        <v>1287</v>
      </c>
      <c r="O424" s="1" t="s">
        <v>1549</v>
      </c>
      <c r="P424" s="34" t="str">
        <f t="shared" si="8"/>
        <v>F010</v>
      </c>
      <c r="Q424" s="1" t="s">
        <v>127</v>
      </c>
      <c r="S424" s="16">
        <v>20</v>
      </c>
      <c r="T424" s="1" t="s">
        <v>302</v>
      </c>
      <c r="U424" s="1" t="s">
        <v>1511</v>
      </c>
      <c r="V424" s="1" t="s">
        <v>1617</v>
      </c>
      <c r="Y424" s="1">
        <v>555208.4</v>
      </c>
      <c r="AB424" s="1">
        <v>175815.95</v>
      </c>
    </row>
    <row r="425" spans="2:28" x14ac:dyDescent="0.2">
      <c r="B425" s="30" t="s">
        <v>1984</v>
      </c>
      <c r="C425" s="36"/>
      <c r="D425" s="36"/>
      <c r="F425" s="1" t="s">
        <v>1322</v>
      </c>
      <c r="G425" s="1" t="s">
        <v>2215</v>
      </c>
      <c r="K425" s="1" t="s">
        <v>2216</v>
      </c>
      <c r="L425" s="1" t="s">
        <v>1279</v>
      </c>
      <c r="M425" s="1" t="s">
        <v>2135</v>
      </c>
      <c r="N425" s="1" t="s">
        <v>1715</v>
      </c>
      <c r="O425" s="1" t="s">
        <v>1549</v>
      </c>
      <c r="P425" s="34" t="str">
        <f t="shared" si="8"/>
        <v>F010</v>
      </c>
      <c r="Q425" s="1" t="s">
        <v>127</v>
      </c>
      <c r="S425" s="16">
        <v>20</v>
      </c>
      <c r="T425" s="1" t="s">
        <v>302</v>
      </c>
      <c r="U425" s="1" t="s">
        <v>2135</v>
      </c>
      <c r="V425" s="1" t="s">
        <v>1645</v>
      </c>
      <c r="Y425" s="1">
        <v>900000</v>
      </c>
      <c r="AB425" s="1">
        <v>900000</v>
      </c>
    </row>
    <row r="426" spans="2:28" x14ac:dyDescent="0.2">
      <c r="B426" s="30" t="s">
        <v>1984</v>
      </c>
      <c r="C426" s="36"/>
      <c r="D426" s="36"/>
      <c r="F426" s="1" t="s">
        <v>1322</v>
      </c>
      <c r="G426" s="1" t="s">
        <v>2217</v>
      </c>
      <c r="K426" s="1" t="s">
        <v>2218</v>
      </c>
      <c r="L426" s="1" t="s">
        <v>1279</v>
      </c>
      <c r="M426" s="1" t="s">
        <v>2135</v>
      </c>
      <c r="N426" s="1" t="s">
        <v>1287</v>
      </c>
      <c r="O426" s="1" t="s">
        <v>1549</v>
      </c>
      <c r="P426" s="34" t="str">
        <f t="shared" si="8"/>
        <v>F010</v>
      </c>
      <c r="Q426" s="1" t="s">
        <v>138</v>
      </c>
      <c r="S426" s="16">
        <v>20</v>
      </c>
      <c r="T426" s="1" t="s">
        <v>302</v>
      </c>
      <c r="U426" s="1" t="s">
        <v>2135</v>
      </c>
      <c r="V426" s="1" t="s">
        <v>1645</v>
      </c>
      <c r="Y426" s="1">
        <v>351700</v>
      </c>
      <c r="AB426" s="1">
        <v>351700</v>
      </c>
    </row>
    <row r="427" spans="2:28" x14ac:dyDescent="0.2">
      <c r="B427" s="30" t="s">
        <v>1984</v>
      </c>
      <c r="C427" s="36"/>
      <c r="D427" s="36"/>
      <c r="F427" s="1" t="s">
        <v>1322</v>
      </c>
      <c r="G427" s="1" t="s">
        <v>2219</v>
      </c>
      <c r="K427" s="1" t="s">
        <v>2220</v>
      </c>
      <c r="L427" s="1" t="s">
        <v>1279</v>
      </c>
      <c r="M427" s="1" t="s">
        <v>1548</v>
      </c>
      <c r="N427" s="1" t="s">
        <v>1287</v>
      </c>
      <c r="O427" s="1" t="s">
        <v>1549</v>
      </c>
      <c r="P427" s="34" t="str">
        <f t="shared" si="8"/>
        <v>F010</v>
      </c>
      <c r="Q427" s="1" t="s">
        <v>138</v>
      </c>
      <c r="S427" s="16">
        <v>20</v>
      </c>
      <c r="T427" s="1" t="s">
        <v>302</v>
      </c>
      <c r="U427" s="1" t="s">
        <v>1548</v>
      </c>
      <c r="V427" s="1" t="s">
        <v>2120</v>
      </c>
      <c r="Y427" s="1">
        <v>31000</v>
      </c>
      <c r="AB427" s="1">
        <v>31000</v>
      </c>
    </row>
    <row r="428" spans="2:28" x14ac:dyDescent="0.2">
      <c r="B428" s="30" t="s">
        <v>1984</v>
      </c>
      <c r="C428" s="36"/>
      <c r="D428" s="36"/>
      <c r="F428" s="1" t="s">
        <v>1322</v>
      </c>
      <c r="G428" s="1" t="s">
        <v>2221</v>
      </c>
      <c r="K428" s="1" t="s">
        <v>2222</v>
      </c>
      <c r="L428" s="1" t="s">
        <v>1279</v>
      </c>
      <c r="M428" s="1" t="s">
        <v>1548</v>
      </c>
      <c r="N428" s="1" t="s">
        <v>1287</v>
      </c>
      <c r="O428" s="1" t="s">
        <v>1549</v>
      </c>
      <c r="P428" s="34" t="str">
        <f t="shared" si="8"/>
        <v>F010</v>
      </c>
      <c r="Q428" s="1" t="s">
        <v>138</v>
      </c>
      <c r="S428" s="16">
        <v>20</v>
      </c>
      <c r="T428" s="1" t="s">
        <v>302</v>
      </c>
      <c r="U428" s="1" t="s">
        <v>1548</v>
      </c>
      <c r="V428" s="1" t="s">
        <v>2120</v>
      </c>
      <c r="Y428" s="1">
        <v>78000</v>
      </c>
      <c r="AB428" s="1">
        <v>78000</v>
      </c>
    </row>
    <row r="429" spans="2:28" x14ac:dyDescent="0.2">
      <c r="B429" s="30" t="s">
        <v>1984</v>
      </c>
      <c r="C429" s="36"/>
      <c r="D429" s="36"/>
      <c r="F429" s="1" t="s">
        <v>1322</v>
      </c>
      <c r="G429" s="1" t="s">
        <v>2223</v>
      </c>
      <c r="K429" s="1" t="s">
        <v>2224</v>
      </c>
      <c r="L429" s="1" t="s">
        <v>1279</v>
      </c>
      <c r="M429" s="1" t="s">
        <v>1641</v>
      </c>
      <c r="N429" s="1" t="s">
        <v>1286</v>
      </c>
      <c r="O429" s="1" t="s">
        <v>1549</v>
      </c>
      <c r="P429" s="34" t="str">
        <f t="shared" si="8"/>
        <v>F010</v>
      </c>
      <c r="Q429" s="1" t="s">
        <v>137</v>
      </c>
      <c r="S429" s="16">
        <v>20</v>
      </c>
      <c r="T429" s="1" t="s">
        <v>302</v>
      </c>
      <c r="U429" s="1" t="s">
        <v>1641</v>
      </c>
      <c r="V429" s="1" t="s">
        <v>2006</v>
      </c>
      <c r="Y429" s="1">
        <v>14734.63</v>
      </c>
      <c r="AB429" s="1">
        <v>14734.63</v>
      </c>
    </row>
    <row r="430" spans="2:28" x14ac:dyDescent="0.2">
      <c r="B430" s="30" t="s">
        <v>1984</v>
      </c>
      <c r="C430" s="36"/>
      <c r="D430" s="36"/>
      <c r="F430" s="1" t="s">
        <v>1322</v>
      </c>
      <c r="G430" s="1" t="s">
        <v>2225</v>
      </c>
      <c r="K430" s="1" t="s">
        <v>2226</v>
      </c>
      <c r="L430" s="1" t="s">
        <v>1279</v>
      </c>
      <c r="M430" s="1" t="s">
        <v>1425</v>
      </c>
      <c r="N430" s="1" t="s">
        <v>2094</v>
      </c>
      <c r="O430" s="1" t="s">
        <v>1549</v>
      </c>
      <c r="P430" s="34" t="str">
        <f t="shared" si="8"/>
        <v>F010</v>
      </c>
      <c r="Q430" s="1" t="s">
        <v>127</v>
      </c>
      <c r="S430" s="16">
        <v>20</v>
      </c>
      <c r="T430" s="1" t="s">
        <v>302</v>
      </c>
      <c r="U430" s="1" t="s">
        <v>1425</v>
      </c>
      <c r="V430" s="1" t="s">
        <v>2095</v>
      </c>
      <c r="Y430" s="1">
        <v>24317.21</v>
      </c>
      <c r="AB430" s="1">
        <v>15806.24</v>
      </c>
    </row>
    <row r="431" spans="2:28" x14ac:dyDescent="0.2">
      <c r="B431" s="30" t="s">
        <v>1984</v>
      </c>
      <c r="C431" s="36"/>
      <c r="D431" s="36"/>
      <c r="F431" s="1" t="s">
        <v>1322</v>
      </c>
      <c r="G431" s="1" t="s">
        <v>2227</v>
      </c>
      <c r="K431" s="1" t="s">
        <v>2228</v>
      </c>
      <c r="L431" s="1" t="s">
        <v>1279</v>
      </c>
      <c r="M431" s="1" t="s">
        <v>1999</v>
      </c>
      <c r="N431" s="1" t="s">
        <v>1286</v>
      </c>
      <c r="O431" s="1" t="s">
        <v>1549</v>
      </c>
      <c r="P431" s="34" t="str">
        <f t="shared" si="8"/>
        <v>F010</v>
      </c>
      <c r="Q431" s="1" t="s">
        <v>127</v>
      </c>
      <c r="S431" s="16">
        <v>20</v>
      </c>
      <c r="T431" s="1" t="s">
        <v>302</v>
      </c>
      <c r="U431" s="1" t="s">
        <v>1999</v>
      </c>
      <c r="V431" s="1" t="s">
        <v>1716</v>
      </c>
      <c r="Y431" s="1">
        <v>29999.99</v>
      </c>
      <c r="AB431" s="1">
        <v>14500</v>
      </c>
    </row>
    <row r="432" spans="2:28" x14ac:dyDescent="0.2">
      <c r="B432" s="30" t="s">
        <v>1984</v>
      </c>
      <c r="C432" s="36"/>
      <c r="D432" s="36"/>
      <c r="F432" s="1" t="s">
        <v>1322</v>
      </c>
      <c r="G432" s="1" t="s">
        <v>2229</v>
      </c>
      <c r="K432" s="1" t="s">
        <v>2230</v>
      </c>
      <c r="L432" s="1" t="s">
        <v>1279</v>
      </c>
      <c r="M432" s="1" t="s">
        <v>1999</v>
      </c>
      <c r="N432" s="1" t="s">
        <v>1788</v>
      </c>
      <c r="O432" s="1" t="s">
        <v>1549</v>
      </c>
      <c r="P432" s="34" t="str">
        <f t="shared" si="8"/>
        <v>F010</v>
      </c>
      <c r="Q432" s="1" t="s">
        <v>127</v>
      </c>
      <c r="S432" s="16">
        <v>20</v>
      </c>
      <c r="T432" s="1" t="s">
        <v>302</v>
      </c>
      <c r="U432" s="1" t="s">
        <v>1999</v>
      </c>
      <c r="V432" s="1" t="s">
        <v>1716</v>
      </c>
      <c r="Y432" s="1">
        <v>88700</v>
      </c>
      <c r="AB432" s="1">
        <v>42871.63</v>
      </c>
    </row>
    <row r="433" spans="2:28" x14ac:dyDescent="0.2">
      <c r="B433" s="30" t="s">
        <v>1984</v>
      </c>
      <c r="C433" s="36"/>
      <c r="D433" s="36"/>
      <c r="F433" s="1" t="s">
        <v>1322</v>
      </c>
      <c r="G433" s="1" t="s">
        <v>2231</v>
      </c>
      <c r="K433" s="1" t="s">
        <v>2232</v>
      </c>
      <c r="L433" s="1" t="s">
        <v>1279</v>
      </c>
      <c r="M433" s="1" t="s">
        <v>1330</v>
      </c>
      <c r="N433" s="1" t="s">
        <v>2233</v>
      </c>
      <c r="O433" s="1" t="s">
        <v>1549</v>
      </c>
      <c r="P433" s="34" t="str">
        <f t="shared" si="8"/>
        <v>F010</v>
      </c>
      <c r="Q433" s="1" t="s">
        <v>138</v>
      </c>
      <c r="S433" s="16">
        <v>20</v>
      </c>
      <c r="T433" s="1" t="s">
        <v>302</v>
      </c>
      <c r="U433" s="1" t="s">
        <v>1330</v>
      </c>
      <c r="V433" s="1" t="s">
        <v>1589</v>
      </c>
      <c r="Y433" s="1">
        <v>30150</v>
      </c>
      <c r="AB433" s="1">
        <v>2512.5</v>
      </c>
    </row>
    <row r="434" spans="2:28" x14ac:dyDescent="0.2">
      <c r="B434" s="30" t="s">
        <v>1984</v>
      </c>
      <c r="C434" s="36"/>
      <c r="D434" s="36"/>
      <c r="F434" s="1" t="s">
        <v>1322</v>
      </c>
      <c r="G434" s="1" t="s">
        <v>2234</v>
      </c>
      <c r="K434" s="1" t="s">
        <v>2235</v>
      </c>
      <c r="L434" s="1" t="s">
        <v>1279</v>
      </c>
      <c r="M434" s="1" t="s">
        <v>2236</v>
      </c>
      <c r="N434" s="1" t="s">
        <v>1614</v>
      </c>
      <c r="O434" s="1" t="s">
        <v>1549</v>
      </c>
      <c r="P434" s="34" t="str">
        <f t="shared" si="8"/>
        <v>F010</v>
      </c>
      <c r="Q434" s="1" t="s">
        <v>138</v>
      </c>
      <c r="S434" s="16">
        <v>20</v>
      </c>
      <c r="T434" s="1" t="s">
        <v>302</v>
      </c>
      <c r="U434" s="1" t="s">
        <v>2236</v>
      </c>
      <c r="V434" s="1" t="s">
        <v>1857</v>
      </c>
      <c r="Y434" s="1">
        <v>392000</v>
      </c>
      <c r="AB434" s="1">
        <v>392000</v>
      </c>
    </row>
    <row r="435" spans="2:28" x14ac:dyDescent="0.2">
      <c r="B435" s="30" t="s">
        <v>1984</v>
      </c>
      <c r="C435" s="36"/>
      <c r="D435" s="36"/>
      <c r="F435" s="1" t="s">
        <v>1322</v>
      </c>
      <c r="G435" s="1" t="s">
        <v>2237</v>
      </c>
      <c r="K435" s="1" t="s">
        <v>2238</v>
      </c>
      <c r="L435" s="1" t="s">
        <v>1279</v>
      </c>
      <c r="M435" s="1" t="s">
        <v>2023</v>
      </c>
      <c r="N435" s="1" t="s">
        <v>1573</v>
      </c>
      <c r="O435" s="1" t="s">
        <v>1549</v>
      </c>
      <c r="P435" s="34" t="str">
        <f t="shared" si="8"/>
        <v>F010</v>
      </c>
      <c r="Q435" s="1" t="s">
        <v>127</v>
      </c>
      <c r="S435" s="16">
        <v>20</v>
      </c>
      <c r="T435" s="1" t="s">
        <v>302</v>
      </c>
      <c r="U435" s="1" t="s">
        <v>2023</v>
      </c>
      <c r="V435" s="1" t="s">
        <v>1805</v>
      </c>
      <c r="Y435" s="1">
        <v>141188.98000000001</v>
      </c>
      <c r="AB435" s="1">
        <v>141188.98000000001</v>
      </c>
    </row>
    <row r="436" spans="2:28" s="58" customFormat="1" x14ac:dyDescent="0.2">
      <c r="B436" s="56" t="s">
        <v>1984</v>
      </c>
      <c r="C436" s="57">
        <v>97000</v>
      </c>
      <c r="D436" s="48">
        <f>+C436/100000</f>
        <v>0.97</v>
      </c>
      <c r="E436" s="58" t="s">
        <v>1331</v>
      </c>
      <c r="F436" s="58" t="s">
        <v>1322</v>
      </c>
      <c r="G436" s="58" t="s">
        <v>2239</v>
      </c>
      <c r="K436" s="58" t="s">
        <v>2240</v>
      </c>
      <c r="L436" s="58" t="s">
        <v>1279</v>
      </c>
      <c r="M436" s="58" t="s">
        <v>1467</v>
      </c>
      <c r="N436" s="58" t="s">
        <v>1287</v>
      </c>
      <c r="O436" s="58" t="s">
        <v>1549</v>
      </c>
      <c r="P436" s="58" t="str">
        <f t="shared" si="8"/>
        <v>F010</v>
      </c>
      <c r="Q436" s="58" t="s">
        <v>138</v>
      </c>
      <c r="S436" s="59">
        <v>20</v>
      </c>
      <c r="T436" s="58" t="s">
        <v>302</v>
      </c>
      <c r="U436" s="58" t="s">
        <v>1467</v>
      </c>
      <c r="V436" s="58" t="s">
        <v>1468</v>
      </c>
      <c r="Y436" s="58">
        <v>3104000</v>
      </c>
      <c r="AB436" s="58">
        <v>3104000</v>
      </c>
    </row>
    <row r="437" spans="2:28" s="58" customFormat="1" x14ac:dyDescent="0.2">
      <c r="B437" s="56" t="s">
        <v>1984</v>
      </c>
      <c r="C437" s="57">
        <v>3000</v>
      </c>
      <c r="D437" s="48">
        <f>+C437/100000</f>
        <v>0.03</v>
      </c>
      <c r="E437" s="58" t="s">
        <v>1337</v>
      </c>
      <c r="F437" s="58" t="s">
        <v>1322</v>
      </c>
      <c r="G437" s="58" t="s">
        <v>2239</v>
      </c>
      <c r="K437" s="58" t="s">
        <v>2240</v>
      </c>
      <c r="L437" s="58" t="s">
        <v>1279</v>
      </c>
      <c r="M437" s="58" t="s">
        <v>1467</v>
      </c>
      <c r="N437" s="58" t="s">
        <v>1284</v>
      </c>
      <c r="O437" s="58" t="s">
        <v>1549</v>
      </c>
      <c r="P437" s="58" t="str">
        <f t="shared" si="8"/>
        <v>F010</v>
      </c>
      <c r="Q437" s="58" t="s">
        <v>138</v>
      </c>
      <c r="S437" s="59">
        <v>20</v>
      </c>
      <c r="T437" s="58" t="s">
        <v>302</v>
      </c>
      <c r="U437" s="58" t="s">
        <v>1467</v>
      </c>
      <c r="V437" s="58" t="s">
        <v>1468</v>
      </c>
      <c r="Y437" s="58">
        <v>96000</v>
      </c>
      <c r="AB437" s="58">
        <v>96000</v>
      </c>
    </row>
    <row r="438" spans="2:28" x14ac:dyDescent="0.2">
      <c r="B438" s="30" t="s">
        <v>1984</v>
      </c>
      <c r="C438" s="36"/>
      <c r="D438" s="36"/>
      <c r="F438" s="1" t="s">
        <v>1322</v>
      </c>
      <c r="G438" s="1" t="s">
        <v>2239</v>
      </c>
      <c r="K438" s="1" t="s">
        <v>2241</v>
      </c>
      <c r="L438" s="1" t="s">
        <v>1279</v>
      </c>
      <c r="M438" s="1" t="s">
        <v>1510</v>
      </c>
      <c r="N438" s="1" t="s">
        <v>1614</v>
      </c>
      <c r="O438" s="1" t="s">
        <v>1549</v>
      </c>
      <c r="P438" s="34" t="str">
        <f t="shared" si="8"/>
        <v>F010</v>
      </c>
      <c r="Q438" s="1" t="s">
        <v>127</v>
      </c>
      <c r="S438" s="16">
        <v>20</v>
      </c>
      <c r="T438" s="1" t="s">
        <v>302</v>
      </c>
      <c r="U438" s="1" t="s">
        <v>1510</v>
      </c>
      <c r="V438" s="1" t="s">
        <v>1654</v>
      </c>
      <c r="Y438" s="1">
        <v>87700</v>
      </c>
      <c r="AB438" s="1">
        <v>87700</v>
      </c>
    </row>
    <row r="439" spans="2:28" x14ac:dyDescent="0.2">
      <c r="B439" s="30" t="s">
        <v>1984</v>
      </c>
      <c r="C439" s="36"/>
      <c r="D439" s="36"/>
      <c r="F439" s="1" t="s">
        <v>1322</v>
      </c>
      <c r="G439" s="1" t="s">
        <v>2242</v>
      </c>
      <c r="K439" s="1" t="s">
        <v>2243</v>
      </c>
      <c r="L439" s="1" t="s">
        <v>1279</v>
      </c>
      <c r="M439" s="1" t="s">
        <v>2244</v>
      </c>
      <c r="N439" s="1" t="s">
        <v>1287</v>
      </c>
      <c r="O439" s="1" t="s">
        <v>1549</v>
      </c>
      <c r="P439" s="34" t="str">
        <f t="shared" si="8"/>
        <v>F010</v>
      </c>
      <c r="Q439" s="1" t="s">
        <v>138</v>
      </c>
      <c r="S439" s="16">
        <v>20</v>
      </c>
      <c r="T439" s="1" t="s">
        <v>302</v>
      </c>
      <c r="U439" s="1" t="s">
        <v>2244</v>
      </c>
      <c r="V439" s="1" t="s">
        <v>1415</v>
      </c>
      <c r="Y439" s="1">
        <v>310000</v>
      </c>
      <c r="AB439" s="1">
        <v>310000</v>
      </c>
    </row>
    <row r="440" spans="2:28" x14ac:dyDescent="0.2">
      <c r="B440" s="30" t="s">
        <v>1984</v>
      </c>
      <c r="C440" s="36"/>
      <c r="D440" s="36"/>
      <c r="F440" s="1" t="s">
        <v>1322</v>
      </c>
      <c r="G440" s="1" t="s">
        <v>2245</v>
      </c>
      <c r="K440" s="1" t="s">
        <v>2246</v>
      </c>
      <c r="L440" s="1" t="s">
        <v>1279</v>
      </c>
      <c r="M440" s="1" t="s">
        <v>1691</v>
      </c>
      <c r="N440" s="1" t="s">
        <v>1287</v>
      </c>
      <c r="O440" s="1" t="s">
        <v>1549</v>
      </c>
      <c r="P440" s="34" t="str">
        <f t="shared" si="8"/>
        <v>F010</v>
      </c>
      <c r="Q440" s="1" t="s">
        <v>138</v>
      </c>
      <c r="S440" s="16">
        <v>20</v>
      </c>
      <c r="T440" s="1" t="s">
        <v>302</v>
      </c>
      <c r="U440" s="1" t="s">
        <v>1691</v>
      </c>
      <c r="V440" s="1" t="s">
        <v>1327</v>
      </c>
      <c r="Y440" s="1">
        <v>84000</v>
      </c>
      <c r="AB440" s="1">
        <v>84000</v>
      </c>
    </row>
    <row r="441" spans="2:28" x14ac:dyDescent="0.2">
      <c r="B441" s="30" t="s">
        <v>1984</v>
      </c>
      <c r="C441" s="36"/>
      <c r="D441" s="36"/>
      <c r="F441" s="1" t="s">
        <v>1322</v>
      </c>
      <c r="G441" s="1" t="s">
        <v>2247</v>
      </c>
      <c r="K441" s="1" t="s">
        <v>2248</v>
      </c>
      <c r="L441" s="1" t="s">
        <v>1279</v>
      </c>
      <c r="M441" s="1" t="s">
        <v>1691</v>
      </c>
      <c r="N441" s="1" t="s">
        <v>1287</v>
      </c>
      <c r="O441" s="1" t="s">
        <v>1549</v>
      </c>
      <c r="P441" s="34" t="str">
        <f t="shared" si="8"/>
        <v>F010</v>
      </c>
      <c r="Q441" s="1" t="s">
        <v>138</v>
      </c>
      <c r="S441" s="16">
        <v>20</v>
      </c>
      <c r="T441" s="1" t="s">
        <v>302</v>
      </c>
      <c r="U441" s="1" t="s">
        <v>1691</v>
      </c>
      <c r="V441" s="1" t="s">
        <v>1327</v>
      </c>
      <c r="Y441" s="1">
        <v>84000</v>
      </c>
      <c r="AB441" s="1">
        <v>84000</v>
      </c>
    </row>
    <row r="442" spans="2:28" x14ac:dyDescent="0.2">
      <c r="B442" s="30" t="s">
        <v>1984</v>
      </c>
      <c r="C442" s="36"/>
      <c r="D442" s="36"/>
      <c r="F442" s="1" t="s">
        <v>1322</v>
      </c>
      <c r="G442" s="1" t="s">
        <v>2249</v>
      </c>
      <c r="K442" s="1" t="s">
        <v>2250</v>
      </c>
      <c r="L442" s="1" t="s">
        <v>1279</v>
      </c>
      <c r="M442" s="1" t="s">
        <v>1691</v>
      </c>
      <c r="N442" s="1" t="s">
        <v>1287</v>
      </c>
      <c r="O442" s="1" t="s">
        <v>1549</v>
      </c>
      <c r="P442" s="34" t="str">
        <f t="shared" si="8"/>
        <v>F010</v>
      </c>
      <c r="Q442" s="1" t="s">
        <v>138</v>
      </c>
      <c r="S442" s="16">
        <v>20</v>
      </c>
      <c r="T442" s="1" t="s">
        <v>302</v>
      </c>
      <c r="U442" s="1" t="s">
        <v>1691</v>
      </c>
      <c r="V442" s="1" t="s">
        <v>1327</v>
      </c>
      <c r="Y442" s="1">
        <v>168000</v>
      </c>
      <c r="AB442" s="1">
        <v>168000</v>
      </c>
    </row>
    <row r="443" spans="2:28" x14ac:dyDescent="0.2">
      <c r="B443" s="30" t="s">
        <v>1984</v>
      </c>
      <c r="C443" s="36"/>
      <c r="D443" s="36"/>
      <c r="F443" s="1" t="s">
        <v>1322</v>
      </c>
      <c r="G443" s="1" t="s">
        <v>2251</v>
      </c>
      <c r="K443" s="1" t="s">
        <v>2252</v>
      </c>
      <c r="L443" s="1" t="s">
        <v>1279</v>
      </c>
      <c r="M443" s="1" t="s">
        <v>1691</v>
      </c>
      <c r="N443" s="1" t="s">
        <v>1287</v>
      </c>
      <c r="O443" s="1" t="s">
        <v>1549</v>
      </c>
      <c r="P443" s="34" t="str">
        <f t="shared" si="8"/>
        <v>F010</v>
      </c>
      <c r="Q443" s="1" t="s">
        <v>138</v>
      </c>
      <c r="S443" s="16">
        <v>20</v>
      </c>
      <c r="T443" s="1" t="s">
        <v>302</v>
      </c>
      <c r="U443" s="1" t="s">
        <v>1691</v>
      </c>
      <c r="V443" s="1" t="s">
        <v>1327</v>
      </c>
      <c r="Y443" s="1">
        <v>42000</v>
      </c>
      <c r="AB443" s="1">
        <v>42000</v>
      </c>
    </row>
    <row r="444" spans="2:28" x14ac:dyDescent="0.2">
      <c r="B444" s="30" t="s">
        <v>1984</v>
      </c>
      <c r="C444" s="36"/>
      <c r="D444" s="36"/>
      <c r="F444" s="1" t="s">
        <v>1322</v>
      </c>
      <c r="G444" s="1" t="s">
        <v>2253</v>
      </c>
      <c r="K444" s="1" t="s">
        <v>2254</v>
      </c>
      <c r="L444" s="1" t="s">
        <v>1279</v>
      </c>
      <c r="M444" s="1" t="s">
        <v>2255</v>
      </c>
      <c r="N444" s="1" t="s">
        <v>2103</v>
      </c>
      <c r="O444" s="1" t="s">
        <v>1549</v>
      </c>
      <c r="P444" s="34" t="str">
        <f t="shared" si="8"/>
        <v>F010</v>
      </c>
      <c r="Q444" s="1" t="s">
        <v>127</v>
      </c>
      <c r="S444" s="16">
        <v>20</v>
      </c>
      <c r="T444" s="1" t="s">
        <v>302</v>
      </c>
      <c r="U444" s="1" t="s">
        <v>2255</v>
      </c>
      <c r="V444" s="1" t="s">
        <v>1641</v>
      </c>
      <c r="Y444" s="1">
        <v>79800.460000000006</v>
      </c>
      <c r="AB444" s="1">
        <v>79800.460000000006</v>
      </c>
    </row>
    <row r="445" spans="2:28" x14ac:dyDescent="0.2">
      <c r="B445" s="30" t="s">
        <v>1984</v>
      </c>
      <c r="C445" s="36"/>
      <c r="D445" s="36"/>
      <c r="F445" s="1" t="s">
        <v>1322</v>
      </c>
      <c r="G445" s="1" t="s">
        <v>2253</v>
      </c>
      <c r="K445" s="1" t="s">
        <v>2256</v>
      </c>
      <c r="L445" s="1" t="s">
        <v>1279</v>
      </c>
      <c r="M445" s="1" t="s">
        <v>2255</v>
      </c>
      <c r="N445" s="1" t="s">
        <v>1287</v>
      </c>
      <c r="O445" s="1" t="s">
        <v>1549</v>
      </c>
      <c r="P445" s="34" t="str">
        <f t="shared" si="8"/>
        <v>F010</v>
      </c>
      <c r="Q445" s="1" t="s">
        <v>127</v>
      </c>
      <c r="S445" s="16">
        <v>20</v>
      </c>
      <c r="T445" s="1" t="s">
        <v>302</v>
      </c>
      <c r="U445" s="1" t="s">
        <v>2255</v>
      </c>
      <c r="V445" s="1" t="s">
        <v>1641</v>
      </c>
      <c r="Y445" s="1">
        <v>79800.45</v>
      </c>
      <c r="AB445" s="1">
        <v>79800.45</v>
      </c>
    </row>
    <row r="446" spans="2:28" x14ac:dyDescent="0.2">
      <c r="B446" s="30" t="s">
        <v>1984</v>
      </c>
      <c r="C446" s="36"/>
      <c r="D446" s="36"/>
      <c r="F446" s="1" t="s">
        <v>1322</v>
      </c>
      <c r="G446" s="1" t="s">
        <v>2257</v>
      </c>
      <c r="K446" s="1" t="s">
        <v>2258</v>
      </c>
      <c r="L446" s="1" t="s">
        <v>1279</v>
      </c>
      <c r="M446" s="1" t="s">
        <v>2255</v>
      </c>
      <c r="N446" s="1" t="s">
        <v>1287</v>
      </c>
      <c r="O446" s="1" t="s">
        <v>1549</v>
      </c>
      <c r="P446" s="34" t="str">
        <f t="shared" si="8"/>
        <v>F010</v>
      </c>
      <c r="Q446" s="1" t="s">
        <v>127</v>
      </c>
      <c r="S446" s="16">
        <v>20</v>
      </c>
      <c r="T446" s="1" t="s">
        <v>302</v>
      </c>
      <c r="U446" s="1" t="s">
        <v>2255</v>
      </c>
      <c r="V446" s="1" t="s">
        <v>1641</v>
      </c>
      <c r="Y446" s="1">
        <v>28205.1</v>
      </c>
      <c r="AB446" s="1">
        <v>28205.1</v>
      </c>
    </row>
    <row r="447" spans="2:28" x14ac:dyDescent="0.2">
      <c r="B447" s="30" t="s">
        <v>1984</v>
      </c>
      <c r="C447" s="36"/>
      <c r="D447" s="36"/>
      <c r="F447" s="1" t="s">
        <v>1322</v>
      </c>
      <c r="G447" s="1" t="s">
        <v>2259</v>
      </c>
      <c r="K447" s="1" t="s">
        <v>2260</v>
      </c>
      <c r="L447" s="1" t="s">
        <v>1279</v>
      </c>
      <c r="M447" s="1" t="s">
        <v>2236</v>
      </c>
      <c r="N447" s="1" t="s">
        <v>1614</v>
      </c>
      <c r="O447" s="1" t="s">
        <v>1549</v>
      </c>
      <c r="P447" s="34" t="str">
        <f t="shared" ref="P447:P511" si="9">+LEFT(Q447,4)</f>
        <v>F010</v>
      </c>
      <c r="Q447" s="1" t="s">
        <v>138</v>
      </c>
      <c r="S447" s="16">
        <v>20</v>
      </c>
      <c r="T447" s="1" t="s">
        <v>302</v>
      </c>
      <c r="U447" s="1" t="s">
        <v>2236</v>
      </c>
      <c r="V447" s="1" t="s">
        <v>1857</v>
      </c>
      <c r="Y447" s="1">
        <v>395839.41</v>
      </c>
      <c r="AB447" s="1">
        <v>395839.41</v>
      </c>
    </row>
    <row r="448" spans="2:28" x14ac:dyDescent="0.2">
      <c r="B448" s="30" t="s">
        <v>1984</v>
      </c>
      <c r="C448" s="36"/>
      <c r="D448" s="36"/>
      <c r="F448" s="1" t="s">
        <v>1322</v>
      </c>
      <c r="G448" s="1" t="s">
        <v>2261</v>
      </c>
      <c r="K448" s="1" t="s">
        <v>2262</v>
      </c>
      <c r="L448" s="1" t="s">
        <v>1279</v>
      </c>
      <c r="M448" s="1" t="s">
        <v>1691</v>
      </c>
      <c r="N448" s="1" t="s">
        <v>1287</v>
      </c>
      <c r="O448" s="1" t="s">
        <v>1549</v>
      </c>
      <c r="P448" s="34" t="str">
        <f t="shared" si="9"/>
        <v>F010</v>
      </c>
      <c r="Q448" s="1" t="s">
        <v>138</v>
      </c>
      <c r="S448" s="16">
        <v>20</v>
      </c>
      <c r="T448" s="1" t="s">
        <v>302</v>
      </c>
      <c r="U448" s="1" t="s">
        <v>1691</v>
      </c>
      <c r="V448" s="1" t="s">
        <v>1327</v>
      </c>
      <c r="Y448" s="1">
        <v>49741.89</v>
      </c>
      <c r="AB448" s="1">
        <v>49741.89</v>
      </c>
    </row>
    <row r="449" spans="2:28" x14ac:dyDescent="0.2">
      <c r="B449" s="30" t="s">
        <v>1984</v>
      </c>
      <c r="C449" s="36"/>
      <c r="D449" s="36"/>
      <c r="F449" s="1" t="s">
        <v>1322</v>
      </c>
      <c r="G449" s="1" t="s">
        <v>2263</v>
      </c>
      <c r="K449" s="1" t="s">
        <v>2264</v>
      </c>
      <c r="L449" s="1" t="s">
        <v>1279</v>
      </c>
      <c r="M449" s="1" t="s">
        <v>1654</v>
      </c>
      <c r="N449" s="1" t="s">
        <v>1286</v>
      </c>
      <c r="O449" s="1" t="s">
        <v>1549</v>
      </c>
      <c r="P449" s="34" t="str">
        <f t="shared" si="9"/>
        <v>F010</v>
      </c>
      <c r="Q449" s="1" t="s">
        <v>138</v>
      </c>
      <c r="S449" s="16">
        <v>20</v>
      </c>
      <c r="T449" s="1" t="s">
        <v>302</v>
      </c>
      <c r="U449" s="1" t="s">
        <v>1654</v>
      </c>
      <c r="V449" s="1" t="s">
        <v>1701</v>
      </c>
      <c r="Y449" s="1">
        <v>95097.5</v>
      </c>
      <c r="AB449" s="1">
        <v>21132.799999999999</v>
      </c>
    </row>
    <row r="450" spans="2:28" x14ac:dyDescent="0.2">
      <c r="B450" s="30" t="s">
        <v>1984</v>
      </c>
      <c r="C450" s="36"/>
      <c r="D450" s="36"/>
      <c r="F450" s="1" t="s">
        <v>1322</v>
      </c>
      <c r="G450" s="1" t="s">
        <v>2265</v>
      </c>
      <c r="K450" s="1" t="s">
        <v>2266</v>
      </c>
      <c r="L450" s="1" t="s">
        <v>1279</v>
      </c>
      <c r="M450" s="1" t="s">
        <v>2081</v>
      </c>
      <c r="N450" s="1" t="s">
        <v>1287</v>
      </c>
      <c r="O450" s="1" t="s">
        <v>1549</v>
      </c>
      <c r="P450" s="34" t="str">
        <f t="shared" si="9"/>
        <v>F010</v>
      </c>
      <c r="Q450" s="1" t="s">
        <v>138</v>
      </c>
      <c r="S450" s="16">
        <v>20</v>
      </c>
      <c r="T450" s="1" t="s">
        <v>302</v>
      </c>
      <c r="U450" s="1" t="s">
        <v>2081</v>
      </c>
      <c r="V450" s="1" t="s">
        <v>1572</v>
      </c>
      <c r="Y450" s="1">
        <v>29869.59</v>
      </c>
      <c r="AB450" s="1">
        <v>29869.59</v>
      </c>
    </row>
    <row r="451" spans="2:28" x14ac:dyDescent="0.2">
      <c r="B451" s="30" t="s">
        <v>1984</v>
      </c>
      <c r="C451" s="36"/>
      <c r="D451" s="36"/>
      <c r="F451" s="1" t="s">
        <v>1322</v>
      </c>
      <c r="G451" s="1" t="s">
        <v>2267</v>
      </c>
      <c r="K451" s="1" t="s">
        <v>2268</v>
      </c>
      <c r="L451" s="1" t="s">
        <v>1279</v>
      </c>
      <c r="M451" s="1" t="s">
        <v>2255</v>
      </c>
      <c r="N451" s="1" t="s">
        <v>2103</v>
      </c>
      <c r="O451" s="1" t="s">
        <v>1549</v>
      </c>
      <c r="P451" s="34" t="str">
        <f t="shared" si="9"/>
        <v>F010</v>
      </c>
      <c r="Q451" s="1" t="s">
        <v>127</v>
      </c>
      <c r="S451" s="16">
        <v>20</v>
      </c>
      <c r="T451" s="1" t="s">
        <v>302</v>
      </c>
      <c r="U451" s="1" t="s">
        <v>2255</v>
      </c>
      <c r="V451" s="1" t="s">
        <v>1641</v>
      </c>
      <c r="Y451" s="1">
        <v>29869.7</v>
      </c>
      <c r="AB451" s="1">
        <v>29869.7</v>
      </c>
    </row>
    <row r="452" spans="2:28" x14ac:dyDescent="0.2">
      <c r="B452" s="30" t="s">
        <v>1984</v>
      </c>
      <c r="C452" s="36"/>
      <c r="D452" s="36"/>
      <c r="F452" s="1" t="s">
        <v>1322</v>
      </c>
      <c r="G452" s="1" t="s">
        <v>2269</v>
      </c>
      <c r="K452" s="1" t="s">
        <v>2270</v>
      </c>
      <c r="L452" s="1" t="s">
        <v>1279</v>
      </c>
      <c r="M452" s="1" t="s">
        <v>2102</v>
      </c>
      <c r="N452" s="1" t="s">
        <v>2271</v>
      </c>
      <c r="O452" s="1" t="s">
        <v>1549</v>
      </c>
      <c r="P452" s="34" t="str">
        <f t="shared" si="9"/>
        <v>F010</v>
      </c>
      <c r="Q452" s="1" t="s">
        <v>127</v>
      </c>
      <c r="S452" s="16">
        <v>20</v>
      </c>
      <c r="T452" s="1" t="s">
        <v>302</v>
      </c>
      <c r="U452" s="1" t="s">
        <v>2102</v>
      </c>
      <c r="V452" s="1" t="s">
        <v>1604</v>
      </c>
      <c r="Y452" s="1">
        <v>100000</v>
      </c>
      <c r="AB452" s="1">
        <v>100000</v>
      </c>
    </row>
    <row r="453" spans="2:28" x14ac:dyDescent="0.2">
      <c r="B453" s="30" t="s">
        <v>1984</v>
      </c>
      <c r="C453" s="36"/>
      <c r="D453" s="36"/>
      <c r="F453" s="1" t="s">
        <v>1322</v>
      </c>
      <c r="G453" s="1" t="s">
        <v>2272</v>
      </c>
      <c r="K453" s="1" t="s">
        <v>2273</v>
      </c>
      <c r="L453" s="1" t="s">
        <v>1279</v>
      </c>
      <c r="M453" s="1" t="s">
        <v>1334</v>
      </c>
      <c r="N453" s="1" t="s">
        <v>1708</v>
      </c>
      <c r="O453" s="1" t="s">
        <v>1549</v>
      </c>
      <c r="P453" s="34" t="str">
        <f t="shared" si="9"/>
        <v>F010</v>
      </c>
      <c r="Q453" s="1" t="s">
        <v>127</v>
      </c>
      <c r="S453" s="16">
        <v>20</v>
      </c>
      <c r="T453" s="1" t="s">
        <v>302</v>
      </c>
      <c r="U453" s="1" t="s">
        <v>1334</v>
      </c>
      <c r="V453" s="1" t="s">
        <v>1987</v>
      </c>
      <c r="Y453" s="1">
        <v>66100.11</v>
      </c>
      <c r="AB453" s="1">
        <v>24236.74</v>
      </c>
    </row>
    <row r="454" spans="2:28" x14ac:dyDescent="0.2">
      <c r="B454" s="30" t="s">
        <v>1984</v>
      </c>
      <c r="C454" s="36"/>
      <c r="D454" s="36"/>
      <c r="F454" s="1" t="s">
        <v>1322</v>
      </c>
      <c r="G454" s="1" t="s">
        <v>2274</v>
      </c>
      <c r="K454" s="1" t="s">
        <v>2275</v>
      </c>
      <c r="L454" s="1" t="s">
        <v>1279</v>
      </c>
      <c r="M454" s="1" t="s">
        <v>1453</v>
      </c>
      <c r="N454" s="1" t="s">
        <v>2271</v>
      </c>
      <c r="O454" s="1" t="s">
        <v>1549</v>
      </c>
      <c r="P454" s="34" t="str">
        <f t="shared" si="9"/>
        <v>F010</v>
      </c>
      <c r="Q454" s="1" t="s">
        <v>127</v>
      </c>
      <c r="S454" s="16">
        <v>20</v>
      </c>
      <c r="T454" s="1" t="s">
        <v>302</v>
      </c>
      <c r="U454" s="1" t="s">
        <v>1453</v>
      </c>
      <c r="V454" s="1" t="s">
        <v>1794</v>
      </c>
      <c r="Y454" s="1">
        <v>1182948.32</v>
      </c>
      <c r="AB454" s="1">
        <v>1182948.32</v>
      </c>
    </row>
    <row r="455" spans="2:28" x14ac:dyDescent="0.2">
      <c r="B455" s="30" t="s">
        <v>1984</v>
      </c>
      <c r="C455" s="36"/>
      <c r="D455" s="36"/>
      <c r="F455" s="1" t="s">
        <v>1322</v>
      </c>
      <c r="G455" s="1" t="s">
        <v>2276</v>
      </c>
      <c r="K455" s="1" t="s">
        <v>2277</v>
      </c>
      <c r="L455" s="1" t="s">
        <v>1279</v>
      </c>
      <c r="M455" s="1" t="s">
        <v>1497</v>
      </c>
      <c r="N455" s="1" t="s">
        <v>1286</v>
      </c>
      <c r="O455" s="1" t="s">
        <v>1549</v>
      </c>
      <c r="P455" s="34" t="str">
        <f t="shared" si="9"/>
        <v>F010</v>
      </c>
      <c r="Q455" s="1" t="s">
        <v>127</v>
      </c>
      <c r="S455" s="16">
        <v>20</v>
      </c>
      <c r="T455" s="1" t="s">
        <v>302</v>
      </c>
      <c r="U455" s="1" t="s">
        <v>1497</v>
      </c>
      <c r="V455" s="1" t="s">
        <v>2127</v>
      </c>
      <c r="Y455" s="1">
        <v>320000</v>
      </c>
      <c r="AB455" s="1">
        <v>133333.29</v>
      </c>
    </row>
    <row r="456" spans="2:28" x14ac:dyDescent="0.2">
      <c r="B456" s="30" t="s">
        <v>1984</v>
      </c>
      <c r="C456" s="36"/>
      <c r="D456" s="36"/>
      <c r="F456" s="1" t="s">
        <v>1322</v>
      </c>
      <c r="G456" s="1" t="s">
        <v>2278</v>
      </c>
      <c r="K456" s="1" t="s">
        <v>2279</v>
      </c>
      <c r="L456" s="1" t="s">
        <v>1279</v>
      </c>
      <c r="M456" s="1" t="s">
        <v>2037</v>
      </c>
      <c r="N456" s="1" t="s">
        <v>1284</v>
      </c>
      <c r="O456" s="1" t="s">
        <v>1549</v>
      </c>
      <c r="P456" s="34" t="str">
        <f t="shared" si="9"/>
        <v>F010</v>
      </c>
      <c r="Q456" s="1" t="s">
        <v>127</v>
      </c>
      <c r="S456" s="16">
        <v>20</v>
      </c>
      <c r="T456" s="1" t="s">
        <v>302</v>
      </c>
      <c r="U456" s="1" t="s">
        <v>2037</v>
      </c>
      <c r="V456" s="1" t="s">
        <v>2038</v>
      </c>
      <c r="Y456" s="1">
        <v>2480000</v>
      </c>
      <c r="AB456" s="1">
        <v>2480000</v>
      </c>
    </row>
    <row r="457" spans="2:28" x14ac:dyDescent="0.2">
      <c r="B457" s="30" t="s">
        <v>1984</v>
      </c>
      <c r="C457" s="36"/>
      <c r="D457" s="36"/>
      <c r="F457" s="1" t="s">
        <v>1322</v>
      </c>
      <c r="G457" s="1" t="s">
        <v>2280</v>
      </c>
      <c r="K457" s="1" t="s">
        <v>2281</v>
      </c>
      <c r="L457" s="1" t="s">
        <v>1279</v>
      </c>
      <c r="M457" s="1" t="s">
        <v>1541</v>
      </c>
      <c r="N457" s="1" t="s">
        <v>1284</v>
      </c>
      <c r="O457" s="1" t="s">
        <v>1549</v>
      </c>
      <c r="P457" s="34" t="str">
        <f t="shared" si="9"/>
        <v>F010</v>
      </c>
      <c r="Q457" s="1" t="s">
        <v>127</v>
      </c>
      <c r="S457" s="16">
        <v>20</v>
      </c>
      <c r="T457" s="1" t="s">
        <v>302</v>
      </c>
      <c r="U457" s="1" t="s">
        <v>1541</v>
      </c>
      <c r="V457" s="1" t="s">
        <v>1578</v>
      </c>
      <c r="Y457" s="1">
        <v>280000</v>
      </c>
      <c r="AB457" s="1">
        <v>144666.73000000001</v>
      </c>
    </row>
    <row r="458" spans="2:28" x14ac:dyDescent="0.2">
      <c r="B458" s="30" t="s">
        <v>1984</v>
      </c>
      <c r="C458" s="36"/>
      <c r="D458" s="36"/>
      <c r="F458" s="1" t="s">
        <v>1322</v>
      </c>
      <c r="G458" s="1" t="s">
        <v>2282</v>
      </c>
      <c r="K458" s="1" t="s">
        <v>2283</v>
      </c>
      <c r="L458" s="1" t="s">
        <v>1279</v>
      </c>
      <c r="M458" s="1" t="s">
        <v>1330</v>
      </c>
      <c r="N458" s="1" t="s">
        <v>1284</v>
      </c>
      <c r="O458" s="1" t="s">
        <v>1549</v>
      </c>
      <c r="P458" s="34" t="str">
        <f t="shared" si="9"/>
        <v>F010</v>
      </c>
      <c r="Q458" s="1" t="s">
        <v>138</v>
      </c>
      <c r="S458" s="16">
        <v>20</v>
      </c>
      <c r="T458" s="1" t="s">
        <v>302</v>
      </c>
      <c r="U458" s="1" t="s">
        <v>1330</v>
      </c>
      <c r="V458" s="1" t="s">
        <v>1589</v>
      </c>
      <c r="Y458" s="1">
        <v>20000</v>
      </c>
      <c r="AB458" s="1">
        <v>1666.65</v>
      </c>
    </row>
    <row r="459" spans="2:28" x14ac:dyDescent="0.2">
      <c r="B459" s="30" t="s">
        <v>1984</v>
      </c>
      <c r="C459" s="36"/>
      <c r="D459" s="36"/>
      <c r="F459" s="1" t="s">
        <v>1322</v>
      </c>
      <c r="G459" s="1" t="s">
        <v>2284</v>
      </c>
      <c r="K459" s="1" t="s">
        <v>2285</v>
      </c>
      <c r="L459" s="1" t="s">
        <v>1279</v>
      </c>
      <c r="M459" s="1" t="s">
        <v>2140</v>
      </c>
      <c r="N459" s="1" t="s">
        <v>1287</v>
      </c>
      <c r="O459" s="1" t="s">
        <v>1549</v>
      </c>
      <c r="P459" s="34" t="str">
        <f t="shared" si="9"/>
        <v>F010</v>
      </c>
      <c r="Q459" s="1" t="s">
        <v>127</v>
      </c>
      <c r="S459" s="16">
        <v>20</v>
      </c>
      <c r="T459" s="1" t="s">
        <v>302</v>
      </c>
      <c r="U459" s="1" t="s">
        <v>2140</v>
      </c>
      <c r="V459" s="1" t="s">
        <v>2141</v>
      </c>
      <c r="Y459" s="1">
        <v>23300</v>
      </c>
      <c r="AB459" s="1">
        <v>23300</v>
      </c>
    </row>
    <row r="460" spans="2:28" x14ac:dyDescent="0.2">
      <c r="B460" s="30" t="s">
        <v>1984</v>
      </c>
      <c r="C460" s="36"/>
      <c r="D460" s="36"/>
      <c r="F460" s="1" t="s">
        <v>1322</v>
      </c>
      <c r="G460" s="1" t="s">
        <v>2286</v>
      </c>
      <c r="K460" s="1" t="s">
        <v>2287</v>
      </c>
      <c r="L460" s="1" t="s">
        <v>1279</v>
      </c>
      <c r="M460" s="1" t="s">
        <v>2288</v>
      </c>
      <c r="N460" s="1" t="s">
        <v>1284</v>
      </c>
      <c r="O460" s="1" t="s">
        <v>1549</v>
      </c>
      <c r="P460" s="34" t="str">
        <f t="shared" si="9"/>
        <v>F010</v>
      </c>
      <c r="Q460" s="1" t="s">
        <v>127</v>
      </c>
      <c r="S460" s="16">
        <v>20</v>
      </c>
      <c r="T460" s="1" t="s">
        <v>302</v>
      </c>
      <c r="U460" s="1" t="s">
        <v>2288</v>
      </c>
      <c r="V460" s="1" t="s">
        <v>1425</v>
      </c>
      <c r="Y460" s="1">
        <v>12800</v>
      </c>
      <c r="AB460" s="1">
        <v>12800</v>
      </c>
    </row>
    <row r="461" spans="2:28" x14ac:dyDescent="0.2">
      <c r="B461" s="30" t="s">
        <v>1984</v>
      </c>
      <c r="C461" s="36"/>
      <c r="D461" s="36"/>
      <c r="F461" s="1" t="s">
        <v>1322</v>
      </c>
      <c r="G461" s="1" t="s">
        <v>2289</v>
      </c>
      <c r="K461" s="1" t="s">
        <v>2290</v>
      </c>
      <c r="L461" s="1" t="s">
        <v>1279</v>
      </c>
      <c r="M461" s="1" t="s">
        <v>1430</v>
      </c>
      <c r="N461" s="1" t="s">
        <v>1284</v>
      </c>
      <c r="O461" s="1" t="s">
        <v>1549</v>
      </c>
      <c r="P461" s="34" t="str">
        <f t="shared" si="9"/>
        <v>F010</v>
      </c>
      <c r="Q461" s="1" t="s">
        <v>127</v>
      </c>
      <c r="S461" s="16">
        <v>20</v>
      </c>
      <c r="T461" s="1" t="s">
        <v>302</v>
      </c>
      <c r="U461" s="1" t="s">
        <v>1430</v>
      </c>
      <c r="V461" s="1" t="s">
        <v>2291</v>
      </c>
      <c r="Y461" s="1">
        <v>550000</v>
      </c>
      <c r="AB461" s="1">
        <v>82500.03</v>
      </c>
    </row>
    <row r="462" spans="2:28" x14ac:dyDescent="0.2">
      <c r="B462" s="30" t="s">
        <v>1984</v>
      </c>
      <c r="C462" s="36"/>
      <c r="D462" s="36"/>
      <c r="F462" s="1" t="s">
        <v>1322</v>
      </c>
      <c r="G462" s="1" t="s">
        <v>2292</v>
      </c>
      <c r="K462" s="1" t="s">
        <v>2293</v>
      </c>
      <c r="L462" s="1" t="s">
        <v>1279</v>
      </c>
      <c r="M462" s="1" t="s">
        <v>2084</v>
      </c>
      <c r="N462" s="1" t="s">
        <v>1637</v>
      </c>
      <c r="O462" s="1" t="s">
        <v>1549</v>
      </c>
      <c r="P462" s="34" t="str">
        <f t="shared" si="9"/>
        <v>F010</v>
      </c>
      <c r="Q462" s="1" t="s">
        <v>127</v>
      </c>
      <c r="S462" s="16">
        <v>20</v>
      </c>
      <c r="T462" s="1" t="s">
        <v>302</v>
      </c>
      <c r="U462" s="1" t="s">
        <v>2084</v>
      </c>
      <c r="V462" s="1" t="s">
        <v>2085</v>
      </c>
      <c r="Y462" s="1">
        <v>40000</v>
      </c>
      <c r="AB462" s="1">
        <v>40000</v>
      </c>
    </row>
    <row r="463" spans="2:28" s="34" customFormat="1" x14ac:dyDescent="0.2">
      <c r="B463" s="39" t="s">
        <v>2294</v>
      </c>
      <c r="C463" s="36"/>
      <c r="D463" s="36"/>
      <c r="F463" s="34" t="s">
        <v>1322</v>
      </c>
      <c r="G463" s="39" t="s">
        <v>2295</v>
      </c>
      <c r="K463" s="34" t="s">
        <v>2296</v>
      </c>
      <c r="L463" s="34" t="s">
        <v>1279</v>
      </c>
      <c r="M463" s="34" t="s">
        <v>1990</v>
      </c>
      <c r="N463" s="34" t="s">
        <v>1795</v>
      </c>
      <c r="O463" s="34" t="s">
        <v>1286</v>
      </c>
      <c r="P463" s="34" t="str">
        <f t="shared" si="9"/>
        <v>F010</v>
      </c>
      <c r="Q463" s="34" t="s">
        <v>127</v>
      </c>
      <c r="S463" s="38">
        <v>20</v>
      </c>
      <c r="T463" s="34" t="s">
        <v>302</v>
      </c>
      <c r="U463" s="34" t="s">
        <v>1990</v>
      </c>
      <c r="V463" s="34" t="s">
        <v>1807</v>
      </c>
      <c r="Y463" s="34">
        <v>7077</v>
      </c>
      <c r="AB463" s="34">
        <v>560.25</v>
      </c>
    </row>
    <row r="464" spans="2:28" x14ac:dyDescent="0.2">
      <c r="B464" s="30" t="s">
        <v>2294</v>
      </c>
      <c r="C464" s="36"/>
      <c r="D464" s="36"/>
      <c r="F464" s="1" t="s">
        <v>1322</v>
      </c>
      <c r="G464" s="30" t="s">
        <v>2297</v>
      </c>
      <c r="K464" s="1" t="s">
        <v>2298</v>
      </c>
      <c r="L464" s="1" t="s">
        <v>1279</v>
      </c>
      <c r="M464" s="36" t="s">
        <v>2014</v>
      </c>
      <c r="N464" s="1" t="s">
        <v>1286</v>
      </c>
      <c r="O464" s="1" t="s">
        <v>1286</v>
      </c>
      <c r="P464" s="34" t="str">
        <f t="shared" si="9"/>
        <v>F010</v>
      </c>
      <c r="Q464" s="1" t="s">
        <v>138</v>
      </c>
      <c r="S464" s="16">
        <v>20</v>
      </c>
      <c r="T464" s="1" t="s">
        <v>2299</v>
      </c>
      <c r="U464" s="1" t="s">
        <v>1334</v>
      </c>
      <c r="V464" s="1" t="s">
        <v>1377</v>
      </c>
      <c r="Y464" s="1">
        <v>14416</v>
      </c>
      <c r="AB464" s="1">
        <v>8369.26</v>
      </c>
    </row>
    <row r="465" spans="2:28" x14ac:dyDescent="0.2">
      <c r="B465" s="30" t="s">
        <v>2294</v>
      </c>
      <c r="C465" s="36"/>
      <c r="D465" s="36"/>
      <c r="F465" s="1" t="s">
        <v>1322</v>
      </c>
      <c r="G465" s="30" t="s">
        <v>2300</v>
      </c>
      <c r="K465" s="1" t="s">
        <v>2301</v>
      </c>
      <c r="L465" s="1" t="s">
        <v>1279</v>
      </c>
      <c r="M465" s="36" t="s">
        <v>2006</v>
      </c>
      <c r="N465" s="1" t="s">
        <v>1287</v>
      </c>
      <c r="O465" s="1" t="s">
        <v>1286</v>
      </c>
      <c r="P465" s="34" t="str">
        <f t="shared" si="9"/>
        <v>F010</v>
      </c>
      <c r="Q465" s="1" t="s">
        <v>138</v>
      </c>
      <c r="S465" s="16">
        <v>20</v>
      </c>
      <c r="T465" s="1" t="s">
        <v>2299</v>
      </c>
      <c r="U465" s="1" t="s">
        <v>1857</v>
      </c>
      <c r="V465" s="1" t="s">
        <v>2198</v>
      </c>
      <c r="Y465" s="1">
        <v>16410.25</v>
      </c>
      <c r="AB465" s="1">
        <v>4720.8900000000003</v>
      </c>
    </row>
    <row r="466" spans="2:28" x14ac:dyDescent="0.2">
      <c r="B466" s="30" t="s">
        <v>2294</v>
      </c>
      <c r="C466" s="36"/>
      <c r="D466" s="36"/>
      <c r="F466" s="1" t="s">
        <v>1322</v>
      </c>
      <c r="G466" s="30" t="s">
        <v>2300</v>
      </c>
      <c r="K466" s="1" t="s">
        <v>2302</v>
      </c>
      <c r="L466" s="1" t="s">
        <v>1279</v>
      </c>
      <c r="M466" s="36" t="s">
        <v>2006</v>
      </c>
      <c r="N466" s="1" t="s">
        <v>1287</v>
      </c>
      <c r="O466" s="1" t="s">
        <v>1286</v>
      </c>
      <c r="P466" s="34" t="str">
        <f t="shared" si="9"/>
        <v>F010</v>
      </c>
      <c r="Q466" s="1" t="s">
        <v>138</v>
      </c>
      <c r="S466" s="16">
        <v>20</v>
      </c>
      <c r="T466" s="1" t="s">
        <v>2299</v>
      </c>
      <c r="U466" s="1" t="s">
        <v>1857</v>
      </c>
      <c r="V466" s="1" t="s">
        <v>2198</v>
      </c>
      <c r="Y466" s="1">
        <v>16410.259999999998</v>
      </c>
      <c r="AB466" s="1">
        <v>4720.8999999999996</v>
      </c>
    </row>
    <row r="467" spans="2:28" x14ac:dyDescent="0.2">
      <c r="B467" s="30" t="s">
        <v>2294</v>
      </c>
      <c r="C467" s="36"/>
      <c r="D467" s="36"/>
      <c r="F467" s="1" t="s">
        <v>1322</v>
      </c>
      <c r="G467" s="30" t="s">
        <v>2303</v>
      </c>
      <c r="K467" s="1" t="s">
        <v>2304</v>
      </c>
      <c r="L467" s="1" t="s">
        <v>1279</v>
      </c>
      <c r="M467" s="36" t="s">
        <v>1468</v>
      </c>
      <c r="N467" s="1" t="s">
        <v>1614</v>
      </c>
      <c r="O467" s="1" t="s">
        <v>1286</v>
      </c>
      <c r="P467" s="34" t="str">
        <f t="shared" si="9"/>
        <v>F010</v>
      </c>
      <c r="Q467" s="1" t="s">
        <v>127</v>
      </c>
      <c r="S467" s="16">
        <v>20</v>
      </c>
      <c r="T467" s="1" t="s">
        <v>2299</v>
      </c>
      <c r="U467" s="1" t="s">
        <v>1463</v>
      </c>
      <c r="V467" s="1" t="s">
        <v>1465</v>
      </c>
      <c r="Y467" s="1">
        <v>9599.99</v>
      </c>
      <c r="AB467" s="1">
        <v>4306.6400000000003</v>
      </c>
    </row>
    <row r="468" spans="2:28" x14ac:dyDescent="0.2">
      <c r="B468" s="30" t="s">
        <v>2294</v>
      </c>
      <c r="C468" s="36"/>
      <c r="D468" s="36"/>
      <c r="F468" s="1" t="s">
        <v>1322</v>
      </c>
      <c r="G468" s="30" t="s">
        <v>2305</v>
      </c>
      <c r="K468" s="1" t="s">
        <v>2306</v>
      </c>
      <c r="L468" s="1" t="s">
        <v>1279</v>
      </c>
      <c r="M468" s="36" t="s">
        <v>1463</v>
      </c>
      <c r="N468" s="1" t="s">
        <v>1658</v>
      </c>
      <c r="O468" s="1" t="s">
        <v>1286</v>
      </c>
      <c r="P468" s="34" t="str">
        <f t="shared" si="9"/>
        <v>F010</v>
      </c>
      <c r="Q468" s="1" t="s">
        <v>127</v>
      </c>
      <c r="S468" s="16">
        <v>20</v>
      </c>
      <c r="T468" s="1" t="s">
        <v>2299</v>
      </c>
      <c r="U468" s="1" t="s">
        <v>1480</v>
      </c>
      <c r="V468" s="1" t="s">
        <v>1696</v>
      </c>
      <c r="Y468" s="1">
        <v>4421.37</v>
      </c>
      <c r="AB468" s="1">
        <v>1850.08</v>
      </c>
    </row>
    <row r="469" spans="2:28" x14ac:dyDescent="0.2">
      <c r="B469" s="30" t="s">
        <v>2294</v>
      </c>
      <c r="C469" s="36"/>
      <c r="D469" s="36"/>
      <c r="F469" s="1" t="s">
        <v>1322</v>
      </c>
      <c r="G469" s="30" t="s">
        <v>2307</v>
      </c>
      <c r="K469" s="1" t="s">
        <v>2308</v>
      </c>
      <c r="L469" s="1" t="s">
        <v>1279</v>
      </c>
      <c r="M469" s="36" t="s">
        <v>1994</v>
      </c>
      <c r="N469" s="1" t="s">
        <v>1287</v>
      </c>
      <c r="O469" s="1" t="s">
        <v>1286</v>
      </c>
      <c r="P469" s="34" t="str">
        <f t="shared" si="9"/>
        <v>F010</v>
      </c>
      <c r="Q469" s="1" t="s">
        <v>138</v>
      </c>
      <c r="S469" s="16">
        <v>20</v>
      </c>
      <c r="T469" s="1" t="s">
        <v>2299</v>
      </c>
      <c r="U469" s="1" t="s">
        <v>1691</v>
      </c>
      <c r="V469" s="1" t="s">
        <v>1327</v>
      </c>
      <c r="Y469" s="1">
        <v>122100</v>
      </c>
      <c r="AB469" s="1">
        <v>115995</v>
      </c>
    </row>
    <row r="470" spans="2:28" x14ac:dyDescent="0.2">
      <c r="B470" s="30" t="s">
        <v>2294</v>
      </c>
      <c r="C470" s="36"/>
      <c r="D470" s="36"/>
      <c r="F470" s="1" t="s">
        <v>1322</v>
      </c>
      <c r="G470" s="30" t="s">
        <v>2309</v>
      </c>
      <c r="K470" s="1" t="s">
        <v>2310</v>
      </c>
      <c r="L470" s="1" t="s">
        <v>1279</v>
      </c>
      <c r="M470" s="36" t="s">
        <v>1371</v>
      </c>
      <c r="N470" s="1" t="s">
        <v>1284</v>
      </c>
      <c r="O470" s="1" t="s">
        <v>1286</v>
      </c>
      <c r="P470" s="34" t="str">
        <f t="shared" si="9"/>
        <v>F010</v>
      </c>
      <c r="Q470" s="1" t="s">
        <v>127</v>
      </c>
      <c r="S470" s="16">
        <v>20</v>
      </c>
      <c r="T470" s="1" t="s">
        <v>2299</v>
      </c>
      <c r="U470" s="1" t="s">
        <v>1775</v>
      </c>
      <c r="V470" s="1" t="s">
        <v>1670</v>
      </c>
      <c r="Y470" s="1">
        <v>39325</v>
      </c>
      <c r="AB470" s="1">
        <v>37358.75</v>
      </c>
    </row>
    <row r="471" spans="2:28" x14ac:dyDescent="0.2">
      <c r="B471" s="30" t="s">
        <v>2294</v>
      </c>
      <c r="C471" s="36"/>
      <c r="D471" s="36"/>
      <c r="F471" s="1" t="s">
        <v>1322</v>
      </c>
      <c r="G471" s="30" t="s">
        <v>2309</v>
      </c>
      <c r="K471" s="1" t="s">
        <v>2311</v>
      </c>
      <c r="L471" s="1" t="s">
        <v>1279</v>
      </c>
      <c r="M471" s="36" t="s">
        <v>1371</v>
      </c>
      <c r="N471" s="1" t="s">
        <v>1284</v>
      </c>
      <c r="O471" s="1" t="s">
        <v>1286</v>
      </c>
      <c r="P471" s="34" t="str">
        <f t="shared" si="9"/>
        <v>F010</v>
      </c>
      <c r="Q471" s="1" t="s">
        <v>127</v>
      </c>
      <c r="S471" s="16">
        <v>20</v>
      </c>
      <c r="T471" s="1" t="s">
        <v>2299</v>
      </c>
      <c r="U471" s="1" t="s">
        <v>1775</v>
      </c>
      <c r="V471" s="1" t="s">
        <v>1670</v>
      </c>
      <c r="Y471" s="1">
        <v>39325</v>
      </c>
      <c r="AB471" s="1">
        <v>37358.75</v>
      </c>
    </row>
    <row r="472" spans="2:28" x14ac:dyDescent="0.2">
      <c r="B472" s="30" t="s">
        <v>2294</v>
      </c>
      <c r="C472" s="36"/>
      <c r="D472" s="36"/>
      <c r="F472" s="1" t="s">
        <v>1322</v>
      </c>
      <c r="G472" s="30" t="s">
        <v>2309</v>
      </c>
      <c r="K472" s="1" t="s">
        <v>2312</v>
      </c>
      <c r="L472" s="1" t="s">
        <v>1279</v>
      </c>
      <c r="M472" s="36" t="s">
        <v>2313</v>
      </c>
      <c r="N472" s="1" t="s">
        <v>2314</v>
      </c>
      <c r="O472" s="1" t="s">
        <v>1286</v>
      </c>
      <c r="P472" s="34" t="str">
        <f t="shared" si="9"/>
        <v>F010</v>
      </c>
      <c r="Q472" s="1" t="s">
        <v>137</v>
      </c>
      <c r="S472" s="16">
        <v>20</v>
      </c>
      <c r="T472" s="1" t="s">
        <v>2299</v>
      </c>
      <c r="U472" s="1" t="s">
        <v>1325</v>
      </c>
      <c r="V472" s="1" t="s">
        <v>1994</v>
      </c>
      <c r="Y472" s="1">
        <v>63835.519999999997</v>
      </c>
      <c r="AB472" s="1">
        <v>60643.74</v>
      </c>
    </row>
    <row r="473" spans="2:28" x14ac:dyDescent="0.2">
      <c r="B473" s="30" t="s">
        <v>2294</v>
      </c>
      <c r="C473" s="36"/>
      <c r="D473" s="36"/>
      <c r="F473" s="1" t="s">
        <v>1322</v>
      </c>
      <c r="G473" s="30" t="s">
        <v>2315</v>
      </c>
      <c r="K473" s="1" t="s">
        <v>2316</v>
      </c>
      <c r="L473" s="1" t="s">
        <v>1279</v>
      </c>
      <c r="M473" s="36" t="s">
        <v>2317</v>
      </c>
      <c r="N473" s="1" t="s">
        <v>1287</v>
      </c>
      <c r="O473" s="1" t="s">
        <v>1286</v>
      </c>
      <c r="P473" s="34" t="str">
        <f t="shared" si="9"/>
        <v>F010</v>
      </c>
      <c r="Q473" s="1" t="s">
        <v>138</v>
      </c>
      <c r="S473" s="16">
        <v>20</v>
      </c>
      <c r="T473" s="1" t="s">
        <v>2299</v>
      </c>
      <c r="U473" s="1" t="s">
        <v>2318</v>
      </c>
      <c r="V473" s="1" t="s">
        <v>2319</v>
      </c>
      <c r="Y473" s="1">
        <v>8994</v>
      </c>
      <c r="AB473" s="1">
        <v>8544.2999999999993</v>
      </c>
    </row>
    <row r="474" spans="2:28" x14ac:dyDescent="0.2">
      <c r="B474" s="30" t="s">
        <v>2294</v>
      </c>
      <c r="C474" s="36"/>
      <c r="D474" s="36"/>
      <c r="F474" s="1" t="s">
        <v>1322</v>
      </c>
      <c r="G474" s="30" t="s">
        <v>2315</v>
      </c>
      <c r="K474" s="1" t="s">
        <v>2320</v>
      </c>
      <c r="L474" s="1" t="s">
        <v>1279</v>
      </c>
      <c r="M474" s="36" t="s">
        <v>2317</v>
      </c>
      <c r="N474" s="1" t="s">
        <v>1287</v>
      </c>
      <c r="O474" s="1" t="s">
        <v>1286</v>
      </c>
      <c r="P474" s="34" t="str">
        <f t="shared" si="9"/>
        <v>F010</v>
      </c>
      <c r="Q474" s="1" t="s">
        <v>138</v>
      </c>
      <c r="S474" s="16">
        <v>20</v>
      </c>
      <c r="T474" s="1" t="s">
        <v>2299</v>
      </c>
      <c r="U474" s="1" t="s">
        <v>2318</v>
      </c>
      <c r="V474" s="1" t="s">
        <v>2319</v>
      </c>
      <c r="Y474" s="1">
        <v>8994</v>
      </c>
      <c r="AB474" s="1">
        <v>8544.2999999999993</v>
      </c>
    </row>
    <row r="475" spans="2:28" x14ac:dyDescent="0.2">
      <c r="B475" s="30" t="s">
        <v>2294</v>
      </c>
      <c r="C475" s="36"/>
      <c r="D475" s="36"/>
      <c r="F475" s="1" t="s">
        <v>1322</v>
      </c>
      <c r="G475" s="30" t="s">
        <v>2321</v>
      </c>
      <c r="K475" s="1" t="s">
        <v>2322</v>
      </c>
      <c r="L475" s="1" t="s">
        <v>1279</v>
      </c>
      <c r="M475" s="36" t="s">
        <v>2323</v>
      </c>
      <c r="N475" s="1" t="s">
        <v>1287</v>
      </c>
      <c r="O475" s="1" t="s">
        <v>1286</v>
      </c>
      <c r="P475" s="34" t="str">
        <f t="shared" si="9"/>
        <v>F010</v>
      </c>
      <c r="Q475" s="1" t="s">
        <v>138</v>
      </c>
      <c r="S475" s="16">
        <v>20</v>
      </c>
      <c r="T475" s="1" t="s">
        <v>2299</v>
      </c>
      <c r="U475" s="1" t="s">
        <v>1724</v>
      </c>
      <c r="V475" s="1" t="s">
        <v>1802</v>
      </c>
      <c r="Y475" s="1">
        <v>28346.71</v>
      </c>
      <c r="AB475" s="1">
        <v>26481.8</v>
      </c>
    </row>
    <row r="476" spans="2:28" x14ac:dyDescent="0.2">
      <c r="B476" s="30" t="s">
        <v>2294</v>
      </c>
      <c r="C476" s="36"/>
      <c r="D476" s="36"/>
      <c r="F476" s="1" t="s">
        <v>1322</v>
      </c>
      <c r="G476" s="30" t="s">
        <v>2324</v>
      </c>
      <c r="K476" s="1" t="s">
        <v>2325</v>
      </c>
      <c r="L476" s="1" t="s">
        <v>1279</v>
      </c>
      <c r="M476" s="36" t="s">
        <v>2317</v>
      </c>
      <c r="N476" s="1" t="s">
        <v>1287</v>
      </c>
      <c r="O476" s="1" t="s">
        <v>1286</v>
      </c>
      <c r="P476" s="34" t="str">
        <f t="shared" si="9"/>
        <v>F010</v>
      </c>
      <c r="Q476" s="1" t="s">
        <v>138</v>
      </c>
      <c r="S476" s="16">
        <v>20</v>
      </c>
      <c r="T476" s="1" t="s">
        <v>2299</v>
      </c>
      <c r="U476" s="1" t="s">
        <v>2318</v>
      </c>
      <c r="V476" s="1" t="s">
        <v>2319</v>
      </c>
      <c r="Y476" s="1">
        <v>17195</v>
      </c>
      <c r="AB476" s="1">
        <v>16335.25</v>
      </c>
    </row>
    <row r="477" spans="2:28" x14ac:dyDescent="0.2">
      <c r="B477" s="30" t="s">
        <v>2294</v>
      </c>
      <c r="C477" s="36"/>
      <c r="D477" s="36"/>
      <c r="F477" s="1" t="s">
        <v>1322</v>
      </c>
      <c r="G477" s="30" t="s">
        <v>2324</v>
      </c>
      <c r="K477" s="1" t="s">
        <v>2326</v>
      </c>
      <c r="L477" s="1" t="s">
        <v>1279</v>
      </c>
      <c r="M477" s="36" t="s">
        <v>2317</v>
      </c>
      <c r="N477" s="1" t="s">
        <v>1287</v>
      </c>
      <c r="O477" s="1" t="s">
        <v>1286</v>
      </c>
      <c r="P477" s="34" t="str">
        <f t="shared" si="9"/>
        <v>F010</v>
      </c>
      <c r="Q477" s="1" t="s">
        <v>138</v>
      </c>
      <c r="S477" s="16">
        <v>20</v>
      </c>
      <c r="T477" s="1" t="s">
        <v>2299</v>
      </c>
      <c r="U477" s="1" t="s">
        <v>2318</v>
      </c>
      <c r="V477" s="1" t="s">
        <v>2319</v>
      </c>
      <c r="Y477" s="1">
        <v>17195</v>
      </c>
      <c r="AB477" s="1">
        <v>16335.25</v>
      </c>
    </row>
    <row r="478" spans="2:28" x14ac:dyDescent="0.2">
      <c r="B478" s="30" t="s">
        <v>2294</v>
      </c>
      <c r="C478" s="36"/>
      <c r="D478" s="36"/>
      <c r="F478" s="1" t="s">
        <v>1322</v>
      </c>
      <c r="G478" s="30" t="s">
        <v>2327</v>
      </c>
      <c r="K478" s="1" t="s">
        <v>2328</v>
      </c>
      <c r="L478" s="1" t="s">
        <v>1279</v>
      </c>
      <c r="M478" s="36" t="s">
        <v>2323</v>
      </c>
      <c r="N478" s="1" t="s">
        <v>1287</v>
      </c>
      <c r="O478" s="1" t="s">
        <v>1286</v>
      </c>
      <c r="P478" s="34" t="str">
        <f t="shared" si="9"/>
        <v>F010</v>
      </c>
      <c r="Q478" s="1" t="s">
        <v>138</v>
      </c>
      <c r="S478" s="16">
        <v>20</v>
      </c>
      <c r="T478" s="1" t="s">
        <v>2299</v>
      </c>
      <c r="U478" s="1" t="s">
        <v>1724</v>
      </c>
      <c r="V478" s="1" t="s">
        <v>2329</v>
      </c>
      <c r="Y478" s="1">
        <v>42791.48</v>
      </c>
      <c r="AB478" s="1">
        <v>36208.18</v>
      </c>
    </row>
    <row r="479" spans="2:28" x14ac:dyDescent="0.2">
      <c r="B479" s="30" t="s">
        <v>2294</v>
      </c>
      <c r="C479" s="36"/>
      <c r="D479" s="36"/>
      <c r="F479" s="1" t="s">
        <v>1322</v>
      </c>
      <c r="G479" s="30" t="s">
        <v>2330</v>
      </c>
      <c r="K479" s="1" t="s">
        <v>2331</v>
      </c>
      <c r="L479" s="1" t="s">
        <v>1279</v>
      </c>
      <c r="M479" s="36" t="s">
        <v>2319</v>
      </c>
      <c r="N479" s="1" t="s">
        <v>1837</v>
      </c>
      <c r="O479" s="1" t="s">
        <v>1286</v>
      </c>
      <c r="P479" s="34" t="str">
        <f t="shared" si="9"/>
        <v>F010</v>
      </c>
      <c r="Q479" s="1" t="s">
        <v>129</v>
      </c>
      <c r="S479" s="16">
        <v>20</v>
      </c>
      <c r="T479" s="1" t="s">
        <v>2299</v>
      </c>
      <c r="U479" s="1" t="s">
        <v>1356</v>
      </c>
      <c r="V479" s="1" t="s">
        <v>2140</v>
      </c>
      <c r="Y479" s="1">
        <v>8168</v>
      </c>
      <c r="AB479" s="1">
        <v>7759.6</v>
      </c>
    </row>
    <row r="480" spans="2:28" x14ac:dyDescent="0.2">
      <c r="B480" s="30" t="s">
        <v>2294</v>
      </c>
      <c r="C480" s="36"/>
      <c r="D480" s="36"/>
      <c r="F480" s="1" t="s">
        <v>1322</v>
      </c>
      <c r="G480" s="30" t="s">
        <v>2330</v>
      </c>
      <c r="K480" s="1" t="s">
        <v>2332</v>
      </c>
      <c r="L480" s="1" t="s">
        <v>1279</v>
      </c>
      <c r="M480" s="36" t="s">
        <v>2319</v>
      </c>
      <c r="N480" s="1" t="s">
        <v>1837</v>
      </c>
      <c r="O480" s="1" t="s">
        <v>1286</v>
      </c>
      <c r="P480" s="34" t="str">
        <f t="shared" si="9"/>
        <v>F010</v>
      </c>
      <c r="Q480" s="1" t="s">
        <v>129</v>
      </c>
      <c r="S480" s="16">
        <v>20</v>
      </c>
      <c r="T480" s="1" t="s">
        <v>2299</v>
      </c>
      <c r="U480" s="1" t="s">
        <v>1356</v>
      </c>
      <c r="V480" s="1" t="s">
        <v>2140</v>
      </c>
      <c r="Y480" s="1">
        <v>8168</v>
      </c>
      <c r="AB480" s="1">
        <v>7759.6</v>
      </c>
    </row>
    <row r="481" spans="2:28" x14ac:dyDescent="0.2">
      <c r="B481" s="30" t="s">
        <v>2294</v>
      </c>
      <c r="C481" s="36"/>
      <c r="D481" s="36"/>
      <c r="F481" s="1" t="s">
        <v>1322</v>
      </c>
      <c r="G481" s="30" t="s">
        <v>2330</v>
      </c>
      <c r="K481" s="1" t="s">
        <v>2333</v>
      </c>
      <c r="L481" s="1" t="s">
        <v>1279</v>
      </c>
      <c r="M481" s="36" t="s">
        <v>2319</v>
      </c>
      <c r="N481" s="1" t="s">
        <v>1837</v>
      </c>
      <c r="O481" s="1" t="s">
        <v>1286</v>
      </c>
      <c r="P481" s="34" t="str">
        <f t="shared" si="9"/>
        <v>F010</v>
      </c>
      <c r="Q481" s="1" t="s">
        <v>129</v>
      </c>
      <c r="S481" s="16">
        <v>20</v>
      </c>
      <c r="T481" s="1" t="s">
        <v>2299</v>
      </c>
      <c r="U481" s="1" t="s">
        <v>1356</v>
      </c>
      <c r="V481" s="1" t="s">
        <v>2140</v>
      </c>
      <c r="Y481" s="1">
        <v>8168</v>
      </c>
      <c r="AB481" s="1">
        <v>7759.6</v>
      </c>
    </row>
    <row r="482" spans="2:28" x14ac:dyDescent="0.2">
      <c r="B482" s="30" t="s">
        <v>2294</v>
      </c>
      <c r="C482" s="36"/>
      <c r="D482" s="36"/>
      <c r="F482" s="1" t="s">
        <v>1322</v>
      </c>
      <c r="G482" s="30" t="s">
        <v>2334</v>
      </c>
      <c r="K482" s="1" t="s">
        <v>2335</v>
      </c>
      <c r="L482" s="1" t="s">
        <v>1279</v>
      </c>
      <c r="M482" s="36" t="s">
        <v>1439</v>
      </c>
      <c r="N482" s="1" t="s">
        <v>1837</v>
      </c>
      <c r="O482" s="1" t="s">
        <v>1286</v>
      </c>
      <c r="P482" s="34" t="str">
        <f t="shared" si="9"/>
        <v>F010</v>
      </c>
      <c r="Q482" s="1" t="s">
        <v>129</v>
      </c>
      <c r="S482" s="16">
        <v>20</v>
      </c>
      <c r="T482" s="1" t="s">
        <v>2299</v>
      </c>
      <c r="U482" s="1" t="s">
        <v>1821</v>
      </c>
      <c r="V482" s="1" t="s">
        <v>2244</v>
      </c>
      <c r="Y482" s="1">
        <v>4595040</v>
      </c>
      <c r="AB482" s="1">
        <v>4365288</v>
      </c>
    </row>
    <row r="483" spans="2:28" x14ac:dyDescent="0.2">
      <c r="B483" s="30" t="s">
        <v>2294</v>
      </c>
      <c r="C483" s="36"/>
      <c r="D483" s="36"/>
      <c r="F483" s="1" t="s">
        <v>1322</v>
      </c>
      <c r="G483" s="30" t="s">
        <v>2336</v>
      </c>
      <c r="K483" s="1" t="s">
        <v>2337</v>
      </c>
      <c r="L483" s="1" t="s">
        <v>1279</v>
      </c>
      <c r="M483" s="36" t="s">
        <v>2313</v>
      </c>
      <c r="N483" s="1" t="s">
        <v>1284</v>
      </c>
      <c r="O483" s="1" t="s">
        <v>1286</v>
      </c>
      <c r="P483" s="34" t="str">
        <f t="shared" si="9"/>
        <v>F010</v>
      </c>
      <c r="Q483" s="1" t="s">
        <v>127</v>
      </c>
      <c r="S483" s="16">
        <v>20</v>
      </c>
      <c r="T483" s="1" t="s">
        <v>2299</v>
      </c>
      <c r="U483" s="1" t="s">
        <v>1325</v>
      </c>
      <c r="V483" s="1" t="s">
        <v>1994</v>
      </c>
      <c r="Y483" s="1">
        <v>110785</v>
      </c>
      <c r="AB483" s="1">
        <v>105245.75</v>
      </c>
    </row>
    <row r="484" spans="2:28" s="58" customFormat="1" x14ac:dyDescent="0.2">
      <c r="B484" s="56" t="s">
        <v>2294</v>
      </c>
      <c r="C484" s="57">
        <v>80000</v>
      </c>
      <c r="D484" s="48">
        <f>+C484/100000</f>
        <v>0.8</v>
      </c>
      <c r="E484" s="58" t="s">
        <v>1331</v>
      </c>
      <c r="F484" s="58" t="s">
        <v>1322</v>
      </c>
      <c r="G484" s="56" t="s">
        <v>2338</v>
      </c>
      <c r="K484" s="58" t="s">
        <v>2339</v>
      </c>
      <c r="L484" s="58" t="s">
        <v>1279</v>
      </c>
      <c r="M484" s="58" t="s">
        <v>1457</v>
      </c>
      <c r="N484" s="58" t="s">
        <v>1286</v>
      </c>
      <c r="O484" s="58" t="s">
        <v>1286</v>
      </c>
      <c r="P484" s="58" t="str">
        <f t="shared" si="9"/>
        <v>F010</v>
      </c>
      <c r="Q484" s="58" t="s">
        <v>138</v>
      </c>
      <c r="S484" s="59">
        <v>20</v>
      </c>
      <c r="T484" s="58" t="s">
        <v>2299</v>
      </c>
      <c r="U484" s="58" t="s">
        <v>2340</v>
      </c>
      <c r="V484" s="58" t="s">
        <v>2043</v>
      </c>
      <c r="Y484" s="58">
        <v>321600</v>
      </c>
      <c r="AB484" s="58">
        <v>305520</v>
      </c>
    </row>
    <row r="485" spans="2:28" s="58" customFormat="1" x14ac:dyDescent="0.2">
      <c r="B485" s="56" t="s">
        <v>2294</v>
      </c>
      <c r="C485" s="57">
        <v>20000</v>
      </c>
      <c r="D485" s="48">
        <f>+C485/100000</f>
        <v>0.2</v>
      </c>
      <c r="E485" s="58" t="s">
        <v>1337</v>
      </c>
      <c r="F485" s="58" t="s">
        <v>1322</v>
      </c>
      <c r="G485" s="56" t="s">
        <v>2338</v>
      </c>
      <c r="K485" s="58" t="s">
        <v>2339</v>
      </c>
      <c r="L485" s="58" t="s">
        <v>1279</v>
      </c>
      <c r="M485" s="58" t="s">
        <v>1457</v>
      </c>
      <c r="N485" s="58" t="s">
        <v>1287</v>
      </c>
      <c r="O485" s="58" t="s">
        <v>1286</v>
      </c>
      <c r="P485" s="58" t="str">
        <f t="shared" si="9"/>
        <v>F010</v>
      </c>
      <c r="Q485" s="58" t="s">
        <v>138</v>
      </c>
      <c r="S485" s="59">
        <v>20</v>
      </c>
      <c r="T485" s="58" t="s">
        <v>2299</v>
      </c>
      <c r="U485" s="58" t="s">
        <v>2340</v>
      </c>
      <c r="V485" s="58" t="s">
        <v>2043</v>
      </c>
      <c r="Y485" s="58">
        <v>80400</v>
      </c>
      <c r="AB485" s="58">
        <v>76380</v>
      </c>
    </row>
    <row r="486" spans="2:28" x14ac:dyDescent="0.2">
      <c r="B486" s="30" t="s">
        <v>2294</v>
      </c>
      <c r="C486" s="36"/>
      <c r="D486" s="36"/>
      <c r="F486" s="1" t="s">
        <v>1322</v>
      </c>
      <c r="G486" s="30" t="s">
        <v>2341</v>
      </c>
      <c r="K486" s="1" t="s">
        <v>2342</v>
      </c>
      <c r="L486" s="1" t="s">
        <v>1279</v>
      </c>
      <c r="M486" s="36" t="s">
        <v>1528</v>
      </c>
      <c r="N486" s="1" t="s">
        <v>1715</v>
      </c>
      <c r="O486" s="1" t="s">
        <v>1286</v>
      </c>
      <c r="P486" s="34" t="str">
        <f t="shared" si="9"/>
        <v>F010</v>
      </c>
      <c r="Q486" s="1" t="s">
        <v>129</v>
      </c>
      <c r="S486" s="16">
        <v>20</v>
      </c>
      <c r="T486" s="1" t="s">
        <v>2299</v>
      </c>
      <c r="U486" s="1" t="s">
        <v>1900</v>
      </c>
      <c r="V486" s="1" t="s">
        <v>2343</v>
      </c>
      <c r="Y486" s="1">
        <v>87035</v>
      </c>
      <c r="AB486" s="1">
        <v>82683.25</v>
      </c>
    </row>
    <row r="487" spans="2:28" x14ac:dyDescent="0.2">
      <c r="B487" s="30" t="s">
        <v>2294</v>
      </c>
      <c r="C487" s="36"/>
      <c r="D487" s="36"/>
      <c r="F487" s="1" t="s">
        <v>1322</v>
      </c>
      <c r="G487" s="30" t="s">
        <v>2344</v>
      </c>
      <c r="K487" s="1" t="s">
        <v>2345</v>
      </c>
      <c r="L487" s="1" t="s">
        <v>1279</v>
      </c>
      <c r="M487" s="36" t="s">
        <v>1480</v>
      </c>
      <c r="N487" s="1" t="s">
        <v>1637</v>
      </c>
      <c r="O487" s="1" t="s">
        <v>1286</v>
      </c>
      <c r="P487" s="34" t="str">
        <f t="shared" si="9"/>
        <v>F010</v>
      </c>
      <c r="Q487" s="1" t="s">
        <v>127</v>
      </c>
      <c r="S487" s="16">
        <v>20</v>
      </c>
      <c r="T487" s="1" t="s">
        <v>2299</v>
      </c>
      <c r="U487" s="1" t="s">
        <v>1503</v>
      </c>
      <c r="V487" s="1" t="s">
        <v>2095</v>
      </c>
      <c r="Y487" s="1">
        <v>1677.5</v>
      </c>
      <c r="AB487" s="1">
        <v>656.22</v>
      </c>
    </row>
    <row r="488" spans="2:28" x14ac:dyDescent="0.2">
      <c r="B488" s="30" t="s">
        <v>2294</v>
      </c>
      <c r="C488" s="36"/>
      <c r="D488" s="36"/>
      <c r="F488" s="1" t="s">
        <v>1322</v>
      </c>
      <c r="G488" s="30" t="s">
        <v>2346</v>
      </c>
      <c r="K488" s="1" t="s">
        <v>2347</v>
      </c>
      <c r="L488" s="1" t="s">
        <v>1279</v>
      </c>
      <c r="M488" s="36" t="s">
        <v>1480</v>
      </c>
      <c r="N488" s="1" t="s">
        <v>1637</v>
      </c>
      <c r="O488" s="1" t="s">
        <v>1286</v>
      </c>
      <c r="P488" s="34" t="str">
        <f t="shared" si="9"/>
        <v>F010</v>
      </c>
      <c r="Q488" s="1" t="s">
        <v>127</v>
      </c>
      <c r="S488" s="16">
        <v>20</v>
      </c>
      <c r="T488" s="1" t="s">
        <v>2299</v>
      </c>
      <c r="U488" s="1" t="s">
        <v>1503</v>
      </c>
      <c r="V488" s="1" t="s">
        <v>2095</v>
      </c>
      <c r="Y488" s="1">
        <v>2474.4899999999998</v>
      </c>
      <c r="AB488" s="1">
        <v>971.7</v>
      </c>
    </row>
    <row r="489" spans="2:28" x14ac:dyDescent="0.2">
      <c r="B489" s="30" t="s">
        <v>2294</v>
      </c>
      <c r="C489" s="36"/>
      <c r="D489" s="36"/>
      <c r="F489" s="1" t="s">
        <v>1322</v>
      </c>
      <c r="G489" s="30" t="s">
        <v>2346</v>
      </c>
      <c r="K489" s="1" t="s">
        <v>2348</v>
      </c>
      <c r="L489" s="1" t="s">
        <v>1279</v>
      </c>
      <c r="M489" s="36" t="s">
        <v>1480</v>
      </c>
      <c r="N489" s="1" t="s">
        <v>1637</v>
      </c>
      <c r="O489" s="1" t="s">
        <v>1286</v>
      </c>
      <c r="P489" s="34" t="str">
        <f t="shared" si="9"/>
        <v>F010</v>
      </c>
      <c r="Q489" s="1" t="s">
        <v>127</v>
      </c>
      <c r="S489" s="16">
        <v>20</v>
      </c>
      <c r="T489" s="1" t="s">
        <v>2299</v>
      </c>
      <c r="U489" s="1" t="s">
        <v>1503</v>
      </c>
      <c r="V489" s="1" t="s">
        <v>2095</v>
      </c>
      <c r="Y489" s="1">
        <v>2474.5</v>
      </c>
      <c r="AB489" s="1">
        <v>971.7</v>
      </c>
    </row>
    <row r="490" spans="2:28" x14ac:dyDescent="0.2">
      <c r="B490" s="30" t="s">
        <v>2294</v>
      </c>
      <c r="C490" s="36"/>
      <c r="D490" s="36"/>
      <c r="F490" s="1" t="s">
        <v>1322</v>
      </c>
      <c r="G490" s="30" t="s">
        <v>2349</v>
      </c>
      <c r="K490" s="1" t="s">
        <v>2350</v>
      </c>
      <c r="L490" s="1" t="s">
        <v>1279</v>
      </c>
      <c r="M490" s="36" t="s">
        <v>1917</v>
      </c>
      <c r="N490" s="1" t="s">
        <v>1287</v>
      </c>
      <c r="O490" s="1" t="s">
        <v>1286</v>
      </c>
      <c r="P490" s="34" t="str">
        <f t="shared" si="9"/>
        <v>F010</v>
      </c>
      <c r="Q490" s="1" t="s">
        <v>138</v>
      </c>
      <c r="S490" s="16">
        <v>20</v>
      </c>
      <c r="T490" s="1" t="s">
        <v>2299</v>
      </c>
      <c r="U490" s="1" t="s">
        <v>1729</v>
      </c>
      <c r="V490" s="1" t="s">
        <v>1922</v>
      </c>
      <c r="Y490" s="1">
        <v>24500</v>
      </c>
      <c r="AB490" s="1">
        <v>23275</v>
      </c>
    </row>
    <row r="491" spans="2:28" x14ac:dyDescent="0.2">
      <c r="B491" s="30" t="s">
        <v>2294</v>
      </c>
      <c r="C491" s="36"/>
      <c r="D491" s="36"/>
      <c r="F491" s="1" t="s">
        <v>1322</v>
      </c>
      <c r="G491" s="30" t="s">
        <v>2349</v>
      </c>
      <c r="K491" s="1" t="s">
        <v>2351</v>
      </c>
      <c r="L491" s="1" t="s">
        <v>1279</v>
      </c>
      <c r="M491" s="36" t="s">
        <v>1917</v>
      </c>
      <c r="N491" s="1" t="s">
        <v>1287</v>
      </c>
      <c r="O491" s="1" t="s">
        <v>1286</v>
      </c>
      <c r="P491" s="34" t="str">
        <f t="shared" si="9"/>
        <v>F010</v>
      </c>
      <c r="Q491" s="1" t="s">
        <v>138</v>
      </c>
      <c r="S491" s="16">
        <v>20</v>
      </c>
      <c r="T491" s="1" t="s">
        <v>2299</v>
      </c>
      <c r="U491" s="1" t="s">
        <v>1729</v>
      </c>
      <c r="V491" s="1" t="s">
        <v>1922</v>
      </c>
      <c r="Y491" s="1">
        <v>24500</v>
      </c>
      <c r="AB491" s="1">
        <v>23275</v>
      </c>
    </row>
    <row r="492" spans="2:28" x14ac:dyDescent="0.2">
      <c r="B492" s="30" t="s">
        <v>2294</v>
      </c>
      <c r="C492" s="36"/>
      <c r="D492" s="36"/>
      <c r="F492" s="1" t="s">
        <v>1322</v>
      </c>
      <c r="G492" s="30" t="s">
        <v>2352</v>
      </c>
      <c r="K492" s="1" t="s">
        <v>2353</v>
      </c>
      <c r="L492" s="1" t="s">
        <v>1279</v>
      </c>
      <c r="M492" s="36" t="s">
        <v>2354</v>
      </c>
      <c r="N492" s="1" t="s">
        <v>1287</v>
      </c>
      <c r="O492" s="1" t="s">
        <v>1286</v>
      </c>
      <c r="P492" s="34" t="str">
        <f t="shared" si="9"/>
        <v>F010</v>
      </c>
      <c r="Q492" s="1" t="s">
        <v>138</v>
      </c>
      <c r="S492" s="16">
        <v>20</v>
      </c>
      <c r="T492" s="1" t="s">
        <v>2299</v>
      </c>
      <c r="U492" s="1" t="s">
        <v>2355</v>
      </c>
      <c r="V492" s="1" t="s">
        <v>2356</v>
      </c>
      <c r="Y492" s="1">
        <v>24800</v>
      </c>
      <c r="AB492" s="1">
        <v>23560</v>
      </c>
    </row>
    <row r="493" spans="2:28" x14ac:dyDescent="0.2">
      <c r="B493" s="30" t="s">
        <v>2294</v>
      </c>
      <c r="C493" s="36"/>
      <c r="D493" s="36"/>
      <c r="F493" s="1" t="s">
        <v>1322</v>
      </c>
      <c r="G493" s="30" t="s">
        <v>2352</v>
      </c>
      <c r="K493" s="1" t="s">
        <v>2357</v>
      </c>
      <c r="L493" s="1" t="s">
        <v>1279</v>
      </c>
      <c r="M493" s="36" t="s">
        <v>2354</v>
      </c>
      <c r="N493" s="1" t="s">
        <v>1287</v>
      </c>
      <c r="O493" s="1" t="s">
        <v>1286</v>
      </c>
      <c r="P493" s="34" t="str">
        <f t="shared" si="9"/>
        <v>F010</v>
      </c>
      <c r="Q493" s="1" t="s">
        <v>138</v>
      </c>
      <c r="S493" s="16">
        <v>20</v>
      </c>
      <c r="T493" s="1" t="s">
        <v>2299</v>
      </c>
      <c r="U493" s="1" t="s">
        <v>2355</v>
      </c>
      <c r="V493" s="1" t="s">
        <v>2356</v>
      </c>
      <c r="Y493" s="1">
        <v>24800</v>
      </c>
      <c r="AB493" s="1">
        <v>23560</v>
      </c>
    </row>
    <row r="494" spans="2:28" x14ac:dyDescent="0.2">
      <c r="B494" s="30" t="s">
        <v>2294</v>
      </c>
      <c r="C494" s="36"/>
      <c r="D494" s="36"/>
      <c r="F494" s="1" t="s">
        <v>1322</v>
      </c>
      <c r="G494" s="30" t="s">
        <v>2358</v>
      </c>
      <c r="K494" s="1" t="s">
        <v>2359</v>
      </c>
      <c r="L494" s="1" t="s">
        <v>1279</v>
      </c>
      <c r="M494" s="36" t="s">
        <v>2360</v>
      </c>
      <c r="N494" s="1" t="s">
        <v>1287</v>
      </c>
      <c r="O494" s="1" t="s">
        <v>1286</v>
      </c>
      <c r="P494" s="34" t="str">
        <f t="shared" si="9"/>
        <v>F010</v>
      </c>
      <c r="Q494" s="1" t="s">
        <v>138</v>
      </c>
      <c r="S494" s="16">
        <v>20</v>
      </c>
      <c r="T494" s="1" t="s">
        <v>2299</v>
      </c>
      <c r="U494" s="1" t="s">
        <v>2313</v>
      </c>
      <c r="V494" s="1" t="s">
        <v>2361</v>
      </c>
      <c r="Y494" s="1">
        <v>57271.8</v>
      </c>
      <c r="AB494" s="1">
        <v>54408.21</v>
      </c>
    </row>
    <row r="495" spans="2:28" x14ac:dyDescent="0.2">
      <c r="B495" s="30" t="s">
        <v>2294</v>
      </c>
      <c r="C495" s="36"/>
      <c r="D495" s="36"/>
      <c r="F495" s="1" t="s">
        <v>1322</v>
      </c>
      <c r="G495" s="30" t="s">
        <v>2362</v>
      </c>
      <c r="K495" s="1" t="s">
        <v>2363</v>
      </c>
      <c r="L495" s="1" t="s">
        <v>1279</v>
      </c>
      <c r="M495" s="36" t="s">
        <v>2364</v>
      </c>
      <c r="N495" s="1" t="s">
        <v>1287</v>
      </c>
      <c r="O495" s="1" t="s">
        <v>1286</v>
      </c>
      <c r="P495" s="34" t="str">
        <f t="shared" si="9"/>
        <v>F010</v>
      </c>
      <c r="Q495" s="1" t="s">
        <v>138</v>
      </c>
      <c r="S495" s="16">
        <v>20</v>
      </c>
      <c r="T495" s="1" t="s">
        <v>2299</v>
      </c>
      <c r="U495" s="1" t="s">
        <v>1555</v>
      </c>
      <c r="V495" s="1" t="s">
        <v>1557</v>
      </c>
      <c r="Y495" s="1">
        <v>155400</v>
      </c>
      <c r="AB495" s="1">
        <v>147630</v>
      </c>
    </row>
    <row r="496" spans="2:28" x14ac:dyDescent="0.2">
      <c r="B496" s="30" t="s">
        <v>2294</v>
      </c>
      <c r="C496" s="36"/>
      <c r="D496" s="36"/>
      <c r="F496" s="1" t="s">
        <v>1322</v>
      </c>
      <c r="G496" s="30" t="s">
        <v>2362</v>
      </c>
      <c r="K496" s="1" t="s">
        <v>2365</v>
      </c>
      <c r="L496" s="1" t="s">
        <v>1279</v>
      </c>
      <c r="M496" s="36" t="s">
        <v>2364</v>
      </c>
      <c r="N496" s="1" t="s">
        <v>1287</v>
      </c>
      <c r="O496" s="1" t="s">
        <v>1286</v>
      </c>
      <c r="P496" s="34" t="str">
        <f t="shared" si="9"/>
        <v>F010</v>
      </c>
      <c r="Q496" s="1" t="s">
        <v>138</v>
      </c>
      <c r="S496" s="16">
        <v>20</v>
      </c>
      <c r="T496" s="1" t="s">
        <v>2299</v>
      </c>
      <c r="U496" s="1" t="s">
        <v>1555</v>
      </c>
      <c r="V496" s="1" t="s">
        <v>1557</v>
      </c>
      <c r="Y496" s="1">
        <v>155400</v>
      </c>
      <c r="AB496" s="1">
        <v>147630</v>
      </c>
    </row>
    <row r="497" spans="2:28" x14ac:dyDescent="0.2">
      <c r="B497" s="30" t="s">
        <v>2294</v>
      </c>
      <c r="C497" s="36"/>
      <c r="D497" s="36"/>
      <c r="F497" s="1" t="s">
        <v>1322</v>
      </c>
      <c r="G497" s="30" t="s">
        <v>2366</v>
      </c>
      <c r="K497" s="1" t="s">
        <v>2367</v>
      </c>
      <c r="L497" s="1" t="s">
        <v>1279</v>
      </c>
      <c r="M497" s="36" t="s">
        <v>1990</v>
      </c>
      <c r="N497" s="1" t="s">
        <v>1287</v>
      </c>
      <c r="O497" s="1" t="s">
        <v>1286</v>
      </c>
      <c r="P497" s="34" t="str">
        <f t="shared" si="9"/>
        <v>F010</v>
      </c>
      <c r="Q497" s="1" t="s">
        <v>138</v>
      </c>
      <c r="S497" s="16">
        <v>20</v>
      </c>
      <c r="T497" s="1" t="s">
        <v>2299</v>
      </c>
      <c r="U497" s="1" t="s">
        <v>2368</v>
      </c>
      <c r="V497" s="1" t="s">
        <v>2369</v>
      </c>
      <c r="Y497" s="1">
        <v>46881</v>
      </c>
      <c r="AB497" s="1">
        <v>0</v>
      </c>
    </row>
    <row r="498" spans="2:28" x14ac:dyDescent="0.2">
      <c r="B498" s="30" t="s">
        <v>2294</v>
      </c>
      <c r="C498" s="36"/>
      <c r="D498" s="36"/>
      <c r="F498" s="1" t="s">
        <v>1322</v>
      </c>
      <c r="G498" s="30" t="s">
        <v>2370</v>
      </c>
      <c r="K498" s="1" t="s">
        <v>2371</v>
      </c>
      <c r="L498" s="1" t="s">
        <v>1279</v>
      </c>
      <c r="M498" s="36" t="s">
        <v>1990</v>
      </c>
      <c r="N498" s="1" t="s">
        <v>1287</v>
      </c>
      <c r="O498" s="1" t="s">
        <v>1286</v>
      </c>
      <c r="P498" s="34" t="str">
        <f t="shared" si="9"/>
        <v>F010</v>
      </c>
      <c r="Q498" s="1" t="s">
        <v>138</v>
      </c>
      <c r="S498" s="16">
        <v>20</v>
      </c>
      <c r="T498" s="1" t="s">
        <v>2299</v>
      </c>
      <c r="U498" s="1" t="s">
        <v>2368</v>
      </c>
      <c r="V498" s="1" t="s">
        <v>2369</v>
      </c>
      <c r="Y498" s="1">
        <v>49654</v>
      </c>
      <c r="AB498" s="1">
        <v>0</v>
      </c>
    </row>
    <row r="499" spans="2:28" x14ac:dyDescent="0.2">
      <c r="B499" s="30" t="s">
        <v>2294</v>
      </c>
      <c r="C499" s="36"/>
      <c r="D499" s="36"/>
      <c r="F499" s="1" t="s">
        <v>1322</v>
      </c>
      <c r="G499" s="30" t="s">
        <v>2370</v>
      </c>
      <c r="K499" s="1" t="s">
        <v>2372</v>
      </c>
      <c r="L499" s="1" t="s">
        <v>1279</v>
      </c>
      <c r="M499" s="36" t="s">
        <v>1990</v>
      </c>
      <c r="N499" s="1" t="s">
        <v>1287</v>
      </c>
      <c r="O499" s="1" t="s">
        <v>1286</v>
      </c>
      <c r="P499" s="34" t="str">
        <f t="shared" si="9"/>
        <v>F010</v>
      </c>
      <c r="Q499" s="1" t="s">
        <v>138</v>
      </c>
      <c r="S499" s="16">
        <v>20</v>
      </c>
      <c r="T499" s="1" t="s">
        <v>2299</v>
      </c>
      <c r="U499" s="1" t="s">
        <v>2368</v>
      </c>
      <c r="V499" s="1" t="s">
        <v>2369</v>
      </c>
      <c r="Y499" s="1">
        <v>46881</v>
      </c>
      <c r="AB499" s="1">
        <v>0</v>
      </c>
    </row>
    <row r="500" spans="2:28" x14ac:dyDescent="0.2">
      <c r="B500" s="30" t="s">
        <v>2294</v>
      </c>
      <c r="C500" s="36"/>
      <c r="D500" s="36"/>
      <c r="F500" s="1" t="s">
        <v>1322</v>
      </c>
      <c r="G500" s="30" t="s">
        <v>2370</v>
      </c>
      <c r="K500" s="1" t="s">
        <v>2373</v>
      </c>
      <c r="L500" s="1" t="s">
        <v>1279</v>
      </c>
      <c r="M500" s="36" t="s">
        <v>1990</v>
      </c>
      <c r="N500" s="1" t="s">
        <v>1287</v>
      </c>
      <c r="O500" s="1" t="s">
        <v>1286</v>
      </c>
      <c r="P500" s="34" t="str">
        <f t="shared" si="9"/>
        <v>F010</v>
      </c>
      <c r="Q500" s="1" t="s">
        <v>138</v>
      </c>
      <c r="S500" s="16">
        <v>20</v>
      </c>
      <c r="T500" s="1" t="s">
        <v>2299</v>
      </c>
      <c r="U500" s="1" t="s">
        <v>2368</v>
      </c>
      <c r="V500" s="1" t="s">
        <v>2369</v>
      </c>
      <c r="Y500" s="1">
        <v>46311</v>
      </c>
      <c r="AB500" s="1">
        <v>0</v>
      </c>
    </row>
    <row r="501" spans="2:28" x14ac:dyDescent="0.2">
      <c r="B501" s="30" t="s">
        <v>2294</v>
      </c>
      <c r="C501" s="36"/>
      <c r="D501" s="36"/>
      <c r="F501" s="1" t="s">
        <v>1322</v>
      </c>
      <c r="G501" s="30" t="s">
        <v>2374</v>
      </c>
      <c r="K501" s="1" t="s">
        <v>2375</v>
      </c>
      <c r="L501" s="1" t="s">
        <v>1279</v>
      </c>
      <c r="M501" s="36" t="s">
        <v>1990</v>
      </c>
      <c r="N501" s="1" t="s">
        <v>1287</v>
      </c>
      <c r="O501" s="1" t="s">
        <v>1286</v>
      </c>
      <c r="P501" s="34" t="str">
        <f t="shared" si="9"/>
        <v>F010</v>
      </c>
      <c r="Q501" s="1" t="s">
        <v>138</v>
      </c>
      <c r="S501" s="16">
        <v>20</v>
      </c>
      <c r="T501" s="1" t="s">
        <v>2299</v>
      </c>
      <c r="U501" s="1" t="s">
        <v>2368</v>
      </c>
      <c r="V501" s="1" t="s">
        <v>2369</v>
      </c>
      <c r="Y501" s="1">
        <v>55389</v>
      </c>
      <c r="AB501" s="1">
        <v>0</v>
      </c>
    </row>
    <row r="502" spans="2:28" x14ac:dyDescent="0.2">
      <c r="B502" s="30" t="s">
        <v>2294</v>
      </c>
      <c r="C502" s="36"/>
      <c r="D502" s="36"/>
      <c r="F502" s="1" t="s">
        <v>1322</v>
      </c>
      <c r="G502" s="30" t="s">
        <v>2374</v>
      </c>
      <c r="K502" s="1" t="s">
        <v>2376</v>
      </c>
      <c r="L502" s="1" t="s">
        <v>1279</v>
      </c>
      <c r="M502" s="36" t="s">
        <v>1990</v>
      </c>
      <c r="N502" s="1" t="s">
        <v>1287</v>
      </c>
      <c r="O502" s="1" t="s">
        <v>1286</v>
      </c>
      <c r="P502" s="34" t="str">
        <f t="shared" si="9"/>
        <v>F010</v>
      </c>
      <c r="Q502" s="1" t="s">
        <v>138</v>
      </c>
      <c r="S502" s="16">
        <v>20</v>
      </c>
      <c r="T502" s="1" t="s">
        <v>2299</v>
      </c>
      <c r="U502" s="1" t="s">
        <v>2368</v>
      </c>
      <c r="V502" s="1" t="s">
        <v>2369</v>
      </c>
      <c r="Y502" s="1">
        <v>50451</v>
      </c>
      <c r="AB502" s="1">
        <v>0</v>
      </c>
    </row>
    <row r="503" spans="2:28" x14ac:dyDescent="0.2">
      <c r="B503" s="30" t="s">
        <v>2294</v>
      </c>
      <c r="C503" s="36"/>
      <c r="D503" s="36"/>
      <c r="F503" s="1" t="s">
        <v>1322</v>
      </c>
      <c r="G503" s="30" t="s">
        <v>2377</v>
      </c>
      <c r="K503" s="1" t="s">
        <v>2378</v>
      </c>
      <c r="L503" s="1" t="s">
        <v>1279</v>
      </c>
      <c r="M503" s="36" t="s">
        <v>1990</v>
      </c>
      <c r="N503" s="1" t="s">
        <v>1287</v>
      </c>
      <c r="O503" s="1" t="s">
        <v>1286</v>
      </c>
      <c r="P503" s="34" t="str">
        <f t="shared" si="9"/>
        <v>F010</v>
      </c>
      <c r="Q503" s="1" t="s">
        <v>138</v>
      </c>
      <c r="S503" s="16">
        <v>20</v>
      </c>
      <c r="T503" s="1" t="s">
        <v>2299</v>
      </c>
      <c r="U503" s="1" t="s">
        <v>2368</v>
      </c>
      <c r="V503" s="1" t="s">
        <v>2369</v>
      </c>
      <c r="Y503" s="1">
        <v>55389</v>
      </c>
      <c r="AB503" s="1">
        <v>0</v>
      </c>
    </row>
    <row r="504" spans="2:28" x14ac:dyDescent="0.2">
      <c r="B504" s="30" t="s">
        <v>2294</v>
      </c>
      <c r="C504" s="36"/>
      <c r="D504" s="36"/>
      <c r="F504" s="1" t="s">
        <v>1322</v>
      </c>
      <c r="G504" s="30" t="s">
        <v>2377</v>
      </c>
      <c r="K504" s="1" t="s">
        <v>2379</v>
      </c>
      <c r="L504" s="1" t="s">
        <v>1279</v>
      </c>
      <c r="M504" s="36" t="s">
        <v>1990</v>
      </c>
      <c r="N504" s="1" t="s">
        <v>1287</v>
      </c>
      <c r="O504" s="1" t="s">
        <v>1286</v>
      </c>
      <c r="P504" s="34" t="str">
        <f t="shared" si="9"/>
        <v>F010</v>
      </c>
      <c r="Q504" s="1" t="s">
        <v>138</v>
      </c>
      <c r="S504" s="16">
        <v>20</v>
      </c>
      <c r="T504" s="1" t="s">
        <v>2299</v>
      </c>
      <c r="U504" s="1" t="s">
        <v>2368</v>
      </c>
      <c r="V504" s="1" t="s">
        <v>2369</v>
      </c>
      <c r="Y504" s="1">
        <v>50451</v>
      </c>
      <c r="AB504" s="1">
        <v>0</v>
      </c>
    </row>
    <row r="505" spans="2:28" x14ac:dyDescent="0.2">
      <c r="B505" s="30" t="s">
        <v>2294</v>
      </c>
      <c r="C505" s="36"/>
      <c r="D505" s="36"/>
      <c r="F505" s="1" t="s">
        <v>1322</v>
      </c>
      <c r="G505" s="30" t="s">
        <v>2380</v>
      </c>
      <c r="K505" s="1" t="s">
        <v>2381</v>
      </c>
      <c r="L505" s="1" t="s">
        <v>1279</v>
      </c>
      <c r="M505" s="36" t="s">
        <v>1426</v>
      </c>
      <c r="N505" s="1" t="s">
        <v>1335</v>
      </c>
      <c r="O505" s="1" t="s">
        <v>1286</v>
      </c>
      <c r="P505" s="34" t="str">
        <f t="shared" si="9"/>
        <v>F010</v>
      </c>
      <c r="Q505" s="1" t="s">
        <v>137</v>
      </c>
      <c r="S505" s="16">
        <v>20</v>
      </c>
      <c r="T505" s="1" t="s">
        <v>2299</v>
      </c>
      <c r="U505" s="1" t="s">
        <v>1990</v>
      </c>
      <c r="V505" s="1" t="s">
        <v>1807</v>
      </c>
      <c r="Y505" s="1">
        <v>37837.5</v>
      </c>
      <c r="AB505" s="1">
        <v>2995.47</v>
      </c>
    </row>
    <row r="506" spans="2:28" x14ac:dyDescent="0.2">
      <c r="B506" s="30" t="s">
        <v>2294</v>
      </c>
      <c r="C506" s="36"/>
      <c r="D506" s="36"/>
      <c r="F506" s="1" t="s">
        <v>1322</v>
      </c>
      <c r="G506" s="30" t="s">
        <v>2380</v>
      </c>
      <c r="K506" s="1" t="s">
        <v>2382</v>
      </c>
      <c r="L506" s="1" t="s">
        <v>1279</v>
      </c>
      <c r="M506" s="36" t="s">
        <v>1426</v>
      </c>
      <c r="N506" s="1" t="s">
        <v>1335</v>
      </c>
      <c r="O506" s="1" t="s">
        <v>1286</v>
      </c>
      <c r="P506" s="34" t="str">
        <f t="shared" si="9"/>
        <v>F010</v>
      </c>
      <c r="Q506" s="1" t="s">
        <v>1138</v>
      </c>
      <c r="S506" s="16">
        <v>20</v>
      </c>
      <c r="T506" s="1" t="s">
        <v>2299</v>
      </c>
      <c r="U506" s="1" t="s">
        <v>1990</v>
      </c>
      <c r="V506" s="1" t="s">
        <v>1807</v>
      </c>
      <c r="Y506" s="1">
        <v>37837.5</v>
      </c>
      <c r="AB506" s="1">
        <v>2995.47</v>
      </c>
    </row>
    <row r="507" spans="2:28" x14ac:dyDescent="0.2">
      <c r="B507" s="30" t="s">
        <v>2294</v>
      </c>
      <c r="C507" s="36"/>
      <c r="D507" s="36"/>
      <c r="F507" s="1" t="s">
        <v>1322</v>
      </c>
      <c r="G507" s="30" t="s">
        <v>2380</v>
      </c>
      <c r="K507" s="1" t="s">
        <v>2383</v>
      </c>
      <c r="L507" s="1" t="s">
        <v>1279</v>
      </c>
      <c r="M507" s="36" t="s">
        <v>1426</v>
      </c>
      <c r="N507" s="1" t="s">
        <v>1335</v>
      </c>
      <c r="O507" s="1" t="s">
        <v>1286</v>
      </c>
      <c r="P507" s="34" t="str">
        <f t="shared" si="9"/>
        <v>F010</v>
      </c>
      <c r="Q507" s="1" t="s">
        <v>1138</v>
      </c>
      <c r="S507" s="16">
        <v>20</v>
      </c>
      <c r="T507" s="1" t="s">
        <v>2299</v>
      </c>
      <c r="U507" s="1" t="s">
        <v>1990</v>
      </c>
      <c r="V507" s="1" t="s">
        <v>1807</v>
      </c>
      <c r="Y507" s="1">
        <v>36690</v>
      </c>
      <c r="AB507" s="1">
        <v>2904.63</v>
      </c>
    </row>
    <row r="508" spans="2:28" x14ac:dyDescent="0.2">
      <c r="B508" s="30" t="s">
        <v>2294</v>
      </c>
      <c r="C508" s="36"/>
      <c r="D508" s="36"/>
      <c r="F508" s="1" t="s">
        <v>1322</v>
      </c>
      <c r="G508" s="30" t="s">
        <v>2384</v>
      </c>
      <c r="K508" s="1" t="s">
        <v>2385</v>
      </c>
      <c r="L508" s="1" t="s">
        <v>1279</v>
      </c>
      <c r="M508" s="36" t="s">
        <v>2368</v>
      </c>
      <c r="N508" s="1" t="s">
        <v>1284</v>
      </c>
      <c r="O508" s="1" t="s">
        <v>1286</v>
      </c>
      <c r="P508" s="34" t="str">
        <f t="shared" si="9"/>
        <v>F010</v>
      </c>
      <c r="Q508" s="1" t="s">
        <v>138</v>
      </c>
      <c r="S508" s="16">
        <v>20</v>
      </c>
      <c r="T508" s="1" t="s">
        <v>2299</v>
      </c>
      <c r="U508" s="1" t="s">
        <v>2386</v>
      </c>
      <c r="V508" s="1" t="s">
        <v>2127</v>
      </c>
      <c r="Y508" s="1">
        <v>115000</v>
      </c>
      <c r="AB508" s="1">
        <v>3034.72</v>
      </c>
    </row>
    <row r="509" spans="2:28" x14ac:dyDescent="0.2">
      <c r="B509" s="30" t="s">
        <v>2294</v>
      </c>
      <c r="C509" s="36"/>
      <c r="D509" s="36"/>
      <c r="F509" s="1" t="s">
        <v>1322</v>
      </c>
      <c r="G509" s="30" t="s">
        <v>2384</v>
      </c>
      <c r="K509" s="1" t="s">
        <v>2387</v>
      </c>
      <c r="L509" s="1" t="s">
        <v>1279</v>
      </c>
      <c r="M509" s="36" t="s">
        <v>2368</v>
      </c>
      <c r="N509" s="1" t="s">
        <v>1284</v>
      </c>
      <c r="O509" s="1" t="s">
        <v>1286</v>
      </c>
      <c r="P509" s="34" t="str">
        <f t="shared" si="9"/>
        <v>F010</v>
      </c>
      <c r="Q509" s="1" t="s">
        <v>138</v>
      </c>
      <c r="S509" s="16">
        <v>20</v>
      </c>
      <c r="T509" s="1" t="s">
        <v>2299</v>
      </c>
      <c r="U509" s="1" t="s">
        <v>2386</v>
      </c>
      <c r="V509" s="1" t="s">
        <v>2127</v>
      </c>
      <c r="Y509" s="1">
        <v>115000</v>
      </c>
      <c r="AB509" s="1">
        <v>3034.72</v>
      </c>
    </row>
    <row r="510" spans="2:28" x14ac:dyDescent="0.2">
      <c r="B510" s="30" t="s">
        <v>2294</v>
      </c>
      <c r="C510" s="36"/>
      <c r="D510" s="36"/>
      <c r="F510" s="1" t="s">
        <v>1322</v>
      </c>
      <c r="G510" s="30" t="s">
        <v>2388</v>
      </c>
      <c r="K510" s="1" t="s">
        <v>2389</v>
      </c>
      <c r="L510" s="1" t="s">
        <v>1279</v>
      </c>
      <c r="M510" s="36" t="s">
        <v>1775</v>
      </c>
      <c r="N510" s="1" t="s">
        <v>1837</v>
      </c>
      <c r="O510" s="1" t="s">
        <v>1286</v>
      </c>
      <c r="P510" s="34" t="str">
        <f t="shared" si="9"/>
        <v>F010</v>
      </c>
      <c r="Q510" s="1" t="s">
        <v>129</v>
      </c>
      <c r="S510" s="16">
        <v>20</v>
      </c>
      <c r="T510" s="1" t="s">
        <v>2299</v>
      </c>
      <c r="U510" s="1" t="s">
        <v>1439</v>
      </c>
      <c r="V510" s="1" t="s">
        <v>2135</v>
      </c>
      <c r="Y510" s="1">
        <v>37400</v>
      </c>
      <c r="AB510" s="1">
        <v>35530</v>
      </c>
    </row>
    <row r="511" spans="2:28" x14ac:dyDescent="0.2">
      <c r="B511" s="30" t="s">
        <v>2294</v>
      </c>
      <c r="C511" s="36"/>
      <c r="D511" s="36"/>
      <c r="F511" s="1" t="s">
        <v>1322</v>
      </c>
      <c r="G511" s="30" t="s">
        <v>2388</v>
      </c>
      <c r="K511" s="1" t="s">
        <v>2390</v>
      </c>
      <c r="L511" s="1" t="s">
        <v>1279</v>
      </c>
      <c r="M511" s="36" t="s">
        <v>1775</v>
      </c>
      <c r="N511" s="1" t="s">
        <v>1837</v>
      </c>
      <c r="O511" s="1" t="s">
        <v>1286</v>
      </c>
      <c r="P511" s="34" t="str">
        <f t="shared" si="9"/>
        <v>F010</v>
      </c>
      <c r="Q511" s="1" t="s">
        <v>129</v>
      </c>
      <c r="S511" s="16">
        <v>20</v>
      </c>
      <c r="T511" s="1" t="s">
        <v>2299</v>
      </c>
      <c r="U511" s="1" t="s">
        <v>1439</v>
      </c>
      <c r="V511" s="1" t="s">
        <v>2135</v>
      </c>
      <c r="Y511" s="1">
        <v>37400</v>
      </c>
      <c r="AB511" s="1">
        <v>35530</v>
      </c>
    </row>
    <row r="512" spans="2:28" x14ac:dyDescent="0.2">
      <c r="B512" s="30" t="s">
        <v>2294</v>
      </c>
      <c r="C512" s="36"/>
      <c r="D512" s="36"/>
      <c r="F512" s="1" t="s">
        <v>1322</v>
      </c>
      <c r="G512" s="30" t="s">
        <v>2388</v>
      </c>
      <c r="K512" s="1" t="s">
        <v>2391</v>
      </c>
      <c r="L512" s="1" t="s">
        <v>1279</v>
      </c>
      <c r="M512" s="36" t="s">
        <v>1775</v>
      </c>
      <c r="N512" s="1" t="s">
        <v>1837</v>
      </c>
      <c r="O512" s="1" t="s">
        <v>1286</v>
      </c>
      <c r="P512" s="34" t="str">
        <f t="shared" ref="P512:P581" si="10">+LEFT(Q512,4)</f>
        <v>F010</v>
      </c>
      <c r="Q512" s="1" t="s">
        <v>129</v>
      </c>
      <c r="S512" s="16">
        <v>20</v>
      </c>
      <c r="T512" s="1" t="s">
        <v>2299</v>
      </c>
      <c r="U512" s="1" t="s">
        <v>1439</v>
      </c>
      <c r="V512" s="1" t="s">
        <v>2135</v>
      </c>
      <c r="Y512" s="1">
        <v>37400</v>
      </c>
      <c r="AB512" s="1">
        <v>35530</v>
      </c>
    </row>
    <row r="513" spans="2:28" x14ac:dyDescent="0.2">
      <c r="B513" s="30" t="s">
        <v>2294</v>
      </c>
      <c r="C513" s="36"/>
      <c r="D513" s="36"/>
      <c r="F513" s="1" t="s">
        <v>1322</v>
      </c>
      <c r="G513" s="30" t="s">
        <v>2388</v>
      </c>
      <c r="K513" s="1" t="s">
        <v>2392</v>
      </c>
      <c r="L513" s="1" t="s">
        <v>1279</v>
      </c>
      <c r="M513" s="36" t="s">
        <v>2393</v>
      </c>
      <c r="N513" s="1" t="s">
        <v>2394</v>
      </c>
      <c r="O513" s="1" t="s">
        <v>1286</v>
      </c>
      <c r="P513" s="34" t="str">
        <f t="shared" si="10"/>
        <v>F010</v>
      </c>
      <c r="Q513" s="1" t="s">
        <v>129</v>
      </c>
      <c r="S513" s="16">
        <v>20</v>
      </c>
      <c r="T513" s="1" t="s">
        <v>2299</v>
      </c>
      <c r="U513" s="1" t="s">
        <v>2395</v>
      </c>
      <c r="V513" s="1" t="s">
        <v>2208</v>
      </c>
      <c r="Y513" s="1">
        <v>32859.919999999998</v>
      </c>
      <c r="AB513" s="1">
        <v>31216.92</v>
      </c>
    </row>
    <row r="514" spans="2:28" x14ac:dyDescent="0.2">
      <c r="B514" s="30" t="s">
        <v>2294</v>
      </c>
      <c r="C514" s="36"/>
      <c r="D514" s="36"/>
      <c r="F514" s="1" t="s">
        <v>1322</v>
      </c>
      <c r="G514" s="30" t="s">
        <v>2388</v>
      </c>
      <c r="K514" s="1" t="s">
        <v>2396</v>
      </c>
      <c r="L514" s="1" t="s">
        <v>1279</v>
      </c>
      <c r="M514" s="36" t="s">
        <v>2393</v>
      </c>
      <c r="N514" s="1" t="s">
        <v>1687</v>
      </c>
      <c r="O514" s="1" t="s">
        <v>1286</v>
      </c>
      <c r="P514" s="34" t="str">
        <f t="shared" si="10"/>
        <v>F010</v>
      </c>
      <c r="Q514" s="1" t="s">
        <v>129</v>
      </c>
      <c r="S514" s="16">
        <v>20</v>
      </c>
      <c r="T514" s="1" t="s">
        <v>2299</v>
      </c>
      <c r="U514" s="1" t="s">
        <v>2395</v>
      </c>
      <c r="V514" s="1" t="s">
        <v>2208</v>
      </c>
      <c r="Y514" s="1">
        <v>32859.919999999998</v>
      </c>
      <c r="AB514" s="1">
        <v>31216.92</v>
      </c>
    </row>
    <row r="515" spans="2:28" x14ac:dyDescent="0.2">
      <c r="B515" s="30" t="s">
        <v>2294</v>
      </c>
      <c r="C515" s="36"/>
      <c r="D515" s="36"/>
      <c r="F515" s="1" t="s">
        <v>1322</v>
      </c>
      <c r="G515" s="30" t="s">
        <v>2388</v>
      </c>
      <c r="K515" s="1" t="s">
        <v>2397</v>
      </c>
      <c r="L515" s="1" t="s">
        <v>1279</v>
      </c>
      <c r="M515" s="36" t="s">
        <v>2393</v>
      </c>
      <c r="N515" s="1" t="s">
        <v>1687</v>
      </c>
      <c r="O515" s="1" t="s">
        <v>1286</v>
      </c>
      <c r="P515" s="34" t="str">
        <f t="shared" si="10"/>
        <v>F010</v>
      </c>
      <c r="Q515" s="1" t="s">
        <v>129</v>
      </c>
      <c r="S515" s="16">
        <v>20</v>
      </c>
      <c r="T515" s="1" t="s">
        <v>2299</v>
      </c>
      <c r="U515" s="1" t="s">
        <v>2395</v>
      </c>
      <c r="V515" s="1" t="s">
        <v>2208</v>
      </c>
      <c r="Y515" s="1">
        <v>32859.919999999998</v>
      </c>
      <c r="AB515" s="1">
        <v>31216.92</v>
      </c>
    </row>
    <row r="516" spans="2:28" x14ac:dyDescent="0.2">
      <c r="B516" s="30" t="s">
        <v>2294</v>
      </c>
      <c r="C516" s="36"/>
      <c r="D516" s="36"/>
      <c r="F516" s="1" t="s">
        <v>1322</v>
      </c>
      <c r="G516" s="30" t="s">
        <v>2388</v>
      </c>
      <c r="K516" s="1" t="s">
        <v>2398</v>
      </c>
      <c r="L516" s="1" t="s">
        <v>1279</v>
      </c>
      <c r="M516" s="36" t="s">
        <v>2393</v>
      </c>
      <c r="N516" s="1" t="s">
        <v>1833</v>
      </c>
      <c r="O516" s="1" t="s">
        <v>1286</v>
      </c>
      <c r="P516" s="34" t="str">
        <f t="shared" si="10"/>
        <v>F010</v>
      </c>
      <c r="Q516" s="1" t="s">
        <v>127</v>
      </c>
      <c r="S516" s="16">
        <v>20</v>
      </c>
      <c r="T516" s="1" t="s">
        <v>2299</v>
      </c>
      <c r="U516" s="1" t="s">
        <v>2395</v>
      </c>
      <c r="V516" s="1" t="s">
        <v>2208</v>
      </c>
      <c r="Y516" s="1">
        <v>32859.919999999998</v>
      </c>
      <c r="AB516" s="1">
        <v>31216.92</v>
      </c>
    </row>
    <row r="517" spans="2:28" x14ac:dyDescent="0.2">
      <c r="B517" s="30" t="s">
        <v>2294</v>
      </c>
      <c r="C517" s="36"/>
      <c r="D517" s="36"/>
      <c r="F517" s="1" t="s">
        <v>1322</v>
      </c>
      <c r="G517" s="30" t="s">
        <v>2388</v>
      </c>
      <c r="K517" s="1" t="s">
        <v>2399</v>
      </c>
      <c r="L517" s="1" t="s">
        <v>1279</v>
      </c>
      <c r="M517" s="36" t="s">
        <v>2393</v>
      </c>
      <c r="N517" s="1" t="s">
        <v>2400</v>
      </c>
      <c r="O517" s="1" t="s">
        <v>1286</v>
      </c>
      <c r="P517" s="34" t="str">
        <f t="shared" si="10"/>
        <v>F010</v>
      </c>
      <c r="Q517" s="1" t="s">
        <v>129</v>
      </c>
      <c r="S517" s="16">
        <v>20</v>
      </c>
      <c r="T517" s="1" t="s">
        <v>2299</v>
      </c>
      <c r="U517" s="1" t="s">
        <v>2395</v>
      </c>
      <c r="V517" s="1" t="s">
        <v>2208</v>
      </c>
      <c r="Y517" s="1">
        <v>21019.919999999998</v>
      </c>
      <c r="AB517" s="1">
        <v>19968.919999999998</v>
      </c>
    </row>
    <row r="518" spans="2:28" x14ac:dyDescent="0.2">
      <c r="B518" s="30" t="s">
        <v>2294</v>
      </c>
      <c r="C518" s="36"/>
      <c r="D518" s="36"/>
      <c r="F518" s="1" t="s">
        <v>1322</v>
      </c>
      <c r="G518" s="30" t="s">
        <v>2401</v>
      </c>
      <c r="K518" s="1" t="s">
        <v>2402</v>
      </c>
      <c r="L518" s="1" t="s">
        <v>1279</v>
      </c>
      <c r="M518" s="36" t="s">
        <v>1962</v>
      </c>
      <c r="N518" s="1" t="s">
        <v>1287</v>
      </c>
      <c r="O518" s="1" t="s">
        <v>1286</v>
      </c>
      <c r="P518" s="34" t="str">
        <f t="shared" si="10"/>
        <v>F010</v>
      </c>
      <c r="Q518" s="1" t="s">
        <v>138</v>
      </c>
      <c r="S518" s="16">
        <v>20</v>
      </c>
      <c r="T518" s="1" t="s">
        <v>2299</v>
      </c>
      <c r="U518" s="1" t="s">
        <v>1861</v>
      </c>
      <c r="V518" s="1" t="s">
        <v>1862</v>
      </c>
      <c r="Y518" s="1">
        <v>59900</v>
      </c>
      <c r="AB518" s="1">
        <v>56905</v>
      </c>
    </row>
    <row r="519" spans="2:28" x14ac:dyDescent="0.2">
      <c r="B519" s="30" t="s">
        <v>2294</v>
      </c>
      <c r="C519" s="36"/>
      <c r="D519" s="36"/>
      <c r="F519" s="1" t="s">
        <v>1322</v>
      </c>
      <c r="G519" s="30" t="s">
        <v>2403</v>
      </c>
      <c r="K519" s="1" t="s">
        <v>2404</v>
      </c>
      <c r="L519" s="1" t="s">
        <v>1279</v>
      </c>
      <c r="M519" s="36" t="s">
        <v>1894</v>
      </c>
      <c r="N519" s="1" t="s">
        <v>1837</v>
      </c>
      <c r="O519" s="1" t="s">
        <v>1286</v>
      </c>
      <c r="P519" s="34" t="str">
        <f t="shared" si="10"/>
        <v>F010</v>
      </c>
      <c r="Q519" s="1" t="s">
        <v>129</v>
      </c>
      <c r="S519" s="16">
        <v>20</v>
      </c>
      <c r="T519" s="1" t="s">
        <v>2299</v>
      </c>
      <c r="U519" s="1" t="s">
        <v>1371</v>
      </c>
      <c r="V519" s="1" t="s">
        <v>2057</v>
      </c>
      <c r="Y519" s="1">
        <v>13292.5</v>
      </c>
      <c r="AB519" s="1">
        <v>12627.87</v>
      </c>
    </row>
    <row r="520" spans="2:28" x14ac:dyDescent="0.2">
      <c r="B520" s="30" t="s">
        <v>2294</v>
      </c>
      <c r="C520" s="36"/>
      <c r="D520" s="36"/>
      <c r="F520" s="1" t="s">
        <v>1322</v>
      </c>
      <c r="G520" s="30" t="s">
        <v>2403</v>
      </c>
      <c r="K520" s="1" t="s">
        <v>2405</v>
      </c>
      <c r="L520" s="1" t="s">
        <v>1279</v>
      </c>
      <c r="M520" s="36" t="s">
        <v>1894</v>
      </c>
      <c r="N520" s="1" t="s">
        <v>1837</v>
      </c>
      <c r="O520" s="1" t="s">
        <v>1286</v>
      </c>
      <c r="P520" s="34" t="str">
        <f t="shared" si="10"/>
        <v>F010</v>
      </c>
      <c r="Q520" s="1" t="s">
        <v>129</v>
      </c>
      <c r="S520" s="16">
        <v>20</v>
      </c>
      <c r="T520" s="1" t="s">
        <v>2299</v>
      </c>
      <c r="U520" s="1" t="s">
        <v>1371</v>
      </c>
      <c r="V520" s="1" t="s">
        <v>2057</v>
      </c>
      <c r="Y520" s="1">
        <v>13292.5</v>
      </c>
      <c r="AB520" s="1">
        <v>12627.87</v>
      </c>
    </row>
    <row r="521" spans="2:28" x14ac:dyDescent="0.2">
      <c r="B521" s="30" t="s">
        <v>2294</v>
      </c>
      <c r="C521" s="36"/>
      <c r="D521" s="36"/>
      <c r="F521" s="1" t="s">
        <v>1322</v>
      </c>
      <c r="G521" s="30" t="s">
        <v>2403</v>
      </c>
      <c r="K521" s="1" t="s">
        <v>2406</v>
      </c>
      <c r="L521" s="1" t="s">
        <v>1279</v>
      </c>
      <c r="M521" s="36" t="s">
        <v>1894</v>
      </c>
      <c r="N521" s="1" t="s">
        <v>1286</v>
      </c>
      <c r="O521" s="1" t="s">
        <v>1286</v>
      </c>
      <c r="P521" s="34" t="str">
        <f t="shared" si="10"/>
        <v>F010</v>
      </c>
      <c r="Q521" s="1" t="s">
        <v>129</v>
      </c>
      <c r="S521" s="16">
        <v>20</v>
      </c>
      <c r="T521" s="1" t="s">
        <v>2299</v>
      </c>
      <c r="U521" s="1" t="s">
        <v>1371</v>
      </c>
      <c r="V521" s="1" t="s">
        <v>2057</v>
      </c>
      <c r="Y521" s="1">
        <v>12824</v>
      </c>
      <c r="AB521" s="1">
        <v>12182.8</v>
      </c>
    </row>
    <row r="522" spans="2:28" x14ac:dyDescent="0.2">
      <c r="B522" s="30" t="s">
        <v>2294</v>
      </c>
      <c r="C522" s="36"/>
      <c r="D522" s="36"/>
      <c r="F522" s="1" t="s">
        <v>1322</v>
      </c>
      <c r="G522" s="30" t="s">
        <v>2407</v>
      </c>
      <c r="K522" s="1" t="s">
        <v>2408</v>
      </c>
      <c r="L522" s="1" t="s">
        <v>1279</v>
      </c>
      <c r="M522" s="36" t="s">
        <v>2393</v>
      </c>
      <c r="N522" s="1" t="s">
        <v>1287</v>
      </c>
      <c r="O522" s="1" t="s">
        <v>1286</v>
      </c>
      <c r="P522" s="34" t="str">
        <f t="shared" si="10"/>
        <v>F010</v>
      </c>
      <c r="Q522" s="1" t="s">
        <v>138</v>
      </c>
      <c r="S522" s="16">
        <v>20</v>
      </c>
      <c r="T522" s="1" t="s">
        <v>2299</v>
      </c>
      <c r="U522" s="1" t="s">
        <v>2395</v>
      </c>
      <c r="V522" s="1" t="s">
        <v>2208</v>
      </c>
      <c r="Y522" s="1">
        <v>61452.66</v>
      </c>
      <c r="AB522" s="1">
        <v>58380.03</v>
      </c>
    </row>
    <row r="523" spans="2:28" x14ac:dyDescent="0.2">
      <c r="B523" s="30" t="s">
        <v>2294</v>
      </c>
      <c r="C523" s="36"/>
      <c r="D523" s="36"/>
      <c r="F523" s="1" t="s">
        <v>1322</v>
      </c>
      <c r="G523" s="30" t="s">
        <v>2407</v>
      </c>
      <c r="K523" s="1" t="s">
        <v>2409</v>
      </c>
      <c r="L523" s="1" t="s">
        <v>1279</v>
      </c>
      <c r="M523" s="36" t="s">
        <v>2393</v>
      </c>
      <c r="N523" s="1" t="s">
        <v>1287</v>
      </c>
      <c r="O523" s="1" t="s">
        <v>1286</v>
      </c>
      <c r="P523" s="34" t="str">
        <f t="shared" si="10"/>
        <v>F010</v>
      </c>
      <c r="Q523" s="1" t="s">
        <v>138</v>
      </c>
      <c r="S523" s="16">
        <v>20</v>
      </c>
      <c r="T523" s="1" t="s">
        <v>2299</v>
      </c>
      <c r="U523" s="1" t="s">
        <v>2395</v>
      </c>
      <c r="V523" s="1" t="s">
        <v>2208</v>
      </c>
      <c r="Y523" s="1">
        <v>61452.66</v>
      </c>
      <c r="AB523" s="1">
        <v>58380.03</v>
      </c>
    </row>
    <row r="524" spans="2:28" x14ac:dyDescent="0.2">
      <c r="B524" s="30" t="s">
        <v>2294</v>
      </c>
      <c r="C524" s="36"/>
      <c r="D524" s="36"/>
      <c r="F524" s="1" t="s">
        <v>1322</v>
      </c>
      <c r="G524" s="30" t="s">
        <v>2410</v>
      </c>
      <c r="K524" s="1" t="s">
        <v>2411</v>
      </c>
      <c r="L524" s="1" t="s">
        <v>1279</v>
      </c>
      <c r="M524" s="36" t="s">
        <v>2412</v>
      </c>
      <c r="N524" s="1" t="s">
        <v>1284</v>
      </c>
      <c r="O524" s="1" t="s">
        <v>1286</v>
      </c>
      <c r="P524" s="34" t="str">
        <f t="shared" si="10"/>
        <v>F010</v>
      </c>
      <c r="Q524" s="1" t="s">
        <v>127</v>
      </c>
      <c r="S524" s="16">
        <v>20</v>
      </c>
      <c r="T524" s="1" t="s">
        <v>2299</v>
      </c>
      <c r="U524" s="1" t="s">
        <v>1741</v>
      </c>
      <c r="V524" s="1" t="s">
        <v>1900</v>
      </c>
      <c r="Y524" s="1">
        <v>8900</v>
      </c>
      <c r="AB524" s="1">
        <v>8455</v>
      </c>
    </row>
    <row r="525" spans="2:28" s="58" customFormat="1" x14ac:dyDescent="0.2">
      <c r="B525" s="56" t="s">
        <v>2294</v>
      </c>
      <c r="C525" s="57">
        <v>56000</v>
      </c>
      <c r="D525" s="48">
        <f>+C525/100000</f>
        <v>0.56000000000000005</v>
      </c>
      <c r="E525" s="58" t="s">
        <v>1331</v>
      </c>
      <c r="F525" s="58" t="s">
        <v>1322</v>
      </c>
      <c r="G525" s="56" t="s">
        <v>2413</v>
      </c>
      <c r="K525" s="58" t="s">
        <v>2414</v>
      </c>
      <c r="L525" s="58" t="s">
        <v>1279</v>
      </c>
      <c r="M525" s="58" t="s">
        <v>1762</v>
      </c>
      <c r="N525" s="58" t="s">
        <v>3092</v>
      </c>
      <c r="O525" s="58" t="s">
        <v>1286</v>
      </c>
      <c r="P525" s="58" t="str">
        <f t="shared" si="10"/>
        <v>F010</v>
      </c>
      <c r="Q525" s="58" t="s">
        <v>129</v>
      </c>
      <c r="S525" s="59">
        <v>20</v>
      </c>
      <c r="T525" s="58" t="s">
        <v>2299</v>
      </c>
      <c r="U525" s="58" t="s">
        <v>1879</v>
      </c>
      <c r="V525" s="58" t="s">
        <v>1459</v>
      </c>
      <c r="Y525" s="58">
        <v>30240</v>
      </c>
      <c r="AB525" s="58">
        <v>28728</v>
      </c>
    </row>
    <row r="526" spans="2:28" s="58" customFormat="1" x14ac:dyDescent="0.2">
      <c r="B526" s="56" t="s">
        <v>2294</v>
      </c>
      <c r="C526" s="57">
        <v>44000</v>
      </c>
      <c r="D526" s="48">
        <f>+C526/100000</f>
        <v>0.44</v>
      </c>
      <c r="E526" s="58" t="s">
        <v>1337</v>
      </c>
      <c r="F526" s="58" t="s">
        <v>1322</v>
      </c>
      <c r="G526" s="56" t="s">
        <v>2413</v>
      </c>
      <c r="K526" s="58" t="s">
        <v>2414</v>
      </c>
      <c r="L526" s="58" t="s">
        <v>1279</v>
      </c>
      <c r="M526" s="58" t="s">
        <v>1762</v>
      </c>
      <c r="N526" s="58" t="s">
        <v>6083</v>
      </c>
      <c r="O526" s="58" t="s">
        <v>1286</v>
      </c>
      <c r="P526" s="58" t="str">
        <f t="shared" si="10"/>
        <v>F010</v>
      </c>
      <c r="Q526" s="58" t="s">
        <v>129</v>
      </c>
      <c r="S526" s="59">
        <v>20</v>
      </c>
      <c r="T526" s="58" t="s">
        <v>2299</v>
      </c>
      <c r="U526" s="58" t="s">
        <v>1879</v>
      </c>
      <c r="V526" s="58" t="s">
        <v>1459</v>
      </c>
      <c r="Y526" s="58">
        <v>23760</v>
      </c>
      <c r="AB526" s="58">
        <v>22572</v>
      </c>
    </row>
    <row r="527" spans="2:28" s="58" customFormat="1" x14ac:dyDescent="0.2">
      <c r="B527" s="56" t="s">
        <v>2294</v>
      </c>
      <c r="C527" s="57">
        <v>67000</v>
      </c>
      <c r="D527" s="48">
        <f>+C527/100000</f>
        <v>0.67</v>
      </c>
      <c r="E527" s="58" t="s">
        <v>1331</v>
      </c>
      <c r="F527" s="58" t="s">
        <v>1322</v>
      </c>
      <c r="G527" s="56" t="s">
        <v>2413</v>
      </c>
      <c r="K527" s="58" t="s">
        <v>2415</v>
      </c>
      <c r="L527" s="58" t="s">
        <v>1279</v>
      </c>
      <c r="M527" s="58" t="s">
        <v>1762</v>
      </c>
      <c r="N527" s="58" t="s">
        <v>1573</v>
      </c>
      <c r="O527" s="58" t="s">
        <v>1286</v>
      </c>
      <c r="P527" s="58" t="str">
        <f t="shared" si="10"/>
        <v>F010</v>
      </c>
      <c r="Q527" s="58" t="s">
        <v>129</v>
      </c>
      <c r="S527" s="59">
        <v>20</v>
      </c>
      <c r="T527" s="58" t="s">
        <v>2299</v>
      </c>
      <c r="U527" s="58" t="s">
        <v>1879</v>
      </c>
      <c r="V527" s="58" t="s">
        <v>1459</v>
      </c>
      <c r="Y527" s="58">
        <v>36180</v>
      </c>
      <c r="AB527" s="58">
        <v>34371</v>
      </c>
    </row>
    <row r="528" spans="2:28" s="58" customFormat="1" x14ac:dyDescent="0.2">
      <c r="B528" s="56" t="s">
        <v>2294</v>
      </c>
      <c r="C528" s="57">
        <v>33000</v>
      </c>
      <c r="D528" s="48">
        <f>+C528/100000</f>
        <v>0.33</v>
      </c>
      <c r="E528" s="58" t="s">
        <v>1337</v>
      </c>
      <c r="F528" s="58" t="s">
        <v>1322</v>
      </c>
      <c r="G528" s="56" t="s">
        <v>2413</v>
      </c>
      <c r="K528" s="58" t="s">
        <v>2415</v>
      </c>
      <c r="L528" s="58" t="s">
        <v>1279</v>
      </c>
      <c r="M528" s="58" t="s">
        <v>1762</v>
      </c>
      <c r="N528" s="58" t="s">
        <v>3242</v>
      </c>
      <c r="O528" s="58" t="s">
        <v>1286</v>
      </c>
      <c r="P528" s="58" t="str">
        <f t="shared" si="10"/>
        <v>F010</v>
      </c>
      <c r="Q528" s="58" t="s">
        <v>129</v>
      </c>
      <c r="S528" s="59">
        <v>20</v>
      </c>
      <c r="T528" s="58" t="s">
        <v>2299</v>
      </c>
      <c r="U528" s="58" t="s">
        <v>1879</v>
      </c>
      <c r="V528" s="58" t="s">
        <v>1459</v>
      </c>
      <c r="Y528" s="58">
        <v>17820</v>
      </c>
      <c r="AB528" s="58">
        <v>16929</v>
      </c>
    </row>
    <row r="529" spans="2:28" x14ac:dyDescent="0.2">
      <c r="B529" s="30" t="s">
        <v>2294</v>
      </c>
      <c r="C529" s="36"/>
      <c r="D529" s="36"/>
      <c r="F529" s="1" t="s">
        <v>1322</v>
      </c>
      <c r="G529" s="30" t="s">
        <v>2416</v>
      </c>
      <c r="K529" s="1" t="s">
        <v>2417</v>
      </c>
      <c r="L529" s="1" t="s">
        <v>1279</v>
      </c>
      <c r="M529" s="36" t="s">
        <v>2313</v>
      </c>
      <c r="N529" s="1" t="s">
        <v>1284</v>
      </c>
      <c r="O529" s="1" t="s">
        <v>1286</v>
      </c>
      <c r="P529" s="34" t="str">
        <f t="shared" si="10"/>
        <v>F010</v>
      </c>
      <c r="Q529" s="1" t="s">
        <v>127</v>
      </c>
      <c r="S529" s="16">
        <v>20</v>
      </c>
      <c r="T529" s="1" t="s">
        <v>2299</v>
      </c>
      <c r="U529" s="1" t="s">
        <v>1325</v>
      </c>
      <c r="V529" s="1" t="s">
        <v>1994</v>
      </c>
      <c r="Y529" s="1">
        <v>47700</v>
      </c>
      <c r="AB529" s="1">
        <v>45315</v>
      </c>
    </row>
    <row r="530" spans="2:28" x14ac:dyDescent="0.2">
      <c r="B530" s="30" t="s">
        <v>2294</v>
      </c>
      <c r="C530" s="36"/>
      <c r="D530" s="36"/>
      <c r="F530" s="1" t="s">
        <v>1322</v>
      </c>
      <c r="G530" s="30" t="s">
        <v>2416</v>
      </c>
      <c r="K530" s="1" t="s">
        <v>2418</v>
      </c>
      <c r="L530" s="1" t="s">
        <v>1279</v>
      </c>
      <c r="M530" s="36" t="s">
        <v>2313</v>
      </c>
      <c r="N530" s="1" t="s">
        <v>1287</v>
      </c>
      <c r="O530" s="1" t="s">
        <v>1286</v>
      </c>
      <c r="P530" s="34" t="str">
        <f t="shared" si="10"/>
        <v>F010</v>
      </c>
      <c r="Q530" s="1" t="s">
        <v>138</v>
      </c>
      <c r="S530" s="16">
        <v>20</v>
      </c>
      <c r="T530" s="1" t="s">
        <v>2299</v>
      </c>
      <c r="U530" s="1" t="s">
        <v>1325</v>
      </c>
      <c r="V530" s="1" t="s">
        <v>1994</v>
      </c>
      <c r="Y530" s="1">
        <v>54200</v>
      </c>
      <c r="AB530" s="1">
        <v>51490</v>
      </c>
    </row>
    <row r="531" spans="2:28" x14ac:dyDescent="0.2">
      <c r="B531" s="30" t="s">
        <v>2294</v>
      </c>
      <c r="C531" s="36"/>
      <c r="D531" s="36"/>
      <c r="F531" s="1" t="s">
        <v>1322</v>
      </c>
      <c r="G531" s="30" t="s">
        <v>2419</v>
      </c>
      <c r="K531" s="1" t="s">
        <v>2420</v>
      </c>
      <c r="L531" s="1" t="s">
        <v>1279</v>
      </c>
      <c r="M531" s="36" t="s">
        <v>1594</v>
      </c>
      <c r="N531" s="1" t="s">
        <v>1294</v>
      </c>
      <c r="O531" s="1" t="s">
        <v>1286</v>
      </c>
      <c r="P531" s="34" t="str">
        <f t="shared" si="10"/>
        <v>F010</v>
      </c>
      <c r="Q531" s="1" t="s">
        <v>138</v>
      </c>
      <c r="S531" s="16">
        <v>20</v>
      </c>
      <c r="T531" s="1" t="s">
        <v>2299</v>
      </c>
      <c r="U531" s="1" t="s">
        <v>1582</v>
      </c>
      <c r="V531" s="1" t="s">
        <v>1567</v>
      </c>
      <c r="Y531" s="1">
        <v>49700</v>
      </c>
      <c r="AB531" s="1">
        <v>47215</v>
      </c>
    </row>
    <row r="532" spans="2:28" x14ac:dyDescent="0.2">
      <c r="B532" s="30" t="s">
        <v>2294</v>
      </c>
      <c r="C532" s="36"/>
      <c r="D532" s="36"/>
      <c r="F532" s="1" t="s">
        <v>1322</v>
      </c>
      <c r="G532" s="30" t="s">
        <v>2419</v>
      </c>
      <c r="K532" s="1" t="s">
        <v>2421</v>
      </c>
      <c r="L532" s="1" t="s">
        <v>1279</v>
      </c>
      <c r="M532" s="36" t="s">
        <v>1594</v>
      </c>
      <c r="N532" s="1" t="s">
        <v>1294</v>
      </c>
      <c r="O532" s="1" t="s">
        <v>1286</v>
      </c>
      <c r="P532" s="34" t="str">
        <f t="shared" si="10"/>
        <v>F010</v>
      </c>
      <c r="Q532" s="1" t="s">
        <v>138</v>
      </c>
      <c r="S532" s="16">
        <v>20</v>
      </c>
      <c r="T532" s="1" t="s">
        <v>2299</v>
      </c>
      <c r="U532" s="1" t="s">
        <v>1582</v>
      </c>
      <c r="V532" s="1" t="s">
        <v>1567</v>
      </c>
      <c r="Y532" s="1">
        <v>49700</v>
      </c>
      <c r="AB532" s="1">
        <v>47215</v>
      </c>
    </row>
    <row r="533" spans="2:28" x14ac:dyDescent="0.2">
      <c r="B533" s="30" t="s">
        <v>2294</v>
      </c>
      <c r="C533" s="36"/>
      <c r="D533" s="36"/>
      <c r="F533" s="1" t="s">
        <v>1322</v>
      </c>
      <c r="G533" s="30" t="s">
        <v>2422</v>
      </c>
      <c r="K533" s="1" t="s">
        <v>2423</v>
      </c>
      <c r="L533" s="1" t="s">
        <v>1279</v>
      </c>
      <c r="M533" s="36" t="s">
        <v>1962</v>
      </c>
      <c r="N533" s="1" t="s">
        <v>1287</v>
      </c>
      <c r="O533" s="1" t="s">
        <v>1286</v>
      </c>
      <c r="P533" s="34" t="str">
        <f t="shared" si="10"/>
        <v>F010</v>
      </c>
      <c r="Q533" s="1" t="s">
        <v>138</v>
      </c>
      <c r="S533" s="16">
        <v>20</v>
      </c>
      <c r="T533" s="1" t="s">
        <v>2299</v>
      </c>
      <c r="U533" s="1" t="s">
        <v>1861</v>
      </c>
      <c r="V533" s="1" t="s">
        <v>1862</v>
      </c>
      <c r="Y533" s="1">
        <v>40100</v>
      </c>
      <c r="AB533" s="1">
        <v>38095</v>
      </c>
    </row>
    <row r="534" spans="2:28" x14ac:dyDescent="0.2">
      <c r="B534" s="30" t="s">
        <v>2294</v>
      </c>
      <c r="C534" s="36"/>
      <c r="D534" s="36"/>
      <c r="F534" s="1" t="s">
        <v>1322</v>
      </c>
      <c r="G534" s="30" t="s">
        <v>2424</v>
      </c>
      <c r="K534" s="1" t="s">
        <v>2425</v>
      </c>
      <c r="L534" s="1" t="s">
        <v>1279</v>
      </c>
      <c r="M534" s="36" t="s">
        <v>2364</v>
      </c>
      <c r="N534" s="1" t="s">
        <v>2426</v>
      </c>
      <c r="O534" s="1" t="s">
        <v>1286</v>
      </c>
      <c r="P534" s="34" t="str">
        <f t="shared" si="10"/>
        <v>F010</v>
      </c>
      <c r="Q534" s="1" t="s">
        <v>138</v>
      </c>
      <c r="S534" s="16">
        <v>20</v>
      </c>
      <c r="T534" s="1" t="s">
        <v>2427</v>
      </c>
      <c r="U534" s="1" t="s">
        <v>1555</v>
      </c>
      <c r="V534" s="1" t="s">
        <v>1557</v>
      </c>
      <c r="Y534" s="1">
        <v>24440</v>
      </c>
      <c r="AB534" s="1">
        <v>23218</v>
      </c>
    </row>
    <row r="535" spans="2:28" x14ac:dyDescent="0.2">
      <c r="B535" s="30" t="s">
        <v>2294</v>
      </c>
      <c r="C535" s="36"/>
      <c r="D535" s="36"/>
      <c r="F535" s="1" t="s">
        <v>1895</v>
      </c>
      <c r="G535" s="30" t="s">
        <v>2428</v>
      </c>
      <c r="K535" s="1" t="s">
        <v>2429</v>
      </c>
      <c r="L535" s="1" t="s">
        <v>1279</v>
      </c>
      <c r="M535" s="36" t="s">
        <v>1426</v>
      </c>
      <c r="N535" s="1" t="s">
        <v>1284</v>
      </c>
      <c r="O535" s="1" t="s">
        <v>1286</v>
      </c>
      <c r="P535" s="34" t="str">
        <f t="shared" si="10"/>
        <v>F010</v>
      </c>
      <c r="Q535" s="1" t="s">
        <v>138</v>
      </c>
      <c r="S535" s="16">
        <v>20</v>
      </c>
      <c r="T535" s="1" t="s">
        <v>2427</v>
      </c>
      <c r="U535" s="1" t="s">
        <v>1990</v>
      </c>
      <c r="V535" s="1" t="s">
        <v>1807</v>
      </c>
      <c r="Y535" s="1">
        <v>27477</v>
      </c>
      <c r="AB535" s="1">
        <v>2175.27</v>
      </c>
    </row>
    <row r="536" spans="2:28" x14ac:dyDescent="0.2">
      <c r="B536" s="30" t="s">
        <v>2294</v>
      </c>
      <c r="C536" s="36"/>
      <c r="D536" s="36"/>
      <c r="F536" s="1" t="s">
        <v>1895</v>
      </c>
      <c r="G536" s="30" t="s">
        <v>2428</v>
      </c>
      <c r="K536" s="1" t="s">
        <v>2430</v>
      </c>
      <c r="L536" s="1" t="s">
        <v>1279</v>
      </c>
      <c r="M536" s="36" t="s">
        <v>1426</v>
      </c>
      <c r="N536" s="1" t="s">
        <v>1284</v>
      </c>
      <c r="O536" s="1" t="s">
        <v>1286</v>
      </c>
      <c r="P536" s="34" t="str">
        <f t="shared" si="10"/>
        <v>F010</v>
      </c>
      <c r="Q536" s="1" t="s">
        <v>138</v>
      </c>
      <c r="S536" s="16">
        <v>20</v>
      </c>
      <c r="T536" s="1" t="s">
        <v>2299</v>
      </c>
      <c r="U536" s="1" t="s">
        <v>1990</v>
      </c>
      <c r="V536" s="1" t="s">
        <v>1807</v>
      </c>
      <c r="Y536" s="1">
        <v>27477</v>
      </c>
      <c r="AB536" s="1">
        <v>2175.27</v>
      </c>
    </row>
    <row r="537" spans="2:28" x14ac:dyDescent="0.2">
      <c r="B537" s="30" t="s">
        <v>2294</v>
      </c>
      <c r="C537" s="36"/>
      <c r="D537" s="36"/>
      <c r="F537" s="1" t="s">
        <v>1322</v>
      </c>
      <c r="G537" s="30" t="s">
        <v>2431</v>
      </c>
      <c r="K537" s="1" t="s">
        <v>2432</v>
      </c>
      <c r="L537" s="1" t="s">
        <v>1279</v>
      </c>
      <c r="M537" s="36" t="s">
        <v>1330</v>
      </c>
      <c r="N537" s="1" t="s">
        <v>1283</v>
      </c>
      <c r="O537" s="1" t="s">
        <v>1286</v>
      </c>
      <c r="P537" s="34" t="str">
        <f t="shared" si="10"/>
        <v>F010</v>
      </c>
      <c r="Q537" s="1" t="s">
        <v>137</v>
      </c>
      <c r="S537" s="16">
        <v>20</v>
      </c>
      <c r="T537" s="1" t="s">
        <v>2299</v>
      </c>
      <c r="U537" s="1" t="s">
        <v>1426</v>
      </c>
      <c r="V537" s="1" t="s">
        <v>1766</v>
      </c>
      <c r="Y537" s="1">
        <v>26963</v>
      </c>
      <c r="AB537" s="1">
        <v>2846.08</v>
      </c>
    </row>
    <row r="538" spans="2:28" x14ac:dyDescent="0.2">
      <c r="B538" s="30" t="s">
        <v>2294</v>
      </c>
      <c r="C538" s="36"/>
      <c r="D538" s="36"/>
      <c r="F538" s="1" t="s">
        <v>1322</v>
      </c>
      <c r="G538" s="30" t="s">
        <v>2431</v>
      </c>
      <c r="K538" s="1" t="s">
        <v>2433</v>
      </c>
      <c r="L538" s="1" t="s">
        <v>1279</v>
      </c>
      <c r="M538" s="36" t="s">
        <v>1330</v>
      </c>
      <c r="N538" s="1" t="s">
        <v>1283</v>
      </c>
      <c r="O538" s="1" t="s">
        <v>1286</v>
      </c>
      <c r="P538" s="34" t="str">
        <f t="shared" si="10"/>
        <v>F010</v>
      </c>
      <c r="Q538" s="1" t="s">
        <v>137</v>
      </c>
      <c r="S538" s="16">
        <v>20</v>
      </c>
      <c r="T538" s="1" t="s">
        <v>2299</v>
      </c>
      <c r="U538" s="1" t="s">
        <v>1426</v>
      </c>
      <c r="V538" s="1" t="s">
        <v>1766</v>
      </c>
      <c r="Y538" s="1">
        <v>26963</v>
      </c>
      <c r="AB538" s="1">
        <v>2846.08</v>
      </c>
    </row>
    <row r="539" spans="2:28" x14ac:dyDescent="0.2">
      <c r="B539" s="30" t="s">
        <v>2294</v>
      </c>
      <c r="C539" s="36"/>
      <c r="D539" s="36"/>
      <c r="F539" s="1" t="s">
        <v>1322</v>
      </c>
      <c r="G539" s="30" t="s">
        <v>2431</v>
      </c>
      <c r="K539" s="1" t="s">
        <v>2434</v>
      </c>
      <c r="L539" s="1" t="s">
        <v>1279</v>
      </c>
      <c r="M539" s="36" t="s">
        <v>1330</v>
      </c>
      <c r="N539" s="1" t="s">
        <v>1283</v>
      </c>
      <c r="O539" s="1" t="s">
        <v>1286</v>
      </c>
      <c r="P539" s="34" t="str">
        <f t="shared" si="10"/>
        <v>F010</v>
      </c>
      <c r="Q539" s="1" t="s">
        <v>137</v>
      </c>
      <c r="S539" s="16">
        <v>20</v>
      </c>
      <c r="T539" s="1" t="s">
        <v>2299</v>
      </c>
      <c r="U539" s="1" t="s">
        <v>1426</v>
      </c>
      <c r="V539" s="1" t="s">
        <v>1766</v>
      </c>
      <c r="Y539" s="1">
        <v>26963</v>
      </c>
      <c r="AB539" s="1">
        <v>2846.08</v>
      </c>
    </row>
    <row r="540" spans="2:28" x14ac:dyDescent="0.2">
      <c r="B540" s="30" t="s">
        <v>2294</v>
      </c>
      <c r="C540" s="36"/>
      <c r="D540" s="36"/>
      <c r="F540" s="1" t="s">
        <v>1322</v>
      </c>
      <c r="G540" s="30" t="s">
        <v>2435</v>
      </c>
      <c r="K540" s="1" t="s">
        <v>2436</v>
      </c>
      <c r="L540" s="1" t="s">
        <v>1279</v>
      </c>
      <c r="M540" s="36" t="s">
        <v>2437</v>
      </c>
      <c r="N540" s="1" t="s">
        <v>1287</v>
      </c>
      <c r="O540" s="1" t="s">
        <v>1286</v>
      </c>
      <c r="P540" s="34" t="str">
        <f t="shared" si="10"/>
        <v>F010</v>
      </c>
      <c r="Q540" s="1" t="s">
        <v>138</v>
      </c>
      <c r="S540" s="16">
        <v>20</v>
      </c>
      <c r="T540" s="1" t="s">
        <v>2299</v>
      </c>
      <c r="U540" s="1" t="s">
        <v>2438</v>
      </c>
      <c r="V540" s="1" t="s">
        <v>2360</v>
      </c>
      <c r="Y540" s="1">
        <v>400092</v>
      </c>
      <c r="AB540" s="1">
        <v>380087.4</v>
      </c>
    </row>
    <row r="541" spans="2:28" s="58" customFormat="1" x14ac:dyDescent="0.2">
      <c r="B541" s="56" t="s">
        <v>2294</v>
      </c>
      <c r="C541" s="57">
        <v>50000</v>
      </c>
      <c r="D541" s="48">
        <f t="shared" ref="D541:D546" si="11">+C541/100000</f>
        <v>0.5</v>
      </c>
      <c r="E541" s="58" t="s">
        <v>1331</v>
      </c>
      <c r="F541" s="58" t="s">
        <v>1322</v>
      </c>
      <c r="G541" s="56" t="s">
        <v>2439</v>
      </c>
      <c r="K541" s="58" t="s">
        <v>2440</v>
      </c>
      <c r="L541" s="58" t="s">
        <v>1279</v>
      </c>
      <c r="M541" s="58" t="s">
        <v>1540</v>
      </c>
      <c r="N541" s="58" t="s">
        <v>1687</v>
      </c>
      <c r="O541" s="58" t="s">
        <v>1286</v>
      </c>
      <c r="P541" s="58" t="str">
        <f t="shared" si="10"/>
        <v>F010</v>
      </c>
      <c r="Q541" s="58" t="s">
        <v>129</v>
      </c>
      <c r="S541" s="59">
        <v>20</v>
      </c>
      <c r="T541" s="58" t="s">
        <v>2299</v>
      </c>
      <c r="U541" s="58" t="s">
        <v>2441</v>
      </c>
      <c r="V541" s="58" t="s">
        <v>2442</v>
      </c>
      <c r="Y541" s="58">
        <v>32050</v>
      </c>
      <c r="AB541" s="58">
        <v>30447.5</v>
      </c>
    </row>
    <row r="542" spans="2:28" s="58" customFormat="1" x14ac:dyDescent="0.2">
      <c r="B542" s="56" t="s">
        <v>2294</v>
      </c>
      <c r="C542" s="57">
        <v>25000</v>
      </c>
      <c r="D542" s="48">
        <f t="shared" si="11"/>
        <v>0.25</v>
      </c>
      <c r="E542" s="58" t="s">
        <v>1337</v>
      </c>
      <c r="F542" s="58" t="s">
        <v>1322</v>
      </c>
      <c r="G542" s="56" t="s">
        <v>2439</v>
      </c>
      <c r="K542" s="58" t="s">
        <v>2440</v>
      </c>
      <c r="L542" s="58" t="s">
        <v>1279</v>
      </c>
      <c r="M542" s="58" t="s">
        <v>1540</v>
      </c>
      <c r="N542" s="58" t="s">
        <v>2400</v>
      </c>
      <c r="O542" s="58" t="s">
        <v>1286</v>
      </c>
      <c r="P542" s="58" t="str">
        <f t="shared" si="10"/>
        <v>F010</v>
      </c>
      <c r="Q542" s="58" t="s">
        <v>129</v>
      </c>
      <c r="S542" s="59">
        <v>20</v>
      </c>
      <c r="T542" s="58" t="s">
        <v>2299</v>
      </c>
      <c r="U542" s="58" t="s">
        <v>2441</v>
      </c>
      <c r="V542" s="58" t="s">
        <v>2442</v>
      </c>
      <c r="Y542" s="58">
        <v>16025</v>
      </c>
      <c r="AB542" s="58">
        <v>15223.75</v>
      </c>
    </row>
    <row r="543" spans="2:28" s="58" customFormat="1" x14ac:dyDescent="0.2">
      <c r="B543" s="56" t="s">
        <v>2294</v>
      </c>
      <c r="C543" s="57">
        <v>25000</v>
      </c>
      <c r="D543" s="48">
        <f t="shared" si="11"/>
        <v>0.25</v>
      </c>
      <c r="E543" s="58" t="s">
        <v>1348</v>
      </c>
      <c r="F543" s="58" t="s">
        <v>1322</v>
      </c>
      <c r="G543" s="56" t="s">
        <v>2439</v>
      </c>
      <c r="K543" s="58" t="s">
        <v>2440</v>
      </c>
      <c r="L543" s="58" t="s">
        <v>1279</v>
      </c>
      <c r="M543" s="58" t="s">
        <v>1540</v>
      </c>
      <c r="N543" s="58" t="s">
        <v>2988</v>
      </c>
      <c r="O543" s="58" t="s">
        <v>1286</v>
      </c>
      <c r="P543" s="58" t="str">
        <f t="shared" si="10"/>
        <v>F010</v>
      </c>
      <c r="Q543" s="58" t="s">
        <v>129</v>
      </c>
      <c r="S543" s="59">
        <v>20</v>
      </c>
      <c r="T543" s="58" t="s">
        <v>2299</v>
      </c>
      <c r="U543" s="58" t="s">
        <v>2441</v>
      </c>
      <c r="V543" s="58" t="s">
        <v>2442</v>
      </c>
      <c r="Y543" s="58">
        <v>16025</v>
      </c>
      <c r="AB543" s="58">
        <v>15223.75</v>
      </c>
    </row>
    <row r="544" spans="2:28" s="58" customFormat="1" x14ac:dyDescent="0.2">
      <c r="B544" s="56" t="s">
        <v>2294</v>
      </c>
      <c r="C544" s="57">
        <v>50000</v>
      </c>
      <c r="D544" s="48">
        <f t="shared" si="11"/>
        <v>0.5</v>
      </c>
      <c r="E544" s="58" t="s">
        <v>1331</v>
      </c>
      <c r="F544" s="58" t="s">
        <v>1322</v>
      </c>
      <c r="G544" s="56" t="s">
        <v>2439</v>
      </c>
      <c r="K544" s="58" t="s">
        <v>2443</v>
      </c>
      <c r="L544" s="58" t="s">
        <v>1279</v>
      </c>
      <c r="M544" s="58" t="s">
        <v>1540</v>
      </c>
      <c r="N544" s="58" t="s">
        <v>1687</v>
      </c>
      <c r="O544" s="58" t="s">
        <v>1286</v>
      </c>
      <c r="P544" s="58" t="str">
        <f t="shared" si="10"/>
        <v>F010</v>
      </c>
      <c r="Q544" s="58" t="s">
        <v>129</v>
      </c>
      <c r="S544" s="59">
        <v>20</v>
      </c>
      <c r="T544" s="58" t="s">
        <v>2299</v>
      </c>
      <c r="U544" s="58" t="s">
        <v>2441</v>
      </c>
      <c r="V544" s="58" t="s">
        <v>2442</v>
      </c>
      <c r="Y544" s="58">
        <v>32050</v>
      </c>
      <c r="AB544" s="58">
        <v>30447.5</v>
      </c>
    </row>
    <row r="545" spans="2:28" s="58" customFormat="1" x14ac:dyDescent="0.2">
      <c r="B545" s="56" t="s">
        <v>2294</v>
      </c>
      <c r="C545" s="57">
        <v>25000</v>
      </c>
      <c r="D545" s="48">
        <f t="shared" si="11"/>
        <v>0.25</v>
      </c>
      <c r="E545" s="58" t="s">
        <v>1337</v>
      </c>
      <c r="F545" s="58" t="s">
        <v>1322</v>
      </c>
      <c r="G545" s="56" t="s">
        <v>2439</v>
      </c>
      <c r="K545" s="58" t="s">
        <v>2443</v>
      </c>
      <c r="L545" s="58" t="s">
        <v>1279</v>
      </c>
      <c r="M545" s="58" t="s">
        <v>1540</v>
      </c>
      <c r="N545" s="58" t="s">
        <v>2400</v>
      </c>
      <c r="O545" s="58" t="s">
        <v>1286</v>
      </c>
      <c r="P545" s="58" t="str">
        <f t="shared" si="10"/>
        <v>F010</v>
      </c>
      <c r="Q545" s="58" t="s">
        <v>129</v>
      </c>
      <c r="S545" s="59">
        <v>20</v>
      </c>
      <c r="T545" s="58" t="s">
        <v>2299</v>
      </c>
      <c r="U545" s="58" t="s">
        <v>2441</v>
      </c>
      <c r="V545" s="58" t="s">
        <v>2442</v>
      </c>
      <c r="Y545" s="58">
        <v>16025</v>
      </c>
      <c r="AB545" s="58">
        <v>15223.75</v>
      </c>
    </row>
    <row r="546" spans="2:28" s="58" customFormat="1" x14ac:dyDescent="0.2">
      <c r="B546" s="56" t="s">
        <v>2294</v>
      </c>
      <c r="C546" s="57">
        <v>25000</v>
      </c>
      <c r="D546" s="48">
        <f t="shared" si="11"/>
        <v>0.25</v>
      </c>
      <c r="E546" s="58" t="s">
        <v>1348</v>
      </c>
      <c r="F546" s="58" t="s">
        <v>1322</v>
      </c>
      <c r="G546" s="56" t="s">
        <v>2439</v>
      </c>
      <c r="K546" s="58" t="s">
        <v>2443</v>
      </c>
      <c r="L546" s="58" t="s">
        <v>1279</v>
      </c>
      <c r="M546" s="58" t="s">
        <v>1540</v>
      </c>
      <c r="N546" s="58" t="s">
        <v>2988</v>
      </c>
      <c r="O546" s="58" t="s">
        <v>1286</v>
      </c>
      <c r="P546" s="58" t="str">
        <f t="shared" si="10"/>
        <v>F010</v>
      </c>
      <c r="Q546" s="58" t="s">
        <v>129</v>
      </c>
      <c r="S546" s="59">
        <v>20</v>
      </c>
      <c r="T546" s="58" t="s">
        <v>2299</v>
      </c>
      <c r="U546" s="58" t="s">
        <v>2441</v>
      </c>
      <c r="V546" s="58" t="s">
        <v>2442</v>
      </c>
      <c r="Y546" s="58">
        <v>16025</v>
      </c>
      <c r="AB546" s="58">
        <v>15223.75</v>
      </c>
    </row>
    <row r="547" spans="2:28" x14ac:dyDescent="0.2">
      <c r="B547" s="30" t="s">
        <v>2294</v>
      </c>
      <c r="C547" s="36"/>
      <c r="D547" s="36"/>
      <c r="F547" s="1" t="s">
        <v>1322</v>
      </c>
      <c r="G547" s="30" t="s">
        <v>2444</v>
      </c>
      <c r="K547" s="1" t="s">
        <v>2445</v>
      </c>
      <c r="L547" s="1" t="s">
        <v>1279</v>
      </c>
      <c r="M547" s="36" t="s">
        <v>1890</v>
      </c>
      <c r="N547" s="1" t="s">
        <v>1287</v>
      </c>
      <c r="O547" s="1" t="s">
        <v>1286</v>
      </c>
      <c r="P547" s="34" t="str">
        <f t="shared" si="10"/>
        <v>F010</v>
      </c>
      <c r="Q547" s="1" t="s">
        <v>138</v>
      </c>
      <c r="S547" s="16">
        <v>20</v>
      </c>
      <c r="T547" s="1" t="s">
        <v>2299</v>
      </c>
      <c r="U547" s="1" t="s">
        <v>2446</v>
      </c>
      <c r="V547" s="1" t="s">
        <v>1827</v>
      </c>
      <c r="Y547" s="1">
        <v>100000</v>
      </c>
      <c r="AB547" s="1">
        <v>95000</v>
      </c>
    </row>
    <row r="548" spans="2:28" x14ac:dyDescent="0.2">
      <c r="B548" s="30" t="s">
        <v>2294</v>
      </c>
      <c r="C548" s="36"/>
      <c r="D548" s="36"/>
      <c r="F548" s="1" t="s">
        <v>1322</v>
      </c>
      <c r="G548" s="30" t="s">
        <v>2444</v>
      </c>
      <c r="K548" s="1" t="s">
        <v>2447</v>
      </c>
      <c r="L548" s="1" t="s">
        <v>1279</v>
      </c>
      <c r="M548" s="36" t="s">
        <v>1890</v>
      </c>
      <c r="N548" s="1" t="s">
        <v>1287</v>
      </c>
      <c r="O548" s="1" t="s">
        <v>1286</v>
      </c>
      <c r="P548" s="34" t="str">
        <f t="shared" si="10"/>
        <v>F010</v>
      </c>
      <c r="Q548" s="1" t="s">
        <v>138</v>
      </c>
      <c r="S548" s="16">
        <v>20</v>
      </c>
      <c r="T548" s="1" t="s">
        <v>2299</v>
      </c>
      <c r="U548" s="1" t="s">
        <v>2446</v>
      </c>
      <c r="V548" s="1" t="s">
        <v>1827</v>
      </c>
      <c r="Y548" s="1">
        <v>100000</v>
      </c>
      <c r="AB548" s="1">
        <v>95000</v>
      </c>
    </row>
    <row r="549" spans="2:28" x14ac:dyDescent="0.2">
      <c r="B549" s="30" t="s">
        <v>2294</v>
      </c>
      <c r="C549" s="36"/>
      <c r="D549" s="36"/>
      <c r="F549" s="1" t="s">
        <v>1322</v>
      </c>
      <c r="G549" s="30" t="s">
        <v>2448</v>
      </c>
      <c r="K549" s="1" t="s">
        <v>2449</v>
      </c>
      <c r="L549" s="1" t="s">
        <v>1279</v>
      </c>
      <c r="M549" s="36" t="s">
        <v>1890</v>
      </c>
      <c r="N549" s="1" t="s">
        <v>1287</v>
      </c>
      <c r="O549" s="1" t="s">
        <v>1286</v>
      </c>
      <c r="P549" s="34" t="str">
        <f t="shared" si="10"/>
        <v>F010</v>
      </c>
      <c r="Q549" s="1" t="s">
        <v>138</v>
      </c>
      <c r="S549" s="16">
        <v>20</v>
      </c>
      <c r="T549" s="1" t="s">
        <v>2299</v>
      </c>
      <c r="U549" s="1" t="s">
        <v>2446</v>
      </c>
      <c r="V549" s="1" t="s">
        <v>1827</v>
      </c>
      <c r="Y549" s="1">
        <v>37459.64</v>
      </c>
      <c r="AB549" s="1">
        <v>35586.660000000003</v>
      </c>
    </row>
    <row r="550" spans="2:28" x14ac:dyDescent="0.2">
      <c r="B550" s="30" t="s">
        <v>2294</v>
      </c>
      <c r="C550" s="36"/>
      <c r="D550" s="36"/>
      <c r="F550" s="1" t="s">
        <v>1322</v>
      </c>
      <c r="G550" s="30" t="s">
        <v>2448</v>
      </c>
      <c r="K550" s="1" t="s">
        <v>2450</v>
      </c>
      <c r="L550" s="1" t="s">
        <v>1279</v>
      </c>
      <c r="M550" s="36" t="s">
        <v>1890</v>
      </c>
      <c r="N550" s="1" t="s">
        <v>1287</v>
      </c>
      <c r="O550" s="1" t="s">
        <v>1286</v>
      </c>
      <c r="P550" s="34" t="str">
        <f t="shared" si="10"/>
        <v>F010</v>
      </c>
      <c r="Q550" s="1" t="s">
        <v>138</v>
      </c>
      <c r="S550" s="16">
        <v>20</v>
      </c>
      <c r="T550" s="1" t="s">
        <v>2299</v>
      </c>
      <c r="U550" s="1" t="s">
        <v>2446</v>
      </c>
      <c r="V550" s="1" t="s">
        <v>1827</v>
      </c>
      <c r="Y550" s="1">
        <v>37459.64</v>
      </c>
      <c r="AB550" s="1">
        <v>35586.660000000003</v>
      </c>
    </row>
    <row r="551" spans="2:28" x14ac:dyDescent="0.2">
      <c r="B551" s="30" t="s">
        <v>2294</v>
      </c>
      <c r="C551" s="36"/>
      <c r="D551" s="36"/>
      <c r="F551" s="1" t="s">
        <v>1322</v>
      </c>
      <c r="G551" s="30" t="s">
        <v>2451</v>
      </c>
      <c r="K551" s="1" t="s">
        <v>2452</v>
      </c>
      <c r="L551" s="1" t="s">
        <v>1279</v>
      </c>
      <c r="M551" s="36" t="s">
        <v>1548</v>
      </c>
      <c r="N551" s="1" t="s">
        <v>1287</v>
      </c>
      <c r="O551" s="1" t="s">
        <v>1286</v>
      </c>
      <c r="P551" s="34" t="str">
        <f t="shared" si="10"/>
        <v>F010</v>
      </c>
      <c r="Q551" s="1" t="s">
        <v>138</v>
      </c>
      <c r="S551" s="16">
        <v>20</v>
      </c>
      <c r="T551" s="1" t="s">
        <v>2299</v>
      </c>
      <c r="U551" s="1" t="s">
        <v>2081</v>
      </c>
      <c r="V551" s="1" t="s">
        <v>1572</v>
      </c>
      <c r="Y551" s="1">
        <v>11975</v>
      </c>
      <c r="AB551" s="1">
        <v>11376.25</v>
      </c>
    </row>
    <row r="552" spans="2:28" x14ac:dyDescent="0.2">
      <c r="B552" s="30" t="s">
        <v>2294</v>
      </c>
      <c r="C552" s="36"/>
      <c r="D552" s="36"/>
      <c r="F552" s="1" t="s">
        <v>1322</v>
      </c>
      <c r="G552" s="30" t="s">
        <v>2451</v>
      </c>
      <c r="K552" s="1" t="s">
        <v>2453</v>
      </c>
      <c r="L552" s="1" t="s">
        <v>1279</v>
      </c>
      <c r="M552" s="36" t="s">
        <v>1548</v>
      </c>
      <c r="N552" s="1" t="s">
        <v>1287</v>
      </c>
      <c r="O552" s="1" t="s">
        <v>1286</v>
      </c>
      <c r="P552" s="34" t="str">
        <f t="shared" si="10"/>
        <v>F010</v>
      </c>
      <c r="Q552" s="1" t="s">
        <v>138</v>
      </c>
      <c r="S552" s="16">
        <v>20</v>
      </c>
      <c r="T552" s="1" t="s">
        <v>2299</v>
      </c>
      <c r="U552" s="1" t="s">
        <v>2081</v>
      </c>
      <c r="V552" s="1" t="s">
        <v>1572</v>
      </c>
      <c r="Y552" s="1">
        <v>11975</v>
      </c>
      <c r="AB552" s="1">
        <v>11376.25</v>
      </c>
    </row>
    <row r="553" spans="2:28" x14ac:dyDescent="0.2">
      <c r="B553" s="30" t="s">
        <v>2294</v>
      </c>
      <c r="C553" s="36"/>
      <c r="D553" s="36"/>
      <c r="F553" s="1" t="s">
        <v>1322</v>
      </c>
      <c r="G553" s="30" t="s">
        <v>2454</v>
      </c>
      <c r="K553" s="1" t="s">
        <v>2455</v>
      </c>
      <c r="L553" s="1" t="s">
        <v>1279</v>
      </c>
      <c r="M553" s="36" t="s">
        <v>2102</v>
      </c>
      <c r="N553" s="1" t="s">
        <v>1287</v>
      </c>
      <c r="O553" s="1" t="s">
        <v>1286</v>
      </c>
      <c r="P553" s="34" t="str">
        <f t="shared" si="10"/>
        <v>F010</v>
      </c>
      <c r="Q553" s="1" t="s">
        <v>138</v>
      </c>
      <c r="S553" s="16">
        <v>20</v>
      </c>
      <c r="T553" s="1" t="s">
        <v>2299</v>
      </c>
      <c r="U553" s="1" t="s">
        <v>2034</v>
      </c>
      <c r="V553" s="1" t="s">
        <v>1510</v>
      </c>
      <c r="Y553" s="1">
        <v>10300</v>
      </c>
      <c r="AB553" s="1">
        <v>9785</v>
      </c>
    </row>
    <row r="554" spans="2:28" x14ac:dyDescent="0.2">
      <c r="B554" s="30" t="s">
        <v>2294</v>
      </c>
      <c r="C554" s="36"/>
      <c r="D554" s="36"/>
      <c r="F554" s="1" t="s">
        <v>1322</v>
      </c>
      <c r="G554" s="30" t="s">
        <v>2454</v>
      </c>
      <c r="K554" s="1" t="s">
        <v>2456</v>
      </c>
      <c r="L554" s="1" t="s">
        <v>1279</v>
      </c>
      <c r="M554" s="36" t="s">
        <v>2102</v>
      </c>
      <c r="N554" s="1" t="s">
        <v>1287</v>
      </c>
      <c r="O554" s="1" t="s">
        <v>1286</v>
      </c>
      <c r="P554" s="34" t="str">
        <f t="shared" si="10"/>
        <v>F010</v>
      </c>
      <c r="Q554" s="1" t="s">
        <v>138</v>
      </c>
      <c r="S554" s="16">
        <v>20</v>
      </c>
      <c r="T554" s="1" t="s">
        <v>2299</v>
      </c>
      <c r="U554" s="1" t="s">
        <v>2034</v>
      </c>
      <c r="V554" s="1" t="s">
        <v>1510</v>
      </c>
      <c r="Y554" s="1">
        <v>10300</v>
      </c>
      <c r="AB554" s="1">
        <v>9785</v>
      </c>
    </row>
    <row r="555" spans="2:28" x14ac:dyDescent="0.2">
      <c r="B555" s="30" t="s">
        <v>2294</v>
      </c>
      <c r="C555" s="36"/>
      <c r="D555" s="36"/>
      <c r="F555" s="1" t="s">
        <v>1322</v>
      </c>
      <c r="G555" s="30" t="s">
        <v>2457</v>
      </c>
      <c r="K555" s="1" t="s">
        <v>2458</v>
      </c>
      <c r="L555" s="1" t="s">
        <v>1279</v>
      </c>
      <c r="M555" s="36" t="s">
        <v>1555</v>
      </c>
      <c r="N555" s="1" t="s">
        <v>1287</v>
      </c>
      <c r="O555" s="1" t="s">
        <v>1286</v>
      </c>
      <c r="P555" s="34" t="str">
        <f t="shared" si="10"/>
        <v>F010</v>
      </c>
      <c r="Q555" s="1" t="s">
        <v>138</v>
      </c>
      <c r="S555" s="16">
        <v>20</v>
      </c>
      <c r="T555" s="1" t="s">
        <v>2299</v>
      </c>
      <c r="U555" s="1" t="s">
        <v>1459</v>
      </c>
      <c r="V555" s="1" t="s">
        <v>1436</v>
      </c>
      <c r="Y555" s="1">
        <v>10250</v>
      </c>
      <c r="AB555" s="1">
        <v>9737.5</v>
      </c>
    </row>
    <row r="556" spans="2:28" x14ac:dyDescent="0.2">
      <c r="B556" s="30" t="s">
        <v>2294</v>
      </c>
      <c r="C556" s="36"/>
      <c r="D556" s="36"/>
      <c r="F556" s="1" t="s">
        <v>1322</v>
      </c>
      <c r="G556" s="30" t="s">
        <v>2457</v>
      </c>
      <c r="K556" s="1" t="s">
        <v>2459</v>
      </c>
      <c r="L556" s="1" t="s">
        <v>1279</v>
      </c>
      <c r="M556" s="36" t="s">
        <v>1555</v>
      </c>
      <c r="N556" s="1" t="s">
        <v>1287</v>
      </c>
      <c r="O556" s="1" t="s">
        <v>1286</v>
      </c>
      <c r="P556" s="34" t="str">
        <f t="shared" si="10"/>
        <v>F010</v>
      </c>
      <c r="Q556" s="1" t="s">
        <v>138</v>
      </c>
      <c r="S556" s="16">
        <v>20</v>
      </c>
      <c r="T556" s="1" t="s">
        <v>2460</v>
      </c>
      <c r="U556" s="1" t="s">
        <v>1459</v>
      </c>
      <c r="V556" s="1" t="s">
        <v>1436</v>
      </c>
      <c r="Y556" s="1">
        <v>10250</v>
      </c>
      <c r="AB556" s="1">
        <v>9737.5</v>
      </c>
    </row>
    <row r="557" spans="2:28" x14ac:dyDescent="0.2">
      <c r="B557" s="30" t="s">
        <v>2294</v>
      </c>
      <c r="C557" s="36"/>
      <c r="D557" s="36"/>
      <c r="F557" s="1" t="s">
        <v>2461</v>
      </c>
      <c r="G557" s="30" t="s">
        <v>2457</v>
      </c>
      <c r="K557" s="1" t="s">
        <v>2462</v>
      </c>
      <c r="L557" s="1" t="s">
        <v>1279</v>
      </c>
      <c r="M557" s="36" t="s">
        <v>1555</v>
      </c>
      <c r="N557" s="1" t="s">
        <v>1287</v>
      </c>
      <c r="O557" s="1" t="s">
        <v>1286</v>
      </c>
      <c r="P557" s="34" t="str">
        <f t="shared" si="10"/>
        <v>F010</v>
      </c>
      <c r="Q557" s="1" t="s">
        <v>138</v>
      </c>
      <c r="S557" s="16">
        <v>20</v>
      </c>
      <c r="T557" s="1" t="s">
        <v>2460</v>
      </c>
      <c r="U557" s="1" t="s">
        <v>1459</v>
      </c>
      <c r="V557" s="1" t="s">
        <v>1436</v>
      </c>
      <c r="Y557" s="1">
        <v>10250</v>
      </c>
      <c r="AB557" s="1">
        <v>9737.5</v>
      </c>
    </row>
    <row r="558" spans="2:28" x14ac:dyDescent="0.2">
      <c r="B558" s="30" t="s">
        <v>2294</v>
      </c>
      <c r="C558" s="36"/>
      <c r="D558" s="36"/>
      <c r="F558" s="1" t="s">
        <v>2461</v>
      </c>
      <c r="G558" s="30" t="s">
        <v>2457</v>
      </c>
      <c r="K558" s="1" t="s">
        <v>2463</v>
      </c>
      <c r="L558" s="1" t="s">
        <v>1279</v>
      </c>
      <c r="M558" s="36" t="s">
        <v>1555</v>
      </c>
      <c r="N558" s="1" t="s">
        <v>1287</v>
      </c>
      <c r="O558" s="1" t="s">
        <v>1286</v>
      </c>
      <c r="P558" s="34" t="str">
        <f t="shared" si="10"/>
        <v>F010</v>
      </c>
      <c r="Q558" s="1" t="s">
        <v>138</v>
      </c>
      <c r="S558" s="16">
        <v>20</v>
      </c>
      <c r="T558" s="1" t="s">
        <v>2460</v>
      </c>
      <c r="U558" s="1" t="s">
        <v>1459</v>
      </c>
      <c r="V558" s="1" t="s">
        <v>1436</v>
      </c>
      <c r="Y558" s="1">
        <v>10250</v>
      </c>
      <c r="AB558" s="1">
        <v>9737.5</v>
      </c>
    </row>
    <row r="559" spans="2:28" x14ac:dyDescent="0.2">
      <c r="B559" s="30" t="s">
        <v>2294</v>
      </c>
      <c r="C559" s="36"/>
      <c r="D559" s="36"/>
      <c r="F559" s="1" t="s">
        <v>2461</v>
      </c>
      <c r="G559" s="30" t="s">
        <v>2464</v>
      </c>
      <c r="K559" s="1" t="s">
        <v>2465</v>
      </c>
      <c r="L559" s="1" t="s">
        <v>1279</v>
      </c>
      <c r="M559" s="36" t="s">
        <v>1411</v>
      </c>
      <c r="N559" s="1" t="s">
        <v>1287</v>
      </c>
      <c r="O559" s="1" t="s">
        <v>1286</v>
      </c>
      <c r="P559" s="34" t="str">
        <f t="shared" si="10"/>
        <v>F010</v>
      </c>
      <c r="Q559" s="1" t="s">
        <v>138</v>
      </c>
      <c r="S559" s="16">
        <v>20</v>
      </c>
      <c r="T559" s="1" t="s">
        <v>2460</v>
      </c>
      <c r="U559" s="1" t="s">
        <v>1887</v>
      </c>
      <c r="V559" s="1" t="s">
        <v>1544</v>
      </c>
      <c r="Y559" s="1">
        <v>29500</v>
      </c>
      <c r="AB559" s="1">
        <v>28025</v>
      </c>
    </row>
    <row r="560" spans="2:28" x14ac:dyDescent="0.2">
      <c r="B560" s="30" t="s">
        <v>2294</v>
      </c>
      <c r="C560" s="36"/>
      <c r="D560" s="36"/>
      <c r="F560" s="1" t="s">
        <v>2461</v>
      </c>
      <c r="G560" s="30" t="s">
        <v>2466</v>
      </c>
      <c r="K560" s="1" t="s">
        <v>2467</v>
      </c>
      <c r="L560" s="1" t="s">
        <v>1279</v>
      </c>
      <c r="M560" s="36" t="s">
        <v>1540</v>
      </c>
      <c r="N560" s="1" t="s">
        <v>1837</v>
      </c>
      <c r="O560" s="1" t="s">
        <v>1286</v>
      </c>
      <c r="P560" s="34" t="str">
        <f t="shared" si="10"/>
        <v>F010</v>
      </c>
      <c r="Q560" s="1" t="s">
        <v>129</v>
      </c>
      <c r="S560" s="16">
        <v>20</v>
      </c>
      <c r="T560" s="1" t="s">
        <v>2460</v>
      </c>
      <c r="U560" s="1" t="s">
        <v>2441</v>
      </c>
      <c r="V560" s="1" t="s">
        <v>2442</v>
      </c>
      <c r="Y560" s="1">
        <v>36768</v>
      </c>
      <c r="AB560" s="1">
        <v>34929.599999999999</v>
      </c>
    </row>
    <row r="561" spans="2:28" x14ac:dyDescent="0.2">
      <c r="B561" s="30" t="s">
        <v>2294</v>
      </c>
      <c r="C561" s="36"/>
      <c r="D561" s="36"/>
      <c r="F561" s="1" t="s">
        <v>2461</v>
      </c>
      <c r="G561" s="30" t="s">
        <v>2466</v>
      </c>
      <c r="K561" s="1" t="s">
        <v>2468</v>
      </c>
      <c r="L561" s="1" t="s">
        <v>1279</v>
      </c>
      <c r="M561" s="36" t="s">
        <v>1540</v>
      </c>
      <c r="N561" s="1" t="s">
        <v>1837</v>
      </c>
      <c r="O561" s="1" t="s">
        <v>1286</v>
      </c>
      <c r="P561" s="34" t="str">
        <f t="shared" si="10"/>
        <v>F010</v>
      </c>
      <c r="Q561" s="1" t="s">
        <v>129</v>
      </c>
      <c r="S561" s="16">
        <v>20</v>
      </c>
      <c r="T561" s="1" t="s">
        <v>2460</v>
      </c>
      <c r="U561" s="1" t="s">
        <v>2441</v>
      </c>
      <c r="V561" s="1" t="s">
        <v>2442</v>
      </c>
      <c r="Y561" s="1">
        <v>36768</v>
      </c>
      <c r="AB561" s="1">
        <v>34929.599999999999</v>
      </c>
    </row>
    <row r="562" spans="2:28" x14ac:dyDescent="0.2">
      <c r="B562" s="30" t="s">
        <v>2294</v>
      </c>
      <c r="C562" s="36"/>
      <c r="D562" s="36"/>
      <c r="F562" s="1" t="s">
        <v>2461</v>
      </c>
      <c r="G562" s="30" t="s">
        <v>2469</v>
      </c>
      <c r="K562" s="1" t="s">
        <v>2470</v>
      </c>
      <c r="L562" s="1" t="s">
        <v>1279</v>
      </c>
      <c r="M562" s="36" t="s">
        <v>1540</v>
      </c>
      <c r="N562" s="1" t="s">
        <v>1837</v>
      </c>
      <c r="O562" s="1" t="s">
        <v>1286</v>
      </c>
      <c r="P562" s="34" t="str">
        <f t="shared" si="10"/>
        <v>F010</v>
      </c>
      <c r="Q562" s="1" t="s">
        <v>129</v>
      </c>
      <c r="S562" s="16">
        <v>20</v>
      </c>
      <c r="T562" s="1" t="s">
        <v>2460</v>
      </c>
      <c r="U562" s="1" t="s">
        <v>2441</v>
      </c>
      <c r="V562" s="1" t="s">
        <v>2442</v>
      </c>
      <c r="Y562" s="1">
        <v>26276</v>
      </c>
      <c r="AB562" s="1">
        <v>24962.2</v>
      </c>
    </row>
    <row r="563" spans="2:28" x14ac:dyDescent="0.2">
      <c r="B563" s="30" t="s">
        <v>2294</v>
      </c>
      <c r="C563" s="36"/>
      <c r="D563" s="36"/>
      <c r="F563" s="1" t="s">
        <v>2461</v>
      </c>
      <c r="G563" s="30" t="s">
        <v>2471</v>
      </c>
      <c r="K563" s="1" t="s">
        <v>2472</v>
      </c>
      <c r="L563" s="1" t="s">
        <v>1279</v>
      </c>
      <c r="M563" s="36" t="s">
        <v>2368</v>
      </c>
      <c r="N563" s="1" t="s">
        <v>1637</v>
      </c>
      <c r="O563" s="1" t="s">
        <v>1286</v>
      </c>
      <c r="P563" s="34" t="str">
        <f t="shared" si="10"/>
        <v>F010</v>
      </c>
      <c r="Q563" s="1" t="s">
        <v>127</v>
      </c>
      <c r="S563" s="16">
        <v>20</v>
      </c>
      <c r="T563" s="1" t="s">
        <v>2473</v>
      </c>
      <c r="U563" s="1" t="s">
        <v>2386</v>
      </c>
      <c r="V563" s="1" t="s">
        <v>2127</v>
      </c>
      <c r="Y563" s="1">
        <v>4558</v>
      </c>
      <c r="AB563" s="1">
        <v>120.28</v>
      </c>
    </row>
    <row r="564" spans="2:28" x14ac:dyDescent="0.2">
      <c r="B564" s="30" t="s">
        <v>2294</v>
      </c>
      <c r="C564" s="36"/>
      <c r="D564" s="36"/>
      <c r="F564" s="1" t="s">
        <v>2474</v>
      </c>
      <c r="G564" s="30" t="s">
        <v>2475</v>
      </c>
      <c r="K564" s="1" t="s">
        <v>2476</v>
      </c>
      <c r="L564" s="1" t="s">
        <v>1279</v>
      </c>
      <c r="M564" s="36" t="s">
        <v>2360</v>
      </c>
      <c r="N564" s="1" t="s">
        <v>1287</v>
      </c>
      <c r="O564" s="1" t="s">
        <v>1286</v>
      </c>
      <c r="P564" s="34" t="str">
        <f t="shared" si="10"/>
        <v>F010</v>
      </c>
      <c r="Q564" s="1" t="s">
        <v>138</v>
      </c>
      <c r="S564" s="16">
        <v>20</v>
      </c>
      <c r="T564" s="1" t="s">
        <v>2299</v>
      </c>
      <c r="U564" s="1" t="s">
        <v>2313</v>
      </c>
      <c r="V564" s="1" t="s">
        <v>2361</v>
      </c>
      <c r="Y564" s="1">
        <v>599620.31999999995</v>
      </c>
      <c r="AB564" s="1">
        <v>569639.30000000005</v>
      </c>
    </row>
    <row r="565" spans="2:28" x14ac:dyDescent="0.2">
      <c r="B565" s="30" t="s">
        <v>2294</v>
      </c>
      <c r="C565" s="36"/>
      <c r="D565" s="36"/>
      <c r="F565" s="1" t="s">
        <v>1322</v>
      </c>
      <c r="G565" s="30" t="s">
        <v>2477</v>
      </c>
      <c r="K565" s="1" t="s">
        <v>2478</v>
      </c>
      <c r="L565" s="1" t="s">
        <v>1279</v>
      </c>
      <c r="M565" s="36" t="s">
        <v>1840</v>
      </c>
      <c r="N565" s="1" t="s">
        <v>1284</v>
      </c>
      <c r="O565" s="1" t="s">
        <v>1286</v>
      </c>
      <c r="P565" s="34" t="str">
        <f t="shared" si="10"/>
        <v>F010</v>
      </c>
      <c r="Q565" s="1" t="s">
        <v>138</v>
      </c>
      <c r="S565" s="16">
        <v>20</v>
      </c>
      <c r="T565" s="1" t="s">
        <v>2299</v>
      </c>
      <c r="U565" s="1" t="s">
        <v>1430</v>
      </c>
      <c r="V565" s="1" t="s">
        <v>1431</v>
      </c>
      <c r="Y565" s="1">
        <v>6435.9</v>
      </c>
      <c r="AB565" s="1">
        <v>1514.88</v>
      </c>
    </row>
    <row r="566" spans="2:28" x14ac:dyDescent="0.2">
      <c r="B566" s="30" t="s">
        <v>2294</v>
      </c>
      <c r="C566" s="36"/>
      <c r="D566" s="36"/>
      <c r="F566" s="1" t="s">
        <v>1322</v>
      </c>
      <c r="G566" s="30" t="s">
        <v>2479</v>
      </c>
      <c r="K566" s="1" t="s">
        <v>2480</v>
      </c>
      <c r="L566" s="1" t="s">
        <v>1279</v>
      </c>
      <c r="M566" s="36" t="s">
        <v>1962</v>
      </c>
      <c r="N566" s="1" t="s">
        <v>1287</v>
      </c>
      <c r="O566" s="1" t="s">
        <v>1286</v>
      </c>
      <c r="P566" s="34" t="str">
        <f t="shared" si="10"/>
        <v>F010</v>
      </c>
      <c r="Q566" s="1" t="s">
        <v>138</v>
      </c>
      <c r="S566" s="16">
        <v>20</v>
      </c>
      <c r="T566" s="1" t="s">
        <v>2299</v>
      </c>
      <c r="U566" s="1" t="s">
        <v>1861</v>
      </c>
      <c r="V566" s="1" t="s">
        <v>1862</v>
      </c>
      <c r="Y566" s="1">
        <v>40950</v>
      </c>
      <c r="AB566" s="1">
        <v>38902.5</v>
      </c>
    </row>
    <row r="567" spans="2:28" x14ac:dyDescent="0.2">
      <c r="B567" s="30" t="s">
        <v>2294</v>
      </c>
      <c r="C567" s="36"/>
      <c r="D567" s="36"/>
      <c r="F567" s="1" t="s">
        <v>1322</v>
      </c>
      <c r="G567" s="30" t="s">
        <v>2481</v>
      </c>
      <c r="K567" s="1" t="s">
        <v>2482</v>
      </c>
      <c r="L567" s="1" t="s">
        <v>1279</v>
      </c>
      <c r="M567" s="36" t="s">
        <v>2483</v>
      </c>
      <c r="N567" s="1" t="s">
        <v>1754</v>
      </c>
      <c r="O567" s="1" t="s">
        <v>1286</v>
      </c>
      <c r="P567" s="34" t="str">
        <f t="shared" si="10"/>
        <v>F010</v>
      </c>
      <c r="Q567" s="1" t="s">
        <v>127</v>
      </c>
      <c r="S567" s="16">
        <v>20</v>
      </c>
      <c r="T567" s="1" t="s">
        <v>2299</v>
      </c>
      <c r="U567" s="1" t="s">
        <v>2084</v>
      </c>
      <c r="V567" s="1" t="s">
        <v>2085</v>
      </c>
      <c r="Y567" s="1">
        <v>8300</v>
      </c>
      <c r="AB567" s="1">
        <v>7885</v>
      </c>
    </row>
    <row r="568" spans="2:28" x14ac:dyDescent="0.2">
      <c r="B568" s="30" t="s">
        <v>2294</v>
      </c>
      <c r="C568" s="36"/>
      <c r="D568" s="36"/>
      <c r="F568" s="1" t="s">
        <v>1322</v>
      </c>
      <c r="G568" s="30" t="s">
        <v>2484</v>
      </c>
      <c r="K568" s="1" t="s">
        <v>2485</v>
      </c>
      <c r="L568" s="1" t="s">
        <v>1279</v>
      </c>
      <c r="M568" s="36" t="s">
        <v>2343</v>
      </c>
      <c r="N568" s="1" t="s">
        <v>2486</v>
      </c>
      <c r="O568" s="1" t="s">
        <v>1286</v>
      </c>
      <c r="P568" s="34" t="str">
        <f t="shared" si="10"/>
        <v>F010</v>
      </c>
      <c r="Q568" s="1" t="s">
        <v>127</v>
      </c>
      <c r="S568" s="16">
        <v>20</v>
      </c>
      <c r="T568" s="1" t="s">
        <v>2299</v>
      </c>
      <c r="U568" s="1" t="s">
        <v>1375</v>
      </c>
      <c r="V568" s="1" t="s">
        <v>2197</v>
      </c>
      <c r="Y568" s="1">
        <v>8560</v>
      </c>
      <c r="AB568" s="1">
        <v>8132</v>
      </c>
    </row>
    <row r="569" spans="2:28" x14ac:dyDescent="0.2">
      <c r="B569" s="30" t="s">
        <v>2294</v>
      </c>
      <c r="C569" s="36"/>
      <c r="D569" s="36"/>
      <c r="F569" s="1" t="s">
        <v>1322</v>
      </c>
      <c r="G569" s="30" t="s">
        <v>2484</v>
      </c>
      <c r="K569" s="1" t="s">
        <v>2487</v>
      </c>
      <c r="L569" s="1" t="s">
        <v>1279</v>
      </c>
      <c r="M569" s="36" t="s">
        <v>2084</v>
      </c>
      <c r="N569" s="1" t="s">
        <v>1605</v>
      </c>
      <c r="O569" s="1" t="s">
        <v>1286</v>
      </c>
      <c r="P569" s="34" t="str">
        <f t="shared" si="10"/>
        <v>F010</v>
      </c>
      <c r="Q569" s="1" t="s">
        <v>127</v>
      </c>
      <c r="S569" s="16">
        <v>20</v>
      </c>
      <c r="T569" s="1" t="s">
        <v>2299</v>
      </c>
      <c r="U569" s="1" t="s">
        <v>2208</v>
      </c>
      <c r="V569" s="1" t="s">
        <v>1441</v>
      </c>
      <c r="Y569" s="1">
        <v>8560</v>
      </c>
      <c r="AB569" s="1">
        <v>8132</v>
      </c>
    </row>
    <row r="570" spans="2:28" x14ac:dyDescent="0.2">
      <c r="B570" s="30" t="s">
        <v>2294</v>
      </c>
      <c r="C570" s="36"/>
      <c r="D570" s="36"/>
      <c r="F570" s="1" t="s">
        <v>1322</v>
      </c>
      <c r="G570" s="30" t="s">
        <v>2484</v>
      </c>
      <c r="K570" s="1" t="s">
        <v>2488</v>
      </c>
      <c r="L570" s="1" t="s">
        <v>1279</v>
      </c>
      <c r="M570" s="36" t="s">
        <v>2364</v>
      </c>
      <c r="N570" s="1" t="s">
        <v>1287</v>
      </c>
      <c r="O570" s="1" t="s">
        <v>1286</v>
      </c>
      <c r="P570" s="34" t="str">
        <f t="shared" si="10"/>
        <v>F010</v>
      </c>
      <c r="Q570" s="1" t="s">
        <v>127</v>
      </c>
      <c r="S570" s="16">
        <v>20</v>
      </c>
      <c r="T570" s="1" t="s">
        <v>2299</v>
      </c>
      <c r="U570" s="1" t="s">
        <v>1555</v>
      </c>
      <c r="V570" s="1" t="s">
        <v>1557</v>
      </c>
      <c r="Y570" s="1">
        <v>8300</v>
      </c>
      <c r="AB570" s="1">
        <v>7885</v>
      </c>
    </row>
    <row r="571" spans="2:28" x14ac:dyDescent="0.2">
      <c r="B571" s="30" t="s">
        <v>2294</v>
      </c>
      <c r="C571" s="36"/>
      <c r="D571" s="36"/>
      <c r="F571" s="1" t="s">
        <v>1322</v>
      </c>
      <c r="G571" s="30" t="s">
        <v>2484</v>
      </c>
      <c r="K571" s="1" t="s">
        <v>2489</v>
      </c>
      <c r="L571" s="1" t="s">
        <v>1279</v>
      </c>
      <c r="M571" s="36" t="s">
        <v>2364</v>
      </c>
      <c r="N571" s="1" t="s">
        <v>2150</v>
      </c>
      <c r="O571" s="1" t="s">
        <v>1286</v>
      </c>
      <c r="P571" s="34" t="str">
        <f t="shared" si="10"/>
        <v>F010</v>
      </c>
      <c r="Q571" s="1" t="s">
        <v>127</v>
      </c>
      <c r="S571" s="16">
        <v>20</v>
      </c>
      <c r="T571" s="1" t="s">
        <v>2299</v>
      </c>
      <c r="U571" s="1" t="s">
        <v>1555</v>
      </c>
      <c r="V571" s="1" t="s">
        <v>1557</v>
      </c>
      <c r="Y571" s="1">
        <v>13723.78</v>
      </c>
      <c r="AB571" s="1">
        <v>13037.59</v>
      </c>
    </row>
    <row r="572" spans="2:28" x14ac:dyDescent="0.2">
      <c r="B572" s="30" t="s">
        <v>2294</v>
      </c>
      <c r="C572" s="36"/>
      <c r="D572" s="36"/>
      <c r="F572" s="1" t="s">
        <v>1322</v>
      </c>
      <c r="G572" s="30" t="s">
        <v>2490</v>
      </c>
      <c r="K572" s="1" t="s">
        <v>2491</v>
      </c>
      <c r="L572" s="1" t="s">
        <v>1279</v>
      </c>
      <c r="M572" s="36" t="s">
        <v>1994</v>
      </c>
      <c r="N572" s="1" t="s">
        <v>1754</v>
      </c>
      <c r="O572" s="1" t="s">
        <v>1286</v>
      </c>
      <c r="P572" s="34" t="str">
        <f t="shared" si="10"/>
        <v>F010</v>
      </c>
      <c r="Q572" s="1" t="s">
        <v>127</v>
      </c>
      <c r="S572" s="16">
        <v>20</v>
      </c>
      <c r="T572" s="1" t="s">
        <v>2299</v>
      </c>
      <c r="U572" s="1" t="s">
        <v>1691</v>
      </c>
      <c r="V572" s="1" t="s">
        <v>1327</v>
      </c>
      <c r="Y572" s="1">
        <v>8100</v>
      </c>
      <c r="AB572" s="1">
        <v>7695</v>
      </c>
    </row>
    <row r="573" spans="2:28" x14ac:dyDescent="0.2">
      <c r="B573" s="30" t="s">
        <v>2294</v>
      </c>
      <c r="C573" s="36"/>
      <c r="D573" s="36"/>
      <c r="F573" s="1" t="s">
        <v>1322</v>
      </c>
      <c r="G573" s="30" t="s">
        <v>2490</v>
      </c>
      <c r="K573" s="1" t="s">
        <v>2492</v>
      </c>
      <c r="L573" s="1" t="s">
        <v>1279</v>
      </c>
      <c r="M573" s="36" t="s">
        <v>1994</v>
      </c>
      <c r="N573" s="1" t="s">
        <v>1833</v>
      </c>
      <c r="O573" s="1" t="s">
        <v>1286</v>
      </c>
      <c r="P573" s="34" t="str">
        <f t="shared" si="10"/>
        <v>F010</v>
      </c>
      <c r="Q573" s="1" t="s">
        <v>127</v>
      </c>
      <c r="S573" s="16">
        <v>20</v>
      </c>
      <c r="T573" s="1" t="s">
        <v>2299</v>
      </c>
      <c r="U573" s="1" t="s">
        <v>1691</v>
      </c>
      <c r="V573" s="1" t="s">
        <v>1327</v>
      </c>
      <c r="Y573" s="1">
        <v>8360</v>
      </c>
      <c r="AB573" s="1">
        <v>7942</v>
      </c>
    </row>
    <row r="574" spans="2:28" x14ac:dyDescent="0.2">
      <c r="B574" s="30" t="s">
        <v>2294</v>
      </c>
      <c r="C574" s="36"/>
      <c r="D574" s="36"/>
      <c r="F574" s="1" t="s">
        <v>1322</v>
      </c>
      <c r="G574" s="30" t="s">
        <v>2490</v>
      </c>
      <c r="K574" s="1" t="s">
        <v>2493</v>
      </c>
      <c r="L574" s="1" t="s">
        <v>1279</v>
      </c>
      <c r="M574" s="36" t="s">
        <v>1994</v>
      </c>
      <c r="N574" s="1" t="s">
        <v>1573</v>
      </c>
      <c r="O574" s="1" t="s">
        <v>1286</v>
      </c>
      <c r="P574" s="34" t="str">
        <f t="shared" si="10"/>
        <v>F010</v>
      </c>
      <c r="Q574" s="1" t="s">
        <v>127</v>
      </c>
      <c r="S574" s="16">
        <v>20</v>
      </c>
      <c r="T574" s="1" t="s">
        <v>2299</v>
      </c>
      <c r="U574" s="1" t="s">
        <v>1691</v>
      </c>
      <c r="V574" s="1" t="s">
        <v>1327</v>
      </c>
      <c r="Y574" s="1">
        <v>8360</v>
      </c>
      <c r="AB574" s="1">
        <v>7942</v>
      </c>
    </row>
    <row r="575" spans="2:28" x14ac:dyDescent="0.2">
      <c r="B575" s="30" t="s">
        <v>2294</v>
      </c>
      <c r="C575" s="36"/>
      <c r="D575" s="36"/>
      <c r="F575" s="1" t="s">
        <v>1322</v>
      </c>
      <c r="G575" s="30" t="s">
        <v>2490</v>
      </c>
      <c r="K575" s="1" t="s">
        <v>2494</v>
      </c>
      <c r="L575" s="1" t="s">
        <v>1279</v>
      </c>
      <c r="M575" s="36" t="s">
        <v>1994</v>
      </c>
      <c r="N575" s="1" t="s">
        <v>2495</v>
      </c>
      <c r="O575" s="1" t="s">
        <v>1286</v>
      </c>
      <c r="P575" s="34" t="str">
        <f t="shared" si="10"/>
        <v>F010</v>
      </c>
      <c r="Q575" s="1" t="s">
        <v>127</v>
      </c>
      <c r="S575" s="16">
        <v>20</v>
      </c>
      <c r="T575" s="1" t="s">
        <v>2299</v>
      </c>
      <c r="U575" s="1" t="s">
        <v>1691</v>
      </c>
      <c r="V575" s="1" t="s">
        <v>1327</v>
      </c>
      <c r="Y575" s="1">
        <v>8360</v>
      </c>
      <c r="AB575" s="1">
        <v>7942</v>
      </c>
    </row>
    <row r="576" spans="2:28" x14ac:dyDescent="0.2">
      <c r="B576" s="30" t="s">
        <v>2294</v>
      </c>
      <c r="C576" s="36"/>
      <c r="D576" s="36"/>
      <c r="F576" s="1" t="s">
        <v>1322</v>
      </c>
      <c r="G576" s="30" t="s">
        <v>2490</v>
      </c>
      <c r="K576" s="1" t="s">
        <v>2496</v>
      </c>
      <c r="L576" s="1" t="s">
        <v>1279</v>
      </c>
      <c r="M576" s="36" t="s">
        <v>1994</v>
      </c>
      <c r="N576" s="1" t="s">
        <v>2497</v>
      </c>
      <c r="O576" s="1" t="s">
        <v>1286</v>
      </c>
      <c r="P576" s="34" t="str">
        <f t="shared" si="10"/>
        <v>F010</v>
      </c>
      <c r="Q576" s="1" t="s">
        <v>127</v>
      </c>
      <c r="S576" s="16">
        <v>20</v>
      </c>
      <c r="T576" s="1" t="s">
        <v>2299</v>
      </c>
      <c r="U576" s="1" t="s">
        <v>1691</v>
      </c>
      <c r="V576" s="1" t="s">
        <v>1327</v>
      </c>
      <c r="Y576" s="1">
        <v>8100</v>
      </c>
      <c r="AB576" s="1">
        <v>7695</v>
      </c>
    </row>
    <row r="577" spans="2:28" x14ac:dyDescent="0.2">
      <c r="B577" s="30" t="s">
        <v>2294</v>
      </c>
      <c r="C577" s="36"/>
      <c r="D577" s="36"/>
      <c r="F577" s="1" t="s">
        <v>1322</v>
      </c>
      <c r="G577" s="30" t="s">
        <v>2490</v>
      </c>
      <c r="K577" s="1" t="s">
        <v>2498</v>
      </c>
      <c r="L577" s="1" t="s">
        <v>1279</v>
      </c>
      <c r="M577" s="36" t="s">
        <v>1994</v>
      </c>
      <c r="N577" s="1" t="s">
        <v>1287</v>
      </c>
      <c r="O577" s="1" t="s">
        <v>1286</v>
      </c>
      <c r="P577" s="34" t="str">
        <f t="shared" si="10"/>
        <v>F010</v>
      </c>
      <c r="Q577" s="1" t="s">
        <v>127</v>
      </c>
      <c r="S577" s="16">
        <v>20</v>
      </c>
      <c r="T577" s="1" t="s">
        <v>2299</v>
      </c>
      <c r="U577" s="1" t="s">
        <v>1691</v>
      </c>
      <c r="V577" s="1" t="s">
        <v>1327</v>
      </c>
      <c r="Y577" s="1">
        <v>8360</v>
      </c>
      <c r="AB577" s="1">
        <v>7942</v>
      </c>
    </row>
    <row r="578" spans="2:28" x14ac:dyDescent="0.2">
      <c r="B578" s="30" t="s">
        <v>2294</v>
      </c>
      <c r="C578" s="36"/>
      <c r="D578" s="36"/>
      <c r="F578" s="1" t="s">
        <v>1322</v>
      </c>
      <c r="G578" s="30" t="s">
        <v>2490</v>
      </c>
      <c r="K578" s="1" t="s">
        <v>2499</v>
      </c>
      <c r="L578" s="1" t="s">
        <v>1279</v>
      </c>
      <c r="M578" s="36" t="s">
        <v>1994</v>
      </c>
      <c r="N578" s="1" t="s">
        <v>1754</v>
      </c>
      <c r="O578" s="1" t="s">
        <v>1286</v>
      </c>
      <c r="P578" s="34" t="str">
        <f t="shared" si="10"/>
        <v>F010</v>
      </c>
      <c r="Q578" s="1" t="s">
        <v>127</v>
      </c>
      <c r="S578" s="16">
        <v>20</v>
      </c>
      <c r="T578" s="1" t="s">
        <v>2299</v>
      </c>
      <c r="U578" s="1" t="s">
        <v>1691</v>
      </c>
      <c r="V578" s="1" t="s">
        <v>1327</v>
      </c>
      <c r="Y578" s="1">
        <v>8360</v>
      </c>
      <c r="AB578" s="1">
        <v>7942</v>
      </c>
    </row>
    <row r="579" spans="2:28" x14ac:dyDescent="0.2">
      <c r="B579" s="30" t="s">
        <v>2294</v>
      </c>
      <c r="C579" s="36"/>
      <c r="D579" s="36"/>
      <c r="F579" s="1" t="s">
        <v>1322</v>
      </c>
      <c r="G579" s="30" t="s">
        <v>2500</v>
      </c>
      <c r="K579" s="1" t="s">
        <v>2501</v>
      </c>
      <c r="L579" s="1" t="s">
        <v>1279</v>
      </c>
      <c r="M579" s="36" t="s">
        <v>2081</v>
      </c>
      <c r="N579" s="1" t="s">
        <v>1754</v>
      </c>
      <c r="O579" s="1" t="s">
        <v>1286</v>
      </c>
      <c r="P579" s="34" t="str">
        <f t="shared" si="10"/>
        <v>F010</v>
      </c>
      <c r="Q579" s="1" t="s">
        <v>127</v>
      </c>
      <c r="S579" s="16">
        <v>20</v>
      </c>
      <c r="T579" s="1" t="s">
        <v>2299</v>
      </c>
      <c r="U579" s="1" t="s">
        <v>2343</v>
      </c>
      <c r="V579" s="1" t="s">
        <v>2502</v>
      </c>
      <c r="Y579" s="1">
        <v>8260.34</v>
      </c>
      <c r="AB579" s="1">
        <v>7847.32</v>
      </c>
    </row>
    <row r="580" spans="2:28" x14ac:dyDescent="0.2">
      <c r="B580" s="30" t="s">
        <v>2294</v>
      </c>
      <c r="C580" s="36"/>
      <c r="D580" s="36"/>
      <c r="F580" s="1" t="s">
        <v>1322</v>
      </c>
      <c r="G580" s="30" t="s">
        <v>2500</v>
      </c>
      <c r="K580" s="1" t="s">
        <v>2503</v>
      </c>
      <c r="L580" s="1" t="s">
        <v>1279</v>
      </c>
      <c r="M580" s="36" t="s">
        <v>1529</v>
      </c>
      <c r="N580" s="1" t="s">
        <v>2497</v>
      </c>
      <c r="O580" s="1" t="s">
        <v>1286</v>
      </c>
      <c r="P580" s="34" t="str">
        <f t="shared" si="10"/>
        <v>F010</v>
      </c>
      <c r="Q580" s="1" t="s">
        <v>127</v>
      </c>
      <c r="S580" s="16">
        <v>20</v>
      </c>
      <c r="T580" s="1" t="s">
        <v>2299</v>
      </c>
      <c r="U580" s="1" t="s">
        <v>2288</v>
      </c>
      <c r="V580" s="1" t="s">
        <v>1425</v>
      </c>
      <c r="Y580" s="1">
        <v>8960</v>
      </c>
      <c r="AB580" s="1">
        <v>8512</v>
      </c>
    </row>
    <row r="581" spans="2:28" x14ac:dyDescent="0.2">
      <c r="B581" s="30" t="s">
        <v>2294</v>
      </c>
      <c r="C581" s="36"/>
      <c r="D581" s="36"/>
      <c r="F581" s="1" t="s">
        <v>1322</v>
      </c>
      <c r="G581" s="30" t="s">
        <v>2500</v>
      </c>
      <c r="K581" s="1" t="s">
        <v>2504</v>
      </c>
      <c r="L581" s="1" t="s">
        <v>1279</v>
      </c>
      <c r="M581" s="36" t="s">
        <v>1529</v>
      </c>
      <c r="N581" s="1" t="s">
        <v>1833</v>
      </c>
      <c r="O581" s="1" t="s">
        <v>1286</v>
      </c>
      <c r="P581" s="34" t="str">
        <f t="shared" si="10"/>
        <v>F010</v>
      </c>
      <c r="Q581" s="1" t="s">
        <v>127</v>
      </c>
      <c r="S581" s="16">
        <v>20</v>
      </c>
      <c r="T581" s="1" t="s">
        <v>2299</v>
      </c>
      <c r="U581" s="1" t="s">
        <v>2288</v>
      </c>
      <c r="V581" s="1" t="s">
        <v>1425</v>
      </c>
      <c r="Y581" s="1">
        <v>8960.01</v>
      </c>
      <c r="AB581" s="1">
        <v>8512.01</v>
      </c>
    </row>
    <row r="582" spans="2:28" x14ac:dyDescent="0.2">
      <c r="B582" s="30" t="s">
        <v>2294</v>
      </c>
      <c r="C582" s="36"/>
      <c r="D582" s="36"/>
      <c r="F582" s="1" t="s">
        <v>1322</v>
      </c>
      <c r="G582" s="30" t="s">
        <v>2505</v>
      </c>
      <c r="K582" s="1" t="s">
        <v>2506</v>
      </c>
      <c r="L582" s="1" t="s">
        <v>1279</v>
      </c>
      <c r="M582" s="36" t="s">
        <v>1529</v>
      </c>
      <c r="N582" s="1" t="s">
        <v>1284</v>
      </c>
      <c r="O582" s="1" t="s">
        <v>1286</v>
      </c>
      <c r="P582" s="34" t="str">
        <f t="shared" ref="P582:P646" si="12">+LEFT(Q582,4)</f>
        <v>F010</v>
      </c>
      <c r="Q582" s="1" t="s">
        <v>127</v>
      </c>
      <c r="S582" s="16">
        <v>20</v>
      </c>
      <c r="T582" s="1" t="s">
        <v>2299</v>
      </c>
      <c r="U582" s="1" t="s">
        <v>2288</v>
      </c>
      <c r="V582" s="1" t="s">
        <v>1425</v>
      </c>
      <c r="Y582" s="1">
        <v>8366.01</v>
      </c>
      <c r="AB582" s="1">
        <v>7947.71</v>
      </c>
    </row>
    <row r="583" spans="2:28" x14ac:dyDescent="0.2">
      <c r="B583" s="30" t="s">
        <v>2294</v>
      </c>
      <c r="C583" s="36"/>
      <c r="D583" s="36"/>
      <c r="F583" s="1" t="s">
        <v>1322</v>
      </c>
      <c r="G583" s="30" t="s">
        <v>2505</v>
      </c>
      <c r="K583" s="1" t="s">
        <v>2507</v>
      </c>
      <c r="L583" s="1" t="s">
        <v>1279</v>
      </c>
      <c r="M583" s="36" t="s">
        <v>1529</v>
      </c>
      <c r="N583" s="1" t="s">
        <v>1284</v>
      </c>
      <c r="O583" s="1" t="s">
        <v>1286</v>
      </c>
      <c r="P583" s="34" t="str">
        <f t="shared" si="12"/>
        <v>F010</v>
      </c>
      <c r="Q583" s="1" t="s">
        <v>127</v>
      </c>
      <c r="S583" s="16">
        <v>20</v>
      </c>
      <c r="T583" s="1" t="s">
        <v>2299</v>
      </c>
      <c r="U583" s="1" t="s">
        <v>2288</v>
      </c>
      <c r="V583" s="1" t="s">
        <v>1425</v>
      </c>
      <c r="Y583" s="1">
        <v>8366</v>
      </c>
      <c r="AB583" s="1">
        <v>7947.7</v>
      </c>
    </row>
    <row r="584" spans="2:28" x14ac:dyDescent="0.2">
      <c r="B584" s="30" t="s">
        <v>2294</v>
      </c>
      <c r="C584" s="36"/>
      <c r="D584" s="36"/>
      <c r="F584" s="1" t="s">
        <v>1322</v>
      </c>
      <c r="G584" s="30" t="s">
        <v>2508</v>
      </c>
      <c r="K584" s="1" t="s">
        <v>2509</v>
      </c>
      <c r="L584" s="1" t="s">
        <v>1279</v>
      </c>
      <c r="M584" s="36" t="s">
        <v>2510</v>
      </c>
      <c r="N584" s="1" t="s">
        <v>2150</v>
      </c>
      <c r="O584" s="1" t="s">
        <v>1286</v>
      </c>
      <c r="P584" s="34" t="str">
        <f t="shared" si="12"/>
        <v>F010</v>
      </c>
      <c r="Q584" s="1" t="s">
        <v>138</v>
      </c>
      <c r="S584" s="16">
        <v>20</v>
      </c>
      <c r="T584" s="1" t="s">
        <v>2299</v>
      </c>
      <c r="U584" s="1" t="s">
        <v>2483</v>
      </c>
      <c r="V584" s="1" t="s">
        <v>1467</v>
      </c>
      <c r="Y584" s="1">
        <v>46333.33</v>
      </c>
      <c r="AB584" s="1">
        <v>44016.66</v>
      </c>
    </row>
    <row r="585" spans="2:28" x14ac:dyDescent="0.2">
      <c r="B585" s="30" t="s">
        <v>2294</v>
      </c>
      <c r="C585" s="36"/>
      <c r="D585" s="36"/>
      <c r="F585" s="1" t="s">
        <v>1322</v>
      </c>
      <c r="G585" s="30" t="s">
        <v>2508</v>
      </c>
      <c r="K585" s="1" t="s">
        <v>2511</v>
      </c>
      <c r="L585" s="1" t="s">
        <v>1279</v>
      </c>
      <c r="M585" s="36" t="s">
        <v>2483</v>
      </c>
      <c r="N585" s="1" t="s">
        <v>2150</v>
      </c>
      <c r="O585" s="1" t="s">
        <v>1286</v>
      </c>
      <c r="P585" s="34" t="str">
        <f t="shared" si="12"/>
        <v>F010</v>
      </c>
      <c r="Q585" s="1" t="s">
        <v>138</v>
      </c>
      <c r="S585" s="16">
        <v>20</v>
      </c>
      <c r="T585" s="1" t="s">
        <v>2299</v>
      </c>
      <c r="U585" s="1" t="s">
        <v>2084</v>
      </c>
      <c r="V585" s="1" t="s">
        <v>2085</v>
      </c>
      <c r="Y585" s="1">
        <v>46333.33</v>
      </c>
      <c r="AB585" s="1">
        <v>44016.66</v>
      </c>
    </row>
    <row r="586" spans="2:28" x14ac:dyDescent="0.2">
      <c r="B586" s="30" t="s">
        <v>2294</v>
      </c>
      <c r="C586" s="36"/>
      <c r="D586" s="36"/>
      <c r="F586" s="1" t="s">
        <v>1322</v>
      </c>
      <c r="G586" s="30" t="s">
        <v>2508</v>
      </c>
      <c r="K586" s="1" t="s">
        <v>2512</v>
      </c>
      <c r="L586" s="1" t="s">
        <v>1279</v>
      </c>
      <c r="M586" s="36" t="s">
        <v>2483</v>
      </c>
      <c r="N586" s="1" t="s">
        <v>2150</v>
      </c>
      <c r="O586" s="1" t="s">
        <v>1286</v>
      </c>
      <c r="P586" s="34" t="str">
        <f t="shared" si="12"/>
        <v>F010</v>
      </c>
      <c r="Q586" s="1" t="s">
        <v>138</v>
      </c>
      <c r="S586" s="16">
        <v>20</v>
      </c>
      <c r="T586" s="1" t="s">
        <v>2299</v>
      </c>
      <c r="U586" s="1" t="s">
        <v>2084</v>
      </c>
      <c r="V586" s="1" t="s">
        <v>2085</v>
      </c>
      <c r="Y586" s="1">
        <v>46333.34</v>
      </c>
      <c r="AB586" s="1">
        <v>44016.67</v>
      </c>
    </row>
    <row r="587" spans="2:28" x14ac:dyDescent="0.2">
      <c r="B587" s="30" t="s">
        <v>2294</v>
      </c>
      <c r="C587" s="36"/>
      <c r="D587" s="36"/>
      <c r="F587" s="1" t="s">
        <v>1322</v>
      </c>
      <c r="G587" s="30" t="s">
        <v>2513</v>
      </c>
      <c r="K587" s="1" t="s">
        <v>2514</v>
      </c>
      <c r="L587" s="1" t="s">
        <v>1279</v>
      </c>
      <c r="M587" s="36" t="s">
        <v>2515</v>
      </c>
      <c r="N587" s="1" t="s">
        <v>1287</v>
      </c>
      <c r="O587" s="1" t="s">
        <v>1286</v>
      </c>
      <c r="P587" s="34" t="str">
        <f t="shared" si="12"/>
        <v>F010</v>
      </c>
      <c r="Q587" s="1" t="s">
        <v>138</v>
      </c>
      <c r="S587" s="16">
        <v>20</v>
      </c>
      <c r="T587" s="1" t="s">
        <v>2299</v>
      </c>
      <c r="U587" s="1" t="s">
        <v>2140</v>
      </c>
      <c r="V587" s="1" t="s">
        <v>2141</v>
      </c>
      <c r="Y587" s="1">
        <v>58851</v>
      </c>
      <c r="AB587" s="1">
        <v>55908.45</v>
      </c>
    </row>
    <row r="588" spans="2:28" x14ac:dyDescent="0.2">
      <c r="B588" s="30" t="s">
        <v>2294</v>
      </c>
      <c r="C588" s="36"/>
      <c r="D588" s="36"/>
      <c r="F588" s="1" t="s">
        <v>1322</v>
      </c>
      <c r="G588" s="30" t="s">
        <v>2516</v>
      </c>
      <c r="K588" s="1" t="s">
        <v>2517</v>
      </c>
      <c r="L588" s="1" t="s">
        <v>1279</v>
      </c>
      <c r="M588" s="36" t="s">
        <v>1330</v>
      </c>
      <c r="N588" s="1" t="s">
        <v>1837</v>
      </c>
      <c r="O588" s="1" t="s">
        <v>1286</v>
      </c>
      <c r="P588" s="34" t="str">
        <f t="shared" si="12"/>
        <v>F010</v>
      </c>
      <c r="Q588" s="1" t="s">
        <v>137</v>
      </c>
      <c r="S588" s="16">
        <v>20</v>
      </c>
      <c r="T588" s="1" t="s">
        <v>2299</v>
      </c>
      <c r="U588" s="1" t="s">
        <v>1426</v>
      </c>
      <c r="V588" s="1" t="s">
        <v>1766</v>
      </c>
      <c r="Y588" s="1">
        <v>53000</v>
      </c>
      <c r="AB588" s="1">
        <v>5594.44</v>
      </c>
    </row>
    <row r="589" spans="2:28" x14ac:dyDescent="0.2">
      <c r="B589" s="30" t="s">
        <v>2294</v>
      </c>
      <c r="C589" s="36"/>
      <c r="D589" s="36"/>
      <c r="F589" s="1" t="s">
        <v>1322</v>
      </c>
      <c r="G589" s="30" t="s">
        <v>2516</v>
      </c>
      <c r="K589" s="1" t="s">
        <v>2518</v>
      </c>
      <c r="L589" s="1" t="s">
        <v>1279</v>
      </c>
      <c r="M589" s="36" t="s">
        <v>1330</v>
      </c>
      <c r="N589" s="1" t="s">
        <v>1837</v>
      </c>
      <c r="O589" s="1" t="s">
        <v>1286</v>
      </c>
      <c r="P589" s="34" t="str">
        <f t="shared" si="12"/>
        <v>F010</v>
      </c>
      <c r="Q589" s="1" t="s">
        <v>137</v>
      </c>
      <c r="S589" s="16">
        <v>20</v>
      </c>
      <c r="T589" s="1" t="s">
        <v>2299</v>
      </c>
      <c r="U589" s="1" t="s">
        <v>1426</v>
      </c>
      <c r="V589" s="1" t="s">
        <v>1766</v>
      </c>
      <c r="Y589" s="1">
        <v>53000</v>
      </c>
      <c r="AB589" s="1">
        <v>5594.44</v>
      </c>
    </row>
    <row r="590" spans="2:28" x14ac:dyDescent="0.2">
      <c r="B590" s="30" t="s">
        <v>2294</v>
      </c>
      <c r="C590" s="36"/>
      <c r="D590" s="36"/>
      <c r="F590" s="1" t="s">
        <v>1322</v>
      </c>
      <c r="G590" s="30" t="s">
        <v>2516</v>
      </c>
      <c r="K590" s="1" t="s">
        <v>2519</v>
      </c>
      <c r="L590" s="1" t="s">
        <v>1279</v>
      </c>
      <c r="M590" s="36" t="s">
        <v>1330</v>
      </c>
      <c r="N590" s="1" t="s">
        <v>1837</v>
      </c>
      <c r="O590" s="1" t="s">
        <v>1286</v>
      </c>
      <c r="P590" s="34" t="str">
        <f t="shared" si="12"/>
        <v>F010</v>
      </c>
      <c r="Q590" s="1" t="s">
        <v>137</v>
      </c>
      <c r="S590" s="16">
        <v>20</v>
      </c>
      <c r="T590" s="1" t="s">
        <v>2299</v>
      </c>
      <c r="U590" s="1" t="s">
        <v>1426</v>
      </c>
      <c r="V590" s="1" t="s">
        <v>1766</v>
      </c>
      <c r="Y590" s="1">
        <v>53000</v>
      </c>
      <c r="AB590" s="1">
        <v>5594.44</v>
      </c>
    </row>
    <row r="591" spans="2:28" x14ac:dyDescent="0.2">
      <c r="B591" s="30" t="s">
        <v>2294</v>
      </c>
      <c r="C591" s="36"/>
      <c r="D591" s="36"/>
      <c r="F591" s="1" t="s">
        <v>1322</v>
      </c>
      <c r="G591" s="30" t="s">
        <v>2520</v>
      </c>
      <c r="K591" s="1" t="s">
        <v>2521</v>
      </c>
      <c r="L591" s="1" t="s">
        <v>1279</v>
      </c>
      <c r="M591" s="36" t="s">
        <v>1330</v>
      </c>
      <c r="N591" s="1" t="s">
        <v>1287</v>
      </c>
      <c r="O591" s="1" t="s">
        <v>1286</v>
      </c>
      <c r="P591" s="34" t="str">
        <f t="shared" si="12"/>
        <v>F010</v>
      </c>
      <c r="Q591" s="1" t="s">
        <v>127</v>
      </c>
      <c r="S591" s="16">
        <v>20</v>
      </c>
      <c r="T591" s="1" t="s">
        <v>2299</v>
      </c>
      <c r="U591" s="1" t="s">
        <v>1426</v>
      </c>
      <c r="V591" s="1" t="s">
        <v>1766</v>
      </c>
      <c r="Y591" s="1">
        <v>65500</v>
      </c>
      <c r="AB591" s="1">
        <v>6913.88</v>
      </c>
    </row>
    <row r="592" spans="2:28" x14ac:dyDescent="0.2">
      <c r="B592" s="30" t="s">
        <v>2294</v>
      </c>
      <c r="C592" s="36"/>
      <c r="D592" s="36"/>
      <c r="F592" s="1" t="s">
        <v>1322</v>
      </c>
      <c r="G592" s="30" t="s">
        <v>2520</v>
      </c>
      <c r="K592" s="1" t="s">
        <v>2522</v>
      </c>
      <c r="L592" s="1" t="s">
        <v>1279</v>
      </c>
      <c r="M592" s="36" t="s">
        <v>1330</v>
      </c>
      <c r="N592" s="1" t="s">
        <v>1837</v>
      </c>
      <c r="O592" s="1" t="s">
        <v>1286</v>
      </c>
      <c r="P592" s="34" t="str">
        <f t="shared" si="12"/>
        <v>F010</v>
      </c>
      <c r="Q592" s="1" t="s">
        <v>137</v>
      </c>
      <c r="S592" s="16">
        <v>20</v>
      </c>
      <c r="T592" s="1" t="s">
        <v>2299</v>
      </c>
      <c r="U592" s="1" t="s">
        <v>1426</v>
      </c>
      <c r="V592" s="1" t="s">
        <v>1766</v>
      </c>
      <c r="Y592" s="1">
        <v>65500</v>
      </c>
      <c r="AB592" s="1">
        <v>6913.88</v>
      </c>
    </row>
    <row r="593" spans="2:28" x14ac:dyDescent="0.2">
      <c r="B593" s="30" t="s">
        <v>2294</v>
      </c>
      <c r="C593" s="36"/>
      <c r="D593" s="36"/>
      <c r="F593" s="1" t="s">
        <v>1322</v>
      </c>
      <c r="G593" s="30" t="s">
        <v>2520</v>
      </c>
      <c r="K593" s="1" t="s">
        <v>2523</v>
      </c>
      <c r="L593" s="1" t="s">
        <v>1279</v>
      </c>
      <c r="M593" s="36" t="s">
        <v>1330</v>
      </c>
      <c r="N593" s="1" t="s">
        <v>1837</v>
      </c>
      <c r="O593" s="1" t="s">
        <v>1286</v>
      </c>
      <c r="P593" s="34" t="str">
        <f t="shared" si="12"/>
        <v>F010</v>
      </c>
      <c r="Q593" s="1" t="s">
        <v>137</v>
      </c>
      <c r="S593" s="16">
        <v>20</v>
      </c>
      <c r="T593" s="1" t="s">
        <v>2299</v>
      </c>
      <c r="U593" s="1" t="s">
        <v>1426</v>
      </c>
      <c r="V593" s="1" t="s">
        <v>1766</v>
      </c>
      <c r="Y593" s="1">
        <v>65500</v>
      </c>
      <c r="AB593" s="1">
        <v>6913.88</v>
      </c>
    </row>
    <row r="594" spans="2:28" x14ac:dyDescent="0.2">
      <c r="B594" s="30" t="s">
        <v>2294</v>
      </c>
      <c r="C594" s="36"/>
      <c r="D594" s="36"/>
      <c r="F594" s="1" t="s">
        <v>1322</v>
      </c>
      <c r="G594" s="30" t="s">
        <v>2524</v>
      </c>
      <c r="K594" s="1" t="s">
        <v>2525</v>
      </c>
      <c r="L594" s="1" t="s">
        <v>1279</v>
      </c>
      <c r="M594" s="36" t="s">
        <v>1372</v>
      </c>
      <c r="N594" s="1" t="s">
        <v>1287</v>
      </c>
      <c r="O594" s="1" t="s">
        <v>1286</v>
      </c>
      <c r="P594" s="34" t="str">
        <f t="shared" si="12"/>
        <v>F010</v>
      </c>
      <c r="Q594" s="1" t="s">
        <v>138</v>
      </c>
      <c r="S594" s="16">
        <v>20</v>
      </c>
      <c r="T594" s="1" t="s">
        <v>2299</v>
      </c>
      <c r="U594" s="1" t="s">
        <v>2167</v>
      </c>
      <c r="V594" s="1" t="s">
        <v>1484</v>
      </c>
      <c r="Y594" s="1">
        <v>19484</v>
      </c>
      <c r="AB594" s="1">
        <v>18509.8</v>
      </c>
    </row>
    <row r="595" spans="2:28" x14ac:dyDescent="0.2">
      <c r="B595" s="30" t="s">
        <v>2294</v>
      </c>
      <c r="C595" s="36"/>
      <c r="D595" s="36"/>
      <c r="F595" s="1" t="s">
        <v>1322</v>
      </c>
      <c r="G595" s="30" t="s">
        <v>2524</v>
      </c>
      <c r="K595" s="1" t="s">
        <v>2526</v>
      </c>
      <c r="L595" s="1" t="s">
        <v>1279</v>
      </c>
      <c r="M595" s="36" t="s">
        <v>2038</v>
      </c>
      <c r="N595" s="1" t="s">
        <v>1284</v>
      </c>
      <c r="O595" s="1" t="s">
        <v>1286</v>
      </c>
      <c r="P595" s="34" t="str">
        <f t="shared" si="12"/>
        <v>F010</v>
      </c>
      <c r="Q595" s="1" t="s">
        <v>138</v>
      </c>
      <c r="S595" s="16">
        <v>20</v>
      </c>
      <c r="T595" s="1" t="s">
        <v>2299</v>
      </c>
      <c r="U595" s="1" t="s">
        <v>1329</v>
      </c>
      <c r="V595" s="1" t="s">
        <v>1460</v>
      </c>
      <c r="Y595" s="1">
        <v>42999.99</v>
      </c>
      <c r="AB595" s="1">
        <v>40849.99</v>
      </c>
    </row>
    <row r="596" spans="2:28" x14ac:dyDescent="0.2">
      <c r="B596" s="30" t="s">
        <v>2294</v>
      </c>
      <c r="C596" s="36"/>
      <c r="D596" s="36"/>
      <c r="F596" s="1" t="s">
        <v>1322</v>
      </c>
      <c r="G596" s="30" t="s">
        <v>2524</v>
      </c>
      <c r="K596" s="1" t="s">
        <v>2527</v>
      </c>
      <c r="L596" s="1" t="s">
        <v>1279</v>
      </c>
      <c r="M596" s="36" t="s">
        <v>1329</v>
      </c>
      <c r="N596" s="1" t="s">
        <v>1287</v>
      </c>
      <c r="O596" s="1" t="s">
        <v>1286</v>
      </c>
      <c r="P596" s="34" t="str">
        <f t="shared" si="12"/>
        <v>F010</v>
      </c>
      <c r="Q596" s="1" t="s">
        <v>138</v>
      </c>
      <c r="S596" s="16">
        <v>20</v>
      </c>
      <c r="T596" s="1" t="s">
        <v>2299</v>
      </c>
      <c r="U596" s="1" t="s">
        <v>2528</v>
      </c>
      <c r="V596" s="1" t="s">
        <v>2014</v>
      </c>
      <c r="Y596" s="1">
        <v>22500</v>
      </c>
      <c r="AB596" s="1">
        <v>21375</v>
      </c>
    </row>
    <row r="597" spans="2:28" x14ac:dyDescent="0.2">
      <c r="B597" s="30" t="s">
        <v>2294</v>
      </c>
      <c r="C597" s="36"/>
      <c r="D597" s="36"/>
      <c r="F597" s="1" t="s">
        <v>1322</v>
      </c>
      <c r="G597" s="30" t="s">
        <v>2524</v>
      </c>
      <c r="K597" s="1" t="s">
        <v>2529</v>
      </c>
      <c r="L597" s="1" t="s">
        <v>1279</v>
      </c>
      <c r="M597" s="36" t="s">
        <v>2085</v>
      </c>
      <c r="N597" s="1" t="s">
        <v>1284</v>
      </c>
      <c r="O597" s="1" t="s">
        <v>1286</v>
      </c>
      <c r="P597" s="34" t="str">
        <f t="shared" si="12"/>
        <v>F010</v>
      </c>
      <c r="Q597" s="1" t="s">
        <v>138</v>
      </c>
      <c r="S597" s="16">
        <v>20</v>
      </c>
      <c r="T597" s="1" t="s">
        <v>2299</v>
      </c>
      <c r="U597" s="1" t="s">
        <v>1441</v>
      </c>
      <c r="V597" s="1" t="s">
        <v>1480</v>
      </c>
      <c r="Y597" s="1">
        <v>33273.26</v>
      </c>
      <c r="AB597" s="1">
        <v>31609.599999999999</v>
      </c>
    </row>
    <row r="598" spans="2:28" x14ac:dyDescent="0.2">
      <c r="B598" s="30" t="s">
        <v>2294</v>
      </c>
      <c r="C598" s="36"/>
      <c r="D598" s="36"/>
      <c r="F598" s="1" t="s">
        <v>1322</v>
      </c>
      <c r="G598" s="30" t="s">
        <v>2524</v>
      </c>
      <c r="K598" s="1" t="s">
        <v>2530</v>
      </c>
      <c r="L598" s="1" t="s">
        <v>1279</v>
      </c>
      <c r="M598" s="36" t="s">
        <v>2085</v>
      </c>
      <c r="N598" s="1" t="s">
        <v>1284</v>
      </c>
      <c r="O598" s="1" t="s">
        <v>1286</v>
      </c>
      <c r="P598" s="34" t="str">
        <f t="shared" si="12"/>
        <v>F010</v>
      </c>
      <c r="Q598" s="1" t="s">
        <v>138</v>
      </c>
      <c r="S598" s="16">
        <v>20</v>
      </c>
      <c r="T598" s="1" t="s">
        <v>2299</v>
      </c>
      <c r="U598" s="1" t="s">
        <v>1441</v>
      </c>
      <c r="V598" s="1" t="s">
        <v>1480</v>
      </c>
      <c r="Y598" s="1">
        <v>33273.26</v>
      </c>
      <c r="AB598" s="1">
        <v>31609.599999999999</v>
      </c>
    </row>
    <row r="599" spans="2:28" x14ac:dyDescent="0.2">
      <c r="B599" s="30" t="s">
        <v>2294</v>
      </c>
      <c r="C599" s="36"/>
      <c r="D599" s="36"/>
      <c r="F599" s="1" t="s">
        <v>1322</v>
      </c>
      <c r="G599" s="30" t="s">
        <v>2524</v>
      </c>
      <c r="K599" s="1" t="s">
        <v>2531</v>
      </c>
      <c r="L599" s="1" t="s">
        <v>1279</v>
      </c>
      <c r="M599" s="36" t="s">
        <v>2085</v>
      </c>
      <c r="N599" s="1" t="s">
        <v>1284</v>
      </c>
      <c r="O599" s="1" t="s">
        <v>1286</v>
      </c>
      <c r="P599" s="34" t="str">
        <f t="shared" si="12"/>
        <v>F010</v>
      </c>
      <c r="Q599" s="1" t="s">
        <v>138</v>
      </c>
      <c r="S599" s="16">
        <v>20</v>
      </c>
      <c r="T599" s="1" t="s">
        <v>2299</v>
      </c>
      <c r="U599" s="1" t="s">
        <v>1441</v>
      </c>
      <c r="V599" s="1" t="s">
        <v>1480</v>
      </c>
      <c r="Y599" s="1">
        <v>33273.26</v>
      </c>
      <c r="AB599" s="1">
        <v>31609.599999999999</v>
      </c>
    </row>
    <row r="600" spans="2:28" x14ac:dyDescent="0.2">
      <c r="B600" s="30" t="s">
        <v>2294</v>
      </c>
      <c r="C600" s="36"/>
      <c r="D600" s="36"/>
      <c r="F600" s="1" t="s">
        <v>1322</v>
      </c>
      <c r="G600" s="30" t="s">
        <v>2524</v>
      </c>
      <c r="K600" s="1" t="s">
        <v>2532</v>
      </c>
      <c r="L600" s="1" t="s">
        <v>1279</v>
      </c>
      <c r="M600" s="36" t="s">
        <v>2085</v>
      </c>
      <c r="N600" s="1" t="s">
        <v>1284</v>
      </c>
      <c r="O600" s="1" t="s">
        <v>1286</v>
      </c>
      <c r="P600" s="34" t="str">
        <f t="shared" si="12"/>
        <v>F010</v>
      </c>
      <c r="Q600" s="1" t="s">
        <v>138</v>
      </c>
      <c r="S600" s="16">
        <v>20</v>
      </c>
      <c r="T600" s="1" t="s">
        <v>2299</v>
      </c>
      <c r="U600" s="1" t="s">
        <v>1441</v>
      </c>
      <c r="V600" s="1" t="s">
        <v>1480</v>
      </c>
      <c r="Y600" s="1">
        <v>33273.26</v>
      </c>
      <c r="AB600" s="1">
        <v>31609.599999999999</v>
      </c>
    </row>
    <row r="601" spans="2:28" x14ac:dyDescent="0.2">
      <c r="B601" s="30" t="s">
        <v>2294</v>
      </c>
      <c r="C601" s="36"/>
      <c r="D601" s="36"/>
      <c r="F601" s="1" t="s">
        <v>1322</v>
      </c>
      <c r="G601" s="30" t="s">
        <v>2524</v>
      </c>
      <c r="K601" s="1" t="s">
        <v>2533</v>
      </c>
      <c r="L601" s="1" t="s">
        <v>1279</v>
      </c>
      <c r="M601" s="36" t="s">
        <v>2085</v>
      </c>
      <c r="N601" s="1" t="s">
        <v>1284</v>
      </c>
      <c r="O601" s="1" t="s">
        <v>1286</v>
      </c>
      <c r="P601" s="34" t="str">
        <f t="shared" si="12"/>
        <v>F010</v>
      </c>
      <c r="Q601" s="1" t="s">
        <v>138</v>
      </c>
      <c r="S601" s="16">
        <v>20</v>
      </c>
      <c r="T601" s="1" t="s">
        <v>2299</v>
      </c>
      <c r="U601" s="1" t="s">
        <v>1441</v>
      </c>
      <c r="V601" s="1" t="s">
        <v>1480</v>
      </c>
      <c r="Y601" s="1">
        <v>33273.24</v>
      </c>
      <c r="AB601" s="1">
        <v>31609.58</v>
      </c>
    </row>
    <row r="602" spans="2:28" x14ac:dyDescent="0.2">
      <c r="B602" s="30" t="s">
        <v>2294</v>
      </c>
      <c r="C602" s="36"/>
      <c r="D602" s="36"/>
      <c r="F602" s="1" t="s">
        <v>1322</v>
      </c>
      <c r="G602" s="30" t="s">
        <v>2524</v>
      </c>
      <c r="K602" s="1" t="s">
        <v>2534</v>
      </c>
      <c r="L602" s="1" t="s">
        <v>1279</v>
      </c>
      <c r="M602" s="36" t="s">
        <v>2085</v>
      </c>
      <c r="N602" s="1" t="s">
        <v>1284</v>
      </c>
      <c r="O602" s="1" t="s">
        <v>1286</v>
      </c>
      <c r="P602" s="34" t="str">
        <f t="shared" si="12"/>
        <v>F010</v>
      </c>
      <c r="Q602" s="1" t="s">
        <v>138</v>
      </c>
      <c r="S602" s="16">
        <v>20</v>
      </c>
      <c r="T602" s="1" t="s">
        <v>2299</v>
      </c>
      <c r="U602" s="1" t="s">
        <v>1441</v>
      </c>
      <c r="V602" s="1" t="s">
        <v>1480</v>
      </c>
      <c r="Y602" s="1">
        <v>66197.36</v>
      </c>
      <c r="AB602" s="1">
        <v>62887.74</v>
      </c>
    </row>
    <row r="603" spans="2:28" x14ac:dyDescent="0.2">
      <c r="B603" s="30" t="s">
        <v>2294</v>
      </c>
      <c r="C603" s="36"/>
      <c r="D603" s="36"/>
      <c r="F603" s="1" t="s">
        <v>1322</v>
      </c>
      <c r="G603" s="30" t="s">
        <v>2524</v>
      </c>
      <c r="K603" s="1" t="s">
        <v>2535</v>
      </c>
      <c r="L603" s="1" t="s">
        <v>1279</v>
      </c>
      <c r="M603" s="36" t="s">
        <v>2085</v>
      </c>
      <c r="N603" s="1" t="s">
        <v>1284</v>
      </c>
      <c r="O603" s="1" t="s">
        <v>1286</v>
      </c>
      <c r="P603" s="34" t="str">
        <f t="shared" si="12"/>
        <v>F010</v>
      </c>
      <c r="Q603" s="1" t="s">
        <v>138</v>
      </c>
      <c r="S603" s="16">
        <v>20</v>
      </c>
      <c r="T603" s="1" t="s">
        <v>2299</v>
      </c>
      <c r="U603" s="1" t="s">
        <v>1441</v>
      </c>
      <c r="V603" s="1" t="s">
        <v>1480</v>
      </c>
      <c r="Y603" s="1">
        <v>66197.36</v>
      </c>
      <c r="AB603" s="1">
        <v>62887.74</v>
      </c>
    </row>
    <row r="604" spans="2:28" x14ac:dyDescent="0.2">
      <c r="B604" s="30" t="s">
        <v>2294</v>
      </c>
      <c r="C604" s="36"/>
      <c r="D604" s="36"/>
      <c r="F604" s="1" t="s">
        <v>1322</v>
      </c>
      <c r="G604" s="30" t="s">
        <v>2536</v>
      </c>
      <c r="K604" s="1" t="s">
        <v>2537</v>
      </c>
      <c r="L604" s="1" t="s">
        <v>1279</v>
      </c>
      <c r="M604" s="36" t="s">
        <v>1994</v>
      </c>
      <c r="N604" s="1" t="s">
        <v>1287</v>
      </c>
      <c r="O604" s="1" t="s">
        <v>1286</v>
      </c>
      <c r="P604" s="34" t="str">
        <f t="shared" si="12"/>
        <v>F010</v>
      </c>
      <c r="Q604" s="1" t="s">
        <v>138</v>
      </c>
      <c r="S604" s="16">
        <v>20</v>
      </c>
      <c r="T604" s="1" t="s">
        <v>2299</v>
      </c>
      <c r="U604" s="1" t="s">
        <v>1691</v>
      </c>
      <c r="V604" s="1" t="s">
        <v>1327</v>
      </c>
      <c r="Y604" s="1">
        <v>30072.959999999999</v>
      </c>
      <c r="AB604" s="1">
        <v>28569.31</v>
      </c>
    </row>
    <row r="605" spans="2:28" x14ac:dyDescent="0.2">
      <c r="B605" s="30" t="s">
        <v>2294</v>
      </c>
      <c r="C605" s="36"/>
      <c r="D605" s="36"/>
      <c r="F605" s="1" t="s">
        <v>1322</v>
      </c>
      <c r="G605" s="30" t="s">
        <v>2536</v>
      </c>
      <c r="K605" s="1" t="s">
        <v>2538</v>
      </c>
      <c r="L605" s="1" t="s">
        <v>1279</v>
      </c>
      <c r="M605" s="36" t="s">
        <v>1994</v>
      </c>
      <c r="N605" s="1" t="s">
        <v>1287</v>
      </c>
      <c r="O605" s="1" t="s">
        <v>1286</v>
      </c>
      <c r="P605" s="34" t="str">
        <f t="shared" si="12"/>
        <v>F010</v>
      </c>
      <c r="Q605" s="1" t="s">
        <v>138</v>
      </c>
      <c r="S605" s="16">
        <v>20</v>
      </c>
      <c r="T605" s="1" t="s">
        <v>2299</v>
      </c>
      <c r="U605" s="1" t="s">
        <v>1691</v>
      </c>
      <c r="V605" s="1" t="s">
        <v>1327</v>
      </c>
      <c r="Y605" s="1">
        <v>30072.959999999999</v>
      </c>
      <c r="AB605" s="1">
        <v>28569.31</v>
      </c>
    </row>
    <row r="606" spans="2:28" s="58" customFormat="1" x14ac:dyDescent="0.2">
      <c r="B606" s="56" t="s">
        <v>2294</v>
      </c>
      <c r="C606" s="57">
        <v>83000</v>
      </c>
      <c r="D606" s="48">
        <f>+C606/100000</f>
        <v>0.83</v>
      </c>
      <c r="E606" s="58" t="s">
        <v>1331</v>
      </c>
      <c r="F606" s="58" t="s">
        <v>1322</v>
      </c>
      <c r="G606" s="56" t="s">
        <v>2539</v>
      </c>
      <c r="K606" s="58" t="s">
        <v>2540</v>
      </c>
      <c r="L606" s="58" t="s">
        <v>1279</v>
      </c>
      <c r="M606" s="58" t="s">
        <v>2140</v>
      </c>
      <c r="N606" s="58" t="s">
        <v>1573</v>
      </c>
      <c r="O606" s="58" t="s">
        <v>1286</v>
      </c>
      <c r="P606" s="58" t="str">
        <f t="shared" si="12"/>
        <v>F010</v>
      </c>
      <c r="Q606" s="58" t="s">
        <v>138</v>
      </c>
      <c r="S606" s="59">
        <v>20</v>
      </c>
      <c r="T606" s="58" t="s">
        <v>2299</v>
      </c>
      <c r="U606" s="58" t="s">
        <v>2102</v>
      </c>
      <c r="V606" s="58" t="s">
        <v>1604</v>
      </c>
      <c r="Y606" s="58">
        <v>9639.74</v>
      </c>
      <c r="AB606" s="58">
        <v>9157.75</v>
      </c>
    </row>
    <row r="607" spans="2:28" s="58" customFormat="1" x14ac:dyDescent="0.2">
      <c r="B607" s="56" t="s">
        <v>2294</v>
      </c>
      <c r="C607" s="57">
        <v>17000</v>
      </c>
      <c r="D607" s="48">
        <f>+C607/100000</f>
        <v>0.17</v>
      </c>
      <c r="E607" s="58" t="s">
        <v>1337</v>
      </c>
      <c r="F607" s="58" t="s">
        <v>1322</v>
      </c>
      <c r="G607" s="56" t="s">
        <v>2539</v>
      </c>
      <c r="K607" s="58" t="s">
        <v>2540</v>
      </c>
      <c r="L607" s="58" t="s">
        <v>1279</v>
      </c>
      <c r="M607" s="58" t="s">
        <v>2140</v>
      </c>
      <c r="N607" s="58" t="s">
        <v>1715</v>
      </c>
      <c r="O607" s="58" t="s">
        <v>1286</v>
      </c>
      <c r="P607" s="58" t="str">
        <f t="shared" si="12"/>
        <v>F010</v>
      </c>
      <c r="Q607" s="58" t="s">
        <v>138</v>
      </c>
      <c r="S607" s="59">
        <v>20</v>
      </c>
      <c r="T607" s="58" t="s">
        <v>2299</v>
      </c>
      <c r="U607" s="58" t="s">
        <v>2102</v>
      </c>
      <c r="V607" s="58" t="s">
        <v>1604</v>
      </c>
      <c r="Y607" s="58">
        <v>1974.4</v>
      </c>
      <c r="AB607" s="58">
        <v>1875.68</v>
      </c>
    </row>
    <row r="608" spans="2:28" x14ac:dyDescent="0.2">
      <c r="B608" s="30" t="s">
        <v>2294</v>
      </c>
      <c r="C608" s="36"/>
      <c r="D608" s="36"/>
      <c r="F608" s="1" t="s">
        <v>1322</v>
      </c>
      <c r="G608" s="30" t="s">
        <v>2541</v>
      </c>
      <c r="K608" s="1" t="s">
        <v>2542</v>
      </c>
      <c r="L608" s="1" t="s">
        <v>1279</v>
      </c>
      <c r="M608" s="36" t="s">
        <v>1645</v>
      </c>
      <c r="N608" s="1" t="s">
        <v>2543</v>
      </c>
      <c r="O608" s="1" t="s">
        <v>1286</v>
      </c>
      <c r="P608" s="34" t="str">
        <f t="shared" si="12"/>
        <v>F010</v>
      </c>
      <c r="Q608" s="1" t="s">
        <v>137</v>
      </c>
      <c r="S608" s="16">
        <v>20</v>
      </c>
      <c r="T608" s="1" t="s">
        <v>2299</v>
      </c>
      <c r="U608" s="1" t="s">
        <v>1415</v>
      </c>
      <c r="V608" s="1" t="s">
        <v>2544</v>
      </c>
      <c r="Y608" s="1">
        <v>10600</v>
      </c>
      <c r="AB608" s="1">
        <v>10070</v>
      </c>
    </row>
    <row r="609" spans="2:28" x14ac:dyDescent="0.2">
      <c r="B609" s="30" t="s">
        <v>2294</v>
      </c>
      <c r="C609" s="36"/>
      <c r="D609" s="36"/>
      <c r="F609" s="1" t="s">
        <v>1322</v>
      </c>
      <c r="G609" s="30" t="s">
        <v>2541</v>
      </c>
      <c r="K609" s="1" t="s">
        <v>2545</v>
      </c>
      <c r="L609" s="1" t="s">
        <v>1279</v>
      </c>
      <c r="M609" s="36" t="s">
        <v>1645</v>
      </c>
      <c r="N609" s="1" t="s">
        <v>2546</v>
      </c>
      <c r="O609" s="1" t="s">
        <v>1286</v>
      </c>
      <c r="P609" s="34" t="str">
        <f t="shared" si="12"/>
        <v>F010</v>
      </c>
      <c r="Q609" s="1" t="s">
        <v>137</v>
      </c>
      <c r="S609" s="16">
        <v>20</v>
      </c>
      <c r="T609" s="1" t="s">
        <v>2299</v>
      </c>
      <c r="U609" s="1" t="s">
        <v>1415</v>
      </c>
      <c r="V609" s="1" t="s">
        <v>2544</v>
      </c>
      <c r="Y609" s="1">
        <v>10600</v>
      </c>
      <c r="AB609" s="1">
        <v>10070</v>
      </c>
    </row>
    <row r="610" spans="2:28" x14ac:dyDescent="0.2">
      <c r="B610" s="30" t="s">
        <v>2294</v>
      </c>
      <c r="C610" s="36"/>
      <c r="D610" s="36"/>
      <c r="F610" s="1" t="s">
        <v>1322</v>
      </c>
      <c r="G610" s="30" t="s">
        <v>2547</v>
      </c>
      <c r="K610" s="1" t="s">
        <v>2548</v>
      </c>
      <c r="L610" s="1" t="s">
        <v>1279</v>
      </c>
      <c r="M610" s="36" t="s">
        <v>2081</v>
      </c>
      <c r="N610" s="1" t="s">
        <v>1788</v>
      </c>
      <c r="O610" s="1" t="s">
        <v>1286</v>
      </c>
      <c r="P610" s="34" t="str">
        <f t="shared" si="12"/>
        <v>F010</v>
      </c>
      <c r="Q610" s="1" t="s">
        <v>127</v>
      </c>
      <c r="S610" s="16">
        <v>20</v>
      </c>
      <c r="T610" s="1" t="s">
        <v>2299</v>
      </c>
      <c r="U610" s="1" t="s">
        <v>2343</v>
      </c>
      <c r="V610" s="1" t="s">
        <v>2502</v>
      </c>
      <c r="Y610" s="1">
        <v>8366</v>
      </c>
      <c r="AB610" s="1">
        <v>7947.7</v>
      </c>
    </row>
    <row r="611" spans="2:28" x14ac:dyDescent="0.2">
      <c r="B611" s="30" t="s">
        <v>2294</v>
      </c>
      <c r="C611" s="36"/>
      <c r="D611" s="36"/>
      <c r="F611" s="1" t="s">
        <v>1322</v>
      </c>
      <c r="G611" s="30" t="s">
        <v>2549</v>
      </c>
      <c r="K611" s="1" t="s">
        <v>2550</v>
      </c>
      <c r="L611" s="1" t="s">
        <v>1279</v>
      </c>
      <c r="M611" s="36" t="s">
        <v>1415</v>
      </c>
      <c r="N611" s="1" t="s">
        <v>1837</v>
      </c>
      <c r="O611" s="1" t="s">
        <v>1286</v>
      </c>
      <c r="P611" s="34" t="str">
        <f t="shared" si="12"/>
        <v>F010</v>
      </c>
      <c r="Q611" s="1" t="s">
        <v>138</v>
      </c>
      <c r="S611" s="16">
        <v>20</v>
      </c>
      <c r="T611" s="1" t="s">
        <v>2299</v>
      </c>
      <c r="U611" s="1" t="s">
        <v>2023</v>
      </c>
      <c r="V611" s="1" t="s">
        <v>1805</v>
      </c>
      <c r="Y611" s="1">
        <v>30221.46</v>
      </c>
      <c r="AB611" s="1">
        <v>28710.39</v>
      </c>
    </row>
    <row r="612" spans="2:28" x14ac:dyDescent="0.2">
      <c r="B612" s="30" t="s">
        <v>2294</v>
      </c>
      <c r="C612" s="36"/>
      <c r="D612" s="36"/>
      <c r="F612" s="1" t="s">
        <v>1322</v>
      </c>
      <c r="G612" s="30" t="s">
        <v>2551</v>
      </c>
      <c r="K612" s="1" t="s">
        <v>2552</v>
      </c>
      <c r="L612" s="1" t="s">
        <v>1279</v>
      </c>
      <c r="M612" s="36" t="s">
        <v>1334</v>
      </c>
      <c r="N612" s="1" t="s">
        <v>1287</v>
      </c>
      <c r="O612" s="1" t="s">
        <v>1286</v>
      </c>
      <c r="P612" s="34" t="str">
        <f t="shared" si="12"/>
        <v>F010</v>
      </c>
      <c r="Q612" s="1" t="s">
        <v>127</v>
      </c>
      <c r="S612" s="16">
        <v>20</v>
      </c>
      <c r="T612" s="1" t="s">
        <v>2299</v>
      </c>
      <c r="U612" s="1" t="s">
        <v>1535</v>
      </c>
      <c r="V612" s="1" t="s">
        <v>2553</v>
      </c>
      <c r="Y612" s="1">
        <v>345405.14</v>
      </c>
      <c r="AB612" s="1">
        <v>191412.06</v>
      </c>
    </row>
    <row r="613" spans="2:28" x14ac:dyDescent="0.2">
      <c r="B613" s="30" t="s">
        <v>2294</v>
      </c>
      <c r="C613" s="36"/>
      <c r="D613" s="36"/>
      <c r="F613" s="1" t="s">
        <v>1322</v>
      </c>
      <c r="G613" s="30" t="s">
        <v>2554</v>
      </c>
      <c r="K613" s="1" t="s">
        <v>2555</v>
      </c>
      <c r="L613" s="1" t="s">
        <v>1279</v>
      </c>
      <c r="M613" s="36" t="s">
        <v>1334</v>
      </c>
      <c r="N613" s="1" t="s">
        <v>1287</v>
      </c>
      <c r="O613" s="1" t="s">
        <v>1286</v>
      </c>
      <c r="P613" s="34" t="str">
        <f t="shared" si="12"/>
        <v>F010</v>
      </c>
      <c r="Q613" s="1" t="s">
        <v>127</v>
      </c>
      <c r="S613" s="16">
        <v>20</v>
      </c>
      <c r="T613" s="1" t="s">
        <v>2299</v>
      </c>
      <c r="U613" s="1" t="s">
        <v>1535</v>
      </c>
      <c r="V613" s="1" t="s">
        <v>2553</v>
      </c>
      <c r="Y613" s="1">
        <v>388554.6</v>
      </c>
      <c r="AB613" s="1">
        <v>215324</v>
      </c>
    </row>
    <row r="614" spans="2:28" x14ac:dyDescent="0.2">
      <c r="B614" s="30" t="s">
        <v>2294</v>
      </c>
      <c r="C614" s="36"/>
      <c r="D614" s="36"/>
      <c r="F614" s="1" t="s">
        <v>1322</v>
      </c>
      <c r="G614" s="30" t="s">
        <v>2556</v>
      </c>
      <c r="K614" s="1" t="s">
        <v>2557</v>
      </c>
      <c r="L614" s="1" t="s">
        <v>1279</v>
      </c>
      <c r="M614" s="36" t="s">
        <v>1334</v>
      </c>
      <c r="N614" s="1" t="s">
        <v>1287</v>
      </c>
      <c r="O614" s="1" t="s">
        <v>1286</v>
      </c>
      <c r="P614" s="34" t="str">
        <f t="shared" si="12"/>
        <v>F010</v>
      </c>
      <c r="Q614" s="1" t="s">
        <v>127</v>
      </c>
      <c r="S614" s="16">
        <v>20</v>
      </c>
      <c r="T614" s="1" t="s">
        <v>2299</v>
      </c>
      <c r="U614" s="1" t="s">
        <v>1535</v>
      </c>
      <c r="V614" s="1" t="s">
        <v>2553</v>
      </c>
      <c r="Y614" s="1">
        <v>128835</v>
      </c>
      <c r="AB614" s="1">
        <v>71396.03</v>
      </c>
    </row>
    <row r="615" spans="2:28" x14ac:dyDescent="0.2">
      <c r="B615" s="30" t="s">
        <v>2294</v>
      </c>
      <c r="C615" s="36"/>
      <c r="D615" s="36"/>
      <c r="F615" s="1" t="s">
        <v>1322</v>
      </c>
      <c r="G615" s="30" t="s">
        <v>2556</v>
      </c>
      <c r="K615" s="1" t="s">
        <v>2558</v>
      </c>
      <c r="L615" s="1" t="s">
        <v>1279</v>
      </c>
      <c r="M615" s="36" t="s">
        <v>1334</v>
      </c>
      <c r="N615" s="1" t="s">
        <v>1287</v>
      </c>
      <c r="O615" s="1" t="s">
        <v>1286</v>
      </c>
      <c r="P615" s="34" t="str">
        <f t="shared" si="12"/>
        <v>F010</v>
      </c>
      <c r="Q615" s="1" t="s">
        <v>127</v>
      </c>
      <c r="S615" s="16">
        <v>20</v>
      </c>
      <c r="T615" s="1" t="s">
        <v>2299</v>
      </c>
      <c r="U615" s="1" t="s">
        <v>1535</v>
      </c>
      <c r="V615" s="1" t="s">
        <v>2553</v>
      </c>
      <c r="Y615" s="1">
        <v>128835</v>
      </c>
      <c r="AB615" s="1">
        <v>71396.03</v>
      </c>
    </row>
    <row r="616" spans="2:28" x14ac:dyDescent="0.2">
      <c r="B616" s="30" t="s">
        <v>2294</v>
      </c>
      <c r="C616" s="36"/>
      <c r="D616" s="36"/>
      <c r="F616" s="1" t="s">
        <v>1322</v>
      </c>
      <c r="G616" s="30" t="s">
        <v>2559</v>
      </c>
      <c r="K616" s="1" t="s">
        <v>2560</v>
      </c>
      <c r="L616" s="1" t="s">
        <v>1279</v>
      </c>
      <c r="M616" s="36" t="s">
        <v>1334</v>
      </c>
      <c r="N616" s="1" t="s">
        <v>1287</v>
      </c>
      <c r="O616" s="1" t="s">
        <v>1286</v>
      </c>
      <c r="P616" s="34" t="str">
        <f t="shared" si="12"/>
        <v>F010</v>
      </c>
      <c r="Q616" s="1" t="s">
        <v>127</v>
      </c>
      <c r="S616" s="16">
        <v>20</v>
      </c>
      <c r="T616" s="1" t="s">
        <v>2299</v>
      </c>
      <c r="U616" s="1" t="s">
        <v>1535</v>
      </c>
      <c r="V616" s="1" t="s">
        <v>2553</v>
      </c>
      <c r="Y616" s="1">
        <v>128835</v>
      </c>
      <c r="AB616" s="1">
        <v>71396.03</v>
      </c>
    </row>
    <row r="617" spans="2:28" x14ac:dyDescent="0.2">
      <c r="B617" s="30" t="s">
        <v>2294</v>
      </c>
      <c r="C617" s="36"/>
      <c r="D617" s="36"/>
      <c r="F617" s="1" t="s">
        <v>1322</v>
      </c>
      <c r="G617" s="30" t="s">
        <v>2561</v>
      </c>
      <c r="K617" s="1" t="s">
        <v>2562</v>
      </c>
      <c r="L617" s="1" t="s">
        <v>1279</v>
      </c>
      <c r="M617" s="36" t="s">
        <v>1334</v>
      </c>
      <c r="N617" s="1" t="s">
        <v>1287</v>
      </c>
      <c r="O617" s="1" t="s">
        <v>1286</v>
      </c>
      <c r="P617" s="34" t="str">
        <f t="shared" si="12"/>
        <v>F010</v>
      </c>
      <c r="Q617" s="1" t="s">
        <v>127</v>
      </c>
      <c r="S617" s="16">
        <v>20</v>
      </c>
      <c r="T617" s="1" t="s">
        <v>2299</v>
      </c>
      <c r="U617" s="1" t="s">
        <v>1535</v>
      </c>
      <c r="V617" s="1" t="s">
        <v>2553</v>
      </c>
      <c r="Y617" s="1">
        <v>128835</v>
      </c>
      <c r="AB617" s="1">
        <v>71396.03</v>
      </c>
    </row>
    <row r="618" spans="2:28" x14ac:dyDescent="0.2">
      <c r="B618" s="30" t="s">
        <v>2294</v>
      </c>
      <c r="C618" s="36"/>
      <c r="D618" s="36"/>
      <c r="F618" s="1" t="s">
        <v>1322</v>
      </c>
      <c r="G618" s="30" t="s">
        <v>2563</v>
      </c>
      <c r="K618" s="1" t="s">
        <v>2564</v>
      </c>
      <c r="L618" s="1" t="s">
        <v>1279</v>
      </c>
      <c r="M618" s="36" t="s">
        <v>1334</v>
      </c>
      <c r="N618" s="1" t="s">
        <v>1287</v>
      </c>
      <c r="O618" s="1" t="s">
        <v>1286</v>
      </c>
      <c r="P618" s="34" t="str">
        <f t="shared" si="12"/>
        <v>F010</v>
      </c>
      <c r="Q618" s="1" t="s">
        <v>127</v>
      </c>
      <c r="S618" s="16">
        <v>20</v>
      </c>
      <c r="T618" s="1" t="s">
        <v>2299</v>
      </c>
      <c r="U618" s="1" t="s">
        <v>1535</v>
      </c>
      <c r="V618" s="1" t="s">
        <v>2553</v>
      </c>
      <c r="Y618" s="1">
        <v>128835</v>
      </c>
      <c r="AB618" s="1">
        <v>71396.03</v>
      </c>
    </row>
    <row r="619" spans="2:28" x14ac:dyDescent="0.2">
      <c r="B619" s="30" t="s">
        <v>2294</v>
      </c>
      <c r="C619" s="36"/>
      <c r="D619" s="36"/>
      <c r="F619" s="1" t="s">
        <v>1322</v>
      </c>
      <c r="G619" s="30" t="s">
        <v>2565</v>
      </c>
      <c r="K619" s="1" t="s">
        <v>2566</v>
      </c>
      <c r="L619" s="1" t="s">
        <v>1279</v>
      </c>
      <c r="M619" s="36" t="s">
        <v>1334</v>
      </c>
      <c r="N619" s="1" t="s">
        <v>1287</v>
      </c>
      <c r="O619" s="1" t="s">
        <v>1286</v>
      </c>
      <c r="P619" s="34" t="str">
        <f t="shared" si="12"/>
        <v>F010</v>
      </c>
      <c r="Q619" s="1" t="s">
        <v>127</v>
      </c>
      <c r="S619" s="16">
        <v>20</v>
      </c>
      <c r="T619" s="1" t="s">
        <v>2299</v>
      </c>
      <c r="U619" s="1" t="s">
        <v>1535</v>
      </c>
      <c r="V619" s="1" t="s">
        <v>2553</v>
      </c>
      <c r="Y619" s="1">
        <v>128835</v>
      </c>
      <c r="AB619" s="1">
        <v>71396.03</v>
      </c>
    </row>
    <row r="620" spans="2:28" x14ac:dyDescent="0.2">
      <c r="B620" s="30" t="s">
        <v>2294</v>
      </c>
      <c r="C620" s="36"/>
      <c r="D620" s="36"/>
      <c r="F620" s="1" t="s">
        <v>1322</v>
      </c>
      <c r="G620" s="30" t="s">
        <v>2567</v>
      </c>
      <c r="K620" s="1" t="s">
        <v>2568</v>
      </c>
      <c r="L620" s="1" t="s">
        <v>1279</v>
      </c>
      <c r="M620" s="36" t="s">
        <v>1878</v>
      </c>
      <c r="N620" s="1" t="s">
        <v>1287</v>
      </c>
      <c r="O620" s="1" t="s">
        <v>1286</v>
      </c>
      <c r="P620" s="34" t="str">
        <f t="shared" si="12"/>
        <v>F010</v>
      </c>
      <c r="Q620" s="1" t="s">
        <v>138</v>
      </c>
      <c r="S620" s="16">
        <v>20</v>
      </c>
      <c r="T620" s="1" t="s">
        <v>2299</v>
      </c>
      <c r="U620" s="1" t="s">
        <v>2569</v>
      </c>
      <c r="V620" s="1" t="s">
        <v>1343</v>
      </c>
      <c r="Y620" s="1">
        <v>4600</v>
      </c>
      <c r="AB620" s="1">
        <v>4370</v>
      </c>
    </row>
    <row r="621" spans="2:28" x14ac:dyDescent="0.2">
      <c r="B621" s="30" t="s">
        <v>2294</v>
      </c>
      <c r="C621" s="36"/>
      <c r="D621" s="36"/>
      <c r="F621" s="1" t="s">
        <v>1322</v>
      </c>
      <c r="G621" s="30" t="s">
        <v>2570</v>
      </c>
      <c r="K621" s="1" t="s">
        <v>2571</v>
      </c>
      <c r="L621" s="1" t="s">
        <v>1279</v>
      </c>
      <c r="M621" s="36" t="s">
        <v>2014</v>
      </c>
      <c r="N621" s="1" t="s">
        <v>1284</v>
      </c>
      <c r="O621" s="1" t="s">
        <v>1286</v>
      </c>
      <c r="P621" s="34" t="str">
        <f t="shared" si="12"/>
        <v>F010</v>
      </c>
      <c r="Q621" s="1" t="s">
        <v>138</v>
      </c>
      <c r="S621" s="16">
        <v>20</v>
      </c>
      <c r="T621" s="1" t="s">
        <v>2299</v>
      </c>
      <c r="U621" s="1" t="s">
        <v>1334</v>
      </c>
      <c r="V621" s="1" t="s">
        <v>1377</v>
      </c>
      <c r="Y621" s="1">
        <v>7904.23</v>
      </c>
      <c r="AB621" s="1">
        <v>4686.42</v>
      </c>
    </row>
    <row r="622" spans="2:28" x14ac:dyDescent="0.2">
      <c r="B622" s="30" t="s">
        <v>2294</v>
      </c>
      <c r="C622" s="36"/>
      <c r="D622" s="36"/>
      <c r="F622" s="1" t="s">
        <v>1322</v>
      </c>
      <c r="G622" s="30" t="s">
        <v>2570</v>
      </c>
      <c r="K622" s="1" t="s">
        <v>2572</v>
      </c>
      <c r="L622" s="1" t="s">
        <v>1279</v>
      </c>
      <c r="M622" s="36" t="s">
        <v>2014</v>
      </c>
      <c r="N622" s="1" t="s">
        <v>1284</v>
      </c>
      <c r="O622" s="1" t="s">
        <v>1286</v>
      </c>
      <c r="P622" s="34" t="str">
        <f t="shared" si="12"/>
        <v>F010</v>
      </c>
      <c r="Q622" s="1" t="s">
        <v>138</v>
      </c>
      <c r="S622" s="16">
        <v>20</v>
      </c>
      <c r="T622" s="1" t="s">
        <v>2299</v>
      </c>
      <c r="U622" s="1" t="s">
        <v>1334</v>
      </c>
      <c r="V622" s="1" t="s">
        <v>1377</v>
      </c>
      <c r="Y622" s="1">
        <v>7904.23</v>
      </c>
      <c r="AB622" s="1">
        <v>4686.42</v>
      </c>
    </row>
    <row r="623" spans="2:28" x14ac:dyDescent="0.2">
      <c r="B623" s="30" t="s">
        <v>2294</v>
      </c>
      <c r="C623" s="36"/>
      <c r="D623" s="36"/>
      <c r="F623" s="1" t="s">
        <v>1322</v>
      </c>
      <c r="G623" s="30" t="s">
        <v>2570</v>
      </c>
      <c r="K623" s="1" t="s">
        <v>2573</v>
      </c>
      <c r="L623" s="1" t="s">
        <v>1279</v>
      </c>
      <c r="M623" s="36" t="s">
        <v>2014</v>
      </c>
      <c r="N623" s="1" t="s">
        <v>1284</v>
      </c>
      <c r="O623" s="1" t="s">
        <v>1286</v>
      </c>
      <c r="P623" s="34" t="str">
        <f t="shared" si="12"/>
        <v>F010</v>
      </c>
      <c r="Q623" s="1" t="s">
        <v>138</v>
      </c>
      <c r="S623" s="16">
        <v>20</v>
      </c>
      <c r="T623" s="1" t="s">
        <v>2299</v>
      </c>
      <c r="U623" s="1" t="s">
        <v>1334</v>
      </c>
      <c r="V623" s="1" t="s">
        <v>1377</v>
      </c>
      <c r="Y623" s="1">
        <v>7904.2</v>
      </c>
      <c r="AB623" s="1">
        <v>4686.3900000000003</v>
      </c>
    </row>
    <row r="624" spans="2:28" x14ac:dyDescent="0.2">
      <c r="B624" s="30" t="s">
        <v>2294</v>
      </c>
      <c r="C624" s="36"/>
      <c r="D624" s="36"/>
      <c r="F624" s="1" t="s">
        <v>1322</v>
      </c>
      <c r="G624" s="30" t="s">
        <v>2570</v>
      </c>
      <c r="K624" s="1" t="s">
        <v>2574</v>
      </c>
      <c r="L624" s="1" t="s">
        <v>1279</v>
      </c>
      <c r="M624" s="36" t="s">
        <v>2014</v>
      </c>
      <c r="N624" s="1" t="s">
        <v>1788</v>
      </c>
      <c r="O624" s="1" t="s">
        <v>1286</v>
      </c>
      <c r="P624" s="34" t="str">
        <f t="shared" si="12"/>
        <v>F010</v>
      </c>
      <c r="Q624" s="1" t="s">
        <v>138</v>
      </c>
      <c r="S624" s="16">
        <v>20</v>
      </c>
      <c r="T624" s="1" t="s">
        <v>2299</v>
      </c>
      <c r="U624" s="1" t="s">
        <v>1334</v>
      </c>
      <c r="V624" s="1" t="s">
        <v>1377</v>
      </c>
      <c r="Y624" s="1">
        <v>4712.2</v>
      </c>
      <c r="AB624" s="1">
        <v>2735.7</v>
      </c>
    </row>
    <row r="625" spans="2:28" x14ac:dyDescent="0.2">
      <c r="B625" s="30" t="s">
        <v>2294</v>
      </c>
      <c r="C625" s="36"/>
      <c r="D625" s="36"/>
      <c r="F625" s="1" t="s">
        <v>1322</v>
      </c>
      <c r="G625" s="30" t="s">
        <v>2570</v>
      </c>
      <c r="K625" s="1" t="s">
        <v>2575</v>
      </c>
      <c r="L625" s="1" t="s">
        <v>1279</v>
      </c>
      <c r="M625" s="36" t="s">
        <v>2014</v>
      </c>
      <c r="N625" s="1" t="s">
        <v>1284</v>
      </c>
      <c r="O625" s="1" t="s">
        <v>1286</v>
      </c>
      <c r="P625" s="34" t="str">
        <f t="shared" si="12"/>
        <v>F010</v>
      </c>
      <c r="Q625" s="1" t="s">
        <v>138</v>
      </c>
      <c r="S625" s="16">
        <v>20</v>
      </c>
      <c r="T625" s="1" t="s">
        <v>2299</v>
      </c>
      <c r="U625" s="1" t="s">
        <v>1334</v>
      </c>
      <c r="V625" s="1" t="s">
        <v>1377</v>
      </c>
      <c r="Y625" s="1">
        <v>9591.2199999999993</v>
      </c>
      <c r="AB625" s="1">
        <v>5717.36</v>
      </c>
    </row>
    <row r="626" spans="2:28" x14ac:dyDescent="0.2">
      <c r="B626" s="30" t="s">
        <v>2294</v>
      </c>
      <c r="C626" s="36"/>
      <c r="D626" s="36"/>
      <c r="F626" s="1" t="s">
        <v>1322</v>
      </c>
      <c r="G626" s="30" t="s">
        <v>2570</v>
      </c>
      <c r="K626" s="1" t="s">
        <v>2576</v>
      </c>
      <c r="L626" s="1" t="s">
        <v>1279</v>
      </c>
      <c r="M626" s="36" t="s">
        <v>2014</v>
      </c>
      <c r="N626" s="1" t="s">
        <v>1708</v>
      </c>
      <c r="O626" s="1" t="s">
        <v>1286</v>
      </c>
      <c r="P626" s="34" t="str">
        <f t="shared" si="12"/>
        <v>F010</v>
      </c>
      <c r="Q626" s="1" t="s">
        <v>138</v>
      </c>
      <c r="S626" s="16">
        <v>20</v>
      </c>
      <c r="T626" s="1" t="s">
        <v>2299</v>
      </c>
      <c r="U626" s="1" t="s">
        <v>1334</v>
      </c>
      <c r="V626" s="1" t="s">
        <v>1377</v>
      </c>
      <c r="Y626" s="1">
        <v>4712.2</v>
      </c>
      <c r="AB626" s="1">
        <v>2735.7</v>
      </c>
    </row>
    <row r="627" spans="2:28" x14ac:dyDescent="0.2">
      <c r="B627" s="30" t="s">
        <v>2294</v>
      </c>
      <c r="C627" s="36"/>
      <c r="D627" s="36"/>
      <c r="F627" s="1" t="s">
        <v>1322</v>
      </c>
      <c r="G627" s="30" t="s">
        <v>2570</v>
      </c>
      <c r="K627" s="1" t="s">
        <v>2577</v>
      </c>
      <c r="L627" s="1" t="s">
        <v>1279</v>
      </c>
      <c r="M627" s="36" t="s">
        <v>2014</v>
      </c>
      <c r="N627" s="1" t="s">
        <v>1788</v>
      </c>
      <c r="O627" s="1" t="s">
        <v>1286</v>
      </c>
      <c r="P627" s="34" t="str">
        <f t="shared" si="12"/>
        <v>F010</v>
      </c>
      <c r="Q627" s="1" t="s">
        <v>138</v>
      </c>
      <c r="S627" s="16">
        <v>20</v>
      </c>
      <c r="T627" s="1" t="s">
        <v>2299</v>
      </c>
      <c r="U627" s="1" t="s">
        <v>1334</v>
      </c>
      <c r="V627" s="1" t="s">
        <v>1377</v>
      </c>
      <c r="Y627" s="1">
        <v>4712.2</v>
      </c>
      <c r="AB627" s="1">
        <v>2735.7</v>
      </c>
    </row>
    <row r="628" spans="2:28" x14ac:dyDescent="0.2">
      <c r="B628" s="30" t="s">
        <v>2294</v>
      </c>
      <c r="C628" s="36"/>
      <c r="D628" s="36"/>
      <c r="F628" s="1" t="s">
        <v>1322</v>
      </c>
      <c r="G628" s="30" t="s">
        <v>2570</v>
      </c>
      <c r="K628" s="1" t="s">
        <v>2578</v>
      </c>
      <c r="L628" s="1" t="s">
        <v>1279</v>
      </c>
      <c r="M628" s="36" t="s">
        <v>2014</v>
      </c>
      <c r="N628" s="1" t="s">
        <v>1287</v>
      </c>
      <c r="O628" s="1" t="s">
        <v>1286</v>
      </c>
      <c r="P628" s="34" t="str">
        <f t="shared" si="12"/>
        <v>F010</v>
      </c>
      <c r="Q628" s="1" t="s">
        <v>138</v>
      </c>
      <c r="S628" s="16">
        <v>20</v>
      </c>
      <c r="T628" s="1" t="s">
        <v>2299</v>
      </c>
      <c r="U628" s="1" t="s">
        <v>1334</v>
      </c>
      <c r="V628" s="1" t="s">
        <v>1377</v>
      </c>
      <c r="Y628" s="1">
        <v>4712.6099999999997</v>
      </c>
      <c r="AB628" s="1">
        <v>2735.92</v>
      </c>
    </row>
    <row r="629" spans="2:28" x14ac:dyDescent="0.2">
      <c r="B629" s="30" t="s">
        <v>2294</v>
      </c>
      <c r="C629" s="36"/>
      <c r="D629" s="36"/>
      <c r="F629" s="1" t="s">
        <v>1322</v>
      </c>
      <c r="G629" s="30" t="s">
        <v>2570</v>
      </c>
      <c r="K629" s="1" t="s">
        <v>2579</v>
      </c>
      <c r="L629" s="1" t="s">
        <v>1279</v>
      </c>
      <c r="M629" s="36" t="s">
        <v>2014</v>
      </c>
      <c r="N629" s="1" t="s">
        <v>1637</v>
      </c>
      <c r="O629" s="1" t="s">
        <v>1286</v>
      </c>
      <c r="P629" s="34" t="str">
        <f t="shared" si="12"/>
        <v>F010</v>
      </c>
      <c r="Q629" s="1" t="s">
        <v>138</v>
      </c>
      <c r="S629" s="16">
        <v>20</v>
      </c>
      <c r="T629" s="1" t="s">
        <v>2299</v>
      </c>
      <c r="U629" s="1" t="s">
        <v>1334</v>
      </c>
      <c r="V629" s="1" t="s">
        <v>1377</v>
      </c>
      <c r="Y629" s="1">
        <v>4712.2</v>
      </c>
      <c r="AB629" s="1">
        <v>2735.7</v>
      </c>
    </row>
    <row r="630" spans="2:28" x14ac:dyDescent="0.2">
      <c r="B630" s="30" t="s">
        <v>2294</v>
      </c>
      <c r="C630" s="36"/>
      <c r="D630" s="36"/>
      <c r="F630" s="1" t="s">
        <v>1322</v>
      </c>
      <c r="G630" s="30" t="s">
        <v>2570</v>
      </c>
      <c r="K630" s="1" t="s">
        <v>2580</v>
      </c>
      <c r="L630" s="1" t="s">
        <v>1279</v>
      </c>
      <c r="M630" s="36" t="s">
        <v>2014</v>
      </c>
      <c r="N630" s="1" t="s">
        <v>1837</v>
      </c>
      <c r="O630" s="1" t="s">
        <v>1286</v>
      </c>
      <c r="P630" s="34" t="str">
        <f t="shared" si="12"/>
        <v>F010</v>
      </c>
      <c r="Q630" s="1" t="s">
        <v>138</v>
      </c>
      <c r="S630" s="16">
        <v>20</v>
      </c>
      <c r="T630" s="1" t="s">
        <v>2299</v>
      </c>
      <c r="U630" s="1" t="s">
        <v>1334</v>
      </c>
      <c r="V630" s="1" t="s">
        <v>1377</v>
      </c>
      <c r="Y630" s="1">
        <v>4712.2</v>
      </c>
      <c r="AB630" s="1">
        <v>2735.7</v>
      </c>
    </row>
    <row r="631" spans="2:28" x14ac:dyDescent="0.2">
      <c r="B631" s="30" t="s">
        <v>2294</v>
      </c>
      <c r="C631" s="36"/>
      <c r="D631" s="36"/>
      <c r="F631" s="1" t="s">
        <v>1322</v>
      </c>
      <c r="G631" s="30" t="s">
        <v>2570</v>
      </c>
      <c r="K631" s="1" t="s">
        <v>2581</v>
      </c>
      <c r="L631" s="1" t="s">
        <v>1279</v>
      </c>
      <c r="M631" s="36" t="s">
        <v>2014</v>
      </c>
      <c r="N631" s="1" t="s">
        <v>1837</v>
      </c>
      <c r="O631" s="1" t="s">
        <v>1286</v>
      </c>
      <c r="P631" s="34" t="str">
        <f t="shared" si="12"/>
        <v>F010</v>
      </c>
      <c r="Q631" s="1" t="s">
        <v>138</v>
      </c>
      <c r="S631" s="16">
        <v>20</v>
      </c>
      <c r="T631" s="1" t="s">
        <v>2299</v>
      </c>
      <c r="U631" s="1" t="s">
        <v>1334</v>
      </c>
      <c r="V631" s="1" t="s">
        <v>1377</v>
      </c>
      <c r="Y631" s="1">
        <v>4712.2</v>
      </c>
      <c r="AB631" s="1">
        <v>2735.7</v>
      </c>
    </row>
    <row r="632" spans="2:28" x14ac:dyDescent="0.2">
      <c r="B632" s="30" t="s">
        <v>2294</v>
      </c>
      <c r="C632" s="36"/>
      <c r="D632" s="36"/>
      <c r="F632" s="1" t="s">
        <v>1322</v>
      </c>
      <c r="G632" s="30" t="s">
        <v>2570</v>
      </c>
      <c r="K632" s="1" t="s">
        <v>2582</v>
      </c>
      <c r="L632" s="1" t="s">
        <v>1279</v>
      </c>
      <c r="M632" s="36" t="s">
        <v>2014</v>
      </c>
      <c r="N632" s="1" t="s">
        <v>1837</v>
      </c>
      <c r="O632" s="1" t="s">
        <v>1286</v>
      </c>
      <c r="P632" s="34" t="str">
        <f t="shared" si="12"/>
        <v>F010</v>
      </c>
      <c r="Q632" s="1" t="s">
        <v>138</v>
      </c>
      <c r="S632" s="16">
        <v>20</v>
      </c>
      <c r="T632" s="1" t="s">
        <v>2299</v>
      </c>
      <c r="U632" s="1" t="s">
        <v>1334</v>
      </c>
      <c r="V632" s="1" t="s">
        <v>1377</v>
      </c>
      <c r="Y632" s="1">
        <v>4712.2</v>
      </c>
      <c r="AB632" s="1">
        <v>2735.7</v>
      </c>
    </row>
    <row r="633" spans="2:28" x14ac:dyDescent="0.2">
      <c r="B633" s="30" t="s">
        <v>2294</v>
      </c>
      <c r="C633" s="36"/>
      <c r="D633" s="36"/>
      <c r="F633" s="1" t="s">
        <v>1322</v>
      </c>
      <c r="G633" s="30" t="s">
        <v>2570</v>
      </c>
      <c r="K633" s="1" t="s">
        <v>2583</v>
      </c>
      <c r="L633" s="1" t="s">
        <v>1279</v>
      </c>
      <c r="M633" s="36" t="s">
        <v>2014</v>
      </c>
      <c r="N633" s="1" t="s">
        <v>1837</v>
      </c>
      <c r="O633" s="1" t="s">
        <v>1286</v>
      </c>
      <c r="P633" s="34" t="str">
        <f t="shared" si="12"/>
        <v>F010</v>
      </c>
      <c r="Q633" s="1" t="s">
        <v>138</v>
      </c>
      <c r="S633" s="16">
        <v>20</v>
      </c>
      <c r="T633" s="1" t="s">
        <v>2299</v>
      </c>
      <c r="U633" s="1" t="s">
        <v>1334</v>
      </c>
      <c r="V633" s="1" t="s">
        <v>1377</v>
      </c>
      <c r="Y633" s="1">
        <v>4712.2</v>
      </c>
      <c r="AB633" s="1">
        <v>2735.7</v>
      </c>
    </row>
    <row r="634" spans="2:28" x14ac:dyDescent="0.2">
      <c r="B634" s="30" t="s">
        <v>2294</v>
      </c>
      <c r="C634" s="36"/>
      <c r="D634" s="36"/>
      <c r="F634" s="1" t="s">
        <v>1322</v>
      </c>
      <c r="G634" s="30" t="s">
        <v>2570</v>
      </c>
      <c r="K634" s="1" t="s">
        <v>2584</v>
      </c>
      <c r="L634" s="1" t="s">
        <v>1279</v>
      </c>
      <c r="M634" s="36" t="s">
        <v>2014</v>
      </c>
      <c r="N634" s="1" t="s">
        <v>1837</v>
      </c>
      <c r="O634" s="1" t="s">
        <v>1286</v>
      </c>
      <c r="P634" s="34" t="str">
        <f t="shared" si="12"/>
        <v>F010</v>
      </c>
      <c r="Q634" s="1" t="s">
        <v>138</v>
      </c>
      <c r="S634" s="16">
        <v>20</v>
      </c>
      <c r="T634" s="1" t="s">
        <v>2299</v>
      </c>
      <c r="U634" s="1" t="s">
        <v>1334</v>
      </c>
      <c r="V634" s="1" t="s">
        <v>1377</v>
      </c>
      <c r="Y634" s="1">
        <v>4712.2</v>
      </c>
      <c r="AB634" s="1">
        <v>2735.7</v>
      </c>
    </row>
    <row r="635" spans="2:28" x14ac:dyDescent="0.2">
      <c r="B635" s="30" t="s">
        <v>2294</v>
      </c>
      <c r="C635" s="36"/>
      <c r="D635" s="36"/>
      <c r="F635" s="1" t="s">
        <v>1322</v>
      </c>
      <c r="G635" s="30" t="s">
        <v>2570</v>
      </c>
      <c r="K635" s="1" t="s">
        <v>2585</v>
      </c>
      <c r="L635" s="1" t="s">
        <v>1279</v>
      </c>
      <c r="M635" s="36" t="s">
        <v>2014</v>
      </c>
      <c r="N635" s="1" t="s">
        <v>1287</v>
      </c>
      <c r="O635" s="1" t="s">
        <v>1286</v>
      </c>
      <c r="P635" s="34" t="str">
        <f t="shared" si="12"/>
        <v>F010</v>
      </c>
      <c r="Q635" s="1" t="s">
        <v>138</v>
      </c>
      <c r="S635" s="16">
        <v>20</v>
      </c>
      <c r="T635" s="1" t="s">
        <v>2299</v>
      </c>
      <c r="U635" s="1" t="s">
        <v>1334</v>
      </c>
      <c r="V635" s="1" t="s">
        <v>1377</v>
      </c>
      <c r="Y635" s="1">
        <v>4712.2</v>
      </c>
      <c r="AB635" s="1">
        <v>2735.7</v>
      </c>
    </row>
    <row r="636" spans="2:28" x14ac:dyDescent="0.2">
      <c r="B636" s="30" t="s">
        <v>2294</v>
      </c>
      <c r="C636" s="36"/>
      <c r="D636" s="36"/>
      <c r="F636" s="1" t="s">
        <v>1322</v>
      </c>
      <c r="G636" s="30" t="s">
        <v>2570</v>
      </c>
      <c r="K636" s="1" t="s">
        <v>2586</v>
      </c>
      <c r="L636" s="1" t="s">
        <v>1279</v>
      </c>
      <c r="M636" s="36" t="s">
        <v>2014</v>
      </c>
      <c r="N636" s="1" t="s">
        <v>1837</v>
      </c>
      <c r="O636" s="1" t="s">
        <v>1286</v>
      </c>
      <c r="P636" s="34" t="str">
        <f t="shared" si="12"/>
        <v>F010</v>
      </c>
      <c r="Q636" s="1" t="s">
        <v>138</v>
      </c>
      <c r="S636" s="16">
        <v>20</v>
      </c>
      <c r="T636" s="1" t="s">
        <v>2299</v>
      </c>
      <c r="U636" s="1" t="s">
        <v>1334</v>
      </c>
      <c r="V636" s="1" t="s">
        <v>1377</v>
      </c>
      <c r="Y636" s="1">
        <v>4712.2</v>
      </c>
      <c r="AB636" s="1">
        <v>2735.7</v>
      </c>
    </row>
    <row r="637" spans="2:28" x14ac:dyDescent="0.2">
      <c r="B637" s="30" t="s">
        <v>2294</v>
      </c>
      <c r="C637" s="36"/>
      <c r="D637" s="36"/>
      <c r="F637" s="1" t="s">
        <v>1322</v>
      </c>
      <c r="G637" s="30" t="s">
        <v>2570</v>
      </c>
      <c r="K637" s="1" t="s">
        <v>2587</v>
      </c>
      <c r="L637" s="1" t="s">
        <v>1279</v>
      </c>
      <c r="M637" s="36" t="s">
        <v>2014</v>
      </c>
      <c r="N637" s="1" t="s">
        <v>1788</v>
      </c>
      <c r="O637" s="1" t="s">
        <v>1286</v>
      </c>
      <c r="P637" s="34" t="str">
        <f t="shared" si="12"/>
        <v>F010</v>
      </c>
      <c r="Q637" s="1" t="s">
        <v>138</v>
      </c>
      <c r="S637" s="16">
        <v>20</v>
      </c>
      <c r="T637" s="1" t="s">
        <v>2299</v>
      </c>
      <c r="U637" s="1" t="s">
        <v>1334</v>
      </c>
      <c r="V637" s="1" t="s">
        <v>1377</v>
      </c>
      <c r="Y637" s="1">
        <v>4712.2</v>
      </c>
      <c r="AB637" s="1">
        <v>2735.7</v>
      </c>
    </row>
    <row r="638" spans="2:28" x14ac:dyDescent="0.2">
      <c r="B638" s="30" t="s">
        <v>2294</v>
      </c>
      <c r="C638" s="36"/>
      <c r="D638" s="36"/>
      <c r="F638" s="1" t="s">
        <v>1322</v>
      </c>
      <c r="G638" s="30" t="s">
        <v>2570</v>
      </c>
      <c r="K638" s="1" t="s">
        <v>2588</v>
      </c>
      <c r="L638" s="1" t="s">
        <v>1279</v>
      </c>
      <c r="M638" s="36" t="s">
        <v>2014</v>
      </c>
      <c r="N638" s="1" t="s">
        <v>1754</v>
      </c>
      <c r="O638" s="1" t="s">
        <v>1286</v>
      </c>
      <c r="P638" s="34" t="str">
        <f t="shared" si="12"/>
        <v>F010</v>
      </c>
      <c r="Q638" s="1" t="s">
        <v>138</v>
      </c>
      <c r="S638" s="16">
        <v>20</v>
      </c>
      <c r="T638" s="1" t="s">
        <v>2299</v>
      </c>
      <c r="U638" s="1" t="s">
        <v>1334</v>
      </c>
      <c r="V638" s="1" t="s">
        <v>1377</v>
      </c>
      <c r="Y638" s="1">
        <v>4712.2</v>
      </c>
      <c r="AB638" s="1">
        <v>2735.7</v>
      </c>
    </row>
    <row r="639" spans="2:28" x14ac:dyDescent="0.2">
      <c r="B639" s="30" t="s">
        <v>2294</v>
      </c>
      <c r="C639" s="36"/>
      <c r="D639" s="36"/>
      <c r="F639" s="1" t="s">
        <v>1322</v>
      </c>
      <c r="G639" s="30" t="s">
        <v>2570</v>
      </c>
      <c r="K639" s="1" t="s">
        <v>2589</v>
      </c>
      <c r="L639" s="1" t="s">
        <v>1279</v>
      </c>
      <c r="M639" s="36" t="s">
        <v>2014</v>
      </c>
      <c r="N639" s="1" t="s">
        <v>1754</v>
      </c>
      <c r="O639" s="1" t="s">
        <v>1286</v>
      </c>
      <c r="P639" s="34" t="str">
        <f t="shared" si="12"/>
        <v>F010</v>
      </c>
      <c r="Q639" s="1" t="s">
        <v>138</v>
      </c>
      <c r="S639" s="16">
        <v>20</v>
      </c>
      <c r="T639" s="1" t="s">
        <v>2299</v>
      </c>
      <c r="U639" s="1" t="s">
        <v>1334</v>
      </c>
      <c r="V639" s="1" t="s">
        <v>1377</v>
      </c>
      <c r="Y639" s="1">
        <v>4712.2</v>
      </c>
      <c r="AB639" s="1">
        <v>2735.7</v>
      </c>
    </row>
    <row r="640" spans="2:28" x14ac:dyDescent="0.2">
      <c r="B640" s="30" t="s">
        <v>2294</v>
      </c>
      <c r="C640" s="36"/>
      <c r="D640" s="36"/>
      <c r="F640" s="1" t="s">
        <v>1322</v>
      </c>
      <c r="G640" s="30" t="s">
        <v>2570</v>
      </c>
      <c r="K640" s="1" t="s">
        <v>2590</v>
      </c>
      <c r="L640" s="1" t="s">
        <v>1279</v>
      </c>
      <c r="M640" s="36" t="s">
        <v>2014</v>
      </c>
      <c r="N640" s="1" t="s">
        <v>1715</v>
      </c>
      <c r="O640" s="1" t="s">
        <v>1286</v>
      </c>
      <c r="P640" s="34" t="str">
        <f t="shared" si="12"/>
        <v>F010</v>
      </c>
      <c r="Q640" s="1" t="s">
        <v>138</v>
      </c>
      <c r="S640" s="16">
        <v>20</v>
      </c>
      <c r="T640" s="1" t="s">
        <v>2299</v>
      </c>
      <c r="U640" s="1" t="s">
        <v>1334</v>
      </c>
      <c r="V640" s="1" t="s">
        <v>1377</v>
      </c>
      <c r="Y640" s="1">
        <v>4712.2</v>
      </c>
      <c r="AB640" s="1">
        <v>2735.7</v>
      </c>
    </row>
    <row r="641" spans="2:28" x14ac:dyDescent="0.2">
      <c r="B641" s="30" t="s">
        <v>2294</v>
      </c>
      <c r="C641" s="36"/>
      <c r="D641" s="36"/>
      <c r="F641" s="1" t="s">
        <v>1322</v>
      </c>
      <c r="G641" s="30" t="s">
        <v>2570</v>
      </c>
      <c r="K641" s="1" t="s">
        <v>2591</v>
      </c>
      <c r="L641" s="1" t="s">
        <v>1279</v>
      </c>
      <c r="M641" s="36" t="s">
        <v>2014</v>
      </c>
      <c r="N641" s="1" t="s">
        <v>1287</v>
      </c>
      <c r="O641" s="1" t="s">
        <v>1286</v>
      </c>
      <c r="P641" s="34" t="str">
        <f t="shared" si="12"/>
        <v>F010</v>
      </c>
      <c r="Q641" s="1" t="s">
        <v>138</v>
      </c>
      <c r="S641" s="16">
        <v>20</v>
      </c>
      <c r="T641" s="1" t="s">
        <v>2299</v>
      </c>
      <c r="U641" s="1" t="s">
        <v>1334</v>
      </c>
      <c r="V641" s="1" t="s">
        <v>1377</v>
      </c>
      <c r="Y641" s="1">
        <v>4712.2</v>
      </c>
      <c r="AB641" s="1">
        <v>2735.7</v>
      </c>
    </row>
    <row r="642" spans="2:28" x14ac:dyDescent="0.2">
      <c r="B642" s="30" t="s">
        <v>2294</v>
      </c>
      <c r="C642" s="36"/>
      <c r="D642" s="36"/>
      <c r="F642" s="1" t="s">
        <v>1322</v>
      </c>
      <c r="G642" s="30" t="s">
        <v>2570</v>
      </c>
      <c r="K642" s="1" t="s">
        <v>2592</v>
      </c>
      <c r="L642" s="1" t="s">
        <v>1279</v>
      </c>
      <c r="M642" s="36" t="s">
        <v>2014</v>
      </c>
      <c r="N642" s="1" t="s">
        <v>1708</v>
      </c>
      <c r="O642" s="1" t="s">
        <v>1286</v>
      </c>
      <c r="P642" s="34" t="str">
        <f t="shared" si="12"/>
        <v>F010</v>
      </c>
      <c r="Q642" s="1" t="s">
        <v>138</v>
      </c>
      <c r="S642" s="16">
        <v>20</v>
      </c>
      <c r="T642" s="1" t="s">
        <v>2299</v>
      </c>
      <c r="U642" s="1" t="s">
        <v>1334</v>
      </c>
      <c r="V642" s="1" t="s">
        <v>1377</v>
      </c>
      <c r="Y642" s="1">
        <v>4712.2</v>
      </c>
      <c r="AB642" s="1">
        <v>2735.7</v>
      </c>
    </row>
    <row r="643" spans="2:28" x14ac:dyDescent="0.2">
      <c r="B643" s="30" t="s">
        <v>2294</v>
      </c>
      <c r="C643" s="36"/>
      <c r="D643" s="36"/>
      <c r="F643" s="1" t="s">
        <v>1322</v>
      </c>
      <c r="G643" s="30" t="s">
        <v>2570</v>
      </c>
      <c r="K643" s="1" t="s">
        <v>2593</v>
      </c>
      <c r="L643" s="1" t="s">
        <v>1279</v>
      </c>
      <c r="M643" s="36" t="s">
        <v>2014</v>
      </c>
      <c r="N643" s="1" t="s">
        <v>1833</v>
      </c>
      <c r="O643" s="1" t="s">
        <v>1286</v>
      </c>
      <c r="P643" s="34" t="str">
        <f t="shared" si="12"/>
        <v>F010</v>
      </c>
      <c r="Q643" s="1" t="s">
        <v>138</v>
      </c>
      <c r="S643" s="16">
        <v>20</v>
      </c>
      <c r="T643" s="1" t="s">
        <v>2299</v>
      </c>
      <c r="U643" s="1" t="s">
        <v>1334</v>
      </c>
      <c r="V643" s="1" t="s">
        <v>1377</v>
      </c>
      <c r="Y643" s="1">
        <v>4712.2</v>
      </c>
      <c r="AB643" s="1">
        <v>2735.7</v>
      </c>
    </row>
    <row r="644" spans="2:28" x14ac:dyDescent="0.2">
      <c r="B644" s="30" t="s">
        <v>2294</v>
      </c>
      <c r="C644" s="36"/>
      <c r="D644" s="36"/>
      <c r="F644" s="1" t="s">
        <v>1322</v>
      </c>
      <c r="G644" s="30" t="s">
        <v>2570</v>
      </c>
      <c r="K644" s="1" t="s">
        <v>2594</v>
      </c>
      <c r="L644" s="1" t="s">
        <v>1279</v>
      </c>
      <c r="M644" s="36" t="s">
        <v>2014</v>
      </c>
      <c r="N644" s="1" t="s">
        <v>1642</v>
      </c>
      <c r="O644" s="1" t="s">
        <v>1286</v>
      </c>
      <c r="P644" s="34" t="str">
        <f t="shared" si="12"/>
        <v>F010</v>
      </c>
      <c r="Q644" s="1" t="s">
        <v>138</v>
      </c>
      <c r="S644" s="16">
        <v>20</v>
      </c>
      <c r="T644" s="1" t="s">
        <v>2299</v>
      </c>
      <c r="U644" s="1" t="s">
        <v>1334</v>
      </c>
      <c r="V644" s="1" t="s">
        <v>1377</v>
      </c>
      <c r="Y644" s="1">
        <v>4712.2</v>
      </c>
      <c r="AB644" s="1">
        <v>2735.7</v>
      </c>
    </row>
    <row r="645" spans="2:28" x14ac:dyDescent="0.2">
      <c r="B645" s="30" t="s">
        <v>2294</v>
      </c>
      <c r="C645" s="36"/>
      <c r="D645" s="36"/>
      <c r="F645" s="1" t="s">
        <v>1322</v>
      </c>
      <c r="G645" s="30" t="s">
        <v>2570</v>
      </c>
      <c r="K645" s="1" t="s">
        <v>2595</v>
      </c>
      <c r="L645" s="1" t="s">
        <v>1279</v>
      </c>
      <c r="M645" s="36" t="s">
        <v>2014</v>
      </c>
      <c r="N645" s="1" t="s">
        <v>1708</v>
      </c>
      <c r="O645" s="1" t="s">
        <v>1286</v>
      </c>
      <c r="P645" s="34" t="str">
        <f t="shared" si="12"/>
        <v>F010</v>
      </c>
      <c r="Q645" s="1" t="s">
        <v>138</v>
      </c>
      <c r="S645" s="16">
        <v>20</v>
      </c>
      <c r="T645" s="1" t="s">
        <v>2299</v>
      </c>
      <c r="U645" s="1" t="s">
        <v>1334</v>
      </c>
      <c r="V645" s="1" t="s">
        <v>1377</v>
      </c>
      <c r="Y645" s="1">
        <v>4712.2</v>
      </c>
      <c r="AB645" s="1">
        <v>2735.7</v>
      </c>
    </row>
    <row r="646" spans="2:28" x14ac:dyDescent="0.2">
      <c r="B646" s="30" t="s">
        <v>2294</v>
      </c>
      <c r="C646" s="36"/>
      <c r="D646" s="36"/>
      <c r="F646" s="1" t="s">
        <v>1322</v>
      </c>
      <c r="G646" s="30" t="s">
        <v>2570</v>
      </c>
      <c r="K646" s="1" t="s">
        <v>2596</v>
      </c>
      <c r="L646" s="1" t="s">
        <v>1279</v>
      </c>
      <c r="M646" s="36" t="s">
        <v>2014</v>
      </c>
      <c r="N646" s="1" t="s">
        <v>1556</v>
      </c>
      <c r="O646" s="1" t="s">
        <v>1286</v>
      </c>
      <c r="P646" s="34" t="str">
        <f t="shared" si="12"/>
        <v>F010</v>
      </c>
      <c r="Q646" s="1" t="s">
        <v>138</v>
      </c>
      <c r="S646" s="16">
        <v>20</v>
      </c>
      <c r="T646" s="1" t="s">
        <v>2299</v>
      </c>
      <c r="U646" s="1" t="s">
        <v>1334</v>
      </c>
      <c r="V646" s="1" t="s">
        <v>1377</v>
      </c>
      <c r="Y646" s="1">
        <v>4712.2</v>
      </c>
      <c r="AB646" s="1">
        <v>2735.7</v>
      </c>
    </row>
    <row r="647" spans="2:28" x14ac:dyDescent="0.2">
      <c r="B647" s="30" t="s">
        <v>2294</v>
      </c>
      <c r="C647" s="36"/>
      <c r="D647" s="36"/>
      <c r="F647" s="1" t="s">
        <v>1322</v>
      </c>
      <c r="G647" s="30" t="s">
        <v>2570</v>
      </c>
      <c r="K647" s="1" t="s">
        <v>2597</v>
      </c>
      <c r="L647" s="1" t="s">
        <v>1279</v>
      </c>
      <c r="M647" s="36" t="s">
        <v>2014</v>
      </c>
      <c r="N647" s="1" t="s">
        <v>2598</v>
      </c>
      <c r="O647" s="1" t="s">
        <v>1286</v>
      </c>
      <c r="P647" s="34" t="str">
        <f t="shared" ref="P647:P710" si="13">+LEFT(Q647,4)</f>
        <v>F010</v>
      </c>
      <c r="Q647" s="1" t="s">
        <v>138</v>
      </c>
      <c r="S647" s="16">
        <v>20</v>
      </c>
      <c r="T647" s="1" t="s">
        <v>2299</v>
      </c>
      <c r="U647" s="1" t="s">
        <v>1334</v>
      </c>
      <c r="V647" s="1" t="s">
        <v>1377</v>
      </c>
      <c r="Y647" s="1">
        <v>4712.2</v>
      </c>
      <c r="AB647" s="1">
        <v>2735.7</v>
      </c>
    </row>
    <row r="648" spans="2:28" x14ac:dyDescent="0.2">
      <c r="B648" s="30" t="s">
        <v>2294</v>
      </c>
      <c r="C648" s="36"/>
      <c r="D648" s="36"/>
      <c r="F648" s="1" t="s">
        <v>1322</v>
      </c>
      <c r="G648" s="30" t="s">
        <v>2570</v>
      </c>
      <c r="K648" s="1" t="s">
        <v>2599</v>
      </c>
      <c r="L648" s="1" t="s">
        <v>1279</v>
      </c>
      <c r="M648" s="36" t="s">
        <v>2014</v>
      </c>
      <c r="N648" s="1" t="s">
        <v>1715</v>
      </c>
      <c r="O648" s="1" t="s">
        <v>1286</v>
      </c>
      <c r="P648" s="34" t="str">
        <f t="shared" si="13"/>
        <v>F010</v>
      </c>
      <c r="Q648" s="1" t="s">
        <v>138</v>
      </c>
      <c r="S648" s="16">
        <v>20</v>
      </c>
      <c r="T648" s="1" t="s">
        <v>2299</v>
      </c>
      <c r="U648" s="1" t="s">
        <v>1334</v>
      </c>
      <c r="V648" s="1" t="s">
        <v>1377</v>
      </c>
      <c r="Y648" s="1">
        <v>4712.2</v>
      </c>
      <c r="AB648" s="1">
        <v>2735.7</v>
      </c>
    </row>
    <row r="649" spans="2:28" x14ac:dyDescent="0.2">
      <c r="B649" s="30" t="s">
        <v>2294</v>
      </c>
      <c r="C649" s="36"/>
      <c r="D649" s="36"/>
      <c r="F649" s="1" t="s">
        <v>1322</v>
      </c>
      <c r="G649" s="30" t="s">
        <v>2570</v>
      </c>
      <c r="K649" s="1" t="s">
        <v>2600</v>
      </c>
      <c r="L649" s="1" t="s">
        <v>1279</v>
      </c>
      <c r="M649" s="36" t="s">
        <v>2014</v>
      </c>
      <c r="N649" s="1" t="s">
        <v>2601</v>
      </c>
      <c r="O649" s="1" t="s">
        <v>1286</v>
      </c>
      <c r="P649" s="34" t="str">
        <f t="shared" si="13"/>
        <v>F010</v>
      </c>
      <c r="Q649" s="1" t="s">
        <v>138</v>
      </c>
      <c r="S649" s="16">
        <v>20</v>
      </c>
      <c r="T649" s="1" t="s">
        <v>2299</v>
      </c>
      <c r="U649" s="1" t="s">
        <v>1334</v>
      </c>
      <c r="V649" s="1" t="s">
        <v>1377</v>
      </c>
      <c r="Y649" s="1">
        <v>4712.2</v>
      </c>
      <c r="AB649" s="1">
        <v>2735.7</v>
      </c>
    </row>
    <row r="650" spans="2:28" x14ac:dyDescent="0.2">
      <c r="B650" s="30" t="s">
        <v>2294</v>
      </c>
      <c r="C650" s="36"/>
      <c r="D650" s="36"/>
      <c r="F650" s="1" t="s">
        <v>1322</v>
      </c>
      <c r="G650" s="30" t="s">
        <v>2570</v>
      </c>
      <c r="K650" s="1" t="s">
        <v>2602</v>
      </c>
      <c r="L650" s="1" t="s">
        <v>1279</v>
      </c>
      <c r="M650" s="36" t="s">
        <v>2014</v>
      </c>
      <c r="N650" s="1" t="s">
        <v>1833</v>
      </c>
      <c r="O650" s="1" t="s">
        <v>1286</v>
      </c>
      <c r="P650" s="34" t="str">
        <f t="shared" si="13"/>
        <v>F010</v>
      </c>
      <c r="Q650" s="1" t="s">
        <v>138</v>
      </c>
      <c r="S650" s="16">
        <v>20</v>
      </c>
      <c r="T650" s="1" t="s">
        <v>2299</v>
      </c>
      <c r="U650" s="1" t="s">
        <v>1334</v>
      </c>
      <c r="V650" s="1" t="s">
        <v>1377</v>
      </c>
      <c r="Y650" s="1">
        <v>4712.2</v>
      </c>
      <c r="AB650" s="1">
        <v>2735.7</v>
      </c>
    </row>
    <row r="651" spans="2:28" x14ac:dyDescent="0.2">
      <c r="B651" s="30" t="s">
        <v>2294</v>
      </c>
      <c r="C651" s="36"/>
      <c r="D651" s="36"/>
      <c r="F651" s="1" t="s">
        <v>1322</v>
      </c>
      <c r="G651" s="30" t="s">
        <v>2570</v>
      </c>
      <c r="K651" s="1" t="s">
        <v>2603</v>
      </c>
      <c r="L651" s="1" t="s">
        <v>1279</v>
      </c>
      <c r="M651" s="36" t="s">
        <v>2014</v>
      </c>
      <c r="N651" s="1" t="s">
        <v>1715</v>
      </c>
      <c r="O651" s="1" t="s">
        <v>1286</v>
      </c>
      <c r="P651" s="34" t="str">
        <f t="shared" si="13"/>
        <v>F010</v>
      </c>
      <c r="Q651" s="1" t="s">
        <v>138</v>
      </c>
      <c r="S651" s="16">
        <v>20</v>
      </c>
      <c r="T651" s="1" t="s">
        <v>2299</v>
      </c>
      <c r="U651" s="1" t="s">
        <v>1334</v>
      </c>
      <c r="V651" s="1" t="s">
        <v>1377</v>
      </c>
      <c r="Y651" s="1">
        <v>4712.2</v>
      </c>
      <c r="AB651" s="1">
        <v>2735.7</v>
      </c>
    </row>
    <row r="652" spans="2:28" x14ac:dyDescent="0.2">
      <c r="B652" s="30" t="s">
        <v>2294</v>
      </c>
      <c r="C652" s="36"/>
      <c r="D652" s="36"/>
      <c r="F652" s="1" t="s">
        <v>1322</v>
      </c>
      <c r="G652" s="30" t="s">
        <v>2570</v>
      </c>
      <c r="K652" s="1" t="s">
        <v>2604</v>
      </c>
      <c r="L652" s="1" t="s">
        <v>1279</v>
      </c>
      <c r="M652" s="36" t="s">
        <v>2014</v>
      </c>
      <c r="N652" s="1" t="s">
        <v>1833</v>
      </c>
      <c r="O652" s="1" t="s">
        <v>1286</v>
      </c>
      <c r="P652" s="34" t="str">
        <f t="shared" si="13"/>
        <v>F010</v>
      </c>
      <c r="Q652" s="1" t="s">
        <v>138</v>
      </c>
      <c r="S652" s="16">
        <v>20</v>
      </c>
      <c r="T652" s="1" t="s">
        <v>2299</v>
      </c>
      <c r="U652" s="1" t="s">
        <v>1334</v>
      </c>
      <c r="V652" s="1" t="s">
        <v>1377</v>
      </c>
      <c r="Y652" s="1">
        <v>4712.2</v>
      </c>
      <c r="AB652" s="1">
        <v>2735.7</v>
      </c>
    </row>
    <row r="653" spans="2:28" x14ac:dyDescent="0.2">
      <c r="B653" s="30" t="s">
        <v>2294</v>
      </c>
      <c r="C653" s="36"/>
      <c r="D653" s="36"/>
      <c r="F653" s="1" t="s">
        <v>1322</v>
      </c>
      <c r="G653" s="30" t="s">
        <v>2570</v>
      </c>
      <c r="K653" s="1" t="s">
        <v>2605</v>
      </c>
      <c r="L653" s="1" t="s">
        <v>1279</v>
      </c>
      <c r="M653" s="36" t="s">
        <v>2014</v>
      </c>
      <c r="N653" s="1" t="s">
        <v>1556</v>
      </c>
      <c r="O653" s="1" t="s">
        <v>1286</v>
      </c>
      <c r="P653" s="34" t="str">
        <f t="shared" si="13"/>
        <v>F010</v>
      </c>
      <c r="Q653" s="1" t="s">
        <v>138</v>
      </c>
      <c r="S653" s="16">
        <v>20</v>
      </c>
      <c r="T653" s="1" t="s">
        <v>2299</v>
      </c>
      <c r="U653" s="1" t="s">
        <v>1334</v>
      </c>
      <c r="V653" s="1" t="s">
        <v>1377</v>
      </c>
      <c r="Y653" s="1">
        <v>4712.2</v>
      </c>
      <c r="AB653" s="1">
        <v>2735.7</v>
      </c>
    </row>
    <row r="654" spans="2:28" x14ac:dyDescent="0.2">
      <c r="B654" s="30" t="s">
        <v>2294</v>
      </c>
      <c r="C654" s="36"/>
      <c r="D654" s="36"/>
      <c r="F654" s="1" t="s">
        <v>1322</v>
      </c>
      <c r="G654" s="30" t="s">
        <v>2570</v>
      </c>
      <c r="K654" s="1" t="s">
        <v>2606</v>
      </c>
      <c r="L654" s="1" t="s">
        <v>1279</v>
      </c>
      <c r="M654" s="36" t="s">
        <v>2014</v>
      </c>
      <c r="N654" s="1" t="s">
        <v>1284</v>
      </c>
      <c r="O654" s="1" t="s">
        <v>1286</v>
      </c>
      <c r="P654" s="34" t="str">
        <f t="shared" si="13"/>
        <v>F010</v>
      </c>
      <c r="Q654" s="1" t="s">
        <v>138</v>
      </c>
      <c r="S654" s="16">
        <v>20</v>
      </c>
      <c r="T654" s="1" t="s">
        <v>2299</v>
      </c>
      <c r="U654" s="1" t="s">
        <v>1334</v>
      </c>
      <c r="V654" s="1" t="s">
        <v>1377</v>
      </c>
      <c r="Y654" s="1">
        <v>9591.2199999999993</v>
      </c>
      <c r="AB654" s="1">
        <v>5717.36</v>
      </c>
    </row>
    <row r="655" spans="2:28" x14ac:dyDescent="0.2">
      <c r="B655" s="30" t="s">
        <v>2294</v>
      </c>
      <c r="C655" s="36"/>
      <c r="D655" s="36"/>
      <c r="F655" s="1" t="s">
        <v>1322</v>
      </c>
      <c r="G655" s="30" t="s">
        <v>2570</v>
      </c>
      <c r="K655" s="1" t="s">
        <v>2607</v>
      </c>
      <c r="L655" s="1" t="s">
        <v>1279</v>
      </c>
      <c r="M655" s="36" t="s">
        <v>2014</v>
      </c>
      <c r="N655" s="1" t="s">
        <v>1788</v>
      </c>
      <c r="O655" s="1" t="s">
        <v>1286</v>
      </c>
      <c r="P655" s="34" t="str">
        <f t="shared" si="13"/>
        <v>F010</v>
      </c>
      <c r="Q655" s="1" t="s">
        <v>138</v>
      </c>
      <c r="S655" s="16">
        <v>20</v>
      </c>
      <c r="T655" s="1" t="s">
        <v>2299</v>
      </c>
      <c r="U655" s="1" t="s">
        <v>1334</v>
      </c>
      <c r="V655" s="1" t="s">
        <v>1377</v>
      </c>
      <c r="Y655" s="1">
        <v>4712.2</v>
      </c>
      <c r="AB655" s="1">
        <v>2735.7</v>
      </c>
    </row>
    <row r="656" spans="2:28" x14ac:dyDescent="0.2">
      <c r="B656" s="30" t="s">
        <v>2294</v>
      </c>
      <c r="C656" s="36"/>
      <c r="D656" s="36"/>
      <c r="F656" s="1" t="s">
        <v>1322</v>
      </c>
      <c r="G656" s="30" t="s">
        <v>2570</v>
      </c>
      <c r="K656" s="1" t="s">
        <v>2608</v>
      </c>
      <c r="L656" s="1" t="s">
        <v>1279</v>
      </c>
      <c r="M656" s="36" t="s">
        <v>2014</v>
      </c>
      <c r="N656" s="1" t="s">
        <v>2497</v>
      </c>
      <c r="O656" s="1" t="s">
        <v>1286</v>
      </c>
      <c r="P656" s="34" t="str">
        <f t="shared" si="13"/>
        <v>F010</v>
      </c>
      <c r="Q656" s="1" t="s">
        <v>138</v>
      </c>
      <c r="S656" s="16">
        <v>20</v>
      </c>
      <c r="T656" s="1" t="s">
        <v>2299</v>
      </c>
      <c r="U656" s="1" t="s">
        <v>1334</v>
      </c>
      <c r="V656" s="1" t="s">
        <v>1377</v>
      </c>
      <c r="Y656" s="1">
        <v>4712.2</v>
      </c>
      <c r="AB656" s="1">
        <v>2735.7</v>
      </c>
    </row>
    <row r="657" spans="2:28" x14ac:dyDescent="0.2">
      <c r="B657" s="30" t="s">
        <v>2294</v>
      </c>
      <c r="C657" s="36"/>
      <c r="D657" s="36"/>
      <c r="F657" s="1" t="s">
        <v>1322</v>
      </c>
      <c r="G657" s="30" t="s">
        <v>2570</v>
      </c>
      <c r="K657" s="1" t="s">
        <v>2609</v>
      </c>
      <c r="L657" s="1" t="s">
        <v>1279</v>
      </c>
      <c r="M657" s="36" t="s">
        <v>2014</v>
      </c>
      <c r="N657" s="1" t="s">
        <v>1630</v>
      </c>
      <c r="O657" s="1" t="s">
        <v>1286</v>
      </c>
      <c r="P657" s="34" t="str">
        <f t="shared" si="13"/>
        <v>F010</v>
      </c>
      <c r="Q657" s="1" t="s">
        <v>138</v>
      </c>
      <c r="S657" s="16">
        <v>20</v>
      </c>
      <c r="T657" s="1" t="s">
        <v>2299</v>
      </c>
      <c r="U657" s="1" t="s">
        <v>1334</v>
      </c>
      <c r="V657" s="1" t="s">
        <v>1377</v>
      </c>
      <c r="Y657" s="1">
        <v>4712.2</v>
      </c>
      <c r="AB657" s="1">
        <v>2735.7</v>
      </c>
    </row>
    <row r="658" spans="2:28" x14ac:dyDescent="0.2">
      <c r="B658" s="30" t="s">
        <v>2294</v>
      </c>
      <c r="C658" s="36"/>
      <c r="D658" s="36"/>
      <c r="F658" s="1" t="s">
        <v>1322</v>
      </c>
      <c r="G658" s="30" t="s">
        <v>2570</v>
      </c>
      <c r="K658" s="1" t="s">
        <v>2610</v>
      </c>
      <c r="L658" s="1" t="s">
        <v>1279</v>
      </c>
      <c r="M658" s="36" t="s">
        <v>2014</v>
      </c>
      <c r="N658" s="1" t="s">
        <v>2611</v>
      </c>
      <c r="O658" s="1" t="s">
        <v>1286</v>
      </c>
      <c r="P658" s="34" t="str">
        <f t="shared" si="13"/>
        <v>F010</v>
      </c>
      <c r="Q658" s="1" t="s">
        <v>138</v>
      </c>
      <c r="S658" s="16">
        <v>20</v>
      </c>
      <c r="T658" s="1" t="s">
        <v>2299</v>
      </c>
      <c r="U658" s="1" t="s">
        <v>1334</v>
      </c>
      <c r="V658" s="1" t="s">
        <v>1377</v>
      </c>
      <c r="Y658" s="1">
        <v>4712.2</v>
      </c>
      <c r="AB658" s="1">
        <v>2735.7</v>
      </c>
    </row>
    <row r="659" spans="2:28" x14ac:dyDescent="0.2">
      <c r="B659" s="30" t="s">
        <v>2294</v>
      </c>
      <c r="C659" s="36"/>
      <c r="D659" s="36"/>
      <c r="F659" s="1" t="s">
        <v>1322</v>
      </c>
      <c r="G659" s="30" t="s">
        <v>2570</v>
      </c>
      <c r="K659" s="1" t="s">
        <v>2612</v>
      </c>
      <c r="L659" s="1" t="s">
        <v>1279</v>
      </c>
      <c r="M659" s="36" t="s">
        <v>2014</v>
      </c>
      <c r="N659" s="1" t="s">
        <v>2611</v>
      </c>
      <c r="O659" s="1" t="s">
        <v>1286</v>
      </c>
      <c r="P659" s="34" t="str">
        <f t="shared" si="13"/>
        <v>F010</v>
      </c>
      <c r="Q659" s="1" t="s">
        <v>138</v>
      </c>
      <c r="S659" s="16">
        <v>20</v>
      </c>
      <c r="T659" s="1" t="s">
        <v>2299</v>
      </c>
      <c r="U659" s="1" t="s">
        <v>1334</v>
      </c>
      <c r="V659" s="1" t="s">
        <v>1377</v>
      </c>
      <c r="Y659" s="1">
        <v>4712.2</v>
      </c>
      <c r="AB659" s="1">
        <v>2735.7</v>
      </c>
    </row>
    <row r="660" spans="2:28" x14ac:dyDescent="0.2">
      <c r="B660" s="30" t="s">
        <v>2294</v>
      </c>
      <c r="C660" s="36"/>
      <c r="D660" s="36"/>
      <c r="F660" s="1" t="s">
        <v>1322</v>
      </c>
      <c r="G660" s="30" t="s">
        <v>2570</v>
      </c>
      <c r="K660" s="1" t="s">
        <v>2613</v>
      </c>
      <c r="L660" s="1" t="s">
        <v>1279</v>
      </c>
      <c r="M660" s="36" t="s">
        <v>2014</v>
      </c>
      <c r="N660" s="1" t="s">
        <v>1287</v>
      </c>
      <c r="O660" s="1" t="s">
        <v>1286</v>
      </c>
      <c r="P660" s="34" t="str">
        <f t="shared" si="13"/>
        <v>F010</v>
      </c>
      <c r="Q660" s="1" t="s">
        <v>138</v>
      </c>
      <c r="S660" s="16">
        <v>20</v>
      </c>
      <c r="T660" s="1" t="s">
        <v>2299</v>
      </c>
      <c r="U660" s="1" t="s">
        <v>1334</v>
      </c>
      <c r="V660" s="1" t="s">
        <v>1377</v>
      </c>
      <c r="Y660" s="1">
        <v>4712.2</v>
      </c>
      <c r="AB660" s="1">
        <v>2735.7</v>
      </c>
    </row>
    <row r="661" spans="2:28" x14ac:dyDescent="0.2">
      <c r="B661" s="30" t="s">
        <v>2294</v>
      </c>
      <c r="C661" s="36"/>
      <c r="D661" s="36"/>
      <c r="F661" s="1" t="s">
        <v>1322</v>
      </c>
      <c r="G661" s="30" t="s">
        <v>2570</v>
      </c>
      <c r="K661" s="1" t="s">
        <v>2614</v>
      </c>
      <c r="L661" s="1" t="s">
        <v>1279</v>
      </c>
      <c r="M661" s="36" t="s">
        <v>2014</v>
      </c>
      <c r="N661" s="1" t="s">
        <v>1287</v>
      </c>
      <c r="O661" s="1" t="s">
        <v>1286</v>
      </c>
      <c r="P661" s="34" t="str">
        <f t="shared" si="13"/>
        <v>F010</v>
      </c>
      <c r="Q661" s="1" t="s">
        <v>138</v>
      </c>
      <c r="S661" s="16">
        <v>20</v>
      </c>
      <c r="T661" s="1" t="s">
        <v>2299</v>
      </c>
      <c r="U661" s="1" t="s">
        <v>1334</v>
      </c>
      <c r="V661" s="1" t="s">
        <v>1377</v>
      </c>
      <c r="Y661" s="1">
        <v>4712.2</v>
      </c>
      <c r="AB661" s="1">
        <v>2735.7</v>
      </c>
    </row>
    <row r="662" spans="2:28" x14ac:dyDescent="0.2">
      <c r="B662" s="30" t="s">
        <v>2294</v>
      </c>
      <c r="C662" s="36"/>
      <c r="D662" s="36"/>
      <c r="F662" s="1" t="s">
        <v>1322</v>
      </c>
      <c r="G662" s="30" t="s">
        <v>2570</v>
      </c>
      <c r="K662" s="1" t="s">
        <v>2615</v>
      </c>
      <c r="L662" s="1" t="s">
        <v>1279</v>
      </c>
      <c r="M662" s="36" t="s">
        <v>2014</v>
      </c>
      <c r="N662" s="1" t="s">
        <v>2611</v>
      </c>
      <c r="O662" s="1" t="s">
        <v>1286</v>
      </c>
      <c r="P662" s="34" t="str">
        <f t="shared" si="13"/>
        <v>F010</v>
      </c>
      <c r="Q662" s="1" t="s">
        <v>138</v>
      </c>
      <c r="S662" s="16">
        <v>20</v>
      </c>
      <c r="T662" s="1" t="s">
        <v>2299</v>
      </c>
      <c r="U662" s="1" t="s">
        <v>1334</v>
      </c>
      <c r="V662" s="1" t="s">
        <v>1377</v>
      </c>
      <c r="Y662" s="1">
        <v>4712.2</v>
      </c>
      <c r="AB662" s="1">
        <v>2735.7</v>
      </c>
    </row>
    <row r="663" spans="2:28" x14ac:dyDescent="0.2">
      <c r="B663" s="30" t="s">
        <v>2294</v>
      </c>
      <c r="C663" s="36"/>
      <c r="D663" s="36"/>
      <c r="F663" s="1" t="s">
        <v>1322</v>
      </c>
      <c r="G663" s="30" t="s">
        <v>2570</v>
      </c>
      <c r="K663" s="1" t="s">
        <v>2616</v>
      </c>
      <c r="L663" s="1" t="s">
        <v>1279</v>
      </c>
      <c r="M663" s="36" t="s">
        <v>2014</v>
      </c>
      <c r="N663" s="1" t="s">
        <v>1287</v>
      </c>
      <c r="O663" s="1" t="s">
        <v>1286</v>
      </c>
      <c r="P663" s="34" t="str">
        <f t="shared" si="13"/>
        <v>F010</v>
      </c>
      <c r="Q663" s="1" t="s">
        <v>138</v>
      </c>
      <c r="S663" s="16">
        <v>20</v>
      </c>
      <c r="T663" s="1" t="s">
        <v>2299</v>
      </c>
      <c r="U663" s="1" t="s">
        <v>1334</v>
      </c>
      <c r="V663" s="1" t="s">
        <v>1377</v>
      </c>
      <c r="Y663" s="1">
        <v>4712.2</v>
      </c>
      <c r="AB663" s="1">
        <v>2735.7</v>
      </c>
    </row>
    <row r="664" spans="2:28" x14ac:dyDescent="0.2">
      <c r="B664" s="30" t="s">
        <v>2294</v>
      </c>
      <c r="C664" s="36"/>
      <c r="D664" s="36"/>
      <c r="F664" s="1" t="s">
        <v>1322</v>
      </c>
      <c r="G664" s="30" t="s">
        <v>2570</v>
      </c>
      <c r="K664" s="1" t="s">
        <v>2617</v>
      </c>
      <c r="L664" s="1" t="s">
        <v>1279</v>
      </c>
      <c r="M664" s="36" t="s">
        <v>2014</v>
      </c>
      <c r="N664" s="1" t="s">
        <v>2611</v>
      </c>
      <c r="O664" s="1" t="s">
        <v>1286</v>
      </c>
      <c r="P664" s="34" t="str">
        <f t="shared" si="13"/>
        <v>F010</v>
      </c>
      <c r="Q664" s="1" t="s">
        <v>138</v>
      </c>
      <c r="S664" s="16">
        <v>20</v>
      </c>
      <c r="T664" s="1" t="s">
        <v>2299</v>
      </c>
      <c r="U664" s="1" t="s">
        <v>1334</v>
      </c>
      <c r="V664" s="1" t="s">
        <v>1377</v>
      </c>
      <c r="Y664" s="1">
        <v>4712.2</v>
      </c>
      <c r="AB664" s="1">
        <v>2735.7</v>
      </c>
    </row>
    <row r="665" spans="2:28" x14ac:dyDescent="0.2">
      <c r="B665" s="30" t="s">
        <v>2294</v>
      </c>
      <c r="C665" s="36"/>
      <c r="D665" s="36"/>
      <c r="F665" s="1" t="s">
        <v>1322</v>
      </c>
      <c r="G665" s="30" t="s">
        <v>2570</v>
      </c>
      <c r="K665" s="1" t="s">
        <v>2618</v>
      </c>
      <c r="L665" s="1" t="s">
        <v>1279</v>
      </c>
      <c r="M665" s="36" t="s">
        <v>2014</v>
      </c>
      <c r="N665" s="1" t="s">
        <v>2611</v>
      </c>
      <c r="O665" s="1" t="s">
        <v>1286</v>
      </c>
      <c r="P665" s="34" t="str">
        <f t="shared" si="13"/>
        <v>F010</v>
      </c>
      <c r="Q665" s="1" t="s">
        <v>138</v>
      </c>
      <c r="S665" s="16">
        <v>20</v>
      </c>
      <c r="T665" s="1" t="s">
        <v>2299</v>
      </c>
      <c r="U665" s="1" t="s">
        <v>1334</v>
      </c>
      <c r="V665" s="1" t="s">
        <v>1377</v>
      </c>
      <c r="Y665" s="1">
        <v>4712.2</v>
      </c>
      <c r="AB665" s="1">
        <v>2735.7</v>
      </c>
    </row>
    <row r="666" spans="2:28" x14ac:dyDescent="0.2">
      <c r="B666" s="30" t="s">
        <v>2294</v>
      </c>
      <c r="C666" s="36"/>
      <c r="D666" s="36"/>
      <c r="F666" s="1" t="s">
        <v>1322</v>
      </c>
      <c r="G666" s="30" t="s">
        <v>2570</v>
      </c>
      <c r="K666" s="1" t="s">
        <v>2619</v>
      </c>
      <c r="L666" s="1" t="s">
        <v>1279</v>
      </c>
      <c r="M666" s="36" t="s">
        <v>2014</v>
      </c>
      <c r="N666" s="1" t="s">
        <v>1287</v>
      </c>
      <c r="O666" s="1" t="s">
        <v>1286</v>
      </c>
      <c r="P666" s="34" t="str">
        <f t="shared" si="13"/>
        <v>F010</v>
      </c>
      <c r="Q666" s="1" t="s">
        <v>138</v>
      </c>
      <c r="S666" s="16">
        <v>20</v>
      </c>
      <c r="T666" s="1" t="s">
        <v>2299</v>
      </c>
      <c r="U666" s="1" t="s">
        <v>1334</v>
      </c>
      <c r="V666" s="1" t="s">
        <v>1377</v>
      </c>
      <c r="Y666" s="1">
        <v>4712.2</v>
      </c>
      <c r="AB666" s="1">
        <v>2735.7</v>
      </c>
    </row>
    <row r="667" spans="2:28" x14ac:dyDescent="0.2">
      <c r="B667" s="30" t="s">
        <v>2294</v>
      </c>
      <c r="C667" s="36"/>
      <c r="D667" s="36"/>
      <c r="F667" s="1" t="s">
        <v>1322</v>
      </c>
      <c r="G667" s="30" t="s">
        <v>2570</v>
      </c>
      <c r="K667" s="1" t="s">
        <v>2620</v>
      </c>
      <c r="L667" s="1" t="s">
        <v>1279</v>
      </c>
      <c r="M667" s="36" t="s">
        <v>2014</v>
      </c>
      <c r="N667" s="1" t="s">
        <v>1287</v>
      </c>
      <c r="O667" s="1" t="s">
        <v>1286</v>
      </c>
      <c r="P667" s="34" t="str">
        <f t="shared" si="13"/>
        <v>F010</v>
      </c>
      <c r="Q667" s="1" t="s">
        <v>138</v>
      </c>
      <c r="S667" s="16">
        <v>20</v>
      </c>
      <c r="T667" s="1" t="s">
        <v>2299</v>
      </c>
      <c r="U667" s="1" t="s">
        <v>1334</v>
      </c>
      <c r="V667" s="1" t="s">
        <v>1377</v>
      </c>
      <c r="Y667" s="1">
        <v>4712.2</v>
      </c>
      <c r="AB667" s="1">
        <v>2735.7</v>
      </c>
    </row>
    <row r="668" spans="2:28" x14ac:dyDescent="0.2">
      <c r="B668" s="30" t="s">
        <v>2294</v>
      </c>
      <c r="C668" s="36"/>
      <c r="D668" s="36"/>
      <c r="F668" s="1" t="s">
        <v>1322</v>
      </c>
      <c r="G668" s="30" t="s">
        <v>2570</v>
      </c>
      <c r="K668" s="1" t="s">
        <v>2621</v>
      </c>
      <c r="L668" s="1" t="s">
        <v>1279</v>
      </c>
      <c r="M668" s="36" t="s">
        <v>2014</v>
      </c>
      <c r="N668" s="1" t="s">
        <v>1287</v>
      </c>
      <c r="O668" s="1" t="s">
        <v>1286</v>
      </c>
      <c r="P668" s="34" t="str">
        <f t="shared" si="13"/>
        <v>F010</v>
      </c>
      <c r="Q668" s="1" t="s">
        <v>138</v>
      </c>
      <c r="S668" s="16">
        <v>20</v>
      </c>
      <c r="T668" s="1" t="s">
        <v>2299</v>
      </c>
      <c r="U668" s="1" t="s">
        <v>1334</v>
      </c>
      <c r="V668" s="1" t="s">
        <v>1377</v>
      </c>
      <c r="Y668" s="1">
        <v>4712.2</v>
      </c>
      <c r="AB668" s="1">
        <v>2735.7</v>
      </c>
    </row>
    <row r="669" spans="2:28" x14ac:dyDescent="0.2">
      <c r="B669" s="30" t="s">
        <v>2294</v>
      </c>
      <c r="C669" s="36"/>
      <c r="D669" s="36"/>
      <c r="F669" s="1" t="s">
        <v>1322</v>
      </c>
      <c r="G669" s="30" t="s">
        <v>2570</v>
      </c>
      <c r="K669" s="1" t="s">
        <v>2622</v>
      </c>
      <c r="L669" s="1" t="s">
        <v>1279</v>
      </c>
      <c r="M669" s="36" t="s">
        <v>2014</v>
      </c>
      <c r="N669" s="1" t="s">
        <v>1286</v>
      </c>
      <c r="O669" s="1" t="s">
        <v>1286</v>
      </c>
      <c r="P669" s="34" t="str">
        <f t="shared" si="13"/>
        <v>F010</v>
      </c>
      <c r="Q669" s="1" t="s">
        <v>138</v>
      </c>
      <c r="S669" s="16">
        <v>20</v>
      </c>
      <c r="T669" s="1" t="s">
        <v>2299</v>
      </c>
      <c r="U669" s="1" t="s">
        <v>1334</v>
      </c>
      <c r="V669" s="1" t="s">
        <v>1377</v>
      </c>
      <c r="Y669" s="1">
        <v>4712.2</v>
      </c>
      <c r="AB669" s="1">
        <v>2735.7</v>
      </c>
    </row>
    <row r="670" spans="2:28" x14ac:dyDescent="0.2">
      <c r="B670" s="30" t="s">
        <v>2294</v>
      </c>
      <c r="C670" s="36"/>
      <c r="D670" s="36"/>
      <c r="F670" s="1" t="s">
        <v>1322</v>
      </c>
      <c r="G670" s="30" t="s">
        <v>2570</v>
      </c>
      <c r="K670" s="1" t="s">
        <v>2623</v>
      </c>
      <c r="L670" s="1" t="s">
        <v>1279</v>
      </c>
      <c r="M670" s="36" t="s">
        <v>2014</v>
      </c>
      <c r="N670" s="1" t="s">
        <v>2611</v>
      </c>
      <c r="O670" s="1" t="s">
        <v>1286</v>
      </c>
      <c r="P670" s="34" t="str">
        <f t="shared" si="13"/>
        <v>F010</v>
      </c>
      <c r="Q670" s="1" t="s">
        <v>138</v>
      </c>
      <c r="S670" s="16">
        <v>20</v>
      </c>
      <c r="T670" s="1" t="s">
        <v>2299</v>
      </c>
      <c r="U670" s="1" t="s">
        <v>1334</v>
      </c>
      <c r="V670" s="1" t="s">
        <v>1377</v>
      </c>
      <c r="Y670" s="1">
        <v>9424.4</v>
      </c>
      <c r="AB670" s="1">
        <v>5615.37</v>
      </c>
    </row>
    <row r="671" spans="2:28" x14ac:dyDescent="0.2">
      <c r="B671" s="30" t="s">
        <v>2294</v>
      </c>
      <c r="C671" s="36"/>
      <c r="D671" s="36"/>
      <c r="F671" s="1" t="s">
        <v>1322</v>
      </c>
      <c r="G671" s="30" t="s">
        <v>2570</v>
      </c>
      <c r="K671" s="1" t="s">
        <v>2624</v>
      </c>
      <c r="L671" s="1" t="s">
        <v>1279</v>
      </c>
      <c r="M671" s="36" t="s">
        <v>2014</v>
      </c>
      <c r="N671" s="1" t="s">
        <v>1287</v>
      </c>
      <c r="O671" s="1" t="s">
        <v>1286</v>
      </c>
      <c r="P671" s="34" t="str">
        <f t="shared" si="13"/>
        <v>F010</v>
      </c>
      <c r="Q671" s="1" t="s">
        <v>138</v>
      </c>
      <c r="S671" s="16">
        <v>20</v>
      </c>
      <c r="T671" s="1" t="s">
        <v>2299</v>
      </c>
      <c r="U671" s="1" t="s">
        <v>1334</v>
      </c>
      <c r="V671" s="1" t="s">
        <v>1377</v>
      </c>
      <c r="Y671" s="1">
        <v>4712.2</v>
      </c>
      <c r="AB671" s="1">
        <v>2735.7</v>
      </c>
    </row>
    <row r="672" spans="2:28" x14ac:dyDescent="0.2">
      <c r="B672" s="30" t="s">
        <v>2294</v>
      </c>
      <c r="C672" s="36"/>
      <c r="D672" s="36"/>
      <c r="F672" s="1" t="s">
        <v>1322</v>
      </c>
      <c r="G672" s="30" t="s">
        <v>2570</v>
      </c>
      <c r="K672" s="1" t="s">
        <v>2625</v>
      </c>
      <c r="L672" s="1" t="s">
        <v>1279</v>
      </c>
      <c r="M672" s="36" t="s">
        <v>2014</v>
      </c>
      <c r="N672" s="1" t="s">
        <v>1287</v>
      </c>
      <c r="O672" s="1" t="s">
        <v>1286</v>
      </c>
      <c r="P672" s="34" t="str">
        <f t="shared" si="13"/>
        <v>F010</v>
      </c>
      <c r="Q672" s="1" t="s">
        <v>138</v>
      </c>
      <c r="S672" s="16">
        <v>20</v>
      </c>
      <c r="T672" s="1" t="s">
        <v>2299</v>
      </c>
      <c r="U672" s="1" t="s">
        <v>1334</v>
      </c>
      <c r="V672" s="1" t="s">
        <v>1377</v>
      </c>
      <c r="Y672" s="1">
        <v>4712.2</v>
      </c>
      <c r="AB672" s="1">
        <v>2735.7</v>
      </c>
    </row>
    <row r="673" spans="2:28" x14ac:dyDescent="0.2">
      <c r="B673" s="30" t="s">
        <v>2294</v>
      </c>
      <c r="C673" s="36"/>
      <c r="D673" s="36"/>
      <c r="F673" s="1" t="s">
        <v>1322</v>
      </c>
      <c r="G673" s="30" t="s">
        <v>2570</v>
      </c>
      <c r="K673" s="1" t="s">
        <v>2626</v>
      </c>
      <c r="L673" s="1" t="s">
        <v>1279</v>
      </c>
      <c r="M673" s="36" t="s">
        <v>2014</v>
      </c>
      <c r="N673" s="1" t="s">
        <v>2611</v>
      </c>
      <c r="O673" s="1" t="s">
        <v>1286</v>
      </c>
      <c r="P673" s="34" t="str">
        <f t="shared" si="13"/>
        <v>F010</v>
      </c>
      <c r="Q673" s="1" t="s">
        <v>138</v>
      </c>
      <c r="S673" s="16">
        <v>20</v>
      </c>
      <c r="T673" s="1" t="s">
        <v>2299</v>
      </c>
      <c r="U673" s="1" t="s">
        <v>1334</v>
      </c>
      <c r="V673" s="1" t="s">
        <v>1377</v>
      </c>
      <c r="Y673" s="1">
        <v>4712.2</v>
      </c>
      <c r="AB673" s="1">
        <v>2735.7</v>
      </c>
    </row>
    <row r="674" spans="2:28" x14ac:dyDescent="0.2">
      <c r="B674" s="30" t="s">
        <v>2294</v>
      </c>
      <c r="C674" s="36"/>
      <c r="D674" s="36"/>
      <c r="F674" s="1" t="s">
        <v>1322</v>
      </c>
      <c r="G674" s="30" t="s">
        <v>2570</v>
      </c>
      <c r="K674" s="1" t="s">
        <v>2627</v>
      </c>
      <c r="L674" s="1" t="s">
        <v>1279</v>
      </c>
      <c r="M674" s="36" t="s">
        <v>2014</v>
      </c>
      <c r="N674" s="1" t="s">
        <v>2611</v>
      </c>
      <c r="O674" s="1" t="s">
        <v>1286</v>
      </c>
      <c r="P674" s="34" t="str">
        <f t="shared" si="13"/>
        <v>F010</v>
      </c>
      <c r="Q674" s="1" t="s">
        <v>138</v>
      </c>
      <c r="S674" s="16">
        <v>20</v>
      </c>
      <c r="T674" s="1" t="s">
        <v>2299</v>
      </c>
      <c r="U674" s="1" t="s">
        <v>1334</v>
      </c>
      <c r="V674" s="1" t="s">
        <v>1377</v>
      </c>
      <c r="Y674" s="1">
        <v>4712.2</v>
      </c>
      <c r="AB674" s="1">
        <v>2735.7</v>
      </c>
    </row>
    <row r="675" spans="2:28" x14ac:dyDescent="0.2">
      <c r="B675" s="30" t="s">
        <v>2294</v>
      </c>
      <c r="C675" s="36"/>
      <c r="D675" s="36"/>
      <c r="F675" s="1" t="s">
        <v>1322</v>
      </c>
      <c r="G675" s="30" t="s">
        <v>2570</v>
      </c>
      <c r="K675" s="1" t="s">
        <v>2628</v>
      </c>
      <c r="L675" s="1" t="s">
        <v>1279</v>
      </c>
      <c r="M675" s="36" t="s">
        <v>2014</v>
      </c>
      <c r="N675" s="1" t="s">
        <v>1287</v>
      </c>
      <c r="O675" s="1" t="s">
        <v>1286</v>
      </c>
      <c r="P675" s="34" t="str">
        <f t="shared" si="13"/>
        <v>F010</v>
      </c>
      <c r="Q675" s="1" t="s">
        <v>138</v>
      </c>
      <c r="S675" s="16">
        <v>20</v>
      </c>
      <c r="T675" s="1" t="s">
        <v>2299</v>
      </c>
      <c r="U675" s="1" t="s">
        <v>1334</v>
      </c>
      <c r="V675" s="1" t="s">
        <v>1377</v>
      </c>
      <c r="Y675" s="1">
        <v>4712.2</v>
      </c>
      <c r="AB675" s="1">
        <v>2735.7</v>
      </c>
    </row>
    <row r="676" spans="2:28" x14ac:dyDescent="0.2">
      <c r="B676" s="30" t="s">
        <v>2294</v>
      </c>
      <c r="C676" s="36"/>
      <c r="D676" s="36"/>
      <c r="F676" s="1" t="s">
        <v>1322</v>
      </c>
      <c r="G676" s="30" t="s">
        <v>2570</v>
      </c>
      <c r="K676" s="1" t="s">
        <v>2629</v>
      </c>
      <c r="L676" s="1" t="s">
        <v>1279</v>
      </c>
      <c r="M676" s="36" t="s">
        <v>2014</v>
      </c>
      <c r="N676" s="1" t="s">
        <v>1286</v>
      </c>
      <c r="O676" s="1" t="s">
        <v>1286</v>
      </c>
      <c r="P676" s="34" t="str">
        <f t="shared" si="13"/>
        <v>F010</v>
      </c>
      <c r="Q676" s="1" t="s">
        <v>138</v>
      </c>
      <c r="S676" s="16">
        <v>20</v>
      </c>
      <c r="T676" s="1" t="s">
        <v>2299</v>
      </c>
      <c r="U676" s="1" t="s">
        <v>1334</v>
      </c>
      <c r="V676" s="1" t="s">
        <v>1377</v>
      </c>
      <c r="Y676" s="1">
        <v>4712.2</v>
      </c>
      <c r="AB676" s="1">
        <v>2735.7</v>
      </c>
    </row>
    <row r="677" spans="2:28" x14ac:dyDescent="0.2">
      <c r="B677" s="30" t="s">
        <v>2294</v>
      </c>
      <c r="C677" s="36"/>
      <c r="D677" s="36"/>
      <c r="F677" s="1" t="s">
        <v>1322</v>
      </c>
      <c r="G677" s="30" t="s">
        <v>2570</v>
      </c>
      <c r="K677" s="1" t="s">
        <v>2630</v>
      </c>
      <c r="L677" s="1" t="s">
        <v>1279</v>
      </c>
      <c r="M677" s="36" t="s">
        <v>2014</v>
      </c>
      <c r="N677" s="1" t="s">
        <v>1286</v>
      </c>
      <c r="O677" s="1" t="s">
        <v>1286</v>
      </c>
      <c r="P677" s="34" t="str">
        <f t="shared" si="13"/>
        <v>F010</v>
      </c>
      <c r="Q677" s="1" t="s">
        <v>138</v>
      </c>
      <c r="S677" s="16">
        <v>20</v>
      </c>
      <c r="T677" s="1" t="s">
        <v>2299</v>
      </c>
      <c r="U677" s="1" t="s">
        <v>1334</v>
      </c>
      <c r="V677" s="1" t="s">
        <v>1377</v>
      </c>
      <c r="Y677" s="1">
        <v>4712.2</v>
      </c>
      <c r="AB677" s="1">
        <v>2735.7</v>
      </c>
    </row>
    <row r="678" spans="2:28" x14ac:dyDescent="0.2">
      <c r="B678" s="30" t="s">
        <v>2294</v>
      </c>
      <c r="C678" s="36"/>
      <c r="D678" s="36"/>
      <c r="F678" s="1" t="s">
        <v>1322</v>
      </c>
      <c r="G678" s="30" t="s">
        <v>2570</v>
      </c>
      <c r="K678" s="1" t="s">
        <v>2631</v>
      </c>
      <c r="L678" s="1" t="s">
        <v>1279</v>
      </c>
      <c r="M678" s="36" t="s">
        <v>2014</v>
      </c>
      <c r="N678" s="1" t="s">
        <v>1287</v>
      </c>
      <c r="O678" s="1" t="s">
        <v>1286</v>
      </c>
      <c r="P678" s="34" t="str">
        <f t="shared" si="13"/>
        <v>F010</v>
      </c>
      <c r="Q678" s="1" t="s">
        <v>138</v>
      </c>
      <c r="S678" s="16">
        <v>20</v>
      </c>
      <c r="T678" s="1" t="s">
        <v>2299</v>
      </c>
      <c r="U678" s="1" t="s">
        <v>1334</v>
      </c>
      <c r="V678" s="1" t="s">
        <v>1377</v>
      </c>
      <c r="Y678" s="1">
        <v>4712.2</v>
      </c>
      <c r="AB678" s="1">
        <v>2735.7</v>
      </c>
    </row>
    <row r="679" spans="2:28" x14ac:dyDescent="0.2">
      <c r="B679" s="30" t="s">
        <v>2294</v>
      </c>
      <c r="C679" s="36"/>
      <c r="D679" s="36"/>
      <c r="F679" s="1" t="s">
        <v>1322</v>
      </c>
      <c r="G679" s="30" t="s">
        <v>2570</v>
      </c>
      <c r="K679" s="1" t="s">
        <v>2632</v>
      </c>
      <c r="L679" s="1" t="s">
        <v>1279</v>
      </c>
      <c r="M679" s="36" t="s">
        <v>2014</v>
      </c>
      <c r="N679" s="1" t="s">
        <v>1287</v>
      </c>
      <c r="O679" s="1" t="s">
        <v>1286</v>
      </c>
      <c r="P679" s="34" t="str">
        <f t="shared" si="13"/>
        <v>F010</v>
      </c>
      <c r="Q679" s="1" t="s">
        <v>138</v>
      </c>
      <c r="S679" s="16">
        <v>20</v>
      </c>
      <c r="T679" s="1" t="s">
        <v>2299</v>
      </c>
      <c r="U679" s="1" t="s">
        <v>1334</v>
      </c>
      <c r="V679" s="1" t="s">
        <v>1377</v>
      </c>
      <c r="Y679" s="1">
        <v>4712.2</v>
      </c>
      <c r="AB679" s="1">
        <v>2735.7</v>
      </c>
    </row>
    <row r="680" spans="2:28" x14ac:dyDescent="0.2">
      <c r="B680" s="30" t="s">
        <v>2294</v>
      </c>
      <c r="C680" s="36"/>
      <c r="D680" s="36"/>
      <c r="F680" s="1" t="s">
        <v>1322</v>
      </c>
      <c r="G680" s="30" t="s">
        <v>2570</v>
      </c>
      <c r="K680" s="1" t="s">
        <v>2633</v>
      </c>
      <c r="L680" s="1" t="s">
        <v>1279</v>
      </c>
      <c r="M680" s="36" t="s">
        <v>2014</v>
      </c>
      <c r="N680" s="1" t="s">
        <v>2611</v>
      </c>
      <c r="O680" s="1" t="s">
        <v>1286</v>
      </c>
      <c r="P680" s="34" t="str">
        <f t="shared" si="13"/>
        <v>F010</v>
      </c>
      <c r="Q680" s="1" t="s">
        <v>138</v>
      </c>
      <c r="S680" s="16">
        <v>20</v>
      </c>
      <c r="T680" s="1" t="s">
        <v>2299</v>
      </c>
      <c r="U680" s="1" t="s">
        <v>1334</v>
      </c>
      <c r="V680" s="1" t="s">
        <v>1377</v>
      </c>
      <c r="Y680" s="1">
        <v>9424.4</v>
      </c>
      <c r="AB680" s="1">
        <v>5615.37</v>
      </c>
    </row>
    <row r="681" spans="2:28" x14ac:dyDescent="0.2">
      <c r="B681" s="30" t="s">
        <v>2294</v>
      </c>
      <c r="C681" s="36"/>
      <c r="D681" s="36"/>
      <c r="F681" s="1" t="s">
        <v>1322</v>
      </c>
      <c r="G681" s="30" t="s">
        <v>2570</v>
      </c>
      <c r="K681" s="1" t="s">
        <v>2634</v>
      </c>
      <c r="L681" s="1" t="s">
        <v>1279</v>
      </c>
      <c r="M681" s="36" t="s">
        <v>2014</v>
      </c>
      <c r="N681" s="1" t="s">
        <v>1287</v>
      </c>
      <c r="O681" s="1" t="s">
        <v>1286</v>
      </c>
      <c r="P681" s="34" t="str">
        <f t="shared" si="13"/>
        <v>F010</v>
      </c>
      <c r="Q681" s="1" t="s">
        <v>138</v>
      </c>
      <c r="S681" s="16">
        <v>20</v>
      </c>
      <c r="T681" s="1" t="s">
        <v>2299</v>
      </c>
      <c r="U681" s="1" t="s">
        <v>1334</v>
      </c>
      <c r="V681" s="1" t="s">
        <v>1377</v>
      </c>
      <c r="Y681" s="1">
        <v>4712.2</v>
      </c>
      <c r="AB681" s="1">
        <v>2735.7</v>
      </c>
    </row>
    <row r="682" spans="2:28" x14ac:dyDescent="0.2">
      <c r="B682" s="30" t="s">
        <v>2294</v>
      </c>
      <c r="C682" s="36"/>
      <c r="D682" s="36"/>
      <c r="F682" s="1" t="s">
        <v>1322</v>
      </c>
      <c r="G682" s="30" t="s">
        <v>2570</v>
      </c>
      <c r="K682" s="1" t="s">
        <v>2635</v>
      </c>
      <c r="L682" s="1" t="s">
        <v>1279</v>
      </c>
      <c r="M682" s="36" t="s">
        <v>2014</v>
      </c>
      <c r="N682" s="1" t="s">
        <v>2611</v>
      </c>
      <c r="O682" s="1" t="s">
        <v>1286</v>
      </c>
      <c r="P682" s="34" t="str">
        <f t="shared" si="13"/>
        <v>F010</v>
      </c>
      <c r="Q682" s="1" t="s">
        <v>138</v>
      </c>
      <c r="S682" s="16">
        <v>20</v>
      </c>
      <c r="T682" s="1" t="s">
        <v>2299</v>
      </c>
      <c r="U682" s="1" t="s">
        <v>1334</v>
      </c>
      <c r="V682" s="1" t="s">
        <v>1377</v>
      </c>
      <c r="Y682" s="1">
        <v>4712.2</v>
      </c>
      <c r="AB682" s="1">
        <v>2735.7</v>
      </c>
    </row>
    <row r="683" spans="2:28" x14ac:dyDescent="0.2">
      <c r="B683" s="30" t="s">
        <v>2294</v>
      </c>
      <c r="C683" s="36"/>
      <c r="D683" s="36"/>
      <c r="F683" s="1" t="s">
        <v>1322</v>
      </c>
      <c r="G683" s="30" t="s">
        <v>2570</v>
      </c>
      <c r="K683" s="1" t="s">
        <v>2636</v>
      </c>
      <c r="L683" s="1" t="s">
        <v>1279</v>
      </c>
      <c r="M683" s="36" t="s">
        <v>2014</v>
      </c>
      <c r="N683" s="1" t="s">
        <v>1287</v>
      </c>
      <c r="O683" s="1" t="s">
        <v>1286</v>
      </c>
      <c r="P683" s="34" t="str">
        <f t="shared" si="13"/>
        <v>F010</v>
      </c>
      <c r="Q683" s="1" t="s">
        <v>138</v>
      </c>
      <c r="S683" s="16">
        <v>20</v>
      </c>
      <c r="T683" s="1" t="s">
        <v>2299</v>
      </c>
      <c r="U683" s="1" t="s">
        <v>1334</v>
      </c>
      <c r="V683" s="1" t="s">
        <v>1377</v>
      </c>
      <c r="Y683" s="1">
        <v>4712.2</v>
      </c>
      <c r="AB683" s="1">
        <v>2735.7</v>
      </c>
    </row>
    <row r="684" spans="2:28" x14ac:dyDescent="0.2">
      <c r="B684" s="30" t="s">
        <v>2294</v>
      </c>
      <c r="C684" s="36"/>
      <c r="D684" s="36"/>
      <c r="F684" s="1" t="s">
        <v>1322</v>
      </c>
      <c r="G684" s="30" t="s">
        <v>2570</v>
      </c>
      <c r="K684" s="1" t="s">
        <v>2637</v>
      </c>
      <c r="L684" s="1" t="s">
        <v>1279</v>
      </c>
      <c r="M684" s="36" t="s">
        <v>2014</v>
      </c>
      <c r="N684" s="1" t="s">
        <v>1287</v>
      </c>
      <c r="O684" s="1" t="s">
        <v>1286</v>
      </c>
      <c r="P684" s="34" t="str">
        <f t="shared" si="13"/>
        <v>F010</v>
      </c>
      <c r="Q684" s="1" t="s">
        <v>138</v>
      </c>
      <c r="S684" s="16">
        <v>20</v>
      </c>
      <c r="T684" s="1" t="s">
        <v>2299</v>
      </c>
      <c r="U684" s="1" t="s">
        <v>1334</v>
      </c>
      <c r="V684" s="1" t="s">
        <v>1377</v>
      </c>
      <c r="Y684" s="1">
        <v>4712.2</v>
      </c>
      <c r="AB684" s="1">
        <v>2735.7</v>
      </c>
    </row>
    <row r="685" spans="2:28" x14ac:dyDescent="0.2">
      <c r="B685" s="30" t="s">
        <v>2294</v>
      </c>
      <c r="C685" s="36"/>
      <c r="D685" s="36"/>
      <c r="F685" s="1" t="s">
        <v>1322</v>
      </c>
      <c r="G685" s="30" t="s">
        <v>2570</v>
      </c>
      <c r="K685" s="1" t="s">
        <v>2638</v>
      </c>
      <c r="L685" s="1" t="s">
        <v>1279</v>
      </c>
      <c r="M685" s="36" t="s">
        <v>2014</v>
      </c>
      <c r="N685" s="1" t="s">
        <v>1287</v>
      </c>
      <c r="O685" s="1" t="s">
        <v>1286</v>
      </c>
      <c r="P685" s="34" t="str">
        <f t="shared" si="13"/>
        <v>F010</v>
      </c>
      <c r="Q685" s="1" t="s">
        <v>138</v>
      </c>
      <c r="S685" s="16">
        <v>20</v>
      </c>
      <c r="T685" s="1" t="s">
        <v>2299</v>
      </c>
      <c r="U685" s="1" t="s">
        <v>1334</v>
      </c>
      <c r="V685" s="1" t="s">
        <v>1377</v>
      </c>
      <c r="Y685" s="1">
        <v>4712.2</v>
      </c>
      <c r="AB685" s="1">
        <v>2735.7</v>
      </c>
    </row>
    <row r="686" spans="2:28" x14ac:dyDescent="0.2">
      <c r="B686" s="30" t="s">
        <v>2294</v>
      </c>
      <c r="C686" s="36"/>
      <c r="D686" s="36"/>
      <c r="F686" s="1" t="s">
        <v>1322</v>
      </c>
      <c r="G686" s="30" t="s">
        <v>2570</v>
      </c>
      <c r="K686" s="1" t="s">
        <v>2639</v>
      </c>
      <c r="L686" s="1" t="s">
        <v>1279</v>
      </c>
      <c r="M686" s="36" t="s">
        <v>2014</v>
      </c>
      <c r="N686" s="1" t="s">
        <v>1287</v>
      </c>
      <c r="O686" s="1" t="s">
        <v>1286</v>
      </c>
      <c r="P686" s="34" t="str">
        <f t="shared" si="13"/>
        <v>F010</v>
      </c>
      <c r="Q686" s="1" t="s">
        <v>138</v>
      </c>
      <c r="S686" s="16">
        <v>20</v>
      </c>
      <c r="T686" s="1" t="s">
        <v>2299</v>
      </c>
      <c r="U686" s="1" t="s">
        <v>1334</v>
      </c>
      <c r="V686" s="1" t="s">
        <v>1377</v>
      </c>
      <c r="Y686" s="1">
        <v>4712.2</v>
      </c>
      <c r="AB686" s="1">
        <v>2735.7</v>
      </c>
    </row>
    <row r="687" spans="2:28" x14ac:dyDescent="0.2">
      <c r="B687" s="30" t="s">
        <v>2294</v>
      </c>
      <c r="C687" s="36"/>
      <c r="D687" s="36"/>
      <c r="F687" s="1" t="s">
        <v>1322</v>
      </c>
      <c r="G687" s="30" t="s">
        <v>2570</v>
      </c>
      <c r="K687" s="1" t="s">
        <v>2640</v>
      </c>
      <c r="L687" s="1" t="s">
        <v>1279</v>
      </c>
      <c r="M687" s="36" t="s">
        <v>2014</v>
      </c>
      <c r="N687" s="1" t="s">
        <v>2611</v>
      </c>
      <c r="O687" s="1" t="s">
        <v>1286</v>
      </c>
      <c r="P687" s="34" t="str">
        <f t="shared" si="13"/>
        <v>F010</v>
      </c>
      <c r="Q687" s="1" t="s">
        <v>138</v>
      </c>
      <c r="S687" s="16">
        <v>20</v>
      </c>
      <c r="T687" s="1" t="s">
        <v>2299</v>
      </c>
      <c r="U687" s="1" t="s">
        <v>1334</v>
      </c>
      <c r="V687" s="1" t="s">
        <v>1377</v>
      </c>
      <c r="Y687" s="1">
        <v>4712.2</v>
      </c>
      <c r="AB687" s="1">
        <v>2735.7</v>
      </c>
    </row>
    <row r="688" spans="2:28" x14ac:dyDescent="0.2">
      <c r="B688" s="30" t="s">
        <v>2294</v>
      </c>
      <c r="C688" s="36"/>
      <c r="D688" s="36"/>
      <c r="F688" s="1" t="s">
        <v>1322</v>
      </c>
      <c r="G688" s="30" t="s">
        <v>2570</v>
      </c>
      <c r="K688" s="1" t="s">
        <v>2641</v>
      </c>
      <c r="L688" s="1" t="s">
        <v>1279</v>
      </c>
      <c r="M688" s="36" t="s">
        <v>2014</v>
      </c>
      <c r="N688" s="1" t="s">
        <v>2611</v>
      </c>
      <c r="O688" s="1" t="s">
        <v>1286</v>
      </c>
      <c r="P688" s="34" t="str">
        <f t="shared" si="13"/>
        <v>F010</v>
      </c>
      <c r="Q688" s="1" t="s">
        <v>138</v>
      </c>
      <c r="S688" s="16">
        <v>20</v>
      </c>
      <c r="T688" s="1" t="s">
        <v>2299</v>
      </c>
      <c r="U688" s="1" t="s">
        <v>1334</v>
      </c>
      <c r="V688" s="1" t="s">
        <v>1377</v>
      </c>
      <c r="Y688" s="1">
        <v>9424.4</v>
      </c>
      <c r="AB688" s="1">
        <v>5615.37</v>
      </c>
    </row>
    <row r="689" spans="2:28" x14ac:dyDescent="0.2">
      <c r="B689" s="30" t="s">
        <v>2294</v>
      </c>
      <c r="C689" s="36"/>
      <c r="D689" s="36"/>
      <c r="F689" s="1" t="s">
        <v>1322</v>
      </c>
      <c r="G689" s="30" t="s">
        <v>2570</v>
      </c>
      <c r="K689" s="1" t="s">
        <v>2642</v>
      </c>
      <c r="L689" s="1" t="s">
        <v>1279</v>
      </c>
      <c r="M689" s="36" t="s">
        <v>2014</v>
      </c>
      <c r="N689" s="1" t="s">
        <v>1287</v>
      </c>
      <c r="O689" s="1" t="s">
        <v>1286</v>
      </c>
      <c r="P689" s="34" t="str">
        <f t="shared" si="13"/>
        <v>F010</v>
      </c>
      <c r="Q689" s="1" t="s">
        <v>138</v>
      </c>
      <c r="S689" s="16">
        <v>20</v>
      </c>
      <c r="T689" s="1" t="s">
        <v>2299</v>
      </c>
      <c r="U689" s="1" t="s">
        <v>1334</v>
      </c>
      <c r="V689" s="1" t="s">
        <v>1377</v>
      </c>
      <c r="Y689" s="1">
        <v>4712.2</v>
      </c>
      <c r="AB689" s="1">
        <v>2735.7</v>
      </c>
    </row>
    <row r="690" spans="2:28" x14ac:dyDescent="0.2">
      <c r="B690" s="30" t="s">
        <v>2294</v>
      </c>
      <c r="C690" s="36"/>
      <c r="D690" s="36"/>
      <c r="F690" s="1" t="s">
        <v>1322</v>
      </c>
      <c r="G690" s="30" t="s">
        <v>2570</v>
      </c>
      <c r="K690" s="1" t="s">
        <v>2643</v>
      </c>
      <c r="L690" s="1" t="s">
        <v>1279</v>
      </c>
      <c r="M690" s="36" t="s">
        <v>2014</v>
      </c>
      <c r="N690" s="1" t="s">
        <v>1287</v>
      </c>
      <c r="O690" s="1" t="s">
        <v>1286</v>
      </c>
      <c r="P690" s="34" t="str">
        <f t="shared" si="13"/>
        <v>F010</v>
      </c>
      <c r="Q690" s="1" t="s">
        <v>138</v>
      </c>
      <c r="S690" s="16">
        <v>20</v>
      </c>
      <c r="T690" s="1" t="s">
        <v>2299</v>
      </c>
      <c r="U690" s="1" t="s">
        <v>1334</v>
      </c>
      <c r="V690" s="1" t="s">
        <v>1377</v>
      </c>
      <c r="Y690" s="1">
        <v>4712.2</v>
      </c>
      <c r="AB690" s="1">
        <v>2735.7</v>
      </c>
    </row>
    <row r="691" spans="2:28" x14ac:dyDescent="0.2">
      <c r="B691" s="30" t="s">
        <v>2294</v>
      </c>
      <c r="C691" s="36"/>
      <c r="D691" s="36"/>
      <c r="F691" s="1" t="s">
        <v>1322</v>
      </c>
      <c r="G691" s="30" t="s">
        <v>2570</v>
      </c>
      <c r="K691" s="1" t="s">
        <v>2644</v>
      </c>
      <c r="L691" s="1" t="s">
        <v>1279</v>
      </c>
      <c r="M691" s="36" t="s">
        <v>2014</v>
      </c>
      <c r="N691" s="1" t="s">
        <v>1286</v>
      </c>
      <c r="O691" s="1" t="s">
        <v>1286</v>
      </c>
      <c r="P691" s="34" t="str">
        <f t="shared" si="13"/>
        <v>F010</v>
      </c>
      <c r="Q691" s="1" t="s">
        <v>138</v>
      </c>
      <c r="S691" s="16">
        <v>20</v>
      </c>
      <c r="T691" s="1" t="s">
        <v>2299</v>
      </c>
      <c r="U691" s="1" t="s">
        <v>1334</v>
      </c>
      <c r="V691" s="1" t="s">
        <v>1377</v>
      </c>
      <c r="Y691" s="1">
        <v>4712.2</v>
      </c>
      <c r="AB691" s="1">
        <v>2735.7</v>
      </c>
    </row>
    <row r="692" spans="2:28" x14ac:dyDescent="0.2">
      <c r="B692" s="30" t="s">
        <v>2294</v>
      </c>
      <c r="C692" s="36"/>
      <c r="D692" s="36"/>
      <c r="F692" s="1" t="s">
        <v>1322</v>
      </c>
      <c r="G692" s="30" t="s">
        <v>2570</v>
      </c>
      <c r="K692" s="1" t="s">
        <v>2645</v>
      </c>
      <c r="L692" s="1" t="s">
        <v>1279</v>
      </c>
      <c r="M692" s="36" t="s">
        <v>2014</v>
      </c>
      <c r="N692" s="1" t="s">
        <v>2611</v>
      </c>
      <c r="O692" s="1" t="s">
        <v>1286</v>
      </c>
      <c r="P692" s="34" t="str">
        <f t="shared" si="13"/>
        <v>F010</v>
      </c>
      <c r="Q692" s="1" t="s">
        <v>138</v>
      </c>
      <c r="S692" s="16">
        <v>20</v>
      </c>
      <c r="T692" s="1" t="s">
        <v>2299</v>
      </c>
      <c r="U692" s="1" t="s">
        <v>1334</v>
      </c>
      <c r="V692" s="1" t="s">
        <v>1377</v>
      </c>
      <c r="Y692" s="1">
        <v>4712.2</v>
      </c>
      <c r="AB692" s="1">
        <v>2735.7</v>
      </c>
    </row>
    <row r="693" spans="2:28" x14ac:dyDescent="0.2">
      <c r="B693" s="30" t="s">
        <v>2294</v>
      </c>
      <c r="C693" s="36"/>
      <c r="D693" s="36"/>
      <c r="F693" s="1" t="s">
        <v>1322</v>
      </c>
      <c r="G693" s="30" t="s">
        <v>2570</v>
      </c>
      <c r="K693" s="1" t="s">
        <v>2646</v>
      </c>
      <c r="L693" s="1" t="s">
        <v>1279</v>
      </c>
      <c r="M693" s="36" t="s">
        <v>2014</v>
      </c>
      <c r="N693" s="1" t="s">
        <v>1287</v>
      </c>
      <c r="O693" s="1" t="s">
        <v>1286</v>
      </c>
      <c r="P693" s="34" t="str">
        <f t="shared" si="13"/>
        <v>F010</v>
      </c>
      <c r="Q693" s="1" t="s">
        <v>138</v>
      </c>
      <c r="S693" s="16">
        <v>20</v>
      </c>
      <c r="T693" s="1" t="s">
        <v>2299</v>
      </c>
      <c r="U693" s="1" t="s">
        <v>1334</v>
      </c>
      <c r="V693" s="1" t="s">
        <v>1377</v>
      </c>
      <c r="Y693" s="1">
        <v>4712.2</v>
      </c>
      <c r="AB693" s="1">
        <v>2735.7</v>
      </c>
    </row>
    <row r="694" spans="2:28" x14ac:dyDescent="0.2">
      <c r="B694" s="30" t="s">
        <v>2294</v>
      </c>
      <c r="C694" s="36"/>
      <c r="D694" s="36"/>
      <c r="F694" s="1" t="s">
        <v>1322</v>
      </c>
      <c r="G694" s="30" t="s">
        <v>2570</v>
      </c>
      <c r="K694" s="1" t="s">
        <v>2647</v>
      </c>
      <c r="L694" s="1" t="s">
        <v>1279</v>
      </c>
      <c r="M694" s="36" t="s">
        <v>2014</v>
      </c>
      <c r="N694" s="1" t="s">
        <v>1287</v>
      </c>
      <c r="O694" s="1" t="s">
        <v>1286</v>
      </c>
      <c r="P694" s="34" t="str">
        <f t="shared" si="13"/>
        <v>F010</v>
      </c>
      <c r="Q694" s="1" t="s">
        <v>138</v>
      </c>
      <c r="S694" s="16">
        <v>20</v>
      </c>
      <c r="T694" s="1" t="s">
        <v>2299</v>
      </c>
      <c r="U694" s="1" t="s">
        <v>1334</v>
      </c>
      <c r="V694" s="1" t="s">
        <v>1377</v>
      </c>
      <c r="Y694" s="1">
        <v>4712.2</v>
      </c>
      <c r="AB694" s="1">
        <v>2735.7</v>
      </c>
    </row>
    <row r="695" spans="2:28" x14ac:dyDescent="0.2">
      <c r="B695" s="30" t="s">
        <v>2294</v>
      </c>
      <c r="C695" s="36"/>
      <c r="D695" s="36"/>
      <c r="F695" s="1" t="s">
        <v>1322</v>
      </c>
      <c r="G695" s="30" t="s">
        <v>2570</v>
      </c>
      <c r="K695" s="1" t="s">
        <v>2648</v>
      </c>
      <c r="L695" s="1" t="s">
        <v>1279</v>
      </c>
      <c r="M695" s="36" t="s">
        <v>2014</v>
      </c>
      <c r="N695" s="1" t="s">
        <v>1286</v>
      </c>
      <c r="O695" s="1" t="s">
        <v>1286</v>
      </c>
      <c r="P695" s="34" t="str">
        <f t="shared" si="13"/>
        <v>F010</v>
      </c>
      <c r="Q695" s="1" t="s">
        <v>138</v>
      </c>
      <c r="S695" s="16">
        <v>20</v>
      </c>
      <c r="T695" s="1" t="s">
        <v>2299</v>
      </c>
      <c r="U695" s="1" t="s">
        <v>1334</v>
      </c>
      <c r="V695" s="1" t="s">
        <v>1377</v>
      </c>
      <c r="Y695" s="1">
        <v>4712.2</v>
      </c>
      <c r="AB695" s="1">
        <v>2735.7</v>
      </c>
    </row>
    <row r="696" spans="2:28" x14ac:dyDescent="0.2">
      <c r="B696" s="30" t="s">
        <v>2294</v>
      </c>
      <c r="C696" s="36"/>
      <c r="D696" s="36"/>
      <c r="F696" s="1" t="s">
        <v>1322</v>
      </c>
      <c r="G696" s="30" t="s">
        <v>2570</v>
      </c>
      <c r="K696" s="1" t="s">
        <v>2649</v>
      </c>
      <c r="L696" s="1" t="s">
        <v>1279</v>
      </c>
      <c r="M696" s="36" t="s">
        <v>2014</v>
      </c>
      <c r="N696" s="1" t="s">
        <v>1287</v>
      </c>
      <c r="O696" s="1" t="s">
        <v>1286</v>
      </c>
      <c r="P696" s="34" t="str">
        <f t="shared" si="13"/>
        <v>F010</v>
      </c>
      <c r="Q696" s="1" t="s">
        <v>138</v>
      </c>
      <c r="S696" s="16">
        <v>20</v>
      </c>
      <c r="T696" s="1" t="s">
        <v>2299</v>
      </c>
      <c r="U696" s="1" t="s">
        <v>1334</v>
      </c>
      <c r="V696" s="1" t="s">
        <v>1377</v>
      </c>
      <c r="Y696" s="1">
        <v>4712.2</v>
      </c>
      <c r="AB696" s="1">
        <v>2735.7</v>
      </c>
    </row>
    <row r="697" spans="2:28" x14ac:dyDescent="0.2">
      <c r="B697" s="30" t="s">
        <v>2294</v>
      </c>
      <c r="C697" s="36"/>
      <c r="D697" s="36"/>
      <c r="F697" s="1" t="s">
        <v>1322</v>
      </c>
      <c r="G697" s="30" t="s">
        <v>2570</v>
      </c>
      <c r="K697" s="1" t="s">
        <v>2650</v>
      </c>
      <c r="L697" s="1" t="s">
        <v>1279</v>
      </c>
      <c r="M697" s="36" t="s">
        <v>2014</v>
      </c>
      <c r="N697" s="1" t="s">
        <v>1287</v>
      </c>
      <c r="O697" s="1" t="s">
        <v>1286</v>
      </c>
      <c r="P697" s="34" t="str">
        <f t="shared" si="13"/>
        <v>F010</v>
      </c>
      <c r="Q697" s="1" t="s">
        <v>138</v>
      </c>
      <c r="S697" s="16">
        <v>20</v>
      </c>
      <c r="T697" s="1" t="s">
        <v>2299</v>
      </c>
      <c r="U697" s="1" t="s">
        <v>1334</v>
      </c>
      <c r="V697" s="1" t="s">
        <v>1377</v>
      </c>
      <c r="Y697" s="1">
        <v>4712.2</v>
      </c>
      <c r="AB697" s="1">
        <v>2735.7</v>
      </c>
    </row>
    <row r="698" spans="2:28" x14ac:dyDescent="0.2">
      <c r="B698" s="30" t="s">
        <v>2294</v>
      </c>
      <c r="C698" s="36"/>
      <c r="D698" s="36"/>
      <c r="F698" s="1" t="s">
        <v>1322</v>
      </c>
      <c r="G698" s="30" t="s">
        <v>2570</v>
      </c>
      <c r="K698" s="1" t="s">
        <v>2651</v>
      </c>
      <c r="L698" s="1" t="s">
        <v>1279</v>
      </c>
      <c r="M698" s="36" t="s">
        <v>2014</v>
      </c>
      <c r="N698" s="1" t="s">
        <v>2611</v>
      </c>
      <c r="O698" s="1" t="s">
        <v>1286</v>
      </c>
      <c r="P698" s="34" t="str">
        <f t="shared" si="13"/>
        <v>F010</v>
      </c>
      <c r="Q698" s="1" t="s">
        <v>138</v>
      </c>
      <c r="S698" s="16">
        <v>20</v>
      </c>
      <c r="T698" s="1" t="s">
        <v>2299</v>
      </c>
      <c r="U698" s="1" t="s">
        <v>1334</v>
      </c>
      <c r="V698" s="1" t="s">
        <v>1377</v>
      </c>
      <c r="Y698" s="1">
        <v>4712.2</v>
      </c>
      <c r="AB698" s="1">
        <v>2735.7</v>
      </c>
    </row>
    <row r="699" spans="2:28" x14ac:dyDescent="0.2">
      <c r="B699" s="30" t="s">
        <v>2294</v>
      </c>
      <c r="C699" s="36"/>
      <c r="D699" s="36"/>
      <c r="F699" s="1" t="s">
        <v>1322</v>
      </c>
      <c r="G699" s="30" t="s">
        <v>2570</v>
      </c>
      <c r="K699" s="1" t="s">
        <v>2652</v>
      </c>
      <c r="L699" s="1" t="s">
        <v>1279</v>
      </c>
      <c r="M699" s="36" t="s">
        <v>2014</v>
      </c>
      <c r="N699" s="1" t="s">
        <v>2611</v>
      </c>
      <c r="O699" s="1" t="s">
        <v>1286</v>
      </c>
      <c r="P699" s="34" t="str">
        <f t="shared" si="13"/>
        <v>F010</v>
      </c>
      <c r="Q699" s="1" t="s">
        <v>138</v>
      </c>
      <c r="S699" s="16">
        <v>20</v>
      </c>
      <c r="T699" s="1" t="s">
        <v>2299</v>
      </c>
      <c r="U699" s="1" t="s">
        <v>1334</v>
      </c>
      <c r="V699" s="1" t="s">
        <v>1377</v>
      </c>
      <c r="Y699" s="1">
        <v>4712.2</v>
      </c>
      <c r="AB699" s="1">
        <v>2735.7</v>
      </c>
    </row>
    <row r="700" spans="2:28" x14ac:dyDescent="0.2">
      <c r="B700" s="30" t="s">
        <v>2294</v>
      </c>
      <c r="C700" s="36"/>
      <c r="D700" s="36"/>
      <c r="F700" s="1" t="s">
        <v>1322</v>
      </c>
      <c r="G700" s="30" t="s">
        <v>2570</v>
      </c>
      <c r="K700" s="1" t="s">
        <v>2653</v>
      </c>
      <c r="L700" s="1" t="s">
        <v>1279</v>
      </c>
      <c r="M700" s="36" t="s">
        <v>2014</v>
      </c>
      <c r="N700" s="1" t="s">
        <v>1287</v>
      </c>
      <c r="O700" s="1" t="s">
        <v>1286</v>
      </c>
      <c r="P700" s="34" t="str">
        <f t="shared" si="13"/>
        <v>F010</v>
      </c>
      <c r="Q700" s="1" t="s">
        <v>138</v>
      </c>
      <c r="S700" s="16">
        <v>20</v>
      </c>
      <c r="T700" s="1" t="s">
        <v>2299</v>
      </c>
      <c r="U700" s="1" t="s">
        <v>1334</v>
      </c>
      <c r="V700" s="1" t="s">
        <v>1377</v>
      </c>
      <c r="Y700" s="1">
        <v>4712.2</v>
      </c>
      <c r="AB700" s="1">
        <v>2735.7</v>
      </c>
    </row>
    <row r="701" spans="2:28" x14ac:dyDescent="0.2">
      <c r="B701" s="30" t="s">
        <v>2294</v>
      </c>
      <c r="C701" s="36"/>
      <c r="D701" s="36"/>
      <c r="F701" s="1" t="s">
        <v>1322</v>
      </c>
      <c r="G701" s="30" t="s">
        <v>2570</v>
      </c>
      <c r="K701" s="1" t="s">
        <v>2654</v>
      </c>
      <c r="L701" s="1" t="s">
        <v>1279</v>
      </c>
      <c r="M701" s="36" t="s">
        <v>2014</v>
      </c>
      <c r="N701" s="1" t="s">
        <v>1287</v>
      </c>
      <c r="O701" s="1" t="s">
        <v>1286</v>
      </c>
      <c r="P701" s="34" t="str">
        <f t="shared" si="13"/>
        <v>F010</v>
      </c>
      <c r="Q701" s="1" t="s">
        <v>138</v>
      </c>
      <c r="S701" s="16">
        <v>20</v>
      </c>
      <c r="T701" s="1" t="s">
        <v>2299</v>
      </c>
      <c r="U701" s="1" t="s">
        <v>1334</v>
      </c>
      <c r="V701" s="1" t="s">
        <v>1377</v>
      </c>
      <c r="Y701" s="1">
        <v>4712.2</v>
      </c>
      <c r="AB701" s="1">
        <v>2735.7</v>
      </c>
    </row>
    <row r="702" spans="2:28" x14ac:dyDescent="0.2">
      <c r="B702" s="30" t="s">
        <v>2294</v>
      </c>
      <c r="C702" s="36"/>
      <c r="D702" s="36"/>
      <c r="F702" s="1" t="s">
        <v>1322</v>
      </c>
      <c r="G702" s="30" t="s">
        <v>2570</v>
      </c>
      <c r="K702" s="1" t="s">
        <v>2655</v>
      </c>
      <c r="L702" s="1" t="s">
        <v>1279</v>
      </c>
      <c r="M702" s="36" t="s">
        <v>2014</v>
      </c>
      <c r="N702" s="1" t="s">
        <v>2611</v>
      </c>
      <c r="O702" s="1" t="s">
        <v>1286</v>
      </c>
      <c r="P702" s="34" t="str">
        <f t="shared" si="13"/>
        <v>F010</v>
      </c>
      <c r="Q702" s="1" t="s">
        <v>138</v>
      </c>
      <c r="S702" s="16">
        <v>20</v>
      </c>
      <c r="T702" s="1" t="s">
        <v>2299</v>
      </c>
      <c r="U702" s="1" t="s">
        <v>1334</v>
      </c>
      <c r="V702" s="1" t="s">
        <v>1377</v>
      </c>
      <c r="Y702" s="1">
        <v>4712.2</v>
      </c>
      <c r="AB702" s="1">
        <v>2735.7</v>
      </c>
    </row>
    <row r="703" spans="2:28" x14ac:dyDescent="0.2">
      <c r="B703" s="30" t="s">
        <v>2294</v>
      </c>
      <c r="C703" s="36"/>
      <c r="D703" s="36"/>
      <c r="F703" s="1" t="s">
        <v>1322</v>
      </c>
      <c r="G703" s="30" t="s">
        <v>2570</v>
      </c>
      <c r="K703" s="1" t="s">
        <v>2656</v>
      </c>
      <c r="L703" s="1" t="s">
        <v>1279</v>
      </c>
      <c r="M703" s="36" t="s">
        <v>2014</v>
      </c>
      <c r="N703" s="1" t="s">
        <v>2611</v>
      </c>
      <c r="O703" s="1" t="s">
        <v>1286</v>
      </c>
      <c r="P703" s="34" t="str">
        <f t="shared" si="13"/>
        <v>F010</v>
      </c>
      <c r="Q703" s="1" t="s">
        <v>138</v>
      </c>
      <c r="S703" s="16">
        <v>20</v>
      </c>
      <c r="T703" s="1" t="s">
        <v>2299</v>
      </c>
      <c r="U703" s="1" t="s">
        <v>1334</v>
      </c>
      <c r="V703" s="1" t="s">
        <v>1377</v>
      </c>
      <c r="Y703" s="1">
        <v>4712.2</v>
      </c>
      <c r="AB703" s="1">
        <v>2735.7</v>
      </c>
    </row>
    <row r="704" spans="2:28" x14ac:dyDescent="0.2">
      <c r="B704" s="30" t="s">
        <v>2294</v>
      </c>
      <c r="C704" s="36"/>
      <c r="D704" s="36"/>
      <c r="F704" s="1" t="s">
        <v>1322</v>
      </c>
      <c r="G704" s="30" t="s">
        <v>2570</v>
      </c>
      <c r="K704" s="1" t="s">
        <v>2657</v>
      </c>
      <c r="L704" s="1" t="s">
        <v>1279</v>
      </c>
      <c r="M704" s="36" t="s">
        <v>2014</v>
      </c>
      <c r="N704" s="1" t="s">
        <v>1287</v>
      </c>
      <c r="O704" s="1" t="s">
        <v>1286</v>
      </c>
      <c r="P704" s="34" t="str">
        <f t="shared" si="13"/>
        <v>F010</v>
      </c>
      <c r="Q704" s="1" t="s">
        <v>138</v>
      </c>
      <c r="S704" s="16">
        <v>20</v>
      </c>
      <c r="T704" s="1" t="s">
        <v>2299</v>
      </c>
      <c r="U704" s="1" t="s">
        <v>1334</v>
      </c>
      <c r="V704" s="1" t="s">
        <v>1377</v>
      </c>
      <c r="Y704" s="1">
        <v>4712.2</v>
      </c>
      <c r="AB704" s="1">
        <v>2735.7</v>
      </c>
    </row>
    <row r="705" spans="2:28" x14ac:dyDescent="0.2">
      <c r="B705" s="30" t="s">
        <v>2294</v>
      </c>
      <c r="C705" s="36"/>
      <c r="D705" s="36"/>
      <c r="F705" s="1" t="s">
        <v>1322</v>
      </c>
      <c r="G705" s="30" t="s">
        <v>2570</v>
      </c>
      <c r="K705" s="1" t="s">
        <v>2658</v>
      </c>
      <c r="L705" s="1" t="s">
        <v>1279</v>
      </c>
      <c r="M705" s="36" t="s">
        <v>2014</v>
      </c>
      <c r="N705" s="1" t="s">
        <v>1287</v>
      </c>
      <c r="O705" s="1" t="s">
        <v>1286</v>
      </c>
      <c r="P705" s="34" t="str">
        <f t="shared" si="13"/>
        <v>F010</v>
      </c>
      <c r="Q705" s="1" t="s">
        <v>138</v>
      </c>
      <c r="S705" s="16">
        <v>20</v>
      </c>
      <c r="T705" s="1" t="s">
        <v>2299</v>
      </c>
      <c r="U705" s="1" t="s">
        <v>1334</v>
      </c>
      <c r="V705" s="1" t="s">
        <v>1377</v>
      </c>
      <c r="Y705" s="1">
        <v>4712.2</v>
      </c>
      <c r="AB705" s="1">
        <v>2735.7</v>
      </c>
    </row>
    <row r="706" spans="2:28" x14ac:dyDescent="0.2">
      <c r="B706" s="30" t="s">
        <v>2294</v>
      </c>
      <c r="C706" s="36"/>
      <c r="D706" s="36"/>
      <c r="F706" s="1" t="s">
        <v>1322</v>
      </c>
      <c r="G706" s="30" t="s">
        <v>2570</v>
      </c>
      <c r="K706" s="1" t="s">
        <v>2659</v>
      </c>
      <c r="L706" s="1" t="s">
        <v>1279</v>
      </c>
      <c r="M706" s="36" t="s">
        <v>2014</v>
      </c>
      <c r="N706" s="1" t="s">
        <v>2611</v>
      </c>
      <c r="O706" s="1" t="s">
        <v>1286</v>
      </c>
      <c r="P706" s="34" t="str">
        <f t="shared" si="13"/>
        <v>F010</v>
      </c>
      <c r="Q706" s="1" t="s">
        <v>138</v>
      </c>
      <c r="S706" s="16">
        <v>20</v>
      </c>
      <c r="T706" s="1" t="s">
        <v>2299</v>
      </c>
      <c r="U706" s="1" t="s">
        <v>1334</v>
      </c>
      <c r="V706" s="1" t="s">
        <v>1377</v>
      </c>
      <c r="Y706" s="1">
        <v>4712.2</v>
      </c>
      <c r="AB706" s="1">
        <v>2735.7</v>
      </c>
    </row>
    <row r="707" spans="2:28" x14ac:dyDescent="0.2">
      <c r="B707" s="30" t="s">
        <v>2294</v>
      </c>
      <c r="C707" s="36"/>
      <c r="D707" s="36"/>
      <c r="F707" s="1" t="s">
        <v>1322</v>
      </c>
      <c r="G707" s="30" t="s">
        <v>2570</v>
      </c>
      <c r="K707" s="1" t="s">
        <v>2660</v>
      </c>
      <c r="L707" s="1" t="s">
        <v>1279</v>
      </c>
      <c r="M707" s="36" t="s">
        <v>2014</v>
      </c>
      <c r="N707" s="1" t="s">
        <v>1287</v>
      </c>
      <c r="O707" s="1" t="s">
        <v>1286</v>
      </c>
      <c r="P707" s="34" t="str">
        <f t="shared" si="13"/>
        <v>F010</v>
      </c>
      <c r="Q707" s="1" t="s">
        <v>138</v>
      </c>
      <c r="S707" s="16">
        <v>20</v>
      </c>
      <c r="T707" s="1" t="s">
        <v>2299</v>
      </c>
      <c r="U707" s="1" t="s">
        <v>1334</v>
      </c>
      <c r="V707" s="1" t="s">
        <v>1377</v>
      </c>
      <c r="Y707" s="1">
        <v>4712.2</v>
      </c>
      <c r="AB707" s="1">
        <v>2735.7</v>
      </c>
    </row>
    <row r="708" spans="2:28" x14ac:dyDescent="0.2">
      <c r="B708" s="30" t="s">
        <v>2294</v>
      </c>
      <c r="C708" s="36"/>
      <c r="D708" s="36"/>
      <c r="F708" s="1" t="s">
        <v>1322</v>
      </c>
      <c r="G708" s="30" t="s">
        <v>2570</v>
      </c>
      <c r="K708" s="1" t="s">
        <v>2661</v>
      </c>
      <c r="L708" s="1" t="s">
        <v>1279</v>
      </c>
      <c r="M708" s="36" t="s">
        <v>2014</v>
      </c>
      <c r="N708" s="1" t="s">
        <v>1287</v>
      </c>
      <c r="O708" s="1" t="s">
        <v>1286</v>
      </c>
      <c r="P708" s="34" t="str">
        <f t="shared" si="13"/>
        <v>F010</v>
      </c>
      <c r="Q708" s="1" t="s">
        <v>138</v>
      </c>
      <c r="S708" s="16">
        <v>20</v>
      </c>
      <c r="T708" s="1" t="s">
        <v>2299</v>
      </c>
      <c r="U708" s="1" t="s">
        <v>1334</v>
      </c>
      <c r="V708" s="1" t="s">
        <v>1377</v>
      </c>
      <c r="Y708" s="1">
        <v>4712.2</v>
      </c>
      <c r="AB708" s="1">
        <v>2735.7</v>
      </c>
    </row>
    <row r="709" spans="2:28" x14ac:dyDescent="0.2">
      <c r="B709" s="30" t="s">
        <v>2294</v>
      </c>
      <c r="C709" s="36"/>
      <c r="D709" s="36"/>
      <c r="F709" s="1" t="s">
        <v>1322</v>
      </c>
      <c r="G709" s="30" t="s">
        <v>2570</v>
      </c>
      <c r="K709" s="1" t="s">
        <v>2662</v>
      </c>
      <c r="L709" s="1" t="s">
        <v>1279</v>
      </c>
      <c r="M709" s="36" t="s">
        <v>2014</v>
      </c>
      <c r="N709" s="1" t="s">
        <v>2611</v>
      </c>
      <c r="O709" s="1" t="s">
        <v>1286</v>
      </c>
      <c r="P709" s="34" t="str">
        <f t="shared" si="13"/>
        <v>F010</v>
      </c>
      <c r="Q709" s="1" t="s">
        <v>138</v>
      </c>
      <c r="S709" s="16">
        <v>20</v>
      </c>
      <c r="T709" s="1" t="s">
        <v>2299</v>
      </c>
      <c r="U709" s="1" t="s">
        <v>1334</v>
      </c>
      <c r="V709" s="1" t="s">
        <v>1377</v>
      </c>
      <c r="Y709" s="1">
        <v>4712.2</v>
      </c>
      <c r="AB709" s="1">
        <v>2735.7</v>
      </c>
    </row>
    <row r="710" spans="2:28" x14ac:dyDescent="0.2">
      <c r="B710" s="30" t="s">
        <v>2294</v>
      </c>
      <c r="C710" s="36"/>
      <c r="D710" s="36"/>
      <c r="F710" s="1" t="s">
        <v>1322</v>
      </c>
      <c r="G710" s="30" t="s">
        <v>2570</v>
      </c>
      <c r="K710" s="1" t="s">
        <v>2663</v>
      </c>
      <c r="L710" s="1" t="s">
        <v>1279</v>
      </c>
      <c r="M710" s="36" t="s">
        <v>2014</v>
      </c>
      <c r="N710" s="1" t="s">
        <v>1287</v>
      </c>
      <c r="O710" s="1" t="s">
        <v>1286</v>
      </c>
      <c r="P710" s="34" t="str">
        <f t="shared" si="13"/>
        <v>F010</v>
      </c>
      <c r="Q710" s="1" t="s">
        <v>138</v>
      </c>
      <c r="S710" s="16">
        <v>20</v>
      </c>
      <c r="T710" s="1" t="s">
        <v>2299</v>
      </c>
      <c r="U710" s="1" t="s">
        <v>1334</v>
      </c>
      <c r="V710" s="1" t="s">
        <v>1377</v>
      </c>
      <c r="Y710" s="1">
        <v>4712.2</v>
      </c>
      <c r="AB710" s="1">
        <v>2735.7</v>
      </c>
    </row>
    <row r="711" spans="2:28" x14ac:dyDescent="0.2">
      <c r="B711" s="30" t="s">
        <v>2294</v>
      </c>
      <c r="C711" s="36"/>
      <c r="D711" s="36"/>
      <c r="F711" s="1" t="s">
        <v>1322</v>
      </c>
      <c r="G711" s="30" t="s">
        <v>2570</v>
      </c>
      <c r="K711" s="1" t="s">
        <v>2664</v>
      </c>
      <c r="L711" s="1" t="s">
        <v>1279</v>
      </c>
      <c r="M711" s="36" t="s">
        <v>2014</v>
      </c>
      <c r="N711" s="1" t="s">
        <v>2611</v>
      </c>
      <c r="O711" s="1" t="s">
        <v>1286</v>
      </c>
      <c r="P711" s="34" t="str">
        <f t="shared" ref="P711:P774" si="14">+LEFT(Q711,4)</f>
        <v>F010</v>
      </c>
      <c r="Q711" s="1" t="s">
        <v>138</v>
      </c>
      <c r="S711" s="16">
        <v>20</v>
      </c>
      <c r="T711" s="1" t="s">
        <v>2299</v>
      </c>
      <c r="U711" s="1" t="s">
        <v>1334</v>
      </c>
      <c r="V711" s="1" t="s">
        <v>1377</v>
      </c>
      <c r="Y711" s="1">
        <v>4712.2</v>
      </c>
      <c r="AB711" s="1">
        <v>2735.7</v>
      </c>
    </row>
    <row r="712" spans="2:28" x14ac:dyDescent="0.2">
      <c r="B712" s="30" t="s">
        <v>2294</v>
      </c>
      <c r="C712" s="36"/>
      <c r="D712" s="36"/>
      <c r="F712" s="1" t="s">
        <v>1322</v>
      </c>
      <c r="G712" s="30" t="s">
        <v>2570</v>
      </c>
      <c r="K712" s="1" t="s">
        <v>2665</v>
      </c>
      <c r="L712" s="1" t="s">
        <v>1279</v>
      </c>
      <c r="M712" s="36" t="s">
        <v>2014</v>
      </c>
      <c r="N712" s="1" t="s">
        <v>2611</v>
      </c>
      <c r="O712" s="1" t="s">
        <v>1286</v>
      </c>
      <c r="P712" s="34" t="str">
        <f t="shared" si="14"/>
        <v>F010</v>
      </c>
      <c r="Q712" s="1" t="s">
        <v>138</v>
      </c>
      <c r="S712" s="16">
        <v>20</v>
      </c>
      <c r="T712" s="1" t="s">
        <v>2666</v>
      </c>
      <c r="U712" s="1" t="s">
        <v>1334</v>
      </c>
      <c r="V712" s="1" t="s">
        <v>1377</v>
      </c>
      <c r="Y712" s="1">
        <v>8977.09</v>
      </c>
      <c r="AB712" s="1">
        <v>5342.04</v>
      </c>
    </row>
    <row r="713" spans="2:28" x14ac:dyDescent="0.2">
      <c r="B713" s="30" t="s">
        <v>2294</v>
      </c>
      <c r="C713" s="36"/>
      <c r="D713" s="36"/>
      <c r="F713" s="1" t="s">
        <v>1469</v>
      </c>
      <c r="G713" s="30" t="s">
        <v>2570</v>
      </c>
      <c r="K713" s="1" t="s">
        <v>2667</v>
      </c>
      <c r="L713" s="1" t="s">
        <v>1279</v>
      </c>
      <c r="M713" s="36" t="s">
        <v>2014</v>
      </c>
      <c r="N713" s="1" t="s">
        <v>1287</v>
      </c>
      <c r="O713" s="1" t="s">
        <v>1286</v>
      </c>
      <c r="P713" s="34" t="str">
        <f t="shared" si="14"/>
        <v>F010</v>
      </c>
      <c r="Q713" s="1" t="s">
        <v>138</v>
      </c>
      <c r="S713" s="16">
        <v>20</v>
      </c>
      <c r="T713" s="1" t="s">
        <v>2666</v>
      </c>
      <c r="U713" s="1" t="s">
        <v>1334</v>
      </c>
      <c r="V713" s="1" t="s">
        <v>1377</v>
      </c>
      <c r="Y713" s="1">
        <v>4712.2</v>
      </c>
      <c r="AB713" s="1">
        <v>2735.7</v>
      </c>
    </row>
    <row r="714" spans="2:28" x14ac:dyDescent="0.2">
      <c r="B714" s="30" t="s">
        <v>2294</v>
      </c>
      <c r="C714" s="36"/>
      <c r="D714" s="36"/>
      <c r="F714" s="1" t="s">
        <v>1469</v>
      </c>
      <c r="G714" s="30" t="s">
        <v>2570</v>
      </c>
      <c r="K714" s="1" t="s">
        <v>2668</v>
      </c>
      <c r="L714" s="1" t="s">
        <v>1279</v>
      </c>
      <c r="M714" s="36" t="s">
        <v>2014</v>
      </c>
      <c r="N714" s="1" t="s">
        <v>2611</v>
      </c>
      <c r="O714" s="1" t="s">
        <v>1286</v>
      </c>
      <c r="P714" s="34" t="str">
        <f t="shared" si="14"/>
        <v>F010</v>
      </c>
      <c r="Q714" s="1" t="s">
        <v>138</v>
      </c>
      <c r="S714" s="16">
        <v>20</v>
      </c>
      <c r="T714" s="1" t="s">
        <v>2669</v>
      </c>
      <c r="U714" s="1" t="s">
        <v>1334</v>
      </c>
      <c r="V714" s="1" t="s">
        <v>1377</v>
      </c>
      <c r="Y714" s="1">
        <v>4712.2</v>
      </c>
      <c r="AB714" s="1">
        <v>2735.7</v>
      </c>
    </row>
    <row r="715" spans="2:28" x14ac:dyDescent="0.2">
      <c r="B715" s="30" t="s">
        <v>2294</v>
      </c>
      <c r="C715" s="36"/>
      <c r="D715" s="36"/>
      <c r="F715" s="1" t="s">
        <v>2670</v>
      </c>
      <c r="G715" s="30" t="s">
        <v>2570</v>
      </c>
      <c r="K715" s="1" t="s">
        <v>2671</v>
      </c>
      <c r="L715" s="1" t="s">
        <v>1279</v>
      </c>
      <c r="M715" s="36" t="s">
        <v>2014</v>
      </c>
      <c r="N715" s="1" t="s">
        <v>1287</v>
      </c>
      <c r="O715" s="1" t="s">
        <v>1286</v>
      </c>
      <c r="P715" s="34" t="str">
        <f t="shared" si="14"/>
        <v>F010</v>
      </c>
      <c r="Q715" s="1" t="s">
        <v>138</v>
      </c>
      <c r="S715" s="16">
        <v>20</v>
      </c>
      <c r="T715" s="1" t="s">
        <v>2672</v>
      </c>
      <c r="U715" s="1" t="s">
        <v>1334</v>
      </c>
      <c r="V715" s="1" t="s">
        <v>1377</v>
      </c>
      <c r="Y715" s="1">
        <v>4712.2</v>
      </c>
      <c r="AB715" s="1">
        <v>2735.7</v>
      </c>
    </row>
    <row r="716" spans="2:28" x14ac:dyDescent="0.2">
      <c r="B716" s="30" t="s">
        <v>2294</v>
      </c>
      <c r="C716" s="36"/>
      <c r="D716" s="36"/>
      <c r="F716" s="1" t="s">
        <v>2673</v>
      </c>
      <c r="G716" s="30" t="s">
        <v>2570</v>
      </c>
      <c r="K716" s="1" t="s">
        <v>2674</v>
      </c>
      <c r="L716" s="1" t="s">
        <v>1279</v>
      </c>
      <c r="M716" s="36" t="s">
        <v>2014</v>
      </c>
      <c r="N716" s="1" t="s">
        <v>1287</v>
      </c>
      <c r="O716" s="1" t="s">
        <v>1286</v>
      </c>
      <c r="P716" s="34" t="str">
        <f t="shared" si="14"/>
        <v>F010</v>
      </c>
      <c r="Q716" s="1" t="s">
        <v>138</v>
      </c>
      <c r="S716" s="16">
        <v>20</v>
      </c>
      <c r="T716" s="1" t="s">
        <v>2675</v>
      </c>
      <c r="U716" s="1" t="s">
        <v>1334</v>
      </c>
      <c r="V716" s="1" t="s">
        <v>1377</v>
      </c>
      <c r="Y716" s="1">
        <v>4712.2</v>
      </c>
      <c r="AB716" s="1">
        <v>2735.7</v>
      </c>
    </row>
    <row r="717" spans="2:28" x14ac:dyDescent="0.2">
      <c r="B717" s="30" t="s">
        <v>2294</v>
      </c>
      <c r="C717" s="36"/>
      <c r="D717" s="36"/>
      <c r="F717" s="1" t="s">
        <v>2676</v>
      </c>
      <c r="G717" s="30" t="s">
        <v>2570</v>
      </c>
      <c r="K717" s="1" t="s">
        <v>2677</v>
      </c>
      <c r="L717" s="1" t="s">
        <v>1279</v>
      </c>
      <c r="M717" s="36" t="s">
        <v>2014</v>
      </c>
      <c r="N717" s="1" t="s">
        <v>1287</v>
      </c>
      <c r="O717" s="1" t="s">
        <v>1286</v>
      </c>
      <c r="P717" s="34" t="str">
        <f t="shared" si="14"/>
        <v>F010</v>
      </c>
      <c r="Q717" s="1" t="s">
        <v>138</v>
      </c>
      <c r="S717" s="16">
        <v>20</v>
      </c>
      <c r="T717" s="1" t="s">
        <v>2299</v>
      </c>
      <c r="U717" s="1" t="s">
        <v>1334</v>
      </c>
      <c r="V717" s="1" t="s">
        <v>1377</v>
      </c>
      <c r="Y717" s="1">
        <v>9424.4</v>
      </c>
      <c r="AB717" s="1">
        <v>5615.37</v>
      </c>
    </row>
    <row r="718" spans="2:28" x14ac:dyDescent="0.2">
      <c r="B718" s="30" t="s">
        <v>2294</v>
      </c>
      <c r="C718" s="36"/>
      <c r="D718" s="36"/>
      <c r="F718" s="1" t="s">
        <v>1322</v>
      </c>
      <c r="G718" s="30" t="s">
        <v>2570</v>
      </c>
      <c r="K718" s="1" t="s">
        <v>2678</v>
      </c>
      <c r="L718" s="1" t="s">
        <v>1279</v>
      </c>
      <c r="M718" s="36" t="s">
        <v>2014</v>
      </c>
      <c r="N718" s="1" t="s">
        <v>2611</v>
      </c>
      <c r="O718" s="1" t="s">
        <v>1286</v>
      </c>
      <c r="P718" s="34" t="str">
        <f t="shared" si="14"/>
        <v>F010</v>
      </c>
      <c r="Q718" s="1" t="s">
        <v>138</v>
      </c>
      <c r="S718" s="16">
        <v>20</v>
      </c>
      <c r="T718" s="1" t="s">
        <v>2299</v>
      </c>
      <c r="U718" s="1" t="s">
        <v>1334</v>
      </c>
      <c r="V718" s="1" t="s">
        <v>1377</v>
      </c>
      <c r="Y718" s="1">
        <v>4712.2</v>
      </c>
      <c r="AB718" s="1">
        <v>2735.7</v>
      </c>
    </row>
    <row r="719" spans="2:28" x14ac:dyDescent="0.2">
      <c r="B719" s="30" t="s">
        <v>2294</v>
      </c>
      <c r="C719" s="36"/>
      <c r="D719" s="36"/>
      <c r="F719" s="1" t="s">
        <v>1322</v>
      </c>
      <c r="G719" s="30" t="s">
        <v>2570</v>
      </c>
      <c r="K719" s="1" t="s">
        <v>2679</v>
      </c>
      <c r="L719" s="1" t="s">
        <v>1279</v>
      </c>
      <c r="M719" s="36" t="s">
        <v>2014</v>
      </c>
      <c r="N719" s="1" t="s">
        <v>2611</v>
      </c>
      <c r="O719" s="1" t="s">
        <v>1286</v>
      </c>
      <c r="P719" s="34" t="str">
        <f t="shared" si="14"/>
        <v>F010</v>
      </c>
      <c r="Q719" s="1" t="s">
        <v>138</v>
      </c>
      <c r="S719" s="16">
        <v>20</v>
      </c>
      <c r="T719" s="1" t="s">
        <v>2299</v>
      </c>
      <c r="U719" s="1" t="s">
        <v>1334</v>
      </c>
      <c r="V719" s="1" t="s">
        <v>1377</v>
      </c>
      <c r="Y719" s="1">
        <v>4712.2</v>
      </c>
      <c r="AB719" s="1">
        <v>2735.7</v>
      </c>
    </row>
    <row r="720" spans="2:28" x14ac:dyDescent="0.2">
      <c r="B720" s="30" t="s">
        <v>2294</v>
      </c>
      <c r="C720" s="36"/>
      <c r="D720" s="36"/>
      <c r="F720" s="1" t="s">
        <v>1322</v>
      </c>
      <c r="G720" s="30" t="s">
        <v>2570</v>
      </c>
      <c r="K720" s="1" t="s">
        <v>2680</v>
      </c>
      <c r="L720" s="1" t="s">
        <v>1279</v>
      </c>
      <c r="M720" s="36" t="s">
        <v>2014</v>
      </c>
      <c r="N720" s="1" t="s">
        <v>2611</v>
      </c>
      <c r="O720" s="1" t="s">
        <v>1286</v>
      </c>
      <c r="P720" s="34" t="str">
        <f t="shared" si="14"/>
        <v>F010</v>
      </c>
      <c r="Q720" s="1" t="s">
        <v>138</v>
      </c>
      <c r="S720" s="16">
        <v>20</v>
      </c>
      <c r="T720" s="1" t="s">
        <v>2299</v>
      </c>
      <c r="U720" s="1" t="s">
        <v>1334</v>
      </c>
      <c r="V720" s="1" t="s">
        <v>1377</v>
      </c>
      <c r="Y720" s="1">
        <v>4712.2</v>
      </c>
      <c r="AB720" s="1">
        <v>2735.7</v>
      </c>
    </row>
    <row r="721" spans="2:28" x14ac:dyDescent="0.2">
      <c r="B721" s="30" t="s">
        <v>2294</v>
      </c>
      <c r="C721" s="36"/>
      <c r="D721" s="36"/>
      <c r="F721" s="1" t="s">
        <v>1322</v>
      </c>
      <c r="G721" s="30" t="s">
        <v>2570</v>
      </c>
      <c r="K721" s="1" t="s">
        <v>2681</v>
      </c>
      <c r="L721" s="1" t="s">
        <v>1279</v>
      </c>
      <c r="M721" s="36" t="s">
        <v>2014</v>
      </c>
      <c r="N721" s="1" t="s">
        <v>1287</v>
      </c>
      <c r="O721" s="1" t="s">
        <v>1286</v>
      </c>
      <c r="P721" s="34" t="str">
        <f t="shared" si="14"/>
        <v>F010</v>
      </c>
      <c r="Q721" s="1" t="s">
        <v>138</v>
      </c>
      <c r="S721" s="16">
        <v>20</v>
      </c>
      <c r="T721" s="1" t="s">
        <v>2299</v>
      </c>
      <c r="U721" s="1" t="s">
        <v>1334</v>
      </c>
      <c r="V721" s="1" t="s">
        <v>1377</v>
      </c>
      <c r="Y721" s="1">
        <v>4712.2</v>
      </c>
      <c r="AB721" s="1">
        <v>2735.7</v>
      </c>
    </row>
    <row r="722" spans="2:28" x14ac:dyDescent="0.2">
      <c r="B722" s="30" t="s">
        <v>2294</v>
      </c>
      <c r="C722" s="36"/>
      <c r="D722" s="36"/>
      <c r="F722" s="1" t="s">
        <v>1322</v>
      </c>
      <c r="G722" s="30" t="s">
        <v>2570</v>
      </c>
      <c r="K722" s="1" t="s">
        <v>2682</v>
      </c>
      <c r="L722" s="1" t="s">
        <v>1279</v>
      </c>
      <c r="M722" s="36" t="s">
        <v>2014</v>
      </c>
      <c r="N722" s="1" t="s">
        <v>1287</v>
      </c>
      <c r="O722" s="1" t="s">
        <v>1286</v>
      </c>
      <c r="P722" s="34" t="str">
        <f t="shared" si="14"/>
        <v>F010</v>
      </c>
      <c r="Q722" s="1" t="s">
        <v>138</v>
      </c>
      <c r="S722" s="16">
        <v>20</v>
      </c>
      <c r="T722" s="1" t="s">
        <v>2299</v>
      </c>
      <c r="U722" s="1" t="s">
        <v>1334</v>
      </c>
      <c r="V722" s="1" t="s">
        <v>1377</v>
      </c>
      <c r="Y722" s="1">
        <v>4712.2</v>
      </c>
      <c r="AB722" s="1">
        <v>2735.7</v>
      </c>
    </row>
    <row r="723" spans="2:28" x14ac:dyDescent="0.2">
      <c r="B723" s="30" t="s">
        <v>2294</v>
      </c>
      <c r="C723" s="36"/>
      <c r="D723" s="36"/>
      <c r="F723" s="1" t="s">
        <v>1322</v>
      </c>
      <c r="G723" s="30" t="s">
        <v>2570</v>
      </c>
      <c r="K723" s="1" t="s">
        <v>2683</v>
      </c>
      <c r="L723" s="1" t="s">
        <v>1279</v>
      </c>
      <c r="M723" s="36" t="s">
        <v>2014</v>
      </c>
      <c r="N723" s="1" t="s">
        <v>1287</v>
      </c>
      <c r="O723" s="1" t="s">
        <v>1286</v>
      </c>
      <c r="P723" s="34" t="str">
        <f t="shared" si="14"/>
        <v>F010</v>
      </c>
      <c r="Q723" s="1" t="s">
        <v>138</v>
      </c>
      <c r="S723" s="16">
        <v>20</v>
      </c>
      <c r="T723" s="1" t="s">
        <v>2299</v>
      </c>
      <c r="U723" s="1" t="s">
        <v>1334</v>
      </c>
      <c r="V723" s="1" t="s">
        <v>1377</v>
      </c>
      <c r="Y723" s="1">
        <v>4712.2</v>
      </c>
      <c r="AB723" s="1">
        <v>2735.7</v>
      </c>
    </row>
    <row r="724" spans="2:28" x14ac:dyDescent="0.2">
      <c r="B724" s="30" t="s">
        <v>2294</v>
      </c>
      <c r="C724" s="36"/>
      <c r="D724" s="36"/>
      <c r="F724" s="1" t="s">
        <v>1322</v>
      </c>
      <c r="G724" s="30" t="s">
        <v>2570</v>
      </c>
      <c r="K724" s="1" t="s">
        <v>2684</v>
      </c>
      <c r="L724" s="1" t="s">
        <v>1279</v>
      </c>
      <c r="M724" s="36" t="s">
        <v>2014</v>
      </c>
      <c r="N724" s="1" t="s">
        <v>1287</v>
      </c>
      <c r="O724" s="1" t="s">
        <v>1286</v>
      </c>
      <c r="P724" s="34" t="str">
        <f t="shared" si="14"/>
        <v>F010</v>
      </c>
      <c r="Q724" s="1" t="s">
        <v>138</v>
      </c>
      <c r="S724" s="16">
        <v>20</v>
      </c>
      <c r="T724" s="1" t="s">
        <v>2299</v>
      </c>
      <c r="U724" s="1" t="s">
        <v>1334</v>
      </c>
      <c r="V724" s="1" t="s">
        <v>1377</v>
      </c>
      <c r="Y724" s="1">
        <v>4712.2</v>
      </c>
      <c r="AB724" s="1">
        <v>2735.7</v>
      </c>
    </row>
    <row r="725" spans="2:28" x14ac:dyDescent="0.2">
      <c r="B725" s="30" t="s">
        <v>2294</v>
      </c>
      <c r="C725" s="36"/>
      <c r="D725" s="36"/>
      <c r="F725" s="1" t="s">
        <v>1322</v>
      </c>
      <c r="G725" s="30" t="s">
        <v>2570</v>
      </c>
      <c r="K725" s="1" t="s">
        <v>2685</v>
      </c>
      <c r="L725" s="1" t="s">
        <v>1279</v>
      </c>
      <c r="M725" s="36" t="s">
        <v>2014</v>
      </c>
      <c r="N725" s="1" t="s">
        <v>1287</v>
      </c>
      <c r="O725" s="1" t="s">
        <v>1286</v>
      </c>
      <c r="P725" s="34" t="str">
        <f t="shared" si="14"/>
        <v>F010</v>
      </c>
      <c r="Q725" s="1" t="s">
        <v>138</v>
      </c>
      <c r="S725" s="16">
        <v>20</v>
      </c>
      <c r="T725" s="1" t="s">
        <v>2299</v>
      </c>
      <c r="U725" s="1" t="s">
        <v>1334</v>
      </c>
      <c r="V725" s="1" t="s">
        <v>1377</v>
      </c>
      <c r="Y725" s="1">
        <v>4712.2</v>
      </c>
      <c r="AB725" s="1">
        <v>2735.7</v>
      </c>
    </row>
    <row r="726" spans="2:28" x14ac:dyDescent="0.2">
      <c r="B726" s="30" t="s">
        <v>2294</v>
      </c>
      <c r="C726" s="36"/>
      <c r="D726" s="36"/>
      <c r="F726" s="1" t="s">
        <v>1322</v>
      </c>
      <c r="G726" s="30" t="s">
        <v>2570</v>
      </c>
      <c r="K726" s="1" t="s">
        <v>2686</v>
      </c>
      <c r="L726" s="1" t="s">
        <v>1279</v>
      </c>
      <c r="M726" s="36" t="s">
        <v>2014</v>
      </c>
      <c r="N726" s="1" t="s">
        <v>1287</v>
      </c>
      <c r="O726" s="1" t="s">
        <v>1286</v>
      </c>
      <c r="P726" s="34" t="str">
        <f t="shared" si="14"/>
        <v>F010</v>
      </c>
      <c r="Q726" s="1" t="s">
        <v>138</v>
      </c>
      <c r="S726" s="16">
        <v>20</v>
      </c>
      <c r="T726" s="1" t="s">
        <v>2299</v>
      </c>
      <c r="U726" s="1" t="s">
        <v>1334</v>
      </c>
      <c r="V726" s="1" t="s">
        <v>1377</v>
      </c>
      <c r="Y726" s="1">
        <v>4712.2</v>
      </c>
      <c r="AB726" s="1">
        <v>2735.7</v>
      </c>
    </row>
    <row r="727" spans="2:28" x14ac:dyDescent="0.2">
      <c r="B727" s="30" t="s">
        <v>2294</v>
      </c>
      <c r="C727" s="36"/>
      <c r="D727" s="36"/>
      <c r="F727" s="1" t="s">
        <v>1322</v>
      </c>
      <c r="G727" s="30" t="s">
        <v>2570</v>
      </c>
      <c r="K727" s="1" t="s">
        <v>2687</v>
      </c>
      <c r="L727" s="1" t="s">
        <v>1279</v>
      </c>
      <c r="M727" s="36" t="s">
        <v>2014</v>
      </c>
      <c r="N727" s="1" t="s">
        <v>1287</v>
      </c>
      <c r="O727" s="1" t="s">
        <v>1286</v>
      </c>
      <c r="P727" s="34" t="str">
        <f t="shared" si="14"/>
        <v>F010</v>
      </c>
      <c r="Q727" s="1" t="s">
        <v>138</v>
      </c>
      <c r="S727" s="16">
        <v>20</v>
      </c>
      <c r="T727" s="1" t="s">
        <v>2299</v>
      </c>
      <c r="U727" s="1" t="s">
        <v>1334</v>
      </c>
      <c r="V727" s="1" t="s">
        <v>1377</v>
      </c>
      <c r="Y727" s="1">
        <v>4712.2</v>
      </c>
      <c r="AB727" s="1">
        <v>2735.7</v>
      </c>
    </row>
    <row r="728" spans="2:28" x14ac:dyDescent="0.2">
      <c r="B728" s="30" t="s">
        <v>2294</v>
      </c>
      <c r="C728" s="36"/>
      <c r="D728" s="36"/>
      <c r="F728" s="1" t="s">
        <v>1322</v>
      </c>
      <c r="G728" s="30" t="s">
        <v>2570</v>
      </c>
      <c r="K728" s="1" t="s">
        <v>2688</v>
      </c>
      <c r="L728" s="1" t="s">
        <v>1279</v>
      </c>
      <c r="M728" s="36" t="s">
        <v>2014</v>
      </c>
      <c r="N728" s="1" t="s">
        <v>2611</v>
      </c>
      <c r="O728" s="1" t="s">
        <v>1286</v>
      </c>
      <c r="P728" s="34" t="str">
        <f t="shared" si="14"/>
        <v>F010</v>
      </c>
      <c r="Q728" s="1" t="s">
        <v>138</v>
      </c>
      <c r="S728" s="16">
        <v>20</v>
      </c>
      <c r="T728" s="1" t="s">
        <v>2299</v>
      </c>
      <c r="U728" s="1" t="s">
        <v>1334</v>
      </c>
      <c r="V728" s="1" t="s">
        <v>1377</v>
      </c>
      <c r="Y728" s="1">
        <v>4712.2</v>
      </c>
      <c r="AB728" s="1">
        <v>2735.7</v>
      </c>
    </row>
    <row r="729" spans="2:28" x14ac:dyDescent="0.2">
      <c r="B729" s="30" t="s">
        <v>2294</v>
      </c>
      <c r="C729" s="36"/>
      <c r="D729" s="36"/>
      <c r="F729" s="1" t="s">
        <v>1322</v>
      </c>
      <c r="G729" s="30" t="s">
        <v>2570</v>
      </c>
      <c r="K729" s="1" t="s">
        <v>2689</v>
      </c>
      <c r="L729" s="1" t="s">
        <v>1279</v>
      </c>
      <c r="M729" s="36" t="s">
        <v>2014</v>
      </c>
      <c r="N729" s="1" t="s">
        <v>1287</v>
      </c>
      <c r="O729" s="1" t="s">
        <v>1286</v>
      </c>
      <c r="P729" s="34" t="str">
        <f t="shared" si="14"/>
        <v>F010</v>
      </c>
      <c r="Q729" s="1" t="s">
        <v>138</v>
      </c>
      <c r="S729" s="16">
        <v>20</v>
      </c>
      <c r="T729" s="1" t="s">
        <v>2299</v>
      </c>
      <c r="U729" s="1" t="s">
        <v>1334</v>
      </c>
      <c r="V729" s="1" t="s">
        <v>1377</v>
      </c>
      <c r="Y729" s="1">
        <v>4712.2</v>
      </c>
      <c r="AB729" s="1">
        <v>2735.7</v>
      </c>
    </row>
    <row r="730" spans="2:28" x14ac:dyDescent="0.2">
      <c r="B730" s="30" t="s">
        <v>2294</v>
      </c>
      <c r="C730" s="36"/>
      <c r="D730" s="36"/>
      <c r="F730" s="1" t="s">
        <v>1322</v>
      </c>
      <c r="G730" s="30" t="s">
        <v>2570</v>
      </c>
      <c r="K730" s="1" t="s">
        <v>2690</v>
      </c>
      <c r="L730" s="1" t="s">
        <v>1279</v>
      </c>
      <c r="M730" s="36" t="s">
        <v>2014</v>
      </c>
      <c r="N730" s="1" t="s">
        <v>1287</v>
      </c>
      <c r="O730" s="1" t="s">
        <v>1286</v>
      </c>
      <c r="P730" s="34" t="str">
        <f t="shared" si="14"/>
        <v>F010</v>
      </c>
      <c r="Q730" s="1" t="s">
        <v>138</v>
      </c>
      <c r="S730" s="16">
        <v>20</v>
      </c>
      <c r="T730" s="1" t="s">
        <v>2299</v>
      </c>
      <c r="U730" s="1" t="s">
        <v>1334</v>
      </c>
      <c r="V730" s="1" t="s">
        <v>1377</v>
      </c>
      <c r="Y730" s="1">
        <v>4712.2</v>
      </c>
      <c r="AB730" s="1">
        <v>2735.7</v>
      </c>
    </row>
    <row r="731" spans="2:28" x14ac:dyDescent="0.2">
      <c r="B731" s="30" t="s">
        <v>2294</v>
      </c>
      <c r="C731" s="36"/>
      <c r="D731" s="36"/>
      <c r="F731" s="1" t="s">
        <v>1322</v>
      </c>
      <c r="G731" s="30" t="s">
        <v>2570</v>
      </c>
      <c r="K731" s="1" t="s">
        <v>2691</v>
      </c>
      <c r="L731" s="1" t="s">
        <v>1279</v>
      </c>
      <c r="M731" s="36" t="s">
        <v>2014</v>
      </c>
      <c r="N731" s="1" t="s">
        <v>1287</v>
      </c>
      <c r="O731" s="1" t="s">
        <v>1286</v>
      </c>
      <c r="P731" s="34" t="str">
        <f t="shared" si="14"/>
        <v>F010</v>
      </c>
      <c r="Q731" s="1" t="s">
        <v>138</v>
      </c>
      <c r="S731" s="16">
        <v>20</v>
      </c>
      <c r="T731" s="1" t="s">
        <v>2299</v>
      </c>
      <c r="U731" s="1" t="s">
        <v>1334</v>
      </c>
      <c r="V731" s="1" t="s">
        <v>1377</v>
      </c>
      <c r="Y731" s="1">
        <v>4712.2</v>
      </c>
      <c r="AB731" s="1">
        <v>2735.7</v>
      </c>
    </row>
    <row r="732" spans="2:28" x14ac:dyDescent="0.2">
      <c r="B732" s="30" t="s">
        <v>2294</v>
      </c>
      <c r="C732" s="36"/>
      <c r="D732" s="36"/>
      <c r="F732" s="1" t="s">
        <v>1322</v>
      </c>
      <c r="G732" s="30" t="s">
        <v>2570</v>
      </c>
      <c r="K732" s="1" t="s">
        <v>2692</v>
      </c>
      <c r="L732" s="1" t="s">
        <v>1279</v>
      </c>
      <c r="M732" s="36" t="s">
        <v>2014</v>
      </c>
      <c r="N732" s="1" t="s">
        <v>2611</v>
      </c>
      <c r="O732" s="1" t="s">
        <v>1286</v>
      </c>
      <c r="P732" s="34" t="str">
        <f t="shared" si="14"/>
        <v>F010</v>
      </c>
      <c r="Q732" s="1" t="s">
        <v>138</v>
      </c>
      <c r="S732" s="16">
        <v>20</v>
      </c>
      <c r="T732" s="1" t="s">
        <v>2299</v>
      </c>
      <c r="U732" s="1" t="s">
        <v>1334</v>
      </c>
      <c r="V732" s="1" t="s">
        <v>1377</v>
      </c>
      <c r="Y732" s="1">
        <v>4712.2</v>
      </c>
      <c r="AB732" s="1">
        <v>2735.7</v>
      </c>
    </row>
    <row r="733" spans="2:28" x14ac:dyDescent="0.2">
      <c r="B733" s="30" t="s">
        <v>2294</v>
      </c>
      <c r="C733" s="36"/>
      <c r="D733" s="36"/>
      <c r="F733" s="1" t="s">
        <v>1322</v>
      </c>
      <c r="G733" s="30" t="s">
        <v>2570</v>
      </c>
      <c r="K733" s="1" t="s">
        <v>2693</v>
      </c>
      <c r="L733" s="1" t="s">
        <v>1279</v>
      </c>
      <c r="M733" s="36" t="s">
        <v>2014</v>
      </c>
      <c r="N733" s="1" t="s">
        <v>1287</v>
      </c>
      <c r="O733" s="1" t="s">
        <v>1286</v>
      </c>
      <c r="P733" s="34" t="str">
        <f t="shared" si="14"/>
        <v>F010</v>
      </c>
      <c r="Q733" s="1" t="s">
        <v>138</v>
      </c>
      <c r="S733" s="16">
        <v>20</v>
      </c>
      <c r="T733" s="1" t="s">
        <v>2299</v>
      </c>
      <c r="U733" s="1" t="s">
        <v>1334</v>
      </c>
      <c r="V733" s="1" t="s">
        <v>1377</v>
      </c>
      <c r="Y733" s="1">
        <v>4712.2</v>
      </c>
      <c r="AB733" s="1">
        <v>2735.7</v>
      </c>
    </row>
    <row r="734" spans="2:28" x14ac:dyDescent="0.2">
      <c r="B734" s="30" t="s">
        <v>2294</v>
      </c>
      <c r="C734" s="36"/>
      <c r="D734" s="36"/>
      <c r="F734" s="1" t="s">
        <v>1322</v>
      </c>
      <c r="G734" s="30" t="s">
        <v>2570</v>
      </c>
      <c r="K734" s="1" t="s">
        <v>2694</v>
      </c>
      <c r="L734" s="1" t="s">
        <v>1279</v>
      </c>
      <c r="M734" s="36" t="s">
        <v>2014</v>
      </c>
      <c r="N734" s="1" t="s">
        <v>1837</v>
      </c>
      <c r="O734" s="1" t="s">
        <v>1286</v>
      </c>
      <c r="P734" s="34" t="str">
        <f t="shared" si="14"/>
        <v>F010</v>
      </c>
      <c r="Q734" s="1" t="s">
        <v>138</v>
      </c>
      <c r="S734" s="16">
        <v>20</v>
      </c>
      <c r="T734" s="1" t="s">
        <v>2427</v>
      </c>
      <c r="U734" s="1" t="s">
        <v>1334</v>
      </c>
      <c r="V734" s="1" t="s">
        <v>1377</v>
      </c>
      <c r="Y734" s="1">
        <v>4712.2</v>
      </c>
      <c r="AB734" s="1">
        <v>2735.7</v>
      </c>
    </row>
    <row r="735" spans="2:28" x14ac:dyDescent="0.2">
      <c r="B735" s="30" t="s">
        <v>2294</v>
      </c>
      <c r="C735" s="36"/>
      <c r="D735" s="36"/>
      <c r="F735" s="1" t="s">
        <v>1895</v>
      </c>
      <c r="G735" s="30" t="s">
        <v>2570</v>
      </c>
      <c r="K735" s="1" t="s">
        <v>2695</v>
      </c>
      <c r="L735" s="1" t="s">
        <v>1279</v>
      </c>
      <c r="M735" s="36" t="s">
        <v>2014</v>
      </c>
      <c r="N735" s="1" t="s">
        <v>1837</v>
      </c>
      <c r="O735" s="1" t="s">
        <v>1286</v>
      </c>
      <c r="P735" s="34" t="str">
        <f t="shared" si="14"/>
        <v>F010</v>
      </c>
      <c r="Q735" s="1" t="s">
        <v>138</v>
      </c>
      <c r="S735" s="16">
        <v>20</v>
      </c>
      <c r="T735" s="1" t="s">
        <v>2427</v>
      </c>
      <c r="U735" s="1" t="s">
        <v>1334</v>
      </c>
      <c r="V735" s="1" t="s">
        <v>1377</v>
      </c>
      <c r="Y735" s="1">
        <v>4712.2</v>
      </c>
      <c r="AB735" s="1">
        <v>2735.7</v>
      </c>
    </row>
    <row r="736" spans="2:28" x14ac:dyDescent="0.2">
      <c r="B736" s="30" t="s">
        <v>2294</v>
      </c>
      <c r="C736" s="36"/>
      <c r="D736" s="36"/>
      <c r="F736" s="1" t="s">
        <v>1895</v>
      </c>
      <c r="G736" s="30" t="s">
        <v>2570</v>
      </c>
      <c r="K736" s="1" t="s">
        <v>2696</v>
      </c>
      <c r="L736" s="1" t="s">
        <v>1279</v>
      </c>
      <c r="M736" s="36" t="s">
        <v>2014</v>
      </c>
      <c r="N736" s="1" t="s">
        <v>2598</v>
      </c>
      <c r="O736" s="1" t="s">
        <v>1286</v>
      </c>
      <c r="P736" s="34" t="str">
        <f t="shared" si="14"/>
        <v>F010</v>
      </c>
      <c r="Q736" s="1" t="s">
        <v>138</v>
      </c>
      <c r="S736" s="16">
        <v>20</v>
      </c>
      <c r="T736" s="1" t="s">
        <v>2427</v>
      </c>
      <c r="U736" s="1" t="s">
        <v>1334</v>
      </c>
      <c r="V736" s="1" t="s">
        <v>1377</v>
      </c>
      <c r="Y736" s="1">
        <v>4712.2</v>
      </c>
      <c r="AB736" s="1">
        <v>2735.7</v>
      </c>
    </row>
    <row r="737" spans="2:28" x14ac:dyDescent="0.2">
      <c r="B737" s="30" t="s">
        <v>2294</v>
      </c>
      <c r="C737" s="36"/>
      <c r="D737" s="36"/>
      <c r="F737" s="1" t="s">
        <v>1895</v>
      </c>
      <c r="G737" s="30" t="s">
        <v>2570</v>
      </c>
      <c r="K737" s="1" t="s">
        <v>2697</v>
      </c>
      <c r="L737" s="1" t="s">
        <v>1279</v>
      </c>
      <c r="M737" s="36" t="s">
        <v>2014</v>
      </c>
      <c r="N737" s="1" t="s">
        <v>1833</v>
      </c>
      <c r="O737" s="1" t="s">
        <v>1286</v>
      </c>
      <c r="P737" s="34" t="str">
        <f t="shared" si="14"/>
        <v>F010</v>
      </c>
      <c r="Q737" s="1" t="s">
        <v>138</v>
      </c>
      <c r="S737" s="16">
        <v>20</v>
      </c>
      <c r="T737" s="1" t="s">
        <v>2427</v>
      </c>
      <c r="U737" s="1" t="s">
        <v>1334</v>
      </c>
      <c r="V737" s="1" t="s">
        <v>1377</v>
      </c>
      <c r="Y737" s="1">
        <v>4712.2</v>
      </c>
      <c r="AB737" s="1">
        <v>2735.7</v>
      </c>
    </row>
    <row r="738" spans="2:28" x14ac:dyDescent="0.2">
      <c r="B738" s="30" t="s">
        <v>2294</v>
      </c>
      <c r="C738" s="36"/>
      <c r="D738" s="36"/>
      <c r="F738" s="1" t="s">
        <v>1895</v>
      </c>
      <c r="G738" s="30" t="s">
        <v>2570</v>
      </c>
      <c r="K738" s="1" t="s">
        <v>2698</v>
      </c>
      <c r="L738" s="1" t="s">
        <v>1279</v>
      </c>
      <c r="M738" s="36" t="s">
        <v>2014</v>
      </c>
      <c r="N738" s="1" t="s">
        <v>1788</v>
      </c>
      <c r="O738" s="1" t="s">
        <v>1286</v>
      </c>
      <c r="P738" s="34" t="str">
        <f t="shared" si="14"/>
        <v>F010</v>
      </c>
      <c r="Q738" s="1" t="s">
        <v>138</v>
      </c>
      <c r="S738" s="16">
        <v>20</v>
      </c>
      <c r="T738" s="1" t="s">
        <v>2427</v>
      </c>
      <c r="U738" s="1" t="s">
        <v>1334</v>
      </c>
      <c r="V738" s="1" t="s">
        <v>1377</v>
      </c>
      <c r="Y738" s="1">
        <v>4712.2</v>
      </c>
      <c r="AB738" s="1">
        <v>2735.7</v>
      </c>
    </row>
    <row r="739" spans="2:28" x14ac:dyDescent="0.2">
      <c r="B739" s="30" t="s">
        <v>2294</v>
      </c>
      <c r="C739" s="36"/>
      <c r="D739" s="36"/>
      <c r="F739" s="1" t="s">
        <v>1895</v>
      </c>
      <c r="G739" s="30" t="s">
        <v>2570</v>
      </c>
      <c r="K739" s="1" t="s">
        <v>2699</v>
      </c>
      <c r="L739" s="1" t="s">
        <v>1279</v>
      </c>
      <c r="M739" s="36" t="s">
        <v>2014</v>
      </c>
      <c r="N739" s="1" t="s">
        <v>1837</v>
      </c>
      <c r="O739" s="1" t="s">
        <v>1286</v>
      </c>
      <c r="P739" s="34" t="str">
        <f t="shared" si="14"/>
        <v>F010</v>
      </c>
      <c r="Q739" s="1" t="s">
        <v>138</v>
      </c>
      <c r="S739" s="16">
        <v>20</v>
      </c>
      <c r="T739" s="1" t="s">
        <v>2427</v>
      </c>
      <c r="U739" s="1" t="s">
        <v>1334</v>
      </c>
      <c r="V739" s="1" t="s">
        <v>1377</v>
      </c>
      <c r="Y739" s="1">
        <v>4712.2</v>
      </c>
      <c r="AB739" s="1">
        <v>2735.7</v>
      </c>
    </row>
    <row r="740" spans="2:28" x14ac:dyDescent="0.2">
      <c r="B740" s="30" t="s">
        <v>2294</v>
      </c>
      <c r="C740" s="36"/>
      <c r="D740" s="36"/>
      <c r="F740" s="1" t="s">
        <v>1895</v>
      </c>
      <c r="G740" s="30" t="s">
        <v>2570</v>
      </c>
      <c r="K740" s="1" t="s">
        <v>2700</v>
      </c>
      <c r="L740" s="1" t="s">
        <v>1279</v>
      </c>
      <c r="M740" s="36" t="s">
        <v>2014</v>
      </c>
      <c r="N740" s="1" t="s">
        <v>1837</v>
      </c>
      <c r="O740" s="1" t="s">
        <v>1286</v>
      </c>
      <c r="P740" s="34" t="str">
        <f t="shared" si="14"/>
        <v>F010</v>
      </c>
      <c r="Q740" s="1" t="s">
        <v>138</v>
      </c>
      <c r="S740" s="16">
        <v>20</v>
      </c>
      <c r="T740" s="1" t="s">
        <v>2427</v>
      </c>
      <c r="U740" s="1" t="s">
        <v>1334</v>
      </c>
      <c r="V740" s="1" t="s">
        <v>1377</v>
      </c>
      <c r="Y740" s="1">
        <v>4712.2</v>
      </c>
      <c r="AB740" s="1">
        <v>2735.7</v>
      </c>
    </row>
    <row r="741" spans="2:28" x14ac:dyDescent="0.2">
      <c r="B741" s="30" t="s">
        <v>2294</v>
      </c>
      <c r="C741" s="36"/>
      <c r="D741" s="36"/>
      <c r="F741" s="1" t="s">
        <v>1895</v>
      </c>
      <c r="G741" s="30" t="s">
        <v>2570</v>
      </c>
      <c r="K741" s="1" t="s">
        <v>2701</v>
      </c>
      <c r="L741" s="1" t="s">
        <v>1279</v>
      </c>
      <c r="M741" s="36" t="s">
        <v>2014</v>
      </c>
      <c r="N741" s="1" t="s">
        <v>1837</v>
      </c>
      <c r="O741" s="1" t="s">
        <v>1286</v>
      </c>
      <c r="P741" s="34" t="str">
        <f t="shared" si="14"/>
        <v>F010</v>
      </c>
      <c r="Q741" s="1" t="s">
        <v>138</v>
      </c>
      <c r="S741" s="16">
        <v>20</v>
      </c>
      <c r="T741" s="1" t="s">
        <v>2427</v>
      </c>
      <c r="U741" s="1" t="s">
        <v>1334</v>
      </c>
      <c r="V741" s="1" t="s">
        <v>1377</v>
      </c>
      <c r="Y741" s="1">
        <v>4712.2</v>
      </c>
      <c r="AB741" s="1">
        <v>2735.7</v>
      </c>
    </row>
    <row r="742" spans="2:28" x14ac:dyDescent="0.2">
      <c r="B742" s="30" t="s">
        <v>2294</v>
      </c>
      <c r="C742" s="36"/>
      <c r="D742" s="36"/>
      <c r="F742" s="1" t="s">
        <v>1895</v>
      </c>
      <c r="G742" s="30" t="s">
        <v>2570</v>
      </c>
      <c r="K742" s="1" t="s">
        <v>2702</v>
      </c>
      <c r="L742" s="1" t="s">
        <v>1279</v>
      </c>
      <c r="M742" s="36" t="s">
        <v>2014</v>
      </c>
      <c r="N742" s="1" t="s">
        <v>1837</v>
      </c>
      <c r="O742" s="1" t="s">
        <v>1286</v>
      </c>
      <c r="P742" s="34" t="str">
        <f t="shared" si="14"/>
        <v>F010</v>
      </c>
      <c r="Q742" s="1" t="s">
        <v>138</v>
      </c>
      <c r="S742" s="16">
        <v>20</v>
      </c>
      <c r="T742" s="1" t="s">
        <v>2427</v>
      </c>
      <c r="U742" s="1" t="s">
        <v>1334</v>
      </c>
      <c r="V742" s="1" t="s">
        <v>1377</v>
      </c>
      <c r="Y742" s="1">
        <v>4712.2</v>
      </c>
      <c r="AB742" s="1">
        <v>2735.7</v>
      </c>
    </row>
    <row r="743" spans="2:28" x14ac:dyDescent="0.2">
      <c r="B743" s="30" t="s">
        <v>2294</v>
      </c>
      <c r="C743" s="36"/>
      <c r="D743" s="36"/>
      <c r="F743" s="1" t="s">
        <v>1895</v>
      </c>
      <c r="G743" s="30" t="s">
        <v>2570</v>
      </c>
      <c r="K743" s="1" t="s">
        <v>2703</v>
      </c>
      <c r="L743" s="1" t="s">
        <v>1279</v>
      </c>
      <c r="M743" s="36" t="s">
        <v>2014</v>
      </c>
      <c r="N743" s="1" t="s">
        <v>1837</v>
      </c>
      <c r="O743" s="1" t="s">
        <v>1286</v>
      </c>
      <c r="P743" s="34" t="str">
        <f t="shared" si="14"/>
        <v>F010</v>
      </c>
      <c r="Q743" s="1" t="s">
        <v>138</v>
      </c>
      <c r="S743" s="16">
        <v>20</v>
      </c>
      <c r="T743" s="1" t="s">
        <v>2427</v>
      </c>
      <c r="U743" s="1" t="s">
        <v>1334</v>
      </c>
      <c r="V743" s="1" t="s">
        <v>1377</v>
      </c>
      <c r="Y743" s="1">
        <v>4712.2</v>
      </c>
      <c r="AB743" s="1">
        <v>2735.7</v>
      </c>
    </row>
    <row r="744" spans="2:28" x14ac:dyDescent="0.2">
      <c r="B744" s="30" t="s">
        <v>2294</v>
      </c>
      <c r="C744" s="36"/>
      <c r="D744" s="36"/>
      <c r="F744" s="1" t="s">
        <v>1895</v>
      </c>
      <c r="G744" s="30" t="s">
        <v>2570</v>
      </c>
      <c r="K744" s="1" t="s">
        <v>2704</v>
      </c>
      <c r="L744" s="1" t="s">
        <v>1279</v>
      </c>
      <c r="M744" s="36" t="s">
        <v>2014</v>
      </c>
      <c r="N744" s="1" t="s">
        <v>1837</v>
      </c>
      <c r="O744" s="1" t="s">
        <v>1286</v>
      </c>
      <c r="P744" s="34" t="str">
        <f t="shared" si="14"/>
        <v>F010</v>
      </c>
      <c r="Q744" s="1" t="s">
        <v>138</v>
      </c>
      <c r="S744" s="16">
        <v>20</v>
      </c>
      <c r="T744" s="1" t="s">
        <v>2427</v>
      </c>
      <c r="U744" s="1" t="s">
        <v>1334</v>
      </c>
      <c r="V744" s="1" t="s">
        <v>1377</v>
      </c>
      <c r="Y744" s="1">
        <v>4712.2</v>
      </c>
      <c r="AB744" s="1">
        <v>2735.7</v>
      </c>
    </row>
    <row r="745" spans="2:28" x14ac:dyDescent="0.2">
      <c r="B745" s="30" t="s">
        <v>2294</v>
      </c>
      <c r="C745" s="36"/>
      <c r="D745" s="36"/>
      <c r="F745" s="1" t="s">
        <v>1895</v>
      </c>
      <c r="G745" s="30" t="s">
        <v>2570</v>
      </c>
      <c r="K745" s="1" t="s">
        <v>2705</v>
      </c>
      <c r="L745" s="1" t="s">
        <v>1279</v>
      </c>
      <c r="M745" s="36" t="s">
        <v>2014</v>
      </c>
      <c r="N745" s="1" t="s">
        <v>1837</v>
      </c>
      <c r="O745" s="1" t="s">
        <v>1286</v>
      </c>
      <c r="P745" s="34" t="str">
        <f t="shared" si="14"/>
        <v>F010</v>
      </c>
      <c r="Q745" s="1" t="s">
        <v>138</v>
      </c>
      <c r="S745" s="16">
        <v>20</v>
      </c>
      <c r="T745" s="1" t="s">
        <v>2427</v>
      </c>
      <c r="U745" s="1" t="s">
        <v>1334</v>
      </c>
      <c r="V745" s="1" t="s">
        <v>1377</v>
      </c>
      <c r="Y745" s="1">
        <v>4712.2</v>
      </c>
      <c r="AB745" s="1">
        <v>2735.7</v>
      </c>
    </row>
    <row r="746" spans="2:28" x14ac:dyDescent="0.2">
      <c r="B746" s="30" t="s">
        <v>2294</v>
      </c>
      <c r="C746" s="36"/>
      <c r="D746" s="36"/>
      <c r="F746" s="1" t="s">
        <v>1895</v>
      </c>
      <c r="G746" s="30" t="s">
        <v>2570</v>
      </c>
      <c r="K746" s="1" t="s">
        <v>2706</v>
      </c>
      <c r="L746" s="1" t="s">
        <v>1279</v>
      </c>
      <c r="M746" s="36" t="s">
        <v>2014</v>
      </c>
      <c r="N746" s="1" t="s">
        <v>1715</v>
      </c>
      <c r="O746" s="1" t="s">
        <v>1286</v>
      </c>
      <c r="P746" s="34" t="str">
        <f t="shared" si="14"/>
        <v>F010</v>
      </c>
      <c r="Q746" s="1" t="s">
        <v>138</v>
      </c>
      <c r="S746" s="16">
        <v>20</v>
      </c>
      <c r="T746" s="1" t="s">
        <v>2427</v>
      </c>
      <c r="U746" s="1" t="s">
        <v>1334</v>
      </c>
      <c r="V746" s="1" t="s">
        <v>1377</v>
      </c>
      <c r="Y746" s="1">
        <v>4712.2</v>
      </c>
      <c r="AB746" s="1">
        <v>2735.7</v>
      </c>
    </row>
    <row r="747" spans="2:28" x14ac:dyDescent="0.2">
      <c r="B747" s="30" t="s">
        <v>2294</v>
      </c>
      <c r="C747" s="36"/>
      <c r="D747" s="36"/>
      <c r="F747" s="1" t="s">
        <v>1895</v>
      </c>
      <c r="G747" s="30" t="s">
        <v>2570</v>
      </c>
      <c r="K747" s="1" t="s">
        <v>2707</v>
      </c>
      <c r="L747" s="1" t="s">
        <v>1279</v>
      </c>
      <c r="M747" s="36" t="s">
        <v>2014</v>
      </c>
      <c r="N747" s="1" t="s">
        <v>1788</v>
      </c>
      <c r="O747" s="1" t="s">
        <v>1286</v>
      </c>
      <c r="P747" s="34" t="str">
        <f t="shared" si="14"/>
        <v>F010</v>
      </c>
      <c r="Q747" s="1" t="s">
        <v>138</v>
      </c>
      <c r="S747" s="16">
        <v>20</v>
      </c>
      <c r="T747" s="1" t="s">
        <v>2427</v>
      </c>
      <c r="U747" s="1" t="s">
        <v>1334</v>
      </c>
      <c r="V747" s="1" t="s">
        <v>1377</v>
      </c>
      <c r="Y747" s="1">
        <v>4712.2</v>
      </c>
      <c r="AB747" s="1">
        <v>2735.7</v>
      </c>
    </row>
    <row r="748" spans="2:28" x14ac:dyDescent="0.2">
      <c r="B748" s="30" t="s">
        <v>2294</v>
      </c>
      <c r="C748" s="36"/>
      <c r="D748" s="36"/>
      <c r="F748" s="1" t="s">
        <v>1895</v>
      </c>
      <c r="G748" s="30" t="s">
        <v>2570</v>
      </c>
      <c r="K748" s="1" t="s">
        <v>2708</v>
      </c>
      <c r="L748" s="1" t="s">
        <v>1279</v>
      </c>
      <c r="M748" s="36" t="s">
        <v>2014</v>
      </c>
      <c r="N748" s="1" t="s">
        <v>1637</v>
      </c>
      <c r="O748" s="1" t="s">
        <v>1286</v>
      </c>
      <c r="P748" s="34" t="str">
        <f t="shared" si="14"/>
        <v>F010</v>
      </c>
      <c r="Q748" s="1" t="s">
        <v>138</v>
      </c>
      <c r="S748" s="16">
        <v>20</v>
      </c>
      <c r="T748" s="1" t="s">
        <v>2427</v>
      </c>
      <c r="U748" s="1" t="s">
        <v>1334</v>
      </c>
      <c r="V748" s="1" t="s">
        <v>1377</v>
      </c>
      <c r="Y748" s="1">
        <v>4712.2</v>
      </c>
      <c r="AB748" s="1">
        <v>2735.7</v>
      </c>
    </row>
    <row r="749" spans="2:28" x14ac:dyDescent="0.2">
      <c r="B749" s="30" t="s">
        <v>2294</v>
      </c>
      <c r="C749" s="36"/>
      <c r="D749" s="36"/>
      <c r="F749" s="1" t="s">
        <v>1895</v>
      </c>
      <c r="G749" s="30" t="s">
        <v>2709</v>
      </c>
      <c r="K749" s="1" t="s">
        <v>2710</v>
      </c>
      <c r="L749" s="1" t="s">
        <v>1279</v>
      </c>
      <c r="M749" s="36" t="s">
        <v>1699</v>
      </c>
      <c r="N749" s="1" t="s">
        <v>1283</v>
      </c>
      <c r="O749" s="1" t="s">
        <v>1286</v>
      </c>
      <c r="P749" s="34" t="str">
        <f t="shared" si="14"/>
        <v>F010</v>
      </c>
      <c r="Q749" s="1" t="s">
        <v>137</v>
      </c>
      <c r="S749" s="16">
        <v>20</v>
      </c>
      <c r="T749" s="1" t="s">
        <v>2427</v>
      </c>
      <c r="U749" s="1" t="s">
        <v>1541</v>
      </c>
      <c r="V749" s="1" t="s">
        <v>2711</v>
      </c>
      <c r="Y749" s="1">
        <v>4264.8999999999996</v>
      </c>
      <c r="AB749" s="1">
        <v>3488.94</v>
      </c>
    </row>
    <row r="750" spans="2:28" x14ac:dyDescent="0.2">
      <c r="B750" s="30" t="s">
        <v>2294</v>
      </c>
      <c r="C750" s="36"/>
      <c r="D750" s="36"/>
      <c r="F750" s="1" t="s">
        <v>1895</v>
      </c>
      <c r="G750" s="30" t="s">
        <v>2709</v>
      </c>
      <c r="K750" s="1" t="s">
        <v>2712</v>
      </c>
      <c r="L750" s="1" t="s">
        <v>1279</v>
      </c>
      <c r="M750" s="36" t="s">
        <v>1699</v>
      </c>
      <c r="N750" s="1" t="s">
        <v>1283</v>
      </c>
      <c r="O750" s="1" t="s">
        <v>1286</v>
      </c>
      <c r="P750" s="34" t="str">
        <f t="shared" si="14"/>
        <v>F010</v>
      </c>
      <c r="Q750" s="1" t="s">
        <v>137</v>
      </c>
      <c r="S750" s="16">
        <v>20</v>
      </c>
      <c r="T750" s="1" t="s">
        <v>2427</v>
      </c>
      <c r="U750" s="1" t="s">
        <v>1541</v>
      </c>
      <c r="V750" s="1" t="s">
        <v>2711</v>
      </c>
      <c r="Y750" s="1">
        <v>4264.8999999999996</v>
      </c>
      <c r="AB750" s="1">
        <v>3488.94</v>
      </c>
    </row>
    <row r="751" spans="2:28" x14ac:dyDescent="0.2">
      <c r="B751" s="30" t="s">
        <v>2294</v>
      </c>
      <c r="C751" s="36"/>
      <c r="D751" s="36"/>
      <c r="F751" s="1" t="s">
        <v>1895</v>
      </c>
      <c r="G751" s="30" t="s">
        <v>2709</v>
      </c>
      <c r="K751" s="1" t="s">
        <v>2713</v>
      </c>
      <c r="L751" s="1" t="s">
        <v>1279</v>
      </c>
      <c r="M751" s="36" t="s">
        <v>1699</v>
      </c>
      <c r="N751" s="1" t="s">
        <v>1283</v>
      </c>
      <c r="O751" s="1" t="s">
        <v>1286</v>
      </c>
      <c r="P751" s="34" t="str">
        <f t="shared" si="14"/>
        <v>F010</v>
      </c>
      <c r="Q751" s="1" t="s">
        <v>137</v>
      </c>
      <c r="S751" s="16">
        <v>20</v>
      </c>
      <c r="T751" s="1" t="s">
        <v>2427</v>
      </c>
      <c r="U751" s="1" t="s">
        <v>1541</v>
      </c>
      <c r="V751" s="1" t="s">
        <v>2711</v>
      </c>
      <c r="Y751" s="1">
        <v>4264.8999999999996</v>
      </c>
      <c r="AB751" s="1">
        <v>3488.94</v>
      </c>
    </row>
    <row r="752" spans="2:28" x14ac:dyDescent="0.2">
      <c r="B752" s="30" t="s">
        <v>2294</v>
      </c>
      <c r="C752" s="36"/>
      <c r="D752" s="36"/>
      <c r="F752" s="1" t="s">
        <v>1895</v>
      </c>
      <c r="G752" s="30" t="s">
        <v>2709</v>
      </c>
      <c r="K752" s="1" t="s">
        <v>2714</v>
      </c>
      <c r="L752" s="1" t="s">
        <v>1279</v>
      </c>
      <c r="M752" s="36" t="s">
        <v>1699</v>
      </c>
      <c r="N752" s="1" t="s">
        <v>1283</v>
      </c>
      <c r="O752" s="1" t="s">
        <v>1286</v>
      </c>
      <c r="P752" s="34" t="str">
        <f t="shared" si="14"/>
        <v>F010</v>
      </c>
      <c r="Q752" s="1" t="s">
        <v>137</v>
      </c>
      <c r="S752" s="16">
        <v>20</v>
      </c>
      <c r="T752" s="1" t="s">
        <v>2427</v>
      </c>
      <c r="U752" s="1" t="s">
        <v>1541</v>
      </c>
      <c r="V752" s="1" t="s">
        <v>2711</v>
      </c>
      <c r="Y752" s="1">
        <v>4264.8999999999996</v>
      </c>
      <c r="AB752" s="1">
        <v>3488.94</v>
      </c>
    </row>
    <row r="753" spans="2:28" x14ac:dyDescent="0.2">
      <c r="B753" s="30" t="s">
        <v>2294</v>
      </c>
      <c r="C753" s="36"/>
      <c r="D753" s="36"/>
      <c r="F753" s="1" t="s">
        <v>1895</v>
      </c>
      <c r="G753" s="30" t="s">
        <v>2709</v>
      </c>
      <c r="K753" s="1" t="s">
        <v>2715</v>
      </c>
      <c r="L753" s="1" t="s">
        <v>1279</v>
      </c>
      <c r="M753" s="36" t="s">
        <v>1699</v>
      </c>
      <c r="N753" s="1" t="s">
        <v>1283</v>
      </c>
      <c r="O753" s="1" t="s">
        <v>1286</v>
      </c>
      <c r="P753" s="34" t="str">
        <f t="shared" si="14"/>
        <v>F010</v>
      </c>
      <c r="Q753" s="1" t="s">
        <v>137</v>
      </c>
      <c r="S753" s="16">
        <v>20</v>
      </c>
      <c r="T753" s="1" t="s">
        <v>2299</v>
      </c>
      <c r="U753" s="1" t="s">
        <v>1541</v>
      </c>
      <c r="V753" s="1" t="s">
        <v>2711</v>
      </c>
      <c r="Y753" s="1">
        <v>4264.8999999999996</v>
      </c>
      <c r="AB753" s="1">
        <v>3488.94</v>
      </c>
    </row>
    <row r="754" spans="2:28" x14ac:dyDescent="0.2">
      <c r="B754" s="30" t="s">
        <v>2294</v>
      </c>
      <c r="C754" s="36"/>
      <c r="D754" s="36"/>
      <c r="F754" s="1" t="s">
        <v>1322</v>
      </c>
      <c r="G754" s="30" t="s">
        <v>2709</v>
      </c>
      <c r="K754" s="1" t="s">
        <v>2716</v>
      </c>
      <c r="L754" s="1" t="s">
        <v>1279</v>
      </c>
      <c r="M754" s="36" t="s">
        <v>1699</v>
      </c>
      <c r="N754" s="1" t="s">
        <v>1283</v>
      </c>
      <c r="O754" s="1" t="s">
        <v>1286</v>
      </c>
      <c r="P754" s="34" t="str">
        <f t="shared" si="14"/>
        <v>F010</v>
      </c>
      <c r="Q754" s="1" t="s">
        <v>137</v>
      </c>
      <c r="S754" s="16">
        <v>20</v>
      </c>
      <c r="T754" s="1" t="s">
        <v>2427</v>
      </c>
      <c r="U754" s="1" t="s">
        <v>1541</v>
      </c>
      <c r="V754" s="1" t="s">
        <v>2711</v>
      </c>
      <c r="Y754" s="1">
        <v>4264.8999999999996</v>
      </c>
      <c r="AB754" s="1">
        <v>3488.94</v>
      </c>
    </row>
    <row r="755" spans="2:28" x14ac:dyDescent="0.2">
      <c r="B755" s="30" t="s">
        <v>2294</v>
      </c>
      <c r="C755" s="36"/>
      <c r="D755" s="36"/>
      <c r="F755" s="1" t="s">
        <v>1895</v>
      </c>
      <c r="G755" s="30" t="s">
        <v>2709</v>
      </c>
      <c r="K755" s="1" t="s">
        <v>2717</v>
      </c>
      <c r="L755" s="1" t="s">
        <v>1279</v>
      </c>
      <c r="M755" s="36" t="s">
        <v>1699</v>
      </c>
      <c r="N755" s="1" t="s">
        <v>1283</v>
      </c>
      <c r="O755" s="1" t="s">
        <v>1286</v>
      </c>
      <c r="P755" s="34" t="str">
        <f t="shared" si="14"/>
        <v>F010</v>
      </c>
      <c r="Q755" s="1" t="s">
        <v>137</v>
      </c>
      <c r="S755" s="16">
        <v>20</v>
      </c>
      <c r="T755" s="1" t="s">
        <v>2427</v>
      </c>
      <c r="U755" s="1" t="s">
        <v>1541</v>
      </c>
      <c r="V755" s="1" t="s">
        <v>2711</v>
      </c>
      <c r="Y755" s="1">
        <v>4264.8999999999996</v>
      </c>
      <c r="AB755" s="1">
        <v>3488.94</v>
      </c>
    </row>
    <row r="756" spans="2:28" x14ac:dyDescent="0.2">
      <c r="B756" s="30" t="s">
        <v>2294</v>
      </c>
      <c r="C756" s="36"/>
      <c r="D756" s="36"/>
      <c r="F756" s="1" t="s">
        <v>1895</v>
      </c>
      <c r="G756" s="30" t="s">
        <v>2709</v>
      </c>
      <c r="K756" s="1" t="s">
        <v>2718</v>
      </c>
      <c r="L756" s="1" t="s">
        <v>1279</v>
      </c>
      <c r="M756" s="36" t="s">
        <v>1699</v>
      </c>
      <c r="N756" s="1" t="s">
        <v>1283</v>
      </c>
      <c r="O756" s="1" t="s">
        <v>1286</v>
      </c>
      <c r="P756" s="34" t="str">
        <f t="shared" si="14"/>
        <v>F010</v>
      </c>
      <c r="Q756" s="1" t="s">
        <v>137</v>
      </c>
      <c r="S756" s="16">
        <v>20</v>
      </c>
      <c r="T756" s="1" t="s">
        <v>2427</v>
      </c>
      <c r="U756" s="1" t="s">
        <v>1541</v>
      </c>
      <c r="V756" s="1" t="s">
        <v>2711</v>
      </c>
      <c r="Y756" s="1">
        <v>4264.8999999999996</v>
      </c>
      <c r="AB756" s="1">
        <v>3488.94</v>
      </c>
    </row>
    <row r="757" spans="2:28" x14ac:dyDescent="0.2">
      <c r="B757" s="30" t="s">
        <v>2294</v>
      </c>
      <c r="C757" s="36"/>
      <c r="D757" s="36"/>
      <c r="F757" s="1" t="s">
        <v>1895</v>
      </c>
      <c r="G757" s="30" t="s">
        <v>2709</v>
      </c>
      <c r="K757" s="1" t="s">
        <v>2719</v>
      </c>
      <c r="L757" s="1" t="s">
        <v>1279</v>
      </c>
      <c r="M757" s="36" t="s">
        <v>1699</v>
      </c>
      <c r="N757" s="1" t="s">
        <v>1283</v>
      </c>
      <c r="O757" s="1" t="s">
        <v>1286</v>
      </c>
      <c r="P757" s="34" t="str">
        <f t="shared" si="14"/>
        <v>F010</v>
      </c>
      <c r="Q757" s="1" t="s">
        <v>137</v>
      </c>
      <c r="S757" s="16">
        <v>20</v>
      </c>
      <c r="T757" s="1" t="s">
        <v>2427</v>
      </c>
      <c r="U757" s="1" t="s">
        <v>1541</v>
      </c>
      <c r="V757" s="1" t="s">
        <v>2711</v>
      </c>
      <c r="Y757" s="1">
        <v>4264.8999999999996</v>
      </c>
      <c r="AB757" s="1">
        <v>3488.94</v>
      </c>
    </row>
    <row r="758" spans="2:28" x14ac:dyDescent="0.2">
      <c r="B758" s="30" t="s">
        <v>2294</v>
      </c>
      <c r="C758" s="36"/>
      <c r="D758" s="36"/>
      <c r="F758" s="1" t="s">
        <v>1895</v>
      </c>
      <c r="G758" s="30" t="s">
        <v>2709</v>
      </c>
      <c r="K758" s="1" t="s">
        <v>2720</v>
      </c>
      <c r="L758" s="1" t="s">
        <v>1279</v>
      </c>
      <c r="M758" s="36" t="s">
        <v>1699</v>
      </c>
      <c r="N758" s="1" t="s">
        <v>1283</v>
      </c>
      <c r="O758" s="1" t="s">
        <v>1286</v>
      </c>
      <c r="P758" s="34" t="str">
        <f t="shared" si="14"/>
        <v>F010</v>
      </c>
      <c r="Q758" s="1" t="s">
        <v>137</v>
      </c>
      <c r="S758" s="16">
        <v>20</v>
      </c>
      <c r="T758" s="1" t="s">
        <v>2427</v>
      </c>
      <c r="U758" s="1" t="s">
        <v>1541</v>
      </c>
      <c r="V758" s="1" t="s">
        <v>2711</v>
      </c>
      <c r="Y758" s="1">
        <v>4264.8999999999996</v>
      </c>
      <c r="AB758" s="1">
        <v>3488.94</v>
      </c>
    </row>
    <row r="759" spans="2:28" x14ac:dyDescent="0.2">
      <c r="B759" s="30" t="s">
        <v>2294</v>
      </c>
      <c r="C759" s="36"/>
      <c r="D759" s="36"/>
      <c r="F759" s="1" t="s">
        <v>1895</v>
      </c>
      <c r="G759" s="30" t="s">
        <v>2709</v>
      </c>
      <c r="K759" s="1" t="s">
        <v>2721</v>
      </c>
      <c r="L759" s="1" t="s">
        <v>1279</v>
      </c>
      <c r="M759" s="36" t="s">
        <v>1699</v>
      </c>
      <c r="N759" s="1" t="s">
        <v>1283</v>
      </c>
      <c r="O759" s="1" t="s">
        <v>1286</v>
      </c>
      <c r="P759" s="34" t="str">
        <f t="shared" si="14"/>
        <v>F010</v>
      </c>
      <c r="Q759" s="1" t="s">
        <v>137</v>
      </c>
      <c r="S759" s="16">
        <v>20</v>
      </c>
      <c r="T759" s="1" t="s">
        <v>2427</v>
      </c>
      <c r="U759" s="1" t="s">
        <v>1541</v>
      </c>
      <c r="V759" s="1" t="s">
        <v>2711</v>
      </c>
      <c r="Y759" s="1">
        <v>4264.8999999999996</v>
      </c>
      <c r="AB759" s="1">
        <v>3488.94</v>
      </c>
    </row>
    <row r="760" spans="2:28" x14ac:dyDescent="0.2">
      <c r="B760" s="30" t="s">
        <v>2294</v>
      </c>
      <c r="C760" s="36"/>
      <c r="D760" s="36"/>
      <c r="F760" s="1" t="s">
        <v>1895</v>
      </c>
      <c r="G760" s="30" t="s">
        <v>2709</v>
      </c>
      <c r="K760" s="1" t="s">
        <v>2722</v>
      </c>
      <c r="L760" s="1" t="s">
        <v>1279</v>
      </c>
      <c r="M760" s="36" t="s">
        <v>1699</v>
      </c>
      <c r="N760" s="1" t="s">
        <v>1283</v>
      </c>
      <c r="O760" s="1" t="s">
        <v>1286</v>
      </c>
      <c r="P760" s="34" t="str">
        <f t="shared" si="14"/>
        <v>F010</v>
      </c>
      <c r="Q760" s="1" t="s">
        <v>137</v>
      </c>
      <c r="S760" s="16">
        <v>20</v>
      </c>
      <c r="T760" s="1" t="s">
        <v>2427</v>
      </c>
      <c r="U760" s="1" t="s">
        <v>1541</v>
      </c>
      <c r="V760" s="1" t="s">
        <v>2711</v>
      </c>
      <c r="Y760" s="1">
        <v>4264.8999999999996</v>
      </c>
      <c r="AB760" s="1">
        <v>3488.94</v>
      </c>
    </row>
    <row r="761" spans="2:28" x14ac:dyDescent="0.2">
      <c r="B761" s="30" t="s">
        <v>2294</v>
      </c>
      <c r="C761" s="36"/>
      <c r="D761" s="36"/>
      <c r="F761" s="1" t="s">
        <v>1895</v>
      </c>
      <c r="G761" s="30" t="s">
        <v>2709</v>
      </c>
      <c r="K761" s="1" t="s">
        <v>2723</v>
      </c>
      <c r="L761" s="1" t="s">
        <v>1279</v>
      </c>
      <c r="M761" s="36" t="s">
        <v>1699</v>
      </c>
      <c r="N761" s="1" t="s">
        <v>1283</v>
      </c>
      <c r="O761" s="1" t="s">
        <v>1286</v>
      </c>
      <c r="P761" s="34" t="str">
        <f t="shared" si="14"/>
        <v>F010</v>
      </c>
      <c r="Q761" s="1" t="s">
        <v>137</v>
      </c>
      <c r="S761" s="16">
        <v>20</v>
      </c>
      <c r="T761" s="1" t="s">
        <v>2427</v>
      </c>
      <c r="U761" s="1" t="s">
        <v>1541</v>
      </c>
      <c r="V761" s="1" t="s">
        <v>2711</v>
      </c>
      <c r="Y761" s="1">
        <v>4264.8999999999996</v>
      </c>
      <c r="AB761" s="1">
        <v>3488.94</v>
      </c>
    </row>
    <row r="762" spans="2:28" x14ac:dyDescent="0.2">
      <c r="B762" s="30" t="s">
        <v>2294</v>
      </c>
      <c r="C762" s="36"/>
      <c r="D762" s="36"/>
      <c r="F762" s="1" t="s">
        <v>1895</v>
      </c>
      <c r="G762" s="30" t="s">
        <v>2709</v>
      </c>
      <c r="K762" s="1" t="s">
        <v>2724</v>
      </c>
      <c r="L762" s="1" t="s">
        <v>1279</v>
      </c>
      <c r="M762" s="36" t="s">
        <v>1699</v>
      </c>
      <c r="N762" s="1" t="s">
        <v>1283</v>
      </c>
      <c r="O762" s="1" t="s">
        <v>1286</v>
      </c>
      <c r="P762" s="34" t="str">
        <f t="shared" si="14"/>
        <v>F010</v>
      </c>
      <c r="Q762" s="1" t="s">
        <v>137</v>
      </c>
      <c r="S762" s="16">
        <v>20</v>
      </c>
      <c r="T762" s="1" t="s">
        <v>2427</v>
      </c>
      <c r="U762" s="1" t="s">
        <v>1541</v>
      </c>
      <c r="V762" s="1" t="s">
        <v>2711</v>
      </c>
      <c r="Y762" s="1">
        <v>4264.8999999999996</v>
      </c>
      <c r="AB762" s="1">
        <v>3488.94</v>
      </c>
    </row>
    <row r="763" spans="2:28" x14ac:dyDescent="0.2">
      <c r="B763" s="30" t="s">
        <v>2294</v>
      </c>
      <c r="C763" s="36"/>
      <c r="D763" s="36"/>
      <c r="F763" s="1" t="s">
        <v>1895</v>
      </c>
      <c r="G763" s="30" t="s">
        <v>2709</v>
      </c>
      <c r="K763" s="1" t="s">
        <v>2725</v>
      </c>
      <c r="L763" s="1" t="s">
        <v>1279</v>
      </c>
      <c r="M763" s="36" t="s">
        <v>1699</v>
      </c>
      <c r="N763" s="1" t="s">
        <v>1283</v>
      </c>
      <c r="O763" s="1" t="s">
        <v>1286</v>
      </c>
      <c r="P763" s="34" t="str">
        <f t="shared" si="14"/>
        <v>F010</v>
      </c>
      <c r="Q763" s="1" t="s">
        <v>137</v>
      </c>
      <c r="S763" s="16">
        <v>20</v>
      </c>
      <c r="T763" s="1" t="s">
        <v>2427</v>
      </c>
      <c r="U763" s="1" t="s">
        <v>1541</v>
      </c>
      <c r="V763" s="1" t="s">
        <v>2711</v>
      </c>
      <c r="Y763" s="1">
        <v>4264.8999999999996</v>
      </c>
      <c r="AB763" s="1">
        <v>3488.94</v>
      </c>
    </row>
    <row r="764" spans="2:28" x14ac:dyDescent="0.2">
      <c r="B764" s="30" t="s">
        <v>2294</v>
      </c>
      <c r="C764" s="36"/>
      <c r="D764" s="36"/>
      <c r="F764" s="1" t="s">
        <v>1895</v>
      </c>
      <c r="G764" s="30" t="s">
        <v>2709</v>
      </c>
      <c r="K764" s="1" t="s">
        <v>2726</v>
      </c>
      <c r="L764" s="1" t="s">
        <v>1279</v>
      </c>
      <c r="M764" s="36" t="s">
        <v>1699</v>
      </c>
      <c r="N764" s="1" t="s">
        <v>1283</v>
      </c>
      <c r="O764" s="1" t="s">
        <v>1286</v>
      </c>
      <c r="P764" s="34" t="str">
        <f t="shared" si="14"/>
        <v>F010</v>
      </c>
      <c r="Q764" s="1" t="s">
        <v>137</v>
      </c>
      <c r="S764" s="16">
        <v>20</v>
      </c>
      <c r="T764" s="1" t="s">
        <v>2427</v>
      </c>
      <c r="U764" s="1" t="s">
        <v>1541</v>
      </c>
      <c r="V764" s="1" t="s">
        <v>2711</v>
      </c>
      <c r="Y764" s="1">
        <v>4264.8999999999996</v>
      </c>
      <c r="AB764" s="1">
        <v>3488.94</v>
      </c>
    </row>
    <row r="765" spans="2:28" x14ac:dyDescent="0.2">
      <c r="B765" s="30" t="s">
        <v>2294</v>
      </c>
      <c r="C765" s="36"/>
      <c r="D765" s="36"/>
      <c r="F765" s="1" t="s">
        <v>1895</v>
      </c>
      <c r="G765" s="30" t="s">
        <v>2709</v>
      </c>
      <c r="K765" s="1" t="s">
        <v>2727</v>
      </c>
      <c r="L765" s="1" t="s">
        <v>1279</v>
      </c>
      <c r="M765" s="36" t="s">
        <v>1699</v>
      </c>
      <c r="N765" s="1" t="s">
        <v>1283</v>
      </c>
      <c r="O765" s="1" t="s">
        <v>1286</v>
      </c>
      <c r="P765" s="34" t="str">
        <f t="shared" si="14"/>
        <v>F010</v>
      </c>
      <c r="Q765" s="1" t="s">
        <v>137</v>
      </c>
      <c r="S765" s="16">
        <v>20</v>
      </c>
      <c r="T765" s="1" t="s">
        <v>2427</v>
      </c>
      <c r="U765" s="1" t="s">
        <v>1541</v>
      </c>
      <c r="V765" s="1" t="s">
        <v>2711</v>
      </c>
      <c r="Y765" s="1">
        <v>4264.8999999999996</v>
      </c>
      <c r="AB765" s="1">
        <v>3488.94</v>
      </c>
    </row>
    <row r="766" spans="2:28" x14ac:dyDescent="0.2">
      <c r="B766" s="30" t="s">
        <v>2294</v>
      </c>
      <c r="C766" s="36"/>
      <c r="D766" s="36"/>
      <c r="F766" s="1" t="s">
        <v>1895</v>
      </c>
      <c r="G766" s="30" t="s">
        <v>2709</v>
      </c>
      <c r="K766" s="1" t="s">
        <v>2728</v>
      </c>
      <c r="L766" s="1" t="s">
        <v>1279</v>
      </c>
      <c r="M766" s="36" t="s">
        <v>1699</v>
      </c>
      <c r="N766" s="1" t="s">
        <v>1283</v>
      </c>
      <c r="O766" s="1" t="s">
        <v>1286</v>
      </c>
      <c r="P766" s="34" t="str">
        <f t="shared" si="14"/>
        <v>F010</v>
      </c>
      <c r="Q766" s="1" t="s">
        <v>137</v>
      </c>
      <c r="S766" s="16">
        <v>20</v>
      </c>
      <c r="T766" s="1" t="s">
        <v>2427</v>
      </c>
      <c r="U766" s="1" t="s">
        <v>1541</v>
      </c>
      <c r="V766" s="1" t="s">
        <v>2711</v>
      </c>
      <c r="Y766" s="1">
        <v>4264.8999999999996</v>
      </c>
      <c r="AB766" s="1">
        <v>3488.94</v>
      </c>
    </row>
    <row r="767" spans="2:28" x14ac:dyDescent="0.2">
      <c r="B767" s="30" t="s">
        <v>2294</v>
      </c>
      <c r="C767" s="36"/>
      <c r="D767" s="36"/>
      <c r="F767" s="1" t="s">
        <v>1895</v>
      </c>
      <c r="G767" s="30" t="s">
        <v>2709</v>
      </c>
      <c r="K767" s="1" t="s">
        <v>2729</v>
      </c>
      <c r="L767" s="1" t="s">
        <v>1279</v>
      </c>
      <c r="M767" s="36" t="s">
        <v>1699</v>
      </c>
      <c r="N767" s="1" t="s">
        <v>1283</v>
      </c>
      <c r="O767" s="1" t="s">
        <v>1286</v>
      </c>
      <c r="P767" s="34" t="str">
        <f t="shared" si="14"/>
        <v>F010</v>
      </c>
      <c r="Q767" s="1" t="s">
        <v>137</v>
      </c>
      <c r="S767" s="16">
        <v>20</v>
      </c>
      <c r="T767" s="1" t="s">
        <v>2427</v>
      </c>
      <c r="U767" s="1" t="s">
        <v>1541</v>
      </c>
      <c r="V767" s="1" t="s">
        <v>2711</v>
      </c>
      <c r="Y767" s="1">
        <v>4264.8999999999996</v>
      </c>
      <c r="AB767" s="1">
        <v>3488.94</v>
      </c>
    </row>
    <row r="768" spans="2:28" x14ac:dyDescent="0.2">
      <c r="B768" s="30" t="s">
        <v>2294</v>
      </c>
      <c r="C768" s="36"/>
      <c r="D768" s="36"/>
      <c r="F768" s="1" t="s">
        <v>1895</v>
      </c>
      <c r="G768" s="30" t="s">
        <v>2709</v>
      </c>
      <c r="K768" s="1" t="s">
        <v>2730</v>
      </c>
      <c r="L768" s="1" t="s">
        <v>1279</v>
      </c>
      <c r="M768" s="36" t="s">
        <v>1699</v>
      </c>
      <c r="N768" s="1" t="s">
        <v>1283</v>
      </c>
      <c r="O768" s="1" t="s">
        <v>1286</v>
      </c>
      <c r="P768" s="34" t="str">
        <f t="shared" si="14"/>
        <v>F010</v>
      </c>
      <c r="Q768" s="1" t="s">
        <v>137</v>
      </c>
      <c r="S768" s="16">
        <v>20</v>
      </c>
      <c r="T768" s="1" t="s">
        <v>2427</v>
      </c>
      <c r="U768" s="1" t="s">
        <v>1541</v>
      </c>
      <c r="V768" s="1" t="s">
        <v>2711</v>
      </c>
      <c r="Y768" s="1">
        <v>4264.8999999999996</v>
      </c>
      <c r="AB768" s="1">
        <v>3488.94</v>
      </c>
    </row>
    <row r="769" spans="2:28" x14ac:dyDescent="0.2">
      <c r="B769" s="30" t="s">
        <v>2294</v>
      </c>
      <c r="C769" s="36"/>
      <c r="D769" s="36"/>
      <c r="F769" s="1" t="s">
        <v>1895</v>
      </c>
      <c r="G769" s="30" t="s">
        <v>2709</v>
      </c>
      <c r="K769" s="1" t="s">
        <v>2731</v>
      </c>
      <c r="L769" s="1" t="s">
        <v>1279</v>
      </c>
      <c r="M769" s="36" t="s">
        <v>1699</v>
      </c>
      <c r="N769" s="1" t="s">
        <v>1283</v>
      </c>
      <c r="O769" s="1" t="s">
        <v>1286</v>
      </c>
      <c r="P769" s="34" t="str">
        <f t="shared" si="14"/>
        <v>F010</v>
      </c>
      <c r="Q769" s="1" t="s">
        <v>137</v>
      </c>
      <c r="S769" s="16">
        <v>20</v>
      </c>
      <c r="T769" s="1" t="s">
        <v>2427</v>
      </c>
      <c r="U769" s="1" t="s">
        <v>1541</v>
      </c>
      <c r="V769" s="1" t="s">
        <v>2711</v>
      </c>
      <c r="Y769" s="1">
        <v>4264.8999999999996</v>
      </c>
      <c r="AB769" s="1">
        <v>3488.94</v>
      </c>
    </row>
    <row r="770" spans="2:28" x14ac:dyDescent="0.2">
      <c r="B770" s="30" t="s">
        <v>2294</v>
      </c>
      <c r="C770" s="36"/>
      <c r="D770" s="36"/>
      <c r="F770" s="1" t="s">
        <v>1895</v>
      </c>
      <c r="G770" s="30" t="s">
        <v>2709</v>
      </c>
      <c r="K770" s="1" t="s">
        <v>2732</v>
      </c>
      <c r="L770" s="1" t="s">
        <v>1279</v>
      </c>
      <c r="M770" s="36" t="s">
        <v>1699</v>
      </c>
      <c r="N770" s="1" t="s">
        <v>1283</v>
      </c>
      <c r="O770" s="1" t="s">
        <v>1286</v>
      </c>
      <c r="P770" s="34" t="str">
        <f t="shared" si="14"/>
        <v>F010</v>
      </c>
      <c r="Q770" s="1" t="s">
        <v>137</v>
      </c>
      <c r="S770" s="16">
        <v>20</v>
      </c>
      <c r="T770" s="1" t="s">
        <v>2427</v>
      </c>
      <c r="U770" s="1" t="s">
        <v>1541</v>
      </c>
      <c r="V770" s="1" t="s">
        <v>2711</v>
      </c>
      <c r="Y770" s="1">
        <v>4264.8999999999996</v>
      </c>
      <c r="AB770" s="1">
        <v>3488.94</v>
      </c>
    </row>
    <row r="771" spans="2:28" x14ac:dyDescent="0.2">
      <c r="B771" s="30" t="s">
        <v>2294</v>
      </c>
      <c r="C771" s="36"/>
      <c r="D771" s="36"/>
      <c r="F771" s="1" t="s">
        <v>1895</v>
      </c>
      <c r="G771" s="30" t="s">
        <v>2709</v>
      </c>
      <c r="K771" s="1" t="s">
        <v>2733</v>
      </c>
      <c r="L771" s="1" t="s">
        <v>1279</v>
      </c>
      <c r="M771" s="36" t="s">
        <v>1699</v>
      </c>
      <c r="N771" s="1" t="s">
        <v>1283</v>
      </c>
      <c r="O771" s="1" t="s">
        <v>1286</v>
      </c>
      <c r="P771" s="34" t="str">
        <f t="shared" si="14"/>
        <v>F010</v>
      </c>
      <c r="Q771" s="1" t="s">
        <v>137</v>
      </c>
      <c r="S771" s="16">
        <v>20</v>
      </c>
      <c r="T771" s="1" t="s">
        <v>2427</v>
      </c>
      <c r="U771" s="1" t="s">
        <v>1541</v>
      </c>
      <c r="V771" s="1" t="s">
        <v>2711</v>
      </c>
      <c r="Y771" s="1">
        <v>4264.8999999999996</v>
      </c>
      <c r="AB771" s="1">
        <v>3488.94</v>
      </c>
    </row>
    <row r="772" spans="2:28" x14ac:dyDescent="0.2">
      <c r="B772" s="30" t="s">
        <v>2294</v>
      </c>
      <c r="C772" s="36"/>
      <c r="D772" s="36"/>
      <c r="F772" s="1" t="s">
        <v>1895</v>
      </c>
      <c r="G772" s="30" t="s">
        <v>2709</v>
      </c>
      <c r="K772" s="1" t="s">
        <v>2734</v>
      </c>
      <c r="L772" s="1" t="s">
        <v>1279</v>
      </c>
      <c r="M772" s="36" t="s">
        <v>1699</v>
      </c>
      <c r="N772" s="1" t="s">
        <v>1283</v>
      </c>
      <c r="O772" s="1" t="s">
        <v>1286</v>
      </c>
      <c r="P772" s="34" t="str">
        <f t="shared" si="14"/>
        <v>F010</v>
      </c>
      <c r="Q772" s="1" t="s">
        <v>137</v>
      </c>
      <c r="S772" s="16">
        <v>20</v>
      </c>
      <c r="T772" s="1" t="s">
        <v>2427</v>
      </c>
      <c r="U772" s="1" t="s">
        <v>1541</v>
      </c>
      <c r="V772" s="1" t="s">
        <v>2711</v>
      </c>
      <c r="Y772" s="1">
        <v>4264.8999999999996</v>
      </c>
      <c r="AB772" s="1">
        <v>3488.94</v>
      </c>
    </row>
    <row r="773" spans="2:28" x14ac:dyDescent="0.2">
      <c r="B773" s="30" t="s">
        <v>2294</v>
      </c>
      <c r="C773" s="36"/>
      <c r="D773" s="36"/>
      <c r="F773" s="1" t="s">
        <v>1895</v>
      </c>
      <c r="G773" s="30" t="s">
        <v>2709</v>
      </c>
      <c r="K773" s="1" t="s">
        <v>2735</v>
      </c>
      <c r="L773" s="1" t="s">
        <v>1279</v>
      </c>
      <c r="M773" s="36" t="s">
        <v>1699</v>
      </c>
      <c r="N773" s="1" t="s">
        <v>1283</v>
      </c>
      <c r="O773" s="1" t="s">
        <v>1286</v>
      </c>
      <c r="P773" s="34" t="str">
        <f t="shared" si="14"/>
        <v>F010</v>
      </c>
      <c r="Q773" s="1" t="s">
        <v>137</v>
      </c>
      <c r="S773" s="16">
        <v>20</v>
      </c>
      <c r="T773" s="1" t="s">
        <v>2427</v>
      </c>
      <c r="U773" s="1" t="s">
        <v>1541</v>
      </c>
      <c r="V773" s="1" t="s">
        <v>2711</v>
      </c>
      <c r="Y773" s="1">
        <v>4264.8999999999996</v>
      </c>
      <c r="AB773" s="1">
        <v>3488.94</v>
      </c>
    </row>
    <row r="774" spans="2:28" x14ac:dyDescent="0.2">
      <c r="B774" s="30" t="s">
        <v>2294</v>
      </c>
      <c r="C774" s="36"/>
      <c r="D774" s="36"/>
      <c r="F774" s="1" t="s">
        <v>1895</v>
      </c>
      <c r="G774" s="30" t="s">
        <v>2709</v>
      </c>
      <c r="K774" s="1" t="s">
        <v>2736</v>
      </c>
      <c r="L774" s="1" t="s">
        <v>1279</v>
      </c>
      <c r="M774" s="36" t="s">
        <v>1699</v>
      </c>
      <c r="N774" s="1" t="s">
        <v>1283</v>
      </c>
      <c r="O774" s="1" t="s">
        <v>1286</v>
      </c>
      <c r="P774" s="34" t="str">
        <f t="shared" si="14"/>
        <v>F010</v>
      </c>
      <c r="Q774" s="1" t="s">
        <v>137</v>
      </c>
      <c r="S774" s="16">
        <v>20</v>
      </c>
      <c r="T774" s="1" t="s">
        <v>2427</v>
      </c>
      <c r="U774" s="1" t="s">
        <v>1541</v>
      </c>
      <c r="V774" s="1" t="s">
        <v>2711</v>
      </c>
      <c r="Y774" s="1">
        <v>4264.8999999999996</v>
      </c>
      <c r="AB774" s="1">
        <v>3488.94</v>
      </c>
    </row>
    <row r="775" spans="2:28" x14ac:dyDescent="0.2">
      <c r="B775" s="30" t="s">
        <v>2294</v>
      </c>
      <c r="C775" s="36"/>
      <c r="D775" s="36"/>
      <c r="F775" s="1" t="s">
        <v>1895</v>
      </c>
      <c r="G775" s="30" t="s">
        <v>2709</v>
      </c>
      <c r="K775" s="1" t="s">
        <v>2737</v>
      </c>
      <c r="L775" s="1" t="s">
        <v>1279</v>
      </c>
      <c r="M775" s="36" t="s">
        <v>1699</v>
      </c>
      <c r="N775" s="1" t="s">
        <v>1283</v>
      </c>
      <c r="O775" s="1" t="s">
        <v>1286</v>
      </c>
      <c r="P775" s="34" t="str">
        <f t="shared" ref="P775:P838" si="15">+LEFT(Q775,4)</f>
        <v>F010</v>
      </c>
      <c r="Q775" s="1" t="s">
        <v>137</v>
      </c>
      <c r="S775" s="16">
        <v>20</v>
      </c>
      <c r="T775" s="1" t="s">
        <v>2427</v>
      </c>
      <c r="U775" s="1" t="s">
        <v>1541</v>
      </c>
      <c r="V775" s="1" t="s">
        <v>2711</v>
      </c>
      <c r="Y775" s="1">
        <v>4264.8999999999996</v>
      </c>
      <c r="AB775" s="1">
        <v>3488.94</v>
      </c>
    </row>
    <row r="776" spans="2:28" x14ac:dyDescent="0.2">
      <c r="B776" s="30" t="s">
        <v>2294</v>
      </c>
      <c r="C776" s="36"/>
      <c r="D776" s="36"/>
      <c r="F776" s="1" t="s">
        <v>1895</v>
      </c>
      <c r="G776" s="30" t="s">
        <v>2709</v>
      </c>
      <c r="K776" s="1" t="s">
        <v>2738</v>
      </c>
      <c r="L776" s="1" t="s">
        <v>1279</v>
      </c>
      <c r="M776" s="36" t="s">
        <v>1699</v>
      </c>
      <c r="N776" s="1" t="s">
        <v>1283</v>
      </c>
      <c r="O776" s="1" t="s">
        <v>1286</v>
      </c>
      <c r="P776" s="34" t="str">
        <f t="shared" si="15"/>
        <v>F010</v>
      </c>
      <c r="Q776" s="1" t="s">
        <v>137</v>
      </c>
      <c r="S776" s="16">
        <v>20</v>
      </c>
      <c r="T776" s="1" t="s">
        <v>2427</v>
      </c>
      <c r="U776" s="1" t="s">
        <v>1541</v>
      </c>
      <c r="V776" s="1" t="s">
        <v>2711</v>
      </c>
      <c r="Y776" s="1">
        <v>4264.8999999999996</v>
      </c>
      <c r="AB776" s="1">
        <v>3488.94</v>
      </c>
    </row>
    <row r="777" spans="2:28" x14ac:dyDescent="0.2">
      <c r="B777" s="30" t="s">
        <v>2294</v>
      </c>
      <c r="C777" s="36"/>
      <c r="D777" s="36"/>
      <c r="F777" s="1" t="s">
        <v>1895</v>
      </c>
      <c r="G777" s="30" t="s">
        <v>2709</v>
      </c>
      <c r="K777" s="1" t="s">
        <v>2739</v>
      </c>
      <c r="L777" s="1" t="s">
        <v>1279</v>
      </c>
      <c r="M777" s="36" t="s">
        <v>1699</v>
      </c>
      <c r="N777" s="1" t="s">
        <v>1283</v>
      </c>
      <c r="O777" s="1" t="s">
        <v>1286</v>
      </c>
      <c r="P777" s="34" t="str">
        <f t="shared" si="15"/>
        <v>F010</v>
      </c>
      <c r="Q777" s="1" t="s">
        <v>137</v>
      </c>
      <c r="S777" s="16">
        <v>20</v>
      </c>
      <c r="T777" s="1" t="s">
        <v>2427</v>
      </c>
      <c r="U777" s="1" t="s">
        <v>1541</v>
      </c>
      <c r="V777" s="1" t="s">
        <v>2711</v>
      </c>
      <c r="Y777" s="1">
        <v>4264.8999999999996</v>
      </c>
      <c r="AB777" s="1">
        <v>3488.94</v>
      </c>
    </row>
    <row r="778" spans="2:28" x14ac:dyDescent="0.2">
      <c r="B778" s="30" t="s">
        <v>2294</v>
      </c>
      <c r="C778" s="36"/>
      <c r="D778" s="36"/>
      <c r="F778" s="1" t="s">
        <v>1895</v>
      </c>
      <c r="G778" s="30" t="s">
        <v>2709</v>
      </c>
      <c r="K778" s="1" t="s">
        <v>2740</v>
      </c>
      <c r="L778" s="1" t="s">
        <v>1279</v>
      </c>
      <c r="M778" s="36" t="s">
        <v>1699</v>
      </c>
      <c r="N778" s="1" t="s">
        <v>1283</v>
      </c>
      <c r="O778" s="1" t="s">
        <v>1286</v>
      </c>
      <c r="P778" s="34" t="str">
        <f t="shared" si="15"/>
        <v>F010</v>
      </c>
      <c r="Q778" s="1" t="s">
        <v>137</v>
      </c>
      <c r="S778" s="16">
        <v>20</v>
      </c>
      <c r="T778" s="1" t="s">
        <v>2427</v>
      </c>
      <c r="U778" s="1" t="s">
        <v>1541</v>
      </c>
      <c r="V778" s="1" t="s">
        <v>2711</v>
      </c>
      <c r="Y778" s="1">
        <v>4264.8999999999996</v>
      </c>
      <c r="AB778" s="1">
        <v>3488.94</v>
      </c>
    </row>
    <row r="779" spans="2:28" x14ac:dyDescent="0.2">
      <c r="B779" s="30" t="s">
        <v>2294</v>
      </c>
      <c r="C779" s="36"/>
      <c r="D779" s="36"/>
      <c r="F779" s="1" t="s">
        <v>1895</v>
      </c>
      <c r="G779" s="30" t="s">
        <v>2709</v>
      </c>
      <c r="K779" s="1" t="s">
        <v>2741</v>
      </c>
      <c r="L779" s="1" t="s">
        <v>1279</v>
      </c>
      <c r="M779" s="36" t="s">
        <v>1699</v>
      </c>
      <c r="N779" s="1" t="s">
        <v>1283</v>
      </c>
      <c r="O779" s="1" t="s">
        <v>1286</v>
      </c>
      <c r="P779" s="34" t="str">
        <f t="shared" si="15"/>
        <v>F010</v>
      </c>
      <c r="Q779" s="1" t="s">
        <v>137</v>
      </c>
      <c r="S779" s="16">
        <v>20</v>
      </c>
      <c r="T779" s="1" t="s">
        <v>2427</v>
      </c>
      <c r="U779" s="1" t="s">
        <v>1541</v>
      </c>
      <c r="V779" s="1" t="s">
        <v>2711</v>
      </c>
      <c r="Y779" s="1">
        <v>4264.8999999999996</v>
      </c>
      <c r="AB779" s="1">
        <v>3488.94</v>
      </c>
    </row>
    <row r="780" spans="2:28" x14ac:dyDescent="0.2">
      <c r="B780" s="30" t="s">
        <v>2294</v>
      </c>
      <c r="C780" s="36"/>
      <c r="D780" s="36"/>
      <c r="F780" s="1" t="s">
        <v>1895</v>
      </c>
      <c r="G780" s="30" t="s">
        <v>2709</v>
      </c>
      <c r="K780" s="1" t="s">
        <v>2742</v>
      </c>
      <c r="L780" s="1" t="s">
        <v>1279</v>
      </c>
      <c r="M780" s="36" t="s">
        <v>1699</v>
      </c>
      <c r="N780" s="1" t="s">
        <v>1283</v>
      </c>
      <c r="O780" s="1" t="s">
        <v>1286</v>
      </c>
      <c r="P780" s="34" t="str">
        <f t="shared" si="15"/>
        <v>F010</v>
      </c>
      <c r="Q780" s="1" t="s">
        <v>137</v>
      </c>
      <c r="S780" s="16">
        <v>20</v>
      </c>
      <c r="T780" s="1" t="s">
        <v>2299</v>
      </c>
      <c r="U780" s="1" t="s">
        <v>1541</v>
      </c>
      <c r="V780" s="1" t="s">
        <v>2711</v>
      </c>
      <c r="Y780" s="1">
        <v>4264.8999999999996</v>
      </c>
      <c r="AB780" s="1">
        <v>3488.94</v>
      </c>
    </row>
    <row r="781" spans="2:28" x14ac:dyDescent="0.2">
      <c r="B781" s="30" t="s">
        <v>2294</v>
      </c>
      <c r="C781" s="36"/>
      <c r="D781" s="36"/>
      <c r="F781" s="1" t="s">
        <v>1322</v>
      </c>
      <c r="G781" s="30" t="s">
        <v>2709</v>
      </c>
      <c r="K781" s="1" t="s">
        <v>2743</v>
      </c>
      <c r="L781" s="1" t="s">
        <v>1279</v>
      </c>
      <c r="M781" s="36" t="s">
        <v>1699</v>
      </c>
      <c r="N781" s="1" t="s">
        <v>1283</v>
      </c>
      <c r="O781" s="1" t="s">
        <v>1286</v>
      </c>
      <c r="P781" s="34" t="str">
        <f t="shared" si="15"/>
        <v>F010</v>
      </c>
      <c r="Q781" s="1" t="s">
        <v>137</v>
      </c>
      <c r="S781" s="16">
        <v>20</v>
      </c>
      <c r="T781" s="1" t="s">
        <v>2299</v>
      </c>
      <c r="U781" s="1" t="s">
        <v>1541</v>
      </c>
      <c r="V781" s="1" t="s">
        <v>2711</v>
      </c>
      <c r="Y781" s="1">
        <v>4264.8999999999996</v>
      </c>
      <c r="AB781" s="1">
        <v>3488.94</v>
      </c>
    </row>
    <row r="782" spans="2:28" x14ac:dyDescent="0.2">
      <c r="B782" s="30" t="s">
        <v>2294</v>
      </c>
      <c r="C782" s="36"/>
      <c r="D782" s="36"/>
      <c r="F782" s="1" t="s">
        <v>1322</v>
      </c>
      <c r="G782" s="30" t="s">
        <v>2709</v>
      </c>
      <c r="K782" s="1" t="s">
        <v>2744</v>
      </c>
      <c r="L782" s="1" t="s">
        <v>1279</v>
      </c>
      <c r="M782" s="36" t="s">
        <v>1699</v>
      </c>
      <c r="N782" s="1" t="s">
        <v>1283</v>
      </c>
      <c r="O782" s="1" t="s">
        <v>1286</v>
      </c>
      <c r="P782" s="34" t="str">
        <f t="shared" si="15"/>
        <v>F010</v>
      </c>
      <c r="Q782" s="1" t="s">
        <v>137</v>
      </c>
      <c r="S782" s="16">
        <v>20</v>
      </c>
      <c r="T782" s="1" t="s">
        <v>2299</v>
      </c>
      <c r="U782" s="1" t="s">
        <v>1541</v>
      </c>
      <c r="V782" s="1" t="s">
        <v>2711</v>
      </c>
      <c r="Y782" s="1">
        <v>4264.8999999999996</v>
      </c>
      <c r="AB782" s="1">
        <v>3488.94</v>
      </c>
    </row>
    <row r="783" spans="2:28" x14ac:dyDescent="0.2">
      <c r="B783" s="30" t="s">
        <v>2294</v>
      </c>
      <c r="C783" s="36"/>
      <c r="D783" s="36"/>
      <c r="F783" s="1" t="s">
        <v>1322</v>
      </c>
      <c r="G783" s="30" t="s">
        <v>2709</v>
      </c>
      <c r="K783" s="1" t="s">
        <v>2745</v>
      </c>
      <c r="L783" s="1" t="s">
        <v>1279</v>
      </c>
      <c r="M783" s="36" t="s">
        <v>1699</v>
      </c>
      <c r="N783" s="1" t="s">
        <v>1283</v>
      </c>
      <c r="O783" s="1" t="s">
        <v>1286</v>
      </c>
      <c r="P783" s="34" t="str">
        <f t="shared" si="15"/>
        <v>F010</v>
      </c>
      <c r="Q783" s="1" t="s">
        <v>137</v>
      </c>
      <c r="S783" s="16">
        <v>20</v>
      </c>
      <c r="T783" s="1" t="s">
        <v>2427</v>
      </c>
      <c r="U783" s="1" t="s">
        <v>1541</v>
      </c>
      <c r="V783" s="1" t="s">
        <v>2711</v>
      </c>
      <c r="Y783" s="1">
        <v>4264.8999999999996</v>
      </c>
      <c r="AB783" s="1">
        <v>3488.94</v>
      </c>
    </row>
    <row r="784" spans="2:28" x14ac:dyDescent="0.2">
      <c r="B784" s="30" t="s">
        <v>2294</v>
      </c>
      <c r="C784" s="36"/>
      <c r="D784" s="36"/>
      <c r="F784" s="1" t="s">
        <v>1895</v>
      </c>
      <c r="G784" s="30" t="s">
        <v>2709</v>
      </c>
      <c r="K784" s="1" t="s">
        <v>2746</v>
      </c>
      <c r="L784" s="1" t="s">
        <v>1279</v>
      </c>
      <c r="M784" s="36" t="s">
        <v>1699</v>
      </c>
      <c r="N784" s="1" t="s">
        <v>1283</v>
      </c>
      <c r="O784" s="1" t="s">
        <v>1286</v>
      </c>
      <c r="P784" s="34" t="str">
        <f t="shared" si="15"/>
        <v>F010</v>
      </c>
      <c r="Q784" s="1" t="s">
        <v>137</v>
      </c>
      <c r="S784" s="16">
        <v>20</v>
      </c>
      <c r="T784" s="1" t="s">
        <v>2427</v>
      </c>
      <c r="U784" s="1" t="s">
        <v>1541</v>
      </c>
      <c r="V784" s="1" t="s">
        <v>2711</v>
      </c>
      <c r="Y784" s="1">
        <v>4264.8999999999996</v>
      </c>
      <c r="AB784" s="1">
        <v>3488.94</v>
      </c>
    </row>
    <row r="785" spans="2:28" x14ac:dyDescent="0.2">
      <c r="B785" s="30" t="s">
        <v>2294</v>
      </c>
      <c r="C785" s="36"/>
      <c r="D785" s="36"/>
      <c r="F785" s="1" t="s">
        <v>1895</v>
      </c>
      <c r="G785" s="30" t="s">
        <v>2709</v>
      </c>
      <c r="K785" s="1" t="s">
        <v>2747</v>
      </c>
      <c r="L785" s="1" t="s">
        <v>1279</v>
      </c>
      <c r="M785" s="36" t="s">
        <v>1699</v>
      </c>
      <c r="N785" s="1" t="s">
        <v>1283</v>
      </c>
      <c r="O785" s="1" t="s">
        <v>1286</v>
      </c>
      <c r="P785" s="34" t="str">
        <f t="shared" si="15"/>
        <v>F010</v>
      </c>
      <c r="Q785" s="1" t="s">
        <v>137</v>
      </c>
      <c r="S785" s="16">
        <v>20</v>
      </c>
      <c r="T785" s="1" t="s">
        <v>2427</v>
      </c>
      <c r="U785" s="1" t="s">
        <v>1541</v>
      </c>
      <c r="V785" s="1" t="s">
        <v>2711</v>
      </c>
      <c r="Y785" s="1">
        <v>4264.8999999999996</v>
      </c>
      <c r="AB785" s="1">
        <v>3488.94</v>
      </c>
    </row>
    <row r="786" spans="2:28" x14ac:dyDescent="0.2">
      <c r="B786" s="30" t="s">
        <v>2294</v>
      </c>
      <c r="C786" s="36"/>
      <c r="D786" s="36"/>
      <c r="F786" s="1" t="s">
        <v>1895</v>
      </c>
      <c r="G786" s="30" t="s">
        <v>2709</v>
      </c>
      <c r="K786" s="1" t="s">
        <v>2748</v>
      </c>
      <c r="L786" s="1" t="s">
        <v>1279</v>
      </c>
      <c r="M786" s="36" t="s">
        <v>1699</v>
      </c>
      <c r="N786" s="1" t="s">
        <v>1283</v>
      </c>
      <c r="O786" s="1" t="s">
        <v>1286</v>
      </c>
      <c r="P786" s="34" t="str">
        <f t="shared" si="15"/>
        <v>F010</v>
      </c>
      <c r="Q786" s="1" t="s">
        <v>137</v>
      </c>
      <c r="S786" s="16">
        <v>20</v>
      </c>
      <c r="T786" s="1" t="s">
        <v>2427</v>
      </c>
      <c r="U786" s="1" t="s">
        <v>1541</v>
      </c>
      <c r="V786" s="1" t="s">
        <v>2711</v>
      </c>
      <c r="Y786" s="1">
        <v>4264.8999999999996</v>
      </c>
      <c r="AB786" s="1">
        <v>3488.94</v>
      </c>
    </row>
    <row r="787" spans="2:28" x14ac:dyDescent="0.2">
      <c r="B787" s="30" t="s">
        <v>2294</v>
      </c>
      <c r="C787" s="36"/>
      <c r="D787" s="36"/>
      <c r="F787" s="1" t="s">
        <v>1895</v>
      </c>
      <c r="G787" s="30" t="s">
        <v>2709</v>
      </c>
      <c r="K787" s="1" t="s">
        <v>2749</v>
      </c>
      <c r="L787" s="1" t="s">
        <v>1279</v>
      </c>
      <c r="M787" s="36" t="s">
        <v>1699</v>
      </c>
      <c r="N787" s="1" t="s">
        <v>1283</v>
      </c>
      <c r="O787" s="1" t="s">
        <v>1286</v>
      </c>
      <c r="P787" s="34" t="str">
        <f t="shared" si="15"/>
        <v>F010</v>
      </c>
      <c r="Q787" s="1" t="s">
        <v>137</v>
      </c>
      <c r="S787" s="16">
        <v>20</v>
      </c>
      <c r="T787" s="1" t="s">
        <v>2299</v>
      </c>
      <c r="U787" s="1" t="s">
        <v>1541</v>
      </c>
      <c r="V787" s="1" t="s">
        <v>2711</v>
      </c>
      <c r="Y787" s="1">
        <v>4264.8999999999996</v>
      </c>
      <c r="AB787" s="1">
        <v>3488.94</v>
      </c>
    </row>
    <row r="788" spans="2:28" x14ac:dyDescent="0.2">
      <c r="B788" s="30" t="s">
        <v>2294</v>
      </c>
      <c r="C788" s="36"/>
      <c r="D788" s="36"/>
      <c r="F788" s="1" t="s">
        <v>1322</v>
      </c>
      <c r="G788" s="30" t="s">
        <v>2709</v>
      </c>
      <c r="K788" s="1" t="s">
        <v>2750</v>
      </c>
      <c r="L788" s="1" t="s">
        <v>1279</v>
      </c>
      <c r="M788" s="36" t="s">
        <v>1699</v>
      </c>
      <c r="N788" s="1" t="s">
        <v>1283</v>
      </c>
      <c r="O788" s="1" t="s">
        <v>1286</v>
      </c>
      <c r="P788" s="34" t="str">
        <f t="shared" si="15"/>
        <v>F010</v>
      </c>
      <c r="Q788" s="1" t="s">
        <v>137</v>
      </c>
      <c r="S788" s="16">
        <v>20</v>
      </c>
      <c r="T788" s="1" t="s">
        <v>2299</v>
      </c>
      <c r="U788" s="1" t="s">
        <v>1541</v>
      </c>
      <c r="V788" s="1" t="s">
        <v>2711</v>
      </c>
      <c r="Y788" s="1">
        <v>4264.8999999999996</v>
      </c>
      <c r="AB788" s="1">
        <v>3488.94</v>
      </c>
    </row>
    <row r="789" spans="2:28" x14ac:dyDescent="0.2">
      <c r="B789" s="30" t="s">
        <v>2294</v>
      </c>
      <c r="C789" s="36"/>
      <c r="D789" s="36"/>
      <c r="F789" s="1" t="s">
        <v>1322</v>
      </c>
      <c r="G789" s="30" t="s">
        <v>2709</v>
      </c>
      <c r="K789" s="1" t="s">
        <v>2751</v>
      </c>
      <c r="L789" s="1" t="s">
        <v>1279</v>
      </c>
      <c r="M789" s="36" t="s">
        <v>1699</v>
      </c>
      <c r="N789" s="1" t="s">
        <v>1283</v>
      </c>
      <c r="O789" s="1" t="s">
        <v>1286</v>
      </c>
      <c r="P789" s="34" t="str">
        <f t="shared" si="15"/>
        <v>F010</v>
      </c>
      <c r="Q789" s="1" t="s">
        <v>137</v>
      </c>
      <c r="S789" s="16">
        <v>20</v>
      </c>
      <c r="T789" s="1" t="s">
        <v>2299</v>
      </c>
      <c r="U789" s="1" t="s">
        <v>1541</v>
      </c>
      <c r="V789" s="1" t="s">
        <v>2711</v>
      </c>
      <c r="Y789" s="1">
        <v>4264.8999999999996</v>
      </c>
      <c r="AB789" s="1">
        <v>3488.94</v>
      </c>
    </row>
    <row r="790" spans="2:28" x14ac:dyDescent="0.2">
      <c r="B790" s="30" t="s">
        <v>2294</v>
      </c>
      <c r="C790" s="36"/>
      <c r="D790" s="36"/>
      <c r="F790" s="1" t="s">
        <v>1322</v>
      </c>
      <c r="G790" s="30" t="s">
        <v>2709</v>
      </c>
      <c r="K790" s="1" t="s">
        <v>2752</v>
      </c>
      <c r="L790" s="1" t="s">
        <v>1279</v>
      </c>
      <c r="M790" s="36" t="s">
        <v>1699</v>
      </c>
      <c r="N790" s="1" t="s">
        <v>1283</v>
      </c>
      <c r="O790" s="1" t="s">
        <v>1286</v>
      </c>
      <c r="P790" s="34" t="str">
        <f t="shared" si="15"/>
        <v>F010</v>
      </c>
      <c r="Q790" s="1" t="s">
        <v>137</v>
      </c>
      <c r="S790" s="16">
        <v>20</v>
      </c>
      <c r="T790" s="1" t="s">
        <v>2427</v>
      </c>
      <c r="U790" s="1" t="s">
        <v>1541</v>
      </c>
      <c r="V790" s="1" t="s">
        <v>2711</v>
      </c>
      <c r="Y790" s="1">
        <v>4264.8999999999996</v>
      </c>
      <c r="AB790" s="1">
        <v>3488.94</v>
      </c>
    </row>
    <row r="791" spans="2:28" x14ac:dyDescent="0.2">
      <c r="B791" s="30" t="s">
        <v>2294</v>
      </c>
      <c r="C791" s="36"/>
      <c r="D791" s="36"/>
      <c r="F791" s="1" t="s">
        <v>1895</v>
      </c>
      <c r="G791" s="30" t="s">
        <v>2709</v>
      </c>
      <c r="K791" s="1" t="s">
        <v>2753</v>
      </c>
      <c r="L791" s="1" t="s">
        <v>1279</v>
      </c>
      <c r="M791" s="36" t="s">
        <v>1699</v>
      </c>
      <c r="N791" s="1" t="s">
        <v>1283</v>
      </c>
      <c r="O791" s="1" t="s">
        <v>1286</v>
      </c>
      <c r="P791" s="34" t="str">
        <f t="shared" si="15"/>
        <v>F010</v>
      </c>
      <c r="Q791" s="1" t="s">
        <v>137</v>
      </c>
      <c r="S791" s="16">
        <v>20</v>
      </c>
      <c r="T791" s="1" t="s">
        <v>2427</v>
      </c>
      <c r="U791" s="1" t="s">
        <v>1541</v>
      </c>
      <c r="V791" s="1" t="s">
        <v>2711</v>
      </c>
      <c r="Y791" s="1">
        <v>4264.8999999999996</v>
      </c>
      <c r="AB791" s="1">
        <v>3488.94</v>
      </c>
    </row>
    <row r="792" spans="2:28" x14ac:dyDescent="0.2">
      <c r="B792" s="30" t="s">
        <v>2294</v>
      </c>
      <c r="C792" s="36"/>
      <c r="D792" s="36"/>
      <c r="F792" s="1" t="s">
        <v>1895</v>
      </c>
      <c r="G792" s="30" t="s">
        <v>2709</v>
      </c>
      <c r="K792" s="1" t="s">
        <v>2754</v>
      </c>
      <c r="L792" s="1" t="s">
        <v>1279</v>
      </c>
      <c r="M792" s="36" t="s">
        <v>1699</v>
      </c>
      <c r="N792" s="1" t="s">
        <v>1283</v>
      </c>
      <c r="O792" s="1" t="s">
        <v>1286</v>
      </c>
      <c r="P792" s="34" t="str">
        <f t="shared" si="15"/>
        <v>F010</v>
      </c>
      <c r="Q792" s="1" t="s">
        <v>137</v>
      </c>
      <c r="S792" s="16">
        <v>20</v>
      </c>
      <c r="T792" s="1" t="s">
        <v>2427</v>
      </c>
      <c r="U792" s="1" t="s">
        <v>1541</v>
      </c>
      <c r="V792" s="1" t="s">
        <v>2711</v>
      </c>
      <c r="Y792" s="1">
        <v>4264.8999999999996</v>
      </c>
      <c r="AB792" s="1">
        <v>3488.94</v>
      </c>
    </row>
    <row r="793" spans="2:28" x14ac:dyDescent="0.2">
      <c r="B793" s="30" t="s">
        <v>2294</v>
      </c>
      <c r="C793" s="36"/>
      <c r="D793" s="36"/>
      <c r="F793" s="1" t="s">
        <v>1895</v>
      </c>
      <c r="G793" s="30" t="s">
        <v>2709</v>
      </c>
      <c r="K793" s="1" t="s">
        <v>2755</v>
      </c>
      <c r="L793" s="1" t="s">
        <v>1279</v>
      </c>
      <c r="M793" s="36" t="s">
        <v>1699</v>
      </c>
      <c r="N793" s="1" t="s">
        <v>1283</v>
      </c>
      <c r="O793" s="1" t="s">
        <v>1286</v>
      </c>
      <c r="P793" s="34" t="str">
        <f t="shared" si="15"/>
        <v>F010</v>
      </c>
      <c r="Q793" s="1" t="s">
        <v>137</v>
      </c>
      <c r="S793" s="16">
        <v>20</v>
      </c>
      <c r="T793" s="1" t="s">
        <v>2427</v>
      </c>
      <c r="U793" s="1" t="s">
        <v>1541</v>
      </c>
      <c r="V793" s="1" t="s">
        <v>2711</v>
      </c>
      <c r="Y793" s="1">
        <v>4264.8999999999996</v>
      </c>
      <c r="AB793" s="1">
        <v>3488.94</v>
      </c>
    </row>
    <row r="794" spans="2:28" x14ac:dyDescent="0.2">
      <c r="B794" s="30" t="s">
        <v>2294</v>
      </c>
      <c r="C794" s="36"/>
      <c r="D794" s="36"/>
      <c r="F794" s="1" t="s">
        <v>1895</v>
      </c>
      <c r="G794" s="30" t="s">
        <v>2709</v>
      </c>
      <c r="K794" s="1" t="s">
        <v>2756</v>
      </c>
      <c r="L794" s="1" t="s">
        <v>1279</v>
      </c>
      <c r="M794" s="36" t="s">
        <v>1699</v>
      </c>
      <c r="N794" s="1" t="s">
        <v>1283</v>
      </c>
      <c r="O794" s="1" t="s">
        <v>1286</v>
      </c>
      <c r="P794" s="34" t="str">
        <f t="shared" si="15"/>
        <v>F010</v>
      </c>
      <c r="Q794" s="1" t="s">
        <v>137</v>
      </c>
      <c r="S794" s="16">
        <v>20</v>
      </c>
      <c r="T794" s="1" t="s">
        <v>2299</v>
      </c>
      <c r="U794" s="1" t="s">
        <v>1541</v>
      </c>
      <c r="V794" s="1" t="s">
        <v>2711</v>
      </c>
      <c r="Y794" s="1">
        <v>4264.8999999999996</v>
      </c>
      <c r="AB794" s="1">
        <v>3488.94</v>
      </c>
    </row>
    <row r="795" spans="2:28" x14ac:dyDescent="0.2">
      <c r="B795" s="30" t="s">
        <v>2294</v>
      </c>
      <c r="C795" s="36"/>
      <c r="D795" s="36"/>
      <c r="F795" s="1" t="s">
        <v>1322</v>
      </c>
      <c r="G795" s="30" t="s">
        <v>2709</v>
      </c>
      <c r="K795" s="1" t="s">
        <v>2757</v>
      </c>
      <c r="L795" s="1" t="s">
        <v>1279</v>
      </c>
      <c r="M795" s="36" t="s">
        <v>1699</v>
      </c>
      <c r="N795" s="1" t="s">
        <v>1283</v>
      </c>
      <c r="O795" s="1" t="s">
        <v>1286</v>
      </c>
      <c r="P795" s="34" t="str">
        <f t="shared" si="15"/>
        <v>F010</v>
      </c>
      <c r="Q795" s="1" t="s">
        <v>137</v>
      </c>
      <c r="S795" s="16">
        <v>20</v>
      </c>
      <c r="T795" s="1" t="s">
        <v>2299</v>
      </c>
      <c r="U795" s="1" t="s">
        <v>1541</v>
      </c>
      <c r="V795" s="1" t="s">
        <v>2711</v>
      </c>
      <c r="Y795" s="1">
        <v>4264.8999999999996</v>
      </c>
      <c r="AB795" s="1">
        <v>3488.94</v>
      </c>
    </row>
    <row r="796" spans="2:28" x14ac:dyDescent="0.2">
      <c r="B796" s="30" t="s">
        <v>2294</v>
      </c>
      <c r="C796" s="36"/>
      <c r="D796" s="36"/>
      <c r="F796" s="1" t="s">
        <v>1322</v>
      </c>
      <c r="G796" s="30" t="s">
        <v>2709</v>
      </c>
      <c r="K796" s="1" t="s">
        <v>2758</v>
      </c>
      <c r="L796" s="1" t="s">
        <v>1279</v>
      </c>
      <c r="M796" s="36" t="s">
        <v>1699</v>
      </c>
      <c r="N796" s="1" t="s">
        <v>1283</v>
      </c>
      <c r="O796" s="1" t="s">
        <v>1286</v>
      </c>
      <c r="P796" s="34" t="str">
        <f t="shared" si="15"/>
        <v>F010</v>
      </c>
      <c r="Q796" s="1" t="s">
        <v>137</v>
      </c>
      <c r="S796" s="16">
        <v>20</v>
      </c>
      <c r="T796" s="1" t="s">
        <v>2299</v>
      </c>
      <c r="U796" s="1" t="s">
        <v>1541</v>
      </c>
      <c r="V796" s="1" t="s">
        <v>2711</v>
      </c>
      <c r="Y796" s="1">
        <v>4264.8999999999996</v>
      </c>
      <c r="AB796" s="1">
        <v>3488.94</v>
      </c>
    </row>
    <row r="797" spans="2:28" x14ac:dyDescent="0.2">
      <c r="B797" s="30" t="s">
        <v>2294</v>
      </c>
      <c r="C797" s="36"/>
      <c r="D797" s="36"/>
      <c r="F797" s="1" t="s">
        <v>1322</v>
      </c>
      <c r="G797" s="30" t="s">
        <v>2709</v>
      </c>
      <c r="K797" s="1" t="s">
        <v>2759</v>
      </c>
      <c r="L797" s="1" t="s">
        <v>1279</v>
      </c>
      <c r="M797" s="36" t="s">
        <v>1699</v>
      </c>
      <c r="N797" s="1" t="s">
        <v>1283</v>
      </c>
      <c r="O797" s="1" t="s">
        <v>1286</v>
      </c>
      <c r="P797" s="34" t="str">
        <f t="shared" si="15"/>
        <v>F010</v>
      </c>
      <c r="Q797" s="1" t="s">
        <v>137</v>
      </c>
      <c r="S797" s="16">
        <v>20</v>
      </c>
      <c r="T797" s="1" t="s">
        <v>2427</v>
      </c>
      <c r="U797" s="1" t="s">
        <v>1541</v>
      </c>
      <c r="V797" s="1" t="s">
        <v>2711</v>
      </c>
      <c r="Y797" s="1">
        <v>4264.8999999999996</v>
      </c>
      <c r="AB797" s="1">
        <v>3488.94</v>
      </c>
    </row>
    <row r="798" spans="2:28" x14ac:dyDescent="0.2">
      <c r="B798" s="30" t="s">
        <v>2294</v>
      </c>
      <c r="C798" s="36"/>
      <c r="D798" s="36"/>
      <c r="F798" s="1" t="s">
        <v>1895</v>
      </c>
      <c r="G798" s="30" t="s">
        <v>2709</v>
      </c>
      <c r="K798" s="1" t="s">
        <v>2760</v>
      </c>
      <c r="L798" s="1" t="s">
        <v>1279</v>
      </c>
      <c r="M798" s="36" t="s">
        <v>1699</v>
      </c>
      <c r="N798" s="1" t="s">
        <v>1283</v>
      </c>
      <c r="O798" s="1" t="s">
        <v>1286</v>
      </c>
      <c r="P798" s="34" t="str">
        <f t="shared" si="15"/>
        <v>F010</v>
      </c>
      <c r="Q798" s="1" t="s">
        <v>137</v>
      </c>
      <c r="S798" s="16">
        <v>20</v>
      </c>
      <c r="T798" s="1" t="s">
        <v>2427</v>
      </c>
      <c r="U798" s="1" t="s">
        <v>1541</v>
      </c>
      <c r="V798" s="1" t="s">
        <v>2711</v>
      </c>
      <c r="Y798" s="1">
        <v>4264.8999999999996</v>
      </c>
      <c r="AB798" s="1">
        <v>3488.94</v>
      </c>
    </row>
    <row r="799" spans="2:28" x14ac:dyDescent="0.2">
      <c r="B799" s="30" t="s">
        <v>2294</v>
      </c>
      <c r="C799" s="36"/>
      <c r="D799" s="36"/>
      <c r="F799" s="1" t="s">
        <v>1895</v>
      </c>
      <c r="G799" s="30" t="s">
        <v>2709</v>
      </c>
      <c r="K799" s="1" t="s">
        <v>2761</v>
      </c>
      <c r="L799" s="1" t="s">
        <v>1279</v>
      </c>
      <c r="M799" s="36" t="s">
        <v>1699</v>
      </c>
      <c r="N799" s="1" t="s">
        <v>1283</v>
      </c>
      <c r="O799" s="1" t="s">
        <v>1286</v>
      </c>
      <c r="P799" s="34" t="str">
        <f t="shared" si="15"/>
        <v>F010</v>
      </c>
      <c r="Q799" s="1" t="s">
        <v>137</v>
      </c>
      <c r="S799" s="16">
        <v>20</v>
      </c>
      <c r="T799" s="1" t="s">
        <v>2427</v>
      </c>
      <c r="U799" s="1" t="s">
        <v>1541</v>
      </c>
      <c r="V799" s="1" t="s">
        <v>2711</v>
      </c>
      <c r="Y799" s="1">
        <v>4264.8999999999996</v>
      </c>
      <c r="AB799" s="1">
        <v>3488.94</v>
      </c>
    </row>
    <row r="800" spans="2:28" x14ac:dyDescent="0.2">
      <c r="B800" s="30" t="s">
        <v>2294</v>
      </c>
      <c r="C800" s="36"/>
      <c r="D800" s="36"/>
      <c r="F800" s="1" t="s">
        <v>1895</v>
      </c>
      <c r="G800" s="30" t="s">
        <v>2709</v>
      </c>
      <c r="K800" s="1" t="s">
        <v>2762</v>
      </c>
      <c r="L800" s="1" t="s">
        <v>1279</v>
      </c>
      <c r="M800" s="36" t="s">
        <v>1699</v>
      </c>
      <c r="N800" s="1" t="s">
        <v>1283</v>
      </c>
      <c r="O800" s="1" t="s">
        <v>1286</v>
      </c>
      <c r="P800" s="34" t="str">
        <f t="shared" si="15"/>
        <v>F010</v>
      </c>
      <c r="Q800" s="1" t="s">
        <v>137</v>
      </c>
      <c r="S800" s="16">
        <v>20</v>
      </c>
      <c r="T800" s="1" t="s">
        <v>2427</v>
      </c>
      <c r="U800" s="1" t="s">
        <v>1541</v>
      </c>
      <c r="V800" s="1" t="s">
        <v>2711</v>
      </c>
      <c r="Y800" s="1">
        <v>4264.8999999999996</v>
      </c>
      <c r="AB800" s="1">
        <v>3488.94</v>
      </c>
    </row>
    <row r="801" spans="2:28" x14ac:dyDescent="0.2">
      <c r="B801" s="30" t="s">
        <v>2294</v>
      </c>
      <c r="C801" s="36"/>
      <c r="D801" s="36"/>
      <c r="F801" s="1" t="s">
        <v>1895</v>
      </c>
      <c r="G801" s="30" t="s">
        <v>2709</v>
      </c>
      <c r="K801" s="1" t="s">
        <v>2763</v>
      </c>
      <c r="L801" s="1" t="s">
        <v>1279</v>
      </c>
      <c r="M801" s="36" t="s">
        <v>1699</v>
      </c>
      <c r="N801" s="1" t="s">
        <v>1283</v>
      </c>
      <c r="O801" s="1" t="s">
        <v>1286</v>
      </c>
      <c r="P801" s="34" t="str">
        <f t="shared" si="15"/>
        <v>F010</v>
      </c>
      <c r="Q801" s="1" t="s">
        <v>137</v>
      </c>
      <c r="S801" s="16">
        <v>20</v>
      </c>
      <c r="T801" s="1" t="s">
        <v>2299</v>
      </c>
      <c r="U801" s="1" t="s">
        <v>1541</v>
      </c>
      <c r="V801" s="1" t="s">
        <v>2711</v>
      </c>
      <c r="Y801" s="1">
        <v>4264.8999999999996</v>
      </c>
      <c r="AB801" s="1">
        <v>3488.94</v>
      </c>
    </row>
    <row r="802" spans="2:28" x14ac:dyDescent="0.2">
      <c r="B802" s="30" t="s">
        <v>2294</v>
      </c>
      <c r="C802" s="36"/>
      <c r="D802" s="36"/>
      <c r="F802" s="1" t="s">
        <v>1322</v>
      </c>
      <c r="G802" s="30" t="s">
        <v>2709</v>
      </c>
      <c r="K802" s="1" t="s">
        <v>2764</v>
      </c>
      <c r="L802" s="1" t="s">
        <v>1279</v>
      </c>
      <c r="M802" s="36" t="s">
        <v>1699</v>
      </c>
      <c r="N802" s="1" t="s">
        <v>1283</v>
      </c>
      <c r="O802" s="1" t="s">
        <v>1286</v>
      </c>
      <c r="P802" s="34" t="str">
        <f t="shared" si="15"/>
        <v>F010</v>
      </c>
      <c r="Q802" s="1" t="s">
        <v>137</v>
      </c>
      <c r="S802" s="16">
        <v>20</v>
      </c>
      <c r="T802" s="1" t="s">
        <v>2299</v>
      </c>
      <c r="U802" s="1" t="s">
        <v>1541</v>
      </c>
      <c r="V802" s="1" t="s">
        <v>2711</v>
      </c>
      <c r="Y802" s="1">
        <v>4264.8999999999996</v>
      </c>
      <c r="AB802" s="1">
        <v>3488.94</v>
      </c>
    </row>
    <row r="803" spans="2:28" x14ac:dyDescent="0.2">
      <c r="B803" s="30" t="s">
        <v>2294</v>
      </c>
      <c r="C803" s="36"/>
      <c r="D803" s="36"/>
      <c r="F803" s="1" t="s">
        <v>1322</v>
      </c>
      <c r="G803" s="30" t="s">
        <v>2709</v>
      </c>
      <c r="K803" s="1" t="s">
        <v>2765</v>
      </c>
      <c r="L803" s="1" t="s">
        <v>1279</v>
      </c>
      <c r="M803" s="36" t="s">
        <v>1699</v>
      </c>
      <c r="N803" s="1" t="s">
        <v>1283</v>
      </c>
      <c r="O803" s="1" t="s">
        <v>1286</v>
      </c>
      <c r="P803" s="34" t="str">
        <f t="shared" si="15"/>
        <v>F010</v>
      </c>
      <c r="Q803" s="1" t="s">
        <v>137</v>
      </c>
      <c r="S803" s="16">
        <v>20</v>
      </c>
      <c r="T803" s="1" t="s">
        <v>2299</v>
      </c>
      <c r="U803" s="1" t="s">
        <v>1541</v>
      </c>
      <c r="V803" s="1" t="s">
        <v>2711</v>
      </c>
      <c r="Y803" s="1">
        <v>4264.8999999999996</v>
      </c>
      <c r="AB803" s="1">
        <v>3488.94</v>
      </c>
    </row>
    <row r="804" spans="2:28" x14ac:dyDescent="0.2">
      <c r="B804" s="30" t="s">
        <v>2294</v>
      </c>
      <c r="C804" s="36"/>
      <c r="D804" s="36"/>
      <c r="F804" s="1" t="s">
        <v>1322</v>
      </c>
      <c r="G804" s="30" t="s">
        <v>2709</v>
      </c>
      <c r="K804" s="1" t="s">
        <v>2766</v>
      </c>
      <c r="L804" s="1" t="s">
        <v>1279</v>
      </c>
      <c r="M804" s="36" t="s">
        <v>1699</v>
      </c>
      <c r="N804" s="1" t="s">
        <v>1283</v>
      </c>
      <c r="O804" s="1" t="s">
        <v>1286</v>
      </c>
      <c r="P804" s="34" t="str">
        <f t="shared" si="15"/>
        <v>F010</v>
      </c>
      <c r="Q804" s="1" t="s">
        <v>137</v>
      </c>
      <c r="S804" s="16">
        <v>20</v>
      </c>
      <c r="T804" s="1" t="s">
        <v>2427</v>
      </c>
      <c r="U804" s="1" t="s">
        <v>1541</v>
      </c>
      <c r="V804" s="1" t="s">
        <v>2711</v>
      </c>
      <c r="Y804" s="1">
        <v>4264.8999999999996</v>
      </c>
      <c r="AB804" s="1">
        <v>3488.94</v>
      </c>
    </row>
    <row r="805" spans="2:28" x14ac:dyDescent="0.2">
      <c r="B805" s="30" t="s">
        <v>2294</v>
      </c>
      <c r="C805" s="36"/>
      <c r="D805" s="36"/>
      <c r="F805" s="1" t="s">
        <v>1895</v>
      </c>
      <c r="G805" s="30" t="s">
        <v>2709</v>
      </c>
      <c r="K805" s="1" t="s">
        <v>2767</v>
      </c>
      <c r="L805" s="1" t="s">
        <v>1279</v>
      </c>
      <c r="M805" s="36" t="s">
        <v>1699</v>
      </c>
      <c r="N805" s="1" t="s">
        <v>1283</v>
      </c>
      <c r="O805" s="1" t="s">
        <v>1286</v>
      </c>
      <c r="P805" s="34" t="str">
        <f t="shared" si="15"/>
        <v>F010</v>
      </c>
      <c r="Q805" s="1" t="s">
        <v>137</v>
      </c>
      <c r="S805" s="16">
        <v>20</v>
      </c>
      <c r="T805" s="1" t="s">
        <v>2427</v>
      </c>
      <c r="U805" s="1" t="s">
        <v>1541</v>
      </c>
      <c r="V805" s="1" t="s">
        <v>2711</v>
      </c>
      <c r="Y805" s="1">
        <v>4264.8999999999996</v>
      </c>
      <c r="AB805" s="1">
        <v>3488.94</v>
      </c>
    </row>
    <row r="806" spans="2:28" x14ac:dyDescent="0.2">
      <c r="B806" s="30" t="s">
        <v>2294</v>
      </c>
      <c r="C806" s="36"/>
      <c r="D806" s="36"/>
      <c r="F806" s="1" t="s">
        <v>1895</v>
      </c>
      <c r="G806" s="30" t="s">
        <v>2709</v>
      </c>
      <c r="K806" s="1" t="s">
        <v>2768</v>
      </c>
      <c r="L806" s="1" t="s">
        <v>1279</v>
      </c>
      <c r="M806" s="36" t="s">
        <v>1699</v>
      </c>
      <c r="N806" s="1" t="s">
        <v>1283</v>
      </c>
      <c r="O806" s="1" t="s">
        <v>1286</v>
      </c>
      <c r="P806" s="34" t="str">
        <f t="shared" si="15"/>
        <v>F010</v>
      </c>
      <c r="Q806" s="1" t="s">
        <v>137</v>
      </c>
      <c r="S806" s="16">
        <v>20</v>
      </c>
      <c r="T806" s="1" t="s">
        <v>2427</v>
      </c>
      <c r="U806" s="1" t="s">
        <v>1541</v>
      </c>
      <c r="V806" s="1" t="s">
        <v>2711</v>
      </c>
      <c r="Y806" s="1">
        <v>4264.8999999999996</v>
      </c>
      <c r="AB806" s="1">
        <v>3488.94</v>
      </c>
    </row>
    <row r="807" spans="2:28" x14ac:dyDescent="0.2">
      <c r="B807" s="30" t="s">
        <v>2294</v>
      </c>
      <c r="C807" s="36"/>
      <c r="D807" s="36"/>
      <c r="F807" s="1" t="s">
        <v>1895</v>
      </c>
      <c r="G807" s="30" t="s">
        <v>2709</v>
      </c>
      <c r="K807" s="1" t="s">
        <v>2769</v>
      </c>
      <c r="L807" s="1" t="s">
        <v>1279</v>
      </c>
      <c r="M807" s="36" t="s">
        <v>1699</v>
      </c>
      <c r="N807" s="1" t="s">
        <v>1283</v>
      </c>
      <c r="O807" s="1" t="s">
        <v>1286</v>
      </c>
      <c r="P807" s="34" t="str">
        <f t="shared" si="15"/>
        <v>F010</v>
      </c>
      <c r="Q807" s="1" t="s">
        <v>137</v>
      </c>
      <c r="S807" s="16">
        <v>20</v>
      </c>
      <c r="T807" s="1" t="s">
        <v>2427</v>
      </c>
      <c r="U807" s="1" t="s">
        <v>1541</v>
      </c>
      <c r="V807" s="1" t="s">
        <v>2711</v>
      </c>
      <c r="Y807" s="1">
        <v>4264.8999999999996</v>
      </c>
      <c r="AB807" s="1">
        <v>3488.94</v>
      </c>
    </row>
    <row r="808" spans="2:28" x14ac:dyDescent="0.2">
      <c r="B808" s="30" t="s">
        <v>2294</v>
      </c>
      <c r="C808" s="36"/>
      <c r="D808" s="36"/>
      <c r="F808" s="1" t="s">
        <v>1895</v>
      </c>
      <c r="G808" s="30" t="s">
        <v>2709</v>
      </c>
      <c r="K808" s="1" t="s">
        <v>2770</v>
      </c>
      <c r="L808" s="1" t="s">
        <v>1279</v>
      </c>
      <c r="M808" s="36" t="s">
        <v>1699</v>
      </c>
      <c r="N808" s="1" t="s">
        <v>1283</v>
      </c>
      <c r="O808" s="1" t="s">
        <v>1286</v>
      </c>
      <c r="P808" s="34" t="str">
        <f t="shared" si="15"/>
        <v>F010</v>
      </c>
      <c r="Q808" s="1" t="s">
        <v>137</v>
      </c>
      <c r="S808" s="16">
        <v>20</v>
      </c>
      <c r="T808" s="1" t="s">
        <v>2427</v>
      </c>
      <c r="U808" s="1" t="s">
        <v>1541</v>
      </c>
      <c r="V808" s="1" t="s">
        <v>2711</v>
      </c>
      <c r="Y808" s="1">
        <v>4264.8999999999996</v>
      </c>
      <c r="AB808" s="1">
        <v>3488.94</v>
      </c>
    </row>
    <row r="809" spans="2:28" x14ac:dyDescent="0.2">
      <c r="B809" s="30" t="s">
        <v>2294</v>
      </c>
      <c r="C809" s="36"/>
      <c r="D809" s="36"/>
      <c r="F809" s="1" t="s">
        <v>1895</v>
      </c>
      <c r="G809" s="30" t="s">
        <v>2709</v>
      </c>
      <c r="K809" s="1" t="s">
        <v>2771</v>
      </c>
      <c r="L809" s="1" t="s">
        <v>1279</v>
      </c>
      <c r="M809" s="36" t="s">
        <v>1699</v>
      </c>
      <c r="N809" s="1" t="s">
        <v>1283</v>
      </c>
      <c r="O809" s="1" t="s">
        <v>1286</v>
      </c>
      <c r="P809" s="34" t="str">
        <f t="shared" si="15"/>
        <v>F010</v>
      </c>
      <c r="Q809" s="1" t="s">
        <v>137</v>
      </c>
      <c r="S809" s="16">
        <v>20</v>
      </c>
      <c r="T809" s="1" t="s">
        <v>2427</v>
      </c>
      <c r="U809" s="1" t="s">
        <v>1541</v>
      </c>
      <c r="V809" s="1" t="s">
        <v>2711</v>
      </c>
      <c r="Y809" s="1">
        <v>4264.8999999999996</v>
      </c>
      <c r="AB809" s="1">
        <v>3488.94</v>
      </c>
    </row>
    <row r="810" spans="2:28" x14ac:dyDescent="0.2">
      <c r="B810" s="30" t="s">
        <v>2294</v>
      </c>
      <c r="C810" s="36"/>
      <c r="D810" s="36"/>
      <c r="F810" s="1" t="s">
        <v>1895</v>
      </c>
      <c r="G810" s="30" t="s">
        <v>2709</v>
      </c>
      <c r="K810" s="1" t="s">
        <v>2772</v>
      </c>
      <c r="L810" s="1" t="s">
        <v>1279</v>
      </c>
      <c r="M810" s="36" t="s">
        <v>1699</v>
      </c>
      <c r="N810" s="1" t="s">
        <v>1283</v>
      </c>
      <c r="O810" s="1" t="s">
        <v>1286</v>
      </c>
      <c r="P810" s="34" t="str">
        <f t="shared" si="15"/>
        <v>F010</v>
      </c>
      <c r="Q810" s="1" t="s">
        <v>137</v>
      </c>
      <c r="S810" s="16">
        <v>20</v>
      </c>
      <c r="T810" s="1" t="s">
        <v>2427</v>
      </c>
      <c r="U810" s="1" t="s">
        <v>1541</v>
      </c>
      <c r="V810" s="1" t="s">
        <v>2711</v>
      </c>
      <c r="Y810" s="1">
        <v>4264.8999999999996</v>
      </c>
      <c r="AB810" s="1">
        <v>3488.94</v>
      </c>
    </row>
    <row r="811" spans="2:28" x14ac:dyDescent="0.2">
      <c r="B811" s="30" t="s">
        <v>2294</v>
      </c>
      <c r="C811" s="36"/>
      <c r="D811" s="36"/>
      <c r="F811" s="1" t="s">
        <v>1895</v>
      </c>
      <c r="G811" s="30" t="s">
        <v>2709</v>
      </c>
      <c r="K811" s="1" t="s">
        <v>2773</v>
      </c>
      <c r="L811" s="1" t="s">
        <v>1279</v>
      </c>
      <c r="M811" s="36" t="s">
        <v>1699</v>
      </c>
      <c r="N811" s="1" t="s">
        <v>1283</v>
      </c>
      <c r="O811" s="1" t="s">
        <v>1286</v>
      </c>
      <c r="P811" s="34" t="str">
        <f t="shared" si="15"/>
        <v>F010</v>
      </c>
      <c r="Q811" s="1" t="s">
        <v>137</v>
      </c>
      <c r="S811" s="16">
        <v>20</v>
      </c>
      <c r="T811" s="1" t="s">
        <v>2427</v>
      </c>
      <c r="U811" s="1" t="s">
        <v>1541</v>
      </c>
      <c r="V811" s="1" t="s">
        <v>2711</v>
      </c>
      <c r="Y811" s="1">
        <v>4264.8999999999996</v>
      </c>
      <c r="AB811" s="1">
        <v>3488.94</v>
      </c>
    </row>
    <row r="812" spans="2:28" x14ac:dyDescent="0.2">
      <c r="B812" s="30" t="s">
        <v>2294</v>
      </c>
      <c r="C812" s="36"/>
      <c r="D812" s="36"/>
      <c r="F812" s="1" t="s">
        <v>1895</v>
      </c>
      <c r="G812" s="30" t="s">
        <v>2709</v>
      </c>
      <c r="K812" s="1" t="s">
        <v>2774</v>
      </c>
      <c r="L812" s="1" t="s">
        <v>1279</v>
      </c>
      <c r="M812" s="36" t="s">
        <v>1699</v>
      </c>
      <c r="N812" s="1" t="s">
        <v>1283</v>
      </c>
      <c r="O812" s="1" t="s">
        <v>1286</v>
      </c>
      <c r="P812" s="34" t="str">
        <f t="shared" si="15"/>
        <v>F010</v>
      </c>
      <c r="Q812" s="1" t="s">
        <v>137</v>
      </c>
      <c r="S812" s="16">
        <v>20</v>
      </c>
      <c r="T812" s="1" t="s">
        <v>2427</v>
      </c>
      <c r="U812" s="1" t="s">
        <v>1541</v>
      </c>
      <c r="V812" s="1" t="s">
        <v>2711</v>
      </c>
      <c r="Y812" s="1">
        <v>4264.8999999999996</v>
      </c>
      <c r="AB812" s="1">
        <v>3488.94</v>
      </c>
    </row>
    <row r="813" spans="2:28" x14ac:dyDescent="0.2">
      <c r="B813" s="30" t="s">
        <v>2294</v>
      </c>
      <c r="C813" s="36"/>
      <c r="D813" s="36"/>
      <c r="F813" s="1" t="s">
        <v>1895</v>
      </c>
      <c r="G813" s="30" t="s">
        <v>2709</v>
      </c>
      <c r="K813" s="1" t="s">
        <v>2775</v>
      </c>
      <c r="L813" s="1" t="s">
        <v>1279</v>
      </c>
      <c r="M813" s="36" t="s">
        <v>1699</v>
      </c>
      <c r="N813" s="1" t="s">
        <v>1283</v>
      </c>
      <c r="O813" s="1" t="s">
        <v>1286</v>
      </c>
      <c r="P813" s="34" t="str">
        <f t="shared" si="15"/>
        <v>F010</v>
      </c>
      <c r="Q813" s="1" t="s">
        <v>137</v>
      </c>
      <c r="S813" s="16">
        <v>20</v>
      </c>
      <c r="T813" s="1" t="s">
        <v>2427</v>
      </c>
      <c r="U813" s="1" t="s">
        <v>1541</v>
      </c>
      <c r="V813" s="1" t="s">
        <v>2711</v>
      </c>
      <c r="Y813" s="1">
        <v>4264.8999999999996</v>
      </c>
      <c r="AB813" s="1">
        <v>3488.94</v>
      </c>
    </row>
    <row r="814" spans="2:28" x14ac:dyDescent="0.2">
      <c r="B814" s="30" t="s">
        <v>2294</v>
      </c>
      <c r="C814" s="36"/>
      <c r="D814" s="36"/>
      <c r="F814" s="1" t="s">
        <v>1895</v>
      </c>
      <c r="G814" s="30" t="s">
        <v>2709</v>
      </c>
      <c r="K814" s="1" t="s">
        <v>2776</v>
      </c>
      <c r="L814" s="1" t="s">
        <v>1279</v>
      </c>
      <c r="M814" s="36" t="s">
        <v>1699</v>
      </c>
      <c r="N814" s="1" t="s">
        <v>1283</v>
      </c>
      <c r="O814" s="1" t="s">
        <v>1286</v>
      </c>
      <c r="P814" s="34" t="str">
        <f t="shared" si="15"/>
        <v>F010</v>
      </c>
      <c r="Q814" s="1" t="s">
        <v>137</v>
      </c>
      <c r="S814" s="16">
        <v>20</v>
      </c>
      <c r="T814" s="1" t="s">
        <v>2299</v>
      </c>
      <c r="U814" s="1" t="s">
        <v>1541</v>
      </c>
      <c r="V814" s="1" t="s">
        <v>2711</v>
      </c>
      <c r="Y814" s="1">
        <v>4264.8999999999996</v>
      </c>
      <c r="AB814" s="1">
        <v>3488.94</v>
      </c>
    </row>
    <row r="815" spans="2:28" x14ac:dyDescent="0.2">
      <c r="B815" s="30" t="s">
        <v>2294</v>
      </c>
      <c r="C815" s="36"/>
      <c r="D815" s="36"/>
      <c r="F815" s="1" t="s">
        <v>1322</v>
      </c>
      <c r="G815" s="30" t="s">
        <v>2709</v>
      </c>
      <c r="K815" s="1" t="s">
        <v>2777</v>
      </c>
      <c r="L815" s="1" t="s">
        <v>1279</v>
      </c>
      <c r="M815" s="36" t="s">
        <v>1699</v>
      </c>
      <c r="N815" s="1" t="s">
        <v>1283</v>
      </c>
      <c r="O815" s="1" t="s">
        <v>1286</v>
      </c>
      <c r="P815" s="34" t="str">
        <f t="shared" si="15"/>
        <v>F010</v>
      </c>
      <c r="Q815" s="1" t="s">
        <v>137</v>
      </c>
      <c r="S815" s="16">
        <v>20</v>
      </c>
      <c r="T815" s="1" t="s">
        <v>2427</v>
      </c>
      <c r="U815" s="1" t="s">
        <v>1541</v>
      </c>
      <c r="V815" s="1" t="s">
        <v>2711</v>
      </c>
      <c r="Y815" s="1">
        <v>4264.8999999999996</v>
      </c>
      <c r="AB815" s="1">
        <v>3488.94</v>
      </c>
    </row>
    <row r="816" spans="2:28" x14ac:dyDescent="0.2">
      <c r="B816" s="30" t="s">
        <v>2294</v>
      </c>
      <c r="C816" s="36"/>
      <c r="D816" s="36"/>
      <c r="F816" s="1" t="s">
        <v>1895</v>
      </c>
      <c r="G816" s="30" t="s">
        <v>2709</v>
      </c>
      <c r="K816" s="1" t="s">
        <v>2778</v>
      </c>
      <c r="L816" s="1" t="s">
        <v>1279</v>
      </c>
      <c r="M816" s="36" t="s">
        <v>1699</v>
      </c>
      <c r="N816" s="1" t="s">
        <v>1283</v>
      </c>
      <c r="O816" s="1" t="s">
        <v>1286</v>
      </c>
      <c r="P816" s="34" t="str">
        <f t="shared" si="15"/>
        <v>F010</v>
      </c>
      <c r="Q816" s="1" t="s">
        <v>137</v>
      </c>
      <c r="S816" s="16">
        <v>20</v>
      </c>
      <c r="T816" s="1" t="s">
        <v>2427</v>
      </c>
      <c r="U816" s="1" t="s">
        <v>1541</v>
      </c>
      <c r="V816" s="1" t="s">
        <v>2711</v>
      </c>
      <c r="Y816" s="1">
        <v>4264.8999999999996</v>
      </c>
      <c r="AB816" s="1">
        <v>3488.94</v>
      </c>
    </row>
    <row r="817" spans="2:28" x14ac:dyDescent="0.2">
      <c r="B817" s="30" t="s">
        <v>2294</v>
      </c>
      <c r="C817" s="36"/>
      <c r="D817" s="36"/>
      <c r="F817" s="1" t="s">
        <v>1895</v>
      </c>
      <c r="G817" s="30" t="s">
        <v>2709</v>
      </c>
      <c r="K817" s="1" t="s">
        <v>2779</v>
      </c>
      <c r="L817" s="1" t="s">
        <v>1279</v>
      </c>
      <c r="M817" s="36" t="s">
        <v>1699</v>
      </c>
      <c r="N817" s="1" t="s">
        <v>1283</v>
      </c>
      <c r="O817" s="1" t="s">
        <v>1286</v>
      </c>
      <c r="P817" s="34" t="str">
        <f t="shared" si="15"/>
        <v>F010</v>
      </c>
      <c r="Q817" s="1" t="s">
        <v>137</v>
      </c>
      <c r="S817" s="16">
        <v>20</v>
      </c>
      <c r="T817" s="1" t="s">
        <v>2299</v>
      </c>
      <c r="U817" s="1" t="s">
        <v>1541</v>
      </c>
      <c r="V817" s="1" t="s">
        <v>2711</v>
      </c>
      <c r="Y817" s="1">
        <v>4264.8999999999996</v>
      </c>
      <c r="AB817" s="1">
        <v>3488.94</v>
      </c>
    </row>
    <row r="818" spans="2:28" x14ac:dyDescent="0.2">
      <c r="B818" s="30" t="s">
        <v>2294</v>
      </c>
      <c r="C818" s="36"/>
      <c r="D818" s="36"/>
      <c r="F818" s="1" t="s">
        <v>1322</v>
      </c>
      <c r="G818" s="30" t="s">
        <v>2709</v>
      </c>
      <c r="K818" s="1" t="s">
        <v>2780</v>
      </c>
      <c r="L818" s="1" t="s">
        <v>1279</v>
      </c>
      <c r="M818" s="36" t="s">
        <v>1699</v>
      </c>
      <c r="N818" s="1" t="s">
        <v>1283</v>
      </c>
      <c r="O818" s="1" t="s">
        <v>1286</v>
      </c>
      <c r="P818" s="34" t="str">
        <f t="shared" si="15"/>
        <v>F010</v>
      </c>
      <c r="Q818" s="1" t="s">
        <v>137</v>
      </c>
      <c r="S818" s="16">
        <v>20</v>
      </c>
      <c r="T818" s="1" t="s">
        <v>2427</v>
      </c>
      <c r="U818" s="1" t="s">
        <v>1541</v>
      </c>
      <c r="V818" s="1" t="s">
        <v>2711</v>
      </c>
      <c r="Y818" s="1">
        <v>4264.8999999999996</v>
      </c>
      <c r="AB818" s="1">
        <v>3488.94</v>
      </c>
    </row>
    <row r="819" spans="2:28" x14ac:dyDescent="0.2">
      <c r="B819" s="30" t="s">
        <v>2294</v>
      </c>
      <c r="C819" s="36"/>
      <c r="D819" s="36"/>
      <c r="F819" s="1" t="s">
        <v>1895</v>
      </c>
      <c r="G819" s="30" t="s">
        <v>2709</v>
      </c>
      <c r="K819" s="1" t="s">
        <v>2781</v>
      </c>
      <c r="L819" s="1" t="s">
        <v>1279</v>
      </c>
      <c r="M819" s="36" t="s">
        <v>1699</v>
      </c>
      <c r="N819" s="1" t="s">
        <v>1283</v>
      </c>
      <c r="O819" s="1" t="s">
        <v>1286</v>
      </c>
      <c r="P819" s="34" t="str">
        <f t="shared" si="15"/>
        <v>F010</v>
      </c>
      <c r="Q819" s="1" t="s">
        <v>137</v>
      </c>
      <c r="S819" s="16">
        <v>20</v>
      </c>
      <c r="T819" s="1" t="s">
        <v>2427</v>
      </c>
      <c r="U819" s="1" t="s">
        <v>1541</v>
      </c>
      <c r="V819" s="1" t="s">
        <v>2711</v>
      </c>
      <c r="Y819" s="1">
        <v>4264.8999999999996</v>
      </c>
      <c r="AB819" s="1">
        <v>3488.94</v>
      </c>
    </row>
    <row r="820" spans="2:28" x14ac:dyDescent="0.2">
      <c r="B820" s="30" t="s">
        <v>2294</v>
      </c>
      <c r="C820" s="36"/>
      <c r="D820" s="36"/>
      <c r="F820" s="1" t="s">
        <v>1895</v>
      </c>
      <c r="G820" s="30" t="s">
        <v>2709</v>
      </c>
      <c r="K820" s="1" t="s">
        <v>2782</v>
      </c>
      <c r="L820" s="1" t="s">
        <v>1279</v>
      </c>
      <c r="M820" s="36" t="s">
        <v>1699</v>
      </c>
      <c r="N820" s="1" t="s">
        <v>1283</v>
      </c>
      <c r="O820" s="1" t="s">
        <v>1286</v>
      </c>
      <c r="P820" s="34" t="str">
        <f t="shared" si="15"/>
        <v>F010</v>
      </c>
      <c r="Q820" s="1" t="s">
        <v>137</v>
      </c>
      <c r="S820" s="16">
        <v>20</v>
      </c>
      <c r="T820" s="1" t="s">
        <v>2427</v>
      </c>
      <c r="U820" s="1" t="s">
        <v>1541</v>
      </c>
      <c r="V820" s="1" t="s">
        <v>2711</v>
      </c>
      <c r="Y820" s="1">
        <v>4264.8999999999996</v>
      </c>
      <c r="AB820" s="1">
        <v>3488.94</v>
      </c>
    </row>
    <row r="821" spans="2:28" x14ac:dyDescent="0.2">
      <c r="B821" s="30" t="s">
        <v>2294</v>
      </c>
      <c r="C821" s="36"/>
      <c r="D821" s="36"/>
      <c r="F821" s="1" t="s">
        <v>1895</v>
      </c>
      <c r="G821" s="30" t="s">
        <v>2709</v>
      </c>
      <c r="K821" s="1" t="s">
        <v>2783</v>
      </c>
      <c r="L821" s="1" t="s">
        <v>1279</v>
      </c>
      <c r="M821" s="36" t="s">
        <v>1699</v>
      </c>
      <c r="N821" s="1" t="s">
        <v>1283</v>
      </c>
      <c r="O821" s="1" t="s">
        <v>1286</v>
      </c>
      <c r="P821" s="34" t="str">
        <f t="shared" si="15"/>
        <v>F010</v>
      </c>
      <c r="Q821" s="1" t="s">
        <v>137</v>
      </c>
      <c r="S821" s="16">
        <v>20</v>
      </c>
      <c r="T821" s="1" t="s">
        <v>2299</v>
      </c>
      <c r="U821" s="1" t="s">
        <v>1541</v>
      </c>
      <c r="V821" s="1" t="s">
        <v>2711</v>
      </c>
      <c r="Y821" s="1">
        <v>4264.8999999999996</v>
      </c>
      <c r="AB821" s="1">
        <v>3488.94</v>
      </c>
    </row>
    <row r="822" spans="2:28" x14ac:dyDescent="0.2">
      <c r="B822" s="30" t="s">
        <v>2294</v>
      </c>
      <c r="C822" s="36"/>
      <c r="D822" s="36"/>
      <c r="F822" s="1" t="s">
        <v>1322</v>
      </c>
      <c r="G822" s="30" t="s">
        <v>2709</v>
      </c>
      <c r="K822" s="1" t="s">
        <v>2784</v>
      </c>
      <c r="L822" s="1" t="s">
        <v>1279</v>
      </c>
      <c r="M822" s="36" t="s">
        <v>1699</v>
      </c>
      <c r="N822" s="1" t="s">
        <v>1283</v>
      </c>
      <c r="O822" s="1" t="s">
        <v>1286</v>
      </c>
      <c r="P822" s="34" t="str">
        <f t="shared" si="15"/>
        <v>F010</v>
      </c>
      <c r="Q822" s="1" t="s">
        <v>137</v>
      </c>
      <c r="S822" s="16">
        <v>20</v>
      </c>
      <c r="T822" s="1" t="s">
        <v>2299</v>
      </c>
      <c r="U822" s="1" t="s">
        <v>1541</v>
      </c>
      <c r="V822" s="1" t="s">
        <v>2711</v>
      </c>
      <c r="Y822" s="1">
        <v>4264.8999999999996</v>
      </c>
      <c r="AB822" s="1">
        <v>3488.94</v>
      </c>
    </row>
    <row r="823" spans="2:28" x14ac:dyDescent="0.2">
      <c r="B823" s="30" t="s">
        <v>2294</v>
      </c>
      <c r="C823" s="36"/>
      <c r="D823" s="36"/>
      <c r="F823" s="1" t="s">
        <v>1322</v>
      </c>
      <c r="G823" s="30" t="s">
        <v>2709</v>
      </c>
      <c r="K823" s="1" t="s">
        <v>2785</v>
      </c>
      <c r="L823" s="1" t="s">
        <v>1279</v>
      </c>
      <c r="M823" s="36" t="s">
        <v>1699</v>
      </c>
      <c r="N823" s="1" t="s">
        <v>1283</v>
      </c>
      <c r="O823" s="1" t="s">
        <v>1286</v>
      </c>
      <c r="P823" s="34" t="str">
        <f t="shared" si="15"/>
        <v>F010</v>
      </c>
      <c r="Q823" s="1" t="s">
        <v>137</v>
      </c>
      <c r="S823" s="16">
        <v>20</v>
      </c>
      <c r="T823" s="1" t="s">
        <v>2675</v>
      </c>
      <c r="U823" s="1" t="s">
        <v>1541</v>
      </c>
      <c r="V823" s="1" t="s">
        <v>2711</v>
      </c>
      <c r="Y823" s="1">
        <v>4264.8999999999996</v>
      </c>
      <c r="AB823" s="1">
        <v>3488.94</v>
      </c>
    </row>
    <row r="824" spans="2:28" x14ac:dyDescent="0.2">
      <c r="B824" s="30" t="s">
        <v>2294</v>
      </c>
      <c r="C824" s="36"/>
      <c r="D824" s="36"/>
      <c r="F824" s="1" t="s">
        <v>2676</v>
      </c>
      <c r="G824" s="30" t="s">
        <v>2709</v>
      </c>
      <c r="K824" s="1" t="s">
        <v>2786</v>
      </c>
      <c r="L824" s="1" t="s">
        <v>1279</v>
      </c>
      <c r="M824" s="36" t="s">
        <v>1699</v>
      </c>
      <c r="N824" s="1" t="s">
        <v>1283</v>
      </c>
      <c r="O824" s="1" t="s">
        <v>1286</v>
      </c>
      <c r="P824" s="34" t="str">
        <f t="shared" si="15"/>
        <v>F010</v>
      </c>
      <c r="Q824" s="1" t="s">
        <v>137</v>
      </c>
      <c r="S824" s="16">
        <v>20</v>
      </c>
      <c r="T824" s="1" t="s">
        <v>2672</v>
      </c>
      <c r="U824" s="1" t="s">
        <v>1541</v>
      </c>
      <c r="V824" s="1" t="s">
        <v>2711</v>
      </c>
      <c r="Y824" s="1">
        <v>4264.8999999999996</v>
      </c>
      <c r="AB824" s="1">
        <v>3488.94</v>
      </c>
    </row>
    <row r="825" spans="2:28" x14ac:dyDescent="0.2">
      <c r="B825" s="30" t="s">
        <v>2294</v>
      </c>
      <c r="C825" s="36"/>
      <c r="D825" s="36"/>
      <c r="F825" s="1" t="s">
        <v>2673</v>
      </c>
      <c r="G825" s="30" t="s">
        <v>2709</v>
      </c>
      <c r="K825" s="1" t="s">
        <v>2787</v>
      </c>
      <c r="L825" s="1" t="s">
        <v>1279</v>
      </c>
      <c r="M825" s="36" t="s">
        <v>1699</v>
      </c>
      <c r="N825" s="1" t="s">
        <v>1283</v>
      </c>
      <c r="O825" s="1" t="s">
        <v>1286</v>
      </c>
      <c r="P825" s="34" t="str">
        <f t="shared" si="15"/>
        <v>F010</v>
      </c>
      <c r="Q825" s="1" t="s">
        <v>137</v>
      </c>
      <c r="S825" s="16">
        <v>20</v>
      </c>
      <c r="T825" s="1" t="s">
        <v>2788</v>
      </c>
      <c r="U825" s="1" t="s">
        <v>1541</v>
      </c>
      <c r="V825" s="1" t="s">
        <v>2711</v>
      </c>
      <c r="Y825" s="1">
        <v>4264.8999999999996</v>
      </c>
      <c r="AB825" s="1">
        <v>3488.94</v>
      </c>
    </row>
    <row r="826" spans="2:28" x14ac:dyDescent="0.2">
      <c r="B826" s="30" t="s">
        <v>2294</v>
      </c>
      <c r="C826" s="36"/>
      <c r="D826" s="36"/>
      <c r="F826" s="1" t="s">
        <v>2789</v>
      </c>
      <c r="G826" s="30" t="s">
        <v>2709</v>
      </c>
      <c r="K826" s="1" t="s">
        <v>2790</v>
      </c>
      <c r="L826" s="1" t="s">
        <v>1279</v>
      </c>
      <c r="M826" s="36" t="s">
        <v>1699</v>
      </c>
      <c r="N826" s="1" t="s">
        <v>1283</v>
      </c>
      <c r="O826" s="1" t="s">
        <v>1286</v>
      </c>
      <c r="P826" s="34" t="str">
        <f t="shared" si="15"/>
        <v>F010</v>
      </c>
      <c r="Q826" s="1" t="s">
        <v>137</v>
      </c>
      <c r="S826" s="16">
        <v>20</v>
      </c>
      <c r="T826" s="1" t="s">
        <v>2299</v>
      </c>
      <c r="U826" s="1" t="s">
        <v>1541</v>
      </c>
      <c r="V826" s="1" t="s">
        <v>2711</v>
      </c>
      <c r="Y826" s="1">
        <v>4264.8999999999996</v>
      </c>
      <c r="AB826" s="1">
        <v>3488.94</v>
      </c>
    </row>
    <row r="827" spans="2:28" x14ac:dyDescent="0.2">
      <c r="B827" s="30" t="s">
        <v>2294</v>
      </c>
      <c r="C827" s="36"/>
      <c r="D827" s="36"/>
      <c r="F827" s="1" t="s">
        <v>1322</v>
      </c>
      <c r="G827" s="30" t="s">
        <v>2709</v>
      </c>
      <c r="K827" s="1" t="s">
        <v>2791</v>
      </c>
      <c r="L827" s="1" t="s">
        <v>1279</v>
      </c>
      <c r="M827" s="36" t="s">
        <v>1699</v>
      </c>
      <c r="N827" s="1" t="s">
        <v>1283</v>
      </c>
      <c r="O827" s="1" t="s">
        <v>1286</v>
      </c>
      <c r="P827" s="34" t="str">
        <f t="shared" si="15"/>
        <v>F010</v>
      </c>
      <c r="Q827" s="1" t="s">
        <v>137</v>
      </c>
      <c r="S827" s="16">
        <v>20</v>
      </c>
      <c r="T827" s="1" t="s">
        <v>2299</v>
      </c>
      <c r="U827" s="1" t="s">
        <v>1541</v>
      </c>
      <c r="V827" s="1" t="s">
        <v>2711</v>
      </c>
      <c r="Y827" s="1">
        <v>4264.8999999999996</v>
      </c>
      <c r="AB827" s="1">
        <v>3488.94</v>
      </c>
    </row>
    <row r="828" spans="2:28" x14ac:dyDescent="0.2">
      <c r="B828" s="30" t="s">
        <v>2294</v>
      </c>
      <c r="C828" s="36"/>
      <c r="D828" s="36"/>
      <c r="F828" s="1" t="s">
        <v>1322</v>
      </c>
      <c r="G828" s="30" t="s">
        <v>2709</v>
      </c>
      <c r="K828" s="1" t="s">
        <v>2792</v>
      </c>
      <c r="L828" s="1" t="s">
        <v>1279</v>
      </c>
      <c r="M828" s="36" t="s">
        <v>1699</v>
      </c>
      <c r="N828" s="1" t="s">
        <v>1283</v>
      </c>
      <c r="O828" s="1" t="s">
        <v>1286</v>
      </c>
      <c r="P828" s="34" t="str">
        <f t="shared" si="15"/>
        <v>F010</v>
      </c>
      <c r="Q828" s="1" t="s">
        <v>137</v>
      </c>
      <c r="S828" s="16">
        <v>20</v>
      </c>
      <c r="T828" s="1" t="s">
        <v>2299</v>
      </c>
      <c r="U828" s="1" t="s">
        <v>1541</v>
      </c>
      <c r="V828" s="1" t="s">
        <v>2711</v>
      </c>
      <c r="Y828" s="1">
        <v>4264.8999999999996</v>
      </c>
      <c r="AB828" s="1">
        <v>3488.94</v>
      </c>
    </row>
    <row r="829" spans="2:28" x14ac:dyDescent="0.2">
      <c r="B829" s="30" t="s">
        <v>2294</v>
      </c>
      <c r="C829" s="36"/>
      <c r="D829" s="36"/>
      <c r="F829" s="1" t="s">
        <v>1322</v>
      </c>
      <c r="G829" s="30" t="s">
        <v>2709</v>
      </c>
      <c r="K829" s="1" t="s">
        <v>2793</v>
      </c>
      <c r="L829" s="1" t="s">
        <v>1279</v>
      </c>
      <c r="M829" s="36" t="s">
        <v>1699</v>
      </c>
      <c r="N829" s="1" t="s">
        <v>1283</v>
      </c>
      <c r="O829" s="1" t="s">
        <v>1286</v>
      </c>
      <c r="P829" s="34" t="str">
        <f t="shared" si="15"/>
        <v>F010</v>
      </c>
      <c r="Q829" s="1" t="s">
        <v>137</v>
      </c>
      <c r="S829" s="16">
        <v>20</v>
      </c>
      <c r="T829" s="1" t="s">
        <v>2299</v>
      </c>
      <c r="U829" s="1" t="s">
        <v>1541</v>
      </c>
      <c r="V829" s="1" t="s">
        <v>2711</v>
      </c>
      <c r="Y829" s="1">
        <v>4264.8999999999996</v>
      </c>
      <c r="AB829" s="1">
        <v>3488.94</v>
      </c>
    </row>
    <row r="830" spans="2:28" x14ac:dyDescent="0.2">
      <c r="B830" s="30" t="s">
        <v>2294</v>
      </c>
      <c r="C830" s="36"/>
      <c r="D830" s="36"/>
      <c r="F830" s="1" t="s">
        <v>1322</v>
      </c>
      <c r="G830" s="30" t="s">
        <v>2709</v>
      </c>
      <c r="K830" s="1" t="s">
        <v>2794</v>
      </c>
      <c r="L830" s="1" t="s">
        <v>1279</v>
      </c>
      <c r="M830" s="36" t="s">
        <v>1699</v>
      </c>
      <c r="N830" s="1" t="s">
        <v>1283</v>
      </c>
      <c r="O830" s="1" t="s">
        <v>1286</v>
      </c>
      <c r="P830" s="34" t="str">
        <f t="shared" si="15"/>
        <v>F010</v>
      </c>
      <c r="Q830" s="1" t="s">
        <v>137</v>
      </c>
      <c r="S830" s="16">
        <v>20</v>
      </c>
      <c r="T830" s="1" t="s">
        <v>2299</v>
      </c>
      <c r="U830" s="1" t="s">
        <v>1541</v>
      </c>
      <c r="V830" s="1" t="s">
        <v>2711</v>
      </c>
      <c r="Y830" s="1">
        <v>4264.8999999999996</v>
      </c>
      <c r="AB830" s="1">
        <v>3488.94</v>
      </c>
    </row>
    <row r="831" spans="2:28" x14ac:dyDescent="0.2">
      <c r="B831" s="30" t="s">
        <v>2294</v>
      </c>
      <c r="C831" s="36"/>
      <c r="D831" s="36"/>
      <c r="F831" s="1" t="s">
        <v>1322</v>
      </c>
      <c r="G831" s="30" t="s">
        <v>2709</v>
      </c>
      <c r="K831" s="1" t="s">
        <v>2795</v>
      </c>
      <c r="L831" s="1" t="s">
        <v>1279</v>
      </c>
      <c r="M831" s="36" t="s">
        <v>1699</v>
      </c>
      <c r="N831" s="1" t="s">
        <v>1283</v>
      </c>
      <c r="O831" s="1" t="s">
        <v>1286</v>
      </c>
      <c r="P831" s="34" t="str">
        <f t="shared" si="15"/>
        <v>F010</v>
      </c>
      <c r="Q831" s="1" t="s">
        <v>137</v>
      </c>
      <c r="S831" s="16">
        <v>20</v>
      </c>
      <c r="T831" s="1" t="s">
        <v>2299</v>
      </c>
      <c r="U831" s="1" t="s">
        <v>1541</v>
      </c>
      <c r="V831" s="1" t="s">
        <v>2711</v>
      </c>
      <c r="Y831" s="1">
        <v>4264.8999999999996</v>
      </c>
      <c r="AB831" s="1">
        <v>3488.94</v>
      </c>
    </row>
    <row r="832" spans="2:28" x14ac:dyDescent="0.2">
      <c r="B832" s="30" t="s">
        <v>2294</v>
      </c>
      <c r="C832" s="36"/>
      <c r="D832" s="36"/>
      <c r="F832" s="1" t="s">
        <v>1322</v>
      </c>
      <c r="G832" s="30" t="s">
        <v>2709</v>
      </c>
      <c r="K832" s="1" t="s">
        <v>2796</v>
      </c>
      <c r="L832" s="1" t="s">
        <v>1279</v>
      </c>
      <c r="M832" s="36" t="s">
        <v>1699</v>
      </c>
      <c r="N832" s="1" t="s">
        <v>1283</v>
      </c>
      <c r="O832" s="1" t="s">
        <v>1286</v>
      </c>
      <c r="P832" s="34" t="str">
        <f t="shared" si="15"/>
        <v>F010</v>
      </c>
      <c r="Q832" s="1" t="s">
        <v>137</v>
      </c>
      <c r="S832" s="16">
        <v>20</v>
      </c>
      <c r="T832" s="1" t="s">
        <v>2299</v>
      </c>
      <c r="U832" s="1" t="s">
        <v>1541</v>
      </c>
      <c r="V832" s="1" t="s">
        <v>2711</v>
      </c>
      <c r="Y832" s="1">
        <v>4264.8999999999996</v>
      </c>
      <c r="AB832" s="1">
        <v>3488.94</v>
      </c>
    </row>
    <row r="833" spans="2:28" x14ac:dyDescent="0.2">
      <c r="B833" s="30" t="s">
        <v>2294</v>
      </c>
      <c r="C833" s="36"/>
      <c r="D833" s="36"/>
      <c r="F833" s="1" t="s">
        <v>1322</v>
      </c>
      <c r="G833" s="30" t="s">
        <v>2709</v>
      </c>
      <c r="K833" s="1" t="s">
        <v>2797</v>
      </c>
      <c r="L833" s="1" t="s">
        <v>1279</v>
      </c>
      <c r="M833" s="36" t="s">
        <v>1699</v>
      </c>
      <c r="N833" s="1" t="s">
        <v>1283</v>
      </c>
      <c r="O833" s="1" t="s">
        <v>1286</v>
      </c>
      <c r="P833" s="34" t="str">
        <f t="shared" si="15"/>
        <v>F010</v>
      </c>
      <c r="Q833" s="1" t="s">
        <v>137</v>
      </c>
      <c r="S833" s="16">
        <v>20</v>
      </c>
      <c r="T833" s="1" t="s">
        <v>2299</v>
      </c>
      <c r="U833" s="1" t="s">
        <v>1541</v>
      </c>
      <c r="V833" s="1" t="s">
        <v>2711</v>
      </c>
      <c r="Y833" s="1">
        <v>4264.8999999999996</v>
      </c>
      <c r="AB833" s="1">
        <v>3488.94</v>
      </c>
    </row>
    <row r="834" spans="2:28" x14ac:dyDescent="0.2">
      <c r="B834" s="30" t="s">
        <v>2294</v>
      </c>
      <c r="C834" s="36"/>
      <c r="D834" s="36"/>
      <c r="F834" s="1" t="s">
        <v>1322</v>
      </c>
      <c r="G834" s="30" t="s">
        <v>2709</v>
      </c>
      <c r="K834" s="1" t="s">
        <v>2798</v>
      </c>
      <c r="L834" s="1" t="s">
        <v>1279</v>
      </c>
      <c r="M834" s="36" t="s">
        <v>1699</v>
      </c>
      <c r="N834" s="1" t="s">
        <v>1283</v>
      </c>
      <c r="O834" s="1" t="s">
        <v>1286</v>
      </c>
      <c r="P834" s="34" t="str">
        <f t="shared" si="15"/>
        <v>F010</v>
      </c>
      <c r="Q834" s="1" t="s">
        <v>137</v>
      </c>
      <c r="S834" s="16">
        <v>20</v>
      </c>
      <c r="T834" s="1" t="s">
        <v>2299</v>
      </c>
      <c r="U834" s="1" t="s">
        <v>1541</v>
      </c>
      <c r="V834" s="1" t="s">
        <v>2711</v>
      </c>
      <c r="Y834" s="1">
        <v>4264.8999999999996</v>
      </c>
      <c r="AB834" s="1">
        <v>3488.94</v>
      </c>
    </row>
    <row r="835" spans="2:28" x14ac:dyDescent="0.2">
      <c r="B835" s="30" t="s">
        <v>2294</v>
      </c>
      <c r="C835" s="36"/>
      <c r="D835" s="36"/>
      <c r="F835" s="1" t="s">
        <v>1322</v>
      </c>
      <c r="G835" s="30" t="s">
        <v>2709</v>
      </c>
      <c r="K835" s="1" t="s">
        <v>2799</v>
      </c>
      <c r="L835" s="1" t="s">
        <v>1279</v>
      </c>
      <c r="M835" s="36" t="s">
        <v>1699</v>
      </c>
      <c r="N835" s="1" t="s">
        <v>1283</v>
      </c>
      <c r="O835" s="1" t="s">
        <v>1286</v>
      </c>
      <c r="P835" s="34" t="str">
        <f t="shared" si="15"/>
        <v>F010</v>
      </c>
      <c r="Q835" s="1" t="s">
        <v>137</v>
      </c>
      <c r="S835" s="16">
        <v>20</v>
      </c>
      <c r="T835" s="1" t="s">
        <v>2299</v>
      </c>
      <c r="U835" s="1" t="s">
        <v>1541</v>
      </c>
      <c r="V835" s="1" t="s">
        <v>2711</v>
      </c>
      <c r="Y835" s="1">
        <v>4264.8999999999996</v>
      </c>
      <c r="AB835" s="1">
        <v>3488.94</v>
      </c>
    </row>
    <row r="836" spans="2:28" x14ac:dyDescent="0.2">
      <c r="B836" s="30" t="s">
        <v>2294</v>
      </c>
      <c r="C836" s="36"/>
      <c r="D836" s="36"/>
      <c r="F836" s="1" t="s">
        <v>1322</v>
      </c>
      <c r="G836" s="30" t="s">
        <v>2709</v>
      </c>
      <c r="K836" s="1" t="s">
        <v>2800</v>
      </c>
      <c r="L836" s="1" t="s">
        <v>1279</v>
      </c>
      <c r="M836" s="36" t="s">
        <v>1699</v>
      </c>
      <c r="N836" s="1" t="s">
        <v>1283</v>
      </c>
      <c r="O836" s="1" t="s">
        <v>1286</v>
      </c>
      <c r="P836" s="34" t="str">
        <f t="shared" si="15"/>
        <v>F010</v>
      </c>
      <c r="Q836" s="1" t="s">
        <v>137</v>
      </c>
      <c r="S836" s="16">
        <v>20</v>
      </c>
      <c r="T836" s="1" t="s">
        <v>2299</v>
      </c>
      <c r="U836" s="1" t="s">
        <v>1541</v>
      </c>
      <c r="V836" s="1" t="s">
        <v>2711</v>
      </c>
      <c r="Y836" s="1">
        <v>4264.8999999999996</v>
      </c>
      <c r="AB836" s="1">
        <v>3488.94</v>
      </c>
    </row>
    <row r="837" spans="2:28" x14ac:dyDescent="0.2">
      <c r="B837" s="30" t="s">
        <v>2294</v>
      </c>
      <c r="C837" s="36"/>
      <c r="D837" s="36"/>
      <c r="F837" s="1" t="s">
        <v>1322</v>
      </c>
      <c r="G837" s="30" t="s">
        <v>2709</v>
      </c>
      <c r="K837" s="1" t="s">
        <v>2801</v>
      </c>
      <c r="L837" s="1" t="s">
        <v>1279</v>
      </c>
      <c r="M837" s="36" t="s">
        <v>1699</v>
      </c>
      <c r="N837" s="1" t="s">
        <v>1283</v>
      </c>
      <c r="O837" s="1" t="s">
        <v>1286</v>
      </c>
      <c r="P837" s="34" t="str">
        <f t="shared" si="15"/>
        <v>F010</v>
      </c>
      <c r="Q837" s="1" t="s">
        <v>137</v>
      </c>
      <c r="S837" s="16">
        <v>20</v>
      </c>
      <c r="T837" s="1" t="s">
        <v>2299</v>
      </c>
      <c r="U837" s="1" t="s">
        <v>1541</v>
      </c>
      <c r="V837" s="1" t="s">
        <v>2711</v>
      </c>
      <c r="Y837" s="1">
        <v>4264.8999999999996</v>
      </c>
      <c r="AB837" s="1">
        <v>3488.94</v>
      </c>
    </row>
    <row r="838" spans="2:28" x14ac:dyDescent="0.2">
      <c r="B838" s="30" t="s">
        <v>2294</v>
      </c>
      <c r="C838" s="36"/>
      <c r="D838" s="36"/>
      <c r="F838" s="1" t="s">
        <v>1322</v>
      </c>
      <c r="G838" s="30" t="s">
        <v>2709</v>
      </c>
      <c r="K838" s="1" t="s">
        <v>2802</v>
      </c>
      <c r="L838" s="1" t="s">
        <v>1279</v>
      </c>
      <c r="M838" s="36" t="s">
        <v>1699</v>
      </c>
      <c r="N838" s="1" t="s">
        <v>1283</v>
      </c>
      <c r="O838" s="1" t="s">
        <v>1286</v>
      </c>
      <c r="P838" s="34" t="str">
        <f t="shared" si="15"/>
        <v>F010</v>
      </c>
      <c r="Q838" s="1" t="s">
        <v>137</v>
      </c>
      <c r="S838" s="16">
        <v>20</v>
      </c>
      <c r="T838" s="1" t="s">
        <v>2299</v>
      </c>
      <c r="U838" s="1" t="s">
        <v>1541</v>
      </c>
      <c r="V838" s="1" t="s">
        <v>2711</v>
      </c>
      <c r="Y838" s="1">
        <v>4264.8999999999996</v>
      </c>
      <c r="AB838" s="1">
        <v>3488.94</v>
      </c>
    </row>
    <row r="839" spans="2:28" x14ac:dyDescent="0.2">
      <c r="B839" s="30" t="s">
        <v>2294</v>
      </c>
      <c r="C839" s="36"/>
      <c r="D839" s="36"/>
      <c r="F839" s="1" t="s">
        <v>1322</v>
      </c>
      <c r="G839" s="30" t="s">
        <v>2709</v>
      </c>
      <c r="K839" s="1" t="s">
        <v>2803</v>
      </c>
      <c r="L839" s="1" t="s">
        <v>1279</v>
      </c>
      <c r="M839" s="36" t="s">
        <v>1699</v>
      </c>
      <c r="N839" s="1" t="s">
        <v>1283</v>
      </c>
      <c r="O839" s="1" t="s">
        <v>1286</v>
      </c>
      <c r="P839" s="34" t="str">
        <f t="shared" ref="P839:P902" si="16">+LEFT(Q839,4)</f>
        <v>F010</v>
      </c>
      <c r="Q839" s="1" t="s">
        <v>137</v>
      </c>
      <c r="S839" s="16">
        <v>20</v>
      </c>
      <c r="T839" s="1" t="s">
        <v>2299</v>
      </c>
      <c r="U839" s="1" t="s">
        <v>1541</v>
      </c>
      <c r="V839" s="1" t="s">
        <v>2711</v>
      </c>
      <c r="Y839" s="1">
        <v>4264.8999999999996</v>
      </c>
      <c r="AB839" s="1">
        <v>3488.94</v>
      </c>
    </row>
    <row r="840" spans="2:28" x14ac:dyDescent="0.2">
      <c r="B840" s="30" t="s">
        <v>2294</v>
      </c>
      <c r="C840" s="36"/>
      <c r="D840" s="36"/>
      <c r="F840" s="1" t="s">
        <v>1322</v>
      </c>
      <c r="G840" s="30" t="s">
        <v>2709</v>
      </c>
      <c r="K840" s="1" t="s">
        <v>2804</v>
      </c>
      <c r="L840" s="1" t="s">
        <v>1279</v>
      </c>
      <c r="M840" s="36" t="s">
        <v>1699</v>
      </c>
      <c r="N840" s="1" t="s">
        <v>1283</v>
      </c>
      <c r="O840" s="1" t="s">
        <v>1286</v>
      </c>
      <c r="P840" s="34" t="str">
        <f t="shared" si="16"/>
        <v>F010</v>
      </c>
      <c r="Q840" s="1" t="s">
        <v>137</v>
      </c>
      <c r="S840" s="16">
        <v>20</v>
      </c>
      <c r="T840" s="1" t="s">
        <v>2299</v>
      </c>
      <c r="U840" s="1" t="s">
        <v>1541</v>
      </c>
      <c r="V840" s="1" t="s">
        <v>2711</v>
      </c>
      <c r="Y840" s="1">
        <v>4264.8999999999996</v>
      </c>
      <c r="AB840" s="1">
        <v>3488.94</v>
      </c>
    </row>
    <row r="841" spans="2:28" x14ac:dyDescent="0.2">
      <c r="B841" s="30" t="s">
        <v>2294</v>
      </c>
      <c r="C841" s="36"/>
      <c r="D841" s="36"/>
      <c r="F841" s="1" t="s">
        <v>1322</v>
      </c>
      <c r="G841" s="30" t="s">
        <v>2709</v>
      </c>
      <c r="K841" s="1" t="s">
        <v>2805</v>
      </c>
      <c r="L841" s="1" t="s">
        <v>1279</v>
      </c>
      <c r="M841" s="36" t="s">
        <v>1699</v>
      </c>
      <c r="N841" s="1" t="s">
        <v>1283</v>
      </c>
      <c r="O841" s="1" t="s">
        <v>1286</v>
      </c>
      <c r="P841" s="34" t="str">
        <f t="shared" si="16"/>
        <v>F010</v>
      </c>
      <c r="Q841" s="1" t="s">
        <v>137</v>
      </c>
      <c r="S841" s="16">
        <v>20</v>
      </c>
      <c r="T841" s="1" t="s">
        <v>2299</v>
      </c>
      <c r="U841" s="1" t="s">
        <v>1541</v>
      </c>
      <c r="V841" s="1" t="s">
        <v>2711</v>
      </c>
      <c r="Y841" s="1">
        <v>4264.8999999999996</v>
      </c>
      <c r="AB841" s="1">
        <v>3488.94</v>
      </c>
    </row>
    <row r="842" spans="2:28" x14ac:dyDescent="0.2">
      <c r="B842" s="30" t="s">
        <v>2294</v>
      </c>
      <c r="C842" s="36"/>
      <c r="D842" s="36"/>
      <c r="F842" s="1" t="s">
        <v>1322</v>
      </c>
      <c r="G842" s="30" t="s">
        <v>2709</v>
      </c>
      <c r="K842" s="1" t="s">
        <v>2806</v>
      </c>
      <c r="L842" s="1" t="s">
        <v>1279</v>
      </c>
      <c r="M842" s="36" t="s">
        <v>1699</v>
      </c>
      <c r="N842" s="1" t="s">
        <v>1283</v>
      </c>
      <c r="O842" s="1" t="s">
        <v>1286</v>
      </c>
      <c r="P842" s="34" t="str">
        <f t="shared" si="16"/>
        <v>F010</v>
      </c>
      <c r="Q842" s="1" t="s">
        <v>137</v>
      </c>
      <c r="S842" s="16">
        <v>20</v>
      </c>
      <c r="T842" s="1" t="s">
        <v>2299</v>
      </c>
      <c r="U842" s="1" t="s">
        <v>1541</v>
      </c>
      <c r="V842" s="1" t="s">
        <v>2711</v>
      </c>
      <c r="Y842" s="1">
        <v>4264.8999999999996</v>
      </c>
      <c r="AB842" s="1">
        <v>3488.94</v>
      </c>
    </row>
    <row r="843" spans="2:28" x14ac:dyDescent="0.2">
      <c r="B843" s="30" t="s">
        <v>2294</v>
      </c>
      <c r="C843" s="36"/>
      <c r="D843" s="36"/>
      <c r="F843" s="1" t="s">
        <v>1322</v>
      </c>
      <c r="G843" s="30" t="s">
        <v>2709</v>
      </c>
      <c r="K843" s="1" t="s">
        <v>2807</v>
      </c>
      <c r="L843" s="1" t="s">
        <v>1279</v>
      </c>
      <c r="M843" s="36" t="s">
        <v>1699</v>
      </c>
      <c r="N843" s="1" t="s">
        <v>1283</v>
      </c>
      <c r="O843" s="1" t="s">
        <v>1286</v>
      </c>
      <c r="P843" s="34" t="str">
        <f t="shared" si="16"/>
        <v>F010</v>
      </c>
      <c r="Q843" s="1" t="s">
        <v>137</v>
      </c>
      <c r="S843" s="16">
        <v>20</v>
      </c>
      <c r="T843" s="1" t="s">
        <v>2299</v>
      </c>
      <c r="U843" s="1" t="s">
        <v>1541</v>
      </c>
      <c r="V843" s="1" t="s">
        <v>2711</v>
      </c>
      <c r="Y843" s="1">
        <v>4264.8999999999996</v>
      </c>
      <c r="AB843" s="1">
        <v>3488.94</v>
      </c>
    </row>
    <row r="844" spans="2:28" x14ac:dyDescent="0.2">
      <c r="B844" s="30" t="s">
        <v>2294</v>
      </c>
      <c r="C844" s="36"/>
      <c r="D844" s="36"/>
      <c r="F844" s="1" t="s">
        <v>1322</v>
      </c>
      <c r="G844" s="30" t="s">
        <v>2709</v>
      </c>
      <c r="K844" s="1" t="s">
        <v>2808</v>
      </c>
      <c r="L844" s="1" t="s">
        <v>1279</v>
      </c>
      <c r="M844" s="36" t="s">
        <v>1699</v>
      </c>
      <c r="N844" s="1" t="s">
        <v>1283</v>
      </c>
      <c r="O844" s="1" t="s">
        <v>1286</v>
      </c>
      <c r="P844" s="34" t="str">
        <f t="shared" si="16"/>
        <v>F010</v>
      </c>
      <c r="Q844" s="1" t="s">
        <v>137</v>
      </c>
      <c r="S844" s="16">
        <v>20</v>
      </c>
      <c r="T844" s="1" t="s">
        <v>2299</v>
      </c>
      <c r="U844" s="1" t="s">
        <v>1541</v>
      </c>
      <c r="V844" s="1" t="s">
        <v>2711</v>
      </c>
      <c r="Y844" s="1">
        <v>4264.8999999999996</v>
      </c>
      <c r="AB844" s="1">
        <v>3488.94</v>
      </c>
    </row>
    <row r="845" spans="2:28" x14ac:dyDescent="0.2">
      <c r="B845" s="30" t="s">
        <v>2294</v>
      </c>
      <c r="C845" s="36"/>
      <c r="D845" s="36"/>
      <c r="F845" s="1" t="s">
        <v>1322</v>
      </c>
      <c r="G845" s="30" t="s">
        <v>2709</v>
      </c>
      <c r="K845" s="1" t="s">
        <v>2809</v>
      </c>
      <c r="L845" s="1" t="s">
        <v>1279</v>
      </c>
      <c r="M845" s="36" t="s">
        <v>1699</v>
      </c>
      <c r="N845" s="1" t="s">
        <v>1283</v>
      </c>
      <c r="O845" s="1" t="s">
        <v>1286</v>
      </c>
      <c r="P845" s="34" t="str">
        <f t="shared" si="16"/>
        <v>F010</v>
      </c>
      <c r="Q845" s="1" t="s">
        <v>137</v>
      </c>
      <c r="S845" s="16">
        <v>20</v>
      </c>
      <c r="T845" s="1" t="s">
        <v>2299</v>
      </c>
      <c r="U845" s="1" t="s">
        <v>1541</v>
      </c>
      <c r="V845" s="1" t="s">
        <v>2711</v>
      </c>
      <c r="Y845" s="1">
        <v>4264.8999999999996</v>
      </c>
      <c r="AB845" s="1">
        <v>3488.94</v>
      </c>
    </row>
    <row r="846" spans="2:28" x14ac:dyDescent="0.2">
      <c r="B846" s="30" t="s">
        <v>2294</v>
      </c>
      <c r="C846" s="36"/>
      <c r="D846" s="36"/>
      <c r="F846" s="1" t="s">
        <v>1322</v>
      </c>
      <c r="G846" s="30" t="s">
        <v>2709</v>
      </c>
      <c r="K846" s="1" t="s">
        <v>2810</v>
      </c>
      <c r="L846" s="1" t="s">
        <v>1279</v>
      </c>
      <c r="M846" s="36" t="s">
        <v>1699</v>
      </c>
      <c r="N846" s="1" t="s">
        <v>1283</v>
      </c>
      <c r="O846" s="1" t="s">
        <v>1286</v>
      </c>
      <c r="P846" s="34" t="str">
        <f t="shared" si="16"/>
        <v>F010</v>
      </c>
      <c r="Q846" s="1" t="s">
        <v>137</v>
      </c>
      <c r="S846" s="16">
        <v>20</v>
      </c>
      <c r="T846" s="1" t="s">
        <v>2299</v>
      </c>
      <c r="U846" s="1" t="s">
        <v>1541</v>
      </c>
      <c r="V846" s="1" t="s">
        <v>2711</v>
      </c>
      <c r="Y846" s="1">
        <v>4264.8999999999996</v>
      </c>
      <c r="AB846" s="1">
        <v>3488.94</v>
      </c>
    </row>
    <row r="847" spans="2:28" x14ac:dyDescent="0.2">
      <c r="B847" s="30" t="s">
        <v>2294</v>
      </c>
      <c r="C847" s="36"/>
      <c r="D847" s="36"/>
      <c r="F847" s="1" t="s">
        <v>1322</v>
      </c>
      <c r="G847" s="30" t="s">
        <v>2709</v>
      </c>
      <c r="K847" s="1" t="s">
        <v>2811</v>
      </c>
      <c r="L847" s="1" t="s">
        <v>1279</v>
      </c>
      <c r="M847" s="36" t="s">
        <v>1699</v>
      </c>
      <c r="N847" s="1" t="s">
        <v>1283</v>
      </c>
      <c r="O847" s="1" t="s">
        <v>1286</v>
      </c>
      <c r="P847" s="34" t="str">
        <f t="shared" si="16"/>
        <v>F010</v>
      </c>
      <c r="Q847" s="1" t="s">
        <v>137</v>
      </c>
      <c r="S847" s="16">
        <v>20</v>
      </c>
      <c r="T847" s="1" t="s">
        <v>2299</v>
      </c>
      <c r="U847" s="1" t="s">
        <v>1541</v>
      </c>
      <c r="V847" s="1" t="s">
        <v>2711</v>
      </c>
      <c r="Y847" s="1">
        <v>4264.8999999999996</v>
      </c>
      <c r="AB847" s="1">
        <v>3488.94</v>
      </c>
    </row>
    <row r="848" spans="2:28" x14ac:dyDescent="0.2">
      <c r="B848" s="30" t="s">
        <v>2294</v>
      </c>
      <c r="C848" s="36"/>
      <c r="D848" s="36"/>
      <c r="F848" s="1" t="s">
        <v>1322</v>
      </c>
      <c r="G848" s="30" t="s">
        <v>2709</v>
      </c>
      <c r="K848" s="1" t="s">
        <v>2812</v>
      </c>
      <c r="L848" s="1" t="s">
        <v>1279</v>
      </c>
      <c r="M848" s="36" t="s">
        <v>1699</v>
      </c>
      <c r="N848" s="1" t="s">
        <v>1283</v>
      </c>
      <c r="O848" s="1" t="s">
        <v>1286</v>
      </c>
      <c r="P848" s="34" t="str">
        <f t="shared" si="16"/>
        <v>F010</v>
      </c>
      <c r="Q848" s="1" t="s">
        <v>137</v>
      </c>
      <c r="S848" s="16">
        <v>20</v>
      </c>
      <c r="T848" s="1" t="s">
        <v>2299</v>
      </c>
      <c r="U848" s="1" t="s">
        <v>1541</v>
      </c>
      <c r="V848" s="1" t="s">
        <v>2711</v>
      </c>
      <c r="Y848" s="1">
        <v>4264.8999999999996</v>
      </c>
      <c r="AB848" s="1">
        <v>3488.94</v>
      </c>
    </row>
    <row r="849" spans="2:28" x14ac:dyDescent="0.2">
      <c r="B849" s="30" t="s">
        <v>2294</v>
      </c>
      <c r="C849" s="36"/>
      <c r="D849" s="36"/>
      <c r="F849" s="1" t="s">
        <v>1322</v>
      </c>
      <c r="G849" s="30" t="s">
        <v>2709</v>
      </c>
      <c r="K849" s="1" t="s">
        <v>2813</v>
      </c>
      <c r="L849" s="1" t="s">
        <v>1279</v>
      </c>
      <c r="M849" s="36" t="s">
        <v>1699</v>
      </c>
      <c r="N849" s="1" t="s">
        <v>1283</v>
      </c>
      <c r="O849" s="1" t="s">
        <v>1286</v>
      </c>
      <c r="P849" s="34" t="str">
        <f t="shared" si="16"/>
        <v>F010</v>
      </c>
      <c r="Q849" s="1" t="s">
        <v>137</v>
      </c>
      <c r="S849" s="16">
        <v>20</v>
      </c>
      <c r="T849" s="1" t="s">
        <v>2299</v>
      </c>
      <c r="U849" s="1" t="s">
        <v>1541</v>
      </c>
      <c r="V849" s="1" t="s">
        <v>2711</v>
      </c>
      <c r="Y849" s="1">
        <v>4264.8999999999996</v>
      </c>
      <c r="AB849" s="1">
        <v>3488.94</v>
      </c>
    </row>
    <row r="850" spans="2:28" x14ac:dyDescent="0.2">
      <c r="B850" s="30" t="s">
        <v>2294</v>
      </c>
      <c r="C850" s="36"/>
      <c r="D850" s="36"/>
      <c r="F850" s="1" t="s">
        <v>1322</v>
      </c>
      <c r="G850" s="30" t="s">
        <v>2709</v>
      </c>
      <c r="K850" s="1" t="s">
        <v>2814</v>
      </c>
      <c r="L850" s="1" t="s">
        <v>1279</v>
      </c>
      <c r="M850" s="36" t="s">
        <v>1699</v>
      </c>
      <c r="N850" s="1" t="s">
        <v>1283</v>
      </c>
      <c r="O850" s="1" t="s">
        <v>1286</v>
      </c>
      <c r="P850" s="34" t="str">
        <f t="shared" si="16"/>
        <v>F010</v>
      </c>
      <c r="Q850" s="1" t="s">
        <v>137</v>
      </c>
      <c r="S850" s="16">
        <v>20</v>
      </c>
      <c r="T850" s="1" t="s">
        <v>2299</v>
      </c>
      <c r="U850" s="1" t="s">
        <v>1541</v>
      </c>
      <c r="V850" s="1" t="s">
        <v>2711</v>
      </c>
      <c r="Y850" s="1">
        <v>4264.8999999999996</v>
      </c>
      <c r="AB850" s="1">
        <v>3488.94</v>
      </c>
    </row>
    <row r="851" spans="2:28" x14ac:dyDescent="0.2">
      <c r="B851" s="30" t="s">
        <v>2294</v>
      </c>
      <c r="C851" s="36"/>
      <c r="D851" s="36"/>
      <c r="F851" s="1" t="s">
        <v>1322</v>
      </c>
      <c r="G851" s="30" t="s">
        <v>2709</v>
      </c>
      <c r="K851" s="1" t="s">
        <v>2815</v>
      </c>
      <c r="L851" s="1" t="s">
        <v>1279</v>
      </c>
      <c r="M851" s="36" t="s">
        <v>1699</v>
      </c>
      <c r="N851" s="1" t="s">
        <v>1283</v>
      </c>
      <c r="O851" s="1" t="s">
        <v>1286</v>
      </c>
      <c r="P851" s="34" t="str">
        <f t="shared" si="16"/>
        <v>F010</v>
      </c>
      <c r="Q851" s="1" t="s">
        <v>137</v>
      </c>
      <c r="S851" s="16">
        <v>20</v>
      </c>
      <c r="T851" s="1" t="s">
        <v>2299</v>
      </c>
      <c r="U851" s="1" t="s">
        <v>1541</v>
      </c>
      <c r="V851" s="1" t="s">
        <v>2711</v>
      </c>
      <c r="Y851" s="1">
        <v>4264.8999999999996</v>
      </c>
      <c r="AB851" s="1">
        <v>3488.94</v>
      </c>
    </row>
    <row r="852" spans="2:28" x14ac:dyDescent="0.2">
      <c r="B852" s="30" t="s">
        <v>2294</v>
      </c>
      <c r="C852" s="36"/>
      <c r="D852" s="36"/>
      <c r="F852" s="1" t="s">
        <v>1322</v>
      </c>
      <c r="G852" s="30" t="s">
        <v>2709</v>
      </c>
      <c r="K852" s="1" t="s">
        <v>2816</v>
      </c>
      <c r="L852" s="1" t="s">
        <v>1279</v>
      </c>
      <c r="M852" s="36" t="s">
        <v>1699</v>
      </c>
      <c r="N852" s="1" t="s">
        <v>1283</v>
      </c>
      <c r="O852" s="1" t="s">
        <v>1286</v>
      </c>
      <c r="P852" s="34" t="str">
        <f t="shared" si="16"/>
        <v>F010</v>
      </c>
      <c r="Q852" s="1" t="s">
        <v>137</v>
      </c>
      <c r="S852" s="16">
        <v>20</v>
      </c>
      <c r="T852" s="1" t="s">
        <v>2299</v>
      </c>
      <c r="U852" s="1" t="s">
        <v>1541</v>
      </c>
      <c r="V852" s="1" t="s">
        <v>2711</v>
      </c>
      <c r="Y852" s="1">
        <v>4264.45</v>
      </c>
      <c r="AB852" s="1">
        <v>3488.54</v>
      </c>
    </row>
    <row r="853" spans="2:28" x14ac:dyDescent="0.2">
      <c r="B853" s="30" t="s">
        <v>2294</v>
      </c>
      <c r="C853" s="36"/>
      <c r="D853" s="36"/>
      <c r="F853" s="1" t="s">
        <v>1322</v>
      </c>
      <c r="G853" s="30" t="s">
        <v>2817</v>
      </c>
      <c r="K853" s="1" t="s">
        <v>2818</v>
      </c>
      <c r="L853" s="1" t="s">
        <v>1279</v>
      </c>
      <c r="M853" s="36" t="s">
        <v>1480</v>
      </c>
      <c r="N853" s="1" t="s">
        <v>1715</v>
      </c>
      <c r="O853" s="1" t="s">
        <v>1286</v>
      </c>
      <c r="P853" s="34" t="str">
        <f t="shared" si="16"/>
        <v>F010</v>
      </c>
      <c r="Q853" s="1" t="s">
        <v>127</v>
      </c>
      <c r="S853" s="16">
        <v>20</v>
      </c>
      <c r="T853" s="1" t="s">
        <v>2299</v>
      </c>
      <c r="U853" s="1" t="s">
        <v>1503</v>
      </c>
      <c r="V853" s="1" t="s">
        <v>2095</v>
      </c>
      <c r="Y853" s="1">
        <v>2948.72</v>
      </c>
      <c r="AB853" s="1">
        <v>1167.18</v>
      </c>
    </row>
    <row r="854" spans="2:28" x14ac:dyDescent="0.2">
      <c r="B854" s="30" t="s">
        <v>2294</v>
      </c>
      <c r="C854" s="36"/>
      <c r="D854" s="36"/>
      <c r="F854" s="1" t="s">
        <v>1322</v>
      </c>
      <c r="G854" s="30" t="s">
        <v>2817</v>
      </c>
      <c r="K854" s="1" t="s">
        <v>2819</v>
      </c>
      <c r="L854" s="1" t="s">
        <v>1279</v>
      </c>
      <c r="M854" s="36" t="s">
        <v>1480</v>
      </c>
      <c r="N854" s="1" t="s">
        <v>1795</v>
      </c>
      <c r="O854" s="1" t="s">
        <v>1286</v>
      </c>
      <c r="P854" s="34" t="str">
        <f t="shared" si="16"/>
        <v>F010</v>
      </c>
      <c r="Q854" s="1" t="s">
        <v>127</v>
      </c>
      <c r="S854" s="16">
        <v>20</v>
      </c>
      <c r="T854" s="1" t="s">
        <v>2299</v>
      </c>
      <c r="U854" s="1" t="s">
        <v>1503</v>
      </c>
      <c r="V854" s="1" t="s">
        <v>2095</v>
      </c>
      <c r="Y854" s="1">
        <v>2948.72</v>
      </c>
      <c r="AB854" s="1">
        <v>1167.18</v>
      </c>
    </row>
    <row r="855" spans="2:28" x14ac:dyDescent="0.2">
      <c r="B855" s="30" t="s">
        <v>2294</v>
      </c>
      <c r="C855" s="36"/>
      <c r="D855" s="36"/>
      <c r="F855" s="1" t="s">
        <v>1322</v>
      </c>
      <c r="G855" s="30" t="s">
        <v>2817</v>
      </c>
      <c r="K855" s="1" t="s">
        <v>2820</v>
      </c>
      <c r="L855" s="1" t="s">
        <v>1279</v>
      </c>
      <c r="M855" s="36" t="s">
        <v>1480</v>
      </c>
      <c r="N855" s="1" t="s">
        <v>1577</v>
      </c>
      <c r="O855" s="1" t="s">
        <v>1286</v>
      </c>
      <c r="P855" s="34" t="str">
        <f t="shared" si="16"/>
        <v>F010</v>
      </c>
      <c r="Q855" s="1" t="s">
        <v>138</v>
      </c>
      <c r="S855" s="16">
        <v>20</v>
      </c>
      <c r="T855" s="1" t="s">
        <v>2299</v>
      </c>
      <c r="U855" s="1" t="s">
        <v>1503</v>
      </c>
      <c r="V855" s="1" t="s">
        <v>2095</v>
      </c>
      <c r="Y855" s="1">
        <v>2948.72</v>
      </c>
      <c r="AB855" s="1">
        <v>1167.18</v>
      </c>
    </row>
    <row r="856" spans="2:28" x14ac:dyDescent="0.2">
      <c r="B856" s="30" t="s">
        <v>2294</v>
      </c>
      <c r="C856" s="36"/>
      <c r="D856" s="36"/>
      <c r="F856" s="1" t="s">
        <v>1322</v>
      </c>
      <c r="G856" s="30" t="s">
        <v>2817</v>
      </c>
      <c r="K856" s="1" t="s">
        <v>2821</v>
      </c>
      <c r="L856" s="1" t="s">
        <v>1279</v>
      </c>
      <c r="M856" s="36" t="s">
        <v>1480</v>
      </c>
      <c r="N856" s="1" t="s">
        <v>1577</v>
      </c>
      <c r="O856" s="1" t="s">
        <v>1286</v>
      </c>
      <c r="P856" s="34" t="str">
        <f t="shared" si="16"/>
        <v>F010</v>
      </c>
      <c r="Q856" s="1" t="s">
        <v>138</v>
      </c>
      <c r="S856" s="16">
        <v>20</v>
      </c>
      <c r="T856" s="1" t="s">
        <v>2299</v>
      </c>
      <c r="U856" s="1" t="s">
        <v>1503</v>
      </c>
      <c r="V856" s="1" t="s">
        <v>2095</v>
      </c>
      <c r="Y856" s="1">
        <v>2948.72</v>
      </c>
      <c r="AB856" s="1">
        <v>1167.18</v>
      </c>
    </row>
    <row r="857" spans="2:28" x14ac:dyDescent="0.2">
      <c r="B857" s="30" t="s">
        <v>2294</v>
      </c>
      <c r="C857" s="36"/>
      <c r="D857" s="36"/>
      <c r="F857" s="1" t="s">
        <v>1322</v>
      </c>
      <c r="G857" s="30" t="s">
        <v>2822</v>
      </c>
      <c r="K857" s="1" t="s">
        <v>2823</v>
      </c>
      <c r="L857" s="1" t="s">
        <v>1279</v>
      </c>
      <c r="M857" s="36" t="s">
        <v>2323</v>
      </c>
      <c r="N857" s="1" t="s">
        <v>1287</v>
      </c>
      <c r="O857" s="1" t="s">
        <v>1286</v>
      </c>
      <c r="P857" s="34" t="str">
        <f t="shared" si="16"/>
        <v>F010</v>
      </c>
      <c r="Q857" s="1" t="s">
        <v>138</v>
      </c>
      <c r="S857" s="16">
        <v>20</v>
      </c>
      <c r="T857" s="1" t="s">
        <v>2299</v>
      </c>
      <c r="U857" s="1" t="s">
        <v>1724</v>
      </c>
      <c r="V857" s="1" t="s">
        <v>1956</v>
      </c>
      <c r="Y857" s="1">
        <v>1980560.54</v>
      </c>
      <c r="AB857" s="1">
        <v>1878469.79</v>
      </c>
    </row>
    <row r="858" spans="2:28" x14ac:dyDescent="0.2">
      <c r="B858" s="30" t="s">
        <v>2294</v>
      </c>
      <c r="C858" s="36"/>
      <c r="D858" s="36"/>
      <c r="F858" s="1" t="s">
        <v>1322</v>
      </c>
      <c r="G858" s="30" t="s">
        <v>2824</v>
      </c>
      <c r="K858" s="1" t="s">
        <v>2825</v>
      </c>
      <c r="L858" s="1" t="s">
        <v>1279</v>
      </c>
      <c r="M858" s="36" t="s">
        <v>2323</v>
      </c>
      <c r="N858" s="1" t="s">
        <v>1287</v>
      </c>
      <c r="O858" s="1" t="s">
        <v>1286</v>
      </c>
      <c r="P858" s="34" t="str">
        <f t="shared" si="16"/>
        <v>F010</v>
      </c>
      <c r="Q858" s="1" t="s">
        <v>138</v>
      </c>
      <c r="S858" s="16">
        <v>20</v>
      </c>
      <c r="T858" s="1" t="s">
        <v>2299</v>
      </c>
      <c r="U858" s="1" t="s">
        <v>1724</v>
      </c>
      <c r="V858" s="1" t="s">
        <v>1956</v>
      </c>
      <c r="Y858" s="1">
        <v>1848966.82</v>
      </c>
      <c r="AB858" s="1">
        <v>1753659.25</v>
      </c>
    </row>
    <row r="859" spans="2:28" s="54" customFormat="1" x14ac:dyDescent="0.2">
      <c r="B859" s="37" t="s">
        <v>2294</v>
      </c>
      <c r="C859" s="36" t="s">
        <v>2826</v>
      </c>
      <c r="D859" s="48" t="e">
        <f>+C859/100000</f>
        <v>#VALUE!</v>
      </c>
      <c r="E859" s="1" t="s">
        <v>2826</v>
      </c>
      <c r="F859" s="54" t="s">
        <v>1322</v>
      </c>
      <c r="G859" s="37" t="s">
        <v>2827</v>
      </c>
      <c r="K859" s="54" t="s">
        <v>2826</v>
      </c>
      <c r="L859" s="54" t="s">
        <v>1279</v>
      </c>
      <c r="M859" s="36" t="s">
        <v>2828</v>
      </c>
      <c r="N859" s="54" t="s">
        <v>6096</v>
      </c>
      <c r="O859" s="54" t="s">
        <v>1286</v>
      </c>
      <c r="P859" s="34" t="str">
        <f t="shared" si="16"/>
        <v/>
      </c>
      <c r="S859" s="16">
        <v>20</v>
      </c>
      <c r="T859" s="1" t="s">
        <v>2299</v>
      </c>
      <c r="U859" s="54" t="s">
        <v>1780</v>
      </c>
      <c r="V859" s="54" t="s">
        <v>1780</v>
      </c>
      <c r="Y859" s="54">
        <v>494436.6</v>
      </c>
      <c r="AB859" s="54">
        <v>494436.6</v>
      </c>
    </row>
    <row r="860" spans="2:28" s="54" customFormat="1" x14ac:dyDescent="0.2">
      <c r="B860" s="37" t="s">
        <v>2294</v>
      </c>
      <c r="C860" s="36" t="s">
        <v>2829</v>
      </c>
      <c r="D860" s="48" t="e">
        <f>+C860/100000</f>
        <v>#VALUE!</v>
      </c>
      <c r="E860" s="1" t="s">
        <v>2829</v>
      </c>
      <c r="F860" s="54" t="s">
        <v>1322</v>
      </c>
      <c r="G860" s="37" t="s">
        <v>2830</v>
      </c>
      <c r="K860" s="54" t="s">
        <v>2829</v>
      </c>
      <c r="L860" s="54" t="s">
        <v>1279</v>
      </c>
      <c r="M860" s="36" t="s">
        <v>2828</v>
      </c>
      <c r="N860" s="54" t="s">
        <v>6095</v>
      </c>
      <c r="O860" s="54" t="s">
        <v>1286</v>
      </c>
      <c r="P860" s="34" t="str">
        <f t="shared" si="16"/>
        <v/>
      </c>
      <c r="S860" s="16">
        <v>20</v>
      </c>
      <c r="T860" s="1" t="s">
        <v>2299</v>
      </c>
      <c r="U860" s="54" t="s">
        <v>1780</v>
      </c>
      <c r="V860" s="54" t="s">
        <v>1780</v>
      </c>
      <c r="Y860" s="54">
        <v>291626.32</v>
      </c>
      <c r="AB860" s="54">
        <v>291626.32</v>
      </c>
    </row>
    <row r="861" spans="2:28" x14ac:dyDescent="0.2">
      <c r="B861" s="30" t="s">
        <v>2294</v>
      </c>
      <c r="C861" s="36"/>
      <c r="D861" s="36"/>
      <c r="F861" s="1" t="s">
        <v>1322</v>
      </c>
      <c r="G861" s="30" t="s">
        <v>2831</v>
      </c>
      <c r="K861" s="1" t="s">
        <v>2832</v>
      </c>
      <c r="L861" s="1" t="s">
        <v>1279</v>
      </c>
      <c r="M861" s="36" t="s">
        <v>1751</v>
      </c>
      <c r="N861" s="1" t="s">
        <v>1287</v>
      </c>
      <c r="O861" s="1" t="s">
        <v>1286</v>
      </c>
      <c r="P861" s="34" t="str">
        <f t="shared" si="16"/>
        <v>F010</v>
      </c>
      <c r="Q861" s="1" t="s">
        <v>138</v>
      </c>
      <c r="S861" s="16">
        <v>20</v>
      </c>
      <c r="T861" s="1" t="s">
        <v>2299</v>
      </c>
      <c r="U861" s="1" t="s">
        <v>1890</v>
      </c>
      <c r="V861" s="1" t="s">
        <v>2833</v>
      </c>
      <c r="Y861" s="1">
        <v>127457</v>
      </c>
      <c r="AB861" s="1">
        <v>121084.15</v>
      </c>
    </row>
    <row r="862" spans="2:28" x14ac:dyDescent="0.2">
      <c r="B862" s="30" t="s">
        <v>2294</v>
      </c>
      <c r="C862" s="36"/>
      <c r="D862" s="36"/>
      <c r="F862" s="1" t="s">
        <v>1322</v>
      </c>
      <c r="G862" s="30" t="s">
        <v>2834</v>
      </c>
      <c r="K862" s="1" t="s">
        <v>2835</v>
      </c>
      <c r="L862" s="1" t="s">
        <v>1279</v>
      </c>
      <c r="M862" s="36" t="s">
        <v>1413</v>
      </c>
      <c r="N862" s="1" t="s">
        <v>1284</v>
      </c>
      <c r="O862" s="1" t="s">
        <v>1286</v>
      </c>
      <c r="P862" s="34" t="str">
        <f t="shared" si="16"/>
        <v>F010</v>
      </c>
      <c r="Q862" s="1" t="s">
        <v>138</v>
      </c>
      <c r="S862" s="16">
        <v>20</v>
      </c>
      <c r="T862" s="1" t="s">
        <v>2299</v>
      </c>
      <c r="U862" s="1" t="s">
        <v>1484</v>
      </c>
      <c r="V862" s="1" t="s">
        <v>1476</v>
      </c>
      <c r="Y862" s="1">
        <v>10000</v>
      </c>
      <c r="AB862" s="1">
        <v>9500</v>
      </c>
    </row>
    <row r="863" spans="2:28" x14ac:dyDescent="0.2">
      <c r="B863" s="30" t="s">
        <v>2294</v>
      </c>
      <c r="C863" s="36"/>
      <c r="D863" s="36"/>
      <c r="F863" s="1" t="s">
        <v>1322</v>
      </c>
      <c r="G863" s="30" t="s">
        <v>2834</v>
      </c>
      <c r="K863" s="1" t="s">
        <v>2836</v>
      </c>
      <c r="L863" s="1" t="s">
        <v>1279</v>
      </c>
      <c r="M863" s="36" t="s">
        <v>1413</v>
      </c>
      <c r="N863" s="1" t="s">
        <v>1284</v>
      </c>
      <c r="O863" s="1" t="s">
        <v>1286</v>
      </c>
      <c r="P863" s="34" t="str">
        <f t="shared" si="16"/>
        <v>F010</v>
      </c>
      <c r="Q863" s="1" t="s">
        <v>138</v>
      </c>
      <c r="S863" s="16">
        <v>20</v>
      </c>
      <c r="T863" s="1" t="s">
        <v>2299</v>
      </c>
      <c r="U863" s="1" t="s">
        <v>1484</v>
      </c>
      <c r="V863" s="1" t="s">
        <v>1476</v>
      </c>
      <c r="Y863" s="1">
        <v>10000</v>
      </c>
      <c r="AB863" s="1">
        <v>9500</v>
      </c>
    </row>
    <row r="864" spans="2:28" x14ac:dyDescent="0.2">
      <c r="B864" s="30" t="s">
        <v>2294</v>
      </c>
      <c r="C864" s="36"/>
      <c r="D864" s="36"/>
      <c r="F864" s="1" t="s">
        <v>1322</v>
      </c>
      <c r="G864" s="30" t="s">
        <v>2837</v>
      </c>
      <c r="K864" s="1" t="s">
        <v>2838</v>
      </c>
      <c r="L864" s="1" t="s">
        <v>1279</v>
      </c>
      <c r="M864" s="36" t="s">
        <v>1426</v>
      </c>
      <c r="N864" s="1" t="s">
        <v>1708</v>
      </c>
      <c r="O864" s="1" t="s">
        <v>1286</v>
      </c>
      <c r="P864" s="34" t="str">
        <f t="shared" si="16"/>
        <v>F010</v>
      </c>
      <c r="Q864" s="1" t="s">
        <v>127</v>
      </c>
      <c r="S864" s="16">
        <v>20</v>
      </c>
      <c r="T864" s="1" t="s">
        <v>2299</v>
      </c>
      <c r="U864" s="1" t="s">
        <v>1990</v>
      </c>
      <c r="V864" s="1" t="s">
        <v>1807</v>
      </c>
      <c r="Y864" s="1">
        <v>15000</v>
      </c>
      <c r="AB864" s="1">
        <v>1187.49</v>
      </c>
    </row>
    <row r="865" spans="2:28" x14ac:dyDescent="0.2">
      <c r="B865" s="30" t="s">
        <v>2294</v>
      </c>
      <c r="C865" s="36"/>
      <c r="D865" s="36"/>
      <c r="F865" s="1" t="s">
        <v>1322</v>
      </c>
      <c r="G865" s="30" t="s">
        <v>2837</v>
      </c>
      <c r="K865" s="1" t="s">
        <v>2839</v>
      </c>
      <c r="L865" s="1" t="s">
        <v>1279</v>
      </c>
      <c r="M865" s="36" t="s">
        <v>1426</v>
      </c>
      <c r="N865" s="1" t="s">
        <v>1708</v>
      </c>
      <c r="O865" s="1" t="s">
        <v>1286</v>
      </c>
      <c r="P865" s="34" t="str">
        <f t="shared" si="16"/>
        <v>F010</v>
      </c>
      <c r="Q865" s="1" t="s">
        <v>127</v>
      </c>
      <c r="S865" s="16">
        <v>20</v>
      </c>
      <c r="T865" s="1" t="s">
        <v>2299</v>
      </c>
      <c r="U865" s="1" t="s">
        <v>1990</v>
      </c>
      <c r="V865" s="1" t="s">
        <v>1807</v>
      </c>
      <c r="Y865" s="1">
        <v>15000</v>
      </c>
      <c r="AB865" s="1">
        <v>0</v>
      </c>
    </row>
    <row r="866" spans="2:28" x14ac:dyDescent="0.2">
      <c r="B866" s="30" t="s">
        <v>2294</v>
      </c>
      <c r="C866" s="36"/>
      <c r="D866" s="36"/>
      <c r="F866" s="1" t="s">
        <v>1322</v>
      </c>
      <c r="G866" s="30" t="s">
        <v>2837</v>
      </c>
      <c r="K866" s="1" t="s">
        <v>2840</v>
      </c>
      <c r="L866" s="1" t="s">
        <v>1279</v>
      </c>
      <c r="M866" s="36" t="s">
        <v>1426</v>
      </c>
      <c r="N866" s="1" t="s">
        <v>1708</v>
      </c>
      <c r="O866" s="1" t="s">
        <v>1286</v>
      </c>
      <c r="P866" s="34" t="str">
        <f t="shared" si="16"/>
        <v>F010</v>
      </c>
      <c r="Q866" s="1" t="s">
        <v>127</v>
      </c>
      <c r="S866" s="16">
        <v>20</v>
      </c>
      <c r="T866" s="1" t="s">
        <v>2427</v>
      </c>
      <c r="U866" s="1" t="s">
        <v>1990</v>
      </c>
      <c r="V866" s="1" t="s">
        <v>1807</v>
      </c>
      <c r="Y866" s="1">
        <v>15000</v>
      </c>
      <c r="AB866" s="1">
        <v>0</v>
      </c>
    </row>
    <row r="867" spans="2:28" x14ac:dyDescent="0.2">
      <c r="B867" s="30" t="s">
        <v>2294</v>
      </c>
      <c r="C867" s="36"/>
      <c r="D867" s="36"/>
      <c r="F867" s="1" t="s">
        <v>1895</v>
      </c>
      <c r="G867" s="30" t="s">
        <v>2837</v>
      </c>
      <c r="K867" s="1" t="s">
        <v>2841</v>
      </c>
      <c r="L867" s="1" t="s">
        <v>1279</v>
      </c>
      <c r="M867" s="36" t="s">
        <v>1426</v>
      </c>
      <c r="N867" s="1" t="s">
        <v>1708</v>
      </c>
      <c r="O867" s="1" t="s">
        <v>1286</v>
      </c>
      <c r="P867" s="34" t="str">
        <f t="shared" si="16"/>
        <v>F010</v>
      </c>
      <c r="Q867" s="1" t="s">
        <v>127</v>
      </c>
      <c r="S867" s="16">
        <v>20</v>
      </c>
      <c r="T867" s="1" t="s">
        <v>2842</v>
      </c>
      <c r="U867" s="1" t="s">
        <v>1990</v>
      </c>
      <c r="V867" s="1" t="s">
        <v>1807</v>
      </c>
      <c r="Y867" s="1">
        <v>15000</v>
      </c>
      <c r="AB867" s="1">
        <v>0</v>
      </c>
    </row>
    <row r="868" spans="2:28" x14ac:dyDescent="0.2">
      <c r="B868" s="30" t="s">
        <v>2294</v>
      </c>
      <c r="C868" s="36"/>
      <c r="D868" s="36"/>
      <c r="F868" s="1" t="s">
        <v>2843</v>
      </c>
      <c r="G868" s="30" t="s">
        <v>2837</v>
      </c>
      <c r="K868" s="1" t="s">
        <v>2844</v>
      </c>
      <c r="L868" s="1" t="s">
        <v>1279</v>
      </c>
      <c r="M868" s="36" t="s">
        <v>1426</v>
      </c>
      <c r="N868" s="1" t="s">
        <v>1708</v>
      </c>
      <c r="O868" s="1" t="s">
        <v>1286</v>
      </c>
      <c r="P868" s="34" t="str">
        <f t="shared" si="16"/>
        <v>F010</v>
      </c>
      <c r="Q868" s="1" t="s">
        <v>127</v>
      </c>
      <c r="S868" s="16">
        <v>20</v>
      </c>
      <c r="T868" s="1" t="s">
        <v>2842</v>
      </c>
      <c r="U868" s="1" t="s">
        <v>1990</v>
      </c>
      <c r="V868" s="1" t="s">
        <v>1807</v>
      </c>
      <c r="Y868" s="1">
        <v>15000</v>
      </c>
      <c r="AB868" s="1">
        <v>0</v>
      </c>
    </row>
    <row r="869" spans="2:28" x14ac:dyDescent="0.2">
      <c r="B869" s="30" t="s">
        <v>2294</v>
      </c>
      <c r="C869" s="36"/>
      <c r="D869" s="36"/>
      <c r="F869" s="1" t="s">
        <v>2843</v>
      </c>
      <c r="G869" s="30" t="s">
        <v>2837</v>
      </c>
      <c r="K869" s="1" t="s">
        <v>2845</v>
      </c>
      <c r="L869" s="1" t="s">
        <v>1279</v>
      </c>
      <c r="M869" s="36" t="s">
        <v>1426</v>
      </c>
      <c r="N869" s="1" t="s">
        <v>1708</v>
      </c>
      <c r="O869" s="1" t="s">
        <v>1286</v>
      </c>
      <c r="P869" s="34" t="str">
        <f t="shared" si="16"/>
        <v>F010</v>
      </c>
      <c r="Q869" s="1" t="s">
        <v>127</v>
      </c>
      <c r="S869" s="16">
        <v>20</v>
      </c>
      <c r="T869" s="1" t="s">
        <v>2842</v>
      </c>
      <c r="U869" s="1" t="s">
        <v>1990</v>
      </c>
      <c r="V869" s="1" t="s">
        <v>1807</v>
      </c>
      <c r="Y869" s="1">
        <v>15000</v>
      </c>
      <c r="AB869" s="1">
        <v>0</v>
      </c>
    </row>
    <row r="870" spans="2:28" x14ac:dyDescent="0.2">
      <c r="B870" s="30" t="s">
        <v>2294</v>
      </c>
      <c r="C870" s="36"/>
      <c r="D870" s="36"/>
      <c r="F870" s="1" t="s">
        <v>2843</v>
      </c>
      <c r="G870" s="30" t="s">
        <v>2837</v>
      </c>
      <c r="K870" s="1" t="s">
        <v>2846</v>
      </c>
      <c r="L870" s="1" t="s">
        <v>1279</v>
      </c>
      <c r="M870" s="36" t="s">
        <v>1426</v>
      </c>
      <c r="N870" s="1" t="s">
        <v>1708</v>
      </c>
      <c r="O870" s="1" t="s">
        <v>1286</v>
      </c>
      <c r="P870" s="34" t="str">
        <f t="shared" si="16"/>
        <v>F010</v>
      </c>
      <c r="Q870" s="1" t="s">
        <v>127</v>
      </c>
      <c r="S870" s="16">
        <v>20</v>
      </c>
      <c r="T870" s="1" t="s">
        <v>2842</v>
      </c>
      <c r="U870" s="1" t="s">
        <v>1990</v>
      </c>
      <c r="V870" s="1" t="s">
        <v>1807</v>
      </c>
      <c r="Y870" s="1">
        <v>15000</v>
      </c>
      <c r="AB870" s="1">
        <v>0</v>
      </c>
    </row>
    <row r="871" spans="2:28" x14ac:dyDescent="0.2">
      <c r="B871" s="30" t="s">
        <v>2294</v>
      </c>
      <c r="C871" s="36"/>
      <c r="D871" s="36"/>
      <c r="F871" s="1" t="s">
        <v>2843</v>
      </c>
      <c r="G871" s="30" t="s">
        <v>2837</v>
      </c>
      <c r="K871" s="1" t="s">
        <v>2847</v>
      </c>
      <c r="L871" s="1" t="s">
        <v>1279</v>
      </c>
      <c r="M871" s="36" t="s">
        <v>1426</v>
      </c>
      <c r="N871" s="1" t="s">
        <v>1708</v>
      </c>
      <c r="O871" s="1" t="s">
        <v>1286</v>
      </c>
      <c r="P871" s="34" t="str">
        <f t="shared" si="16"/>
        <v>F010</v>
      </c>
      <c r="Q871" s="1" t="s">
        <v>127</v>
      </c>
      <c r="S871" s="16">
        <v>20</v>
      </c>
      <c r="T871" s="1" t="s">
        <v>2842</v>
      </c>
      <c r="U871" s="1" t="s">
        <v>1990</v>
      </c>
      <c r="V871" s="1" t="s">
        <v>1807</v>
      </c>
      <c r="Y871" s="1">
        <v>15000</v>
      </c>
      <c r="AB871" s="1">
        <v>0</v>
      </c>
    </row>
    <row r="872" spans="2:28" x14ac:dyDescent="0.2">
      <c r="B872" s="30" t="s">
        <v>2294</v>
      </c>
      <c r="C872" s="36"/>
      <c r="D872" s="36"/>
      <c r="F872" s="1" t="s">
        <v>2843</v>
      </c>
      <c r="G872" s="30" t="s">
        <v>2837</v>
      </c>
      <c r="K872" s="1" t="s">
        <v>2848</v>
      </c>
      <c r="L872" s="1" t="s">
        <v>1279</v>
      </c>
      <c r="M872" s="36" t="s">
        <v>1426</v>
      </c>
      <c r="N872" s="1" t="s">
        <v>1708</v>
      </c>
      <c r="O872" s="1" t="s">
        <v>1286</v>
      </c>
      <c r="P872" s="34" t="str">
        <f t="shared" si="16"/>
        <v>F010</v>
      </c>
      <c r="Q872" s="1" t="s">
        <v>127</v>
      </c>
      <c r="S872" s="16">
        <v>20</v>
      </c>
      <c r="T872" s="1" t="s">
        <v>2842</v>
      </c>
      <c r="U872" s="1" t="s">
        <v>1990</v>
      </c>
      <c r="V872" s="1" t="s">
        <v>1807</v>
      </c>
      <c r="Y872" s="1">
        <v>15000</v>
      </c>
      <c r="AB872" s="1">
        <v>0</v>
      </c>
    </row>
    <row r="873" spans="2:28" x14ac:dyDescent="0.2">
      <c r="B873" s="30" t="s">
        <v>2294</v>
      </c>
      <c r="C873" s="36"/>
      <c r="D873" s="36"/>
      <c r="F873" s="1" t="s">
        <v>2843</v>
      </c>
      <c r="G873" s="30" t="s">
        <v>2837</v>
      </c>
      <c r="K873" s="1" t="s">
        <v>2849</v>
      </c>
      <c r="L873" s="1" t="s">
        <v>1279</v>
      </c>
      <c r="M873" s="36" t="s">
        <v>1426</v>
      </c>
      <c r="N873" s="1" t="s">
        <v>1708</v>
      </c>
      <c r="O873" s="1" t="s">
        <v>1286</v>
      </c>
      <c r="P873" s="34" t="str">
        <f t="shared" si="16"/>
        <v>F010</v>
      </c>
      <c r="Q873" s="1" t="s">
        <v>127</v>
      </c>
      <c r="S873" s="16">
        <v>20</v>
      </c>
      <c r="T873" s="1" t="s">
        <v>2842</v>
      </c>
      <c r="U873" s="1" t="s">
        <v>1990</v>
      </c>
      <c r="V873" s="1" t="s">
        <v>1807</v>
      </c>
      <c r="Y873" s="1">
        <v>15000</v>
      </c>
      <c r="AB873" s="1">
        <v>0</v>
      </c>
    </row>
    <row r="874" spans="2:28" x14ac:dyDescent="0.2">
      <c r="B874" s="30" t="s">
        <v>2294</v>
      </c>
      <c r="C874" s="36"/>
      <c r="D874" s="36"/>
      <c r="F874" s="1" t="s">
        <v>2843</v>
      </c>
      <c r="G874" s="30" t="s">
        <v>2837</v>
      </c>
      <c r="K874" s="1" t="s">
        <v>2850</v>
      </c>
      <c r="L874" s="1" t="s">
        <v>1279</v>
      </c>
      <c r="M874" s="36" t="s">
        <v>1426</v>
      </c>
      <c r="N874" s="1" t="s">
        <v>1708</v>
      </c>
      <c r="O874" s="1" t="s">
        <v>1286</v>
      </c>
      <c r="P874" s="34" t="str">
        <f t="shared" si="16"/>
        <v>F010</v>
      </c>
      <c r="Q874" s="1" t="s">
        <v>127</v>
      </c>
      <c r="S874" s="16">
        <v>20</v>
      </c>
      <c r="T874" s="1" t="s">
        <v>2842</v>
      </c>
      <c r="U874" s="1" t="s">
        <v>1990</v>
      </c>
      <c r="V874" s="1" t="s">
        <v>1807</v>
      </c>
      <c r="Y874" s="1">
        <v>15000</v>
      </c>
      <c r="AB874" s="1">
        <v>1187.49</v>
      </c>
    </row>
    <row r="875" spans="2:28" x14ac:dyDescent="0.2">
      <c r="B875" s="30" t="s">
        <v>2294</v>
      </c>
      <c r="C875" s="36"/>
      <c r="D875" s="36"/>
      <c r="F875" s="1" t="s">
        <v>2843</v>
      </c>
      <c r="G875" s="30" t="s">
        <v>2837</v>
      </c>
      <c r="K875" s="1" t="s">
        <v>2851</v>
      </c>
      <c r="L875" s="1" t="s">
        <v>1279</v>
      </c>
      <c r="M875" s="36" t="s">
        <v>1426</v>
      </c>
      <c r="N875" s="1" t="s">
        <v>1708</v>
      </c>
      <c r="O875" s="1" t="s">
        <v>1286</v>
      </c>
      <c r="P875" s="34" t="str">
        <f t="shared" si="16"/>
        <v>F010</v>
      </c>
      <c r="Q875" s="1" t="s">
        <v>127</v>
      </c>
      <c r="S875" s="16">
        <v>20</v>
      </c>
      <c r="T875" s="1" t="s">
        <v>2842</v>
      </c>
      <c r="U875" s="1" t="s">
        <v>1990</v>
      </c>
      <c r="V875" s="1" t="s">
        <v>1807</v>
      </c>
      <c r="Y875" s="1">
        <v>15000</v>
      </c>
      <c r="AB875" s="1">
        <v>0</v>
      </c>
    </row>
    <row r="876" spans="2:28" x14ac:dyDescent="0.2">
      <c r="B876" s="30" t="s">
        <v>2294</v>
      </c>
      <c r="C876" s="36"/>
      <c r="D876" s="36"/>
      <c r="F876" s="1" t="s">
        <v>2843</v>
      </c>
      <c r="G876" s="30" t="s">
        <v>2852</v>
      </c>
      <c r="K876" s="1" t="s">
        <v>2853</v>
      </c>
      <c r="L876" s="1" t="s">
        <v>1279</v>
      </c>
      <c r="M876" s="36" t="s">
        <v>2854</v>
      </c>
      <c r="N876" s="1" t="s">
        <v>1287</v>
      </c>
      <c r="O876" s="1" t="s">
        <v>1286</v>
      </c>
      <c r="P876" s="34" t="str">
        <f t="shared" si="16"/>
        <v>F010</v>
      </c>
      <c r="Q876" s="1" t="s">
        <v>138</v>
      </c>
      <c r="S876" s="16">
        <v>20</v>
      </c>
      <c r="T876" s="1" t="s">
        <v>2842</v>
      </c>
      <c r="U876" s="1" t="s">
        <v>1751</v>
      </c>
      <c r="V876" s="1" t="s">
        <v>1417</v>
      </c>
      <c r="Y876" s="1">
        <v>55400</v>
      </c>
      <c r="AB876" s="1">
        <v>52630</v>
      </c>
    </row>
    <row r="877" spans="2:28" x14ac:dyDescent="0.2">
      <c r="B877" s="30" t="s">
        <v>2294</v>
      </c>
      <c r="C877" s="36"/>
      <c r="D877" s="36"/>
      <c r="F877" s="1" t="s">
        <v>2843</v>
      </c>
      <c r="G877" s="30" t="s">
        <v>2852</v>
      </c>
      <c r="K877" s="1" t="s">
        <v>2855</v>
      </c>
      <c r="L877" s="1" t="s">
        <v>1279</v>
      </c>
      <c r="M877" s="36" t="s">
        <v>2854</v>
      </c>
      <c r="N877" s="1" t="s">
        <v>1287</v>
      </c>
      <c r="O877" s="1" t="s">
        <v>1286</v>
      </c>
      <c r="P877" s="34" t="str">
        <f t="shared" si="16"/>
        <v>F010</v>
      </c>
      <c r="Q877" s="1" t="s">
        <v>138</v>
      </c>
      <c r="S877" s="16">
        <v>20</v>
      </c>
      <c r="T877" s="1" t="s">
        <v>2842</v>
      </c>
      <c r="U877" s="1" t="s">
        <v>1751</v>
      </c>
      <c r="V877" s="1" t="s">
        <v>1417</v>
      </c>
      <c r="Y877" s="1">
        <v>55400</v>
      </c>
      <c r="AB877" s="1">
        <v>52630</v>
      </c>
    </row>
    <row r="878" spans="2:28" x14ac:dyDescent="0.2">
      <c r="B878" s="30" t="s">
        <v>2294</v>
      </c>
      <c r="C878" s="36"/>
      <c r="D878" s="36"/>
      <c r="F878" s="1" t="s">
        <v>2843</v>
      </c>
      <c r="G878" s="30" t="s">
        <v>2852</v>
      </c>
      <c r="K878" s="1" t="s">
        <v>2856</v>
      </c>
      <c r="L878" s="1" t="s">
        <v>1279</v>
      </c>
      <c r="M878" s="36" t="s">
        <v>2854</v>
      </c>
      <c r="N878" s="1" t="s">
        <v>1287</v>
      </c>
      <c r="O878" s="1" t="s">
        <v>1286</v>
      </c>
      <c r="P878" s="34" t="str">
        <f t="shared" si="16"/>
        <v>F010</v>
      </c>
      <c r="Q878" s="1" t="s">
        <v>138</v>
      </c>
      <c r="S878" s="16">
        <v>20</v>
      </c>
      <c r="T878" s="1" t="s">
        <v>2842</v>
      </c>
      <c r="U878" s="1" t="s">
        <v>1751</v>
      </c>
      <c r="V878" s="1" t="s">
        <v>1417</v>
      </c>
      <c r="Y878" s="1">
        <v>55400</v>
      </c>
      <c r="AB878" s="1">
        <v>52630</v>
      </c>
    </row>
    <row r="879" spans="2:28" x14ac:dyDescent="0.2">
      <c r="B879" s="30" t="s">
        <v>2294</v>
      </c>
      <c r="C879" s="36"/>
      <c r="D879" s="36"/>
      <c r="F879" s="1" t="s">
        <v>2843</v>
      </c>
      <c r="G879" s="30" t="s">
        <v>2857</v>
      </c>
      <c r="K879" s="1" t="s">
        <v>2858</v>
      </c>
      <c r="L879" s="1" t="s">
        <v>1279</v>
      </c>
      <c r="M879" s="36" t="s">
        <v>1751</v>
      </c>
      <c r="N879" s="1" t="s">
        <v>1287</v>
      </c>
      <c r="O879" s="1" t="s">
        <v>1286</v>
      </c>
      <c r="P879" s="34" t="str">
        <f t="shared" si="16"/>
        <v>F010</v>
      </c>
      <c r="Q879" s="1" t="s">
        <v>138</v>
      </c>
      <c r="S879" s="16">
        <v>20</v>
      </c>
      <c r="T879" s="1" t="s">
        <v>2842</v>
      </c>
      <c r="U879" s="1" t="s">
        <v>1890</v>
      </c>
      <c r="V879" s="1" t="s">
        <v>2859</v>
      </c>
      <c r="Y879" s="1">
        <v>22700.799999999999</v>
      </c>
      <c r="AB879" s="1">
        <v>21565.759999999998</v>
      </c>
    </row>
    <row r="880" spans="2:28" x14ac:dyDescent="0.2">
      <c r="B880" s="30" t="s">
        <v>2294</v>
      </c>
      <c r="C880" s="36"/>
      <c r="D880" s="36"/>
      <c r="F880" s="1" t="s">
        <v>2843</v>
      </c>
      <c r="G880" s="30" t="s">
        <v>2860</v>
      </c>
      <c r="K880" s="1" t="s">
        <v>2861</v>
      </c>
      <c r="L880" s="1" t="s">
        <v>1279</v>
      </c>
      <c r="M880" s="36" t="s">
        <v>1511</v>
      </c>
      <c r="N880" s="1" t="s">
        <v>1630</v>
      </c>
      <c r="O880" s="1" t="s">
        <v>1286</v>
      </c>
      <c r="P880" s="34" t="str">
        <f t="shared" si="16"/>
        <v>F010</v>
      </c>
      <c r="Q880" s="1" t="s">
        <v>127</v>
      </c>
      <c r="S880" s="16">
        <v>20</v>
      </c>
      <c r="T880" s="1" t="s">
        <v>2842</v>
      </c>
      <c r="U880" s="1" t="s">
        <v>1468</v>
      </c>
      <c r="V880" s="1" t="s">
        <v>1634</v>
      </c>
      <c r="Y880" s="1">
        <v>6307.67</v>
      </c>
      <c r="AB880" s="1">
        <v>3050.14</v>
      </c>
    </row>
    <row r="881" spans="2:28" x14ac:dyDescent="0.2">
      <c r="B881" s="30" t="s">
        <v>2294</v>
      </c>
      <c r="C881" s="36"/>
      <c r="D881" s="36"/>
      <c r="F881" s="1" t="s">
        <v>2843</v>
      </c>
      <c r="G881" s="30" t="s">
        <v>2860</v>
      </c>
      <c r="K881" s="1" t="s">
        <v>2862</v>
      </c>
      <c r="L881" s="1" t="s">
        <v>1279</v>
      </c>
      <c r="M881" s="36" t="s">
        <v>1511</v>
      </c>
      <c r="N881" s="1" t="s">
        <v>1287</v>
      </c>
      <c r="O881" s="1" t="s">
        <v>1286</v>
      </c>
      <c r="P881" s="34" t="str">
        <f t="shared" si="16"/>
        <v>F010</v>
      </c>
      <c r="Q881" s="1" t="s">
        <v>137</v>
      </c>
      <c r="S881" s="16">
        <v>20</v>
      </c>
      <c r="T881" s="1" t="s">
        <v>2842</v>
      </c>
      <c r="U881" s="1" t="s">
        <v>1468</v>
      </c>
      <c r="V881" s="1" t="s">
        <v>1634</v>
      </c>
      <c r="Y881" s="1">
        <v>6307.67</v>
      </c>
      <c r="AB881" s="1">
        <v>3050.14</v>
      </c>
    </row>
    <row r="882" spans="2:28" x14ac:dyDescent="0.2">
      <c r="B882" s="30" t="s">
        <v>2294</v>
      </c>
      <c r="C882" s="36"/>
      <c r="D882" s="36"/>
      <c r="F882" s="1" t="s">
        <v>2843</v>
      </c>
      <c r="G882" s="30" t="s">
        <v>2860</v>
      </c>
      <c r="K882" s="1" t="s">
        <v>2863</v>
      </c>
      <c r="L882" s="1" t="s">
        <v>1279</v>
      </c>
      <c r="M882" s="36" t="s">
        <v>1511</v>
      </c>
      <c r="N882" s="1" t="s">
        <v>1944</v>
      </c>
      <c r="O882" s="1" t="s">
        <v>1286</v>
      </c>
      <c r="P882" s="34" t="str">
        <f t="shared" si="16"/>
        <v>F010</v>
      </c>
      <c r="Q882" s="1" t="s">
        <v>137</v>
      </c>
      <c r="S882" s="16">
        <v>20</v>
      </c>
      <c r="T882" s="1" t="s">
        <v>2842</v>
      </c>
      <c r="U882" s="1" t="s">
        <v>1468</v>
      </c>
      <c r="V882" s="1" t="s">
        <v>1634</v>
      </c>
      <c r="Y882" s="1">
        <v>6307.67</v>
      </c>
      <c r="AB882" s="1">
        <v>3050.14</v>
      </c>
    </row>
    <row r="883" spans="2:28" x14ac:dyDescent="0.2">
      <c r="B883" s="30" t="s">
        <v>2294</v>
      </c>
      <c r="C883" s="36"/>
      <c r="D883" s="36"/>
      <c r="F883" s="1" t="s">
        <v>2843</v>
      </c>
      <c r="G883" s="30" t="s">
        <v>2860</v>
      </c>
      <c r="K883" s="1" t="s">
        <v>2864</v>
      </c>
      <c r="L883" s="1" t="s">
        <v>1279</v>
      </c>
      <c r="M883" s="36" t="s">
        <v>1511</v>
      </c>
      <c r="N883" s="1" t="s">
        <v>1287</v>
      </c>
      <c r="O883" s="1" t="s">
        <v>1286</v>
      </c>
      <c r="P883" s="34" t="str">
        <f t="shared" si="16"/>
        <v>F010</v>
      </c>
      <c r="Q883" s="1" t="s">
        <v>137</v>
      </c>
      <c r="S883" s="16">
        <v>20</v>
      </c>
      <c r="T883" s="1" t="s">
        <v>2842</v>
      </c>
      <c r="U883" s="1" t="s">
        <v>1468</v>
      </c>
      <c r="V883" s="1" t="s">
        <v>1634</v>
      </c>
      <c r="Y883" s="1">
        <v>6307.67</v>
      </c>
      <c r="AB883" s="1">
        <v>3050.14</v>
      </c>
    </row>
    <row r="884" spans="2:28" x14ac:dyDescent="0.2">
      <c r="B884" s="30" t="s">
        <v>2294</v>
      </c>
      <c r="C884" s="36"/>
      <c r="D884" s="36"/>
      <c r="F884" s="1" t="s">
        <v>2843</v>
      </c>
      <c r="G884" s="30" t="s">
        <v>2860</v>
      </c>
      <c r="K884" s="1" t="s">
        <v>2865</v>
      </c>
      <c r="L884" s="1" t="s">
        <v>1279</v>
      </c>
      <c r="M884" s="36" t="s">
        <v>1511</v>
      </c>
      <c r="N884" s="1" t="s">
        <v>2866</v>
      </c>
      <c r="O884" s="1" t="s">
        <v>1286</v>
      </c>
      <c r="P884" s="34" t="str">
        <f t="shared" si="16"/>
        <v>F010</v>
      </c>
      <c r="Q884" s="1" t="s">
        <v>127</v>
      </c>
      <c r="S884" s="16">
        <v>20</v>
      </c>
      <c r="T884" s="1" t="s">
        <v>2842</v>
      </c>
      <c r="U884" s="1" t="s">
        <v>1468</v>
      </c>
      <c r="V884" s="1" t="s">
        <v>1634</v>
      </c>
      <c r="Y884" s="1">
        <v>6307.67</v>
      </c>
      <c r="AB884" s="1">
        <v>3050.14</v>
      </c>
    </row>
    <row r="885" spans="2:28" x14ac:dyDescent="0.2">
      <c r="B885" s="30" t="s">
        <v>2294</v>
      </c>
      <c r="C885" s="36"/>
      <c r="D885" s="36"/>
      <c r="F885" s="1" t="s">
        <v>2843</v>
      </c>
      <c r="G885" s="30" t="s">
        <v>2860</v>
      </c>
      <c r="K885" s="1" t="s">
        <v>2867</v>
      </c>
      <c r="L885" s="1" t="s">
        <v>1279</v>
      </c>
      <c r="M885" s="36" t="s">
        <v>1511</v>
      </c>
      <c r="N885" s="1" t="s">
        <v>1833</v>
      </c>
      <c r="O885" s="1" t="s">
        <v>1286</v>
      </c>
      <c r="P885" s="34" t="str">
        <f t="shared" si="16"/>
        <v>F010</v>
      </c>
      <c r="Q885" s="1" t="s">
        <v>127</v>
      </c>
      <c r="S885" s="16">
        <v>20</v>
      </c>
      <c r="T885" s="1" t="s">
        <v>2842</v>
      </c>
      <c r="U885" s="1" t="s">
        <v>1468</v>
      </c>
      <c r="V885" s="1" t="s">
        <v>1634</v>
      </c>
      <c r="Y885" s="1">
        <v>6307.67</v>
      </c>
      <c r="AB885" s="1">
        <v>3050.14</v>
      </c>
    </row>
    <row r="886" spans="2:28" x14ac:dyDescent="0.2">
      <c r="B886" s="30" t="s">
        <v>2294</v>
      </c>
      <c r="C886" s="36"/>
      <c r="D886" s="36"/>
      <c r="F886" s="1" t="s">
        <v>2843</v>
      </c>
      <c r="G886" s="30" t="s">
        <v>2860</v>
      </c>
      <c r="K886" s="1" t="s">
        <v>2868</v>
      </c>
      <c r="L886" s="1" t="s">
        <v>1279</v>
      </c>
      <c r="M886" s="36" t="s">
        <v>1511</v>
      </c>
      <c r="N886" s="1" t="s">
        <v>1658</v>
      </c>
      <c r="O886" s="1" t="s">
        <v>1286</v>
      </c>
      <c r="P886" s="34" t="str">
        <f t="shared" si="16"/>
        <v>F010</v>
      </c>
      <c r="Q886" s="1" t="s">
        <v>137</v>
      </c>
      <c r="S886" s="16">
        <v>20</v>
      </c>
      <c r="T886" s="1" t="s">
        <v>2842</v>
      </c>
      <c r="U886" s="1" t="s">
        <v>1468</v>
      </c>
      <c r="V886" s="1" t="s">
        <v>1634</v>
      </c>
      <c r="Y886" s="1">
        <v>6307.67</v>
      </c>
      <c r="AB886" s="1">
        <v>3050.14</v>
      </c>
    </row>
    <row r="887" spans="2:28" x14ac:dyDescent="0.2">
      <c r="B887" s="30" t="s">
        <v>2294</v>
      </c>
      <c r="C887" s="36"/>
      <c r="D887" s="36"/>
      <c r="F887" s="1" t="s">
        <v>2843</v>
      </c>
      <c r="G887" s="30" t="s">
        <v>2860</v>
      </c>
      <c r="K887" s="1" t="s">
        <v>2869</v>
      </c>
      <c r="L887" s="1" t="s">
        <v>1279</v>
      </c>
      <c r="M887" s="36" t="s">
        <v>1511</v>
      </c>
      <c r="N887" s="1" t="s">
        <v>1287</v>
      </c>
      <c r="O887" s="1" t="s">
        <v>1286</v>
      </c>
      <c r="P887" s="34" t="str">
        <f t="shared" si="16"/>
        <v>F010</v>
      </c>
      <c r="Q887" s="1" t="s">
        <v>137</v>
      </c>
      <c r="S887" s="16">
        <v>20</v>
      </c>
      <c r="T887" s="1" t="s">
        <v>2842</v>
      </c>
      <c r="U887" s="1" t="s">
        <v>1468</v>
      </c>
      <c r="V887" s="1" t="s">
        <v>1634</v>
      </c>
      <c r="Y887" s="1">
        <v>6307.67</v>
      </c>
      <c r="AB887" s="1">
        <v>3050.14</v>
      </c>
    </row>
    <row r="888" spans="2:28" x14ac:dyDescent="0.2">
      <c r="B888" s="30" t="s">
        <v>2294</v>
      </c>
      <c r="C888" s="36"/>
      <c r="D888" s="36"/>
      <c r="F888" s="1" t="s">
        <v>2843</v>
      </c>
      <c r="G888" s="30" t="s">
        <v>2860</v>
      </c>
      <c r="K888" s="1" t="s">
        <v>2870</v>
      </c>
      <c r="L888" s="1" t="s">
        <v>1279</v>
      </c>
      <c r="M888" s="36" t="s">
        <v>1511</v>
      </c>
      <c r="N888" s="1" t="s">
        <v>1788</v>
      </c>
      <c r="O888" s="1" t="s">
        <v>1286</v>
      </c>
      <c r="P888" s="34" t="str">
        <f t="shared" si="16"/>
        <v>F010</v>
      </c>
      <c r="Q888" s="1" t="s">
        <v>127</v>
      </c>
      <c r="S888" s="16">
        <v>20</v>
      </c>
      <c r="T888" s="1" t="s">
        <v>2842</v>
      </c>
      <c r="U888" s="1" t="s">
        <v>1468</v>
      </c>
      <c r="V888" s="1" t="s">
        <v>1634</v>
      </c>
      <c r="Y888" s="1">
        <v>6307.67</v>
      </c>
      <c r="AB888" s="1">
        <v>3050.14</v>
      </c>
    </row>
    <row r="889" spans="2:28" x14ac:dyDescent="0.2">
      <c r="B889" s="30" t="s">
        <v>2294</v>
      </c>
      <c r="C889" s="36"/>
      <c r="D889" s="36"/>
      <c r="F889" s="1" t="s">
        <v>2843</v>
      </c>
      <c r="G889" s="30" t="s">
        <v>2860</v>
      </c>
      <c r="K889" s="1" t="s">
        <v>2871</v>
      </c>
      <c r="L889" s="1" t="s">
        <v>1279</v>
      </c>
      <c r="M889" s="36" t="s">
        <v>1511</v>
      </c>
      <c r="N889" s="1" t="s">
        <v>2094</v>
      </c>
      <c r="O889" s="1" t="s">
        <v>1286</v>
      </c>
      <c r="P889" s="34" t="str">
        <f t="shared" si="16"/>
        <v>F010</v>
      </c>
      <c r="Q889" s="1" t="s">
        <v>127</v>
      </c>
      <c r="S889" s="16">
        <v>20</v>
      </c>
      <c r="T889" s="1" t="s">
        <v>2842</v>
      </c>
      <c r="U889" s="1" t="s">
        <v>1468</v>
      </c>
      <c r="V889" s="1" t="s">
        <v>1634</v>
      </c>
      <c r="Y889" s="1">
        <v>6307.67</v>
      </c>
      <c r="AB889" s="1">
        <v>3050.14</v>
      </c>
    </row>
    <row r="890" spans="2:28" x14ac:dyDescent="0.2">
      <c r="B890" s="30" t="s">
        <v>2294</v>
      </c>
      <c r="C890" s="36"/>
      <c r="D890" s="36"/>
      <c r="F890" s="1" t="s">
        <v>2843</v>
      </c>
      <c r="G890" s="30" t="s">
        <v>2860</v>
      </c>
      <c r="K890" s="1" t="s">
        <v>2872</v>
      </c>
      <c r="L890" s="1" t="s">
        <v>1279</v>
      </c>
      <c r="M890" s="36" t="s">
        <v>1511</v>
      </c>
      <c r="N890" s="1" t="s">
        <v>2094</v>
      </c>
      <c r="O890" s="1" t="s">
        <v>1286</v>
      </c>
      <c r="P890" s="34" t="str">
        <f t="shared" si="16"/>
        <v>F010</v>
      </c>
      <c r="Q890" s="1" t="s">
        <v>127</v>
      </c>
      <c r="S890" s="16">
        <v>20</v>
      </c>
      <c r="T890" s="1" t="s">
        <v>2842</v>
      </c>
      <c r="U890" s="1" t="s">
        <v>1468</v>
      </c>
      <c r="V890" s="1" t="s">
        <v>1634</v>
      </c>
      <c r="Y890" s="1">
        <v>6307.67</v>
      </c>
      <c r="AB890" s="1">
        <v>3050.14</v>
      </c>
    </row>
    <row r="891" spans="2:28" x14ac:dyDescent="0.2">
      <c r="B891" s="30" t="s">
        <v>2294</v>
      </c>
      <c r="C891" s="36"/>
      <c r="D891" s="36"/>
      <c r="F891" s="1" t="s">
        <v>2843</v>
      </c>
      <c r="G891" s="30" t="s">
        <v>2860</v>
      </c>
      <c r="K891" s="1" t="s">
        <v>2873</v>
      </c>
      <c r="L891" s="1" t="s">
        <v>1279</v>
      </c>
      <c r="M891" s="36" t="s">
        <v>1511</v>
      </c>
      <c r="N891" s="1" t="s">
        <v>1715</v>
      </c>
      <c r="O891" s="1" t="s">
        <v>1286</v>
      </c>
      <c r="P891" s="34" t="str">
        <f t="shared" si="16"/>
        <v>F010</v>
      </c>
      <c r="Q891" s="1" t="s">
        <v>127</v>
      </c>
      <c r="S891" s="16">
        <v>20</v>
      </c>
      <c r="T891" s="1" t="s">
        <v>2842</v>
      </c>
      <c r="U891" s="1" t="s">
        <v>1468</v>
      </c>
      <c r="V891" s="1" t="s">
        <v>1634</v>
      </c>
      <c r="Y891" s="1">
        <v>6307.67</v>
      </c>
      <c r="AB891" s="1">
        <v>3050.14</v>
      </c>
    </row>
    <row r="892" spans="2:28" x14ac:dyDescent="0.2">
      <c r="B892" s="30" t="s">
        <v>2294</v>
      </c>
      <c r="C892" s="36"/>
      <c r="D892" s="36"/>
      <c r="F892" s="1" t="s">
        <v>2843</v>
      </c>
      <c r="G892" s="30" t="s">
        <v>2860</v>
      </c>
      <c r="K892" s="1" t="s">
        <v>2874</v>
      </c>
      <c r="L892" s="1" t="s">
        <v>1279</v>
      </c>
      <c r="M892" s="36" t="s">
        <v>1511</v>
      </c>
      <c r="N892" s="1" t="s">
        <v>1287</v>
      </c>
      <c r="O892" s="1" t="s">
        <v>1286</v>
      </c>
      <c r="P892" s="34" t="str">
        <f t="shared" si="16"/>
        <v>F010</v>
      </c>
      <c r="Q892" s="1" t="s">
        <v>137</v>
      </c>
      <c r="S892" s="16">
        <v>20</v>
      </c>
      <c r="T892" s="1" t="s">
        <v>2842</v>
      </c>
      <c r="U892" s="1" t="s">
        <v>1468</v>
      </c>
      <c r="V892" s="1" t="s">
        <v>1634</v>
      </c>
      <c r="Y892" s="1">
        <v>6307.67</v>
      </c>
      <c r="AB892" s="1">
        <v>3050.14</v>
      </c>
    </row>
    <row r="893" spans="2:28" x14ac:dyDescent="0.2">
      <c r="B893" s="30" t="s">
        <v>2294</v>
      </c>
      <c r="C893" s="36"/>
      <c r="D893" s="36"/>
      <c r="F893" s="1" t="s">
        <v>2843</v>
      </c>
      <c r="G893" s="30" t="s">
        <v>2860</v>
      </c>
      <c r="K893" s="1" t="s">
        <v>2875</v>
      </c>
      <c r="L893" s="1" t="s">
        <v>1279</v>
      </c>
      <c r="M893" s="36" t="s">
        <v>1511</v>
      </c>
      <c r="N893" s="1" t="s">
        <v>1795</v>
      </c>
      <c r="O893" s="1" t="s">
        <v>1286</v>
      </c>
      <c r="P893" s="34" t="str">
        <f t="shared" si="16"/>
        <v>F010</v>
      </c>
      <c r="Q893" s="1" t="s">
        <v>127</v>
      </c>
      <c r="S893" s="16">
        <v>20</v>
      </c>
      <c r="T893" s="1" t="s">
        <v>2842</v>
      </c>
      <c r="U893" s="1" t="s">
        <v>1468</v>
      </c>
      <c r="V893" s="1" t="s">
        <v>1634</v>
      </c>
      <c r="Y893" s="1">
        <v>6307.67</v>
      </c>
      <c r="AB893" s="1">
        <v>3050.14</v>
      </c>
    </row>
    <row r="894" spans="2:28" x14ac:dyDescent="0.2">
      <c r="B894" s="30" t="s">
        <v>2294</v>
      </c>
      <c r="C894" s="36"/>
      <c r="D894" s="36"/>
      <c r="F894" s="1" t="s">
        <v>2843</v>
      </c>
      <c r="G894" s="30" t="s">
        <v>2860</v>
      </c>
      <c r="K894" s="1" t="s">
        <v>2876</v>
      </c>
      <c r="L894" s="1" t="s">
        <v>1279</v>
      </c>
      <c r="M894" s="36" t="s">
        <v>1511</v>
      </c>
      <c r="N894" s="1" t="s">
        <v>2601</v>
      </c>
      <c r="O894" s="1" t="s">
        <v>1286</v>
      </c>
      <c r="P894" s="34" t="str">
        <f t="shared" si="16"/>
        <v>F010</v>
      </c>
      <c r="Q894" s="1" t="s">
        <v>127</v>
      </c>
      <c r="S894" s="16">
        <v>20</v>
      </c>
      <c r="T894" s="1" t="s">
        <v>2842</v>
      </c>
      <c r="U894" s="1" t="s">
        <v>1468</v>
      </c>
      <c r="V894" s="1" t="s">
        <v>1634</v>
      </c>
      <c r="Y894" s="1">
        <v>6307.67</v>
      </c>
      <c r="AB894" s="1">
        <v>3050.14</v>
      </c>
    </row>
    <row r="895" spans="2:28" x14ac:dyDescent="0.2">
      <c r="B895" s="30" t="s">
        <v>2294</v>
      </c>
      <c r="C895" s="36"/>
      <c r="D895" s="36"/>
      <c r="F895" s="1" t="s">
        <v>2843</v>
      </c>
      <c r="G895" s="30" t="s">
        <v>2860</v>
      </c>
      <c r="K895" s="1" t="s">
        <v>2877</v>
      </c>
      <c r="L895" s="1" t="s">
        <v>1279</v>
      </c>
      <c r="M895" s="36" t="s">
        <v>1511</v>
      </c>
      <c r="N895" s="1" t="s">
        <v>1715</v>
      </c>
      <c r="O895" s="1" t="s">
        <v>1286</v>
      </c>
      <c r="P895" s="34" t="str">
        <f t="shared" si="16"/>
        <v>F010</v>
      </c>
      <c r="Q895" s="1" t="s">
        <v>127</v>
      </c>
      <c r="S895" s="16">
        <v>20</v>
      </c>
      <c r="T895" s="1" t="s">
        <v>2842</v>
      </c>
      <c r="U895" s="1" t="s">
        <v>1468</v>
      </c>
      <c r="V895" s="1" t="s">
        <v>1634</v>
      </c>
      <c r="Y895" s="1">
        <v>6307.67</v>
      </c>
      <c r="AB895" s="1">
        <v>3050.14</v>
      </c>
    </row>
    <row r="896" spans="2:28" x14ac:dyDescent="0.2">
      <c r="B896" s="30" t="s">
        <v>2294</v>
      </c>
      <c r="C896" s="36"/>
      <c r="D896" s="36"/>
      <c r="F896" s="1" t="s">
        <v>2843</v>
      </c>
      <c r="G896" s="30" t="s">
        <v>2860</v>
      </c>
      <c r="K896" s="1" t="s">
        <v>2878</v>
      </c>
      <c r="L896" s="1" t="s">
        <v>1279</v>
      </c>
      <c r="M896" s="36" t="s">
        <v>1511</v>
      </c>
      <c r="N896" s="1" t="s">
        <v>1287</v>
      </c>
      <c r="O896" s="1" t="s">
        <v>1286</v>
      </c>
      <c r="P896" s="34" t="str">
        <f t="shared" si="16"/>
        <v>F010</v>
      </c>
      <c r="Q896" s="1" t="s">
        <v>137</v>
      </c>
      <c r="S896" s="16">
        <v>20</v>
      </c>
      <c r="T896" s="1" t="s">
        <v>2842</v>
      </c>
      <c r="U896" s="1" t="s">
        <v>1468</v>
      </c>
      <c r="V896" s="1" t="s">
        <v>1634</v>
      </c>
      <c r="Y896" s="1">
        <v>6307.67</v>
      </c>
      <c r="AB896" s="1">
        <v>3050.14</v>
      </c>
    </row>
    <row r="897" spans="2:28" x14ac:dyDescent="0.2">
      <c r="B897" s="30" t="s">
        <v>2294</v>
      </c>
      <c r="C897" s="36"/>
      <c r="D897" s="36"/>
      <c r="F897" s="1" t="s">
        <v>2843</v>
      </c>
      <c r="G897" s="30" t="s">
        <v>2860</v>
      </c>
      <c r="K897" s="1" t="s">
        <v>2879</v>
      </c>
      <c r="L897" s="1" t="s">
        <v>1279</v>
      </c>
      <c r="M897" s="36" t="s">
        <v>1511</v>
      </c>
      <c r="N897" s="1" t="s">
        <v>2094</v>
      </c>
      <c r="O897" s="1" t="s">
        <v>1286</v>
      </c>
      <c r="P897" s="34" t="str">
        <f t="shared" si="16"/>
        <v>F010</v>
      </c>
      <c r="Q897" s="1" t="s">
        <v>127</v>
      </c>
      <c r="S897" s="16">
        <v>20</v>
      </c>
      <c r="T897" s="1" t="s">
        <v>2842</v>
      </c>
      <c r="U897" s="1" t="s">
        <v>1468</v>
      </c>
      <c r="V897" s="1" t="s">
        <v>1634</v>
      </c>
      <c r="Y897" s="1">
        <v>6307.67</v>
      </c>
      <c r="AB897" s="1">
        <v>3050.14</v>
      </c>
    </row>
    <row r="898" spans="2:28" x14ac:dyDescent="0.2">
      <c r="B898" s="30" t="s">
        <v>2294</v>
      </c>
      <c r="C898" s="36"/>
      <c r="D898" s="36"/>
      <c r="F898" s="1" t="s">
        <v>2843</v>
      </c>
      <c r="G898" s="30" t="s">
        <v>2860</v>
      </c>
      <c r="K898" s="1" t="s">
        <v>2880</v>
      </c>
      <c r="L898" s="1" t="s">
        <v>1279</v>
      </c>
      <c r="M898" s="36" t="s">
        <v>1511</v>
      </c>
      <c r="N898" s="1" t="s">
        <v>1795</v>
      </c>
      <c r="O898" s="1" t="s">
        <v>1286</v>
      </c>
      <c r="P898" s="34" t="str">
        <f t="shared" si="16"/>
        <v>F010</v>
      </c>
      <c r="Q898" s="1" t="s">
        <v>127</v>
      </c>
      <c r="S898" s="16">
        <v>20</v>
      </c>
      <c r="T898" s="1" t="s">
        <v>2842</v>
      </c>
      <c r="U898" s="1" t="s">
        <v>1468</v>
      </c>
      <c r="V898" s="1" t="s">
        <v>1634</v>
      </c>
      <c r="Y898" s="1">
        <v>6307.67</v>
      </c>
      <c r="AB898" s="1">
        <v>3050.14</v>
      </c>
    </row>
    <row r="899" spans="2:28" x14ac:dyDescent="0.2">
      <c r="B899" s="30" t="s">
        <v>2294</v>
      </c>
      <c r="C899" s="36"/>
      <c r="D899" s="36"/>
      <c r="F899" s="1" t="s">
        <v>2843</v>
      </c>
      <c r="G899" s="30" t="s">
        <v>2860</v>
      </c>
      <c r="K899" s="1" t="s">
        <v>2881</v>
      </c>
      <c r="L899" s="1" t="s">
        <v>1279</v>
      </c>
      <c r="M899" s="36" t="s">
        <v>1511</v>
      </c>
      <c r="N899" s="1" t="s">
        <v>1658</v>
      </c>
      <c r="O899" s="1" t="s">
        <v>1286</v>
      </c>
      <c r="P899" s="34" t="str">
        <f t="shared" si="16"/>
        <v>F010</v>
      </c>
      <c r="Q899" s="1" t="s">
        <v>137</v>
      </c>
      <c r="S899" s="16">
        <v>20</v>
      </c>
      <c r="T899" s="1" t="s">
        <v>2842</v>
      </c>
      <c r="U899" s="1" t="s">
        <v>1468</v>
      </c>
      <c r="V899" s="1" t="s">
        <v>1634</v>
      </c>
      <c r="Y899" s="1">
        <v>6307.67</v>
      </c>
      <c r="AB899" s="1">
        <v>3050.14</v>
      </c>
    </row>
    <row r="900" spans="2:28" x14ac:dyDescent="0.2">
      <c r="B900" s="30" t="s">
        <v>2294</v>
      </c>
      <c r="C900" s="36"/>
      <c r="D900" s="36"/>
      <c r="F900" s="1" t="s">
        <v>2843</v>
      </c>
      <c r="G900" s="30" t="s">
        <v>2860</v>
      </c>
      <c r="K900" s="1" t="s">
        <v>2882</v>
      </c>
      <c r="L900" s="1" t="s">
        <v>1279</v>
      </c>
      <c r="M900" s="36" t="s">
        <v>1511</v>
      </c>
      <c r="N900" s="1" t="s">
        <v>1287</v>
      </c>
      <c r="O900" s="1" t="s">
        <v>1286</v>
      </c>
      <c r="P900" s="34" t="str">
        <f t="shared" si="16"/>
        <v>F010</v>
      </c>
      <c r="Q900" s="1" t="s">
        <v>137</v>
      </c>
      <c r="S900" s="16">
        <v>20</v>
      </c>
      <c r="T900" s="1" t="s">
        <v>2842</v>
      </c>
      <c r="U900" s="1" t="s">
        <v>1468</v>
      </c>
      <c r="V900" s="1" t="s">
        <v>1634</v>
      </c>
      <c r="Y900" s="1">
        <v>6307.67</v>
      </c>
      <c r="AB900" s="1">
        <v>3050.14</v>
      </c>
    </row>
    <row r="901" spans="2:28" x14ac:dyDescent="0.2">
      <c r="B901" s="30" t="s">
        <v>2294</v>
      </c>
      <c r="C901" s="36"/>
      <c r="D901" s="36"/>
      <c r="F901" s="1" t="s">
        <v>2843</v>
      </c>
      <c r="G901" s="30" t="s">
        <v>2860</v>
      </c>
      <c r="K901" s="1" t="s">
        <v>2883</v>
      </c>
      <c r="L901" s="1" t="s">
        <v>1279</v>
      </c>
      <c r="M901" s="36" t="s">
        <v>1511</v>
      </c>
      <c r="N901" s="1" t="s">
        <v>1630</v>
      </c>
      <c r="O901" s="1" t="s">
        <v>1286</v>
      </c>
      <c r="P901" s="34" t="str">
        <f t="shared" si="16"/>
        <v>F010</v>
      </c>
      <c r="Q901" s="1" t="s">
        <v>127</v>
      </c>
      <c r="S901" s="16">
        <v>20</v>
      </c>
      <c r="T901" s="1" t="s">
        <v>2842</v>
      </c>
      <c r="U901" s="1" t="s">
        <v>1468</v>
      </c>
      <c r="V901" s="1" t="s">
        <v>1634</v>
      </c>
      <c r="Y901" s="1">
        <v>6307.67</v>
      </c>
      <c r="AB901" s="1">
        <v>3050.14</v>
      </c>
    </row>
    <row r="902" spans="2:28" x14ac:dyDescent="0.2">
      <c r="B902" s="30" t="s">
        <v>2294</v>
      </c>
      <c r="C902" s="36"/>
      <c r="D902" s="36"/>
      <c r="F902" s="1" t="s">
        <v>2843</v>
      </c>
      <c r="G902" s="30" t="s">
        <v>2860</v>
      </c>
      <c r="K902" s="1" t="s">
        <v>2884</v>
      </c>
      <c r="L902" s="1" t="s">
        <v>1279</v>
      </c>
      <c r="M902" s="36" t="s">
        <v>1511</v>
      </c>
      <c r="N902" s="1" t="s">
        <v>2495</v>
      </c>
      <c r="O902" s="1" t="s">
        <v>1286</v>
      </c>
      <c r="P902" s="34" t="str">
        <f t="shared" si="16"/>
        <v>F010</v>
      </c>
      <c r="Q902" s="1" t="s">
        <v>127</v>
      </c>
      <c r="S902" s="16">
        <v>20</v>
      </c>
      <c r="T902" s="1" t="s">
        <v>2842</v>
      </c>
      <c r="U902" s="1" t="s">
        <v>1468</v>
      </c>
      <c r="V902" s="1" t="s">
        <v>1634</v>
      </c>
      <c r="Y902" s="1">
        <v>6307.67</v>
      </c>
      <c r="AB902" s="1">
        <v>3050.14</v>
      </c>
    </row>
    <row r="903" spans="2:28" x14ac:dyDescent="0.2">
      <c r="B903" s="30" t="s">
        <v>2294</v>
      </c>
      <c r="C903" s="36"/>
      <c r="D903" s="36"/>
      <c r="F903" s="1" t="s">
        <v>2843</v>
      </c>
      <c r="G903" s="30" t="s">
        <v>2860</v>
      </c>
      <c r="K903" s="1" t="s">
        <v>2885</v>
      </c>
      <c r="L903" s="1" t="s">
        <v>1279</v>
      </c>
      <c r="M903" s="36" t="s">
        <v>1511</v>
      </c>
      <c r="N903" s="1" t="s">
        <v>2094</v>
      </c>
      <c r="O903" s="1" t="s">
        <v>1286</v>
      </c>
      <c r="P903" s="34" t="str">
        <f t="shared" ref="P903:P966" si="17">+LEFT(Q903,4)</f>
        <v>F010</v>
      </c>
      <c r="Q903" s="1" t="s">
        <v>127</v>
      </c>
      <c r="S903" s="16">
        <v>20</v>
      </c>
      <c r="T903" s="1" t="s">
        <v>2842</v>
      </c>
      <c r="U903" s="1" t="s">
        <v>1468</v>
      </c>
      <c r="V903" s="1" t="s">
        <v>1634</v>
      </c>
      <c r="Y903" s="1">
        <v>6307.67</v>
      </c>
      <c r="AB903" s="1">
        <v>3050.14</v>
      </c>
    </row>
    <row r="904" spans="2:28" x14ac:dyDescent="0.2">
      <c r="B904" s="30" t="s">
        <v>2294</v>
      </c>
      <c r="C904" s="36"/>
      <c r="D904" s="36"/>
      <c r="F904" s="1" t="s">
        <v>2843</v>
      </c>
      <c r="G904" s="30" t="s">
        <v>2860</v>
      </c>
      <c r="K904" s="1" t="s">
        <v>2886</v>
      </c>
      <c r="L904" s="1" t="s">
        <v>1279</v>
      </c>
      <c r="M904" s="36" t="s">
        <v>1511</v>
      </c>
      <c r="N904" s="1" t="s">
        <v>1287</v>
      </c>
      <c r="O904" s="1" t="s">
        <v>1286</v>
      </c>
      <c r="P904" s="34" t="str">
        <f t="shared" si="17"/>
        <v>F010</v>
      </c>
      <c r="Q904" s="1" t="s">
        <v>137</v>
      </c>
      <c r="S904" s="16">
        <v>20</v>
      </c>
      <c r="T904" s="1" t="s">
        <v>2842</v>
      </c>
      <c r="U904" s="1" t="s">
        <v>1468</v>
      </c>
      <c r="V904" s="1" t="s">
        <v>1634</v>
      </c>
      <c r="Y904" s="1">
        <v>6307.67</v>
      </c>
      <c r="AB904" s="1">
        <v>3050.14</v>
      </c>
    </row>
    <row r="905" spans="2:28" x14ac:dyDescent="0.2">
      <c r="B905" s="30" t="s">
        <v>2294</v>
      </c>
      <c r="C905" s="36"/>
      <c r="D905" s="36"/>
      <c r="F905" s="1" t="s">
        <v>2843</v>
      </c>
      <c r="G905" s="30" t="s">
        <v>2887</v>
      </c>
      <c r="K905" s="1" t="s">
        <v>2888</v>
      </c>
      <c r="L905" s="1" t="s">
        <v>1279</v>
      </c>
      <c r="M905" s="36" t="s">
        <v>1511</v>
      </c>
      <c r="N905" s="1" t="s">
        <v>1287</v>
      </c>
      <c r="O905" s="1" t="s">
        <v>1286</v>
      </c>
      <c r="P905" s="34" t="str">
        <f t="shared" si="17"/>
        <v>F010</v>
      </c>
      <c r="Q905" s="1" t="s">
        <v>137</v>
      </c>
      <c r="S905" s="16">
        <v>20</v>
      </c>
      <c r="T905" s="1" t="s">
        <v>2842</v>
      </c>
      <c r="U905" s="1" t="s">
        <v>1468</v>
      </c>
      <c r="V905" s="1" t="s">
        <v>1634</v>
      </c>
      <c r="Y905" s="1">
        <v>6239.32</v>
      </c>
      <c r="AB905" s="1">
        <v>3015.99</v>
      </c>
    </row>
    <row r="906" spans="2:28" x14ac:dyDescent="0.2">
      <c r="B906" s="30" t="s">
        <v>2294</v>
      </c>
      <c r="C906" s="36"/>
      <c r="D906" s="36"/>
      <c r="F906" s="1" t="s">
        <v>2843</v>
      </c>
      <c r="G906" s="30" t="s">
        <v>2887</v>
      </c>
      <c r="K906" s="1" t="s">
        <v>2889</v>
      </c>
      <c r="L906" s="1" t="s">
        <v>1279</v>
      </c>
      <c r="M906" s="36" t="s">
        <v>1511</v>
      </c>
      <c r="N906" s="1" t="s">
        <v>1287</v>
      </c>
      <c r="O906" s="1" t="s">
        <v>1286</v>
      </c>
      <c r="P906" s="34" t="str">
        <f t="shared" si="17"/>
        <v>F010</v>
      </c>
      <c r="Q906" s="1" t="s">
        <v>137</v>
      </c>
      <c r="S906" s="16">
        <v>20</v>
      </c>
      <c r="T906" s="1" t="s">
        <v>2842</v>
      </c>
      <c r="U906" s="1" t="s">
        <v>1468</v>
      </c>
      <c r="V906" s="1" t="s">
        <v>1634</v>
      </c>
      <c r="Y906" s="1">
        <v>6239.32</v>
      </c>
      <c r="AB906" s="1">
        <v>3015.99</v>
      </c>
    </row>
    <row r="907" spans="2:28" x14ac:dyDescent="0.2">
      <c r="B907" s="30" t="s">
        <v>2294</v>
      </c>
      <c r="C907" s="36"/>
      <c r="D907" s="36"/>
      <c r="F907" s="1" t="s">
        <v>2843</v>
      </c>
      <c r="G907" s="30" t="s">
        <v>2887</v>
      </c>
      <c r="K907" s="1" t="s">
        <v>2890</v>
      </c>
      <c r="L907" s="1" t="s">
        <v>1279</v>
      </c>
      <c r="M907" s="36" t="s">
        <v>1511</v>
      </c>
      <c r="N907" s="1" t="s">
        <v>1564</v>
      </c>
      <c r="O907" s="1" t="s">
        <v>1286</v>
      </c>
      <c r="P907" s="34" t="str">
        <f t="shared" si="17"/>
        <v>F010</v>
      </c>
      <c r="Q907" s="1" t="s">
        <v>127</v>
      </c>
      <c r="S907" s="16">
        <v>20</v>
      </c>
      <c r="T907" s="1" t="s">
        <v>2842</v>
      </c>
      <c r="U907" s="1" t="s">
        <v>1468</v>
      </c>
      <c r="V907" s="1" t="s">
        <v>1634</v>
      </c>
      <c r="Y907" s="1">
        <v>6239.31</v>
      </c>
      <c r="AB907" s="1">
        <v>3015.98</v>
      </c>
    </row>
    <row r="908" spans="2:28" x14ac:dyDescent="0.2">
      <c r="B908" s="30" t="s">
        <v>2294</v>
      </c>
      <c r="C908" s="36"/>
      <c r="D908" s="36"/>
      <c r="F908" s="1" t="s">
        <v>2843</v>
      </c>
      <c r="G908" s="30" t="s">
        <v>2887</v>
      </c>
      <c r="K908" s="1" t="s">
        <v>2891</v>
      </c>
      <c r="L908" s="1" t="s">
        <v>1279</v>
      </c>
      <c r="M908" s="36" t="s">
        <v>1511</v>
      </c>
      <c r="N908" s="1" t="s">
        <v>2094</v>
      </c>
      <c r="O908" s="1" t="s">
        <v>1286</v>
      </c>
      <c r="P908" s="34" t="str">
        <f t="shared" si="17"/>
        <v>F010</v>
      </c>
      <c r="Q908" s="1" t="s">
        <v>127</v>
      </c>
      <c r="S908" s="16">
        <v>20</v>
      </c>
      <c r="T908" s="1" t="s">
        <v>2842</v>
      </c>
      <c r="U908" s="1" t="s">
        <v>1468</v>
      </c>
      <c r="V908" s="1" t="s">
        <v>1634</v>
      </c>
      <c r="Y908" s="1">
        <v>6239.32</v>
      </c>
      <c r="AB908" s="1">
        <v>3015.99</v>
      </c>
    </row>
    <row r="909" spans="2:28" x14ac:dyDescent="0.2">
      <c r="B909" s="30" t="s">
        <v>2294</v>
      </c>
      <c r="C909" s="36"/>
      <c r="D909" s="36"/>
      <c r="F909" s="1" t="s">
        <v>2843</v>
      </c>
      <c r="G909" s="30" t="s">
        <v>2887</v>
      </c>
      <c r="K909" s="1" t="s">
        <v>2892</v>
      </c>
      <c r="L909" s="1" t="s">
        <v>1279</v>
      </c>
      <c r="M909" s="36" t="s">
        <v>1511</v>
      </c>
      <c r="N909" s="1" t="s">
        <v>1795</v>
      </c>
      <c r="O909" s="1" t="s">
        <v>1286</v>
      </c>
      <c r="P909" s="34" t="str">
        <f t="shared" si="17"/>
        <v>F010</v>
      </c>
      <c r="Q909" s="1" t="s">
        <v>127</v>
      </c>
      <c r="S909" s="16">
        <v>20</v>
      </c>
      <c r="T909" s="1" t="s">
        <v>2842</v>
      </c>
      <c r="U909" s="1" t="s">
        <v>1468</v>
      </c>
      <c r="V909" s="1" t="s">
        <v>1634</v>
      </c>
      <c r="Y909" s="1">
        <v>6239.31</v>
      </c>
      <c r="AB909" s="1">
        <v>3015.98</v>
      </c>
    </row>
    <row r="910" spans="2:28" x14ac:dyDescent="0.2">
      <c r="B910" s="30" t="s">
        <v>2294</v>
      </c>
      <c r="C910" s="36"/>
      <c r="D910" s="36"/>
      <c r="F910" s="1" t="s">
        <v>2843</v>
      </c>
      <c r="G910" s="30" t="s">
        <v>2887</v>
      </c>
      <c r="K910" s="1" t="s">
        <v>2893</v>
      </c>
      <c r="L910" s="1" t="s">
        <v>1279</v>
      </c>
      <c r="M910" s="36" t="s">
        <v>1511</v>
      </c>
      <c r="N910" s="1" t="s">
        <v>2497</v>
      </c>
      <c r="O910" s="1" t="s">
        <v>1286</v>
      </c>
      <c r="P910" s="34" t="str">
        <f t="shared" si="17"/>
        <v>F010</v>
      </c>
      <c r="Q910" s="1" t="s">
        <v>127</v>
      </c>
      <c r="S910" s="16">
        <v>20</v>
      </c>
      <c r="T910" s="1" t="s">
        <v>2842</v>
      </c>
      <c r="U910" s="1" t="s">
        <v>1468</v>
      </c>
      <c r="V910" s="1" t="s">
        <v>1634</v>
      </c>
      <c r="Y910" s="1">
        <v>6239.32</v>
      </c>
      <c r="AB910" s="1">
        <v>3015.99</v>
      </c>
    </row>
    <row r="911" spans="2:28" x14ac:dyDescent="0.2">
      <c r="B911" s="30" t="s">
        <v>2294</v>
      </c>
      <c r="C911" s="36"/>
      <c r="D911" s="36"/>
      <c r="F911" s="1" t="s">
        <v>2843</v>
      </c>
      <c r="G911" s="30" t="s">
        <v>2887</v>
      </c>
      <c r="K911" s="1" t="s">
        <v>2894</v>
      </c>
      <c r="L911" s="1" t="s">
        <v>1279</v>
      </c>
      <c r="M911" s="36" t="s">
        <v>1511</v>
      </c>
      <c r="N911" s="1" t="s">
        <v>1287</v>
      </c>
      <c r="O911" s="1" t="s">
        <v>1286</v>
      </c>
      <c r="P911" s="34" t="str">
        <f t="shared" si="17"/>
        <v>F010</v>
      </c>
      <c r="Q911" s="1" t="s">
        <v>137</v>
      </c>
      <c r="S911" s="16">
        <v>20</v>
      </c>
      <c r="T911" s="1" t="s">
        <v>2842</v>
      </c>
      <c r="U911" s="1" t="s">
        <v>1468</v>
      </c>
      <c r="V911" s="1" t="s">
        <v>1634</v>
      </c>
      <c r="Y911" s="1">
        <v>6239.32</v>
      </c>
      <c r="AB911" s="1">
        <v>3015.99</v>
      </c>
    </row>
    <row r="912" spans="2:28" x14ac:dyDescent="0.2">
      <c r="B912" s="30" t="s">
        <v>2294</v>
      </c>
      <c r="C912" s="36"/>
      <c r="D912" s="36"/>
      <c r="F912" s="1" t="s">
        <v>2843</v>
      </c>
      <c r="G912" s="30" t="s">
        <v>2895</v>
      </c>
      <c r="K912" s="1" t="s">
        <v>2896</v>
      </c>
      <c r="L912" s="1" t="s">
        <v>1279</v>
      </c>
      <c r="M912" s="36" t="s">
        <v>2072</v>
      </c>
      <c r="N912" s="1" t="s">
        <v>1658</v>
      </c>
      <c r="O912" s="1" t="s">
        <v>1286</v>
      </c>
      <c r="P912" s="34" t="str">
        <f t="shared" si="17"/>
        <v>F010</v>
      </c>
      <c r="Q912" s="1" t="s">
        <v>127</v>
      </c>
      <c r="S912" s="16">
        <v>20</v>
      </c>
      <c r="T912" s="1" t="s">
        <v>2842</v>
      </c>
      <c r="U912" s="1" t="s">
        <v>1686</v>
      </c>
      <c r="V912" s="1" t="s">
        <v>1574</v>
      </c>
      <c r="Y912" s="1">
        <v>3119.66</v>
      </c>
      <c r="AB912" s="1">
        <v>1060.67</v>
      </c>
    </row>
    <row r="913" spans="2:28" x14ac:dyDescent="0.2">
      <c r="B913" s="30" t="s">
        <v>2294</v>
      </c>
      <c r="C913" s="36"/>
      <c r="D913" s="36"/>
      <c r="F913" s="1" t="s">
        <v>2843</v>
      </c>
      <c r="G913" s="30" t="s">
        <v>2895</v>
      </c>
      <c r="K913" s="1" t="s">
        <v>2897</v>
      </c>
      <c r="L913" s="1" t="s">
        <v>1279</v>
      </c>
      <c r="M913" s="36" t="s">
        <v>2072</v>
      </c>
      <c r="N913" s="1" t="s">
        <v>1658</v>
      </c>
      <c r="O913" s="1" t="s">
        <v>1286</v>
      </c>
      <c r="P913" s="34" t="str">
        <f t="shared" si="17"/>
        <v>F010</v>
      </c>
      <c r="Q913" s="1" t="s">
        <v>127</v>
      </c>
      <c r="S913" s="16">
        <v>20</v>
      </c>
      <c r="T913" s="1" t="s">
        <v>2842</v>
      </c>
      <c r="U913" s="1" t="s">
        <v>1686</v>
      </c>
      <c r="V913" s="1" t="s">
        <v>1574</v>
      </c>
      <c r="Y913" s="1">
        <v>3119.66</v>
      </c>
      <c r="AB913" s="1">
        <v>1060.67</v>
      </c>
    </row>
    <row r="914" spans="2:28" x14ac:dyDescent="0.2">
      <c r="B914" s="30" t="s">
        <v>2294</v>
      </c>
      <c r="C914" s="36"/>
      <c r="D914" s="36"/>
      <c r="F914" s="1" t="s">
        <v>2843</v>
      </c>
      <c r="G914" s="30" t="s">
        <v>2895</v>
      </c>
      <c r="K914" s="1" t="s">
        <v>2898</v>
      </c>
      <c r="L914" s="1" t="s">
        <v>1279</v>
      </c>
      <c r="M914" s="36" t="s">
        <v>2072</v>
      </c>
      <c r="N914" s="1" t="s">
        <v>1658</v>
      </c>
      <c r="O914" s="1" t="s">
        <v>1286</v>
      </c>
      <c r="P914" s="34" t="str">
        <f t="shared" si="17"/>
        <v>F010</v>
      </c>
      <c r="Q914" s="1" t="s">
        <v>127</v>
      </c>
      <c r="S914" s="16">
        <v>20</v>
      </c>
      <c r="T914" s="1" t="s">
        <v>2842</v>
      </c>
      <c r="U914" s="1" t="s">
        <v>1686</v>
      </c>
      <c r="V914" s="1" t="s">
        <v>1574</v>
      </c>
      <c r="Y914" s="1">
        <v>3119.66</v>
      </c>
      <c r="AB914" s="1">
        <v>1060.67</v>
      </c>
    </row>
    <row r="915" spans="2:28" x14ac:dyDescent="0.2">
      <c r="B915" s="30" t="s">
        <v>2294</v>
      </c>
      <c r="C915" s="36"/>
      <c r="D915" s="36"/>
      <c r="F915" s="1" t="s">
        <v>2843</v>
      </c>
      <c r="G915" s="30" t="s">
        <v>2895</v>
      </c>
      <c r="K915" s="1" t="s">
        <v>2899</v>
      </c>
      <c r="L915" s="1" t="s">
        <v>1279</v>
      </c>
      <c r="M915" s="36" t="s">
        <v>2072</v>
      </c>
      <c r="N915" s="1" t="s">
        <v>1658</v>
      </c>
      <c r="O915" s="1" t="s">
        <v>1286</v>
      </c>
      <c r="P915" s="34" t="str">
        <f t="shared" si="17"/>
        <v>F010</v>
      </c>
      <c r="Q915" s="1" t="s">
        <v>127</v>
      </c>
      <c r="S915" s="16">
        <v>20</v>
      </c>
      <c r="T915" s="1" t="s">
        <v>2842</v>
      </c>
      <c r="U915" s="1" t="s">
        <v>1686</v>
      </c>
      <c r="V915" s="1" t="s">
        <v>1574</v>
      </c>
      <c r="Y915" s="1">
        <v>3119.66</v>
      </c>
      <c r="AB915" s="1">
        <v>1060.67</v>
      </c>
    </row>
    <row r="916" spans="2:28" x14ac:dyDescent="0.2">
      <c r="B916" s="30" t="s">
        <v>2294</v>
      </c>
      <c r="C916" s="36"/>
      <c r="D916" s="36"/>
      <c r="F916" s="1" t="s">
        <v>2843</v>
      </c>
      <c r="G916" s="30" t="s">
        <v>2895</v>
      </c>
      <c r="K916" s="1" t="s">
        <v>2900</v>
      </c>
      <c r="L916" s="1" t="s">
        <v>1279</v>
      </c>
      <c r="M916" s="36" t="s">
        <v>2072</v>
      </c>
      <c r="N916" s="1" t="s">
        <v>1658</v>
      </c>
      <c r="O916" s="1" t="s">
        <v>1286</v>
      </c>
      <c r="P916" s="34" t="str">
        <f t="shared" si="17"/>
        <v>F010</v>
      </c>
      <c r="Q916" s="1" t="s">
        <v>127</v>
      </c>
      <c r="S916" s="16">
        <v>20</v>
      </c>
      <c r="T916" s="1" t="s">
        <v>2842</v>
      </c>
      <c r="U916" s="1" t="s">
        <v>1686</v>
      </c>
      <c r="V916" s="1" t="s">
        <v>1574</v>
      </c>
      <c r="Y916" s="1">
        <v>3119.66</v>
      </c>
      <c r="AB916" s="1">
        <v>1060.67</v>
      </c>
    </row>
    <row r="917" spans="2:28" x14ac:dyDescent="0.2">
      <c r="B917" s="30" t="s">
        <v>2294</v>
      </c>
      <c r="C917" s="36"/>
      <c r="D917" s="36"/>
      <c r="F917" s="1" t="s">
        <v>2843</v>
      </c>
      <c r="G917" s="30" t="s">
        <v>2895</v>
      </c>
      <c r="K917" s="1" t="s">
        <v>2901</v>
      </c>
      <c r="L917" s="1" t="s">
        <v>1279</v>
      </c>
      <c r="M917" s="36" t="s">
        <v>2072</v>
      </c>
      <c r="N917" s="1" t="s">
        <v>1658</v>
      </c>
      <c r="O917" s="1" t="s">
        <v>1286</v>
      </c>
      <c r="P917" s="34" t="str">
        <f t="shared" si="17"/>
        <v>F010</v>
      </c>
      <c r="Q917" s="1" t="s">
        <v>127</v>
      </c>
      <c r="S917" s="16">
        <v>20</v>
      </c>
      <c r="T917" s="1" t="s">
        <v>2842</v>
      </c>
      <c r="U917" s="1" t="s">
        <v>1686</v>
      </c>
      <c r="V917" s="1" t="s">
        <v>1574</v>
      </c>
      <c r="Y917" s="1">
        <v>3119.66</v>
      </c>
      <c r="AB917" s="1">
        <v>1060.67</v>
      </c>
    </row>
    <row r="918" spans="2:28" x14ac:dyDescent="0.2">
      <c r="B918" s="30" t="s">
        <v>2294</v>
      </c>
      <c r="C918" s="36"/>
      <c r="D918" s="36"/>
      <c r="F918" s="1" t="s">
        <v>2843</v>
      </c>
      <c r="G918" s="30" t="s">
        <v>2895</v>
      </c>
      <c r="K918" s="1" t="s">
        <v>2902</v>
      </c>
      <c r="L918" s="1" t="s">
        <v>1279</v>
      </c>
      <c r="M918" s="36" t="s">
        <v>2072</v>
      </c>
      <c r="N918" s="1" t="s">
        <v>1658</v>
      </c>
      <c r="O918" s="1" t="s">
        <v>1286</v>
      </c>
      <c r="P918" s="34" t="str">
        <f t="shared" si="17"/>
        <v>F010</v>
      </c>
      <c r="Q918" s="1" t="s">
        <v>127</v>
      </c>
      <c r="S918" s="16">
        <v>20</v>
      </c>
      <c r="T918" s="1" t="s">
        <v>2842</v>
      </c>
      <c r="U918" s="1" t="s">
        <v>1686</v>
      </c>
      <c r="V918" s="1" t="s">
        <v>1574</v>
      </c>
      <c r="Y918" s="1">
        <v>3119.66</v>
      </c>
      <c r="AB918" s="1">
        <v>1060.67</v>
      </c>
    </row>
    <row r="919" spans="2:28" x14ac:dyDescent="0.2">
      <c r="B919" s="30" t="s">
        <v>2294</v>
      </c>
      <c r="C919" s="36"/>
      <c r="D919" s="36"/>
      <c r="F919" s="1" t="s">
        <v>2843</v>
      </c>
      <c r="G919" s="30" t="s">
        <v>2895</v>
      </c>
      <c r="K919" s="1" t="s">
        <v>2903</v>
      </c>
      <c r="L919" s="1" t="s">
        <v>1279</v>
      </c>
      <c r="M919" s="36" t="s">
        <v>2072</v>
      </c>
      <c r="N919" s="1" t="s">
        <v>1658</v>
      </c>
      <c r="O919" s="1" t="s">
        <v>1286</v>
      </c>
      <c r="P919" s="34" t="str">
        <f t="shared" si="17"/>
        <v>F010</v>
      </c>
      <c r="Q919" s="1" t="s">
        <v>127</v>
      </c>
      <c r="S919" s="16">
        <v>20</v>
      </c>
      <c r="T919" s="1" t="s">
        <v>2842</v>
      </c>
      <c r="U919" s="1" t="s">
        <v>1686</v>
      </c>
      <c r="V919" s="1" t="s">
        <v>1574</v>
      </c>
      <c r="Y919" s="1">
        <v>3119.66</v>
      </c>
      <c r="AB919" s="1">
        <v>1060.67</v>
      </c>
    </row>
    <row r="920" spans="2:28" x14ac:dyDescent="0.2">
      <c r="B920" s="30" t="s">
        <v>2294</v>
      </c>
      <c r="C920" s="36"/>
      <c r="D920" s="36"/>
      <c r="F920" s="1" t="s">
        <v>2843</v>
      </c>
      <c r="G920" s="30" t="s">
        <v>2895</v>
      </c>
      <c r="K920" s="1" t="s">
        <v>2904</v>
      </c>
      <c r="L920" s="1" t="s">
        <v>1279</v>
      </c>
      <c r="M920" s="36" t="s">
        <v>2072</v>
      </c>
      <c r="N920" s="1" t="s">
        <v>1658</v>
      </c>
      <c r="O920" s="1" t="s">
        <v>1286</v>
      </c>
      <c r="P920" s="34" t="str">
        <f t="shared" si="17"/>
        <v>F010</v>
      </c>
      <c r="Q920" s="1" t="s">
        <v>127</v>
      </c>
      <c r="S920" s="16">
        <v>20</v>
      </c>
      <c r="T920" s="1" t="s">
        <v>2842</v>
      </c>
      <c r="U920" s="1" t="s">
        <v>1686</v>
      </c>
      <c r="V920" s="1" t="s">
        <v>1574</v>
      </c>
      <c r="Y920" s="1">
        <v>3119.66</v>
      </c>
      <c r="AB920" s="1">
        <v>1060.67</v>
      </c>
    </row>
    <row r="921" spans="2:28" x14ac:dyDescent="0.2">
      <c r="B921" s="30" t="s">
        <v>2294</v>
      </c>
      <c r="C921" s="36"/>
      <c r="D921" s="36"/>
      <c r="F921" s="1" t="s">
        <v>2843</v>
      </c>
      <c r="G921" s="30" t="s">
        <v>2895</v>
      </c>
      <c r="K921" s="1" t="s">
        <v>2905</v>
      </c>
      <c r="L921" s="1" t="s">
        <v>1279</v>
      </c>
      <c r="M921" s="36" t="s">
        <v>2072</v>
      </c>
      <c r="N921" s="1" t="s">
        <v>1658</v>
      </c>
      <c r="O921" s="1" t="s">
        <v>1286</v>
      </c>
      <c r="P921" s="34" t="str">
        <f t="shared" si="17"/>
        <v>F010</v>
      </c>
      <c r="Q921" s="1" t="s">
        <v>127</v>
      </c>
      <c r="S921" s="16">
        <v>20</v>
      </c>
      <c r="T921" s="1" t="s">
        <v>2842</v>
      </c>
      <c r="U921" s="1" t="s">
        <v>1686</v>
      </c>
      <c r="V921" s="1" t="s">
        <v>1574</v>
      </c>
      <c r="Y921" s="1">
        <v>3119.66</v>
      </c>
      <c r="AB921" s="1">
        <v>1060.67</v>
      </c>
    </row>
    <row r="922" spans="2:28" x14ac:dyDescent="0.2">
      <c r="B922" s="30" t="s">
        <v>2294</v>
      </c>
      <c r="C922" s="36"/>
      <c r="D922" s="36"/>
      <c r="F922" s="1" t="s">
        <v>2843</v>
      </c>
      <c r="G922" s="30" t="s">
        <v>2895</v>
      </c>
      <c r="K922" s="1" t="s">
        <v>2906</v>
      </c>
      <c r="L922" s="1" t="s">
        <v>1279</v>
      </c>
      <c r="M922" s="36" t="s">
        <v>2072</v>
      </c>
      <c r="N922" s="1" t="s">
        <v>1658</v>
      </c>
      <c r="O922" s="1" t="s">
        <v>1286</v>
      </c>
      <c r="P922" s="34" t="str">
        <f t="shared" si="17"/>
        <v>F010</v>
      </c>
      <c r="Q922" s="1" t="s">
        <v>127</v>
      </c>
      <c r="S922" s="16">
        <v>20</v>
      </c>
      <c r="T922" s="1" t="s">
        <v>2842</v>
      </c>
      <c r="U922" s="1" t="s">
        <v>1686</v>
      </c>
      <c r="V922" s="1" t="s">
        <v>1574</v>
      </c>
      <c r="Y922" s="1">
        <v>3119.66</v>
      </c>
      <c r="AB922" s="1">
        <v>1060.67</v>
      </c>
    </row>
    <row r="923" spans="2:28" x14ac:dyDescent="0.2">
      <c r="B923" s="30" t="s">
        <v>2294</v>
      </c>
      <c r="C923" s="36"/>
      <c r="D923" s="36"/>
      <c r="F923" s="1" t="s">
        <v>2843</v>
      </c>
      <c r="G923" s="30" t="s">
        <v>2895</v>
      </c>
      <c r="K923" s="1" t="s">
        <v>2907</v>
      </c>
      <c r="L923" s="1" t="s">
        <v>1279</v>
      </c>
      <c r="M923" s="36" t="s">
        <v>2072</v>
      </c>
      <c r="N923" s="1" t="s">
        <v>1658</v>
      </c>
      <c r="O923" s="1" t="s">
        <v>1286</v>
      </c>
      <c r="P923" s="34" t="str">
        <f t="shared" si="17"/>
        <v>F010</v>
      </c>
      <c r="Q923" s="1" t="s">
        <v>127</v>
      </c>
      <c r="S923" s="16">
        <v>20</v>
      </c>
      <c r="T923" s="1" t="s">
        <v>2842</v>
      </c>
      <c r="U923" s="1" t="s">
        <v>1686</v>
      </c>
      <c r="V923" s="1" t="s">
        <v>1574</v>
      </c>
      <c r="Y923" s="1">
        <v>3119.66</v>
      </c>
      <c r="AB923" s="1">
        <v>1060.67</v>
      </c>
    </row>
    <row r="924" spans="2:28" x14ac:dyDescent="0.2">
      <c r="B924" s="30" t="s">
        <v>2294</v>
      </c>
      <c r="C924" s="36"/>
      <c r="D924" s="36"/>
      <c r="F924" s="1" t="s">
        <v>2843</v>
      </c>
      <c r="G924" s="30" t="s">
        <v>2895</v>
      </c>
      <c r="K924" s="1" t="s">
        <v>2908</v>
      </c>
      <c r="L924" s="1" t="s">
        <v>1279</v>
      </c>
      <c r="M924" s="36" t="s">
        <v>2072</v>
      </c>
      <c r="N924" s="1" t="s">
        <v>1658</v>
      </c>
      <c r="O924" s="1" t="s">
        <v>1286</v>
      </c>
      <c r="P924" s="34" t="str">
        <f t="shared" si="17"/>
        <v>F010</v>
      </c>
      <c r="Q924" s="1" t="s">
        <v>127</v>
      </c>
      <c r="S924" s="16">
        <v>20</v>
      </c>
      <c r="T924" s="1" t="s">
        <v>2842</v>
      </c>
      <c r="U924" s="1" t="s">
        <v>1686</v>
      </c>
      <c r="V924" s="1" t="s">
        <v>1574</v>
      </c>
      <c r="Y924" s="1">
        <v>3119.66</v>
      </c>
      <c r="AB924" s="1">
        <v>1060.67</v>
      </c>
    </row>
    <row r="925" spans="2:28" x14ac:dyDescent="0.2">
      <c r="B925" s="30" t="s">
        <v>2294</v>
      </c>
      <c r="C925" s="36"/>
      <c r="D925" s="36"/>
      <c r="F925" s="1" t="s">
        <v>2843</v>
      </c>
      <c r="G925" s="30" t="s">
        <v>2895</v>
      </c>
      <c r="K925" s="1" t="s">
        <v>2909</v>
      </c>
      <c r="L925" s="1" t="s">
        <v>1279</v>
      </c>
      <c r="M925" s="36" t="s">
        <v>2072</v>
      </c>
      <c r="N925" s="1" t="s">
        <v>1708</v>
      </c>
      <c r="O925" s="1" t="s">
        <v>1286</v>
      </c>
      <c r="P925" s="34" t="str">
        <f t="shared" si="17"/>
        <v>F010</v>
      </c>
      <c r="Q925" s="1" t="s">
        <v>127</v>
      </c>
      <c r="S925" s="16">
        <v>20</v>
      </c>
      <c r="T925" s="1" t="s">
        <v>2842</v>
      </c>
      <c r="U925" s="1" t="s">
        <v>1686</v>
      </c>
      <c r="V925" s="1" t="s">
        <v>1574</v>
      </c>
      <c r="Y925" s="1">
        <v>3119.66</v>
      </c>
      <c r="AB925" s="1">
        <v>1060.67</v>
      </c>
    </row>
    <row r="926" spans="2:28" x14ac:dyDescent="0.2">
      <c r="B926" s="30" t="s">
        <v>2294</v>
      </c>
      <c r="C926" s="36"/>
      <c r="D926" s="36"/>
      <c r="F926" s="1" t="s">
        <v>2843</v>
      </c>
      <c r="G926" s="30" t="s">
        <v>2895</v>
      </c>
      <c r="K926" s="1" t="s">
        <v>2910</v>
      </c>
      <c r="L926" s="1" t="s">
        <v>1279</v>
      </c>
      <c r="M926" s="36" t="s">
        <v>2072</v>
      </c>
      <c r="N926" s="1" t="s">
        <v>1573</v>
      </c>
      <c r="O926" s="1" t="s">
        <v>1286</v>
      </c>
      <c r="P926" s="34" t="str">
        <f t="shared" si="17"/>
        <v>F010</v>
      </c>
      <c r="Q926" s="1" t="s">
        <v>127</v>
      </c>
      <c r="S926" s="16">
        <v>20</v>
      </c>
      <c r="T926" s="1" t="s">
        <v>2842</v>
      </c>
      <c r="U926" s="1" t="s">
        <v>1686</v>
      </c>
      <c r="V926" s="1" t="s">
        <v>1574</v>
      </c>
      <c r="Y926" s="1">
        <v>3119.66</v>
      </c>
      <c r="AB926" s="1">
        <v>1060.67</v>
      </c>
    </row>
    <row r="927" spans="2:28" x14ac:dyDescent="0.2">
      <c r="B927" s="30" t="s">
        <v>2294</v>
      </c>
      <c r="C927" s="36"/>
      <c r="D927" s="36"/>
      <c r="F927" s="1" t="s">
        <v>2843</v>
      </c>
      <c r="G927" s="30" t="s">
        <v>2895</v>
      </c>
      <c r="K927" s="1" t="s">
        <v>2911</v>
      </c>
      <c r="L927" s="1" t="s">
        <v>1279</v>
      </c>
      <c r="M927" s="36" t="s">
        <v>2072</v>
      </c>
      <c r="N927" s="1" t="s">
        <v>1708</v>
      </c>
      <c r="O927" s="1" t="s">
        <v>1286</v>
      </c>
      <c r="P927" s="34" t="str">
        <f t="shared" si="17"/>
        <v>F010</v>
      </c>
      <c r="Q927" s="1" t="s">
        <v>127</v>
      </c>
      <c r="S927" s="16">
        <v>20</v>
      </c>
      <c r="T927" s="1" t="s">
        <v>2842</v>
      </c>
      <c r="U927" s="1" t="s">
        <v>1686</v>
      </c>
      <c r="V927" s="1" t="s">
        <v>1574</v>
      </c>
      <c r="Y927" s="1">
        <v>3119.66</v>
      </c>
      <c r="AB927" s="1">
        <v>1060.67</v>
      </c>
    </row>
    <row r="928" spans="2:28" x14ac:dyDescent="0.2">
      <c r="B928" s="30" t="s">
        <v>2294</v>
      </c>
      <c r="C928" s="36"/>
      <c r="D928" s="36"/>
      <c r="F928" s="1" t="s">
        <v>2843</v>
      </c>
      <c r="G928" s="30" t="s">
        <v>2912</v>
      </c>
      <c r="K928" s="1" t="s">
        <v>2913</v>
      </c>
      <c r="L928" s="1" t="s">
        <v>1279</v>
      </c>
      <c r="M928" s="36" t="s">
        <v>1990</v>
      </c>
      <c r="N928" s="1" t="s">
        <v>2914</v>
      </c>
      <c r="O928" s="1" t="s">
        <v>1286</v>
      </c>
      <c r="P928" s="34" t="str">
        <f t="shared" si="17"/>
        <v>F010</v>
      </c>
      <c r="Q928" s="1" t="s">
        <v>127</v>
      </c>
      <c r="S928" s="16">
        <v>20</v>
      </c>
      <c r="T928" s="1" t="s">
        <v>2842</v>
      </c>
      <c r="U928" s="1" t="s">
        <v>2368</v>
      </c>
      <c r="V928" s="1" t="s">
        <v>2369</v>
      </c>
      <c r="Y928" s="1">
        <v>3650</v>
      </c>
      <c r="AB928" s="1">
        <v>192.64</v>
      </c>
    </row>
    <row r="929" spans="2:28" x14ac:dyDescent="0.2">
      <c r="B929" s="30" t="s">
        <v>2294</v>
      </c>
      <c r="C929" s="36"/>
      <c r="D929" s="36"/>
      <c r="F929" s="1" t="s">
        <v>2843</v>
      </c>
      <c r="G929" s="30" t="s">
        <v>2912</v>
      </c>
      <c r="K929" s="1" t="s">
        <v>2915</v>
      </c>
      <c r="L929" s="1" t="s">
        <v>1279</v>
      </c>
      <c r="M929" s="36" t="s">
        <v>1990</v>
      </c>
      <c r="N929" s="1" t="s">
        <v>1286</v>
      </c>
      <c r="O929" s="1" t="s">
        <v>1286</v>
      </c>
      <c r="P929" s="34" t="str">
        <f t="shared" si="17"/>
        <v>F010</v>
      </c>
      <c r="Q929" s="1" t="s">
        <v>138</v>
      </c>
      <c r="S929" s="16">
        <v>20</v>
      </c>
      <c r="T929" s="1" t="s">
        <v>2842</v>
      </c>
      <c r="U929" s="1" t="s">
        <v>2368</v>
      </c>
      <c r="V929" s="1" t="s">
        <v>2369</v>
      </c>
      <c r="Y929" s="1">
        <v>3650</v>
      </c>
      <c r="AB929" s="1">
        <v>192.64</v>
      </c>
    </row>
    <row r="930" spans="2:28" x14ac:dyDescent="0.2">
      <c r="B930" s="30" t="s">
        <v>2294</v>
      </c>
      <c r="C930" s="36"/>
      <c r="D930" s="36"/>
      <c r="F930" s="1" t="s">
        <v>2843</v>
      </c>
      <c r="G930" s="30" t="s">
        <v>2912</v>
      </c>
      <c r="K930" s="1" t="s">
        <v>2916</v>
      </c>
      <c r="L930" s="1" t="s">
        <v>1279</v>
      </c>
      <c r="M930" s="36" t="s">
        <v>1990</v>
      </c>
      <c r="N930" s="1" t="s">
        <v>1286</v>
      </c>
      <c r="O930" s="1" t="s">
        <v>1286</v>
      </c>
      <c r="P930" s="34" t="str">
        <f t="shared" si="17"/>
        <v>F010</v>
      </c>
      <c r="Q930" s="1" t="s">
        <v>138</v>
      </c>
      <c r="S930" s="16">
        <v>20</v>
      </c>
      <c r="T930" s="1" t="s">
        <v>2842</v>
      </c>
      <c r="U930" s="1" t="s">
        <v>2368</v>
      </c>
      <c r="V930" s="1" t="s">
        <v>2369</v>
      </c>
      <c r="Y930" s="1">
        <v>3650</v>
      </c>
      <c r="AB930" s="1">
        <v>192.64</v>
      </c>
    </row>
    <row r="931" spans="2:28" x14ac:dyDescent="0.2">
      <c r="B931" s="30" t="s">
        <v>2294</v>
      </c>
      <c r="C931" s="36"/>
      <c r="D931" s="36"/>
      <c r="F931" s="1" t="s">
        <v>2843</v>
      </c>
      <c r="G931" s="30" t="s">
        <v>2912</v>
      </c>
      <c r="K931" s="1" t="s">
        <v>2917</v>
      </c>
      <c r="L931" s="1" t="s">
        <v>1279</v>
      </c>
      <c r="M931" s="36" t="s">
        <v>1990</v>
      </c>
      <c r="N931" s="1" t="s">
        <v>1614</v>
      </c>
      <c r="O931" s="1" t="s">
        <v>1286</v>
      </c>
      <c r="P931" s="34" t="str">
        <f t="shared" si="17"/>
        <v>F010</v>
      </c>
      <c r="Q931" s="1" t="s">
        <v>137</v>
      </c>
      <c r="S931" s="16">
        <v>20</v>
      </c>
      <c r="T931" s="1" t="s">
        <v>2842</v>
      </c>
      <c r="U931" s="1" t="s">
        <v>2368</v>
      </c>
      <c r="V931" s="1" t="s">
        <v>2369</v>
      </c>
      <c r="Y931" s="1">
        <v>3650</v>
      </c>
      <c r="AB931" s="1">
        <v>192.64</v>
      </c>
    </row>
    <row r="932" spans="2:28" x14ac:dyDescent="0.2">
      <c r="B932" s="30" t="s">
        <v>2294</v>
      </c>
      <c r="C932" s="36"/>
      <c r="D932" s="36"/>
      <c r="F932" s="1" t="s">
        <v>2843</v>
      </c>
      <c r="G932" s="30" t="s">
        <v>2912</v>
      </c>
      <c r="K932" s="1" t="s">
        <v>2918</v>
      </c>
      <c r="L932" s="1" t="s">
        <v>1279</v>
      </c>
      <c r="M932" s="36" t="s">
        <v>1990</v>
      </c>
      <c r="N932" s="1" t="s">
        <v>1614</v>
      </c>
      <c r="O932" s="1" t="s">
        <v>1286</v>
      </c>
      <c r="P932" s="34" t="str">
        <f t="shared" si="17"/>
        <v>F010</v>
      </c>
      <c r="Q932" s="1" t="s">
        <v>137</v>
      </c>
      <c r="S932" s="16">
        <v>20</v>
      </c>
      <c r="T932" s="1" t="s">
        <v>2842</v>
      </c>
      <c r="U932" s="1" t="s">
        <v>2368</v>
      </c>
      <c r="V932" s="1" t="s">
        <v>2369</v>
      </c>
      <c r="Y932" s="1">
        <v>3650</v>
      </c>
      <c r="AB932" s="1">
        <v>192.64</v>
      </c>
    </row>
    <row r="933" spans="2:28" x14ac:dyDescent="0.2">
      <c r="B933" s="30" t="s">
        <v>2294</v>
      </c>
      <c r="C933" s="36"/>
      <c r="D933" s="36"/>
      <c r="F933" s="1" t="s">
        <v>2843</v>
      </c>
      <c r="G933" s="30" t="s">
        <v>2912</v>
      </c>
      <c r="K933" s="1" t="s">
        <v>2919</v>
      </c>
      <c r="L933" s="1" t="s">
        <v>1279</v>
      </c>
      <c r="M933" s="36" t="s">
        <v>1990</v>
      </c>
      <c r="N933" s="1" t="s">
        <v>1614</v>
      </c>
      <c r="O933" s="1" t="s">
        <v>1286</v>
      </c>
      <c r="P933" s="34" t="str">
        <f t="shared" si="17"/>
        <v>F010</v>
      </c>
      <c r="Q933" s="1" t="s">
        <v>137</v>
      </c>
      <c r="S933" s="16">
        <v>20</v>
      </c>
      <c r="T933" s="1" t="s">
        <v>2842</v>
      </c>
      <c r="U933" s="1" t="s">
        <v>2368</v>
      </c>
      <c r="V933" s="1" t="s">
        <v>2369</v>
      </c>
      <c r="Y933" s="1">
        <v>3650</v>
      </c>
      <c r="AB933" s="1">
        <v>192.64</v>
      </c>
    </row>
    <row r="934" spans="2:28" x14ac:dyDescent="0.2">
      <c r="B934" s="30" t="s">
        <v>2294</v>
      </c>
      <c r="C934" s="36"/>
      <c r="D934" s="36"/>
      <c r="F934" s="1" t="s">
        <v>2843</v>
      </c>
      <c r="G934" s="30" t="s">
        <v>2912</v>
      </c>
      <c r="K934" s="1" t="s">
        <v>2920</v>
      </c>
      <c r="L934" s="1" t="s">
        <v>1279</v>
      </c>
      <c r="M934" s="36" t="s">
        <v>1990</v>
      </c>
      <c r="N934" s="1" t="s">
        <v>1614</v>
      </c>
      <c r="O934" s="1" t="s">
        <v>1286</v>
      </c>
      <c r="P934" s="34" t="str">
        <f t="shared" si="17"/>
        <v>F010</v>
      </c>
      <c r="Q934" s="1" t="s">
        <v>137</v>
      </c>
      <c r="S934" s="16">
        <v>20</v>
      </c>
      <c r="T934" s="1" t="s">
        <v>2842</v>
      </c>
      <c r="U934" s="1" t="s">
        <v>2368</v>
      </c>
      <c r="V934" s="1" t="s">
        <v>2369</v>
      </c>
      <c r="Y934" s="1">
        <v>3650</v>
      </c>
      <c r="AB934" s="1">
        <v>192.64</v>
      </c>
    </row>
    <row r="935" spans="2:28" x14ac:dyDescent="0.2">
      <c r="B935" s="30" t="s">
        <v>2294</v>
      </c>
      <c r="C935" s="36"/>
      <c r="D935" s="36"/>
      <c r="F935" s="1" t="s">
        <v>2843</v>
      </c>
      <c r="G935" s="30" t="s">
        <v>2912</v>
      </c>
      <c r="K935" s="1" t="s">
        <v>2921</v>
      </c>
      <c r="L935" s="1" t="s">
        <v>1279</v>
      </c>
      <c r="M935" s="36" t="s">
        <v>1990</v>
      </c>
      <c r="N935" s="1" t="s">
        <v>1614</v>
      </c>
      <c r="O935" s="1" t="s">
        <v>1286</v>
      </c>
      <c r="P935" s="34" t="str">
        <f t="shared" si="17"/>
        <v>F010</v>
      </c>
      <c r="Q935" s="1" t="s">
        <v>137</v>
      </c>
      <c r="S935" s="16">
        <v>20</v>
      </c>
      <c r="T935" s="1" t="s">
        <v>2842</v>
      </c>
      <c r="U935" s="1" t="s">
        <v>2368</v>
      </c>
      <c r="V935" s="1" t="s">
        <v>2369</v>
      </c>
      <c r="Y935" s="1">
        <v>3650</v>
      </c>
      <c r="AB935" s="1">
        <v>192.64</v>
      </c>
    </row>
    <row r="936" spans="2:28" x14ac:dyDescent="0.2">
      <c r="B936" s="30" t="s">
        <v>2294</v>
      </c>
      <c r="C936" s="36"/>
      <c r="D936" s="36"/>
      <c r="F936" s="1" t="s">
        <v>2843</v>
      </c>
      <c r="G936" s="30" t="s">
        <v>2912</v>
      </c>
      <c r="K936" s="1" t="s">
        <v>2922</v>
      </c>
      <c r="L936" s="1" t="s">
        <v>1279</v>
      </c>
      <c r="M936" s="36" t="s">
        <v>1990</v>
      </c>
      <c r="N936" s="1" t="s">
        <v>1614</v>
      </c>
      <c r="O936" s="1" t="s">
        <v>1286</v>
      </c>
      <c r="P936" s="34" t="str">
        <f t="shared" si="17"/>
        <v>F010</v>
      </c>
      <c r="Q936" s="1" t="s">
        <v>137</v>
      </c>
      <c r="S936" s="16">
        <v>20</v>
      </c>
      <c r="T936" s="1" t="s">
        <v>2842</v>
      </c>
      <c r="U936" s="1" t="s">
        <v>2368</v>
      </c>
      <c r="V936" s="1" t="s">
        <v>2369</v>
      </c>
      <c r="Y936" s="1">
        <v>3650</v>
      </c>
      <c r="AB936" s="1">
        <v>192.64</v>
      </c>
    </row>
    <row r="937" spans="2:28" x14ac:dyDescent="0.2">
      <c r="B937" s="30" t="s">
        <v>2294</v>
      </c>
      <c r="C937" s="36"/>
      <c r="D937" s="36"/>
      <c r="F937" s="1" t="s">
        <v>2843</v>
      </c>
      <c r="G937" s="30" t="s">
        <v>2923</v>
      </c>
      <c r="K937" s="1" t="s">
        <v>2924</v>
      </c>
      <c r="L937" s="1" t="s">
        <v>1279</v>
      </c>
      <c r="M937" s="36" t="s">
        <v>1463</v>
      </c>
      <c r="N937" s="1" t="s">
        <v>2925</v>
      </c>
      <c r="O937" s="1" t="s">
        <v>1286</v>
      </c>
      <c r="P937" s="34" t="str">
        <f t="shared" si="17"/>
        <v>F010</v>
      </c>
      <c r="Q937" s="1" t="s">
        <v>137</v>
      </c>
      <c r="S937" s="16">
        <v>20</v>
      </c>
      <c r="T937" s="1" t="s">
        <v>2842</v>
      </c>
      <c r="U937" s="1" t="s">
        <v>1480</v>
      </c>
      <c r="V937" s="1" t="s">
        <v>1696</v>
      </c>
      <c r="Y937" s="1">
        <v>2948.72</v>
      </c>
      <c r="AB937" s="1">
        <v>1244.99</v>
      </c>
    </row>
    <row r="938" spans="2:28" x14ac:dyDescent="0.2">
      <c r="B938" s="30" t="s">
        <v>2294</v>
      </c>
      <c r="C938" s="36"/>
      <c r="D938" s="36"/>
      <c r="F938" s="1" t="s">
        <v>2843</v>
      </c>
      <c r="G938" s="30" t="s">
        <v>2923</v>
      </c>
      <c r="K938" s="1" t="s">
        <v>2926</v>
      </c>
      <c r="L938" s="1" t="s">
        <v>1279</v>
      </c>
      <c r="M938" s="36" t="s">
        <v>1463</v>
      </c>
      <c r="N938" s="1" t="s">
        <v>2925</v>
      </c>
      <c r="O938" s="1" t="s">
        <v>1286</v>
      </c>
      <c r="P938" s="34" t="str">
        <f t="shared" si="17"/>
        <v>F010</v>
      </c>
      <c r="Q938" s="1" t="s">
        <v>137</v>
      </c>
      <c r="S938" s="16">
        <v>20</v>
      </c>
      <c r="T938" s="1" t="s">
        <v>2842</v>
      </c>
      <c r="U938" s="1" t="s">
        <v>1480</v>
      </c>
      <c r="V938" s="1" t="s">
        <v>1696</v>
      </c>
      <c r="Y938" s="1">
        <v>2948.72</v>
      </c>
      <c r="AB938" s="1">
        <v>1244.99</v>
      </c>
    </row>
    <row r="939" spans="2:28" x14ac:dyDescent="0.2">
      <c r="B939" s="30" t="s">
        <v>2294</v>
      </c>
      <c r="C939" s="36"/>
      <c r="D939" s="36"/>
      <c r="F939" s="1" t="s">
        <v>2843</v>
      </c>
      <c r="G939" s="30" t="s">
        <v>2927</v>
      </c>
      <c r="K939" s="1" t="s">
        <v>2928</v>
      </c>
      <c r="L939" s="1" t="s">
        <v>1279</v>
      </c>
      <c r="M939" s="36" t="s">
        <v>1560</v>
      </c>
      <c r="N939" s="1" t="s">
        <v>1837</v>
      </c>
      <c r="O939" s="1" t="s">
        <v>1286</v>
      </c>
      <c r="P939" s="34" t="str">
        <f t="shared" si="17"/>
        <v>F010</v>
      </c>
      <c r="Q939" s="1" t="s">
        <v>127</v>
      </c>
      <c r="S939" s="16">
        <v>20</v>
      </c>
      <c r="T939" s="1" t="s">
        <v>2842</v>
      </c>
      <c r="U939" s="1" t="s">
        <v>1476</v>
      </c>
      <c r="V939" s="1" t="s">
        <v>1569</v>
      </c>
      <c r="Y939" s="1">
        <v>11030</v>
      </c>
      <c r="AB939" s="1">
        <v>1746.42</v>
      </c>
    </row>
    <row r="940" spans="2:28" x14ac:dyDescent="0.2">
      <c r="B940" s="30" t="s">
        <v>2294</v>
      </c>
      <c r="C940" s="36"/>
      <c r="D940" s="36"/>
      <c r="F940" s="1" t="s">
        <v>2843</v>
      </c>
      <c r="G940" s="30" t="s">
        <v>2927</v>
      </c>
      <c r="K940" s="1" t="s">
        <v>2929</v>
      </c>
      <c r="L940" s="1" t="s">
        <v>1279</v>
      </c>
      <c r="M940" s="36" t="s">
        <v>1560</v>
      </c>
      <c r="N940" s="1" t="s">
        <v>1837</v>
      </c>
      <c r="O940" s="1" t="s">
        <v>1286</v>
      </c>
      <c r="P940" s="34" t="str">
        <f t="shared" si="17"/>
        <v>F010</v>
      </c>
      <c r="Q940" s="1" t="s">
        <v>127</v>
      </c>
      <c r="S940" s="16">
        <v>20</v>
      </c>
      <c r="T940" s="1" t="s">
        <v>2842</v>
      </c>
      <c r="U940" s="1" t="s">
        <v>1476</v>
      </c>
      <c r="V940" s="1" t="s">
        <v>1569</v>
      </c>
      <c r="Y940" s="1">
        <v>11030</v>
      </c>
      <c r="AB940" s="1">
        <v>1746.42</v>
      </c>
    </row>
    <row r="941" spans="2:28" x14ac:dyDescent="0.2">
      <c r="B941" s="30" t="s">
        <v>2294</v>
      </c>
      <c r="C941" s="36"/>
      <c r="D941" s="36"/>
      <c r="F941" s="1" t="s">
        <v>2843</v>
      </c>
      <c r="G941" s="30" t="s">
        <v>2930</v>
      </c>
      <c r="K941" s="1" t="s">
        <v>2931</v>
      </c>
      <c r="L941" s="1" t="s">
        <v>1279</v>
      </c>
      <c r="M941" s="36" t="s">
        <v>2072</v>
      </c>
      <c r="N941" s="1" t="s">
        <v>1658</v>
      </c>
      <c r="O941" s="1" t="s">
        <v>1286</v>
      </c>
      <c r="P941" s="34" t="str">
        <f t="shared" si="17"/>
        <v>F010</v>
      </c>
      <c r="Q941" s="1" t="s">
        <v>127</v>
      </c>
      <c r="S941" s="16">
        <v>20</v>
      </c>
      <c r="T941" s="1" t="s">
        <v>2842</v>
      </c>
      <c r="U941" s="1" t="s">
        <v>1686</v>
      </c>
      <c r="V941" s="1" t="s">
        <v>1574</v>
      </c>
      <c r="Y941" s="1">
        <v>6111.11</v>
      </c>
      <c r="AB941" s="1">
        <v>2077.66</v>
      </c>
    </row>
    <row r="942" spans="2:28" x14ac:dyDescent="0.2">
      <c r="B942" s="30" t="s">
        <v>2294</v>
      </c>
      <c r="C942" s="36"/>
      <c r="D942" s="36"/>
      <c r="F942" s="1" t="s">
        <v>2843</v>
      </c>
      <c r="G942" s="30" t="s">
        <v>2932</v>
      </c>
      <c r="K942" s="1" t="s">
        <v>2933</v>
      </c>
      <c r="L942" s="1" t="s">
        <v>1279</v>
      </c>
      <c r="M942" s="36" t="s">
        <v>1990</v>
      </c>
      <c r="N942" s="1" t="s">
        <v>2934</v>
      </c>
      <c r="O942" s="1" t="s">
        <v>1286</v>
      </c>
      <c r="P942" s="34" t="str">
        <f t="shared" si="17"/>
        <v>F010</v>
      </c>
      <c r="Q942" s="1" t="s">
        <v>127</v>
      </c>
      <c r="S942" s="16">
        <v>20</v>
      </c>
      <c r="T942" s="1" t="s">
        <v>2842</v>
      </c>
      <c r="U942" s="1" t="s">
        <v>2368</v>
      </c>
      <c r="V942" s="1" t="s">
        <v>2369</v>
      </c>
      <c r="Y942" s="1">
        <v>7240</v>
      </c>
      <c r="AB942" s="1">
        <v>382.12</v>
      </c>
    </row>
    <row r="943" spans="2:28" x14ac:dyDescent="0.2">
      <c r="B943" s="30" t="s">
        <v>2294</v>
      </c>
      <c r="C943" s="36"/>
      <c r="D943" s="36"/>
      <c r="F943" s="1" t="s">
        <v>2843</v>
      </c>
      <c r="G943" s="30" t="s">
        <v>2935</v>
      </c>
      <c r="K943" s="1" t="s">
        <v>2936</v>
      </c>
      <c r="L943" s="1" t="s">
        <v>1279</v>
      </c>
      <c r="M943" s="36" t="s">
        <v>1460</v>
      </c>
      <c r="N943" s="1" t="s">
        <v>1833</v>
      </c>
      <c r="O943" s="1" t="s">
        <v>1286</v>
      </c>
      <c r="P943" s="34" t="str">
        <f t="shared" si="17"/>
        <v>F010</v>
      </c>
      <c r="Q943" s="1" t="s">
        <v>137</v>
      </c>
      <c r="S943" s="16">
        <v>20</v>
      </c>
      <c r="T943" s="1" t="s">
        <v>2842</v>
      </c>
      <c r="U943" s="1" t="s">
        <v>2014</v>
      </c>
      <c r="V943" s="1" t="s">
        <v>1500</v>
      </c>
      <c r="Y943" s="1">
        <v>5854.7</v>
      </c>
      <c r="AB943" s="1">
        <v>3553.5</v>
      </c>
    </row>
    <row r="944" spans="2:28" x14ac:dyDescent="0.2">
      <c r="B944" s="30" t="s">
        <v>2294</v>
      </c>
      <c r="C944" s="36"/>
      <c r="D944" s="36"/>
      <c r="F944" s="1" t="s">
        <v>2843</v>
      </c>
      <c r="G944" s="30" t="s">
        <v>2935</v>
      </c>
      <c r="K944" s="1" t="s">
        <v>2937</v>
      </c>
      <c r="L944" s="1" t="s">
        <v>1279</v>
      </c>
      <c r="M944" s="36" t="s">
        <v>1460</v>
      </c>
      <c r="N944" s="1" t="s">
        <v>1287</v>
      </c>
      <c r="O944" s="1" t="s">
        <v>1286</v>
      </c>
      <c r="P944" s="34" t="str">
        <f t="shared" si="17"/>
        <v>F010</v>
      </c>
      <c r="Q944" s="1" t="s">
        <v>138</v>
      </c>
      <c r="S944" s="16">
        <v>20</v>
      </c>
      <c r="T944" s="1" t="s">
        <v>2842</v>
      </c>
      <c r="U944" s="1" t="s">
        <v>2014</v>
      </c>
      <c r="V944" s="1" t="s">
        <v>1500</v>
      </c>
      <c r="Y944" s="1">
        <v>5854.7</v>
      </c>
      <c r="AB944" s="1">
        <v>3553.5</v>
      </c>
    </row>
    <row r="945" spans="2:28" x14ac:dyDescent="0.2">
      <c r="B945" s="30" t="s">
        <v>2294</v>
      </c>
      <c r="C945" s="36"/>
      <c r="D945" s="36"/>
      <c r="F945" s="1" t="s">
        <v>2843</v>
      </c>
      <c r="G945" s="30" t="s">
        <v>2935</v>
      </c>
      <c r="K945" s="1" t="s">
        <v>2938</v>
      </c>
      <c r="L945" s="1" t="s">
        <v>1279</v>
      </c>
      <c r="M945" s="36" t="s">
        <v>1460</v>
      </c>
      <c r="N945" s="1" t="s">
        <v>1287</v>
      </c>
      <c r="O945" s="1" t="s">
        <v>1286</v>
      </c>
      <c r="P945" s="34" t="str">
        <f t="shared" si="17"/>
        <v>F010</v>
      </c>
      <c r="Q945" s="1" t="s">
        <v>138</v>
      </c>
      <c r="S945" s="16">
        <v>20</v>
      </c>
      <c r="T945" s="1" t="s">
        <v>2842</v>
      </c>
      <c r="U945" s="1" t="s">
        <v>2014</v>
      </c>
      <c r="V945" s="1" t="s">
        <v>1500</v>
      </c>
      <c r="Y945" s="1">
        <v>5854.7</v>
      </c>
      <c r="AB945" s="1">
        <v>3553.5</v>
      </c>
    </row>
    <row r="946" spans="2:28" x14ac:dyDescent="0.2">
      <c r="B946" s="30" t="s">
        <v>2294</v>
      </c>
      <c r="C946" s="36"/>
      <c r="D946" s="36"/>
      <c r="F946" s="1" t="s">
        <v>2843</v>
      </c>
      <c r="G946" s="30" t="s">
        <v>2935</v>
      </c>
      <c r="K946" s="1" t="s">
        <v>2939</v>
      </c>
      <c r="L946" s="1" t="s">
        <v>1279</v>
      </c>
      <c r="M946" s="36" t="s">
        <v>1460</v>
      </c>
      <c r="N946" s="1" t="s">
        <v>1287</v>
      </c>
      <c r="O946" s="1" t="s">
        <v>1286</v>
      </c>
      <c r="P946" s="34" t="str">
        <f t="shared" si="17"/>
        <v>F010</v>
      </c>
      <c r="Q946" s="1" t="s">
        <v>138</v>
      </c>
      <c r="S946" s="16">
        <v>20</v>
      </c>
      <c r="T946" s="1" t="s">
        <v>2842</v>
      </c>
      <c r="U946" s="1" t="s">
        <v>2014</v>
      </c>
      <c r="V946" s="1" t="s">
        <v>1500</v>
      </c>
      <c r="Y946" s="1">
        <v>5854.7</v>
      </c>
      <c r="AB946" s="1">
        <v>3553.5</v>
      </c>
    </row>
    <row r="947" spans="2:28" x14ac:dyDescent="0.2">
      <c r="B947" s="30" t="s">
        <v>2294</v>
      </c>
      <c r="C947" s="36"/>
      <c r="D947" s="36"/>
      <c r="F947" s="1" t="s">
        <v>2843</v>
      </c>
      <c r="G947" s="30" t="s">
        <v>2935</v>
      </c>
      <c r="K947" s="1" t="s">
        <v>2940</v>
      </c>
      <c r="L947" s="1" t="s">
        <v>1279</v>
      </c>
      <c r="M947" s="36" t="s">
        <v>1460</v>
      </c>
      <c r="N947" s="1" t="s">
        <v>1287</v>
      </c>
      <c r="O947" s="1" t="s">
        <v>1286</v>
      </c>
      <c r="P947" s="34" t="str">
        <f t="shared" si="17"/>
        <v>F010</v>
      </c>
      <c r="Q947" s="1" t="s">
        <v>138</v>
      </c>
      <c r="S947" s="16">
        <v>20</v>
      </c>
      <c r="T947" s="1" t="s">
        <v>2842</v>
      </c>
      <c r="U947" s="1" t="s">
        <v>2014</v>
      </c>
      <c r="V947" s="1" t="s">
        <v>1500</v>
      </c>
      <c r="Y947" s="1">
        <v>5854.7</v>
      </c>
      <c r="AB947" s="1">
        <v>3553.5</v>
      </c>
    </row>
    <row r="948" spans="2:28" x14ac:dyDescent="0.2">
      <c r="B948" s="30" t="s">
        <v>2294</v>
      </c>
      <c r="C948" s="36"/>
      <c r="D948" s="36"/>
      <c r="F948" s="1" t="s">
        <v>2843</v>
      </c>
      <c r="G948" s="30" t="s">
        <v>2935</v>
      </c>
      <c r="K948" s="1" t="s">
        <v>2941</v>
      </c>
      <c r="L948" s="1" t="s">
        <v>1279</v>
      </c>
      <c r="M948" s="36" t="s">
        <v>1460</v>
      </c>
      <c r="N948" s="1" t="s">
        <v>1287</v>
      </c>
      <c r="O948" s="1" t="s">
        <v>1286</v>
      </c>
      <c r="P948" s="34" t="str">
        <f t="shared" si="17"/>
        <v>F010</v>
      </c>
      <c r="Q948" s="1" t="s">
        <v>138</v>
      </c>
      <c r="S948" s="16">
        <v>20</v>
      </c>
      <c r="T948" s="1" t="s">
        <v>2842</v>
      </c>
      <c r="U948" s="1" t="s">
        <v>2014</v>
      </c>
      <c r="V948" s="1" t="s">
        <v>1500</v>
      </c>
      <c r="Y948" s="1">
        <v>5854.7</v>
      </c>
      <c r="AB948" s="1">
        <v>3553.5</v>
      </c>
    </row>
    <row r="949" spans="2:28" x14ac:dyDescent="0.2">
      <c r="B949" s="30" t="s">
        <v>2294</v>
      </c>
      <c r="C949" s="36"/>
      <c r="D949" s="36"/>
      <c r="F949" s="1" t="s">
        <v>2843</v>
      </c>
      <c r="G949" s="30" t="s">
        <v>2935</v>
      </c>
      <c r="K949" s="1" t="s">
        <v>2942</v>
      </c>
      <c r="L949" s="1" t="s">
        <v>1279</v>
      </c>
      <c r="M949" s="36" t="s">
        <v>1334</v>
      </c>
      <c r="N949" s="1" t="s">
        <v>2094</v>
      </c>
      <c r="O949" s="1" t="s">
        <v>1286</v>
      </c>
      <c r="P949" s="34" t="str">
        <f t="shared" si="17"/>
        <v>F010</v>
      </c>
      <c r="Q949" s="1" t="s">
        <v>127</v>
      </c>
      <c r="S949" s="16">
        <v>20</v>
      </c>
      <c r="T949" s="1" t="s">
        <v>2842</v>
      </c>
      <c r="U949" s="1" t="s">
        <v>1535</v>
      </c>
      <c r="V949" s="1" t="s">
        <v>2553</v>
      </c>
      <c r="Y949" s="1">
        <v>5854.7</v>
      </c>
      <c r="AB949" s="1">
        <v>3215.48</v>
      </c>
    </row>
    <row r="950" spans="2:28" x14ac:dyDescent="0.2">
      <c r="B950" s="30" t="s">
        <v>2294</v>
      </c>
      <c r="C950" s="36"/>
      <c r="D950" s="36"/>
      <c r="F950" s="1" t="s">
        <v>2843</v>
      </c>
      <c r="G950" s="30" t="s">
        <v>2935</v>
      </c>
      <c r="K950" s="1" t="s">
        <v>2943</v>
      </c>
      <c r="L950" s="1" t="s">
        <v>1279</v>
      </c>
      <c r="M950" s="36" t="s">
        <v>1334</v>
      </c>
      <c r="N950" s="1" t="s">
        <v>2094</v>
      </c>
      <c r="O950" s="1" t="s">
        <v>1286</v>
      </c>
      <c r="P950" s="34" t="str">
        <f t="shared" si="17"/>
        <v>F010</v>
      </c>
      <c r="Q950" s="1" t="s">
        <v>127</v>
      </c>
      <c r="S950" s="16">
        <v>20</v>
      </c>
      <c r="T950" s="1" t="s">
        <v>2842</v>
      </c>
      <c r="U950" s="1" t="s">
        <v>1535</v>
      </c>
      <c r="V950" s="1" t="s">
        <v>2553</v>
      </c>
      <c r="Y950" s="1">
        <v>5854.7</v>
      </c>
      <c r="AB950" s="1">
        <v>3215.48</v>
      </c>
    </row>
    <row r="951" spans="2:28" x14ac:dyDescent="0.2">
      <c r="B951" s="30" t="s">
        <v>2294</v>
      </c>
      <c r="C951" s="36"/>
      <c r="D951" s="36"/>
      <c r="F951" s="1" t="s">
        <v>2843</v>
      </c>
      <c r="G951" s="30" t="s">
        <v>2935</v>
      </c>
      <c r="K951" s="1" t="s">
        <v>2944</v>
      </c>
      <c r="L951" s="1" t="s">
        <v>1279</v>
      </c>
      <c r="M951" s="36" t="s">
        <v>1334</v>
      </c>
      <c r="N951" s="1" t="s">
        <v>1286</v>
      </c>
      <c r="O951" s="1" t="s">
        <v>1286</v>
      </c>
      <c r="P951" s="34" t="str">
        <f t="shared" si="17"/>
        <v>F010</v>
      </c>
      <c r="Q951" s="1" t="s">
        <v>127</v>
      </c>
      <c r="S951" s="16">
        <v>20</v>
      </c>
      <c r="T951" s="1" t="s">
        <v>2842</v>
      </c>
      <c r="U951" s="1" t="s">
        <v>1535</v>
      </c>
      <c r="V951" s="1" t="s">
        <v>2553</v>
      </c>
      <c r="Y951" s="1">
        <v>5854.7</v>
      </c>
      <c r="AB951" s="1">
        <v>3215.48</v>
      </c>
    </row>
    <row r="952" spans="2:28" x14ac:dyDescent="0.2">
      <c r="B952" s="30" t="s">
        <v>2294</v>
      </c>
      <c r="C952" s="36"/>
      <c r="D952" s="36"/>
      <c r="F952" s="1" t="s">
        <v>2843</v>
      </c>
      <c r="G952" s="30" t="s">
        <v>2935</v>
      </c>
      <c r="K952" s="1" t="s">
        <v>2945</v>
      </c>
      <c r="L952" s="1" t="s">
        <v>1279</v>
      </c>
      <c r="M952" s="36" t="s">
        <v>1330</v>
      </c>
      <c r="N952" s="1" t="s">
        <v>2946</v>
      </c>
      <c r="O952" s="1" t="s">
        <v>1286</v>
      </c>
      <c r="P952" s="34" t="str">
        <f t="shared" si="17"/>
        <v>F010</v>
      </c>
      <c r="Q952" s="1" t="s">
        <v>127</v>
      </c>
      <c r="S952" s="16">
        <v>20</v>
      </c>
      <c r="T952" s="1" t="s">
        <v>2842</v>
      </c>
      <c r="U952" s="1" t="s">
        <v>1426</v>
      </c>
      <c r="V952" s="1" t="s">
        <v>1766</v>
      </c>
      <c r="Y952" s="1">
        <v>6940</v>
      </c>
      <c r="AB952" s="1">
        <v>732.56</v>
      </c>
    </row>
    <row r="953" spans="2:28" x14ac:dyDescent="0.2">
      <c r="B953" s="30" t="s">
        <v>2294</v>
      </c>
      <c r="C953" s="36"/>
      <c r="D953" s="36"/>
      <c r="F953" s="1" t="s">
        <v>2843</v>
      </c>
      <c r="G953" s="30" t="s">
        <v>2935</v>
      </c>
      <c r="K953" s="1" t="s">
        <v>2947</v>
      </c>
      <c r="L953" s="1" t="s">
        <v>1279</v>
      </c>
      <c r="M953" s="36" t="s">
        <v>1330</v>
      </c>
      <c r="N953" s="1" t="s">
        <v>1630</v>
      </c>
      <c r="O953" s="1" t="s">
        <v>1286</v>
      </c>
      <c r="P953" s="34" t="str">
        <f t="shared" si="17"/>
        <v>F010</v>
      </c>
      <c r="Q953" s="1" t="s">
        <v>127</v>
      </c>
      <c r="S953" s="16">
        <v>20</v>
      </c>
      <c r="T953" s="1" t="s">
        <v>2842</v>
      </c>
      <c r="U953" s="1" t="s">
        <v>1426</v>
      </c>
      <c r="V953" s="1" t="s">
        <v>1766</v>
      </c>
      <c r="Y953" s="1">
        <v>6940</v>
      </c>
      <c r="AB953" s="1">
        <v>732.56</v>
      </c>
    </row>
    <row r="954" spans="2:28" x14ac:dyDescent="0.2">
      <c r="B954" s="30" t="s">
        <v>2294</v>
      </c>
      <c r="C954" s="36"/>
      <c r="D954" s="36"/>
      <c r="F954" s="1" t="s">
        <v>2843</v>
      </c>
      <c r="G954" s="30" t="s">
        <v>2935</v>
      </c>
      <c r="K954" s="1" t="s">
        <v>2948</v>
      </c>
      <c r="L954" s="1" t="s">
        <v>1279</v>
      </c>
      <c r="M954" s="36" t="s">
        <v>1330</v>
      </c>
      <c r="N954" s="1" t="s">
        <v>1614</v>
      </c>
      <c r="O954" s="1" t="s">
        <v>1286</v>
      </c>
      <c r="P954" s="34" t="str">
        <f t="shared" si="17"/>
        <v>F010</v>
      </c>
      <c r="Q954" s="1" t="s">
        <v>127</v>
      </c>
      <c r="S954" s="16">
        <v>20</v>
      </c>
      <c r="T954" s="1" t="s">
        <v>2842</v>
      </c>
      <c r="U954" s="1" t="s">
        <v>1426</v>
      </c>
      <c r="V954" s="1" t="s">
        <v>1766</v>
      </c>
      <c r="Y954" s="1">
        <v>6940</v>
      </c>
      <c r="AB954" s="1">
        <v>732.56</v>
      </c>
    </row>
    <row r="955" spans="2:28" x14ac:dyDescent="0.2">
      <c r="B955" s="30" t="s">
        <v>2294</v>
      </c>
      <c r="C955" s="36"/>
      <c r="D955" s="36"/>
      <c r="F955" s="1" t="s">
        <v>2843</v>
      </c>
      <c r="G955" s="30" t="s">
        <v>2935</v>
      </c>
      <c r="K955" s="1" t="s">
        <v>2949</v>
      </c>
      <c r="L955" s="1" t="s">
        <v>1279</v>
      </c>
      <c r="M955" s="36" t="s">
        <v>2072</v>
      </c>
      <c r="N955" s="1" t="s">
        <v>1795</v>
      </c>
      <c r="O955" s="1" t="s">
        <v>1286</v>
      </c>
      <c r="P955" s="34" t="str">
        <f t="shared" si="17"/>
        <v>F010</v>
      </c>
      <c r="Q955" s="1" t="s">
        <v>127</v>
      </c>
      <c r="S955" s="16">
        <v>20</v>
      </c>
      <c r="T955" s="1" t="s">
        <v>2842</v>
      </c>
      <c r="U955" s="1" t="s">
        <v>1686</v>
      </c>
      <c r="V955" s="1" t="s">
        <v>1574</v>
      </c>
      <c r="Y955" s="1">
        <v>5854.7</v>
      </c>
      <c r="AB955" s="1">
        <v>1990.56</v>
      </c>
    </row>
    <row r="956" spans="2:28" x14ac:dyDescent="0.2">
      <c r="B956" s="30" t="s">
        <v>2294</v>
      </c>
      <c r="C956" s="36"/>
      <c r="D956" s="36"/>
      <c r="F956" s="1" t="s">
        <v>2843</v>
      </c>
      <c r="G956" s="30" t="s">
        <v>2935</v>
      </c>
      <c r="K956" s="1" t="s">
        <v>2950</v>
      </c>
      <c r="L956" s="1" t="s">
        <v>1279</v>
      </c>
      <c r="M956" s="36" t="s">
        <v>2072</v>
      </c>
      <c r="N956" s="1" t="s">
        <v>1715</v>
      </c>
      <c r="O956" s="1" t="s">
        <v>1286</v>
      </c>
      <c r="P956" s="34" t="str">
        <f t="shared" si="17"/>
        <v>F010</v>
      </c>
      <c r="Q956" s="1" t="s">
        <v>127</v>
      </c>
      <c r="S956" s="16">
        <v>20</v>
      </c>
      <c r="T956" s="1" t="s">
        <v>2842</v>
      </c>
      <c r="U956" s="1" t="s">
        <v>1686</v>
      </c>
      <c r="V956" s="1" t="s">
        <v>1574</v>
      </c>
      <c r="Y956" s="1">
        <v>5854.7</v>
      </c>
      <c r="AB956" s="1">
        <v>1990.56</v>
      </c>
    </row>
    <row r="957" spans="2:28" x14ac:dyDescent="0.2">
      <c r="B957" s="30" t="s">
        <v>2294</v>
      </c>
      <c r="C957" s="36"/>
      <c r="D957" s="36"/>
      <c r="F957" s="1" t="s">
        <v>2843</v>
      </c>
      <c r="G957" s="30" t="s">
        <v>2935</v>
      </c>
      <c r="K957" s="1" t="s">
        <v>2951</v>
      </c>
      <c r="L957" s="1" t="s">
        <v>1279</v>
      </c>
      <c r="M957" s="36" t="s">
        <v>2072</v>
      </c>
      <c r="N957" s="1" t="s">
        <v>1287</v>
      </c>
      <c r="O957" s="1" t="s">
        <v>1286</v>
      </c>
      <c r="P957" s="34" t="str">
        <f t="shared" si="17"/>
        <v>F010</v>
      </c>
      <c r="Q957" s="1" t="s">
        <v>138</v>
      </c>
      <c r="S957" s="16">
        <v>20</v>
      </c>
      <c r="T957" s="1" t="s">
        <v>2842</v>
      </c>
      <c r="U957" s="1" t="s">
        <v>1686</v>
      </c>
      <c r="V957" s="1" t="s">
        <v>1574</v>
      </c>
      <c r="Y957" s="1">
        <v>5854.7</v>
      </c>
      <c r="AB957" s="1">
        <v>1990.56</v>
      </c>
    </row>
    <row r="958" spans="2:28" x14ac:dyDescent="0.2">
      <c r="B958" s="30" t="s">
        <v>2294</v>
      </c>
      <c r="C958" s="36"/>
      <c r="D958" s="36"/>
      <c r="F958" s="1" t="s">
        <v>2843</v>
      </c>
      <c r="G958" s="30" t="s">
        <v>2935</v>
      </c>
      <c r="K958" s="1" t="s">
        <v>2952</v>
      </c>
      <c r="L958" s="1" t="s">
        <v>1279</v>
      </c>
      <c r="M958" s="36" t="s">
        <v>2072</v>
      </c>
      <c r="N958" s="1" t="s">
        <v>1715</v>
      </c>
      <c r="O958" s="1" t="s">
        <v>1286</v>
      </c>
      <c r="P958" s="34" t="str">
        <f t="shared" si="17"/>
        <v>F010</v>
      </c>
      <c r="Q958" s="1" t="s">
        <v>127</v>
      </c>
      <c r="S958" s="16">
        <v>20</v>
      </c>
      <c r="T958" s="1" t="s">
        <v>2842</v>
      </c>
      <c r="U958" s="1" t="s">
        <v>1686</v>
      </c>
      <c r="V958" s="1" t="s">
        <v>1574</v>
      </c>
      <c r="Y958" s="1">
        <v>5854.7</v>
      </c>
      <c r="AB958" s="1">
        <v>1990.56</v>
      </c>
    </row>
    <row r="959" spans="2:28" x14ac:dyDescent="0.2">
      <c r="B959" s="30" t="s">
        <v>2294</v>
      </c>
      <c r="C959" s="36"/>
      <c r="D959" s="36"/>
      <c r="F959" s="1" t="s">
        <v>2843</v>
      </c>
      <c r="G959" s="30" t="s">
        <v>2935</v>
      </c>
      <c r="K959" s="1" t="s">
        <v>2953</v>
      </c>
      <c r="L959" s="1" t="s">
        <v>1279</v>
      </c>
      <c r="M959" s="36" t="s">
        <v>2072</v>
      </c>
      <c r="N959" s="1" t="s">
        <v>1564</v>
      </c>
      <c r="O959" s="1" t="s">
        <v>1286</v>
      </c>
      <c r="P959" s="34" t="str">
        <f t="shared" si="17"/>
        <v>F010</v>
      </c>
      <c r="Q959" s="1" t="s">
        <v>127</v>
      </c>
      <c r="S959" s="16">
        <v>20</v>
      </c>
      <c r="T959" s="1" t="s">
        <v>2842</v>
      </c>
      <c r="U959" s="1" t="s">
        <v>1686</v>
      </c>
      <c r="V959" s="1" t="s">
        <v>1574</v>
      </c>
      <c r="Y959" s="1">
        <v>5854.67</v>
      </c>
      <c r="AB959" s="1">
        <v>1990.54</v>
      </c>
    </row>
    <row r="960" spans="2:28" x14ac:dyDescent="0.2">
      <c r="B960" s="30" t="s">
        <v>2294</v>
      </c>
      <c r="C960" s="36"/>
      <c r="D960" s="36"/>
      <c r="F960" s="1" t="s">
        <v>2843</v>
      </c>
      <c r="G960" s="30" t="s">
        <v>2954</v>
      </c>
      <c r="K960" s="1" t="s">
        <v>2955</v>
      </c>
      <c r="L960" s="1" t="s">
        <v>1279</v>
      </c>
      <c r="M960" s="36" t="s">
        <v>1990</v>
      </c>
      <c r="N960" s="1" t="s">
        <v>1564</v>
      </c>
      <c r="O960" s="1" t="s">
        <v>1286</v>
      </c>
      <c r="P960" s="34" t="str">
        <f t="shared" si="17"/>
        <v>F010</v>
      </c>
      <c r="Q960" s="1" t="s">
        <v>127</v>
      </c>
      <c r="S960" s="16">
        <v>20</v>
      </c>
      <c r="T960" s="1" t="s">
        <v>2842</v>
      </c>
      <c r="U960" s="1" t="s">
        <v>2368</v>
      </c>
      <c r="V960" s="1" t="s">
        <v>2369</v>
      </c>
      <c r="Y960" s="1">
        <v>6940</v>
      </c>
      <c r="AB960" s="1">
        <v>366.28</v>
      </c>
    </row>
    <row r="961" spans="2:28" x14ac:dyDescent="0.2">
      <c r="B961" s="30" t="s">
        <v>2294</v>
      </c>
      <c r="C961" s="36"/>
      <c r="D961" s="36"/>
      <c r="F961" s="1" t="s">
        <v>2843</v>
      </c>
      <c r="G961" s="30" t="s">
        <v>2954</v>
      </c>
      <c r="K961" s="1" t="s">
        <v>2956</v>
      </c>
      <c r="L961" s="1" t="s">
        <v>1279</v>
      </c>
      <c r="M961" s="36" t="s">
        <v>1990</v>
      </c>
      <c r="N961" s="1" t="s">
        <v>2957</v>
      </c>
      <c r="O961" s="1" t="s">
        <v>1286</v>
      </c>
      <c r="P961" s="34" t="str">
        <f t="shared" si="17"/>
        <v>F010</v>
      </c>
      <c r="Q961" s="1" t="s">
        <v>127</v>
      </c>
      <c r="S961" s="16">
        <v>20</v>
      </c>
      <c r="T961" s="1" t="s">
        <v>2842</v>
      </c>
      <c r="U961" s="1" t="s">
        <v>2368</v>
      </c>
      <c r="V961" s="1" t="s">
        <v>2369</v>
      </c>
      <c r="Y961" s="1">
        <v>6940</v>
      </c>
      <c r="AB961" s="1">
        <v>366.28</v>
      </c>
    </row>
    <row r="962" spans="2:28" x14ac:dyDescent="0.2">
      <c r="B962" s="30" t="s">
        <v>2294</v>
      </c>
      <c r="C962" s="36"/>
      <c r="D962" s="36"/>
      <c r="F962" s="1" t="s">
        <v>2843</v>
      </c>
      <c r="G962" s="30" t="s">
        <v>2954</v>
      </c>
      <c r="K962" s="1" t="s">
        <v>2958</v>
      </c>
      <c r="L962" s="1" t="s">
        <v>1279</v>
      </c>
      <c r="M962" s="36" t="s">
        <v>1990</v>
      </c>
      <c r="N962" s="1" t="s">
        <v>1577</v>
      </c>
      <c r="O962" s="1" t="s">
        <v>1286</v>
      </c>
      <c r="P962" s="34" t="str">
        <f t="shared" si="17"/>
        <v>F010</v>
      </c>
      <c r="Q962" s="1" t="s">
        <v>138</v>
      </c>
      <c r="S962" s="16">
        <v>20</v>
      </c>
      <c r="T962" s="1" t="s">
        <v>2842</v>
      </c>
      <c r="U962" s="1" t="s">
        <v>2368</v>
      </c>
      <c r="V962" s="1" t="s">
        <v>2369</v>
      </c>
      <c r="Y962" s="1">
        <v>6940</v>
      </c>
      <c r="AB962" s="1">
        <v>366.28</v>
      </c>
    </row>
    <row r="963" spans="2:28" x14ac:dyDescent="0.2">
      <c r="B963" s="30" t="s">
        <v>2294</v>
      </c>
      <c r="C963" s="36"/>
      <c r="D963" s="36"/>
      <c r="F963" s="1" t="s">
        <v>2843</v>
      </c>
      <c r="G963" s="30" t="s">
        <v>2954</v>
      </c>
      <c r="K963" s="1" t="s">
        <v>2959</v>
      </c>
      <c r="L963" s="1" t="s">
        <v>1279</v>
      </c>
      <c r="M963" s="36" t="s">
        <v>1990</v>
      </c>
      <c r="N963" s="1" t="s">
        <v>2960</v>
      </c>
      <c r="O963" s="1" t="s">
        <v>1286</v>
      </c>
      <c r="P963" s="34" t="str">
        <f t="shared" si="17"/>
        <v>F010</v>
      </c>
      <c r="Q963" s="1" t="s">
        <v>127</v>
      </c>
      <c r="S963" s="16">
        <v>20</v>
      </c>
      <c r="T963" s="1" t="s">
        <v>2842</v>
      </c>
      <c r="U963" s="1" t="s">
        <v>2368</v>
      </c>
      <c r="V963" s="1" t="s">
        <v>2369</v>
      </c>
      <c r="Y963" s="1">
        <v>6940</v>
      </c>
      <c r="AB963" s="1">
        <v>366.28</v>
      </c>
    </row>
    <row r="964" spans="2:28" x14ac:dyDescent="0.2">
      <c r="B964" s="30" t="s">
        <v>2294</v>
      </c>
      <c r="C964" s="36"/>
      <c r="D964" s="36"/>
      <c r="F964" s="1" t="s">
        <v>2843</v>
      </c>
      <c r="G964" s="30" t="s">
        <v>2954</v>
      </c>
      <c r="K964" s="1" t="s">
        <v>2961</v>
      </c>
      <c r="L964" s="1" t="s">
        <v>1279</v>
      </c>
      <c r="M964" s="36" t="s">
        <v>1990</v>
      </c>
      <c r="N964" s="1" t="s">
        <v>1614</v>
      </c>
      <c r="O964" s="1" t="s">
        <v>1286</v>
      </c>
      <c r="P964" s="34" t="str">
        <f t="shared" si="17"/>
        <v>F010</v>
      </c>
      <c r="Q964" s="1" t="s">
        <v>137</v>
      </c>
      <c r="S964" s="16">
        <v>20</v>
      </c>
      <c r="T964" s="1" t="s">
        <v>2842</v>
      </c>
      <c r="U964" s="1" t="s">
        <v>2368</v>
      </c>
      <c r="V964" s="1" t="s">
        <v>2369</v>
      </c>
      <c r="Y964" s="1">
        <v>6940</v>
      </c>
      <c r="AB964" s="1">
        <v>366.28</v>
      </c>
    </row>
    <row r="965" spans="2:28" x14ac:dyDescent="0.2">
      <c r="B965" s="30" t="s">
        <v>2294</v>
      </c>
      <c r="C965" s="36"/>
      <c r="D965" s="36"/>
      <c r="F965" s="1" t="s">
        <v>2843</v>
      </c>
      <c r="G965" s="30" t="s">
        <v>2962</v>
      </c>
      <c r="K965" s="1" t="s">
        <v>2963</v>
      </c>
      <c r="L965" s="1" t="s">
        <v>1279</v>
      </c>
      <c r="M965" s="36" t="s">
        <v>1426</v>
      </c>
      <c r="N965" s="1" t="s">
        <v>1837</v>
      </c>
      <c r="O965" s="1" t="s">
        <v>1286</v>
      </c>
      <c r="P965" s="34" t="str">
        <f t="shared" si="17"/>
        <v>F010</v>
      </c>
      <c r="Q965" s="1" t="s">
        <v>127</v>
      </c>
      <c r="S965" s="16">
        <v>20</v>
      </c>
      <c r="T965" s="1" t="s">
        <v>2842</v>
      </c>
      <c r="U965" s="1" t="s">
        <v>1990</v>
      </c>
      <c r="V965" s="1" t="s">
        <v>1807</v>
      </c>
      <c r="Y965" s="1">
        <v>6940</v>
      </c>
      <c r="AB965" s="1">
        <v>549.41999999999996</v>
      </c>
    </row>
    <row r="966" spans="2:28" x14ac:dyDescent="0.2">
      <c r="B966" s="30" t="s">
        <v>2294</v>
      </c>
      <c r="C966" s="36"/>
      <c r="D966" s="36"/>
      <c r="F966" s="1" t="s">
        <v>2843</v>
      </c>
      <c r="G966" s="30" t="s">
        <v>2962</v>
      </c>
      <c r="K966" s="1" t="s">
        <v>2964</v>
      </c>
      <c r="L966" s="1" t="s">
        <v>1279</v>
      </c>
      <c r="M966" s="36" t="s">
        <v>1426</v>
      </c>
      <c r="N966" s="1" t="s">
        <v>1837</v>
      </c>
      <c r="O966" s="1" t="s">
        <v>1286</v>
      </c>
      <c r="P966" s="34" t="str">
        <f t="shared" si="17"/>
        <v>F010</v>
      </c>
      <c r="Q966" s="1" t="s">
        <v>127</v>
      </c>
      <c r="S966" s="16">
        <v>20</v>
      </c>
      <c r="T966" s="1" t="s">
        <v>2842</v>
      </c>
      <c r="U966" s="1" t="s">
        <v>1990</v>
      </c>
      <c r="V966" s="1" t="s">
        <v>1807</v>
      </c>
      <c r="Y966" s="1">
        <v>6940</v>
      </c>
      <c r="AB966" s="1">
        <v>549.41999999999996</v>
      </c>
    </row>
    <row r="967" spans="2:28" x14ac:dyDescent="0.2">
      <c r="B967" s="30" t="s">
        <v>2294</v>
      </c>
      <c r="C967" s="36"/>
      <c r="D967" s="36"/>
      <c r="F967" s="1" t="s">
        <v>2843</v>
      </c>
      <c r="G967" s="30" t="s">
        <v>2962</v>
      </c>
      <c r="K967" s="1" t="s">
        <v>2965</v>
      </c>
      <c r="L967" s="1" t="s">
        <v>1279</v>
      </c>
      <c r="M967" s="36" t="s">
        <v>1426</v>
      </c>
      <c r="N967" s="1" t="s">
        <v>1788</v>
      </c>
      <c r="O967" s="1" t="s">
        <v>1286</v>
      </c>
      <c r="P967" s="34" t="str">
        <f t="shared" ref="P967:P1031" si="18">+LEFT(Q967,4)</f>
        <v>F010</v>
      </c>
      <c r="Q967" s="1" t="s">
        <v>127</v>
      </c>
      <c r="S967" s="16">
        <v>20</v>
      </c>
      <c r="T967" s="1" t="s">
        <v>2842</v>
      </c>
      <c r="U967" s="1" t="s">
        <v>1990</v>
      </c>
      <c r="V967" s="1" t="s">
        <v>1807</v>
      </c>
      <c r="Y967" s="1">
        <v>6940</v>
      </c>
      <c r="AB967" s="1">
        <v>549.41999999999996</v>
      </c>
    </row>
    <row r="968" spans="2:28" x14ac:dyDescent="0.2">
      <c r="B968" s="30" t="s">
        <v>2294</v>
      </c>
      <c r="C968" s="36"/>
      <c r="D968" s="36"/>
      <c r="F968" s="1" t="s">
        <v>2843</v>
      </c>
      <c r="G968" s="30" t="s">
        <v>2962</v>
      </c>
      <c r="K968" s="1" t="s">
        <v>2966</v>
      </c>
      <c r="L968" s="1" t="s">
        <v>1279</v>
      </c>
      <c r="M968" s="36" t="s">
        <v>1426</v>
      </c>
      <c r="N968" s="1" t="s">
        <v>1637</v>
      </c>
      <c r="O968" s="1" t="s">
        <v>1286</v>
      </c>
      <c r="P968" s="34" t="str">
        <f t="shared" si="18"/>
        <v>F010</v>
      </c>
      <c r="Q968" s="1" t="s">
        <v>127</v>
      </c>
      <c r="S968" s="16">
        <v>20</v>
      </c>
      <c r="T968" s="1" t="s">
        <v>2842</v>
      </c>
      <c r="U968" s="1" t="s">
        <v>1990</v>
      </c>
      <c r="V968" s="1" t="s">
        <v>1807</v>
      </c>
      <c r="Y968" s="1">
        <v>6940</v>
      </c>
      <c r="AB968" s="1">
        <v>549.41999999999996</v>
      </c>
    </row>
    <row r="969" spans="2:28" x14ac:dyDescent="0.2">
      <c r="B969" s="30" t="s">
        <v>2294</v>
      </c>
      <c r="C969" s="36"/>
      <c r="D969" s="36"/>
      <c r="F969" s="1" t="s">
        <v>2843</v>
      </c>
      <c r="G969" s="30" t="s">
        <v>2962</v>
      </c>
      <c r="K969" s="1" t="s">
        <v>2967</v>
      </c>
      <c r="L969" s="1" t="s">
        <v>1279</v>
      </c>
      <c r="M969" s="36" t="s">
        <v>1426</v>
      </c>
      <c r="N969" s="1" t="s">
        <v>1754</v>
      </c>
      <c r="O969" s="1" t="s">
        <v>1286</v>
      </c>
      <c r="P969" s="34" t="str">
        <f t="shared" si="18"/>
        <v>F010</v>
      </c>
      <c r="Q969" s="1" t="s">
        <v>127</v>
      </c>
      <c r="S969" s="16">
        <v>20</v>
      </c>
      <c r="T969" s="1" t="s">
        <v>2842</v>
      </c>
      <c r="U969" s="1" t="s">
        <v>1990</v>
      </c>
      <c r="V969" s="1" t="s">
        <v>1807</v>
      </c>
      <c r="Y969" s="1">
        <v>6940</v>
      </c>
      <c r="AB969" s="1">
        <v>549.41999999999996</v>
      </c>
    </row>
    <row r="970" spans="2:28" x14ac:dyDescent="0.2">
      <c r="B970" s="30" t="s">
        <v>2294</v>
      </c>
      <c r="C970" s="36"/>
      <c r="D970" s="36"/>
      <c r="F970" s="1" t="s">
        <v>2843</v>
      </c>
      <c r="G970" s="30" t="s">
        <v>2962</v>
      </c>
      <c r="K970" s="1" t="s">
        <v>2968</v>
      </c>
      <c r="L970" s="1" t="s">
        <v>1279</v>
      </c>
      <c r="M970" s="36" t="s">
        <v>1426</v>
      </c>
      <c r="N970" s="1" t="s">
        <v>1637</v>
      </c>
      <c r="O970" s="1" t="s">
        <v>1286</v>
      </c>
      <c r="P970" s="34" t="str">
        <f t="shared" si="18"/>
        <v>F010</v>
      </c>
      <c r="Q970" s="1" t="s">
        <v>127</v>
      </c>
      <c r="S970" s="16">
        <v>20</v>
      </c>
      <c r="T970" s="1" t="s">
        <v>2842</v>
      </c>
      <c r="U970" s="1" t="s">
        <v>1990</v>
      </c>
      <c r="V970" s="1" t="s">
        <v>1807</v>
      </c>
      <c r="Y970" s="1">
        <v>6940</v>
      </c>
      <c r="AB970" s="1">
        <v>549.41999999999996</v>
      </c>
    </row>
    <row r="971" spans="2:28" x14ac:dyDescent="0.2">
      <c r="B971" s="30" t="s">
        <v>2294</v>
      </c>
      <c r="C971" s="36"/>
      <c r="D971" s="36"/>
      <c r="F971" s="1" t="s">
        <v>2843</v>
      </c>
      <c r="G971" s="30" t="s">
        <v>2962</v>
      </c>
      <c r="K971" s="1" t="s">
        <v>2969</v>
      </c>
      <c r="L971" s="1" t="s">
        <v>1279</v>
      </c>
      <c r="M971" s="36" t="s">
        <v>1426</v>
      </c>
      <c r="N971" s="1" t="s">
        <v>1637</v>
      </c>
      <c r="O971" s="1" t="s">
        <v>1286</v>
      </c>
      <c r="P971" s="34" t="str">
        <f t="shared" si="18"/>
        <v>F010</v>
      </c>
      <c r="Q971" s="1" t="s">
        <v>127</v>
      </c>
      <c r="S971" s="16">
        <v>20</v>
      </c>
      <c r="T971" s="1" t="s">
        <v>2842</v>
      </c>
      <c r="U971" s="1" t="s">
        <v>1990</v>
      </c>
      <c r="V971" s="1" t="s">
        <v>1807</v>
      </c>
      <c r="Y971" s="1">
        <v>6940</v>
      </c>
      <c r="AB971" s="1">
        <v>549.41999999999996</v>
      </c>
    </row>
    <row r="972" spans="2:28" x14ac:dyDescent="0.2">
      <c r="B972" s="30" t="s">
        <v>2294</v>
      </c>
      <c r="C972" s="36"/>
      <c r="D972" s="36"/>
      <c r="F972" s="1" t="s">
        <v>2843</v>
      </c>
      <c r="G972" s="30" t="s">
        <v>2962</v>
      </c>
      <c r="K972" s="1" t="s">
        <v>2970</v>
      </c>
      <c r="L972" s="1" t="s">
        <v>1279</v>
      </c>
      <c r="M972" s="36" t="s">
        <v>1426</v>
      </c>
      <c r="N972" s="1" t="s">
        <v>1614</v>
      </c>
      <c r="O972" s="1" t="s">
        <v>1286</v>
      </c>
      <c r="P972" s="34" t="str">
        <f t="shared" si="18"/>
        <v>F010</v>
      </c>
      <c r="Q972" s="1" t="s">
        <v>127</v>
      </c>
      <c r="S972" s="16">
        <v>20</v>
      </c>
      <c r="T972" s="1" t="s">
        <v>2842</v>
      </c>
      <c r="U972" s="1" t="s">
        <v>1990</v>
      </c>
      <c r="V972" s="1" t="s">
        <v>1807</v>
      </c>
      <c r="Y972" s="1">
        <v>6940</v>
      </c>
      <c r="AB972" s="1">
        <v>549.41999999999996</v>
      </c>
    </row>
    <row r="973" spans="2:28" x14ac:dyDescent="0.2">
      <c r="B973" s="30" t="s">
        <v>2294</v>
      </c>
      <c r="C973" s="36"/>
      <c r="D973" s="36"/>
      <c r="F973" s="1" t="s">
        <v>2843</v>
      </c>
      <c r="G973" s="30" t="s">
        <v>2962</v>
      </c>
      <c r="K973" s="1" t="s">
        <v>2971</v>
      </c>
      <c r="L973" s="1" t="s">
        <v>1279</v>
      </c>
      <c r="M973" s="36" t="s">
        <v>1426</v>
      </c>
      <c r="N973" s="1" t="s">
        <v>1637</v>
      </c>
      <c r="O973" s="1" t="s">
        <v>1286</v>
      </c>
      <c r="P973" s="34" t="str">
        <f t="shared" si="18"/>
        <v>F010</v>
      </c>
      <c r="Q973" s="1" t="s">
        <v>127</v>
      </c>
      <c r="S973" s="16">
        <v>20</v>
      </c>
      <c r="T973" s="1" t="s">
        <v>2842</v>
      </c>
      <c r="U973" s="1" t="s">
        <v>1990</v>
      </c>
      <c r="V973" s="1" t="s">
        <v>1807</v>
      </c>
      <c r="Y973" s="1">
        <v>6940</v>
      </c>
      <c r="AB973" s="1">
        <v>549.41999999999996</v>
      </c>
    </row>
    <row r="974" spans="2:28" x14ac:dyDescent="0.2">
      <c r="B974" s="30" t="s">
        <v>2294</v>
      </c>
      <c r="C974" s="36"/>
      <c r="D974" s="36"/>
      <c r="F974" s="1" t="s">
        <v>2843</v>
      </c>
      <c r="G974" s="30" t="s">
        <v>2962</v>
      </c>
      <c r="K974" s="1" t="s">
        <v>2972</v>
      </c>
      <c r="L974" s="1" t="s">
        <v>1279</v>
      </c>
      <c r="M974" s="36" t="s">
        <v>1426</v>
      </c>
      <c r="N974" s="1" t="s">
        <v>1837</v>
      </c>
      <c r="O974" s="1" t="s">
        <v>1286</v>
      </c>
      <c r="P974" s="34" t="str">
        <f t="shared" si="18"/>
        <v>F010</v>
      </c>
      <c r="Q974" s="1" t="s">
        <v>127</v>
      </c>
      <c r="S974" s="16">
        <v>20</v>
      </c>
      <c r="T974" s="1" t="s">
        <v>2842</v>
      </c>
      <c r="U974" s="1" t="s">
        <v>1990</v>
      </c>
      <c r="V974" s="1" t="s">
        <v>1807</v>
      </c>
      <c r="Y974" s="1">
        <v>6940</v>
      </c>
      <c r="AB974" s="1">
        <v>549.41999999999996</v>
      </c>
    </row>
    <row r="975" spans="2:28" x14ac:dyDescent="0.2">
      <c r="B975" s="30" t="s">
        <v>2294</v>
      </c>
      <c r="C975" s="36"/>
      <c r="D975" s="36"/>
      <c r="F975" s="1" t="s">
        <v>2843</v>
      </c>
      <c r="G975" s="30" t="s">
        <v>2962</v>
      </c>
      <c r="K975" s="1" t="s">
        <v>2973</v>
      </c>
      <c r="L975" s="1" t="s">
        <v>1279</v>
      </c>
      <c r="M975" s="36" t="s">
        <v>1426</v>
      </c>
      <c r="N975" s="1" t="s">
        <v>1788</v>
      </c>
      <c r="O975" s="1" t="s">
        <v>1286</v>
      </c>
      <c r="P975" s="34" t="str">
        <f t="shared" si="18"/>
        <v>F010</v>
      </c>
      <c r="Q975" s="1" t="s">
        <v>127</v>
      </c>
      <c r="S975" s="16">
        <v>20</v>
      </c>
      <c r="T975" s="1" t="s">
        <v>2842</v>
      </c>
      <c r="U975" s="1" t="s">
        <v>1990</v>
      </c>
      <c r="V975" s="1" t="s">
        <v>1807</v>
      </c>
      <c r="Y975" s="1">
        <v>6940</v>
      </c>
      <c r="AB975" s="1">
        <v>549.41999999999996</v>
      </c>
    </row>
    <row r="976" spans="2:28" x14ac:dyDescent="0.2">
      <c r="B976" s="30" t="s">
        <v>2294</v>
      </c>
      <c r="C976" s="36"/>
      <c r="D976" s="36"/>
      <c r="F976" s="1" t="s">
        <v>2843</v>
      </c>
      <c r="G976" s="30" t="s">
        <v>2962</v>
      </c>
      <c r="K976" s="1" t="s">
        <v>2974</v>
      </c>
      <c r="L976" s="1" t="s">
        <v>1279</v>
      </c>
      <c r="M976" s="36" t="s">
        <v>1426</v>
      </c>
      <c r="N976" s="1" t="s">
        <v>1795</v>
      </c>
      <c r="O976" s="1" t="s">
        <v>1286</v>
      </c>
      <c r="P976" s="34" t="str">
        <f t="shared" si="18"/>
        <v>F010</v>
      </c>
      <c r="Q976" s="1" t="s">
        <v>127</v>
      </c>
      <c r="S976" s="16">
        <v>20</v>
      </c>
      <c r="T976" s="1" t="s">
        <v>2842</v>
      </c>
      <c r="U976" s="1" t="s">
        <v>1990</v>
      </c>
      <c r="V976" s="1" t="s">
        <v>1807</v>
      </c>
      <c r="Y976" s="1">
        <v>6940</v>
      </c>
      <c r="AB976" s="1">
        <v>549.41999999999996</v>
      </c>
    </row>
    <row r="977" spans="2:28" x14ac:dyDescent="0.2">
      <c r="B977" s="30" t="s">
        <v>2294</v>
      </c>
      <c r="C977" s="36"/>
      <c r="D977" s="36"/>
      <c r="F977" s="1" t="s">
        <v>2843</v>
      </c>
      <c r="G977" s="30" t="s">
        <v>2962</v>
      </c>
      <c r="K977" s="1" t="s">
        <v>2975</v>
      </c>
      <c r="L977" s="1" t="s">
        <v>1279</v>
      </c>
      <c r="M977" s="36" t="s">
        <v>1426</v>
      </c>
      <c r="N977" s="1" t="s">
        <v>1573</v>
      </c>
      <c r="O977" s="1" t="s">
        <v>1286</v>
      </c>
      <c r="P977" s="34" t="str">
        <f t="shared" si="18"/>
        <v>F010</v>
      </c>
      <c r="Q977" s="1" t="s">
        <v>127</v>
      </c>
      <c r="S977" s="16">
        <v>20</v>
      </c>
      <c r="T977" s="1" t="s">
        <v>2842</v>
      </c>
      <c r="U977" s="1" t="s">
        <v>1990</v>
      </c>
      <c r="V977" s="1" t="s">
        <v>1807</v>
      </c>
      <c r="Y977" s="1">
        <v>6940</v>
      </c>
      <c r="AB977" s="1">
        <v>549.41999999999996</v>
      </c>
    </row>
    <row r="978" spans="2:28" x14ac:dyDescent="0.2">
      <c r="B978" s="30" t="s">
        <v>2294</v>
      </c>
      <c r="C978" s="36"/>
      <c r="D978" s="36"/>
      <c r="F978" s="1" t="s">
        <v>2843</v>
      </c>
      <c r="G978" s="30" t="s">
        <v>2976</v>
      </c>
      <c r="K978" s="1" t="s">
        <v>2977</v>
      </c>
      <c r="L978" s="1" t="s">
        <v>1279</v>
      </c>
      <c r="M978" s="36" t="s">
        <v>1560</v>
      </c>
      <c r="N978" s="1" t="s">
        <v>1564</v>
      </c>
      <c r="O978" s="1" t="s">
        <v>1286</v>
      </c>
      <c r="P978" s="34" t="str">
        <f t="shared" si="18"/>
        <v>F010</v>
      </c>
      <c r="Q978" s="1" t="s">
        <v>127</v>
      </c>
      <c r="S978" s="16">
        <v>20</v>
      </c>
      <c r="T978" s="1" t="s">
        <v>2842</v>
      </c>
      <c r="U978" s="1" t="s">
        <v>1476</v>
      </c>
      <c r="V978" s="1" t="s">
        <v>1569</v>
      </c>
      <c r="Y978" s="1">
        <v>6940</v>
      </c>
      <c r="AB978" s="1">
        <v>1098.8399999999999</v>
      </c>
    </row>
    <row r="979" spans="2:28" x14ac:dyDescent="0.2">
      <c r="B979" s="30" t="s">
        <v>2294</v>
      </c>
      <c r="C979" s="36"/>
      <c r="D979" s="36"/>
      <c r="F979" s="1" t="s">
        <v>2843</v>
      </c>
      <c r="G979" s="30" t="s">
        <v>2976</v>
      </c>
      <c r="K979" s="1" t="s">
        <v>2978</v>
      </c>
      <c r="L979" s="1" t="s">
        <v>1279</v>
      </c>
      <c r="M979" s="36" t="s">
        <v>1560</v>
      </c>
      <c r="N979" s="1" t="s">
        <v>2495</v>
      </c>
      <c r="O979" s="1" t="s">
        <v>1286</v>
      </c>
      <c r="P979" s="34" t="str">
        <f t="shared" si="18"/>
        <v>F010</v>
      </c>
      <c r="Q979" s="1" t="s">
        <v>127</v>
      </c>
      <c r="S979" s="16">
        <v>20</v>
      </c>
      <c r="T979" s="1" t="s">
        <v>2842</v>
      </c>
      <c r="U979" s="1" t="s">
        <v>1476</v>
      </c>
      <c r="V979" s="1" t="s">
        <v>1569</v>
      </c>
      <c r="Y979" s="1">
        <v>6940</v>
      </c>
      <c r="AB979" s="1">
        <v>1098.8399999999999</v>
      </c>
    </row>
    <row r="980" spans="2:28" x14ac:dyDescent="0.2">
      <c r="B980" s="30" t="s">
        <v>2294</v>
      </c>
      <c r="C980" s="36"/>
      <c r="D980" s="36"/>
      <c r="F980" s="1" t="s">
        <v>2843</v>
      </c>
      <c r="G980" s="30" t="s">
        <v>2976</v>
      </c>
      <c r="K980" s="1" t="s">
        <v>2979</v>
      </c>
      <c r="L980" s="1" t="s">
        <v>1279</v>
      </c>
      <c r="M980" s="36" t="s">
        <v>1560</v>
      </c>
      <c r="N980" s="1" t="s">
        <v>1754</v>
      </c>
      <c r="O980" s="1" t="s">
        <v>1286</v>
      </c>
      <c r="P980" s="34" t="str">
        <f t="shared" si="18"/>
        <v>F010</v>
      </c>
      <c r="Q980" s="1" t="s">
        <v>127</v>
      </c>
      <c r="S980" s="16">
        <v>20</v>
      </c>
      <c r="T980" s="1" t="s">
        <v>2842</v>
      </c>
      <c r="U980" s="1" t="s">
        <v>1476</v>
      </c>
      <c r="V980" s="1" t="s">
        <v>1569</v>
      </c>
      <c r="Y980" s="1">
        <v>6940</v>
      </c>
      <c r="AB980" s="1">
        <v>1098.8399999999999</v>
      </c>
    </row>
    <row r="981" spans="2:28" x14ac:dyDescent="0.2">
      <c r="B981" s="30" t="s">
        <v>2294</v>
      </c>
      <c r="C981" s="36"/>
      <c r="D981" s="36"/>
      <c r="F981" s="1" t="s">
        <v>2843</v>
      </c>
      <c r="G981" s="30" t="s">
        <v>2976</v>
      </c>
      <c r="K981" s="1" t="s">
        <v>2980</v>
      </c>
      <c r="L981" s="1" t="s">
        <v>1279</v>
      </c>
      <c r="M981" s="36" t="s">
        <v>1560</v>
      </c>
      <c r="N981" s="1" t="s">
        <v>2094</v>
      </c>
      <c r="O981" s="1" t="s">
        <v>1286</v>
      </c>
      <c r="P981" s="34" t="str">
        <f t="shared" si="18"/>
        <v>F010</v>
      </c>
      <c r="Q981" s="1" t="s">
        <v>127</v>
      </c>
      <c r="S981" s="16">
        <v>20</v>
      </c>
      <c r="T981" s="1" t="s">
        <v>2842</v>
      </c>
      <c r="U981" s="1" t="s">
        <v>1476</v>
      </c>
      <c r="V981" s="1" t="s">
        <v>1569</v>
      </c>
      <c r="Y981" s="1">
        <v>6940</v>
      </c>
      <c r="AB981" s="1">
        <v>1098.8399999999999</v>
      </c>
    </row>
    <row r="982" spans="2:28" x14ac:dyDescent="0.2">
      <c r="B982" s="30" t="s">
        <v>2294</v>
      </c>
      <c r="C982" s="36"/>
      <c r="D982" s="36"/>
      <c r="F982" s="1" t="s">
        <v>2843</v>
      </c>
      <c r="G982" s="30" t="s">
        <v>2976</v>
      </c>
      <c r="K982" s="1" t="s">
        <v>2981</v>
      </c>
      <c r="L982" s="1" t="s">
        <v>1279</v>
      </c>
      <c r="M982" s="36" t="s">
        <v>1560</v>
      </c>
      <c r="N982" s="1" t="s">
        <v>1287</v>
      </c>
      <c r="O982" s="1" t="s">
        <v>1286</v>
      </c>
      <c r="P982" s="34" t="str">
        <f t="shared" si="18"/>
        <v>F010</v>
      </c>
      <c r="Q982" s="1" t="s">
        <v>138</v>
      </c>
      <c r="S982" s="16">
        <v>20</v>
      </c>
      <c r="T982" s="1" t="s">
        <v>2842</v>
      </c>
      <c r="U982" s="1" t="s">
        <v>1476</v>
      </c>
      <c r="V982" s="1" t="s">
        <v>1569</v>
      </c>
      <c r="Y982" s="1">
        <v>6940</v>
      </c>
      <c r="AB982" s="1">
        <v>1098.8399999999999</v>
      </c>
    </row>
    <row r="983" spans="2:28" x14ac:dyDescent="0.2">
      <c r="B983" s="30" t="s">
        <v>2294</v>
      </c>
      <c r="C983" s="36"/>
      <c r="D983" s="36"/>
      <c r="F983" s="1" t="s">
        <v>2843</v>
      </c>
      <c r="G983" s="30" t="s">
        <v>2976</v>
      </c>
      <c r="K983" s="1" t="s">
        <v>2982</v>
      </c>
      <c r="L983" s="1" t="s">
        <v>1279</v>
      </c>
      <c r="M983" s="36" t="s">
        <v>1560</v>
      </c>
      <c r="N983" s="1" t="s">
        <v>1754</v>
      </c>
      <c r="O983" s="1" t="s">
        <v>1286</v>
      </c>
      <c r="P983" s="34" t="str">
        <f t="shared" si="18"/>
        <v>F010</v>
      </c>
      <c r="Q983" s="1" t="s">
        <v>127</v>
      </c>
      <c r="S983" s="16">
        <v>20</v>
      </c>
      <c r="T983" s="1" t="s">
        <v>2842</v>
      </c>
      <c r="U983" s="1" t="s">
        <v>1476</v>
      </c>
      <c r="V983" s="1" t="s">
        <v>1569</v>
      </c>
      <c r="Y983" s="1">
        <v>6940</v>
      </c>
      <c r="AB983" s="1">
        <v>1098.8399999999999</v>
      </c>
    </row>
    <row r="984" spans="2:28" x14ac:dyDescent="0.2">
      <c r="B984" s="30" t="s">
        <v>2294</v>
      </c>
      <c r="C984" s="36"/>
      <c r="D984" s="36"/>
      <c r="F984" s="1" t="s">
        <v>2843</v>
      </c>
      <c r="G984" s="30" t="s">
        <v>2976</v>
      </c>
      <c r="K984" s="1" t="s">
        <v>2983</v>
      </c>
      <c r="L984" s="1" t="s">
        <v>1279</v>
      </c>
      <c r="M984" s="36" t="s">
        <v>1560</v>
      </c>
      <c r="N984" s="1" t="s">
        <v>2497</v>
      </c>
      <c r="O984" s="1" t="s">
        <v>1286</v>
      </c>
      <c r="P984" s="34" t="str">
        <f t="shared" si="18"/>
        <v>F010</v>
      </c>
      <c r="Q984" s="1" t="s">
        <v>127</v>
      </c>
      <c r="S984" s="16">
        <v>20</v>
      </c>
      <c r="T984" s="1" t="s">
        <v>2842</v>
      </c>
      <c r="U984" s="1" t="s">
        <v>1476</v>
      </c>
      <c r="V984" s="1" t="s">
        <v>1569</v>
      </c>
      <c r="Y984" s="1">
        <v>6940</v>
      </c>
      <c r="AB984" s="1">
        <v>1098.8399999999999</v>
      </c>
    </row>
    <row r="985" spans="2:28" s="58" customFormat="1" x14ac:dyDescent="0.2">
      <c r="B985" s="56" t="s">
        <v>2294</v>
      </c>
      <c r="C985" s="57">
        <v>50000</v>
      </c>
      <c r="D985" s="48">
        <f>+C985/100000</f>
        <v>0.5</v>
      </c>
      <c r="E985" s="58" t="s">
        <v>1331</v>
      </c>
      <c r="F985" s="58" t="s">
        <v>2843</v>
      </c>
      <c r="G985" s="56" t="s">
        <v>2984</v>
      </c>
      <c r="K985" s="58" t="s">
        <v>2985</v>
      </c>
      <c r="L985" s="58" t="s">
        <v>1279</v>
      </c>
      <c r="M985" s="58" t="s">
        <v>1533</v>
      </c>
      <c r="N985" s="58" t="s">
        <v>1642</v>
      </c>
      <c r="O985" s="58" t="s">
        <v>1286</v>
      </c>
      <c r="P985" s="58" t="str">
        <f t="shared" si="18"/>
        <v>F010</v>
      </c>
      <c r="Q985" s="58" t="s">
        <v>127</v>
      </c>
      <c r="S985" s="59">
        <v>20</v>
      </c>
      <c r="T985" s="58" t="s">
        <v>2842</v>
      </c>
      <c r="U985" s="58" t="s">
        <v>1327</v>
      </c>
      <c r="V985" s="58" t="s">
        <v>2068</v>
      </c>
      <c r="Y985" s="58">
        <v>7933.8</v>
      </c>
      <c r="AB985" s="58">
        <v>7537.11</v>
      </c>
    </row>
    <row r="986" spans="2:28" s="58" customFormat="1" x14ac:dyDescent="0.2">
      <c r="B986" s="56" t="s">
        <v>2294</v>
      </c>
      <c r="C986" s="57">
        <v>50000</v>
      </c>
      <c r="D986" s="48">
        <f>+C986/100000</f>
        <v>0.5</v>
      </c>
      <c r="E986" s="58" t="s">
        <v>1337</v>
      </c>
      <c r="F986" s="58" t="s">
        <v>2843</v>
      </c>
      <c r="G986" s="56" t="s">
        <v>2984</v>
      </c>
      <c r="K986" s="58" t="s">
        <v>2985</v>
      </c>
      <c r="L986" s="58" t="s">
        <v>1279</v>
      </c>
      <c r="M986" s="58" t="s">
        <v>1533</v>
      </c>
      <c r="N986" s="58" t="s">
        <v>1795</v>
      </c>
      <c r="O986" s="58" t="s">
        <v>1286</v>
      </c>
      <c r="P986" s="58" t="str">
        <f t="shared" si="18"/>
        <v>F010</v>
      </c>
      <c r="Q986" s="58" t="s">
        <v>127</v>
      </c>
      <c r="S986" s="59">
        <v>20</v>
      </c>
      <c r="T986" s="58" t="s">
        <v>2842</v>
      </c>
      <c r="U986" s="58" t="s">
        <v>1327</v>
      </c>
      <c r="V986" s="58" t="s">
        <v>2068</v>
      </c>
      <c r="Y986" s="58">
        <v>7933.8</v>
      </c>
      <c r="AB986" s="58">
        <v>7537.11</v>
      </c>
    </row>
    <row r="987" spans="2:28" x14ac:dyDescent="0.2">
      <c r="B987" s="30" t="s">
        <v>2294</v>
      </c>
      <c r="C987" s="36"/>
      <c r="D987" s="36"/>
      <c r="F987" s="1" t="s">
        <v>2843</v>
      </c>
      <c r="G987" s="30" t="s">
        <v>2986</v>
      </c>
      <c r="K987" s="1" t="s">
        <v>2987</v>
      </c>
      <c r="L987" s="1" t="s">
        <v>1279</v>
      </c>
      <c r="M987" s="36" t="s">
        <v>1511</v>
      </c>
      <c r="N987" s="1" t="s">
        <v>2988</v>
      </c>
      <c r="O987" s="1" t="s">
        <v>1286</v>
      </c>
      <c r="P987" s="34" t="str">
        <f t="shared" si="18"/>
        <v>F010</v>
      </c>
      <c r="Q987" s="1" t="s">
        <v>137</v>
      </c>
      <c r="S987" s="16">
        <v>20</v>
      </c>
      <c r="T987" s="1" t="s">
        <v>2842</v>
      </c>
      <c r="U987" s="1" t="s">
        <v>1468</v>
      </c>
      <c r="V987" s="1" t="s">
        <v>1634</v>
      </c>
      <c r="Y987" s="1">
        <v>3450</v>
      </c>
      <c r="AB987" s="1">
        <v>1638.72</v>
      </c>
    </row>
    <row r="988" spans="2:28" x14ac:dyDescent="0.2">
      <c r="B988" s="30" t="s">
        <v>2294</v>
      </c>
      <c r="C988" s="36"/>
      <c r="D988" s="36"/>
      <c r="F988" s="1" t="s">
        <v>2843</v>
      </c>
      <c r="G988" s="30" t="s">
        <v>2986</v>
      </c>
      <c r="K988" s="1" t="s">
        <v>2989</v>
      </c>
      <c r="L988" s="1" t="s">
        <v>1279</v>
      </c>
      <c r="M988" s="36" t="s">
        <v>1511</v>
      </c>
      <c r="N988" s="1" t="s">
        <v>2988</v>
      </c>
      <c r="O988" s="1" t="s">
        <v>1286</v>
      </c>
      <c r="P988" s="34" t="str">
        <f t="shared" si="18"/>
        <v>F010</v>
      </c>
      <c r="Q988" s="1" t="s">
        <v>137</v>
      </c>
      <c r="S988" s="16">
        <v>20</v>
      </c>
      <c r="T988" s="1" t="s">
        <v>2842</v>
      </c>
      <c r="U988" s="1" t="s">
        <v>1468</v>
      </c>
      <c r="V988" s="1" t="s">
        <v>1634</v>
      </c>
      <c r="Y988" s="1">
        <v>3450</v>
      </c>
      <c r="AB988" s="1">
        <v>1638.72</v>
      </c>
    </row>
    <row r="989" spans="2:28" x14ac:dyDescent="0.2">
      <c r="B989" s="30" t="s">
        <v>2294</v>
      </c>
      <c r="C989" s="36"/>
      <c r="D989" s="36"/>
      <c r="F989" s="1" t="s">
        <v>2843</v>
      </c>
      <c r="G989" s="30" t="s">
        <v>2986</v>
      </c>
      <c r="K989" s="1" t="s">
        <v>2990</v>
      </c>
      <c r="L989" s="1" t="s">
        <v>1279</v>
      </c>
      <c r="M989" s="36" t="s">
        <v>1511</v>
      </c>
      <c r="N989" s="1" t="s">
        <v>2988</v>
      </c>
      <c r="O989" s="1" t="s">
        <v>1286</v>
      </c>
      <c r="P989" s="34" t="str">
        <f t="shared" si="18"/>
        <v>F010</v>
      </c>
      <c r="Q989" s="1" t="s">
        <v>137</v>
      </c>
      <c r="S989" s="16">
        <v>20</v>
      </c>
      <c r="T989" s="1" t="s">
        <v>2842</v>
      </c>
      <c r="U989" s="1" t="s">
        <v>1468</v>
      </c>
      <c r="V989" s="1" t="s">
        <v>1634</v>
      </c>
      <c r="Y989" s="1">
        <v>3450</v>
      </c>
      <c r="AB989" s="1">
        <v>1638.72</v>
      </c>
    </row>
    <row r="990" spans="2:28" x14ac:dyDescent="0.2">
      <c r="B990" s="30" t="s">
        <v>2294</v>
      </c>
      <c r="C990" s="36"/>
      <c r="D990" s="36"/>
      <c r="F990" s="1" t="s">
        <v>2843</v>
      </c>
      <c r="G990" s="30" t="s">
        <v>2986</v>
      </c>
      <c r="K990" s="1" t="s">
        <v>2991</v>
      </c>
      <c r="L990" s="1" t="s">
        <v>1279</v>
      </c>
      <c r="M990" s="36" t="s">
        <v>1511</v>
      </c>
      <c r="N990" s="1" t="s">
        <v>2988</v>
      </c>
      <c r="O990" s="1" t="s">
        <v>1286</v>
      </c>
      <c r="P990" s="34" t="str">
        <f t="shared" si="18"/>
        <v>F010</v>
      </c>
      <c r="Q990" s="1" t="s">
        <v>137</v>
      </c>
      <c r="S990" s="16">
        <v>20</v>
      </c>
      <c r="T990" s="1" t="s">
        <v>2842</v>
      </c>
      <c r="U990" s="1" t="s">
        <v>1468</v>
      </c>
      <c r="V990" s="1" t="s">
        <v>1634</v>
      </c>
      <c r="Y990" s="1">
        <v>3450</v>
      </c>
      <c r="AB990" s="1">
        <v>1638.72</v>
      </c>
    </row>
    <row r="991" spans="2:28" x14ac:dyDescent="0.2">
      <c r="B991" s="30" t="s">
        <v>2294</v>
      </c>
      <c r="C991" s="36"/>
      <c r="D991" s="36"/>
      <c r="F991" s="1" t="s">
        <v>2843</v>
      </c>
      <c r="G991" s="30" t="s">
        <v>2986</v>
      </c>
      <c r="K991" s="1" t="s">
        <v>2992</v>
      </c>
      <c r="L991" s="1" t="s">
        <v>1279</v>
      </c>
      <c r="M991" s="36" t="s">
        <v>1511</v>
      </c>
      <c r="N991" s="1" t="s">
        <v>2988</v>
      </c>
      <c r="O991" s="1" t="s">
        <v>1286</v>
      </c>
      <c r="P991" s="34" t="str">
        <f t="shared" si="18"/>
        <v>F010</v>
      </c>
      <c r="Q991" s="1" t="s">
        <v>137</v>
      </c>
      <c r="S991" s="16">
        <v>20</v>
      </c>
      <c r="T991" s="1" t="s">
        <v>2842</v>
      </c>
      <c r="U991" s="1" t="s">
        <v>1468</v>
      </c>
      <c r="V991" s="1" t="s">
        <v>1634</v>
      </c>
      <c r="Y991" s="1">
        <v>3450</v>
      </c>
      <c r="AB991" s="1">
        <v>1638.72</v>
      </c>
    </row>
    <row r="992" spans="2:28" x14ac:dyDescent="0.2">
      <c r="B992" s="30" t="s">
        <v>2294</v>
      </c>
      <c r="C992" s="36"/>
      <c r="D992" s="36"/>
      <c r="F992" s="1" t="s">
        <v>2843</v>
      </c>
      <c r="G992" s="30" t="s">
        <v>2986</v>
      </c>
      <c r="K992" s="1" t="s">
        <v>2993</v>
      </c>
      <c r="L992" s="1" t="s">
        <v>1279</v>
      </c>
      <c r="M992" s="36" t="s">
        <v>1511</v>
      </c>
      <c r="N992" s="1" t="s">
        <v>2988</v>
      </c>
      <c r="O992" s="1" t="s">
        <v>1286</v>
      </c>
      <c r="P992" s="34" t="str">
        <f t="shared" si="18"/>
        <v>F010</v>
      </c>
      <c r="Q992" s="1" t="s">
        <v>137</v>
      </c>
      <c r="S992" s="16">
        <v>20</v>
      </c>
      <c r="T992" s="1" t="s">
        <v>2842</v>
      </c>
      <c r="U992" s="1" t="s">
        <v>1468</v>
      </c>
      <c r="V992" s="1" t="s">
        <v>1634</v>
      </c>
      <c r="Y992" s="1">
        <v>3450</v>
      </c>
      <c r="AB992" s="1">
        <v>1638.72</v>
      </c>
    </row>
    <row r="993" spans="2:28" x14ac:dyDescent="0.2">
      <c r="B993" s="30" t="s">
        <v>2294</v>
      </c>
      <c r="C993" s="36"/>
      <c r="D993" s="36"/>
      <c r="F993" s="1" t="s">
        <v>2843</v>
      </c>
      <c r="G993" s="30" t="s">
        <v>2986</v>
      </c>
      <c r="K993" s="1" t="s">
        <v>2994</v>
      </c>
      <c r="L993" s="1" t="s">
        <v>1279</v>
      </c>
      <c r="M993" s="36" t="s">
        <v>1511</v>
      </c>
      <c r="N993" s="1" t="s">
        <v>2988</v>
      </c>
      <c r="O993" s="1" t="s">
        <v>1286</v>
      </c>
      <c r="P993" s="34" t="str">
        <f t="shared" si="18"/>
        <v>F010</v>
      </c>
      <c r="Q993" s="1" t="s">
        <v>137</v>
      </c>
      <c r="S993" s="16">
        <v>20</v>
      </c>
      <c r="T993" s="1" t="s">
        <v>2842</v>
      </c>
      <c r="U993" s="1" t="s">
        <v>1468</v>
      </c>
      <c r="V993" s="1" t="s">
        <v>1634</v>
      </c>
      <c r="Y993" s="1">
        <v>3450</v>
      </c>
      <c r="AB993" s="1">
        <v>1638.72</v>
      </c>
    </row>
    <row r="994" spans="2:28" x14ac:dyDescent="0.2">
      <c r="B994" s="30" t="s">
        <v>2294</v>
      </c>
      <c r="C994" s="36"/>
      <c r="D994" s="36"/>
      <c r="F994" s="1" t="s">
        <v>2843</v>
      </c>
      <c r="G994" s="30" t="s">
        <v>2986</v>
      </c>
      <c r="K994" s="1" t="s">
        <v>2995</v>
      </c>
      <c r="L994" s="1" t="s">
        <v>1279</v>
      </c>
      <c r="M994" s="36" t="s">
        <v>1511</v>
      </c>
      <c r="N994" s="1" t="s">
        <v>2988</v>
      </c>
      <c r="O994" s="1" t="s">
        <v>1286</v>
      </c>
      <c r="P994" s="34" t="str">
        <f t="shared" si="18"/>
        <v>F010</v>
      </c>
      <c r="Q994" s="1" t="s">
        <v>137</v>
      </c>
      <c r="S994" s="16">
        <v>20</v>
      </c>
      <c r="T994" s="1" t="s">
        <v>2842</v>
      </c>
      <c r="U994" s="1" t="s">
        <v>1468</v>
      </c>
      <c r="V994" s="1" t="s">
        <v>1634</v>
      </c>
      <c r="Y994" s="1">
        <v>3450</v>
      </c>
      <c r="AB994" s="1">
        <v>1638.72</v>
      </c>
    </row>
    <row r="995" spans="2:28" x14ac:dyDescent="0.2">
      <c r="B995" s="30" t="s">
        <v>2294</v>
      </c>
      <c r="C995" s="36"/>
      <c r="D995" s="36"/>
      <c r="F995" s="1" t="s">
        <v>2843</v>
      </c>
      <c r="G995" s="30" t="s">
        <v>2986</v>
      </c>
      <c r="K995" s="1" t="s">
        <v>2996</v>
      </c>
      <c r="L995" s="1" t="s">
        <v>1279</v>
      </c>
      <c r="M995" s="36" t="s">
        <v>1511</v>
      </c>
      <c r="N995" s="1" t="s">
        <v>2988</v>
      </c>
      <c r="O995" s="1" t="s">
        <v>1286</v>
      </c>
      <c r="P995" s="34" t="str">
        <f t="shared" si="18"/>
        <v>F010</v>
      </c>
      <c r="Q995" s="1" t="s">
        <v>137</v>
      </c>
      <c r="S995" s="16">
        <v>20</v>
      </c>
      <c r="T995" s="1" t="s">
        <v>2842</v>
      </c>
      <c r="U995" s="1" t="s">
        <v>1468</v>
      </c>
      <c r="V995" s="1" t="s">
        <v>1634</v>
      </c>
      <c r="Y995" s="1">
        <v>3450</v>
      </c>
      <c r="AB995" s="1">
        <v>1638.72</v>
      </c>
    </row>
    <row r="996" spans="2:28" x14ac:dyDescent="0.2">
      <c r="B996" s="30" t="s">
        <v>2294</v>
      </c>
      <c r="C996" s="36"/>
      <c r="D996" s="36"/>
      <c r="F996" s="1" t="s">
        <v>2843</v>
      </c>
      <c r="G996" s="30" t="s">
        <v>2986</v>
      </c>
      <c r="K996" s="1" t="s">
        <v>2997</v>
      </c>
      <c r="L996" s="1" t="s">
        <v>1279</v>
      </c>
      <c r="M996" s="36" t="s">
        <v>1511</v>
      </c>
      <c r="N996" s="1" t="s">
        <v>2988</v>
      </c>
      <c r="O996" s="1" t="s">
        <v>1286</v>
      </c>
      <c r="P996" s="34" t="str">
        <f t="shared" si="18"/>
        <v>F010</v>
      </c>
      <c r="Q996" s="1" t="s">
        <v>137</v>
      </c>
      <c r="S996" s="16">
        <v>20</v>
      </c>
      <c r="T996" s="1" t="s">
        <v>2842</v>
      </c>
      <c r="U996" s="1" t="s">
        <v>1468</v>
      </c>
      <c r="V996" s="1" t="s">
        <v>1634</v>
      </c>
      <c r="Y996" s="1">
        <v>3450</v>
      </c>
      <c r="AB996" s="1">
        <v>1638.72</v>
      </c>
    </row>
    <row r="997" spans="2:28" x14ac:dyDescent="0.2">
      <c r="B997" s="30" t="s">
        <v>2294</v>
      </c>
      <c r="C997" s="36"/>
      <c r="D997" s="36"/>
      <c r="F997" s="1" t="s">
        <v>2843</v>
      </c>
      <c r="G997" s="30" t="s">
        <v>2986</v>
      </c>
      <c r="K997" s="1" t="s">
        <v>2998</v>
      </c>
      <c r="L997" s="1" t="s">
        <v>1279</v>
      </c>
      <c r="M997" s="36" t="s">
        <v>1511</v>
      </c>
      <c r="N997" s="1" t="s">
        <v>2988</v>
      </c>
      <c r="O997" s="1" t="s">
        <v>1286</v>
      </c>
      <c r="P997" s="34" t="str">
        <f t="shared" si="18"/>
        <v>F010</v>
      </c>
      <c r="Q997" s="1" t="s">
        <v>137</v>
      </c>
      <c r="S997" s="16">
        <v>20</v>
      </c>
      <c r="T997" s="1" t="s">
        <v>2842</v>
      </c>
      <c r="U997" s="1" t="s">
        <v>1468</v>
      </c>
      <c r="V997" s="1" t="s">
        <v>1634</v>
      </c>
      <c r="Y997" s="1">
        <v>3450</v>
      </c>
      <c r="AB997" s="1">
        <v>1638.72</v>
      </c>
    </row>
    <row r="998" spans="2:28" x14ac:dyDescent="0.2">
      <c r="B998" s="30" t="s">
        <v>2294</v>
      </c>
      <c r="C998" s="36"/>
      <c r="D998" s="36"/>
      <c r="F998" s="1" t="s">
        <v>2843</v>
      </c>
      <c r="G998" s="30" t="s">
        <v>2986</v>
      </c>
      <c r="K998" s="1" t="s">
        <v>2999</v>
      </c>
      <c r="L998" s="1" t="s">
        <v>1279</v>
      </c>
      <c r="M998" s="36" t="s">
        <v>1511</v>
      </c>
      <c r="N998" s="1" t="s">
        <v>2988</v>
      </c>
      <c r="O998" s="1" t="s">
        <v>1286</v>
      </c>
      <c r="P998" s="34" t="str">
        <f t="shared" si="18"/>
        <v>F010</v>
      </c>
      <c r="Q998" s="1" t="s">
        <v>137</v>
      </c>
      <c r="S998" s="16">
        <v>20</v>
      </c>
      <c r="T998" s="1" t="s">
        <v>2842</v>
      </c>
      <c r="U998" s="1" t="s">
        <v>1468</v>
      </c>
      <c r="V998" s="1" t="s">
        <v>1634</v>
      </c>
      <c r="Y998" s="1">
        <v>3450</v>
      </c>
      <c r="AB998" s="1">
        <v>1638.72</v>
      </c>
    </row>
    <row r="999" spans="2:28" x14ac:dyDescent="0.2">
      <c r="B999" s="30" t="s">
        <v>2294</v>
      </c>
      <c r="C999" s="36"/>
      <c r="D999" s="36"/>
      <c r="F999" s="1" t="s">
        <v>2843</v>
      </c>
      <c r="G999" s="30" t="s">
        <v>2986</v>
      </c>
      <c r="K999" s="1" t="s">
        <v>3000</v>
      </c>
      <c r="L999" s="1" t="s">
        <v>1279</v>
      </c>
      <c r="M999" s="36" t="s">
        <v>1511</v>
      </c>
      <c r="N999" s="1" t="s">
        <v>2988</v>
      </c>
      <c r="O999" s="1" t="s">
        <v>1286</v>
      </c>
      <c r="P999" s="34" t="str">
        <f t="shared" si="18"/>
        <v>F010</v>
      </c>
      <c r="Q999" s="1" t="s">
        <v>137</v>
      </c>
      <c r="S999" s="16">
        <v>20</v>
      </c>
      <c r="T999" s="1" t="s">
        <v>2842</v>
      </c>
      <c r="U999" s="1" t="s">
        <v>1468</v>
      </c>
      <c r="V999" s="1" t="s">
        <v>1634</v>
      </c>
      <c r="Y999" s="1">
        <v>3450</v>
      </c>
      <c r="AB999" s="1">
        <v>1638.72</v>
      </c>
    </row>
    <row r="1000" spans="2:28" x14ac:dyDescent="0.2">
      <c r="B1000" s="30" t="s">
        <v>2294</v>
      </c>
      <c r="C1000" s="36"/>
      <c r="D1000" s="36"/>
      <c r="F1000" s="1" t="s">
        <v>2843</v>
      </c>
      <c r="G1000" s="30" t="s">
        <v>2986</v>
      </c>
      <c r="K1000" s="1" t="s">
        <v>3001</v>
      </c>
      <c r="L1000" s="1" t="s">
        <v>1279</v>
      </c>
      <c r="M1000" s="36" t="s">
        <v>1511</v>
      </c>
      <c r="N1000" s="1" t="s">
        <v>2988</v>
      </c>
      <c r="O1000" s="1" t="s">
        <v>1286</v>
      </c>
      <c r="P1000" s="34" t="str">
        <f t="shared" si="18"/>
        <v>F010</v>
      </c>
      <c r="Q1000" s="1" t="s">
        <v>137</v>
      </c>
      <c r="S1000" s="16">
        <v>20</v>
      </c>
      <c r="T1000" s="1" t="s">
        <v>2842</v>
      </c>
      <c r="U1000" s="1" t="s">
        <v>1468</v>
      </c>
      <c r="V1000" s="1" t="s">
        <v>1634</v>
      </c>
      <c r="Y1000" s="1">
        <v>3450</v>
      </c>
      <c r="AB1000" s="1">
        <v>1638.72</v>
      </c>
    </row>
    <row r="1001" spans="2:28" x14ac:dyDescent="0.2">
      <c r="B1001" s="30" t="s">
        <v>2294</v>
      </c>
      <c r="C1001" s="36"/>
      <c r="D1001" s="36"/>
      <c r="F1001" s="1" t="s">
        <v>2843</v>
      </c>
      <c r="G1001" s="30" t="s">
        <v>2986</v>
      </c>
      <c r="K1001" s="1" t="s">
        <v>3002</v>
      </c>
      <c r="L1001" s="1" t="s">
        <v>1279</v>
      </c>
      <c r="M1001" s="36" t="s">
        <v>1511</v>
      </c>
      <c r="N1001" s="1" t="s">
        <v>2988</v>
      </c>
      <c r="O1001" s="1" t="s">
        <v>1286</v>
      </c>
      <c r="P1001" s="34" t="str">
        <f t="shared" si="18"/>
        <v>F010</v>
      </c>
      <c r="Q1001" s="1" t="s">
        <v>137</v>
      </c>
      <c r="S1001" s="16">
        <v>20</v>
      </c>
      <c r="T1001" s="1" t="s">
        <v>2842</v>
      </c>
      <c r="U1001" s="1" t="s">
        <v>1468</v>
      </c>
      <c r="V1001" s="1" t="s">
        <v>1634</v>
      </c>
      <c r="Y1001" s="1">
        <v>3450</v>
      </c>
      <c r="AB1001" s="1">
        <v>1638.72</v>
      </c>
    </row>
    <row r="1002" spans="2:28" x14ac:dyDescent="0.2">
      <c r="B1002" s="30" t="s">
        <v>2294</v>
      </c>
      <c r="C1002" s="36"/>
      <c r="D1002" s="36"/>
      <c r="F1002" s="1" t="s">
        <v>2843</v>
      </c>
      <c r="G1002" s="30" t="s">
        <v>2986</v>
      </c>
      <c r="K1002" s="1" t="s">
        <v>3003</v>
      </c>
      <c r="L1002" s="1" t="s">
        <v>1279</v>
      </c>
      <c r="M1002" s="36" t="s">
        <v>1511</v>
      </c>
      <c r="N1002" s="1" t="s">
        <v>2988</v>
      </c>
      <c r="O1002" s="1" t="s">
        <v>1286</v>
      </c>
      <c r="P1002" s="34" t="str">
        <f t="shared" si="18"/>
        <v>F010</v>
      </c>
      <c r="Q1002" s="1" t="s">
        <v>137</v>
      </c>
      <c r="S1002" s="16">
        <v>20</v>
      </c>
      <c r="T1002" s="1" t="s">
        <v>2842</v>
      </c>
      <c r="U1002" s="1" t="s">
        <v>1468</v>
      </c>
      <c r="V1002" s="1" t="s">
        <v>1634</v>
      </c>
      <c r="Y1002" s="1">
        <v>3450</v>
      </c>
      <c r="AB1002" s="1">
        <v>1638.72</v>
      </c>
    </row>
    <row r="1003" spans="2:28" x14ac:dyDescent="0.2">
      <c r="B1003" s="30" t="s">
        <v>2294</v>
      </c>
      <c r="C1003" s="36"/>
      <c r="D1003" s="36"/>
      <c r="F1003" s="1" t="s">
        <v>2843</v>
      </c>
      <c r="G1003" s="30" t="s">
        <v>2986</v>
      </c>
      <c r="K1003" s="1" t="s">
        <v>3004</v>
      </c>
      <c r="L1003" s="1" t="s">
        <v>1279</v>
      </c>
      <c r="M1003" s="36" t="s">
        <v>1511</v>
      </c>
      <c r="N1003" s="1" t="s">
        <v>2988</v>
      </c>
      <c r="O1003" s="1" t="s">
        <v>1286</v>
      </c>
      <c r="P1003" s="34" t="str">
        <f t="shared" si="18"/>
        <v>F010</v>
      </c>
      <c r="Q1003" s="1" t="s">
        <v>137</v>
      </c>
      <c r="S1003" s="16">
        <v>20</v>
      </c>
      <c r="T1003" s="1" t="s">
        <v>2842</v>
      </c>
      <c r="U1003" s="1" t="s">
        <v>1468</v>
      </c>
      <c r="V1003" s="1" t="s">
        <v>1634</v>
      </c>
      <c r="Y1003" s="1">
        <v>3450</v>
      </c>
      <c r="AB1003" s="1">
        <v>1638.72</v>
      </c>
    </row>
    <row r="1004" spans="2:28" x14ac:dyDescent="0.2">
      <c r="B1004" s="30" t="s">
        <v>2294</v>
      </c>
      <c r="C1004" s="36"/>
      <c r="D1004" s="36"/>
      <c r="F1004" s="1" t="s">
        <v>2843</v>
      </c>
      <c r="G1004" s="30" t="s">
        <v>2986</v>
      </c>
      <c r="K1004" s="1" t="s">
        <v>3005</v>
      </c>
      <c r="L1004" s="1" t="s">
        <v>1279</v>
      </c>
      <c r="M1004" s="36" t="s">
        <v>1511</v>
      </c>
      <c r="N1004" s="1" t="s">
        <v>2988</v>
      </c>
      <c r="O1004" s="1" t="s">
        <v>1286</v>
      </c>
      <c r="P1004" s="34" t="str">
        <f t="shared" si="18"/>
        <v>F010</v>
      </c>
      <c r="Q1004" s="1" t="s">
        <v>137</v>
      </c>
      <c r="S1004" s="16">
        <v>20</v>
      </c>
      <c r="T1004" s="1" t="s">
        <v>2842</v>
      </c>
      <c r="U1004" s="1" t="s">
        <v>1468</v>
      </c>
      <c r="V1004" s="1" t="s">
        <v>1634</v>
      </c>
      <c r="Y1004" s="1">
        <v>3450</v>
      </c>
      <c r="AB1004" s="1">
        <v>1638.72</v>
      </c>
    </row>
    <row r="1005" spans="2:28" x14ac:dyDescent="0.2">
      <c r="B1005" s="30" t="s">
        <v>2294</v>
      </c>
      <c r="C1005" s="36"/>
      <c r="D1005" s="36"/>
      <c r="F1005" s="1" t="s">
        <v>2843</v>
      </c>
      <c r="G1005" s="30" t="s">
        <v>2986</v>
      </c>
      <c r="K1005" s="1" t="s">
        <v>3006</v>
      </c>
      <c r="L1005" s="1" t="s">
        <v>1279</v>
      </c>
      <c r="M1005" s="36" t="s">
        <v>1511</v>
      </c>
      <c r="N1005" s="1" t="s">
        <v>2988</v>
      </c>
      <c r="O1005" s="1" t="s">
        <v>1286</v>
      </c>
      <c r="P1005" s="34" t="str">
        <f t="shared" si="18"/>
        <v>F010</v>
      </c>
      <c r="Q1005" s="1" t="s">
        <v>137</v>
      </c>
      <c r="S1005" s="16">
        <v>20</v>
      </c>
      <c r="T1005" s="1" t="s">
        <v>2842</v>
      </c>
      <c r="U1005" s="1" t="s">
        <v>1468</v>
      </c>
      <c r="V1005" s="1" t="s">
        <v>1634</v>
      </c>
      <c r="Y1005" s="1">
        <v>3450</v>
      </c>
      <c r="AB1005" s="1">
        <v>1638.72</v>
      </c>
    </row>
    <row r="1006" spans="2:28" x14ac:dyDescent="0.2">
      <c r="B1006" s="30" t="s">
        <v>2294</v>
      </c>
      <c r="C1006" s="36"/>
      <c r="D1006" s="36"/>
      <c r="F1006" s="1" t="s">
        <v>2843</v>
      </c>
      <c r="G1006" s="30" t="s">
        <v>2986</v>
      </c>
      <c r="K1006" s="1" t="s">
        <v>3007</v>
      </c>
      <c r="L1006" s="1" t="s">
        <v>1279</v>
      </c>
      <c r="M1006" s="36" t="s">
        <v>1511</v>
      </c>
      <c r="N1006" s="1" t="s">
        <v>2988</v>
      </c>
      <c r="O1006" s="1" t="s">
        <v>1286</v>
      </c>
      <c r="P1006" s="34" t="str">
        <f t="shared" si="18"/>
        <v>F010</v>
      </c>
      <c r="Q1006" s="1" t="s">
        <v>137</v>
      </c>
      <c r="S1006" s="16">
        <v>20</v>
      </c>
      <c r="T1006" s="1" t="s">
        <v>2842</v>
      </c>
      <c r="U1006" s="1" t="s">
        <v>1468</v>
      </c>
      <c r="V1006" s="1" t="s">
        <v>1634</v>
      </c>
      <c r="Y1006" s="1">
        <v>3450</v>
      </c>
      <c r="AB1006" s="1">
        <v>1638.72</v>
      </c>
    </row>
    <row r="1007" spans="2:28" x14ac:dyDescent="0.2">
      <c r="B1007" s="30" t="s">
        <v>2294</v>
      </c>
      <c r="C1007" s="36"/>
      <c r="D1007" s="36"/>
      <c r="F1007" s="1" t="s">
        <v>2843</v>
      </c>
      <c r="G1007" s="30" t="s">
        <v>2986</v>
      </c>
      <c r="K1007" s="1" t="s">
        <v>3008</v>
      </c>
      <c r="L1007" s="1" t="s">
        <v>1279</v>
      </c>
      <c r="M1007" s="36" t="s">
        <v>1511</v>
      </c>
      <c r="N1007" s="1" t="s">
        <v>2988</v>
      </c>
      <c r="O1007" s="1" t="s">
        <v>1286</v>
      </c>
      <c r="P1007" s="34" t="str">
        <f t="shared" si="18"/>
        <v>F010</v>
      </c>
      <c r="Q1007" s="1" t="s">
        <v>137</v>
      </c>
      <c r="S1007" s="16">
        <v>20</v>
      </c>
      <c r="T1007" s="1" t="s">
        <v>2842</v>
      </c>
      <c r="U1007" s="1" t="s">
        <v>1468</v>
      </c>
      <c r="V1007" s="1" t="s">
        <v>1634</v>
      </c>
      <c r="Y1007" s="1">
        <v>3450</v>
      </c>
      <c r="AB1007" s="1">
        <v>1638.72</v>
      </c>
    </row>
    <row r="1008" spans="2:28" x14ac:dyDescent="0.2">
      <c r="B1008" s="30" t="s">
        <v>2294</v>
      </c>
      <c r="C1008" s="36"/>
      <c r="D1008" s="36"/>
      <c r="F1008" s="1" t="s">
        <v>2843</v>
      </c>
      <c r="G1008" s="30" t="s">
        <v>2986</v>
      </c>
      <c r="K1008" s="1" t="s">
        <v>3009</v>
      </c>
      <c r="L1008" s="1" t="s">
        <v>1279</v>
      </c>
      <c r="M1008" s="36" t="s">
        <v>1511</v>
      </c>
      <c r="N1008" s="1" t="s">
        <v>2988</v>
      </c>
      <c r="O1008" s="1" t="s">
        <v>1286</v>
      </c>
      <c r="P1008" s="34" t="str">
        <f t="shared" si="18"/>
        <v>F010</v>
      </c>
      <c r="Q1008" s="1" t="s">
        <v>137</v>
      </c>
      <c r="S1008" s="16">
        <v>20</v>
      </c>
      <c r="T1008" s="1" t="s">
        <v>2842</v>
      </c>
      <c r="U1008" s="1" t="s">
        <v>1468</v>
      </c>
      <c r="V1008" s="1" t="s">
        <v>1634</v>
      </c>
      <c r="Y1008" s="1">
        <v>3450</v>
      </c>
      <c r="AB1008" s="1">
        <v>1638.72</v>
      </c>
    </row>
    <row r="1009" spans="2:28" x14ac:dyDescent="0.2">
      <c r="B1009" s="30" t="s">
        <v>2294</v>
      </c>
      <c r="C1009" s="36"/>
      <c r="D1009" s="36"/>
      <c r="F1009" s="1" t="s">
        <v>2843</v>
      </c>
      <c r="G1009" s="30" t="s">
        <v>2986</v>
      </c>
      <c r="K1009" s="1" t="s">
        <v>3010</v>
      </c>
      <c r="L1009" s="1" t="s">
        <v>1279</v>
      </c>
      <c r="M1009" s="36" t="s">
        <v>1511</v>
      </c>
      <c r="N1009" s="1" t="s">
        <v>2400</v>
      </c>
      <c r="O1009" s="1" t="s">
        <v>1286</v>
      </c>
      <c r="P1009" s="34" t="str">
        <f t="shared" si="18"/>
        <v>F010</v>
      </c>
      <c r="Q1009" s="1" t="s">
        <v>137</v>
      </c>
      <c r="S1009" s="16">
        <v>20</v>
      </c>
      <c r="T1009" s="1" t="s">
        <v>2842</v>
      </c>
      <c r="U1009" s="1" t="s">
        <v>1468</v>
      </c>
      <c r="V1009" s="1" t="s">
        <v>1634</v>
      </c>
      <c r="Y1009" s="1">
        <v>3450</v>
      </c>
      <c r="AB1009" s="1">
        <v>1638.72</v>
      </c>
    </row>
    <row r="1010" spans="2:28" x14ac:dyDescent="0.2">
      <c r="B1010" s="30" t="s">
        <v>2294</v>
      </c>
      <c r="C1010" s="36"/>
      <c r="D1010" s="36"/>
      <c r="F1010" s="1" t="s">
        <v>2843</v>
      </c>
      <c r="G1010" s="30" t="s">
        <v>2986</v>
      </c>
      <c r="K1010" s="1" t="s">
        <v>3011</v>
      </c>
      <c r="L1010" s="1" t="s">
        <v>1279</v>
      </c>
      <c r="M1010" s="36" t="s">
        <v>1511</v>
      </c>
      <c r="N1010" s="1" t="s">
        <v>2400</v>
      </c>
      <c r="O1010" s="1" t="s">
        <v>1286</v>
      </c>
      <c r="P1010" s="34" t="str">
        <f t="shared" si="18"/>
        <v>F010</v>
      </c>
      <c r="Q1010" s="1" t="s">
        <v>137</v>
      </c>
      <c r="S1010" s="16">
        <v>20</v>
      </c>
      <c r="T1010" s="1" t="s">
        <v>2842</v>
      </c>
      <c r="U1010" s="1" t="s">
        <v>1468</v>
      </c>
      <c r="V1010" s="1" t="s">
        <v>1634</v>
      </c>
      <c r="Y1010" s="1">
        <v>3450</v>
      </c>
      <c r="AB1010" s="1">
        <v>1638.72</v>
      </c>
    </row>
    <row r="1011" spans="2:28" x14ac:dyDescent="0.2">
      <c r="B1011" s="30" t="s">
        <v>2294</v>
      </c>
      <c r="C1011" s="36"/>
      <c r="D1011" s="36"/>
      <c r="F1011" s="1" t="s">
        <v>2843</v>
      </c>
      <c r="G1011" s="30" t="s">
        <v>2986</v>
      </c>
      <c r="K1011" s="1" t="s">
        <v>3012</v>
      </c>
      <c r="L1011" s="1" t="s">
        <v>1279</v>
      </c>
      <c r="M1011" s="36" t="s">
        <v>1511</v>
      </c>
      <c r="N1011" s="1" t="s">
        <v>2400</v>
      </c>
      <c r="O1011" s="1" t="s">
        <v>1286</v>
      </c>
      <c r="P1011" s="34" t="str">
        <f t="shared" si="18"/>
        <v>F010</v>
      </c>
      <c r="Q1011" s="1" t="s">
        <v>137</v>
      </c>
      <c r="S1011" s="16">
        <v>20</v>
      </c>
      <c r="T1011" s="1" t="s">
        <v>2842</v>
      </c>
      <c r="U1011" s="1" t="s">
        <v>1468</v>
      </c>
      <c r="V1011" s="1" t="s">
        <v>1634</v>
      </c>
      <c r="Y1011" s="1">
        <v>3450</v>
      </c>
      <c r="AB1011" s="1">
        <v>1638.72</v>
      </c>
    </row>
    <row r="1012" spans="2:28" x14ac:dyDescent="0.2">
      <c r="B1012" s="30" t="s">
        <v>2294</v>
      </c>
      <c r="C1012" s="36"/>
      <c r="D1012" s="36"/>
      <c r="F1012" s="1" t="s">
        <v>2843</v>
      </c>
      <c r="G1012" s="30" t="s">
        <v>2986</v>
      </c>
      <c r="K1012" s="1" t="s">
        <v>3013</v>
      </c>
      <c r="L1012" s="1" t="s">
        <v>1279</v>
      </c>
      <c r="M1012" s="36" t="s">
        <v>1511</v>
      </c>
      <c r="N1012" s="1" t="s">
        <v>2400</v>
      </c>
      <c r="O1012" s="1" t="s">
        <v>1286</v>
      </c>
      <c r="P1012" s="34" t="str">
        <f t="shared" si="18"/>
        <v>F010</v>
      </c>
      <c r="Q1012" s="1" t="s">
        <v>137</v>
      </c>
      <c r="S1012" s="16">
        <v>20</v>
      </c>
      <c r="T1012" s="1" t="s">
        <v>2842</v>
      </c>
      <c r="U1012" s="1" t="s">
        <v>1468</v>
      </c>
      <c r="V1012" s="1" t="s">
        <v>1634</v>
      </c>
      <c r="Y1012" s="1">
        <v>3450</v>
      </c>
      <c r="AB1012" s="1">
        <v>1638.72</v>
      </c>
    </row>
    <row r="1013" spans="2:28" x14ac:dyDescent="0.2">
      <c r="B1013" s="30" t="s">
        <v>2294</v>
      </c>
      <c r="C1013" s="36"/>
      <c r="D1013" s="36"/>
      <c r="F1013" s="1" t="s">
        <v>2843</v>
      </c>
      <c r="G1013" s="30" t="s">
        <v>2986</v>
      </c>
      <c r="K1013" s="1" t="s">
        <v>3014</v>
      </c>
      <c r="L1013" s="1" t="s">
        <v>1279</v>
      </c>
      <c r="M1013" s="36" t="s">
        <v>1511</v>
      </c>
      <c r="N1013" s="1" t="s">
        <v>2400</v>
      </c>
      <c r="O1013" s="1" t="s">
        <v>1286</v>
      </c>
      <c r="P1013" s="34" t="str">
        <f t="shared" si="18"/>
        <v>F010</v>
      </c>
      <c r="Q1013" s="1" t="s">
        <v>137</v>
      </c>
      <c r="S1013" s="16">
        <v>20</v>
      </c>
      <c r="T1013" s="1" t="s">
        <v>2842</v>
      </c>
      <c r="U1013" s="1" t="s">
        <v>1468</v>
      </c>
      <c r="V1013" s="1" t="s">
        <v>1634</v>
      </c>
      <c r="Y1013" s="1">
        <v>3450</v>
      </c>
      <c r="AB1013" s="1">
        <v>1638.72</v>
      </c>
    </row>
    <row r="1014" spans="2:28" x14ac:dyDescent="0.2">
      <c r="B1014" s="30" t="s">
        <v>2294</v>
      </c>
      <c r="C1014" s="36"/>
      <c r="D1014" s="36"/>
      <c r="F1014" s="1" t="s">
        <v>2843</v>
      </c>
      <c r="G1014" s="30" t="s">
        <v>2986</v>
      </c>
      <c r="K1014" s="1" t="s">
        <v>3015</v>
      </c>
      <c r="L1014" s="1" t="s">
        <v>1279</v>
      </c>
      <c r="M1014" s="36" t="s">
        <v>1511</v>
      </c>
      <c r="N1014" s="1" t="s">
        <v>2400</v>
      </c>
      <c r="O1014" s="1" t="s">
        <v>1286</v>
      </c>
      <c r="P1014" s="34" t="str">
        <f t="shared" si="18"/>
        <v>F010</v>
      </c>
      <c r="Q1014" s="1" t="s">
        <v>137</v>
      </c>
      <c r="S1014" s="16">
        <v>20</v>
      </c>
      <c r="T1014" s="1" t="s">
        <v>2842</v>
      </c>
      <c r="U1014" s="1" t="s">
        <v>1468</v>
      </c>
      <c r="V1014" s="1" t="s">
        <v>1634</v>
      </c>
      <c r="Y1014" s="1">
        <v>3450</v>
      </c>
      <c r="AB1014" s="1">
        <v>1638.72</v>
      </c>
    </row>
    <row r="1015" spans="2:28" x14ac:dyDescent="0.2">
      <c r="B1015" s="30" t="s">
        <v>2294</v>
      </c>
      <c r="C1015" s="36"/>
      <c r="D1015" s="36"/>
      <c r="F1015" s="1" t="s">
        <v>2843</v>
      </c>
      <c r="G1015" s="30" t="s">
        <v>2986</v>
      </c>
      <c r="K1015" s="1" t="s">
        <v>3016</v>
      </c>
      <c r="L1015" s="1" t="s">
        <v>1279</v>
      </c>
      <c r="M1015" s="36" t="s">
        <v>1511</v>
      </c>
      <c r="N1015" s="1" t="s">
        <v>2400</v>
      </c>
      <c r="O1015" s="1" t="s">
        <v>1286</v>
      </c>
      <c r="P1015" s="34" t="str">
        <f t="shared" si="18"/>
        <v>F010</v>
      </c>
      <c r="Q1015" s="1" t="s">
        <v>137</v>
      </c>
      <c r="S1015" s="16">
        <v>20</v>
      </c>
      <c r="T1015" s="1" t="s">
        <v>2842</v>
      </c>
      <c r="U1015" s="1" t="s">
        <v>1468</v>
      </c>
      <c r="V1015" s="1" t="s">
        <v>1634</v>
      </c>
      <c r="Y1015" s="1">
        <v>3450</v>
      </c>
      <c r="AB1015" s="1">
        <v>1638.72</v>
      </c>
    </row>
    <row r="1016" spans="2:28" x14ac:dyDescent="0.2">
      <c r="B1016" s="30" t="s">
        <v>2294</v>
      </c>
      <c r="C1016" s="36"/>
      <c r="D1016" s="36"/>
      <c r="F1016" s="1" t="s">
        <v>2843</v>
      </c>
      <c r="G1016" s="30" t="s">
        <v>2986</v>
      </c>
      <c r="K1016" s="1" t="s">
        <v>3017</v>
      </c>
      <c r="L1016" s="1" t="s">
        <v>1279</v>
      </c>
      <c r="M1016" s="36" t="s">
        <v>1511</v>
      </c>
      <c r="N1016" s="1" t="s">
        <v>2400</v>
      </c>
      <c r="O1016" s="1" t="s">
        <v>1286</v>
      </c>
      <c r="P1016" s="34" t="str">
        <f t="shared" si="18"/>
        <v>F010</v>
      </c>
      <c r="Q1016" s="1" t="s">
        <v>137</v>
      </c>
      <c r="S1016" s="16">
        <v>20</v>
      </c>
      <c r="T1016" s="1" t="s">
        <v>2842</v>
      </c>
      <c r="U1016" s="1" t="s">
        <v>1468</v>
      </c>
      <c r="V1016" s="1" t="s">
        <v>1634</v>
      </c>
      <c r="Y1016" s="1">
        <v>3450</v>
      </c>
      <c r="AB1016" s="1">
        <v>1638.72</v>
      </c>
    </row>
    <row r="1017" spans="2:28" x14ac:dyDescent="0.2">
      <c r="B1017" s="30" t="s">
        <v>2294</v>
      </c>
      <c r="C1017" s="36"/>
      <c r="D1017" s="36"/>
      <c r="F1017" s="1" t="s">
        <v>2843</v>
      </c>
      <c r="G1017" s="30" t="s">
        <v>2986</v>
      </c>
      <c r="K1017" s="1" t="s">
        <v>3018</v>
      </c>
      <c r="L1017" s="1" t="s">
        <v>1279</v>
      </c>
      <c r="M1017" s="36" t="s">
        <v>1511</v>
      </c>
      <c r="N1017" s="1" t="s">
        <v>2400</v>
      </c>
      <c r="O1017" s="1" t="s">
        <v>1286</v>
      </c>
      <c r="P1017" s="34" t="str">
        <f t="shared" si="18"/>
        <v>F010</v>
      </c>
      <c r="Q1017" s="1" t="s">
        <v>137</v>
      </c>
      <c r="S1017" s="16">
        <v>20</v>
      </c>
      <c r="T1017" s="1" t="s">
        <v>2842</v>
      </c>
      <c r="U1017" s="1" t="s">
        <v>1468</v>
      </c>
      <c r="V1017" s="1" t="s">
        <v>1634</v>
      </c>
      <c r="Y1017" s="1">
        <v>3450</v>
      </c>
      <c r="AB1017" s="1">
        <v>1638.72</v>
      </c>
    </row>
    <row r="1018" spans="2:28" x14ac:dyDescent="0.2">
      <c r="B1018" s="30" t="s">
        <v>2294</v>
      </c>
      <c r="C1018" s="36"/>
      <c r="D1018" s="36"/>
      <c r="F1018" s="1" t="s">
        <v>2843</v>
      </c>
      <c r="G1018" s="30" t="s">
        <v>2986</v>
      </c>
      <c r="K1018" s="1" t="s">
        <v>3019</v>
      </c>
      <c r="L1018" s="1" t="s">
        <v>1279</v>
      </c>
      <c r="M1018" s="36" t="s">
        <v>1511</v>
      </c>
      <c r="N1018" s="1" t="s">
        <v>2400</v>
      </c>
      <c r="O1018" s="1" t="s">
        <v>1286</v>
      </c>
      <c r="P1018" s="34" t="str">
        <f t="shared" si="18"/>
        <v>F010</v>
      </c>
      <c r="Q1018" s="1" t="s">
        <v>137</v>
      </c>
      <c r="S1018" s="16">
        <v>20</v>
      </c>
      <c r="T1018" s="1" t="s">
        <v>2842</v>
      </c>
      <c r="U1018" s="1" t="s">
        <v>1468</v>
      </c>
      <c r="V1018" s="1" t="s">
        <v>1634</v>
      </c>
      <c r="Y1018" s="1">
        <v>3450</v>
      </c>
      <c r="AB1018" s="1">
        <v>1638.72</v>
      </c>
    </row>
    <row r="1019" spans="2:28" x14ac:dyDescent="0.2">
      <c r="B1019" s="30" t="s">
        <v>2294</v>
      </c>
      <c r="C1019" s="36"/>
      <c r="D1019" s="36"/>
      <c r="F1019" s="1" t="s">
        <v>2843</v>
      </c>
      <c r="G1019" s="30" t="s">
        <v>2986</v>
      </c>
      <c r="K1019" s="1" t="s">
        <v>3020</v>
      </c>
      <c r="L1019" s="1" t="s">
        <v>1279</v>
      </c>
      <c r="M1019" s="36" t="s">
        <v>1511</v>
      </c>
      <c r="N1019" s="1" t="s">
        <v>2400</v>
      </c>
      <c r="O1019" s="1" t="s">
        <v>1286</v>
      </c>
      <c r="P1019" s="34" t="str">
        <f t="shared" si="18"/>
        <v>F010</v>
      </c>
      <c r="Q1019" s="1" t="s">
        <v>137</v>
      </c>
      <c r="S1019" s="16">
        <v>20</v>
      </c>
      <c r="T1019" s="1" t="s">
        <v>2842</v>
      </c>
      <c r="U1019" s="1" t="s">
        <v>1468</v>
      </c>
      <c r="V1019" s="1" t="s">
        <v>1634</v>
      </c>
      <c r="Y1019" s="1">
        <v>3450</v>
      </c>
      <c r="AB1019" s="1">
        <v>1638.72</v>
      </c>
    </row>
    <row r="1020" spans="2:28" x14ac:dyDescent="0.2">
      <c r="B1020" s="30" t="s">
        <v>2294</v>
      </c>
      <c r="C1020" s="36"/>
      <c r="D1020" s="36"/>
      <c r="F1020" s="1" t="s">
        <v>2843</v>
      </c>
      <c r="G1020" s="30" t="s">
        <v>2986</v>
      </c>
      <c r="K1020" s="1" t="s">
        <v>3021</v>
      </c>
      <c r="L1020" s="1" t="s">
        <v>1279</v>
      </c>
      <c r="M1020" s="36" t="s">
        <v>1511</v>
      </c>
      <c r="N1020" s="1" t="s">
        <v>2400</v>
      </c>
      <c r="O1020" s="1" t="s">
        <v>1286</v>
      </c>
      <c r="P1020" s="34" t="str">
        <f t="shared" si="18"/>
        <v>F010</v>
      </c>
      <c r="Q1020" s="1" t="s">
        <v>137</v>
      </c>
      <c r="S1020" s="16">
        <v>20</v>
      </c>
      <c r="T1020" s="1" t="s">
        <v>2842</v>
      </c>
      <c r="U1020" s="1" t="s">
        <v>1468</v>
      </c>
      <c r="V1020" s="1" t="s">
        <v>1634</v>
      </c>
      <c r="Y1020" s="1">
        <v>3450</v>
      </c>
      <c r="AB1020" s="1">
        <v>1638.72</v>
      </c>
    </row>
    <row r="1021" spans="2:28" x14ac:dyDescent="0.2">
      <c r="B1021" s="30" t="s">
        <v>2294</v>
      </c>
      <c r="C1021" s="36"/>
      <c r="D1021" s="36"/>
      <c r="F1021" s="1" t="s">
        <v>2843</v>
      </c>
      <c r="G1021" s="30" t="s">
        <v>2986</v>
      </c>
      <c r="K1021" s="1" t="s">
        <v>3022</v>
      </c>
      <c r="L1021" s="1" t="s">
        <v>1279</v>
      </c>
      <c r="M1021" s="36" t="s">
        <v>1511</v>
      </c>
      <c r="N1021" s="1" t="s">
        <v>2400</v>
      </c>
      <c r="O1021" s="1" t="s">
        <v>1286</v>
      </c>
      <c r="P1021" s="34" t="str">
        <f t="shared" si="18"/>
        <v>F010</v>
      </c>
      <c r="Q1021" s="1" t="s">
        <v>137</v>
      </c>
      <c r="S1021" s="16">
        <v>20</v>
      </c>
      <c r="T1021" s="1" t="s">
        <v>2842</v>
      </c>
      <c r="U1021" s="1" t="s">
        <v>1468</v>
      </c>
      <c r="V1021" s="1" t="s">
        <v>1634</v>
      </c>
      <c r="Y1021" s="1">
        <v>3450</v>
      </c>
      <c r="AB1021" s="1">
        <v>1638.72</v>
      </c>
    </row>
    <row r="1022" spans="2:28" x14ac:dyDescent="0.2">
      <c r="B1022" s="30" t="s">
        <v>2294</v>
      </c>
      <c r="C1022" s="36"/>
      <c r="D1022" s="36"/>
      <c r="F1022" s="1" t="s">
        <v>2843</v>
      </c>
      <c r="G1022" s="30" t="s">
        <v>2986</v>
      </c>
      <c r="K1022" s="1" t="s">
        <v>3023</v>
      </c>
      <c r="L1022" s="1" t="s">
        <v>1279</v>
      </c>
      <c r="M1022" s="36" t="s">
        <v>1511</v>
      </c>
      <c r="N1022" s="1" t="s">
        <v>2400</v>
      </c>
      <c r="O1022" s="1" t="s">
        <v>1286</v>
      </c>
      <c r="P1022" s="34" t="str">
        <f t="shared" si="18"/>
        <v>F010</v>
      </c>
      <c r="Q1022" s="1" t="s">
        <v>137</v>
      </c>
      <c r="S1022" s="16">
        <v>20</v>
      </c>
      <c r="T1022" s="1" t="s">
        <v>2842</v>
      </c>
      <c r="U1022" s="1" t="s">
        <v>1468</v>
      </c>
      <c r="V1022" s="1" t="s">
        <v>1634</v>
      </c>
      <c r="Y1022" s="1">
        <v>3450</v>
      </c>
      <c r="AB1022" s="1">
        <v>1638.72</v>
      </c>
    </row>
    <row r="1023" spans="2:28" x14ac:dyDescent="0.2">
      <c r="B1023" s="30" t="s">
        <v>2294</v>
      </c>
      <c r="C1023" s="36"/>
      <c r="D1023" s="36"/>
      <c r="F1023" s="1" t="s">
        <v>2843</v>
      </c>
      <c r="G1023" s="30" t="s">
        <v>2986</v>
      </c>
      <c r="K1023" s="1" t="s">
        <v>3024</v>
      </c>
      <c r="L1023" s="1" t="s">
        <v>1279</v>
      </c>
      <c r="M1023" s="36" t="s">
        <v>1511</v>
      </c>
      <c r="N1023" s="1" t="s">
        <v>2400</v>
      </c>
      <c r="O1023" s="1" t="s">
        <v>1286</v>
      </c>
      <c r="P1023" s="34" t="str">
        <f t="shared" si="18"/>
        <v>F010</v>
      </c>
      <c r="Q1023" s="1" t="s">
        <v>137</v>
      </c>
      <c r="S1023" s="16">
        <v>20</v>
      </c>
      <c r="T1023" s="1" t="s">
        <v>2842</v>
      </c>
      <c r="U1023" s="1" t="s">
        <v>1468</v>
      </c>
      <c r="V1023" s="1" t="s">
        <v>1634</v>
      </c>
      <c r="Y1023" s="1">
        <v>3450</v>
      </c>
      <c r="AB1023" s="1">
        <v>1638.72</v>
      </c>
    </row>
    <row r="1024" spans="2:28" x14ac:dyDescent="0.2">
      <c r="B1024" s="30" t="s">
        <v>2294</v>
      </c>
      <c r="C1024" s="36"/>
      <c r="D1024" s="36"/>
      <c r="F1024" s="1" t="s">
        <v>2843</v>
      </c>
      <c r="G1024" s="30" t="s">
        <v>2986</v>
      </c>
      <c r="K1024" s="1" t="s">
        <v>3025</v>
      </c>
      <c r="L1024" s="1" t="s">
        <v>1279</v>
      </c>
      <c r="M1024" s="36" t="s">
        <v>1511</v>
      </c>
      <c r="N1024" s="1" t="s">
        <v>2400</v>
      </c>
      <c r="O1024" s="1" t="s">
        <v>1286</v>
      </c>
      <c r="P1024" s="34" t="str">
        <f t="shared" si="18"/>
        <v>F010</v>
      </c>
      <c r="Q1024" s="1" t="s">
        <v>137</v>
      </c>
      <c r="S1024" s="16">
        <v>20</v>
      </c>
      <c r="T1024" s="1" t="s">
        <v>2842</v>
      </c>
      <c r="U1024" s="1" t="s">
        <v>1468</v>
      </c>
      <c r="V1024" s="1" t="s">
        <v>1634</v>
      </c>
      <c r="Y1024" s="1">
        <v>3450</v>
      </c>
      <c r="AB1024" s="1">
        <v>1638.72</v>
      </c>
    </row>
    <row r="1025" spans="2:28" x14ac:dyDescent="0.2">
      <c r="B1025" s="30" t="s">
        <v>2294</v>
      </c>
      <c r="C1025" s="36"/>
      <c r="D1025" s="36"/>
      <c r="F1025" s="1" t="s">
        <v>2843</v>
      </c>
      <c r="G1025" s="30" t="s">
        <v>2986</v>
      </c>
      <c r="K1025" s="1" t="s">
        <v>3026</v>
      </c>
      <c r="L1025" s="1" t="s">
        <v>1279</v>
      </c>
      <c r="M1025" s="36" t="s">
        <v>1511</v>
      </c>
      <c r="N1025" s="1" t="s">
        <v>2400</v>
      </c>
      <c r="O1025" s="1" t="s">
        <v>1286</v>
      </c>
      <c r="P1025" s="34" t="str">
        <f t="shared" si="18"/>
        <v>F010</v>
      </c>
      <c r="Q1025" s="1" t="s">
        <v>137</v>
      </c>
      <c r="S1025" s="16">
        <v>20</v>
      </c>
      <c r="T1025" s="1" t="s">
        <v>2842</v>
      </c>
      <c r="U1025" s="1" t="s">
        <v>1468</v>
      </c>
      <c r="V1025" s="1" t="s">
        <v>1634</v>
      </c>
      <c r="Y1025" s="1">
        <v>3450</v>
      </c>
      <c r="AB1025" s="1">
        <v>1638.72</v>
      </c>
    </row>
    <row r="1026" spans="2:28" x14ac:dyDescent="0.2">
      <c r="B1026" s="30" t="s">
        <v>2294</v>
      </c>
      <c r="C1026" s="36"/>
      <c r="D1026" s="36"/>
      <c r="F1026" s="1" t="s">
        <v>2843</v>
      </c>
      <c r="G1026" s="30" t="s">
        <v>2986</v>
      </c>
      <c r="K1026" s="1" t="s">
        <v>3027</v>
      </c>
      <c r="L1026" s="1" t="s">
        <v>1279</v>
      </c>
      <c r="M1026" s="36" t="s">
        <v>1511</v>
      </c>
      <c r="N1026" s="1" t="s">
        <v>2400</v>
      </c>
      <c r="O1026" s="1" t="s">
        <v>1286</v>
      </c>
      <c r="P1026" s="34" t="str">
        <f t="shared" si="18"/>
        <v>F010</v>
      </c>
      <c r="Q1026" s="1" t="s">
        <v>137</v>
      </c>
      <c r="S1026" s="16">
        <v>20</v>
      </c>
      <c r="T1026" s="1" t="s">
        <v>2842</v>
      </c>
      <c r="U1026" s="1" t="s">
        <v>1468</v>
      </c>
      <c r="V1026" s="1" t="s">
        <v>1634</v>
      </c>
      <c r="Y1026" s="1">
        <v>3450</v>
      </c>
      <c r="AB1026" s="1">
        <v>1638.72</v>
      </c>
    </row>
    <row r="1027" spans="2:28" x14ac:dyDescent="0.2">
      <c r="B1027" s="30" t="s">
        <v>2294</v>
      </c>
      <c r="C1027" s="36"/>
      <c r="D1027" s="36"/>
      <c r="F1027" s="1" t="s">
        <v>2843</v>
      </c>
      <c r="G1027" s="30" t="s">
        <v>2986</v>
      </c>
      <c r="K1027" s="1" t="s">
        <v>3028</v>
      </c>
      <c r="L1027" s="1" t="s">
        <v>1279</v>
      </c>
      <c r="M1027" s="36" t="s">
        <v>1511</v>
      </c>
      <c r="N1027" s="1" t="s">
        <v>2400</v>
      </c>
      <c r="O1027" s="1" t="s">
        <v>1286</v>
      </c>
      <c r="P1027" s="34" t="str">
        <f t="shared" si="18"/>
        <v>F010</v>
      </c>
      <c r="Q1027" s="1" t="s">
        <v>137</v>
      </c>
      <c r="S1027" s="16">
        <v>20</v>
      </c>
      <c r="T1027" s="1" t="s">
        <v>2842</v>
      </c>
      <c r="U1027" s="1" t="s">
        <v>1468</v>
      </c>
      <c r="V1027" s="1" t="s">
        <v>1634</v>
      </c>
      <c r="Y1027" s="1">
        <v>3450</v>
      </c>
      <c r="AB1027" s="1">
        <v>1638.72</v>
      </c>
    </row>
    <row r="1028" spans="2:28" x14ac:dyDescent="0.2">
      <c r="B1028" s="30" t="s">
        <v>2294</v>
      </c>
      <c r="C1028" s="36"/>
      <c r="D1028" s="36"/>
      <c r="F1028" s="1" t="s">
        <v>2843</v>
      </c>
      <c r="G1028" s="30" t="s">
        <v>2986</v>
      </c>
      <c r="K1028" s="1" t="s">
        <v>3029</v>
      </c>
      <c r="L1028" s="1" t="s">
        <v>1279</v>
      </c>
      <c r="M1028" s="36" t="s">
        <v>1511</v>
      </c>
      <c r="N1028" s="1" t="s">
        <v>2400</v>
      </c>
      <c r="O1028" s="1" t="s">
        <v>1286</v>
      </c>
      <c r="P1028" s="34" t="str">
        <f t="shared" si="18"/>
        <v>F010</v>
      </c>
      <c r="Q1028" s="1" t="s">
        <v>137</v>
      </c>
      <c r="S1028" s="16">
        <v>20</v>
      </c>
      <c r="T1028" s="1" t="s">
        <v>2842</v>
      </c>
      <c r="U1028" s="1" t="s">
        <v>1468</v>
      </c>
      <c r="V1028" s="1" t="s">
        <v>1634</v>
      </c>
      <c r="Y1028" s="1">
        <v>3450</v>
      </c>
      <c r="AB1028" s="1">
        <v>1638.72</v>
      </c>
    </row>
    <row r="1029" spans="2:28" x14ac:dyDescent="0.2">
      <c r="B1029" s="30" t="s">
        <v>2294</v>
      </c>
      <c r="C1029" s="36"/>
      <c r="D1029" s="36"/>
      <c r="F1029" s="1" t="s">
        <v>2843</v>
      </c>
      <c r="G1029" s="30" t="s">
        <v>2986</v>
      </c>
      <c r="K1029" s="1" t="s">
        <v>3030</v>
      </c>
      <c r="L1029" s="1" t="s">
        <v>1279</v>
      </c>
      <c r="M1029" s="36" t="s">
        <v>1511</v>
      </c>
      <c r="N1029" s="1" t="s">
        <v>2400</v>
      </c>
      <c r="O1029" s="1" t="s">
        <v>1286</v>
      </c>
      <c r="P1029" s="34" t="str">
        <f t="shared" si="18"/>
        <v>F010</v>
      </c>
      <c r="Q1029" s="1" t="s">
        <v>137</v>
      </c>
      <c r="S1029" s="16">
        <v>20</v>
      </c>
      <c r="T1029" s="1" t="s">
        <v>2842</v>
      </c>
      <c r="U1029" s="1" t="s">
        <v>1468</v>
      </c>
      <c r="V1029" s="1" t="s">
        <v>1634</v>
      </c>
      <c r="Y1029" s="1">
        <v>3450</v>
      </c>
      <c r="AB1029" s="1">
        <v>1638.72</v>
      </c>
    </row>
    <row r="1030" spans="2:28" x14ac:dyDescent="0.2">
      <c r="B1030" s="30" t="s">
        <v>2294</v>
      </c>
      <c r="C1030" s="36"/>
      <c r="D1030" s="36"/>
      <c r="F1030" s="1" t="s">
        <v>2843</v>
      </c>
      <c r="G1030" s="30" t="s">
        <v>2986</v>
      </c>
      <c r="K1030" s="1" t="s">
        <v>3031</v>
      </c>
      <c r="L1030" s="1" t="s">
        <v>1279</v>
      </c>
      <c r="M1030" s="36" t="s">
        <v>1511</v>
      </c>
      <c r="N1030" s="1" t="s">
        <v>2400</v>
      </c>
      <c r="O1030" s="1" t="s">
        <v>1286</v>
      </c>
      <c r="P1030" s="34" t="str">
        <f t="shared" si="18"/>
        <v>F010</v>
      </c>
      <c r="Q1030" s="1" t="s">
        <v>137</v>
      </c>
      <c r="S1030" s="16">
        <v>20</v>
      </c>
      <c r="T1030" s="1" t="s">
        <v>2842</v>
      </c>
      <c r="U1030" s="1" t="s">
        <v>1468</v>
      </c>
      <c r="V1030" s="1" t="s">
        <v>1634</v>
      </c>
      <c r="Y1030" s="1">
        <v>3450</v>
      </c>
      <c r="AB1030" s="1">
        <v>1638.72</v>
      </c>
    </row>
    <row r="1031" spans="2:28" x14ac:dyDescent="0.2">
      <c r="B1031" s="30" t="s">
        <v>2294</v>
      </c>
      <c r="C1031" s="36"/>
      <c r="D1031" s="36"/>
      <c r="F1031" s="1" t="s">
        <v>2843</v>
      </c>
      <c r="G1031" s="30" t="s">
        <v>2986</v>
      </c>
      <c r="K1031" s="1" t="s">
        <v>3032</v>
      </c>
      <c r="L1031" s="1" t="s">
        <v>1279</v>
      </c>
      <c r="M1031" s="36" t="s">
        <v>1511</v>
      </c>
      <c r="N1031" s="1" t="s">
        <v>2400</v>
      </c>
      <c r="O1031" s="1" t="s">
        <v>1286</v>
      </c>
      <c r="P1031" s="34" t="str">
        <f t="shared" si="18"/>
        <v>F010</v>
      </c>
      <c r="Q1031" s="1" t="s">
        <v>137</v>
      </c>
      <c r="S1031" s="16">
        <v>20</v>
      </c>
      <c r="T1031" s="1" t="s">
        <v>2842</v>
      </c>
      <c r="U1031" s="1" t="s">
        <v>1468</v>
      </c>
      <c r="V1031" s="1" t="s">
        <v>1634</v>
      </c>
      <c r="Y1031" s="1">
        <v>3450</v>
      </c>
      <c r="AB1031" s="1">
        <v>1638.72</v>
      </c>
    </row>
    <row r="1032" spans="2:28" x14ac:dyDescent="0.2">
      <c r="B1032" s="30" t="s">
        <v>2294</v>
      </c>
      <c r="C1032" s="36"/>
      <c r="D1032" s="36"/>
      <c r="F1032" s="1" t="s">
        <v>2843</v>
      </c>
      <c r="G1032" s="30" t="s">
        <v>2986</v>
      </c>
      <c r="K1032" s="1" t="s">
        <v>3033</v>
      </c>
      <c r="L1032" s="1" t="s">
        <v>1279</v>
      </c>
      <c r="M1032" s="36" t="s">
        <v>1511</v>
      </c>
      <c r="N1032" s="1" t="s">
        <v>2400</v>
      </c>
      <c r="O1032" s="1" t="s">
        <v>1286</v>
      </c>
      <c r="P1032" s="34" t="str">
        <f t="shared" ref="P1032:P1095" si="19">+LEFT(Q1032,4)</f>
        <v>F010</v>
      </c>
      <c r="Q1032" s="1" t="s">
        <v>137</v>
      </c>
      <c r="S1032" s="16">
        <v>20</v>
      </c>
      <c r="T1032" s="1" t="s">
        <v>2842</v>
      </c>
      <c r="U1032" s="1" t="s">
        <v>1468</v>
      </c>
      <c r="V1032" s="1" t="s">
        <v>1634</v>
      </c>
      <c r="Y1032" s="1">
        <v>3450</v>
      </c>
      <c r="AB1032" s="1">
        <v>1638.72</v>
      </c>
    </row>
    <row r="1033" spans="2:28" x14ac:dyDescent="0.2">
      <c r="B1033" s="30" t="s">
        <v>2294</v>
      </c>
      <c r="C1033" s="36"/>
      <c r="D1033" s="36"/>
      <c r="F1033" s="1" t="s">
        <v>2843</v>
      </c>
      <c r="G1033" s="30" t="s">
        <v>2986</v>
      </c>
      <c r="K1033" s="1" t="s">
        <v>3034</v>
      </c>
      <c r="L1033" s="1" t="s">
        <v>1279</v>
      </c>
      <c r="M1033" s="36" t="s">
        <v>1511</v>
      </c>
      <c r="N1033" s="1" t="s">
        <v>2400</v>
      </c>
      <c r="O1033" s="1" t="s">
        <v>1286</v>
      </c>
      <c r="P1033" s="34" t="str">
        <f t="shared" si="19"/>
        <v>F010</v>
      </c>
      <c r="Q1033" s="1" t="s">
        <v>137</v>
      </c>
      <c r="S1033" s="16">
        <v>20</v>
      </c>
      <c r="T1033" s="1" t="s">
        <v>2842</v>
      </c>
      <c r="U1033" s="1" t="s">
        <v>1468</v>
      </c>
      <c r="V1033" s="1" t="s">
        <v>1634</v>
      </c>
      <c r="Y1033" s="1">
        <v>3450</v>
      </c>
      <c r="AB1033" s="1">
        <v>1638.72</v>
      </c>
    </row>
    <row r="1034" spans="2:28" x14ac:dyDescent="0.2">
      <c r="B1034" s="30" t="s">
        <v>2294</v>
      </c>
      <c r="C1034" s="36"/>
      <c r="D1034" s="36"/>
      <c r="F1034" s="1" t="s">
        <v>2843</v>
      </c>
      <c r="G1034" s="30" t="s">
        <v>2986</v>
      </c>
      <c r="K1034" s="1" t="s">
        <v>3035</v>
      </c>
      <c r="L1034" s="1" t="s">
        <v>1279</v>
      </c>
      <c r="M1034" s="36" t="s">
        <v>1511</v>
      </c>
      <c r="N1034" s="1" t="s">
        <v>2400</v>
      </c>
      <c r="O1034" s="1" t="s">
        <v>1286</v>
      </c>
      <c r="P1034" s="34" t="str">
        <f t="shared" si="19"/>
        <v>F010</v>
      </c>
      <c r="Q1034" s="1" t="s">
        <v>137</v>
      </c>
      <c r="S1034" s="16">
        <v>20</v>
      </c>
      <c r="T1034" s="1" t="s">
        <v>2842</v>
      </c>
      <c r="U1034" s="1" t="s">
        <v>1468</v>
      </c>
      <c r="V1034" s="1" t="s">
        <v>1634</v>
      </c>
      <c r="Y1034" s="1">
        <v>3450</v>
      </c>
      <c r="AB1034" s="1">
        <v>1638.72</v>
      </c>
    </row>
    <row r="1035" spans="2:28" x14ac:dyDescent="0.2">
      <c r="B1035" s="30" t="s">
        <v>2294</v>
      </c>
      <c r="C1035" s="36"/>
      <c r="D1035" s="36"/>
      <c r="F1035" s="1" t="s">
        <v>2843</v>
      </c>
      <c r="G1035" s="30" t="s">
        <v>2986</v>
      </c>
      <c r="K1035" s="1" t="s">
        <v>3036</v>
      </c>
      <c r="L1035" s="1" t="s">
        <v>1279</v>
      </c>
      <c r="M1035" s="36" t="s">
        <v>1511</v>
      </c>
      <c r="N1035" s="1" t="s">
        <v>2400</v>
      </c>
      <c r="O1035" s="1" t="s">
        <v>1286</v>
      </c>
      <c r="P1035" s="34" t="str">
        <f t="shared" si="19"/>
        <v>F010</v>
      </c>
      <c r="Q1035" s="1" t="s">
        <v>137</v>
      </c>
      <c r="S1035" s="16">
        <v>20</v>
      </c>
      <c r="T1035" s="1" t="s">
        <v>2842</v>
      </c>
      <c r="U1035" s="1" t="s">
        <v>1468</v>
      </c>
      <c r="V1035" s="1" t="s">
        <v>1634</v>
      </c>
      <c r="Y1035" s="1">
        <v>3450</v>
      </c>
      <c r="AB1035" s="1">
        <v>1638.72</v>
      </c>
    </row>
    <row r="1036" spans="2:28" x14ac:dyDescent="0.2">
      <c r="B1036" s="30" t="s">
        <v>2294</v>
      </c>
      <c r="C1036" s="36"/>
      <c r="D1036" s="36"/>
      <c r="F1036" s="1" t="s">
        <v>2843</v>
      </c>
      <c r="G1036" s="30" t="s">
        <v>2986</v>
      </c>
      <c r="K1036" s="1" t="s">
        <v>3037</v>
      </c>
      <c r="L1036" s="1" t="s">
        <v>1279</v>
      </c>
      <c r="M1036" s="36" t="s">
        <v>1511</v>
      </c>
      <c r="N1036" s="1" t="s">
        <v>2400</v>
      </c>
      <c r="O1036" s="1" t="s">
        <v>1286</v>
      </c>
      <c r="P1036" s="34" t="str">
        <f t="shared" si="19"/>
        <v>F010</v>
      </c>
      <c r="Q1036" s="1" t="s">
        <v>137</v>
      </c>
      <c r="S1036" s="16">
        <v>20</v>
      </c>
      <c r="T1036" s="1" t="s">
        <v>2842</v>
      </c>
      <c r="U1036" s="1" t="s">
        <v>1468</v>
      </c>
      <c r="V1036" s="1" t="s">
        <v>1634</v>
      </c>
      <c r="Y1036" s="1">
        <v>3450</v>
      </c>
      <c r="AB1036" s="1">
        <v>1638.72</v>
      </c>
    </row>
    <row r="1037" spans="2:28" x14ac:dyDescent="0.2">
      <c r="B1037" s="30" t="s">
        <v>2294</v>
      </c>
      <c r="C1037" s="36"/>
      <c r="D1037" s="36"/>
      <c r="F1037" s="1" t="s">
        <v>2843</v>
      </c>
      <c r="G1037" s="30" t="s">
        <v>2986</v>
      </c>
      <c r="K1037" s="1" t="s">
        <v>3038</v>
      </c>
      <c r="L1037" s="1" t="s">
        <v>1279</v>
      </c>
      <c r="M1037" s="36" t="s">
        <v>1511</v>
      </c>
      <c r="N1037" s="1" t="s">
        <v>2400</v>
      </c>
      <c r="O1037" s="1" t="s">
        <v>1286</v>
      </c>
      <c r="P1037" s="34" t="str">
        <f t="shared" si="19"/>
        <v>F010</v>
      </c>
      <c r="Q1037" s="1" t="s">
        <v>137</v>
      </c>
      <c r="S1037" s="16">
        <v>20</v>
      </c>
      <c r="T1037" s="1" t="s">
        <v>2842</v>
      </c>
      <c r="U1037" s="1" t="s">
        <v>1468</v>
      </c>
      <c r="V1037" s="1" t="s">
        <v>1634</v>
      </c>
      <c r="Y1037" s="1">
        <v>3450</v>
      </c>
      <c r="AB1037" s="1">
        <v>1638.72</v>
      </c>
    </row>
    <row r="1038" spans="2:28" x14ac:dyDescent="0.2">
      <c r="B1038" s="30" t="s">
        <v>2294</v>
      </c>
      <c r="C1038" s="36"/>
      <c r="D1038" s="36"/>
      <c r="F1038" s="1" t="s">
        <v>2843</v>
      </c>
      <c r="G1038" s="30" t="s">
        <v>2986</v>
      </c>
      <c r="K1038" s="1" t="s">
        <v>3039</v>
      </c>
      <c r="L1038" s="1" t="s">
        <v>1279</v>
      </c>
      <c r="M1038" s="36" t="s">
        <v>1511</v>
      </c>
      <c r="N1038" s="1" t="s">
        <v>2400</v>
      </c>
      <c r="O1038" s="1" t="s">
        <v>1286</v>
      </c>
      <c r="P1038" s="34" t="str">
        <f t="shared" si="19"/>
        <v>F010</v>
      </c>
      <c r="Q1038" s="1" t="s">
        <v>137</v>
      </c>
      <c r="S1038" s="16">
        <v>20</v>
      </c>
      <c r="T1038" s="1" t="s">
        <v>2842</v>
      </c>
      <c r="U1038" s="1" t="s">
        <v>1468</v>
      </c>
      <c r="V1038" s="1" t="s">
        <v>1634</v>
      </c>
      <c r="Y1038" s="1">
        <v>3450</v>
      </c>
      <c r="AB1038" s="1">
        <v>1638.72</v>
      </c>
    </row>
    <row r="1039" spans="2:28" x14ac:dyDescent="0.2">
      <c r="B1039" s="30" t="s">
        <v>2294</v>
      </c>
      <c r="C1039" s="36"/>
      <c r="D1039" s="36"/>
      <c r="F1039" s="1" t="s">
        <v>2843</v>
      </c>
      <c r="G1039" s="30" t="s">
        <v>2986</v>
      </c>
      <c r="K1039" s="1" t="s">
        <v>3040</v>
      </c>
      <c r="L1039" s="1" t="s">
        <v>1279</v>
      </c>
      <c r="M1039" s="36" t="s">
        <v>1511</v>
      </c>
      <c r="N1039" s="1" t="s">
        <v>2400</v>
      </c>
      <c r="O1039" s="1" t="s">
        <v>1286</v>
      </c>
      <c r="P1039" s="34" t="str">
        <f t="shared" si="19"/>
        <v>F010</v>
      </c>
      <c r="Q1039" s="1" t="s">
        <v>137</v>
      </c>
      <c r="S1039" s="16">
        <v>20</v>
      </c>
      <c r="T1039" s="1" t="s">
        <v>2842</v>
      </c>
      <c r="U1039" s="1" t="s">
        <v>1468</v>
      </c>
      <c r="V1039" s="1" t="s">
        <v>1634</v>
      </c>
      <c r="Y1039" s="1">
        <v>3450</v>
      </c>
      <c r="AB1039" s="1">
        <v>1638.72</v>
      </c>
    </row>
    <row r="1040" spans="2:28" x14ac:dyDescent="0.2">
      <c r="B1040" s="30" t="s">
        <v>2294</v>
      </c>
      <c r="C1040" s="36"/>
      <c r="D1040" s="36"/>
      <c r="F1040" s="1" t="s">
        <v>2843</v>
      </c>
      <c r="G1040" s="30" t="s">
        <v>2986</v>
      </c>
      <c r="K1040" s="1" t="s">
        <v>3041</v>
      </c>
      <c r="L1040" s="1" t="s">
        <v>1279</v>
      </c>
      <c r="M1040" s="36" t="s">
        <v>1511</v>
      </c>
      <c r="N1040" s="1" t="s">
        <v>2400</v>
      </c>
      <c r="O1040" s="1" t="s">
        <v>1286</v>
      </c>
      <c r="P1040" s="34" t="str">
        <f t="shared" si="19"/>
        <v>F010</v>
      </c>
      <c r="Q1040" s="1" t="s">
        <v>137</v>
      </c>
      <c r="S1040" s="16">
        <v>20</v>
      </c>
      <c r="T1040" s="1" t="s">
        <v>2842</v>
      </c>
      <c r="U1040" s="1" t="s">
        <v>1468</v>
      </c>
      <c r="V1040" s="1" t="s">
        <v>1634</v>
      </c>
      <c r="Y1040" s="1">
        <v>3450</v>
      </c>
      <c r="AB1040" s="1">
        <v>1638.72</v>
      </c>
    </row>
    <row r="1041" spans="2:28" x14ac:dyDescent="0.2">
      <c r="B1041" s="30" t="s">
        <v>2294</v>
      </c>
      <c r="C1041" s="36"/>
      <c r="D1041" s="36"/>
      <c r="F1041" s="1" t="s">
        <v>2843</v>
      </c>
      <c r="G1041" s="30" t="s">
        <v>2986</v>
      </c>
      <c r="K1041" s="1" t="s">
        <v>3042</v>
      </c>
      <c r="L1041" s="1" t="s">
        <v>1279</v>
      </c>
      <c r="M1041" s="36" t="s">
        <v>1511</v>
      </c>
      <c r="N1041" s="1" t="s">
        <v>2400</v>
      </c>
      <c r="O1041" s="1" t="s">
        <v>1286</v>
      </c>
      <c r="P1041" s="34" t="str">
        <f t="shared" si="19"/>
        <v>F010</v>
      </c>
      <c r="Q1041" s="1" t="s">
        <v>137</v>
      </c>
      <c r="S1041" s="16">
        <v>20</v>
      </c>
      <c r="T1041" s="1" t="s">
        <v>2842</v>
      </c>
      <c r="U1041" s="1" t="s">
        <v>1468</v>
      </c>
      <c r="V1041" s="1" t="s">
        <v>1634</v>
      </c>
      <c r="Y1041" s="1">
        <v>3450</v>
      </c>
      <c r="AB1041" s="1">
        <v>1638.72</v>
      </c>
    </row>
    <row r="1042" spans="2:28" x14ac:dyDescent="0.2">
      <c r="B1042" s="30" t="s">
        <v>2294</v>
      </c>
      <c r="C1042" s="36"/>
      <c r="D1042" s="36"/>
      <c r="F1042" s="1" t="s">
        <v>2843</v>
      </c>
      <c r="G1042" s="30" t="s">
        <v>2986</v>
      </c>
      <c r="K1042" s="1" t="s">
        <v>3043</v>
      </c>
      <c r="L1042" s="1" t="s">
        <v>1279</v>
      </c>
      <c r="M1042" s="36" t="s">
        <v>1511</v>
      </c>
      <c r="N1042" s="1" t="s">
        <v>2400</v>
      </c>
      <c r="O1042" s="1" t="s">
        <v>1286</v>
      </c>
      <c r="P1042" s="34" t="str">
        <f t="shared" si="19"/>
        <v>F010</v>
      </c>
      <c r="Q1042" s="1" t="s">
        <v>137</v>
      </c>
      <c r="S1042" s="16">
        <v>20</v>
      </c>
      <c r="T1042" s="1" t="s">
        <v>2842</v>
      </c>
      <c r="U1042" s="1" t="s">
        <v>1468</v>
      </c>
      <c r="V1042" s="1" t="s">
        <v>1634</v>
      </c>
      <c r="Y1042" s="1">
        <v>3450</v>
      </c>
      <c r="AB1042" s="1">
        <v>1638.72</v>
      </c>
    </row>
    <row r="1043" spans="2:28" x14ac:dyDescent="0.2">
      <c r="B1043" s="30" t="s">
        <v>2294</v>
      </c>
      <c r="C1043" s="36"/>
      <c r="D1043" s="36"/>
      <c r="F1043" s="1" t="s">
        <v>2843</v>
      </c>
      <c r="G1043" s="30" t="s">
        <v>2986</v>
      </c>
      <c r="K1043" s="1" t="s">
        <v>3044</v>
      </c>
      <c r="L1043" s="1" t="s">
        <v>1279</v>
      </c>
      <c r="M1043" s="36" t="s">
        <v>1511</v>
      </c>
      <c r="N1043" s="1" t="s">
        <v>2400</v>
      </c>
      <c r="O1043" s="1" t="s">
        <v>1286</v>
      </c>
      <c r="P1043" s="34" t="str">
        <f t="shared" si="19"/>
        <v>F010</v>
      </c>
      <c r="Q1043" s="1" t="s">
        <v>137</v>
      </c>
      <c r="S1043" s="16">
        <v>20</v>
      </c>
      <c r="T1043" s="1" t="s">
        <v>2842</v>
      </c>
      <c r="U1043" s="1" t="s">
        <v>1468</v>
      </c>
      <c r="V1043" s="1" t="s">
        <v>1634</v>
      </c>
      <c r="Y1043" s="1">
        <v>3450</v>
      </c>
      <c r="AB1043" s="1">
        <v>1638.72</v>
      </c>
    </row>
    <row r="1044" spans="2:28" x14ac:dyDescent="0.2">
      <c r="B1044" s="30" t="s">
        <v>2294</v>
      </c>
      <c r="C1044" s="36"/>
      <c r="D1044" s="36"/>
      <c r="F1044" s="1" t="s">
        <v>2843</v>
      </c>
      <c r="G1044" s="30" t="s">
        <v>2986</v>
      </c>
      <c r="K1044" s="1" t="s">
        <v>3045</v>
      </c>
      <c r="L1044" s="1" t="s">
        <v>1279</v>
      </c>
      <c r="M1044" s="36" t="s">
        <v>1511</v>
      </c>
      <c r="N1044" s="1" t="s">
        <v>2400</v>
      </c>
      <c r="O1044" s="1" t="s">
        <v>1286</v>
      </c>
      <c r="P1044" s="34" t="str">
        <f t="shared" si="19"/>
        <v>F010</v>
      </c>
      <c r="Q1044" s="1" t="s">
        <v>137</v>
      </c>
      <c r="S1044" s="16">
        <v>20</v>
      </c>
      <c r="T1044" s="1" t="s">
        <v>2842</v>
      </c>
      <c r="U1044" s="1" t="s">
        <v>1468</v>
      </c>
      <c r="V1044" s="1" t="s">
        <v>1634</v>
      </c>
      <c r="Y1044" s="1">
        <v>3450</v>
      </c>
      <c r="AB1044" s="1">
        <v>1638.72</v>
      </c>
    </row>
    <row r="1045" spans="2:28" x14ac:dyDescent="0.2">
      <c r="B1045" s="30" t="s">
        <v>2294</v>
      </c>
      <c r="C1045" s="36"/>
      <c r="D1045" s="36"/>
      <c r="F1045" s="1" t="s">
        <v>2843</v>
      </c>
      <c r="G1045" s="30" t="s">
        <v>2986</v>
      </c>
      <c r="K1045" s="1" t="s">
        <v>3046</v>
      </c>
      <c r="L1045" s="1" t="s">
        <v>1279</v>
      </c>
      <c r="M1045" s="36" t="s">
        <v>1511</v>
      </c>
      <c r="N1045" s="1" t="s">
        <v>2400</v>
      </c>
      <c r="O1045" s="1" t="s">
        <v>1286</v>
      </c>
      <c r="P1045" s="34" t="str">
        <f t="shared" si="19"/>
        <v>F010</v>
      </c>
      <c r="Q1045" s="1" t="s">
        <v>137</v>
      </c>
      <c r="S1045" s="16">
        <v>20</v>
      </c>
      <c r="T1045" s="1" t="s">
        <v>2842</v>
      </c>
      <c r="U1045" s="1" t="s">
        <v>1468</v>
      </c>
      <c r="V1045" s="1" t="s">
        <v>1634</v>
      </c>
      <c r="Y1045" s="1">
        <v>3450</v>
      </c>
      <c r="AB1045" s="1">
        <v>1638.72</v>
      </c>
    </row>
    <row r="1046" spans="2:28" x14ac:dyDescent="0.2">
      <c r="B1046" s="30" t="s">
        <v>2294</v>
      </c>
      <c r="C1046" s="36"/>
      <c r="D1046" s="36"/>
      <c r="F1046" s="1" t="s">
        <v>2843</v>
      </c>
      <c r="G1046" s="30" t="s">
        <v>2986</v>
      </c>
      <c r="K1046" s="1" t="s">
        <v>3047</v>
      </c>
      <c r="L1046" s="1" t="s">
        <v>1279</v>
      </c>
      <c r="M1046" s="36" t="s">
        <v>1511</v>
      </c>
      <c r="N1046" s="1" t="s">
        <v>2400</v>
      </c>
      <c r="O1046" s="1" t="s">
        <v>1286</v>
      </c>
      <c r="P1046" s="34" t="str">
        <f t="shared" si="19"/>
        <v>F010</v>
      </c>
      <c r="Q1046" s="1" t="s">
        <v>137</v>
      </c>
      <c r="S1046" s="16">
        <v>20</v>
      </c>
      <c r="T1046" s="1" t="s">
        <v>2842</v>
      </c>
      <c r="U1046" s="1" t="s">
        <v>1468</v>
      </c>
      <c r="V1046" s="1" t="s">
        <v>1634</v>
      </c>
      <c r="Y1046" s="1">
        <v>3450</v>
      </c>
      <c r="AB1046" s="1">
        <v>1638.72</v>
      </c>
    </row>
    <row r="1047" spans="2:28" x14ac:dyDescent="0.2">
      <c r="B1047" s="30" t="s">
        <v>2294</v>
      </c>
      <c r="C1047" s="36"/>
      <c r="D1047" s="36"/>
      <c r="F1047" s="1" t="s">
        <v>2843</v>
      </c>
      <c r="G1047" s="30" t="s">
        <v>2986</v>
      </c>
      <c r="K1047" s="1" t="s">
        <v>3048</v>
      </c>
      <c r="L1047" s="1" t="s">
        <v>1279</v>
      </c>
      <c r="M1047" s="36" t="s">
        <v>1511</v>
      </c>
      <c r="N1047" s="1" t="s">
        <v>2400</v>
      </c>
      <c r="O1047" s="1" t="s">
        <v>1286</v>
      </c>
      <c r="P1047" s="34" t="str">
        <f t="shared" si="19"/>
        <v>F010</v>
      </c>
      <c r="Q1047" s="1" t="s">
        <v>137</v>
      </c>
      <c r="S1047" s="16">
        <v>20</v>
      </c>
      <c r="T1047" s="1" t="s">
        <v>2842</v>
      </c>
      <c r="U1047" s="1" t="s">
        <v>1468</v>
      </c>
      <c r="V1047" s="1" t="s">
        <v>1634</v>
      </c>
      <c r="Y1047" s="1">
        <v>3450</v>
      </c>
      <c r="AB1047" s="1">
        <v>1638.72</v>
      </c>
    </row>
    <row r="1048" spans="2:28" x14ac:dyDescent="0.2">
      <c r="B1048" s="30" t="s">
        <v>2294</v>
      </c>
      <c r="C1048" s="36"/>
      <c r="D1048" s="36"/>
      <c r="F1048" s="1" t="s">
        <v>2843</v>
      </c>
      <c r="G1048" s="30" t="s">
        <v>2986</v>
      </c>
      <c r="K1048" s="1" t="s">
        <v>3049</v>
      </c>
      <c r="L1048" s="1" t="s">
        <v>1279</v>
      </c>
      <c r="M1048" s="36" t="s">
        <v>1511</v>
      </c>
      <c r="N1048" s="1" t="s">
        <v>2400</v>
      </c>
      <c r="O1048" s="1" t="s">
        <v>1286</v>
      </c>
      <c r="P1048" s="34" t="str">
        <f t="shared" si="19"/>
        <v>F010</v>
      </c>
      <c r="Q1048" s="1" t="s">
        <v>137</v>
      </c>
      <c r="S1048" s="16">
        <v>20</v>
      </c>
      <c r="T1048" s="1" t="s">
        <v>2842</v>
      </c>
      <c r="U1048" s="1" t="s">
        <v>1468</v>
      </c>
      <c r="V1048" s="1" t="s">
        <v>1634</v>
      </c>
      <c r="Y1048" s="1">
        <v>3450</v>
      </c>
      <c r="AB1048" s="1">
        <v>1638.72</v>
      </c>
    </row>
    <row r="1049" spans="2:28" x14ac:dyDescent="0.2">
      <c r="B1049" s="30" t="s">
        <v>2294</v>
      </c>
      <c r="C1049" s="36"/>
      <c r="D1049" s="36"/>
      <c r="F1049" s="1" t="s">
        <v>2843</v>
      </c>
      <c r="G1049" s="30" t="s">
        <v>2986</v>
      </c>
      <c r="K1049" s="1" t="s">
        <v>3050</v>
      </c>
      <c r="L1049" s="1" t="s">
        <v>1279</v>
      </c>
      <c r="M1049" s="36" t="s">
        <v>1511</v>
      </c>
      <c r="N1049" s="1" t="s">
        <v>2400</v>
      </c>
      <c r="O1049" s="1" t="s">
        <v>1286</v>
      </c>
      <c r="P1049" s="34" t="str">
        <f t="shared" si="19"/>
        <v>F010</v>
      </c>
      <c r="Q1049" s="1" t="s">
        <v>137</v>
      </c>
      <c r="S1049" s="16">
        <v>20</v>
      </c>
      <c r="T1049" s="1" t="s">
        <v>2842</v>
      </c>
      <c r="U1049" s="1" t="s">
        <v>1468</v>
      </c>
      <c r="V1049" s="1" t="s">
        <v>1634</v>
      </c>
      <c r="Y1049" s="1">
        <v>3450</v>
      </c>
      <c r="AB1049" s="1">
        <v>1638.72</v>
      </c>
    </row>
    <row r="1050" spans="2:28" x14ac:dyDescent="0.2">
      <c r="B1050" s="30" t="s">
        <v>2294</v>
      </c>
      <c r="C1050" s="36"/>
      <c r="D1050" s="36"/>
      <c r="F1050" s="1" t="s">
        <v>2843</v>
      </c>
      <c r="G1050" s="30" t="s">
        <v>2986</v>
      </c>
      <c r="K1050" s="1" t="s">
        <v>3051</v>
      </c>
      <c r="L1050" s="1" t="s">
        <v>1279</v>
      </c>
      <c r="M1050" s="36" t="s">
        <v>1511</v>
      </c>
      <c r="N1050" s="1" t="s">
        <v>2400</v>
      </c>
      <c r="O1050" s="1" t="s">
        <v>1286</v>
      </c>
      <c r="P1050" s="34" t="str">
        <f t="shared" si="19"/>
        <v>F010</v>
      </c>
      <c r="Q1050" s="1" t="s">
        <v>137</v>
      </c>
      <c r="S1050" s="16">
        <v>20</v>
      </c>
      <c r="T1050" s="1" t="s">
        <v>2842</v>
      </c>
      <c r="U1050" s="1" t="s">
        <v>1468</v>
      </c>
      <c r="V1050" s="1" t="s">
        <v>1634</v>
      </c>
      <c r="Y1050" s="1">
        <v>3450</v>
      </c>
      <c r="AB1050" s="1">
        <v>1638.72</v>
      </c>
    </row>
    <row r="1051" spans="2:28" x14ac:dyDescent="0.2">
      <c r="B1051" s="30" t="s">
        <v>2294</v>
      </c>
      <c r="C1051" s="36"/>
      <c r="D1051" s="36"/>
      <c r="F1051" s="1" t="s">
        <v>2843</v>
      </c>
      <c r="G1051" s="30" t="s">
        <v>2986</v>
      </c>
      <c r="K1051" s="1" t="s">
        <v>3052</v>
      </c>
      <c r="L1051" s="1" t="s">
        <v>1279</v>
      </c>
      <c r="M1051" s="36" t="s">
        <v>1511</v>
      </c>
      <c r="N1051" s="1" t="s">
        <v>2400</v>
      </c>
      <c r="O1051" s="1" t="s">
        <v>1286</v>
      </c>
      <c r="P1051" s="34" t="str">
        <f t="shared" si="19"/>
        <v>F010</v>
      </c>
      <c r="Q1051" s="1" t="s">
        <v>137</v>
      </c>
      <c r="S1051" s="16">
        <v>20</v>
      </c>
      <c r="T1051" s="1" t="s">
        <v>2842</v>
      </c>
      <c r="U1051" s="1" t="s">
        <v>1468</v>
      </c>
      <c r="V1051" s="1" t="s">
        <v>1634</v>
      </c>
      <c r="Y1051" s="1">
        <v>3450</v>
      </c>
      <c r="AB1051" s="1">
        <v>1638.72</v>
      </c>
    </row>
    <row r="1052" spans="2:28" x14ac:dyDescent="0.2">
      <c r="B1052" s="30" t="s">
        <v>2294</v>
      </c>
      <c r="C1052" s="36"/>
      <c r="D1052" s="36"/>
      <c r="F1052" s="1" t="s">
        <v>2843</v>
      </c>
      <c r="G1052" s="30" t="s">
        <v>2986</v>
      </c>
      <c r="K1052" s="1" t="s">
        <v>3053</v>
      </c>
      <c r="L1052" s="1" t="s">
        <v>1279</v>
      </c>
      <c r="M1052" s="36" t="s">
        <v>1511</v>
      </c>
      <c r="N1052" s="1" t="s">
        <v>2400</v>
      </c>
      <c r="O1052" s="1" t="s">
        <v>1286</v>
      </c>
      <c r="P1052" s="34" t="str">
        <f t="shared" si="19"/>
        <v>F010</v>
      </c>
      <c r="Q1052" s="1" t="s">
        <v>137</v>
      </c>
      <c r="S1052" s="16">
        <v>20</v>
      </c>
      <c r="T1052" s="1" t="s">
        <v>2842</v>
      </c>
      <c r="U1052" s="1" t="s">
        <v>1468</v>
      </c>
      <c r="V1052" s="1" t="s">
        <v>1634</v>
      </c>
      <c r="Y1052" s="1">
        <v>3450</v>
      </c>
      <c r="AB1052" s="1">
        <v>1638.72</v>
      </c>
    </row>
    <row r="1053" spans="2:28" x14ac:dyDescent="0.2">
      <c r="B1053" s="30" t="s">
        <v>2294</v>
      </c>
      <c r="C1053" s="36"/>
      <c r="D1053" s="36"/>
      <c r="F1053" s="1" t="s">
        <v>2843</v>
      </c>
      <c r="G1053" s="30" t="s">
        <v>2986</v>
      </c>
      <c r="K1053" s="1" t="s">
        <v>3054</v>
      </c>
      <c r="L1053" s="1" t="s">
        <v>1279</v>
      </c>
      <c r="M1053" s="36" t="s">
        <v>1511</v>
      </c>
      <c r="N1053" s="1" t="s">
        <v>2400</v>
      </c>
      <c r="O1053" s="1" t="s">
        <v>1286</v>
      </c>
      <c r="P1053" s="34" t="str">
        <f t="shared" si="19"/>
        <v>F010</v>
      </c>
      <c r="Q1053" s="1" t="s">
        <v>137</v>
      </c>
      <c r="S1053" s="16">
        <v>20</v>
      </c>
      <c r="T1053" s="1" t="s">
        <v>2842</v>
      </c>
      <c r="U1053" s="1" t="s">
        <v>1468</v>
      </c>
      <c r="V1053" s="1" t="s">
        <v>1634</v>
      </c>
      <c r="Y1053" s="1">
        <v>3450</v>
      </c>
      <c r="AB1053" s="1">
        <v>1638.72</v>
      </c>
    </row>
    <row r="1054" spans="2:28" x14ac:dyDescent="0.2">
      <c r="B1054" s="30" t="s">
        <v>2294</v>
      </c>
      <c r="C1054" s="36"/>
      <c r="D1054" s="36"/>
      <c r="F1054" s="1" t="s">
        <v>2843</v>
      </c>
      <c r="G1054" s="30" t="s">
        <v>2986</v>
      </c>
      <c r="K1054" s="1" t="s">
        <v>3055</v>
      </c>
      <c r="L1054" s="1" t="s">
        <v>1279</v>
      </c>
      <c r="M1054" s="36" t="s">
        <v>1511</v>
      </c>
      <c r="N1054" s="1" t="s">
        <v>2400</v>
      </c>
      <c r="O1054" s="1" t="s">
        <v>1286</v>
      </c>
      <c r="P1054" s="34" t="str">
        <f t="shared" si="19"/>
        <v>F010</v>
      </c>
      <c r="Q1054" s="1" t="s">
        <v>137</v>
      </c>
      <c r="S1054" s="16">
        <v>20</v>
      </c>
      <c r="T1054" s="1" t="s">
        <v>2842</v>
      </c>
      <c r="U1054" s="1" t="s">
        <v>1468</v>
      </c>
      <c r="V1054" s="1" t="s">
        <v>1634</v>
      </c>
      <c r="Y1054" s="1">
        <v>3450</v>
      </c>
      <c r="AB1054" s="1">
        <v>1638.72</v>
      </c>
    </row>
    <row r="1055" spans="2:28" x14ac:dyDescent="0.2">
      <c r="B1055" s="30" t="s">
        <v>2294</v>
      </c>
      <c r="C1055" s="36"/>
      <c r="D1055" s="36"/>
      <c r="F1055" s="1" t="s">
        <v>2843</v>
      </c>
      <c r="G1055" s="30" t="s">
        <v>2986</v>
      </c>
      <c r="K1055" s="1" t="s">
        <v>3056</v>
      </c>
      <c r="L1055" s="1" t="s">
        <v>1279</v>
      </c>
      <c r="M1055" s="36" t="s">
        <v>1511</v>
      </c>
      <c r="N1055" s="1" t="s">
        <v>2400</v>
      </c>
      <c r="O1055" s="1" t="s">
        <v>1286</v>
      </c>
      <c r="P1055" s="34" t="str">
        <f t="shared" si="19"/>
        <v>F010</v>
      </c>
      <c r="Q1055" s="1" t="s">
        <v>137</v>
      </c>
      <c r="S1055" s="16">
        <v>20</v>
      </c>
      <c r="T1055" s="1" t="s">
        <v>2842</v>
      </c>
      <c r="U1055" s="1" t="s">
        <v>1468</v>
      </c>
      <c r="V1055" s="1" t="s">
        <v>1634</v>
      </c>
      <c r="Y1055" s="1">
        <v>3450</v>
      </c>
      <c r="AB1055" s="1">
        <v>1638.72</v>
      </c>
    </row>
    <row r="1056" spans="2:28" x14ac:dyDescent="0.2">
      <c r="B1056" s="30" t="s">
        <v>2294</v>
      </c>
      <c r="C1056" s="36"/>
      <c r="D1056" s="36"/>
      <c r="F1056" s="1" t="s">
        <v>2843</v>
      </c>
      <c r="G1056" s="30" t="s">
        <v>2986</v>
      </c>
      <c r="K1056" s="1" t="s">
        <v>3057</v>
      </c>
      <c r="L1056" s="1" t="s">
        <v>1279</v>
      </c>
      <c r="M1056" s="36" t="s">
        <v>1511</v>
      </c>
      <c r="N1056" s="1" t="s">
        <v>2400</v>
      </c>
      <c r="O1056" s="1" t="s">
        <v>1286</v>
      </c>
      <c r="P1056" s="34" t="str">
        <f t="shared" si="19"/>
        <v>F010</v>
      </c>
      <c r="Q1056" s="1" t="s">
        <v>137</v>
      </c>
      <c r="S1056" s="16">
        <v>20</v>
      </c>
      <c r="T1056" s="1" t="s">
        <v>2842</v>
      </c>
      <c r="U1056" s="1" t="s">
        <v>1468</v>
      </c>
      <c r="V1056" s="1" t="s">
        <v>1634</v>
      </c>
      <c r="Y1056" s="1">
        <v>3450</v>
      </c>
      <c r="AB1056" s="1">
        <v>1638.72</v>
      </c>
    </row>
    <row r="1057" spans="2:28" x14ac:dyDescent="0.2">
      <c r="B1057" s="30" t="s">
        <v>2294</v>
      </c>
      <c r="C1057" s="36"/>
      <c r="D1057" s="36"/>
      <c r="F1057" s="1" t="s">
        <v>2843</v>
      </c>
      <c r="G1057" s="30" t="s">
        <v>2986</v>
      </c>
      <c r="K1057" s="1" t="s">
        <v>3058</v>
      </c>
      <c r="L1057" s="1" t="s">
        <v>1279</v>
      </c>
      <c r="M1057" s="36" t="s">
        <v>1511</v>
      </c>
      <c r="N1057" s="1" t="s">
        <v>2400</v>
      </c>
      <c r="O1057" s="1" t="s">
        <v>1286</v>
      </c>
      <c r="P1057" s="34" t="str">
        <f t="shared" si="19"/>
        <v>F010</v>
      </c>
      <c r="Q1057" s="1" t="s">
        <v>137</v>
      </c>
      <c r="S1057" s="16">
        <v>20</v>
      </c>
      <c r="T1057" s="1" t="s">
        <v>2842</v>
      </c>
      <c r="U1057" s="1" t="s">
        <v>1468</v>
      </c>
      <c r="V1057" s="1" t="s">
        <v>1634</v>
      </c>
      <c r="Y1057" s="1">
        <v>3450</v>
      </c>
      <c r="AB1057" s="1">
        <v>1638.72</v>
      </c>
    </row>
    <row r="1058" spans="2:28" x14ac:dyDescent="0.2">
      <c r="B1058" s="30" t="s">
        <v>2294</v>
      </c>
      <c r="C1058" s="36"/>
      <c r="D1058" s="36"/>
      <c r="F1058" s="1" t="s">
        <v>2843</v>
      </c>
      <c r="G1058" s="30" t="s">
        <v>2986</v>
      </c>
      <c r="K1058" s="1" t="s">
        <v>3059</v>
      </c>
      <c r="L1058" s="1" t="s">
        <v>1279</v>
      </c>
      <c r="M1058" s="36" t="s">
        <v>1511</v>
      </c>
      <c r="N1058" s="1" t="s">
        <v>2400</v>
      </c>
      <c r="O1058" s="1" t="s">
        <v>1286</v>
      </c>
      <c r="P1058" s="34" t="str">
        <f t="shared" si="19"/>
        <v>F010</v>
      </c>
      <c r="Q1058" s="1" t="s">
        <v>137</v>
      </c>
      <c r="S1058" s="16">
        <v>20</v>
      </c>
      <c r="T1058" s="1" t="s">
        <v>2842</v>
      </c>
      <c r="U1058" s="1" t="s">
        <v>1468</v>
      </c>
      <c r="V1058" s="1" t="s">
        <v>1634</v>
      </c>
      <c r="Y1058" s="1">
        <v>3450</v>
      </c>
      <c r="AB1058" s="1">
        <v>1638.72</v>
      </c>
    </row>
    <row r="1059" spans="2:28" x14ac:dyDescent="0.2">
      <c r="B1059" s="30" t="s">
        <v>2294</v>
      </c>
      <c r="C1059" s="36"/>
      <c r="D1059" s="36"/>
      <c r="F1059" s="1" t="s">
        <v>2843</v>
      </c>
      <c r="G1059" s="30" t="s">
        <v>2986</v>
      </c>
      <c r="K1059" s="1" t="s">
        <v>3060</v>
      </c>
      <c r="L1059" s="1" t="s">
        <v>1279</v>
      </c>
      <c r="M1059" s="36" t="s">
        <v>1511</v>
      </c>
      <c r="N1059" s="1" t="s">
        <v>2400</v>
      </c>
      <c r="O1059" s="1" t="s">
        <v>1286</v>
      </c>
      <c r="P1059" s="34" t="str">
        <f t="shared" si="19"/>
        <v>F010</v>
      </c>
      <c r="Q1059" s="1" t="s">
        <v>137</v>
      </c>
      <c r="S1059" s="16">
        <v>20</v>
      </c>
      <c r="T1059" s="1" t="s">
        <v>2842</v>
      </c>
      <c r="U1059" s="1" t="s">
        <v>1468</v>
      </c>
      <c r="V1059" s="1" t="s">
        <v>1634</v>
      </c>
      <c r="Y1059" s="1">
        <v>3450</v>
      </c>
      <c r="AB1059" s="1">
        <v>1638.72</v>
      </c>
    </row>
    <row r="1060" spans="2:28" x14ac:dyDescent="0.2">
      <c r="B1060" s="30" t="s">
        <v>2294</v>
      </c>
      <c r="C1060" s="36"/>
      <c r="D1060" s="36"/>
      <c r="F1060" s="1" t="s">
        <v>2843</v>
      </c>
      <c r="G1060" s="30" t="s">
        <v>2986</v>
      </c>
      <c r="K1060" s="1" t="s">
        <v>3061</v>
      </c>
      <c r="L1060" s="1" t="s">
        <v>1279</v>
      </c>
      <c r="M1060" s="36" t="s">
        <v>1511</v>
      </c>
      <c r="N1060" s="1" t="s">
        <v>2400</v>
      </c>
      <c r="O1060" s="1" t="s">
        <v>1286</v>
      </c>
      <c r="P1060" s="34" t="str">
        <f t="shared" si="19"/>
        <v>F010</v>
      </c>
      <c r="Q1060" s="1" t="s">
        <v>137</v>
      </c>
      <c r="S1060" s="16">
        <v>20</v>
      </c>
      <c r="T1060" s="1" t="s">
        <v>2842</v>
      </c>
      <c r="U1060" s="1" t="s">
        <v>1468</v>
      </c>
      <c r="V1060" s="1" t="s">
        <v>1634</v>
      </c>
      <c r="Y1060" s="1">
        <v>3450</v>
      </c>
      <c r="AB1060" s="1">
        <v>1638.72</v>
      </c>
    </row>
    <row r="1061" spans="2:28" x14ac:dyDescent="0.2">
      <c r="B1061" s="30" t="s">
        <v>2294</v>
      </c>
      <c r="C1061" s="36"/>
      <c r="D1061" s="36"/>
      <c r="F1061" s="1" t="s">
        <v>2843</v>
      </c>
      <c r="G1061" s="30" t="s">
        <v>2986</v>
      </c>
      <c r="K1061" s="1" t="s">
        <v>3062</v>
      </c>
      <c r="L1061" s="1" t="s">
        <v>1279</v>
      </c>
      <c r="M1061" s="36" t="s">
        <v>1511</v>
      </c>
      <c r="N1061" s="1" t="s">
        <v>2400</v>
      </c>
      <c r="O1061" s="1" t="s">
        <v>1286</v>
      </c>
      <c r="P1061" s="34" t="str">
        <f t="shared" si="19"/>
        <v>F010</v>
      </c>
      <c r="Q1061" s="1" t="s">
        <v>137</v>
      </c>
      <c r="S1061" s="16">
        <v>20</v>
      </c>
      <c r="T1061" s="1" t="s">
        <v>2842</v>
      </c>
      <c r="U1061" s="1" t="s">
        <v>1468</v>
      </c>
      <c r="V1061" s="1" t="s">
        <v>1634</v>
      </c>
      <c r="Y1061" s="1">
        <v>3450</v>
      </c>
      <c r="AB1061" s="1">
        <v>1638.72</v>
      </c>
    </row>
    <row r="1062" spans="2:28" x14ac:dyDescent="0.2">
      <c r="B1062" s="30" t="s">
        <v>2294</v>
      </c>
      <c r="C1062" s="36"/>
      <c r="D1062" s="36"/>
      <c r="F1062" s="1" t="s">
        <v>2843</v>
      </c>
      <c r="G1062" s="30" t="s">
        <v>2986</v>
      </c>
      <c r="K1062" s="1" t="s">
        <v>3063</v>
      </c>
      <c r="L1062" s="1" t="s">
        <v>1279</v>
      </c>
      <c r="M1062" s="36" t="s">
        <v>1511</v>
      </c>
      <c r="N1062" s="1" t="s">
        <v>2400</v>
      </c>
      <c r="O1062" s="1" t="s">
        <v>1286</v>
      </c>
      <c r="P1062" s="34" t="str">
        <f t="shared" si="19"/>
        <v>F010</v>
      </c>
      <c r="Q1062" s="1" t="s">
        <v>137</v>
      </c>
      <c r="S1062" s="16">
        <v>20</v>
      </c>
      <c r="T1062" s="1" t="s">
        <v>2842</v>
      </c>
      <c r="U1062" s="1" t="s">
        <v>1468</v>
      </c>
      <c r="V1062" s="1" t="s">
        <v>1634</v>
      </c>
      <c r="Y1062" s="1">
        <v>3450</v>
      </c>
      <c r="AB1062" s="1">
        <v>1638.72</v>
      </c>
    </row>
    <row r="1063" spans="2:28" x14ac:dyDescent="0.2">
      <c r="B1063" s="30" t="s">
        <v>2294</v>
      </c>
      <c r="C1063" s="36"/>
      <c r="D1063" s="36"/>
      <c r="F1063" s="1" t="s">
        <v>2843</v>
      </c>
      <c r="G1063" s="30" t="s">
        <v>2986</v>
      </c>
      <c r="K1063" s="1" t="s">
        <v>3064</v>
      </c>
      <c r="L1063" s="1" t="s">
        <v>1279</v>
      </c>
      <c r="M1063" s="36" t="s">
        <v>1511</v>
      </c>
      <c r="N1063" s="1" t="s">
        <v>2400</v>
      </c>
      <c r="O1063" s="1" t="s">
        <v>1286</v>
      </c>
      <c r="P1063" s="34" t="str">
        <f t="shared" si="19"/>
        <v>F010</v>
      </c>
      <c r="Q1063" s="1" t="s">
        <v>137</v>
      </c>
      <c r="S1063" s="16">
        <v>20</v>
      </c>
      <c r="T1063" s="1" t="s">
        <v>2842</v>
      </c>
      <c r="U1063" s="1" t="s">
        <v>1468</v>
      </c>
      <c r="V1063" s="1" t="s">
        <v>1634</v>
      </c>
      <c r="Y1063" s="1">
        <v>3450</v>
      </c>
      <c r="AB1063" s="1">
        <v>1638.72</v>
      </c>
    </row>
    <row r="1064" spans="2:28" x14ac:dyDescent="0.2">
      <c r="B1064" s="30" t="s">
        <v>2294</v>
      </c>
      <c r="C1064" s="36"/>
      <c r="D1064" s="36"/>
      <c r="F1064" s="1" t="s">
        <v>2843</v>
      </c>
      <c r="G1064" s="30" t="s">
        <v>2986</v>
      </c>
      <c r="K1064" s="1" t="s">
        <v>3065</v>
      </c>
      <c r="L1064" s="1" t="s">
        <v>1279</v>
      </c>
      <c r="M1064" s="36" t="s">
        <v>1511</v>
      </c>
      <c r="N1064" s="1" t="s">
        <v>2400</v>
      </c>
      <c r="O1064" s="1" t="s">
        <v>1286</v>
      </c>
      <c r="P1064" s="34" t="str">
        <f t="shared" si="19"/>
        <v>F010</v>
      </c>
      <c r="Q1064" s="1" t="s">
        <v>137</v>
      </c>
      <c r="S1064" s="16">
        <v>20</v>
      </c>
      <c r="T1064" s="1" t="s">
        <v>2842</v>
      </c>
      <c r="U1064" s="1" t="s">
        <v>1468</v>
      </c>
      <c r="V1064" s="1" t="s">
        <v>1634</v>
      </c>
      <c r="Y1064" s="1">
        <v>3450</v>
      </c>
      <c r="AB1064" s="1">
        <v>1638.72</v>
      </c>
    </row>
    <row r="1065" spans="2:28" x14ac:dyDescent="0.2">
      <c r="B1065" s="30" t="s">
        <v>2294</v>
      </c>
      <c r="C1065" s="36"/>
      <c r="D1065" s="36"/>
      <c r="F1065" s="1" t="s">
        <v>2843</v>
      </c>
      <c r="G1065" s="30" t="s">
        <v>2986</v>
      </c>
      <c r="K1065" s="1" t="s">
        <v>3066</v>
      </c>
      <c r="L1065" s="1" t="s">
        <v>1279</v>
      </c>
      <c r="M1065" s="36" t="s">
        <v>1511</v>
      </c>
      <c r="N1065" s="1" t="s">
        <v>2400</v>
      </c>
      <c r="O1065" s="1" t="s">
        <v>1286</v>
      </c>
      <c r="P1065" s="34" t="str">
        <f t="shared" si="19"/>
        <v>F010</v>
      </c>
      <c r="Q1065" s="1" t="s">
        <v>137</v>
      </c>
      <c r="S1065" s="16">
        <v>20</v>
      </c>
      <c r="T1065" s="1" t="s">
        <v>2842</v>
      </c>
      <c r="U1065" s="1" t="s">
        <v>1468</v>
      </c>
      <c r="V1065" s="1" t="s">
        <v>1634</v>
      </c>
      <c r="Y1065" s="1">
        <v>3450</v>
      </c>
      <c r="AB1065" s="1">
        <v>1638.72</v>
      </c>
    </row>
    <row r="1066" spans="2:28" x14ac:dyDescent="0.2">
      <c r="B1066" s="30" t="s">
        <v>2294</v>
      </c>
      <c r="C1066" s="36"/>
      <c r="D1066" s="36"/>
      <c r="F1066" s="1" t="s">
        <v>2843</v>
      </c>
      <c r="G1066" s="30" t="s">
        <v>2986</v>
      </c>
      <c r="K1066" s="1" t="s">
        <v>3067</v>
      </c>
      <c r="L1066" s="1" t="s">
        <v>1279</v>
      </c>
      <c r="M1066" s="36" t="s">
        <v>1511</v>
      </c>
      <c r="N1066" s="1" t="s">
        <v>2400</v>
      </c>
      <c r="O1066" s="1" t="s">
        <v>1286</v>
      </c>
      <c r="P1066" s="34" t="str">
        <f t="shared" si="19"/>
        <v>F010</v>
      </c>
      <c r="Q1066" s="1" t="s">
        <v>137</v>
      </c>
      <c r="S1066" s="16">
        <v>20</v>
      </c>
      <c r="T1066" s="1" t="s">
        <v>2842</v>
      </c>
      <c r="U1066" s="1" t="s">
        <v>1468</v>
      </c>
      <c r="V1066" s="1" t="s">
        <v>1634</v>
      </c>
      <c r="Y1066" s="1">
        <v>3450</v>
      </c>
      <c r="AB1066" s="1">
        <v>1638.72</v>
      </c>
    </row>
    <row r="1067" spans="2:28" x14ac:dyDescent="0.2">
      <c r="B1067" s="30" t="s">
        <v>2294</v>
      </c>
      <c r="C1067" s="36"/>
      <c r="D1067" s="36"/>
      <c r="F1067" s="1" t="s">
        <v>2843</v>
      </c>
      <c r="G1067" s="30" t="s">
        <v>2986</v>
      </c>
      <c r="K1067" s="1" t="s">
        <v>3068</v>
      </c>
      <c r="L1067" s="1" t="s">
        <v>1279</v>
      </c>
      <c r="M1067" s="36" t="s">
        <v>1511</v>
      </c>
      <c r="N1067" s="1" t="s">
        <v>2400</v>
      </c>
      <c r="O1067" s="1" t="s">
        <v>1286</v>
      </c>
      <c r="P1067" s="34" t="str">
        <f t="shared" si="19"/>
        <v>F010</v>
      </c>
      <c r="Q1067" s="1" t="s">
        <v>137</v>
      </c>
      <c r="S1067" s="16">
        <v>20</v>
      </c>
      <c r="T1067" s="1" t="s">
        <v>2842</v>
      </c>
      <c r="U1067" s="1" t="s">
        <v>1468</v>
      </c>
      <c r="V1067" s="1" t="s">
        <v>1634</v>
      </c>
      <c r="Y1067" s="1">
        <v>3450</v>
      </c>
      <c r="AB1067" s="1">
        <v>1638.72</v>
      </c>
    </row>
    <row r="1068" spans="2:28" x14ac:dyDescent="0.2">
      <c r="B1068" s="30" t="s">
        <v>2294</v>
      </c>
      <c r="C1068" s="36"/>
      <c r="D1068" s="36"/>
      <c r="F1068" s="1" t="s">
        <v>2843</v>
      </c>
      <c r="G1068" s="30" t="s">
        <v>2986</v>
      </c>
      <c r="K1068" s="1" t="s">
        <v>3069</v>
      </c>
      <c r="L1068" s="1" t="s">
        <v>1279</v>
      </c>
      <c r="M1068" s="36" t="s">
        <v>1511</v>
      </c>
      <c r="N1068" s="1" t="s">
        <v>2400</v>
      </c>
      <c r="O1068" s="1" t="s">
        <v>1286</v>
      </c>
      <c r="P1068" s="34" t="str">
        <f t="shared" si="19"/>
        <v>F010</v>
      </c>
      <c r="Q1068" s="1" t="s">
        <v>137</v>
      </c>
      <c r="S1068" s="16">
        <v>20</v>
      </c>
      <c r="T1068" s="1" t="s">
        <v>2842</v>
      </c>
      <c r="U1068" s="1" t="s">
        <v>1468</v>
      </c>
      <c r="V1068" s="1" t="s">
        <v>1634</v>
      </c>
      <c r="Y1068" s="1">
        <v>3450</v>
      </c>
      <c r="AB1068" s="1">
        <v>1638.72</v>
      </c>
    </row>
    <row r="1069" spans="2:28" x14ac:dyDescent="0.2">
      <c r="B1069" s="30" t="s">
        <v>2294</v>
      </c>
      <c r="C1069" s="36"/>
      <c r="D1069" s="36"/>
      <c r="F1069" s="1" t="s">
        <v>2843</v>
      </c>
      <c r="G1069" s="30" t="s">
        <v>2986</v>
      </c>
      <c r="K1069" s="1" t="s">
        <v>3070</v>
      </c>
      <c r="L1069" s="1" t="s">
        <v>1279</v>
      </c>
      <c r="M1069" s="36" t="s">
        <v>1511</v>
      </c>
      <c r="N1069" s="1" t="s">
        <v>2400</v>
      </c>
      <c r="O1069" s="1" t="s">
        <v>1286</v>
      </c>
      <c r="P1069" s="34" t="str">
        <f t="shared" si="19"/>
        <v>F010</v>
      </c>
      <c r="Q1069" s="1" t="s">
        <v>137</v>
      </c>
      <c r="S1069" s="16">
        <v>20</v>
      </c>
      <c r="T1069" s="1" t="s">
        <v>2299</v>
      </c>
      <c r="U1069" s="1" t="s">
        <v>1468</v>
      </c>
      <c r="V1069" s="1" t="s">
        <v>1634</v>
      </c>
      <c r="Y1069" s="1">
        <v>3450</v>
      </c>
      <c r="AB1069" s="1">
        <v>1638.72</v>
      </c>
    </row>
    <row r="1070" spans="2:28" x14ac:dyDescent="0.2">
      <c r="B1070" s="30" t="s">
        <v>2294</v>
      </c>
      <c r="C1070" s="36"/>
      <c r="D1070" s="36"/>
      <c r="F1070" s="1" t="s">
        <v>1322</v>
      </c>
      <c r="G1070" s="30" t="s">
        <v>2986</v>
      </c>
      <c r="K1070" s="1" t="s">
        <v>3071</v>
      </c>
      <c r="L1070" s="1" t="s">
        <v>1279</v>
      </c>
      <c r="M1070" s="36" t="s">
        <v>1511</v>
      </c>
      <c r="N1070" s="1" t="s">
        <v>3072</v>
      </c>
      <c r="O1070" s="1" t="s">
        <v>1286</v>
      </c>
      <c r="P1070" s="34" t="str">
        <f t="shared" si="19"/>
        <v>F010</v>
      </c>
      <c r="Q1070" s="1" t="s">
        <v>137</v>
      </c>
      <c r="S1070" s="16">
        <v>20</v>
      </c>
      <c r="T1070" s="1" t="s">
        <v>2299</v>
      </c>
      <c r="U1070" s="1" t="s">
        <v>1468</v>
      </c>
      <c r="V1070" s="1" t="s">
        <v>1634</v>
      </c>
      <c r="Y1070" s="1">
        <v>3450</v>
      </c>
      <c r="AB1070" s="1">
        <v>1638.72</v>
      </c>
    </row>
    <row r="1071" spans="2:28" x14ac:dyDescent="0.2">
      <c r="B1071" s="30" t="s">
        <v>2294</v>
      </c>
      <c r="C1071" s="36"/>
      <c r="D1071" s="36"/>
      <c r="F1071" s="1" t="s">
        <v>1322</v>
      </c>
      <c r="G1071" s="30" t="s">
        <v>2986</v>
      </c>
      <c r="K1071" s="1" t="s">
        <v>3073</v>
      </c>
      <c r="L1071" s="1" t="s">
        <v>1279</v>
      </c>
      <c r="M1071" s="36" t="s">
        <v>1511</v>
      </c>
      <c r="N1071" s="1" t="s">
        <v>3072</v>
      </c>
      <c r="O1071" s="1" t="s">
        <v>1286</v>
      </c>
      <c r="P1071" s="34" t="str">
        <f t="shared" si="19"/>
        <v>F010</v>
      </c>
      <c r="Q1071" s="1" t="s">
        <v>137</v>
      </c>
      <c r="S1071" s="16">
        <v>20</v>
      </c>
      <c r="T1071" s="1" t="s">
        <v>3074</v>
      </c>
      <c r="U1071" s="1" t="s">
        <v>1468</v>
      </c>
      <c r="V1071" s="1" t="s">
        <v>1634</v>
      </c>
      <c r="Y1071" s="1">
        <v>3450</v>
      </c>
      <c r="AB1071" s="1">
        <v>1638.72</v>
      </c>
    </row>
    <row r="1072" spans="2:28" x14ac:dyDescent="0.2">
      <c r="B1072" s="30" t="s">
        <v>2294</v>
      </c>
      <c r="C1072" s="36"/>
      <c r="D1072" s="36"/>
      <c r="F1072" s="1" t="s">
        <v>3075</v>
      </c>
      <c r="G1072" s="30" t="s">
        <v>2986</v>
      </c>
      <c r="K1072" s="1" t="s">
        <v>3076</v>
      </c>
      <c r="L1072" s="1" t="s">
        <v>1279</v>
      </c>
      <c r="M1072" s="36" t="s">
        <v>1511</v>
      </c>
      <c r="N1072" s="1" t="s">
        <v>3077</v>
      </c>
      <c r="O1072" s="1" t="s">
        <v>1286</v>
      </c>
      <c r="P1072" s="34" t="str">
        <f t="shared" si="19"/>
        <v>F010</v>
      </c>
      <c r="Q1072" s="1" t="s">
        <v>137</v>
      </c>
      <c r="S1072" s="16">
        <v>20</v>
      </c>
      <c r="T1072" s="1" t="s">
        <v>2299</v>
      </c>
      <c r="U1072" s="1" t="s">
        <v>1468</v>
      </c>
      <c r="V1072" s="1" t="s">
        <v>1634</v>
      </c>
      <c r="Y1072" s="1">
        <v>3450</v>
      </c>
      <c r="AB1072" s="1">
        <v>1638.72</v>
      </c>
    </row>
    <row r="1073" spans="2:28" x14ac:dyDescent="0.2">
      <c r="B1073" s="30" t="s">
        <v>2294</v>
      </c>
      <c r="C1073" s="36"/>
      <c r="D1073" s="36"/>
      <c r="F1073" s="1" t="s">
        <v>1322</v>
      </c>
      <c r="G1073" s="30" t="s">
        <v>2986</v>
      </c>
      <c r="K1073" s="1" t="s">
        <v>3078</v>
      </c>
      <c r="L1073" s="1" t="s">
        <v>1279</v>
      </c>
      <c r="M1073" s="36" t="s">
        <v>1511</v>
      </c>
      <c r="N1073" s="1" t="s">
        <v>3077</v>
      </c>
      <c r="O1073" s="1" t="s">
        <v>1286</v>
      </c>
      <c r="P1073" s="34" t="str">
        <f t="shared" si="19"/>
        <v>F010</v>
      </c>
      <c r="Q1073" s="1" t="s">
        <v>137</v>
      </c>
      <c r="S1073" s="16">
        <v>20</v>
      </c>
      <c r="T1073" s="1" t="s">
        <v>3079</v>
      </c>
      <c r="U1073" s="1" t="s">
        <v>1468</v>
      </c>
      <c r="V1073" s="1" t="s">
        <v>1634</v>
      </c>
      <c r="Y1073" s="1">
        <v>3450</v>
      </c>
      <c r="AB1073" s="1">
        <v>1638.72</v>
      </c>
    </row>
    <row r="1074" spans="2:28" x14ac:dyDescent="0.2">
      <c r="B1074" s="30" t="s">
        <v>2294</v>
      </c>
      <c r="C1074" s="36"/>
      <c r="D1074" s="36"/>
      <c r="F1074" s="1" t="s">
        <v>3080</v>
      </c>
      <c r="G1074" s="30" t="s">
        <v>2986</v>
      </c>
      <c r="K1074" s="1" t="s">
        <v>3081</v>
      </c>
      <c r="L1074" s="1" t="s">
        <v>1279</v>
      </c>
      <c r="M1074" s="36" t="s">
        <v>1511</v>
      </c>
      <c r="N1074" s="1" t="s">
        <v>3077</v>
      </c>
      <c r="O1074" s="1" t="s">
        <v>1286</v>
      </c>
      <c r="P1074" s="34" t="str">
        <f t="shared" si="19"/>
        <v>F010</v>
      </c>
      <c r="Q1074" s="1" t="s">
        <v>137</v>
      </c>
      <c r="S1074" s="16">
        <v>20</v>
      </c>
      <c r="T1074" s="1" t="s">
        <v>2299</v>
      </c>
      <c r="U1074" s="1" t="s">
        <v>1468</v>
      </c>
      <c r="V1074" s="1" t="s">
        <v>1634</v>
      </c>
      <c r="Y1074" s="1">
        <v>3450</v>
      </c>
      <c r="AB1074" s="1">
        <v>1638.72</v>
      </c>
    </row>
    <row r="1075" spans="2:28" x14ac:dyDescent="0.2">
      <c r="B1075" s="30" t="s">
        <v>2294</v>
      </c>
      <c r="C1075" s="36"/>
      <c r="D1075" s="36"/>
      <c r="F1075" s="1" t="s">
        <v>1322</v>
      </c>
      <c r="G1075" s="30" t="s">
        <v>2986</v>
      </c>
      <c r="K1075" s="1" t="s">
        <v>3082</v>
      </c>
      <c r="L1075" s="1" t="s">
        <v>1279</v>
      </c>
      <c r="M1075" s="36" t="s">
        <v>1511</v>
      </c>
      <c r="N1075" s="1" t="s">
        <v>3083</v>
      </c>
      <c r="O1075" s="1" t="s">
        <v>1286</v>
      </c>
      <c r="P1075" s="34" t="str">
        <f t="shared" si="19"/>
        <v>F010</v>
      </c>
      <c r="Q1075" s="1" t="s">
        <v>137</v>
      </c>
      <c r="S1075" s="16">
        <v>20</v>
      </c>
      <c r="T1075" s="1" t="s">
        <v>3084</v>
      </c>
      <c r="U1075" s="1" t="s">
        <v>1468</v>
      </c>
      <c r="V1075" s="1" t="s">
        <v>1634</v>
      </c>
      <c r="Y1075" s="1">
        <v>3450</v>
      </c>
      <c r="AB1075" s="1">
        <v>1638.72</v>
      </c>
    </row>
    <row r="1076" spans="2:28" x14ac:dyDescent="0.2">
      <c r="B1076" s="30" t="s">
        <v>2294</v>
      </c>
      <c r="C1076" s="36"/>
      <c r="D1076" s="36"/>
      <c r="F1076" s="1" t="s">
        <v>3085</v>
      </c>
      <c r="G1076" s="30" t="s">
        <v>2986</v>
      </c>
      <c r="K1076" s="1" t="s">
        <v>3086</v>
      </c>
      <c r="L1076" s="1" t="s">
        <v>1279</v>
      </c>
      <c r="M1076" s="36" t="s">
        <v>1511</v>
      </c>
      <c r="N1076" s="1" t="s">
        <v>3083</v>
      </c>
      <c r="O1076" s="1" t="s">
        <v>1286</v>
      </c>
      <c r="P1076" s="34" t="str">
        <f t="shared" si="19"/>
        <v>F010</v>
      </c>
      <c r="Q1076" s="1" t="s">
        <v>137</v>
      </c>
      <c r="S1076" s="16">
        <v>20</v>
      </c>
      <c r="T1076" s="1" t="s">
        <v>2427</v>
      </c>
      <c r="U1076" s="1" t="s">
        <v>1468</v>
      </c>
      <c r="V1076" s="1" t="s">
        <v>1634</v>
      </c>
      <c r="Y1076" s="1">
        <v>3450</v>
      </c>
      <c r="AB1076" s="1">
        <v>1638.72</v>
      </c>
    </row>
    <row r="1077" spans="2:28" x14ac:dyDescent="0.2">
      <c r="B1077" s="30" t="s">
        <v>2294</v>
      </c>
      <c r="C1077" s="36"/>
      <c r="D1077" s="36"/>
      <c r="F1077" s="1" t="s">
        <v>1895</v>
      </c>
      <c r="G1077" s="30" t="s">
        <v>2986</v>
      </c>
      <c r="K1077" s="1" t="s">
        <v>3087</v>
      </c>
      <c r="L1077" s="1" t="s">
        <v>1279</v>
      </c>
      <c r="M1077" s="36" t="s">
        <v>1511</v>
      </c>
      <c r="N1077" s="1" t="s">
        <v>3083</v>
      </c>
      <c r="O1077" s="1" t="s">
        <v>1286</v>
      </c>
      <c r="P1077" s="34" t="str">
        <f t="shared" si="19"/>
        <v>F010</v>
      </c>
      <c r="Q1077" s="1" t="s">
        <v>137</v>
      </c>
      <c r="S1077" s="16">
        <v>20</v>
      </c>
      <c r="T1077" s="1" t="s">
        <v>3088</v>
      </c>
      <c r="U1077" s="1" t="s">
        <v>1468</v>
      </c>
      <c r="V1077" s="1" t="s">
        <v>1634</v>
      </c>
      <c r="Y1077" s="1">
        <v>3450</v>
      </c>
      <c r="AB1077" s="1">
        <v>1638.72</v>
      </c>
    </row>
    <row r="1078" spans="2:28" x14ac:dyDescent="0.2">
      <c r="B1078" s="30" t="s">
        <v>2294</v>
      </c>
      <c r="C1078" s="36"/>
      <c r="D1078" s="36"/>
      <c r="F1078" s="1" t="s">
        <v>3089</v>
      </c>
      <c r="G1078" s="30" t="s">
        <v>2986</v>
      </c>
      <c r="K1078" s="1" t="s">
        <v>3090</v>
      </c>
      <c r="L1078" s="1" t="s">
        <v>1279</v>
      </c>
      <c r="M1078" s="36" t="s">
        <v>1511</v>
      </c>
      <c r="N1078" s="1" t="s">
        <v>3083</v>
      </c>
      <c r="O1078" s="1" t="s">
        <v>1286</v>
      </c>
      <c r="P1078" s="34" t="str">
        <f t="shared" si="19"/>
        <v>F010</v>
      </c>
      <c r="Q1078" s="1" t="s">
        <v>137</v>
      </c>
      <c r="S1078" s="16">
        <v>20</v>
      </c>
      <c r="T1078" s="1" t="s">
        <v>2427</v>
      </c>
      <c r="U1078" s="1" t="s">
        <v>1468</v>
      </c>
      <c r="V1078" s="1" t="s">
        <v>1634</v>
      </c>
      <c r="Y1078" s="1">
        <v>3450</v>
      </c>
      <c r="AB1078" s="1">
        <v>1638.72</v>
      </c>
    </row>
    <row r="1079" spans="2:28" x14ac:dyDescent="0.2">
      <c r="B1079" s="30" t="s">
        <v>2294</v>
      </c>
      <c r="C1079" s="36"/>
      <c r="D1079" s="36"/>
      <c r="F1079" s="1" t="s">
        <v>1895</v>
      </c>
      <c r="G1079" s="30" t="s">
        <v>2986</v>
      </c>
      <c r="K1079" s="1" t="s">
        <v>3091</v>
      </c>
      <c r="L1079" s="1" t="s">
        <v>1279</v>
      </c>
      <c r="M1079" s="36" t="s">
        <v>1511</v>
      </c>
      <c r="N1079" s="1" t="s">
        <v>3092</v>
      </c>
      <c r="O1079" s="1" t="s">
        <v>1286</v>
      </c>
      <c r="P1079" s="34" t="str">
        <f t="shared" si="19"/>
        <v>F010</v>
      </c>
      <c r="Q1079" s="1" t="s">
        <v>137</v>
      </c>
      <c r="S1079" s="16">
        <v>20</v>
      </c>
      <c r="T1079" s="1" t="s">
        <v>3093</v>
      </c>
      <c r="U1079" s="1" t="s">
        <v>1468</v>
      </c>
      <c r="V1079" s="1" t="s">
        <v>1634</v>
      </c>
      <c r="Y1079" s="1">
        <v>3450</v>
      </c>
      <c r="AB1079" s="1">
        <v>1638.72</v>
      </c>
    </row>
    <row r="1080" spans="2:28" x14ac:dyDescent="0.2">
      <c r="B1080" s="30" t="s">
        <v>2294</v>
      </c>
      <c r="C1080" s="36"/>
      <c r="D1080" s="36"/>
      <c r="F1080" s="1" t="s">
        <v>3094</v>
      </c>
      <c r="G1080" s="30" t="s">
        <v>2986</v>
      </c>
      <c r="K1080" s="1" t="s">
        <v>3095</v>
      </c>
      <c r="L1080" s="1" t="s">
        <v>1279</v>
      </c>
      <c r="M1080" s="36" t="s">
        <v>1511</v>
      </c>
      <c r="N1080" s="1" t="s">
        <v>3092</v>
      </c>
      <c r="O1080" s="1" t="s">
        <v>1286</v>
      </c>
      <c r="P1080" s="34" t="str">
        <f t="shared" si="19"/>
        <v>F010</v>
      </c>
      <c r="Q1080" s="1" t="s">
        <v>137</v>
      </c>
      <c r="S1080" s="16">
        <v>20</v>
      </c>
      <c r="T1080" s="1" t="s">
        <v>2427</v>
      </c>
      <c r="U1080" s="1" t="s">
        <v>1468</v>
      </c>
      <c r="V1080" s="1" t="s">
        <v>1634</v>
      </c>
      <c r="Y1080" s="1">
        <v>3450</v>
      </c>
      <c r="AB1080" s="1">
        <v>1638.72</v>
      </c>
    </row>
    <row r="1081" spans="2:28" x14ac:dyDescent="0.2">
      <c r="B1081" s="30" t="s">
        <v>2294</v>
      </c>
      <c r="C1081" s="36"/>
      <c r="D1081" s="36"/>
      <c r="F1081" s="1" t="s">
        <v>1895</v>
      </c>
      <c r="G1081" s="30" t="s">
        <v>2986</v>
      </c>
      <c r="K1081" s="1" t="s">
        <v>3096</v>
      </c>
      <c r="L1081" s="1" t="s">
        <v>1279</v>
      </c>
      <c r="M1081" s="36" t="s">
        <v>1511</v>
      </c>
      <c r="N1081" s="1" t="s">
        <v>3092</v>
      </c>
      <c r="O1081" s="1" t="s">
        <v>1286</v>
      </c>
      <c r="P1081" s="34" t="str">
        <f t="shared" si="19"/>
        <v>F010</v>
      </c>
      <c r="Q1081" s="1" t="s">
        <v>137</v>
      </c>
      <c r="S1081" s="16">
        <v>20</v>
      </c>
      <c r="T1081" s="1" t="s">
        <v>3097</v>
      </c>
      <c r="U1081" s="1" t="s">
        <v>1468</v>
      </c>
      <c r="V1081" s="1" t="s">
        <v>1634</v>
      </c>
      <c r="Y1081" s="1">
        <v>3450</v>
      </c>
      <c r="AB1081" s="1">
        <v>1638.72</v>
      </c>
    </row>
    <row r="1082" spans="2:28" x14ac:dyDescent="0.2">
      <c r="B1082" s="30" t="s">
        <v>2294</v>
      </c>
      <c r="C1082" s="36"/>
      <c r="D1082" s="36"/>
      <c r="F1082" s="1" t="s">
        <v>3098</v>
      </c>
      <c r="G1082" s="30" t="s">
        <v>2986</v>
      </c>
      <c r="K1082" s="1" t="s">
        <v>3099</v>
      </c>
      <c r="L1082" s="1" t="s">
        <v>1279</v>
      </c>
      <c r="M1082" s="36" t="s">
        <v>1511</v>
      </c>
      <c r="N1082" s="1" t="s">
        <v>3092</v>
      </c>
      <c r="O1082" s="1" t="s">
        <v>1286</v>
      </c>
      <c r="P1082" s="34" t="str">
        <f t="shared" si="19"/>
        <v>F010</v>
      </c>
      <c r="Q1082" s="1" t="s">
        <v>137</v>
      </c>
      <c r="S1082" s="16">
        <v>20</v>
      </c>
      <c r="T1082" s="1" t="s">
        <v>2427</v>
      </c>
      <c r="U1082" s="1" t="s">
        <v>1468</v>
      </c>
      <c r="V1082" s="1" t="s">
        <v>1634</v>
      </c>
      <c r="Y1082" s="1">
        <v>3450</v>
      </c>
      <c r="AB1082" s="1">
        <v>1638.72</v>
      </c>
    </row>
    <row r="1083" spans="2:28" x14ac:dyDescent="0.2">
      <c r="B1083" s="30" t="s">
        <v>2294</v>
      </c>
      <c r="C1083" s="36"/>
      <c r="D1083" s="36"/>
      <c r="F1083" s="1" t="s">
        <v>1895</v>
      </c>
      <c r="G1083" s="30" t="s">
        <v>2986</v>
      </c>
      <c r="K1083" s="1" t="s">
        <v>3100</v>
      </c>
      <c r="L1083" s="1" t="s">
        <v>1279</v>
      </c>
      <c r="M1083" s="36" t="s">
        <v>1511</v>
      </c>
      <c r="N1083" s="1" t="s">
        <v>3092</v>
      </c>
      <c r="O1083" s="1" t="s">
        <v>1286</v>
      </c>
      <c r="P1083" s="34" t="str">
        <f t="shared" si="19"/>
        <v>F010</v>
      </c>
      <c r="Q1083" s="1" t="s">
        <v>137</v>
      </c>
      <c r="S1083" s="16">
        <v>20</v>
      </c>
      <c r="T1083" s="1" t="s">
        <v>3101</v>
      </c>
      <c r="U1083" s="1" t="s">
        <v>1468</v>
      </c>
      <c r="V1083" s="1" t="s">
        <v>1634</v>
      </c>
      <c r="Y1083" s="1">
        <v>3450</v>
      </c>
      <c r="AB1083" s="1">
        <v>1638.72</v>
      </c>
    </row>
    <row r="1084" spans="2:28" x14ac:dyDescent="0.2">
      <c r="B1084" s="30" t="s">
        <v>2294</v>
      </c>
      <c r="C1084" s="36"/>
      <c r="D1084" s="36"/>
      <c r="F1084" s="1" t="s">
        <v>3102</v>
      </c>
      <c r="G1084" s="30" t="s">
        <v>2986</v>
      </c>
      <c r="K1084" s="1" t="s">
        <v>3103</v>
      </c>
      <c r="L1084" s="1" t="s">
        <v>1279</v>
      </c>
      <c r="M1084" s="36" t="s">
        <v>1511</v>
      </c>
      <c r="N1084" s="1" t="s">
        <v>3092</v>
      </c>
      <c r="O1084" s="1" t="s">
        <v>1286</v>
      </c>
      <c r="P1084" s="34" t="str">
        <f t="shared" si="19"/>
        <v>F010</v>
      </c>
      <c r="Q1084" s="1" t="s">
        <v>137</v>
      </c>
      <c r="S1084" s="16">
        <v>20</v>
      </c>
      <c r="T1084" s="1" t="s">
        <v>2427</v>
      </c>
      <c r="U1084" s="1" t="s">
        <v>1468</v>
      </c>
      <c r="V1084" s="1" t="s">
        <v>1634</v>
      </c>
      <c r="Y1084" s="1">
        <v>3450</v>
      </c>
      <c r="AB1084" s="1">
        <v>1638.72</v>
      </c>
    </row>
    <row r="1085" spans="2:28" x14ac:dyDescent="0.2">
      <c r="B1085" s="30" t="s">
        <v>2294</v>
      </c>
      <c r="C1085" s="36"/>
      <c r="D1085" s="36"/>
      <c r="F1085" s="1" t="s">
        <v>1895</v>
      </c>
      <c r="G1085" s="30" t="s">
        <v>2986</v>
      </c>
      <c r="K1085" s="1" t="s">
        <v>3104</v>
      </c>
      <c r="L1085" s="1" t="s">
        <v>1279</v>
      </c>
      <c r="M1085" s="36" t="s">
        <v>1511</v>
      </c>
      <c r="N1085" s="1" t="s">
        <v>3092</v>
      </c>
      <c r="O1085" s="1" t="s">
        <v>1286</v>
      </c>
      <c r="P1085" s="34" t="str">
        <f t="shared" si="19"/>
        <v>F010</v>
      </c>
      <c r="Q1085" s="1" t="s">
        <v>137</v>
      </c>
      <c r="S1085" s="16">
        <v>20</v>
      </c>
      <c r="T1085" s="1" t="s">
        <v>3079</v>
      </c>
      <c r="U1085" s="1" t="s">
        <v>1468</v>
      </c>
      <c r="V1085" s="1" t="s">
        <v>1634</v>
      </c>
      <c r="Y1085" s="1">
        <v>3450</v>
      </c>
      <c r="AB1085" s="1">
        <v>1638.72</v>
      </c>
    </row>
    <row r="1086" spans="2:28" x14ac:dyDescent="0.2">
      <c r="B1086" s="30" t="s">
        <v>2294</v>
      </c>
      <c r="C1086" s="36"/>
      <c r="D1086" s="36"/>
      <c r="F1086" s="1" t="s">
        <v>3080</v>
      </c>
      <c r="G1086" s="30" t="s">
        <v>2986</v>
      </c>
      <c r="K1086" s="1" t="s">
        <v>3105</v>
      </c>
      <c r="L1086" s="1" t="s">
        <v>1279</v>
      </c>
      <c r="M1086" s="36" t="s">
        <v>1511</v>
      </c>
      <c r="N1086" s="1" t="s">
        <v>3092</v>
      </c>
      <c r="O1086" s="1" t="s">
        <v>1286</v>
      </c>
      <c r="P1086" s="34" t="str">
        <f t="shared" si="19"/>
        <v>F010</v>
      </c>
      <c r="Q1086" s="1" t="s">
        <v>137</v>
      </c>
      <c r="S1086" s="16">
        <v>20</v>
      </c>
      <c r="T1086" s="1" t="s">
        <v>2299</v>
      </c>
      <c r="U1086" s="1" t="s">
        <v>1468</v>
      </c>
      <c r="V1086" s="1" t="s">
        <v>1634</v>
      </c>
      <c r="Y1086" s="1">
        <v>3450</v>
      </c>
      <c r="AB1086" s="1">
        <v>1638.72</v>
      </c>
    </row>
    <row r="1087" spans="2:28" x14ac:dyDescent="0.2">
      <c r="B1087" s="30" t="s">
        <v>2294</v>
      </c>
      <c r="C1087" s="36"/>
      <c r="D1087" s="36"/>
      <c r="F1087" s="1" t="s">
        <v>1322</v>
      </c>
      <c r="G1087" s="30" t="s">
        <v>2986</v>
      </c>
      <c r="K1087" s="1" t="s">
        <v>3106</v>
      </c>
      <c r="L1087" s="1" t="s">
        <v>1279</v>
      </c>
      <c r="M1087" s="36" t="s">
        <v>1511</v>
      </c>
      <c r="N1087" s="1" t="s">
        <v>3092</v>
      </c>
      <c r="O1087" s="1" t="s">
        <v>1286</v>
      </c>
      <c r="P1087" s="34" t="str">
        <f t="shared" si="19"/>
        <v>F010</v>
      </c>
      <c r="Q1087" s="1" t="s">
        <v>137</v>
      </c>
      <c r="S1087" s="16">
        <v>20</v>
      </c>
      <c r="T1087" s="1" t="s">
        <v>3107</v>
      </c>
      <c r="U1087" s="1" t="s">
        <v>1468</v>
      </c>
      <c r="V1087" s="1" t="s">
        <v>1634</v>
      </c>
      <c r="Y1087" s="1">
        <v>3450</v>
      </c>
      <c r="AB1087" s="1">
        <v>1638.72</v>
      </c>
    </row>
    <row r="1088" spans="2:28" x14ac:dyDescent="0.2">
      <c r="B1088" s="30" t="s">
        <v>2294</v>
      </c>
      <c r="C1088" s="36"/>
      <c r="D1088" s="36"/>
      <c r="F1088" s="1" t="s">
        <v>3108</v>
      </c>
      <c r="G1088" s="30" t="s">
        <v>2986</v>
      </c>
      <c r="K1088" s="1" t="s">
        <v>3109</v>
      </c>
      <c r="L1088" s="1" t="s">
        <v>1279</v>
      </c>
      <c r="M1088" s="36" t="s">
        <v>1511</v>
      </c>
      <c r="N1088" s="1" t="s">
        <v>3092</v>
      </c>
      <c r="O1088" s="1" t="s">
        <v>1286</v>
      </c>
      <c r="P1088" s="34" t="str">
        <f t="shared" si="19"/>
        <v>F010</v>
      </c>
      <c r="Q1088" s="1" t="s">
        <v>137</v>
      </c>
      <c r="S1088" s="16">
        <v>20</v>
      </c>
      <c r="T1088" s="1" t="s">
        <v>2427</v>
      </c>
      <c r="U1088" s="1" t="s">
        <v>1468</v>
      </c>
      <c r="V1088" s="1" t="s">
        <v>1634</v>
      </c>
      <c r="Y1088" s="1">
        <v>3450</v>
      </c>
      <c r="AB1088" s="1">
        <v>1638.72</v>
      </c>
    </row>
    <row r="1089" spans="2:28" x14ac:dyDescent="0.2">
      <c r="B1089" s="30" t="s">
        <v>2294</v>
      </c>
      <c r="C1089" s="36"/>
      <c r="D1089" s="36"/>
      <c r="F1089" s="1" t="s">
        <v>1895</v>
      </c>
      <c r="G1089" s="30" t="s">
        <v>2986</v>
      </c>
      <c r="K1089" s="1" t="s">
        <v>3110</v>
      </c>
      <c r="L1089" s="1" t="s">
        <v>1279</v>
      </c>
      <c r="M1089" s="36" t="s">
        <v>1511</v>
      </c>
      <c r="N1089" s="1" t="s">
        <v>3092</v>
      </c>
      <c r="O1089" s="1" t="s">
        <v>1286</v>
      </c>
      <c r="P1089" s="34" t="str">
        <f t="shared" si="19"/>
        <v>F010</v>
      </c>
      <c r="Q1089" s="1" t="s">
        <v>137</v>
      </c>
      <c r="S1089" s="16">
        <v>20</v>
      </c>
      <c r="T1089" s="1" t="s">
        <v>3111</v>
      </c>
      <c r="U1089" s="1" t="s">
        <v>1468</v>
      </c>
      <c r="V1089" s="1" t="s">
        <v>1634</v>
      </c>
      <c r="Y1089" s="1">
        <v>3450</v>
      </c>
      <c r="AB1089" s="1">
        <v>1638.72</v>
      </c>
    </row>
    <row r="1090" spans="2:28" x14ac:dyDescent="0.2">
      <c r="B1090" s="30" t="s">
        <v>2294</v>
      </c>
      <c r="C1090" s="36"/>
      <c r="D1090" s="36"/>
      <c r="F1090" s="1" t="s">
        <v>3112</v>
      </c>
      <c r="G1090" s="30" t="s">
        <v>2986</v>
      </c>
      <c r="K1090" s="1" t="s">
        <v>3113</v>
      </c>
      <c r="L1090" s="1" t="s">
        <v>1279</v>
      </c>
      <c r="M1090" s="36" t="s">
        <v>1511</v>
      </c>
      <c r="N1090" s="1" t="s">
        <v>3092</v>
      </c>
      <c r="O1090" s="1" t="s">
        <v>1286</v>
      </c>
      <c r="P1090" s="34" t="str">
        <f t="shared" si="19"/>
        <v>F010</v>
      </c>
      <c r="Q1090" s="1" t="s">
        <v>137</v>
      </c>
      <c r="S1090" s="16">
        <v>20</v>
      </c>
      <c r="T1090" s="1" t="s">
        <v>2427</v>
      </c>
      <c r="U1090" s="1" t="s">
        <v>1468</v>
      </c>
      <c r="V1090" s="1" t="s">
        <v>1634</v>
      </c>
      <c r="Y1090" s="1">
        <v>3450</v>
      </c>
      <c r="AB1090" s="1">
        <v>1638.72</v>
      </c>
    </row>
    <row r="1091" spans="2:28" x14ac:dyDescent="0.2">
      <c r="B1091" s="30" t="s">
        <v>2294</v>
      </c>
      <c r="C1091" s="36"/>
      <c r="D1091" s="36"/>
      <c r="F1091" s="1" t="s">
        <v>1895</v>
      </c>
      <c r="G1091" s="30" t="s">
        <v>2986</v>
      </c>
      <c r="K1091" s="1" t="s">
        <v>3114</v>
      </c>
      <c r="L1091" s="1" t="s">
        <v>1279</v>
      </c>
      <c r="M1091" s="36" t="s">
        <v>1511</v>
      </c>
      <c r="N1091" s="1" t="s">
        <v>3092</v>
      </c>
      <c r="O1091" s="1" t="s">
        <v>1286</v>
      </c>
      <c r="P1091" s="34" t="str">
        <f t="shared" si="19"/>
        <v>F010</v>
      </c>
      <c r="Q1091" s="1" t="s">
        <v>137</v>
      </c>
      <c r="S1091" s="16">
        <v>20</v>
      </c>
      <c r="T1091" s="1" t="s">
        <v>3115</v>
      </c>
      <c r="U1091" s="1" t="s">
        <v>1468</v>
      </c>
      <c r="V1091" s="1" t="s">
        <v>1634</v>
      </c>
      <c r="Y1091" s="1">
        <v>3450</v>
      </c>
      <c r="AB1091" s="1">
        <v>1638.72</v>
      </c>
    </row>
    <row r="1092" spans="2:28" x14ac:dyDescent="0.2">
      <c r="B1092" s="30" t="s">
        <v>2294</v>
      </c>
      <c r="C1092" s="36"/>
      <c r="D1092" s="36"/>
      <c r="F1092" s="1" t="s">
        <v>3116</v>
      </c>
      <c r="G1092" s="30" t="s">
        <v>2986</v>
      </c>
      <c r="K1092" s="1" t="s">
        <v>3117</v>
      </c>
      <c r="L1092" s="1" t="s">
        <v>1279</v>
      </c>
      <c r="M1092" s="36" t="s">
        <v>1511</v>
      </c>
      <c r="N1092" s="1" t="s">
        <v>3092</v>
      </c>
      <c r="O1092" s="1" t="s">
        <v>1286</v>
      </c>
      <c r="P1092" s="34" t="str">
        <f t="shared" si="19"/>
        <v>F010</v>
      </c>
      <c r="Q1092" s="1" t="s">
        <v>137</v>
      </c>
      <c r="S1092" s="16">
        <v>20</v>
      </c>
      <c r="T1092" s="1" t="s">
        <v>2427</v>
      </c>
      <c r="U1092" s="1" t="s">
        <v>1468</v>
      </c>
      <c r="V1092" s="1" t="s">
        <v>1634</v>
      </c>
      <c r="Y1092" s="1">
        <v>3450</v>
      </c>
      <c r="AB1092" s="1">
        <v>1638.72</v>
      </c>
    </row>
    <row r="1093" spans="2:28" x14ac:dyDescent="0.2">
      <c r="B1093" s="30" t="s">
        <v>2294</v>
      </c>
      <c r="C1093" s="36"/>
      <c r="D1093" s="36"/>
      <c r="F1093" s="1" t="s">
        <v>1895</v>
      </c>
      <c r="G1093" s="30" t="s">
        <v>2986</v>
      </c>
      <c r="K1093" s="1" t="s">
        <v>3118</v>
      </c>
      <c r="L1093" s="1" t="s">
        <v>1279</v>
      </c>
      <c r="M1093" s="36" t="s">
        <v>1511</v>
      </c>
      <c r="N1093" s="1" t="s">
        <v>3092</v>
      </c>
      <c r="O1093" s="1" t="s">
        <v>1286</v>
      </c>
      <c r="P1093" s="34" t="str">
        <f t="shared" si="19"/>
        <v>F010</v>
      </c>
      <c r="Q1093" s="1" t="s">
        <v>137</v>
      </c>
      <c r="S1093" s="16">
        <v>20</v>
      </c>
      <c r="T1093" s="1" t="s">
        <v>3119</v>
      </c>
      <c r="U1093" s="1" t="s">
        <v>1468</v>
      </c>
      <c r="V1093" s="1" t="s">
        <v>1634</v>
      </c>
      <c r="Y1093" s="1">
        <v>3450</v>
      </c>
      <c r="AB1093" s="1">
        <v>1638.72</v>
      </c>
    </row>
    <row r="1094" spans="2:28" x14ac:dyDescent="0.2">
      <c r="B1094" s="30" t="s">
        <v>2294</v>
      </c>
      <c r="C1094" s="36"/>
      <c r="D1094" s="36"/>
      <c r="F1094" s="1" t="s">
        <v>3120</v>
      </c>
      <c r="G1094" s="30" t="s">
        <v>2986</v>
      </c>
      <c r="K1094" s="1" t="s">
        <v>3121</v>
      </c>
      <c r="L1094" s="1" t="s">
        <v>1279</v>
      </c>
      <c r="M1094" s="36" t="s">
        <v>1511</v>
      </c>
      <c r="N1094" s="1" t="s">
        <v>3092</v>
      </c>
      <c r="O1094" s="1" t="s">
        <v>1286</v>
      </c>
      <c r="P1094" s="34" t="str">
        <f t="shared" si="19"/>
        <v>F010</v>
      </c>
      <c r="Q1094" s="1" t="s">
        <v>137</v>
      </c>
      <c r="S1094" s="16">
        <v>20</v>
      </c>
      <c r="T1094" s="1" t="s">
        <v>2299</v>
      </c>
      <c r="U1094" s="1" t="s">
        <v>1468</v>
      </c>
      <c r="V1094" s="1" t="s">
        <v>1634</v>
      </c>
      <c r="Y1094" s="1">
        <v>3450</v>
      </c>
      <c r="AB1094" s="1">
        <v>1638.72</v>
      </c>
    </row>
    <row r="1095" spans="2:28" x14ac:dyDescent="0.2">
      <c r="B1095" s="30" t="s">
        <v>2294</v>
      </c>
      <c r="C1095" s="36"/>
      <c r="D1095" s="36"/>
      <c r="F1095" s="1" t="s">
        <v>1322</v>
      </c>
      <c r="G1095" s="30" t="s">
        <v>2986</v>
      </c>
      <c r="K1095" s="1" t="s">
        <v>3122</v>
      </c>
      <c r="L1095" s="1" t="s">
        <v>1279</v>
      </c>
      <c r="M1095" s="36" t="s">
        <v>1511</v>
      </c>
      <c r="N1095" s="1" t="s">
        <v>3092</v>
      </c>
      <c r="O1095" s="1" t="s">
        <v>1286</v>
      </c>
      <c r="P1095" s="34" t="str">
        <f t="shared" si="19"/>
        <v>F010</v>
      </c>
      <c r="Q1095" s="1" t="s">
        <v>137</v>
      </c>
      <c r="S1095" s="16">
        <v>20</v>
      </c>
      <c r="T1095" s="1" t="s">
        <v>3093</v>
      </c>
      <c r="U1095" s="1" t="s">
        <v>1468</v>
      </c>
      <c r="V1095" s="1" t="s">
        <v>1634</v>
      </c>
      <c r="Y1095" s="1">
        <v>3450</v>
      </c>
      <c r="AB1095" s="1">
        <v>1638.72</v>
      </c>
    </row>
    <row r="1096" spans="2:28" x14ac:dyDescent="0.2">
      <c r="B1096" s="30" t="s">
        <v>2294</v>
      </c>
      <c r="C1096" s="36"/>
      <c r="D1096" s="36"/>
      <c r="F1096" s="1" t="s">
        <v>3094</v>
      </c>
      <c r="G1096" s="30" t="s">
        <v>2986</v>
      </c>
      <c r="K1096" s="1" t="s">
        <v>3123</v>
      </c>
      <c r="L1096" s="1" t="s">
        <v>1279</v>
      </c>
      <c r="M1096" s="36" t="s">
        <v>1511</v>
      </c>
      <c r="N1096" s="1" t="s">
        <v>3092</v>
      </c>
      <c r="O1096" s="1" t="s">
        <v>1286</v>
      </c>
      <c r="P1096" s="34" t="str">
        <f t="shared" ref="P1096:P1159" si="20">+LEFT(Q1096,4)</f>
        <v>F010</v>
      </c>
      <c r="Q1096" s="1" t="s">
        <v>137</v>
      </c>
      <c r="S1096" s="16">
        <v>20</v>
      </c>
      <c r="T1096" s="1" t="s">
        <v>2427</v>
      </c>
      <c r="U1096" s="1" t="s">
        <v>1468</v>
      </c>
      <c r="V1096" s="1" t="s">
        <v>1634</v>
      </c>
      <c r="Y1096" s="1">
        <v>3450</v>
      </c>
      <c r="AB1096" s="1">
        <v>1638.72</v>
      </c>
    </row>
    <row r="1097" spans="2:28" x14ac:dyDescent="0.2">
      <c r="B1097" s="30" t="s">
        <v>2294</v>
      </c>
      <c r="C1097" s="36"/>
      <c r="D1097" s="36"/>
      <c r="F1097" s="1" t="s">
        <v>1895</v>
      </c>
      <c r="G1097" s="30" t="s">
        <v>2986</v>
      </c>
      <c r="K1097" s="1" t="s">
        <v>3124</v>
      </c>
      <c r="L1097" s="1" t="s">
        <v>1279</v>
      </c>
      <c r="M1097" s="36" t="s">
        <v>1511</v>
      </c>
      <c r="N1097" s="1" t="s">
        <v>3092</v>
      </c>
      <c r="O1097" s="1" t="s">
        <v>1286</v>
      </c>
      <c r="P1097" s="34" t="str">
        <f t="shared" si="20"/>
        <v>F010</v>
      </c>
      <c r="Q1097" s="1" t="s">
        <v>137</v>
      </c>
      <c r="S1097" s="16">
        <v>20</v>
      </c>
      <c r="T1097" s="1" t="s">
        <v>3111</v>
      </c>
      <c r="U1097" s="1" t="s">
        <v>1468</v>
      </c>
      <c r="V1097" s="1" t="s">
        <v>1634</v>
      </c>
      <c r="Y1097" s="1">
        <v>3450</v>
      </c>
      <c r="AB1097" s="1">
        <v>1638.72</v>
      </c>
    </row>
    <row r="1098" spans="2:28" x14ac:dyDescent="0.2">
      <c r="B1098" s="30" t="s">
        <v>2294</v>
      </c>
      <c r="C1098" s="36"/>
      <c r="D1098" s="36"/>
      <c r="F1098" s="1" t="s">
        <v>3112</v>
      </c>
      <c r="G1098" s="30" t="s">
        <v>2986</v>
      </c>
      <c r="K1098" s="1" t="s">
        <v>3125</v>
      </c>
      <c r="L1098" s="1" t="s">
        <v>1279</v>
      </c>
      <c r="M1098" s="36" t="s">
        <v>1511</v>
      </c>
      <c r="N1098" s="1" t="s">
        <v>3092</v>
      </c>
      <c r="O1098" s="1" t="s">
        <v>1286</v>
      </c>
      <c r="P1098" s="34" t="str">
        <f t="shared" si="20"/>
        <v>F010</v>
      </c>
      <c r="Q1098" s="1" t="s">
        <v>137</v>
      </c>
      <c r="S1098" s="16">
        <v>20</v>
      </c>
      <c r="T1098" s="1" t="s">
        <v>2299</v>
      </c>
      <c r="U1098" s="1" t="s">
        <v>1468</v>
      </c>
      <c r="V1098" s="1" t="s">
        <v>1634</v>
      </c>
      <c r="Y1098" s="1">
        <v>3450</v>
      </c>
      <c r="AB1098" s="1">
        <v>1638.72</v>
      </c>
    </row>
    <row r="1099" spans="2:28" x14ac:dyDescent="0.2">
      <c r="B1099" s="30" t="s">
        <v>2294</v>
      </c>
      <c r="C1099" s="36"/>
      <c r="D1099" s="36"/>
      <c r="F1099" s="1" t="s">
        <v>1322</v>
      </c>
      <c r="G1099" s="30" t="s">
        <v>2986</v>
      </c>
      <c r="K1099" s="1" t="s">
        <v>3126</v>
      </c>
      <c r="L1099" s="1" t="s">
        <v>1279</v>
      </c>
      <c r="M1099" s="36" t="s">
        <v>1511</v>
      </c>
      <c r="N1099" s="1" t="s">
        <v>3092</v>
      </c>
      <c r="O1099" s="1" t="s">
        <v>1286</v>
      </c>
      <c r="P1099" s="34" t="str">
        <f t="shared" si="20"/>
        <v>F010</v>
      </c>
      <c r="Q1099" s="1" t="s">
        <v>137</v>
      </c>
      <c r="S1099" s="16">
        <v>20</v>
      </c>
      <c r="T1099" s="1" t="s">
        <v>3127</v>
      </c>
      <c r="U1099" s="1" t="s">
        <v>1468</v>
      </c>
      <c r="V1099" s="1" t="s">
        <v>1634</v>
      </c>
      <c r="Y1099" s="1">
        <v>3450</v>
      </c>
      <c r="AB1099" s="1">
        <v>1638.72</v>
      </c>
    </row>
    <row r="1100" spans="2:28" x14ac:dyDescent="0.2">
      <c r="B1100" s="30" t="s">
        <v>2294</v>
      </c>
      <c r="C1100" s="36"/>
      <c r="D1100" s="36"/>
      <c r="F1100" s="1" t="s">
        <v>3128</v>
      </c>
      <c r="G1100" s="30" t="s">
        <v>2986</v>
      </c>
      <c r="K1100" s="1" t="s">
        <v>3129</v>
      </c>
      <c r="L1100" s="1" t="s">
        <v>1279</v>
      </c>
      <c r="M1100" s="36" t="s">
        <v>1511</v>
      </c>
      <c r="N1100" s="1" t="s">
        <v>3092</v>
      </c>
      <c r="O1100" s="1" t="s">
        <v>1286</v>
      </c>
      <c r="P1100" s="34" t="str">
        <f t="shared" si="20"/>
        <v>F010</v>
      </c>
      <c r="Q1100" s="1" t="s">
        <v>137</v>
      </c>
      <c r="S1100" s="16">
        <v>20</v>
      </c>
      <c r="T1100" s="1" t="s">
        <v>2427</v>
      </c>
      <c r="U1100" s="1" t="s">
        <v>1468</v>
      </c>
      <c r="V1100" s="1" t="s">
        <v>1634</v>
      </c>
      <c r="Y1100" s="1">
        <v>3450</v>
      </c>
      <c r="AB1100" s="1">
        <v>1638.72</v>
      </c>
    </row>
    <row r="1101" spans="2:28" x14ac:dyDescent="0.2">
      <c r="B1101" s="30" t="s">
        <v>2294</v>
      </c>
      <c r="C1101" s="36"/>
      <c r="D1101" s="36"/>
      <c r="F1101" s="1" t="s">
        <v>1895</v>
      </c>
      <c r="G1101" s="30" t="s">
        <v>2986</v>
      </c>
      <c r="K1101" s="1" t="s">
        <v>3130</v>
      </c>
      <c r="L1101" s="1" t="s">
        <v>1279</v>
      </c>
      <c r="M1101" s="36" t="s">
        <v>1511</v>
      </c>
      <c r="N1101" s="1" t="s">
        <v>3092</v>
      </c>
      <c r="O1101" s="1" t="s">
        <v>1286</v>
      </c>
      <c r="P1101" s="34" t="str">
        <f t="shared" si="20"/>
        <v>F010</v>
      </c>
      <c r="Q1101" s="1" t="s">
        <v>137</v>
      </c>
      <c r="S1101" s="16">
        <v>20</v>
      </c>
      <c r="T1101" s="1" t="s">
        <v>3131</v>
      </c>
      <c r="U1101" s="1" t="s">
        <v>1468</v>
      </c>
      <c r="V1101" s="1" t="s">
        <v>1634</v>
      </c>
      <c r="Y1101" s="1">
        <v>3450</v>
      </c>
      <c r="AB1101" s="1">
        <v>1638.72</v>
      </c>
    </row>
    <row r="1102" spans="2:28" x14ac:dyDescent="0.2">
      <c r="B1102" s="30" t="s">
        <v>2294</v>
      </c>
      <c r="C1102" s="36"/>
      <c r="D1102" s="36"/>
      <c r="F1102" s="1" t="s">
        <v>3132</v>
      </c>
      <c r="G1102" s="30" t="s">
        <v>2986</v>
      </c>
      <c r="K1102" s="1" t="s">
        <v>3133</v>
      </c>
      <c r="L1102" s="1" t="s">
        <v>1279</v>
      </c>
      <c r="M1102" s="36" t="s">
        <v>1511</v>
      </c>
      <c r="N1102" s="1" t="s">
        <v>3092</v>
      </c>
      <c r="O1102" s="1" t="s">
        <v>1286</v>
      </c>
      <c r="P1102" s="34" t="str">
        <f t="shared" si="20"/>
        <v>F010</v>
      </c>
      <c r="Q1102" s="1" t="s">
        <v>137</v>
      </c>
      <c r="S1102" s="16">
        <v>20</v>
      </c>
      <c r="T1102" s="1" t="s">
        <v>2299</v>
      </c>
      <c r="U1102" s="1" t="s">
        <v>1468</v>
      </c>
      <c r="V1102" s="1" t="s">
        <v>1634</v>
      </c>
      <c r="Y1102" s="1">
        <v>3450</v>
      </c>
      <c r="AB1102" s="1">
        <v>1638.72</v>
      </c>
    </row>
    <row r="1103" spans="2:28" x14ac:dyDescent="0.2">
      <c r="B1103" s="30" t="s">
        <v>2294</v>
      </c>
      <c r="C1103" s="36"/>
      <c r="D1103" s="36"/>
      <c r="F1103" s="1" t="s">
        <v>1322</v>
      </c>
      <c r="G1103" s="30" t="s">
        <v>2986</v>
      </c>
      <c r="K1103" s="1" t="s">
        <v>3134</v>
      </c>
      <c r="L1103" s="1" t="s">
        <v>1279</v>
      </c>
      <c r="M1103" s="36" t="s">
        <v>1511</v>
      </c>
      <c r="N1103" s="1" t="s">
        <v>3092</v>
      </c>
      <c r="O1103" s="1" t="s">
        <v>1286</v>
      </c>
      <c r="P1103" s="34" t="str">
        <f t="shared" si="20"/>
        <v>F010</v>
      </c>
      <c r="Q1103" s="1" t="s">
        <v>137</v>
      </c>
      <c r="S1103" s="16">
        <v>20</v>
      </c>
      <c r="T1103" s="1" t="s">
        <v>3079</v>
      </c>
      <c r="U1103" s="1" t="s">
        <v>1468</v>
      </c>
      <c r="V1103" s="1" t="s">
        <v>1634</v>
      </c>
      <c r="Y1103" s="1">
        <v>3450</v>
      </c>
      <c r="AB1103" s="1">
        <v>1638.72</v>
      </c>
    </row>
    <row r="1104" spans="2:28" x14ac:dyDescent="0.2">
      <c r="B1104" s="30" t="s">
        <v>2294</v>
      </c>
      <c r="C1104" s="36"/>
      <c r="D1104" s="36"/>
      <c r="F1104" s="1" t="s">
        <v>3080</v>
      </c>
      <c r="G1104" s="30" t="s">
        <v>2986</v>
      </c>
      <c r="K1104" s="1" t="s">
        <v>3135</v>
      </c>
      <c r="L1104" s="1" t="s">
        <v>1279</v>
      </c>
      <c r="M1104" s="36" t="s">
        <v>1511</v>
      </c>
      <c r="N1104" s="1" t="s">
        <v>3092</v>
      </c>
      <c r="O1104" s="1" t="s">
        <v>1286</v>
      </c>
      <c r="P1104" s="34" t="str">
        <f t="shared" si="20"/>
        <v>F010</v>
      </c>
      <c r="Q1104" s="1" t="s">
        <v>137</v>
      </c>
      <c r="S1104" s="16">
        <v>20</v>
      </c>
      <c r="T1104" s="1" t="s">
        <v>2299</v>
      </c>
      <c r="U1104" s="1" t="s">
        <v>1468</v>
      </c>
      <c r="V1104" s="1" t="s">
        <v>1634</v>
      </c>
      <c r="Y1104" s="1">
        <v>3450</v>
      </c>
      <c r="AB1104" s="1">
        <v>1638.72</v>
      </c>
    </row>
    <row r="1105" spans="2:28" x14ac:dyDescent="0.2">
      <c r="B1105" s="30" t="s">
        <v>2294</v>
      </c>
      <c r="C1105" s="36"/>
      <c r="D1105" s="36"/>
      <c r="F1105" s="1" t="s">
        <v>1322</v>
      </c>
      <c r="G1105" s="30" t="s">
        <v>2986</v>
      </c>
      <c r="K1105" s="1" t="s">
        <v>3136</v>
      </c>
      <c r="L1105" s="1" t="s">
        <v>1279</v>
      </c>
      <c r="M1105" s="36" t="s">
        <v>1511</v>
      </c>
      <c r="N1105" s="1" t="s">
        <v>3092</v>
      </c>
      <c r="O1105" s="1" t="s">
        <v>1286</v>
      </c>
      <c r="P1105" s="34" t="str">
        <f t="shared" si="20"/>
        <v>F010</v>
      </c>
      <c r="Q1105" s="1" t="s">
        <v>137</v>
      </c>
      <c r="S1105" s="16">
        <v>20</v>
      </c>
      <c r="T1105" s="1" t="s">
        <v>3115</v>
      </c>
      <c r="U1105" s="1" t="s">
        <v>1468</v>
      </c>
      <c r="V1105" s="1" t="s">
        <v>1634</v>
      </c>
      <c r="Y1105" s="1">
        <v>3450</v>
      </c>
      <c r="AB1105" s="1">
        <v>1638.72</v>
      </c>
    </row>
    <row r="1106" spans="2:28" x14ac:dyDescent="0.2">
      <c r="B1106" s="30" t="s">
        <v>2294</v>
      </c>
      <c r="C1106" s="36"/>
      <c r="D1106" s="36"/>
      <c r="F1106" s="1" t="s">
        <v>3116</v>
      </c>
      <c r="G1106" s="30" t="s">
        <v>2986</v>
      </c>
      <c r="K1106" s="1" t="s">
        <v>3137</v>
      </c>
      <c r="L1106" s="1" t="s">
        <v>1279</v>
      </c>
      <c r="M1106" s="36" t="s">
        <v>1511</v>
      </c>
      <c r="N1106" s="1" t="s">
        <v>3092</v>
      </c>
      <c r="O1106" s="1" t="s">
        <v>1286</v>
      </c>
      <c r="P1106" s="34" t="str">
        <f t="shared" si="20"/>
        <v>F010</v>
      </c>
      <c r="Q1106" s="1" t="s">
        <v>137</v>
      </c>
      <c r="S1106" s="16">
        <v>20</v>
      </c>
      <c r="T1106" s="1" t="s">
        <v>2427</v>
      </c>
      <c r="U1106" s="1" t="s">
        <v>1468</v>
      </c>
      <c r="V1106" s="1" t="s">
        <v>1634</v>
      </c>
      <c r="Y1106" s="1">
        <v>3450</v>
      </c>
      <c r="AB1106" s="1">
        <v>1638.72</v>
      </c>
    </row>
    <row r="1107" spans="2:28" x14ac:dyDescent="0.2">
      <c r="B1107" s="30" t="s">
        <v>2294</v>
      </c>
      <c r="C1107" s="36"/>
      <c r="D1107" s="36"/>
      <c r="F1107" s="1" t="s">
        <v>1895</v>
      </c>
      <c r="G1107" s="30" t="s">
        <v>2986</v>
      </c>
      <c r="K1107" s="1" t="s">
        <v>3138</v>
      </c>
      <c r="L1107" s="1" t="s">
        <v>1279</v>
      </c>
      <c r="M1107" s="36" t="s">
        <v>1511</v>
      </c>
      <c r="N1107" s="1" t="s">
        <v>3092</v>
      </c>
      <c r="O1107" s="1" t="s">
        <v>1286</v>
      </c>
      <c r="P1107" s="34" t="str">
        <f t="shared" si="20"/>
        <v>F010</v>
      </c>
      <c r="Q1107" s="1" t="s">
        <v>137</v>
      </c>
      <c r="S1107" s="16">
        <v>20</v>
      </c>
      <c r="T1107" s="1" t="s">
        <v>3074</v>
      </c>
      <c r="U1107" s="1" t="s">
        <v>1468</v>
      </c>
      <c r="V1107" s="1" t="s">
        <v>1634</v>
      </c>
      <c r="Y1107" s="1">
        <v>3450</v>
      </c>
      <c r="AB1107" s="1">
        <v>1638.72</v>
      </c>
    </row>
    <row r="1108" spans="2:28" x14ac:dyDescent="0.2">
      <c r="B1108" s="30" t="s">
        <v>2294</v>
      </c>
      <c r="C1108" s="36"/>
      <c r="D1108" s="36"/>
      <c r="F1108" s="1" t="s">
        <v>3075</v>
      </c>
      <c r="G1108" s="30" t="s">
        <v>2986</v>
      </c>
      <c r="K1108" s="1" t="s">
        <v>3139</v>
      </c>
      <c r="L1108" s="1" t="s">
        <v>1279</v>
      </c>
      <c r="M1108" s="36" t="s">
        <v>1511</v>
      </c>
      <c r="N1108" s="1" t="s">
        <v>3092</v>
      </c>
      <c r="O1108" s="1" t="s">
        <v>1286</v>
      </c>
      <c r="P1108" s="34" t="str">
        <f t="shared" si="20"/>
        <v>F010</v>
      </c>
      <c r="Q1108" s="1" t="s">
        <v>137</v>
      </c>
      <c r="S1108" s="16">
        <v>20</v>
      </c>
      <c r="T1108" s="1" t="s">
        <v>2299</v>
      </c>
      <c r="U1108" s="1" t="s">
        <v>1468</v>
      </c>
      <c r="V1108" s="1" t="s">
        <v>1634</v>
      </c>
      <c r="Y1108" s="1">
        <v>3450</v>
      </c>
      <c r="AB1108" s="1">
        <v>1638.72</v>
      </c>
    </row>
    <row r="1109" spans="2:28" x14ac:dyDescent="0.2">
      <c r="B1109" s="30" t="s">
        <v>2294</v>
      </c>
      <c r="C1109" s="36"/>
      <c r="D1109" s="36"/>
      <c r="F1109" s="1" t="s">
        <v>1322</v>
      </c>
      <c r="G1109" s="30" t="s">
        <v>2986</v>
      </c>
      <c r="K1109" s="1" t="s">
        <v>3140</v>
      </c>
      <c r="L1109" s="1" t="s">
        <v>1279</v>
      </c>
      <c r="M1109" s="36" t="s">
        <v>1511</v>
      </c>
      <c r="N1109" s="1" t="s">
        <v>3092</v>
      </c>
      <c r="O1109" s="1" t="s">
        <v>1286</v>
      </c>
      <c r="P1109" s="34" t="str">
        <f t="shared" si="20"/>
        <v>F010</v>
      </c>
      <c r="Q1109" s="1" t="s">
        <v>137</v>
      </c>
      <c r="S1109" s="16">
        <v>20</v>
      </c>
      <c r="T1109" s="1" t="s">
        <v>3084</v>
      </c>
      <c r="U1109" s="1" t="s">
        <v>1468</v>
      </c>
      <c r="V1109" s="1" t="s">
        <v>1634</v>
      </c>
      <c r="Y1109" s="1">
        <v>3450</v>
      </c>
      <c r="AB1109" s="1">
        <v>1638.72</v>
      </c>
    </row>
    <row r="1110" spans="2:28" x14ac:dyDescent="0.2">
      <c r="B1110" s="30" t="s">
        <v>2294</v>
      </c>
      <c r="C1110" s="36"/>
      <c r="D1110" s="36"/>
      <c r="F1110" s="1" t="s">
        <v>3085</v>
      </c>
      <c r="G1110" s="30" t="s">
        <v>2986</v>
      </c>
      <c r="K1110" s="1" t="s">
        <v>3141</v>
      </c>
      <c r="L1110" s="1" t="s">
        <v>1279</v>
      </c>
      <c r="M1110" s="36" t="s">
        <v>1511</v>
      </c>
      <c r="N1110" s="1" t="s">
        <v>3092</v>
      </c>
      <c r="O1110" s="1" t="s">
        <v>1286</v>
      </c>
      <c r="P1110" s="34" t="str">
        <f t="shared" si="20"/>
        <v>F010</v>
      </c>
      <c r="Q1110" s="1" t="s">
        <v>137</v>
      </c>
      <c r="S1110" s="16">
        <v>20</v>
      </c>
      <c r="T1110" s="1" t="s">
        <v>2427</v>
      </c>
      <c r="U1110" s="1" t="s">
        <v>1468</v>
      </c>
      <c r="V1110" s="1" t="s">
        <v>1634</v>
      </c>
      <c r="Y1110" s="1">
        <v>3450</v>
      </c>
      <c r="AB1110" s="1">
        <v>1638.72</v>
      </c>
    </row>
    <row r="1111" spans="2:28" x14ac:dyDescent="0.2">
      <c r="B1111" s="30" t="s">
        <v>2294</v>
      </c>
      <c r="C1111" s="36"/>
      <c r="D1111" s="36"/>
      <c r="F1111" s="1" t="s">
        <v>1895</v>
      </c>
      <c r="G1111" s="30" t="s">
        <v>2986</v>
      </c>
      <c r="K1111" s="1" t="s">
        <v>3142</v>
      </c>
      <c r="L1111" s="1" t="s">
        <v>1279</v>
      </c>
      <c r="M1111" s="36" t="s">
        <v>1511</v>
      </c>
      <c r="N1111" s="1" t="s">
        <v>3092</v>
      </c>
      <c r="O1111" s="1" t="s">
        <v>1286</v>
      </c>
      <c r="P1111" s="34" t="str">
        <f t="shared" si="20"/>
        <v>F010</v>
      </c>
      <c r="Q1111" s="1" t="s">
        <v>137</v>
      </c>
      <c r="S1111" s="16">
        <v>20</v>
      </c>
      <c r="T1111" s="1" t="s">
        <v>3143</v>
      </c>
      <c r="U1111" s="1" t="s">
        <v>1468</v>
      </c>
      <c r="V1111" s="1" t="s">
        <v>1634</v>
      </c>
      <c r="Y1111" s="1">
        <v>3450</v>
      </c>
      <c r="AB1111" s="1">
        <v>1638.72</v>
      </c>
    </row>
    <row r="1112" spans="2:28" x14ac:dyDescent="0.2">
      <c r="B1112" s="30" t="s">
        <v>2294</v>
      </c>
      <c r="C1112" s="36"/>
      <c r="D1112" s="36"/>
      <c r="F1112" s="1" t="s">
        <v>3144</v>
      </c>
      <c r="G1112" s="30" t="s">
        <v>2986</v>
      </c>
      <c r="K1112" s="1" t="s">
        <v>3145</v>
      </c>
      <c r="L1112" s="1" t="s">
        <v>1279</v>
      </c>
      <c r="M1112" s="36" t="s">
        <v>1511</v>
      </c>
      <c r="N1112" s="1" t="s">
        <v>3092</v>
      </c>
      <c r="O1112" s="1" t="s">
        <v>1286</v>
      </c>
      <c r="P1112" s="34" t="str">
        <f t="shared" si="20"/>
        <v>F010</v>
      </c>
      <c r="Q1112" s="1" t="s">
        <v>137</v>
      </c>
      <c r="S1112" s="16">
        <v>20</v>
      </c>
      <c r="T1112" s="1" t="s">
        <v>2299</v>
      </c>
      <c r="U1112" s="1" t="s">
        <v>1468</v>
      </c>
      <c r="V1112" s="1" t="s">
        <v>1634</v>
      </c>
      <c r="Y1112" s="1">
        <v>3450</v>
      </c>
      <c r="AB1112" s="1">
        <v>1638.72</v>
      </c>
    </row>
    <row r="1113" spans="2:28" x14ac:dyDescent="0.2">
      <c r="B1113" s="30" t="s">
        <v>2294</v>
      </c>
      <c r="C1113" s="36"/>
      <c r="D1113" s="36"/>
      <c r="F1113" s="1" t="s">
        <v>1322</v>
      </c>
      <c r="G1113" s="30" t="s">
        <v>2986</v>
      </c>
      <c r="K1113" s="1" t="s">
        <v>3146</v>
      </c>
      <c r="L1113" s="1" t="s">
        <v>1279</v>
      </c>
      <c r="M1113" s="36" t="s">
        <v>1511</v>
      </c>
      <c r="N1113" s="1" t="s">
        <v>3092</v>
      </c>
      <c r="O1113" s="1" t="s">
        <v>1286</v>
      </c>
      <c r="P1113" s="34" t="str">
        <f t="shared" si="20"/>
        <v>F010</v>
      </c>
      <c r="Q1113" s="1" t="s">
        <v>137</v>
      </c>
      <c r="S1113" s="16">
        <v>20</v>
      </c>
      <c r="T1113" s="1" t="s">
        <v>3147</v>
      </c>
      <c r="U1113" s="1" t="s">
        <v>1468</v>
      </c>
      <c r="V1113" s="1" t="s">
        <v>1634</v>
      </c>
      <c r="Y1113" s="1">
        <v>3450</v>
      </c>
      <c r="AB1113" s="1">
        <v>1638.72</v>
      </c>
    </row>
    <row r="1114" spans="2:28" x14ac:dyDescent="0.2">
      <c r="B1114" s="30" t="s">
        <v>2294</v>
      </c>
      <c r="C1114" s="36"/>
      <c r="D1114" s="36"/>
      <c r="F1114" s="1" t="s">
        <v>3148</v>
      </c>
      <c r="G1114" s="30" t="s">
        <v>2986</v>
      </c>
      <c r="K1114" s="1" t="s">
        <v>3149</v>
      </c>
      <c r="L1114" s="1" t="s">
        <v>1279</v>
      </c>
      <c r="M1114" s="36" t="s">
        <v>1511</v>
      </c>
      <c r="N1114" s="1" t="s">
        <v>3150</v>
      </c>
      <c r="O1114" s="1" t="s">
        <v>1286</v>
      </c>
      <c r="P1114" s="34" t="str">
        <f t="shared" si="20"/>
        <v>F010</v>
      </c>
      <c r="Q1114" s="1" t="s">
        <v>137</v>
      </c>
      <c r="S1114" s="16">
        <v>20</v>
      </c>
      <c r="T1114" s="1" t="s">
        <v>2299</v>
      </c>
      <c r="U1114" s="1" t="s">
        <v>1468</v>
      </c>
      <c r="V1114" s="1" t="s">
        <v>1634</v>
      </c>
      <c r="Y1114" s="1">
        <v>3450</v>
      </c>
      <c r="AB1114" s="1">
        <v>1638.72</v>
      </c>
    </row>
    <row r="1115" spans="2:28" x14ac:dyDescent="0.2">
      <c r="B1115" s="30" t="s">
        <v>2294</v>
      </c>
      <c r="C1115" s="36"/>
      <c r="D1115" s="36"/>
      <c r="F1115" s="1" t="s">
        <v>1322</v>
      </c>
      <c r="G1115" s="30" t="s">
        <v>2986</v>
      </c>
      <c r="K1115" s="1" t="s">
        <v>3151</v>
      </c>
      <c r="L1115" s="1" t="s">
        <v>1279</v>
      </c>
      <c r="M1115" s="36" t="s">
        <v>1511</v>
      </c>
      <c r="N1115" s="1" t="s">
        <v>3150</v>
      </c>
      <c r="O1115" s="1" t="s">
        <v>1286</v>
      </c>
      <c r="P1115" s="34" t="str">
        <f t="shared" si="20"/>
        <v>F010</v>
      </c>
      <c r="Q1115" s="1" t="s">
        <v>137</v>
      </c>
      <c r="S1115" s="16">
        <v>20</v>
      </c>
      <c r="T1115" s="1" t="s">
        <v>3152</v>
      </c>
      <c r="U1115" s="1" t="s">
        <v>1468</v>
      </c>
      <c r="V1115" s="1" t="s">
        <v>1634</v>
      </c>
      <c r="Y1115" s="1">
        <v>3450</v>
      </c>
      <c r="AB1115" s="1">
        <v>1638.72</v>
      </c>
    </row>
    <row r="1116" spans="2:28" x14ac:dyDescent="0.2">
      <c r="B1116" s="30" t="s">
        <v>2294</v>
      </c>
      <c r="C1116" s="36"/>
      <c r="D1116" s="36"/>
      <c r="F1116" s="1" t="s">
        <v>3153</v>
      </c>
      <c r="G1116" s="30" t="s">
        <v>2986</v>
      </c>
      <c r="K1116" s="1" t="s">
        <v>3154</v>
      </c>
      <c r="L1116" s="1" t="s">
        <v>1279</v>
      </c>
      <c r="M1116" s="36" t="s">
        <v>1511</v>
      </c>
      <c r="N1116" s="1" t="s">
        <v>3150</v>
      </c>
      <c r="O1116" s="1" t="s">
        <v>1286</v>
      </c>
      <c r="P1116" s="34" t="str">
        <f t="shared" si="20"/>
        <v>F010</v>
      </c>
      <c r="Q1116" s="1" t="s">
        <v>137</v>
      </c>
      <c r="S1116" s="16">
        <v>20</v>
      </c>
      <c r="T1116" s="1" t="s">
        <v>2299</v>
      </c>
      <c r="U1116" s="1" t="s">
        <v>1468</v>
      </c>
      <c r="V1116" s="1" t="s">
        <v>1634</v>
      </c>
      <c r="Y1116" s="1">
        <v>3450</v>
      </c>
      <c r="AB1116" s="1">
        <v>1638.72</v>
      </c>
    </row>
    <row r="1117" spans="2:28" x14ac:dyDescent="0.2">
      <c r="B1117" s="30" t="s">
        <v>2294</v>
      </c>
      <c r="C1117" s="36"/>
      <c r="D1117" s="36"/>
      <c r="F1117" s="1" t="s">
        <v>1322</v>
      </c>
      <c r="G1117" s="30" t="s">
        <v>2986</v>
      </c>
      <c r="K1117" s="1" t="s">
        <v>3155</v>
      </c>
      <c r="L1117" s="1" t="s">
        <v>1279</v>
      </c>
      <c r="M1117" s="36" t="s">
        <v>1511</v>
      </c>
      <c r="N1117" s="1" t="s">
        <v>3150</v>
      </c>
      <c r="O1117" s="1" t="s">
        <v>1286</v>
      </c>
      <c r="P1117" s="34" t="str">
        <f t="shared" si="20"/>
        <v>F010</v>
      </c>
      <c r="Q1117" s="1" t="s">
        <v>137</v>
      </c>
      <c r="S1117" s="16">
        <v>20</v>
      </c>
      <c r="T1117" s="1" t="s">
        <v>3156</v>
      </c>
      <c r="U1117" s="1" t="s">
        <v>1468</v>
      </c>
      <c r="V1117" s="1" t="s">
        <v>1634</v>
      </c>
      <c r="Y1117" s="1">
        <v>3450</v>
      </c>
      <c r="AB1117" s="1">
        <v>1638.72</v>
      </c>
    </row>
    <row r="1118" spans="2:28" x14ac:dyDescent="0.2">
      <c r="B1118" s="30" t="s">
        <v>2294</v>
      </c>
      <c r="C1118" s="36"/>
      <c r="D1118" s="36"/>
      <c r="F1118" s="1" t="s">
        <v>3157</v>
      </c>
      <c r="G1118" s="30" t="s">
        <v>2986</v>
      </c>
      <c r="K1118" s="1" t="s">
        <v>3158</v>
      </c>
      <c r="L1118" s="1" t="s">
        <v>1279</v>
      </c>
      <c r="M1118" s="36" t="s">
        <v>1511</v>
      </c>
      <c r="N1118" s="1" t="s">
        <v>3150</v>
      </c>
      <c r="O1118" s="1" t="s">
        <v>1286</v>
      </c>
      <c r="P1118" s="34" t="str">
        <f t="shared" si="20"/>
        <v>F010</v>
      </c>
      <c r="Q1118" s="1" t="s">
        <v>137</v>
      </c>
      <c r="S1118" s="16">
        <v>20</v>
      </c>
      <c r="T1118" s="1" t="s">
        <v>2299</v>
      </c>
      <c r="U1118" s="1" t="s">
        <v>1468</v>
      </c>
      <c r="V1118" s="1" t="s">
        <v>1634</v>
      </c>
      <c r="Y1118" s="1">
        <v>3450</v>
      </c>
      <c r="AB1118" s="1">
        <v>1638.72</v>
      </c>
    </row>
    <row r="1119" spans="2:28" x14ac:dyDescent="0.2">
      <c r="B1119" s="30" t="s">
        <v>2294</v>
      </c>
      <c r="C1119" s="36"/>
      <c r="D1119" s="36"/>
      <c r="F1119" s="1" t="s">
        <v>1322</v>
      </c>
      <c r="G1119" s="30" t="s">
        <v>2986</v>
      </c>
      <c r="K1119" s="1" t="s">
        <v>3159</v>
      </c>
      <c r="L1119" s="1" t="s">
        <v>1279</v>
      </c>
      <c r="M1119" s="36" t="s">
        <v>1511</v>
      </c>
      <c r="N1119" s="1" t="s">
        <v>3150</v>
      </c>
      <c r="O1119" s="1" t="s">
        <v>1286</v>
      </c>
      <c r="P1119" s="34" t="str">
        <f t="shared" si="20"/>
        <v>F010</v>
      </c>
      <c r="Q1119" s="1" t="s">
        <v>137</v>
      </c>
      <c r="S1119" s="16">
        <v>20</v>
      </c>
      <c r="T1119" s="1" t="s">
        <v>3111</v>
      </c>
      <c r="U1119" s="1" t="s">
        <v>1468</v>
      </c>
      <c r="V1119" s="1" t="s">
        <v>1634</v>
      </c>
      <c r="Y1119" s="1">
        <v>3450</v>
      </c>
      <c r="AB1119" s="1">
        <v>1638.72</v>
      </c>
    </row>
    <row r="1120" spans="2:28" x14ac:dyDescent="0.2">
      <c r="B1120" s="30" t="s">
        <v>2294</v>
      </c>
      <c r="C1120" s="36"/>
      <c r="D1120" s="36"/>
      <c r="F1120" s="1" t="s">
        <v>3112</v>
      </c>
      <c r="G1120" s="30" t="s">
        <v>2986</v>
      </c>
      <c r="K1120" s="1" t="s">
        <v>3160</v>
      </c>
      <c r="L1120" s="1" t="s">
        <v>1279</v>
      </c>
      <c r="M1120" s="36" t="s">
        <v>1511</v>
      </c>
      <c r="N1120" s="1" t="s">
        <v>3150</v>
      </c>
      <c r="O1120" s="1" t="s">
        <v>1286</v>
      </c>
      <c r="P1120" s="34" t="str">
        <f t="shared" si="20"/>
        <v>F010</v>
      </c>
      <c r="Q1120" s="1" t="s">
        <v>137</v>
      </c>
      <c r="S1120" s="16">
        <v>20</v>
      </c>
      <c r="T1120" s="1" t="s">
        <v>2427</v>
      </c>
      <c r="U1120" s="1" t="s">
        <v>1468</v>
      </c>
      <c r="V1120" s="1" t="s">
        <v>1634</v>
      </c>
      <c r="Y1120" s="1">
        <v>3450</v>
      </c>
      <c r="AB1120" s="1">
        <v>1638.72</v>
      </c>
    </row>
    <row r="1121" spans="2:28" x14ac:dyDescent="0.2">
      <c r="B1121" s="30" t="s">
        <v>2294</v>
      </c>
      <c r="C1121" s="36"/>
      <c r="D1121" s="36"/>
      <c r="F1121" s="1" t="s">
        <v>1895</v>
      </c>
      <c r="G1121" s="30" t="s">
        <v>2986</v>
      </c>
      <c r="K1121" s="1" t="s">
        <v>3161</v>
      </c>
      <c r="L1121" s="1" t="s">
        <v>1279</v>
      </c>
      <c r="M1121" s="36" t="s">
        <v>1511</v>
      </c>
      <c r="N1121" s="1" t="s">
        <v>3150</v>
      </c>
      <c r="O1121" s="1" t="s">
        <v>1286</v>
      </c>
      <c r="P1121" s="34" t="str">
        <f t="shared" si="20"/>
        <v>F010</v>
      </c>
      <c r="Q1121" s="1" t="s">
        <v>137</v>
      </c>
      <c r="S1121" s="16">
        <v>20</v>
      </c>
      <c r="T1121" s="1" t="s">
        <v>3156</v>
      </c>
      <c r="U1121" s="1" t="s">
        <v>1468</v>
      </c>
      <c r="V1121" s="1" t="s">
        <v>1634</v>
      </c>
      <c r="Y1121" s="1">
        <v>3450</v>
      </c>
      <c r="AB1121" s="1">
        <v>1638.72</v>
      </c>
    </row>
    <row r="1122" spans="2:28" x14ac:dyDescent="0.2">
      <c r="B1122" s="30" t="s">
        <v>2294</v>
      </c>
      <c r="C1122" s="36"/>
      <c r="D1122" s="36"/>
      <c r="F1122" s="1" t="s">
        <v>3157</v>
      </c>
      <c r="G1122" s="30" t="s">
        <v>2986</v>
      </c>
      <c r="K1122" s="1" t="s">
        <v>3162</v>
      </c>
      <c r="L1122" s="1" t="s">
        <v>1279</v>
      </c>
      <c r="M1122" s="36" t="s">
        <v>1511</v>
      </c>
      <c r="N1122" s="1" t="s">
        <v>3150</v>
      </c>
      <c r="O1122" s="1" t="s">
        <v>1286</v>
      </c>
      <c r="P1122" s="34" t="str">
        <f t="shared" si="20"/>
        <v>F010</v>
      </c>
      <c r="Q1122" s="1" t="s">
        <v>137</v>
      </c>
      <c r="S1122" s="16">
        <v>20</v>
      </c>
      <c r="T1122" s="1" t="s">
        <v>2299</v>
      </c>
      <c r="U1122" s="1" t="s">
        <v>1468</v>
      </c>
      <c r="V1122" s="1" t="s">
        <v>1634</v>
      </c>
      <c r="Y1122" s="1">
        <v>3450</v>
      </c>
      <c r="AB1122" s="1">
        <v>1638.72</v>
      </c>
    </row>
    <row r="1123" spans="2:28" x14ac:dyDescent="0.2">
      <c r="B1123" s="30" t="s">
        <v>2294</v>
      </c>
      <c r="C1123" s="36"/>
      <c r="D1123" s="36"/>
      <c r="F1123" s="1" t="s">
        <v>1322</v>
      </c>
      <c r="G1123" s="30" t="s">
        <v>2986</v>
      </c>
      <c r="K1123" s="1" t="s">
        <v>3163</v>
      </c>
      <c r="L1123" s="1" t="s">
        <v>1279</v>
      </c>
      <c r="M1123" s="36" t="s">
        <v>1511</v>
      </c>
      <c r="N1123" s="1" t="s">
        <v>3150</v>
      </c>
      <c r="O1123" s="1" t="s">
        <v>1286</v>
      </c>
      <c r="P1123" s="34" t="str">
        <f t="shared" si="20"/>
        <v>F010</v>
      </c>
      <c r="Q1123" s="1" t="s">
        <v>137</v>
      </c>
      <c r="S1123" s="16">
        <v>20</v>
      </c>
      <c r="T1123" s="1" t="s">
        <v>3101</v>
      </c>
      <c r="U1123" s="1" t="s">
        <v>1468</v>
      </c>
      <c r="V1123" s="1" t="s">
        <v>1634</v>
      </c>
      <c r="Y1123" s="1">
        <v>3450</v>
      </c>
      <c r="AB1123" s="1">
        <v>1638.72</v>
      </c>
    </row>
    <row r="1124" spans="2:28" x14ac:dyDescent="0.2">
      <c r="B1124" s="30" t="s">
        <v>2294</v>
      </c>
      <c r="C1124" s="36"/>
      <c r="D1124" s="36"/>
      <c r="F1124" s="1" t="s">
        <v>3102</v>
      </c>
      <c r="G1124" s="30" t="s">
        <v>2986</v>
      </c>
      <c r="K1124" s="1" t="s">
        <v>3164</v>
      </c>
      <c r="L1124" s="1" t="s">
        <v>1279</v>
      </c>
      <c r="M1124" s="36" t="s">
        <v>1511</v>
      </c>
      <c r="N1124" s="1" t="s">
        <v>3150</v>
      </c>
      <c r="O1124" s="1" t="s">
        <v>1286</v>
      </c>
      <c r="P1124" s="34" t="str">
        <f t="shared" si="20"/>
        <v>F010</v>
      </c>
      <c r="Q1124" s="1" t="s">
        <v>137</v>
      </c>
      <c r="S1124" s="16">
        <v>20</v>
      </c>
      <c r="T1124" s="1" t="s">
        <v>2427</v>
      </c>
      <c r="U1124" s="1" t="s">
        <v>1468</v>
      </c>
      <c r="V1124" s="1" t="s">
        <v>1634</v>
      </c>
      <c r="Y1124" s="1">
        <v>3450</v>
      </c>
      <c r="AB1124" s="1">
        <v>1638.72</v>
      </c>
    </row>
    <row r="1125" spans="2:28" x14ac:dyDescent="0.2">
      <c r="B1125" s="30" t="s">
        <v>2294</v>
      </c>
      <c r="C1125" s="36"/>
      <c r="D1125" s="36"/>
      <c r="F1125" s="1" t="s">
        <v>1895</v>
      </c>
      <c r="G1125" s="30" t="s">
        <v>2986</v>
      </c>
      <c r="K1125" s="1" t="s">
        <v>3165</v>
      </c>
      <c r="L1125" s="1" t="s">
        <v>1279</v>
      </c>
      <c r="M1125" s="36" t="s">
        <v>1511</v>
      </c>
      <c r="N1125" s="1" t="s">
        <v>1944</v>
      </c>
      <c r="O1125" s="1" t="s">
        <v>1286</v>
      </c>
      <c r="P1125" s="34" t="str">
        <f t="shared" si="20"/>
        <v>F010</v>
      </c>
      <c r="Q1125" s="1" t="s">
        <v>137</v>
      </c>
      <c r="S1125" s="16">
        <v>20</v>
      </c>
      <c r="T1125" s="1" t="s">
        <v>3074</v>
      </c>
      <c r="U1125" s="1" t="s">
        <v>1468</v>
      </c>
      <c r="V1125" s="1" t="s">
        <v>1634</v>
      </c>
      <c r="Y1125" s="1">
        <v>3450</v>
      </c>
      <c r="AB1125" s="1">
        <v>1638.72</v>
      </c>
    </row>
    <row r="1126" spans="2:28" x14ac:dyDescent="0.2">
      <c r="B1126" s="30" t="s">
        <v>2294</v>
      </c>
      <c r="C1126" s="36"/>
      <c r="D1126" s="36"/>
      <c r="F1126" s="1" t="s">
        <v>3075</v>
      </c>
      <c r="G1126" s="30" t="s">
        <v>2986</v>
      </c>
      <c r="K1126" s="1" t="s">
        <v>3166</v>
      </c>
      <c r="L1126" s="1" t="s">
        <v>1279</v>
      </c>
      <c r="M1126" s="36" t="s">
        <v>1511</v>
      </c>
      <c r="N1126" s="1" t="s">
        <v>1944</v>
      </c>
      <c r="O1126" s="1" t="s">
        <v>1286</v>
      </c>
      <c r="P1126" s="34" t="str">
        <f t="shared" si="20"/>
        <v>F010</v>
      </c>
      <c r="Q1126" s="1" t="s">
        <v>137</v>
      </c>
      <c r="S1126" s="16">
        <v>20</v>
      </c>
      <c r="T1126" s="1" t="s">
        <v>2427</v>
      </c>
      <c r="U1126" s="1" t="s">
        <v>1468</v>
      </c>
      <c r="V1126" s="1" t="s">
        <v>1634</v>
      </c>
      <c r="Y1126" s="1">
        <v>3450</v>
      </c>
      <c r="AB1126" s="1">
        <v>1638.72</v>
      </c>
    </row>
    <row r="1127" spans="2:28" x14ac:dyDescent="0.2">
      <c r="B1127" s="30" t="s">
        <v>2294</v>
      </c>
      <c r="C1127" s="36"/>
      <c r="D1127" s="36"/>
      <c r="F1127" s="1" t="s">
        <v>1895</v>
      </c>
      <c r="G1127" s="30" t="s">
        <v>2986</v>
      </c>
      <c r="K1127" s="1" t="s">
        <v>3167</v>
      </c>
      <c r="L1127" s="1" t="s">
        <v>1279</v>
      </c>
      <c r="M1127" s="36" t="s">
        <v>1511</v>
      </c>
      <c r="N1127" s="1" t="s">
        <v>1944</v>
      </c>
      <c r="O1127" s="1" t="s">
        <v>1286</v>
      </c>
      <c r="P1127" s="34" t="str">
        <f t="shared" si="20"/>
        <v>F010</v>
      </c>
      <c r="Q1127" s="1" t="s">
        <v>137</v>
      </c>
      <c r="S1127" s="16">
        <v>20</v>
      </c>
      <c r="T1127" s="1" t="s">
        <v>3079</v>
      </c>
      <c r="U1127" s="1" t="s">
        <v>1468</v>
      </c>
      <c r="V1127" s="1" t="s">
        <v>1634</v>
      </c>
      <c r="Y1127" s="1">
        <v>3450</v>
      </c>
      <c r="AB1127" s="1">
        <v>1638.72</v>
      </c>
    </row>
    <row r="1128" spans="2:28" x14ac:dyDescent="0.2">
      <c r="B1128" s="30" t="s">
        <v>2294</v>
      </c>
      <c r="C1128" s="36"/>
      <c r="D1128" s="36"/>
      <c r="F1128" s="1" t="s">
        <v>3080</v>
      </c>
      <c r="G1128" s="30" t="s">
        <v>2986</v>
      </c>
      <c r="K1128" s="1" t="s">
        <v>3168</v>
      </c>
      <c r="L1128" s="1" t="s">
        <v>1279</v>
      </c>
      <c r="M1128" s="36" t="s">
        <v>1511</v>
      </c>
      <c r="N1128" s="1" t="s">
        <v>1944</v>
      </c>
      <c r="O1128" s="1" t="s">
        <v>1286</v>
      </c>
      <c r="P1128" s="34" t="str">
        <f t="shared" si="20"/>
        <v>F010</v>
      </c>
      <c r="Q1128" s="1" t="s">
        <v>137</v>
      </c>
      <c r="S1128" s="16">
        <v>20</v>
      </c>
      <c r="T1128" s="1" t="s">
        <v>2299</v>
      </c>
      <c r="U1128" s="1" t="s">
        <v>1468</v>
      </c>
      <c r="V1128" s="1" t="s">
        <v>1634</v>
      </c>
      <c r="Y1128" s="1">
        <v>3450</v>
      </c>
      <c r="AB1128" s="1">
        <v>1638.72</v>
      </c>
    </row>
    <row r="1129" spans="2:28" x14ac:dyDescent="0.2">
      <c r="B1129" s="30" t="s">
        <v>2294</v>
      </c>
      <c r="C1129" s="36"/>
      <c r="D1129" s="36"/>
      <c r="F1129" s="1" t="s">
        <v>1322</v>
      </c>
      <c r="G1129" s="30" t="s">
        <v>2986</v>
      </c>
      <c r="K1129" s="1" t="s">
        <v>3169</v>
      </c>
      <c r="L1129" s="1" t="s">
        <v>1279</v>
      </c>
      <c r="M1129" s="36" t="e">
        <v>#VALUE!</v>
      </c>
      <c r="N1129" s="1" t="s">
        <v>1944</v>
      </c>
      <c r="O1129" s="1" t="s">
        <v>1286</v>
      </c>
      <c r="P1129" s="34" t="str">
        <f t="shared" si="20"/>
        <v>F010</v>
      </c>
      <c r="Q1129" s="1" t="s">
        <v>137</v>
      </c>
      <c r="S1129" s="16">
        <v>20</v>
      </c>
      <c r="T1129" s="1" t="s">
        <v>3170</v>
      </c>
      <c r="U1129" s="1" t="s">
        <v>3171</v>
      </c>
      <c r="V1129" s="1" t="s">
        <v>3171</v>
      </c>
      <c r="Y1129" s="1">
        <v>3450</v>
      </c>
      <c r="AB1129" s="1">
        <v>0</v>
      </c>
    </row>
    <row r="1130" spans="2:28" x14ac:dyDescent="0.2">
      <c r="B1130" s="30" t="s">
        <v>2294</v>
      </c>
      <c r="C1130" s="36"/>
      <c r="D1130" s="36"/>
      <c r="F1130" s="1" t="s">
        <v>3172</v>
      </c>
      <c r="G1130" s="30" t="s">
        <v>2986</v>
      </c>
      <c r="K1130" s="1" t="s">
        <v>3173</v>
      </c>
      <c r="L1130" s="1" t="s">
        <v>1279</v>
      </c>
      <c r="M1130" s="36" t="s">
        <v>1511</v>
      </c>
      <c r="N1130" s="1" t="s">
        <v>1944</v>
      </c>
      <c r="O1130" s="1" t="s">
        <v>1286</v>
      </c>
      <c r="P1130" s="34" t="str">
        <f t="shared" si="20"/>
        <v>F010</v>
      </c>
      <c r="Q1130" s="1" t="s">
        <v>137</v>
      </c>
      <c r="S1130" s="16">
        <v>20</v>
      </c>
      <c r="T1130" s="1" t="s">
        <v>2427</v>
      </c>
      <c r="U1130" s="1" t="s">
        <v>1468</v>
      </c>
      <c r="V1130" s="1" t="s">
        <v>1634</v>
      </c>
      <c r="Y1130" s="1">
        <v>3450</v>
      </c>
      <c r="AB1130" s="1">
        <v>1638.72</v>
      </c>
    </row>
    <row r="1131" spans="2:28" x14ac:dyDescent="0.2">
      <c r="B1131" s="30" t="s">
        <v>2294</v>
      </c>
      <c r="C1131" s="36"/>
      <c r="D1131" s="36"/>
      <c r="F1131" s="1" t="s">
        <v>1895</v>
      </c>
      <c r="G1131" s="30" t="s">
        <v>2986</v>
      </c>
      <c r="K1131" s="1" t="s">
        <v>3174</v>
      </c>
      <c r="L1131" s="1" t="s">
        <v>1279</v>
      </c>
      <c r="M1131" s="36" t="s">
        <v>1511</v>
      </c>
      <c r="N1131" s="1" t="s">
        <v>1944</v>
      </c>
      <c r="O1131" s="1" t="s">
        <v>1286</v>
      </c>
      <c r="P1131" s="34" t="str">
        <f t="shared" si="20"/>
        <v>F010</v>
      </c>
      <c r="Q1131" s="1" t="s">
        <v>137</v>
      </c>
      <c r="S1131" s="16">
        <v>20</v>
      </c>
      <c r="T1131" s="1" t="s">
        <v>3175</v>
      </c>
      <c r="U1131" s="1" t="s">
        <v>1468</v>
      </c>
      <c r="V1131" s="1" t="s">
        <v>1634</v>
      </c>
      <c r="Y1131" s="1">
        <v>3450</v>
      </c>
      <c r="AB1131" s="1">
        <v>1638.72</v>
      </c>
    </row>
    <row r="1132" spans="2:28" x14ac:dyDescent="0.2">
      <c r="B1132" s="30" t="s">
        <v>2294</v>
      </c>
      <c r="C1132" s="36"/>
      <c r="D1132" s="36"/>
      <c r="F1132" s="1" t="s">
        <v>3176</v>
      </c>
      <c r="G1132" s="30" t="s">
        <v>2986</v>
      </c>
      <c r="K1132" s="1" t="s">
        <v>3177</v>
      </c>
      <c r="L1132" s="1" t="s">
        <v>1279</v>
      </c>
      <c r="M1132" s="36" t="s">
        <v>1511</v>
      </c>
      <c r="N1132" s="1" t="s">
        <v>1944</v>
      </c>
      <c r="O1132" s="1" t="s">
        <v>1286</v>
      </c>
      <c r="P1132" s="34" t="str">
        <f t="shared" si="20"/>
        <v>F010</v>
      </c>
      <c r="Q1132" s="1" t="s">
        <v>137</v>
      </c>
      <c r="S1132" s="16">
        <v>20</v>
      </c>
      <c r="T1132" s="1" t="s">
        <v>2299</v>
      </c>
      <c r="U1132" s="1" t="s">
        <v>1468</v>
      </c>
      <c r="V1132" s="1" t="s">
        <v>1634</v>
      </c>
      <c r="Y1132" s="1">
        <v>3450</v>
      </c>
      <c r="AB1132" s="1">
        <v>1638.72</v>
      </c>
    </row>
    <row r="1133" spans="2:28" x14ac:dyDescent="0.2">
      <c r="B1133" s="30" t="s">
        <v>2294</v>
      </c>
      <c r="C1133" s="36"/>
      <c r="D1133" s="36"/>
      <c r="F1133" s="1" t="s">
        <v>1322</v>
      </c>
      <c r="G1133" s="30" t="s">
        <v>2986</v>
      </c>
      <c r="K1133" s="1" t="s">
        <v>3178</v>
      </c>
      <c r="L1133" s="1" t="s">
        <v>1279</v>
      </c>
      <c r="M1133" s="36" t="s">
        <v>1511</v>
      </c>
      <c r="N1133" s="1" t="s">
        <v>1944</v>
      </c>
      <c r="O1133" s="1" t="s">
        <v>1286</v>
      </c>
      <c r="P1133" s="34" t="str">
        <f t="shared" si="20"/>
        <v>F010</v>
      </c>
      <c r="Q1133" s="1" t="s">
        <v>137</v>
      </c>
      <c r="S1133" s="16">
        <v>20</v>
      </c>
      <c r="T1133" s="1" t="s">
        <v>3179</v>
      </c>
      <c r="U1133" s="1" t="s">
        <v>1468</v>
      </c>
      <c r="V1133" s="1" t="s">
        <v>1634</v>
      </c>
      <c r="Y1133" s="1">
        <v>3450</v>
      </c>
      <c r="AB1133" s="1">
        <v>1638.72</v>
      </c>
    </row>
    <row r="1134" spans="2:28" x14ac:dyDescent="0.2">
      <c r="B1134" s="30" t="s">
        <v>2294</v>
      </c>
      <c r="C1134" s="36"/>
      <c r="D1134" s="36"/>
      <c r="F1134" s="1" t="s">
        <v>3180</v>
      </c>
      <c r="G1134" s="30" t="s">
        <v>2986</v>
      </c>
      <c r="K1134" s="1" t="s">
        <v>3181</v>
      </c>
      <c r="L1134" s="1" t="s">
        <v>1279</v>
      </c>
      <c r="M1134" s="36" t="s">
        <v>1511</v>
      </c>
      <c r="N1134" s="1" t="s">
        <v>1944</v>
      </c>
      <c r="O1134" s="1" t="s">
        <v>1286</v>
      </c>
      <c r="P1134" s="34" t="str">
        <f t="shared" si="20"/>
        <v>F010</v>
      </c>
      <c r="Q1134" s="1" t="s">
        <v>137</v>
      </c>
      <c r="S1134" s="16">
        <v>20</v>
      </c>
      <c r="T1134" s="1" t="s">
        <v>2427</v>
      </c>
      <c r="U1134" s="1" t="s">
        <v>1468</v>
      </c>
      <c r="V1134" s="1" t="s">
        <v>1634</v>
      </c>
      <c r="Y1134" s="1">
        <v>3450</v>
      </c>
      <c r="AB1134" s="1">
        <v>1638.72</v>
      </c>
    </row>
    <row r="1135" spans="2:28" x14ac:dyDescent="0.2">
      <c r="B1135" s="30" t="s">
        <v>2294</v>
      </c>
      <c r="C1135" s="36"/>
      <c r="D1135" s="36"/>
      <c r="F1135" s="1" t="s">
        <v>1895</v>
      </c>
      <c r="G1135" s="30" t="s">
        <v>2986</v>
      </c>
      <c r="K1135" s="1" t="s">
        <v>3182</v>
      </c>
      <c r="L1135" s="1" t="s">
        <v>1279</v>
      </c>
      <c r="M1135" s="36" t="s">
        <v>1511</v>
      </c>
      <c r="N1135" s="1" t="s">
        <v>1944</v>
      </c>
      <c r="O1135" s="1" t="s">
        <v>1286</v>
      </c>
      <c r="P1135" s="34" t="str">
        <f t="shared" si="20"/>
        <v>F010</v>
      </c>
      <c r="Q1135" s="1" t="s">
        <v>137</v>
      </c>
      <c r="S1135" s="16">
        <v>20</v>
      </c>
      <c r="T1135" s="1" t="s">
        <v>3183</v>
      </c>
      <c r="U1135" s="1" t="s">
        <v>1468</v>
      </c>
      <c r="V1135" s="1" t="s">
        <v>1634</v>
      </c>
      <c r="Y1135" s="1">
        <v>3450</v>
      </c>
      <c r="AB1135" s="1">
        <v>1638.72</v>
      </c>
    </row>
    <row r="1136" spans="2:28" x14ac:dyDescent="0.2">
      <c r="B1136" s="30" t="s">
        <v>2294</v>
      </c>
      <c r="C1136" s="36"/>
      <c r="D1136" s="36"/>
      <c r="F1136" s="1" t="s">
        <v>3184</v>
      </c>
      <c r="G1136" s="30" t="s">
        <v>2986</v>
      </c>
      <c r="K1136" s="1" t="s">
        <v>3185</v>
      </c>
      <c r="L1136" s="1" t="s">
        <v>1279</v>
      </c>
      <c r="M1136" s="36" t="s">
        <v>1511</v>
      </c>
      <c r="N1136" s="1" t="s">
        <v>1944</v>
      </c>
      <c r="O1136" s="1" t="s">
        <v>1286</v>
      </c>
      <c r="P1136" s="34" t="str">
        <f t="shared" si="20"/>
        <v>F010</v>
      </c>
      <c r="Q1136" s="1" t="s">
        <v>137</v>
      </c>
      <c r="S1136" s="16">
        <v>20</v>
      </c>
      <c r="T1136" s="1" t="s">
        <v>2299</v>
      </c>
      <c r="U1136" s="1" t="s">
        <v>1468</v>
      </c>
      <c r="V1136" s="1" t="s">
        <v>1634</v>
      </c>
      <c r="Y1136" s="1">
        <v>3450</v>
      </c>
      <c r="AB1136" s="1">
        <v>1638.72</v>
      </c>
    </row>
    <row r="1137" spans="2:28" x14ac:dyDescent="0.2">
      <c r="B1137" s="30" t="s">
        <v>2294</v>
      </c>
      <c r="C1137" s="36"/>
      <c r="D1137" s="36"/>
      <c r="F1137" s="1" t="s">
        <v>1322</v>
      </c>
      <c r="G1137" s="30" t="s">
        <v>2986</v>
      </c>
      <c r="K1137" s="1" t="s">
        <v>3186</v>
      </c>
      <c r="L1137" s="1" t="s">
        <v>1279</v>
      </c>
      <c r="M1137" s="36" t="s">
        <v>1511</v>
      </c>
      <c r="N1137" s="1" t="s">
        <v>1944</v>
      </c>
      <c r="O1137" s="1" t="s">
        <v>1286</v>
      </c>
      <c r="P1137" s="34" t="str">
        <f t="shared" si="20"/>
        <v>F010</v>
      </c>
      <c r="Q1137" s="1" t="s">
        <v>137</v>
      </c>
      <c r="S1137" s="16">
        <v>20</v>
      </c>
      <c r="T1137" s="1" t="s">
        <v>3187</v>
      </c>
      <c r="U1137" s="1" t="s">
        <v>1468</v>
      </c>
      <c r="V1137" s="1" t="s">
        <v>1634</v>
      </c>
      <c r="Y1137" s="1">
        <v>3450</v>
      </c>
      <c r="AB1137" s="1">
        <v>1638.72</v>
      </c>
    </row>
    <row r="1138" spans="2:28" x14ac:dyDescent="0.2">
      <c r="B1138" s="30" t="s">
        <v>2294</v>
      </c>
      <c r="C1138" s="36"/>
      <c r="D1138" s="36"/>
      <c r="F1138" s="1" t="s">
        <v>3188</v>
      </c>
      <c r="G1138" s="30" t="s">
        <v>2986</v>
      </c>
      <c r="K1138" s="1" t="s">
        <v>3189</v>
      </c>
      <c r="L1138" s="1" t="s">
        <v>1279</v>
      </c>
      <c r="M1138" s="36" t="s">
        <v>1511</v>
      </c>
      <c r="N1138" s="1" t="s">
        <v>1944</v>
      </c>
      <c r="O1138" s="1" t="s">
        <v>1286</v>
      </c>
      <c r="P1138" s="34" t="str">
        <f t="shared" si="20"/>
        <v>F010</v>
      </c>
      <c r="Q1138" s="1" t="s">
        <v>137</v>
      </c>
      <c r="S1138" s="16">
        <v>20</v>
      </c>
      <c r="T1138" s="1" t="s">
        <v>2299</v>
      </c>
      <c r="U1138" s="1" t="s">
        <v>1468</v>
      </c>
      <c r="V1138" s="1" t="s">
        <v>1634</v>
      </c>
      <c r="Y1138" s="1">
        <v>3450</v>
      </c>
      <c r="AB1138" s="1">
        <v>1638.72</v>
      </c>
    </row>
    <row r="1139" spans="2:28" x14ac:dyDescent="0.2">
      <c r="B1139" s="30" t="s">
        <v>2294</v>
      </c>
      <c r="C1139" s="36"/>
      <c r="D1139" s="36"/>
      <c r="F1139" s="1" t="s">
        <v>1322</v>
      </c>
      <c r="G1139" s="30" t="s">
        <v>2986</v>
      </c>
      <c r="K1139" s="1" t="s">
        <v>3190</v>
      </c>
      <c r="L1139" s="1" t="s">
        <v>1279</v>
      </c>
      <c r="M1139" s="36" t="s">
        <v>1511</v>
      </c>
      <c r="N1139" s="1" t="s">
        <v>1944</v>
      </c>
      <c r="O1139" s="1" t="s">
        <v>1286</v>
      </c>
      <c r="P1139" s="34" t="str">
        <f t="shared" si="20"/>
        <v>F010</v>
      </c>
      <c r="Q1139" s="1" t="s">
        <v>137</v>
      </c>
      <c r="S1139" s="16">
        <v>20</v>
      </c>
      <c r="T1139" s="1" t="s">
        <v>3191</v>
      </c>
      <c r="U1139" s="1" t="s">
        <v>1468</v>
      </c>
      <c r="V1139" s="1" t="s">
        <v>1634</v>
      </c>
      <c r="Y1139" s="1">
        <v>3450</v>
      </c>
      <c r="AB1139" s="1">
        <v>1638.72</v>
      </c>
    </row>
    <row r="1140" spans="2:28" x14ac:dyDescent="0.2">
      <c r="B1140" s="30" t="s">
        <v>2294</v>
      </c>
      <c r="C1140" s="36"/>
      <c r="D1140" s="36"/>
      <c r="F1140" s="1" t="s">
        <v>3192</v>
      </c>
      <c r="G1140" s="30" t="s">
        <v>2986</v>
      </c>
      <c r="K1140" s="1" t="s">
        <v>3193</v>
      </c>
      <c r="L1140" s="1" t="s">
        <v>1279</v>
      </c>
      <c r="M1140" s="36" t="s">
        <v>1511</v>
      </c>
      <c r="N1140" s="1" t="s">
        <v>1944</v>
      </c>
      <c r="O1140" s="1" t="s">
        <v>1286</v>
      </c>
      <c r="P1140" s="34" t="str">
        <f t="shared" si="20"/>
        <v>F010</v>
      </c>
      <c r="Q1140" s="1" t="s">
        <v>137</v>
      </c>
      <c r="S1140" s="16">
        <v>20</v>
      </c>
      <c r="T1140" s="1" t="s">
        <v>2427</v>
      </c>
      <c r="U1140" s="1" t="s">
        <v>1468</v>
      </c>
      <c r="V1140" s="1" t="s">
        <v>1634</v>
      </c>
      <c r="Y1140" s="1">
        <v>3450</v>
      </c>
      <c r="AB1140" s="1">
        <v>1638.72</v>
      </c>
    </row>
    <row r="1141" spans="2:28" x14ac:dyDescent="0.2">
      <c r="B1141" s="30" t="s">
        <v>2294</v>
      </c>
      <c r="C1141" s="36"/>
      <c r="D1141" s="36"/>
      <c r="F1141" s="1" t="s">
        <v>1895</v>
      </c>
      <c r="G1141" s="30" t="s">
        <v>2986</v>
      </c>
      <c r="K1141" s="1" t="s">
        <v>3194</v>
      </c>
      <c r="L1141" s="1" t="s">
        <v>1279</v>
      </c>
      <c r="M1141" s="36" t="s">
        <v>1511</v>
      </c>
      <c r="N1141" s="1" t="s">
        <v>2546</v>
      </c>
      <c r="O1141" s="1" t="s">
        <v>1286</v>
      </c>
      <c r="P1141" s="34" t="str">
        <f t="shared" si="20"/>
        <v>F010</v>
      </c>
      <c r="Q1141" s="1" t="s">
        <v>137</v>
      </c>
      <c r="S1141" s="16">
        <v>20</v>
      </c>
      <c r="T1141" s="1" t="s">
        <v>3195</v>
      </c>
      <c r="U1141" s="1" t="s">
        <v>1468</v>
      </c>
      <c r="V1141" s="1" t="s">
        <v>1634</v>
      </c>
      <c r="Y1141" s="1">
        <v>3450</v>
      </c>
      <c r="AB1141" s="1">
        <v>1638.72</v>
      </c>
    </row>
    <row r="1142" spans="2:28" x14ac:dyDescent="0.2">
      <c r="B1142" s="30" t="s">
        <v>2294</v>
      </c>
      <c r="C1142" s="36"/>
      <c r="D1142" s="36"/>
      <c r="F1142" s="1" t="s">
        <v>3196</v>
      </c>
      <c r="G1142" s="30" t="s">
        <v>2986</v>
      </c>
      <c r="K1142" s="1" t="s">
        <v>3197</v>
      </c>
      <c r="L1142" s="1" t="s">
        <v>1279</v>
      </c>
      <c r="M1142" s="36" t="s">
        <v>1511</v>
      </c>
      <c r="N1142" s="1" t="s">
        <v>2546</v>
      </c>
      <c r="O1142" s="1" t="s">
        <v>1286</v>
      </c>
      <c r="P1142" s="34" t="str">
        <f t="shared" si="20"/>
        <v>F010</v>
      </c>
      <c r="Q1142" s="1" t="s">
        <v>137</v>
      </c>
      <c r="S1142" s="16">
        <v>20</v>
      </c>
      <c r="T1142" s="1" t="s">
        <v>2299</v>
      </c>
      <c r="U1142" s="1" t="s">
        <v>1468</v>
      </c>
      <c r="V1142" s="1" t="s">
        <v>1634</v>
      </c>
      <c r="Y1142" s="1">
        <v>3450</v>
      </c>
      <c r="AB1142" s="1">
        <v>1638.72</v>
      </c>
    </row>
    <row r="1143" spans="2:28" x14ac:dyDescent="0.2">
      <c r="B1143" s="30" t="s">
        <v>2294</v>
      </c>
      <c r="C1143" s="36"/>
      <c r="D1143" s="36"/>
      <c r="F1143" s="1" t="s">
        <v>1322</v>
      </c>
      <c r="G1143" s="30" t="s">
        <v>2986</v>
      </c>
      <c r="K1143" s="1" t="s">
        <v>3198</v>
      </c>
      <c r="L1143" s="1" t="s">
        <v>1279</v>
      </c>
      <c r="M1143" s="36" t="s">
        <v>1511</v>
      </c>
      <c r="N1143" s="1" t="s">
        <v>2546</v>
      </c>
      <c r="O1143" s="1" t="s">
        <v>1286</v>
      </c>
      <c r="P1143" s="34" t="str">
        <f t="shared" si="20"/>
        <v>F010</v>
      </c>
      <c r="Q1143" s="1" t="s">
        <v>137</v>
      </c>
      <c r="S1143" s="16">
        <v>20</v>
      </c>
      <c r="T1143" s="1" t="s">
        <v>3199</v>
      </c>
      <c r="U1143" s="1" t="s">
        <v>1468</v>
      </c>
      <c r="V1143" s="1" t="s">
        <v>1634</v>
      </c>
      <c r="Y1143" s="1">
        <v>3450</v>
      </c>
      <c r="AB1143" s="1">
        <v>1638.72</v>
      </c>
    </row>
    <row r="1144" spans="2:28" x14ac:dyDescent="0.2">
      <c r="B1144" s="30" t="s">
        <v>2294</v>
      </c>
      <c r="C1144" s="36"/>
      <c r="D1144" s="36"/>
      <c r="F1144" s="1" t="s">
        <v>3200</v>
      </c>
      <c r="G1144" s="30" t="s">
        <v>2986</v>
      </c>
      <c r="K1144" s="1" t="s">
        <v>3201</v>
      </c>
      <c r="L1144" s="1" t="s">
        <v>1279</v>
      </c>
      <c r="M1144" s="36" t="s">
        <v>1511</v>
      </c>
      <c r="N1144" s="1" t="s">
        <v>2546</v>
      </c>
      <c r="O1144" s="1" t="s">
        <v>1286</v>
      </c>
      <c r="P1144" s="34" t="str">
        <f t="shared" si="20"/>
        <v>F010</v>
      </c>
      <c r="Q1144" s="1" t="s">
        <v>137</v>
      </c>
      <c r="S1144" s="16">
        <v>20</v>
      </c>
      <c r="T1144" s="1" t="s">
        <v>2427</v>
      </c>
      <c r="U1144" s="1" t="s">
        <v>1468</v>
      </c>
      <c r="V1144" s="1" t="s">
        <v>1634</v>
      </c>
      <c r="Y1144" s="1">
        <v>3450</v>
      </c>
      <c r="AB1144" s="1">
        <v>1638.72</v>
      </c>
    </row>
    <row r="1145" spans="2:28" x14ac:dyDescent="0.2">
      <c r="B1145" s="30" t="s">
        <v>2294</v>
      </c>
      <c r="C1145" s="36"/>
      <c r="D1145" s="36"/>
      <c r="F1145" s="1" t="s">
        <v>1895</v>
      </c>
      <c r="G1145" s="30" t="s">
        <v>2986</v>
      </c>
      <c r="K1145" s="1" t="s">
        <v>3202</v>
      </c>
      <c r="L1145" s="1" t="s">
        <v>1279</v>
      </c>
      <c r="M1145" s="36" t="s">
        <v>1511</v>
      </c>
      <c r="N1145" s="1" t="s">
        <v>2546</v>
      </c>
      <c r="O1145" s="1" t="s">
        <v>1286</v>
      </c>
      <c r="P1145" s="34" t="str">
        <f t="shared" si="20"/>
        <v>F010</v>
      </c>
      <c r="Q1145" s="1" t="s">
        <v>137</v>
      </c>
      <c r="S1145" s="16">
        <v>20</v>
      </c>
      <c r="T1145" s="1" t="s">
        <v>3079</v>
      </c>
      <c r="U1145" s="1" t="s">
        <v>1468</v>
      </c>
      <c r="V1145" s="1" t="s">
        <v>1634</v>
      </c>
      <c r="Y1145" s="1">
        <v>3450</v>
      </c>
      <c r="AB1145" s="1">
        <v>1638.72</v>
      </c>
    </row>
    <row r="1146" spans="2:28" x14ac:dyDescent="0.2">
      <c r="B1146" s="30" t="s">
        <v>2294</v>
      </c>
      <c r="C1146" s="36"/>
      <c r="D1146" s="36"/>
      <c r="F1146" s="1" t="s">
        <v>3080</v>
      </c>
      <c r="G1146" s="30" t="s">
        <v>2986</v>
      </c>
      <c r="K1146" s="1" t="s">
        <v>3203</v>
      </c>
      <c r="L1146" s="1" t="s">
        <v>1279</v>
      </c>
      <c r="M1146" s="36" t="s">
        <v>1511</v>
      </c>
      <c r="N1146" s="1" t="s">
        <v>2546</v>
      </c>
      <c r="O1146" s="1" t="s">
        <v>1286</v>
      </c>
      <c r="P1146" s="34" t="str">
        <f t="shared" si="20"/>
        <v>F010</v>
      </c>
      <c r="Q1146" s="1" t="s">
        <v>137</v>
      </c>
      <c r="S1146" s="16">
        <v>20</v>
      </c>
      <c r="T1146" s="1" t="s">
        <v>2299</v>
      </c>
      <c r="U1146" s="1" t="s">
        <v>1468</v>
      </c>
      <c r="V1146" s="1" t="s">
        <v>1634</v>
      </c>
      <c r="Y1146" s="1">
        <v>3450</v>
      </c>
      <c r="AB1146" s="1">
        <v>1638.72</v>
      </c>
    </row>
    <row r="1147" spans="2:28" x14ac:dyDescent="0.2">
      <c r="B1147" s="30" t="s">
        <v>2294</v>
      </c>
      <c r="C1147" s="36"/>
      <c r="D1147" s="36"/>
      <c r="F1147" s="1" t="s">
        <v>1322</v>
      </c>
      <c r="G1147" s="30" t="s">
        <v>2986</v>
      </c>
      <c r="K1147" s="1" t="s">
        <v>3204</v>
      </c>
      <c r="L1147" s="1" t="s">
        <v>1279</v>
      </c>
      <c r="M1147" s="36" t="s">
        <v>1511</v>
      </c>
      <c r="N1147" s="1" t="s">
        <v>2546</v>
      </c>
      <c r="O1147" s="1" t="s">
        <v>1286</v>
      </c>
      <c r="P1147" s="34" t="str">
        <f t="shared" si="20"/>
        <v>F010</v>
      </c>
      <c r="Q1147" s="1" t="s">
        <v>137</v>
      </c>
      <c r="S1147" s="16">
        <v>20</v>
      </c>
      <c r="T1147" s="1" t="s">
        <v>3131</v>
      </c>
      <c r="U1147" s="1" t="s">
        <v>1468</v>
      </c>
      <c r="V1147" s="1" t="s">
        <v>1634</v>
      </c>
      <c r="Y1147" s="1">
        <v>3450</v>
      </c>
      <c r="AB1147" s="1">
        <v>1638.72</v>
      </c>
    </row>
    <row r="1148" spans="2:28" x14ac:dyDescent="0.2">
      <c r="B1148" s="30" t="s">
        <v>2294</v>
      </c>
      <c r="C1148" s="36"/>
      <c r="D1148" s="36"/>
      <c r="F1148" s="1" t="s">
        <v>3132</v>
      </c>
      <c r="G1148" s="30" t="s">
        <v>2986</v>
      </c>
      <c r="K1148" s="1" t="s">
        <v>3205</v>
      </c>
      <c r="L1148" s="1" t="s">
        <v>1279</v>
      </c>
      <c r="M1148" s="36" t="s">
        <v>1511</v>
      </c>
      <c r="N1148" s="1" t="s">
        <v>2546</v>
      </c>
      <c r="O1148" s="1" t="s">
        <v>1286</v>
      </c>
      <c r="P1148" s="34" t="str">
        <f t="shared" si="20"/>
        <v>F010</v>
      </c>
      <c r="Q1148" s="1" t="s">
        <v>137</v>
      </c>
      <c r="S1148" s="16">
        <v>20</v>
      </c>
      <c r="T1148" s="1" t="s">
        <v>2299</v>
      </c>
      <c r="U1148" s="1" t="s">
        <v>1468</v>
      </c>
      <c r="V1148" s="1" t="s">
        <v>1634</v>
      </c>
      <c r="Y1148" s="1">
        <v>3450</v>
      </c>
      <c r="AB1148" s="1">
        <v>1638.72</v>
      </c>
    </row>
    <row r="1149" spans="2:28" x14ac:dyDescent="0.2">
      <c r="B1149" s="30" t="s">
        <v>2294</v>
      </c>
      <c r="C1149" s="36"/>
      <c r="D1149" s="36"/>
      <c r="F1149" s="1" t="s">
        <v>1322</v>
      </c>
      <c r="G1149" s="30" t="s">
        <v>2986</v>
      </c>
      <c r="K1149" s="1" t="s">
        <v>3206</v>
      </c>
      <c r="L1149" s="1" t="s">
        <v>1279</v>
      </c>
      <c r="M1149" s="36" t="s">
        <v>1511</v>
      </c>
      <c r="N1149" s="1" t="s">
        <v>2546</v>
      </c>
      <c r="O1149" s="1" t="s">
        <v>1286</v>
      </c>
      <c r="P1149" s="34" t="str">
        <f t="shared" si="20"/>
        <v>F010</v>
      </c>
      <c r="Q1149" s="1" t="s">
        <v>137</v>
      </c>
      <c r="S1149" s="16">
        <v>20</v>
      </c>
      <c r="T1149" s="1" t="s">
        <v>3093</v>
      </c>
      <c r="U1149" s="1" t="s">
        <v>1468</v>
      </c>
      <c r="V1149" s="1" t="s">
        <v>1634</v>
      </c>
      <c r="Y1149" s="1">
        <v>3450</v>
      </c>
      <c r="AB1149" s="1">
        <v>1638.72</v>
      </c>
    </row>
    <row r="1150" spans="2:28" x14ac:dyDescent="0.2">
      <c r="B1150" s="30" t="s">
        <v>2294</v>
      </c>
      <c r="C1150" s="36"/>
      <c r="D1150" s="36"/>
      <c r="F1150" s="1" t="s">
        <v>3094</v>
      </c>
      <c r="G1150" s="30" t="s">
        <v>2986</v>
      </c>
      <c r="K1150" s="1" t="s">
        <v>3207</v>
      </c>
      <c r="L1150" s="1" t="s">
        <v>1279</v>
      </c>
      <c r="M1150" s="36" t="s">
        <v>1511</v>
      </c>
      <c r="N1150" s="1" t="s">
        <v>2546</v>
      </c>
      <c r="O1150" s="1" t="s">
        <v>1286</v>
      </c>
      <c r="P1150" s="34" t="str">
        <f t="shared" si="20"/>
        <v>F010</v>
      </c>
      <c r="Q1150" s="1" t="s">
        <v>137</v>
      </c>
      <c r="S1150" s="16">
        <v>20</v>
      </c>
      <c r="T1150" s="1" t="s">
        <v>2299</v>
      </c>
      <c r="U1150" s="1" t="s">
        <v>1468</v>
      </c>
      <c r="V1150" s="1" t="s">
        <v>1634</v>
      </c>
      <c r="Y1150" s="1">
        <v>3450</v>
      </c>
      <c r="AB1150" s="1">
        <v>1638.72</v>
      </c>
    </row>
    <row r="1151" spans="2:28" x14ac:dyDescent="0.2">
      <c r="B1151" s="30" t="s">
        <v>2294</v>
      </c>
      <c r="C1151" s="36"/>
      <c r="D1151" s="36"/>
      <c r="F1151" s="1" t="s">
        <v>1322</v>
      </c>
      <c r="G1151" s="30" t="s">
        <v>2986</v>
      </c>
      <c r="K1151" s="1" t="s">
        <v>3208</v>
      </c>
      <c r="L1151" s="1" t="s">
        <v>1279</v>
      </c>
      <c r="M1151" s="36" t="s">
        <v>1511</v>
      </c>
      <c r="N1151" s="1" t="s">
        <v>2546</v>
      </c>
      <c r="O1151" s="1" t="s">
        <v>1286</v>
      </c>
      <c r="P1151" s="34" t="str">
        <f t="shared" si="20"/>
        <v>F010</v>
      </c>
      <c r="Q1151" s="1" t="s">
        <v>137</v>
      </c>
      <c r="S1151" s="16">
        <v>20</v>
      </c>
      <c r="T1151" s="1" t="s">
        <v>3209</v>
      </c>
      <c r="U1151" s="1" t="s">
        <v>1468</v>
      </c>
      <c r="V1151" s="1" t="s">
        <v>1634</v>
      </c>
      <c r="Y1151" s="1">
        <v>3450</v>
      </c>
      <c r="AB1151" s="1">
        <v>1638.72</v>
      </c>
    </row>
    <row r="1152" spans="2:28" x14ac:dyDescent="0.2">
      <c r="B1152" s="30" t="s">
        <v>2294</v>
      </c>
      <c r="C1152" s="36"/>
      <c r="D1152" s="36"/>
      <c r="F1152" s="1" t="s">
        <v>3210</v>
      </c>
      <c r="G1152" s="30" t="s">
        <v>2986</v>
      </c>
      <c r="K1152" s="1" t="s">
        <v>3211</v>
      </c>
      <c r="L1152" s="1" t="s">
        <v>1279</v>
      </c>
      <c r="M1152" s="36" t="s">
        <v>1511</v>
      </c>
      <c r="N1152" s="1" t="s">
        <v>2546</v>
      </c>
      <c r="O1152" s="1" t="s">
        <v>1286</v>
      </c>
      <c r="P1152" s="34" t="str">
        <f t="shared" si="20"/>
        <v>F010</v>
      </c>
      <c r="Q1152" s="1" t="s">
        <v>137</v>
      </c>
      <c r="S1152" s="16">
        <v>20</v>
      </c>
      <c r="T1152" s="1" t="s">
        <v>2299</v>
      </c>
      <c r="U1152" s="1" t="s">
        <v>1468</v>
      </c>
      <c r="V1152" s="1" t="s">
        <v>1634</v>
      </c>
      <c r="Y1152" s="1">
        <v>3450</v>
      </c>
      <c r="AB1152" s="1">
        <v>1638.72</v>
      </c>
    </row>
    <row r="1153" spans="2:28" x14ac:dyDescent="0.2">
      <c r="B1153" s="30" t="s">
        <v>2294</v>
      </c>
      <c r="C1153" s="36"/>
      <c r="D1153" s="36"/>
      <c r="F1153" s="1" t="s">
        <v>1322</v>
      </c>
      <c r="G1153" s="30" t="s">
        <v>2986</v>
      </c>
      <c r="K1153" s="1" t="s">
        <v>3212</v>
      </c>
      <c r="L1153" s="1" t="s">
        <v>1279</v>
      </c>
      <c r="M1153" s="36" t="s">
        <v>1511</v>
      </c>
      <c r="N1153" s="1" t="s">
        <v>2546</v>
      </c>
      <c r="O1153" s="1" t="s">
        <v>1286</v>
      </c>
      <c r="P1153" s="34" t="str">
        <f t="shared" si="20"/>
        <v>F010</v>
      </c>
      <c r="Q1153" s="1" t="s">
        <v>137</v>
      </c>
      <c r="S1153" s="16">
        <v>20</v>
      </c>
      <c r="T1153" s="1" t="s">
        <v>3213</v>
      </c>
      <c r="U1153" s="1" t="s">
        <v>1468</v>
      </c>
      <c r="V1153" s="1" t="s">
        <v>1634</v>
      </c>
      <c r="Y1153" s="1">
        <v>3450</v>
      </c>
      <c r="AB1153" s="1">
        <v>1638.72</v>
      </c>
    </row>
    <row r="1154" spans="2:28" x14ac:dyDescent="0.2">
      <c r="B1154" s="30" t="s">
        <v>2294</v>
      </c>
      <c r="C1154" s="36"/>
      <c r="D1154" s="36"/>
      <c r="F1154" s="1" t="s">
        <v>3214</v>
      </c>
      <c r="G1154" s="30" t="s">
        <v>2986</v>
      </c>
      <c r="K1154" s="1" t="s">
        <v>3215</v>
      </c>
      <c r="L1154" s="1" t="s">
        <v>1279</v>
      </c>
      <c r="M1154" s="36" t="s">
        <v>1511</v>
      </c>
      <c r="N1154" s="1" t="s">
        <v>1281</v>
      </c>
      <c r="O1154" s="1" t="s">
        <v>1286</v>
      </c>
      <c r="P1154" s="34" t="str">
        <f t="shared" si="20"/>
        <v>F010</v>
      </c>
      <c r="Q1154" s="1" t="s">
        <v>137</v>
      </c>
      <c r="S1154" s="16">
        <v>20</v>
      </c>
      <c r="T1154" s="1" t="s">
        <v>2427</v>
      </c>
      <c r="U1154" s="1" t="s">
        <v>1468</v>
      </c>
      <c r="V1154" s="1" t="s">
        <v>1634</v>
      </c>
      <c r="Y1154" s="1">
        <v>3450</v>
      </c>
      <c r="AB1154" s="1">
        <v>1638.72</v>
      </c>
    </row>
    <row r="1155" spans="2:28" x14ac:dyDescent="0.2">
      <c r="B1155" s="30" t="s">
        <v>2294</v>
      </c>
      <c r="C1155" s="36"/>
      <c r="D1155" s="36"/>
      <c r="F1155" s="1" t="s">
        <v>1895</v>
      </c>
      <c r="G1155" s="30" t="s">
        <v>2986</v>
      </c>
      <c r="K1155" s="1" t="s">
        <v>3216</v>
      </c>
      <c r="L1155" s="1" t="s">
        <v>1279</v>
      </c>
      <c r="M1155" s="36" t="s">
        <v>1511</v>
      </c>
      <c r="N1155" s="1" t="s">
        <v>1281</v>
      </c>
      <c r="O1155" s="1" t="s">
        <v>1286</v>
      </c>
      <c r="P1155" s="34" t="str">
        <f t="shared" si="20"/>
        <v>F010</v>
      </c>
      <c r="Q1155" s="1" t="s">
        <v>137</v>
      </c>
      <c r="S1155" s="16">
        <v>20</v>
      </c>
      <c r="T1155" s="1" t="s">
        <v>3093</v>
      </c>
      <c r="U1155" s="1" t="s">
        <v>1468</v>
      </c>
      <c r="V1155" s="1" t="s">
        <v>1634</v>
      </c>
      <c r="Y1155" s="1">
        <v>3450</v>
      </c>
      <c r="AB1155" s="1">
        <v>1638.72</v>
      </c>
    </row>
    <row r="1156" spans="2:28" x14ac:dyDescent="0.2">
      <c r="B1156" s="30" t="s">
        <v>2294</v>
      </c>
      <c r="C1156" s="36"/>
      <c r="D1156" s="36"/>
      <c r="F1156" s="1" t="s">
        <v>3094</v>
      </c>
      <c r="G1156" s="30" t="s">
        <v>2986</v>
      </c>
      <c r="K1156" s="1" t="s">
        <v>3217</v>
      </c>
      <c r="L1156" s="1" t="s">
        <v>1279</v>
      </c>
      <c r="M1156" s="36" t="s">
        <v>1511</v>
      </c>
      <c r="N1156" s="1" t="s">
        <v>1281</v>
      </c>
      <c r="O1156" s="1" t="s">
        <v>1286</v>
      </c>
      <c r="P1156" s="34" t="str">
        <f t="shared" si="20"/>
        <v>F010</v>
      </c>
      <c r="Q1156" s="1" t="s">
        <v>137</v>
      </c>
      <c r="S1156" s="16">
        <v>20</v>
      </c>
      <c r="T1156" s="1" t="s">
        <v>2299</v>
      </c>
      <c r="U1156" s="1" t="s">
        <v>1468</v>
      </c>
      <c r="V1156" s="1" t="s">
        <v>1634</v>
      </c>
      <c r="Y1156" s="1">
        <v>3450</v>
      </c>
      <c r="AB1156" s="1">
        <v>1638.72</v>
      </c>
    </row>
    <row r="1157" spans="2:28" x14ac:dyDescent="0.2">
      <c r="B1157" s="30" t="s">
        <v>2294</v>
      </c>
      <c r="C1157" s="36"/>
      <c r="D1157" s="36"/>
      <c r="F1157" s="1" t="s">
        <v>1322</v>
      </c>
      <c r="G1157" s="30" t="s">
        <v>2986</v>
      </c>
      <c r="K1157" s="1" t="s">
        <v>3218</v>
      </c>
      <c r="L1157" s="1" t="s">
        <v>1279</v>
      </c>
      <c r="M1157" s="36" t="s">
        <v>1511</v>
      </c>
      <c r="N1157" s="1" t="s">
        <v>1281</v>
      </c>
      <c r="O1157" s="1" t="s">
        <v>1286</v>
      </c>
      <c r="P1157" s="34" t="str">
        <f t="shared" si="20"/>
        <v>F010</v>
      </c>
      <c r="Q1157" s="1" t="s">
        <v>137</v>
      </c>
      <c r="S1157" s="16">
        <v>20</v>
      </c>
      <c r="T1157" s="1" t="s">
        <v>3079</v>
      </c>
      <c r="U1157" s="1" t="s">
        <v>1468</v>
      </c>
      <c r="V1157" s="1" t="s">
        <v>1634</v>
      </c>
      <c r="Y1157" s="1">
        <v>3450</v>
      </c>
      <c r="AB1157" s="1">
        <v>1638.72</v>
      </c>
    </row>
    <row r="1158" spans="2:28" x14ac:dyDescent="0.2">
      <c r="B1158" s="30" t="s">
        <v>2294</v>
      </c>
      <c r="C1158" s="36"/>
      <c r="D1158" s="36"/>
      <c r="F1158" s="1" t="s">
        <v>3080</v>
      </c>
      <c r="G1158" s="30" t="s">
        <v>2986</v>
      </c>
      <c r="K1158" s="1" t="s">
        <v>3219</v>
      </c>
      <c r="L1158" s="1" t="s">
        <v>1279</v>
      </c>
      <c r="M1158" s="36" t="s">
        <v>1511</v>
      </c>
      <c r="N1158" s="1" t="s">
        <v>1285</v>
      </c>
      <c r="O1158" s="1" t="s">
        <v>1286</v>
      </c>
      <c r="P1158" s="34" t="str">
        <f t="shared" si="20"/>
        <v>F010</v>
      </c>
      <c r="Q1158" s="1" t="s">
        <v>137</v>
      </c>
      <c r="S1158" s="16">
        <v>20</v>
      </c>
      <c r="T1158" s="1" t="s">
        <v>2427</v>
      </c>
      <c r="U1158" s="1" t="s">
        <v>1468</v>
      </c>
      <c r="V1158" s="1" t="s">
        <v>1634</v>
      </c>
      <c r="Y1158" s="1">
        <v>3450</v>
      </c>
      <c r="AB1158" s="1">
        <v>1638.72</v>
      </c>
    </row>
    <row r="1159" spans="2:28" x14ac:dyDescent="0.2">
      <c r="B1159" s="30" t="s">
        <v>2294</v>
      </c>
      <c r="C1159" s="36"/>
      <c r="D1159" s="36"/>
      <c r="F1159" s="1" t="s">
        <v>1895</v>
      </c>
      <c r="G1159" s="30" t="s">
        <v>2986</v>
      </c>
      <c r="K1159" s="1" t="s">
        <v>3220</v>
      </c>
      <c r="L1159" s="1" t="s">
        <v>1279</v>
      </c>
      <c r="M1159" s="36" t="s">
        <v>1511</v>
      </c>
      <c r="N1159" s="1" t="s">
        <v>1285</v>
      </c>
      <c r="O1159" s="1" t="s">
        <v>1286</v>
      </c>
      <c r="P1159" s="34" t="str">
        <f t="shared" si="20"/>
        <v>F010</v>
      </c>
      <c r="Q1159" s="1" t="s">
        <v>137</v>
      </c>
      <c r="S1159" s="16">
        <v>20</v>
      </c>
      <c r="T1159" s="1" t="s">
        <v>3101</v>
      </c>
      <c r="U1159" s="1" t="s">
        <v>1468</v>
      </c>
      <c r="V1159" s="1" t="s">
        <v>1634</v>
      </c>
      <c r="Y1159" s="1">
        <v>3450</v>
      </c>
      <c r="AB1159" s="1">
        <v>1638.72</v>
      </c>
    </row>
    <row r="1160" spans="2:28" x14ac:dyDescent="0.2">
      <c r="B1160" s="30" t="s">
        <v>2294</v>
      </c>
      <c r="C1160" s="36"/>
      <c r="D1160" s="36"/>
      <c r="F1160" s="1" t="s">
        <v>3102</v>
      </c>
      <c r="G1160" s="30" t="s">
        <v>2986</v>
      </c>
      <c r="K1160" s="1" t="s">
        <v>3221</v>
      </c>
      <c r="L1160" s="1" t="s">
        <v>1279</v>
      </c>
      <c r="M1160" s="36" t="s">
        <v>1511</v>
      </c>
      <c r="N1160" s="1" t="s">
        <v>3222</v>
      </c>
      <c r="O1160" s="1" t="s">
        <v>1286</v>
      </c>
      <c r="P1160" s="34" t="str">
        <f t="shared" ref="P1160:P1223" si="21">+LEFT(Q1160,4)</f>
        <v>F010</v>
      </c>
      <c r="Q1160" s="1" t="s">
        <v>137</v>
      </c>
      <c r="S1160" s="16">
        <v>20</v>
      </c>
      <c r="T1160" s="1" t="s">
        <v>2427</v>
      </c>
      <c r="U1160" s="1" t="s">
        <v>1468</v>
      </c>
      <c r="V1160" s="1" t="s">
        <v>1634</v>
      </c>
      <c r="Y1160" s="1">
        <v>3450</v>
      </c>
      <c r="AB1160" s="1">
        <v>1638.72</v>
      </c>
    </row>
    <row r="1161" spans="2:28" x14ac:dyDescent="0.2">
      <c r="B1161" s="30" t="s">
        <v>2294</v>
      </c>
      <c r="C1161" s="36"/>
      <c r="D1161" s="36"/>
      <c r="F1161" s="1" t="s">
        <v>1895</v>
      </c>
      <c r="G1161" s="30" t="s">
        <v>2986</v>
      </c>
      <c r="K1161" s="1" t="s">
        <v>3223</v>
      </c>
      <c r="L1161" s="1" t="s">
        <v>1279</v>
      </c>
      <c r="M1161" s="36" t="s">
        <v>1511</v>
      </c>
      <c r="N1161" s="1" t="s">
        <v>3222</v>
      </c>
      <c r="O1161" s="1" t="s">
        <v>1286</v>
      </c>
      <c r="P1161" s="34" t="str">
        <f t="shared" si="21"/>
        <v>F010</v>
      </c>
      <c r="Q1161" s="1" t="s">
        <v>137</v>
      </c>
      <c r="S1161" s="16">
        <v>20</v>
      </c>
      <c r="T1161" s="1" t="s">
        <v>3074</v>
      </c>
      <c r="U1161" s="1" t="s">
        <v>1468</v>
      </c>
      <c r="V1161" s="1" t="s">
        <v>1634</v>
      </c>
      <c r="Y1161" s="1">
        <v>3450</v>
      </c>
      <c r="AB1161" s="1">
        <v>1638.72</v>
      </c>
    </row>
    <row r="1162" spans="2:28" x14ac:dyDescent="0.2">
      <c r="B1162" s="30" t="s">
        <v>2294</v>
      </c>
      <c r="C1162" s="36"/>
      <c r="D1162" s="36"/>
      <c r="F1162" s="1" t="s">
        <v>3075</v>
      </c>
      <c r="G1162" s="30" t="s">
        <v>2986</v>
      </c>
      <c r="K1162" s="1" t="s">
        <v>3224</v>
      </c>
      <c r="L1162" s="1" t="s">
        <v>1279</v>
      </c>
      <c r="M1162" s="36" t="s">
        <v>1511</v>
      </c>
      <c r="N1162" s="1" t="s">
        <v>3222</v>
      </c>
      <c r="O1162" s="1" t="s">
        <v>1286</v>
      </c>
      <c r="P1162" s="34" t="str">
        <f t="shared" si="21"/>
        <v>F010</v>
      </c>
      <c r="Q1162" s="1" t="s">
        <v>137</v>
      </c>
      <c r="S1162" s="16">
        <v>20</v>
      </c>
      <c r="T1162" s="1" t="s">
        <v>2299</v>
      </c>
      <c r="U1162" s="1" t="s">
        <v>1468</v>
      </c>
      <c r="V1162" s="1" t="s">
        <v>1634</v>
      </c>
      <c r="Y1162" s="1">
        <v>3450</v>
      </c>
      <c r="AB1162" s="1">
        <v>1638.72</v>
      </c>
    </row>
    <row r="1163" spans="2:28" x14ac:dyDescent="0.2">
      <c r="B1163" s="30" t="s">
        <v>2294</v>
      </c>
      <c r="C1163" s="36"/>
      <c r="D1163" s="36"/>
      <c r="F1163" s="1" t="s">
        <v>1322</v>
      </c>
      <c r="G1163" s="30" t="s">
        <v>2986</v>
      </c>
      <c r="K1163" s="1" t="s">
        <v>3225</v>
      </c>
      <c r="L1163" s="1" t="s">
        <v>1279</v>
      </c>
      <c r="M1163" s="36" t="s">
        <v>1511</v>
      </c>
      <c r="N1163" s="1" t="s">
        <v>3226</v>
      </c>
      <c r="O1163" s="1" t="s">
        <v>1286</v>
      </c>
      <c r="P1163" s="34" t="str">
        <f t="shared" si="21"/>
        <v>F010</v>
      </c>
      <c r="Q1163" s="1" t="s">
        <v>137</v>
      </c>
      <c r="S1163" s="16">
        <v>20</v>
      </c>
      <c r="T1163" s="1" t="s">
        <v>3227</v>
      </c>
      <c r="U1163" s="1" t="s">
        <v>1468</v>
      </c>
      <c r="V1163" s="1" t="s">
        <v>1634</v>
      </c>
      <c r="Y1163" s="1">
        <v>3450</v>
      </c>
      <c r="AB1163" s="1">
        <v>1638.72</v>
      </c>
    </row>
    <row r="1164" spans="2:28" x14ac:dyDescent="0.2">
      <c r="B1164" s="30" t="s">
        <v>2294</v>
      </c>
      <c r="C1164" s="36"/>
      <c r="D1164" s="36"/>
      <c r="F1164" s="1" t="s">
        <v>3228</v>
      </c>
      <c r="G1164" s="30" t="s">
        <v>2986</v>
      </c>
      <c r="K1164" s="1" t="s">
        <v>3229</v>
      </c>
      <c r="L1164" s="1" t="s">
        <v>1279</v>
      </c>
      <c r="M1164" s="36" t="s">
        <v>1511</v>
      </c>
      <c r="N1164" s="1" t="s">
        <v>3226</v>
      </c>
      <c r="O1164" s="1" t="s">
        <v>1286</v>
      </c>
      <c r="P1164" s="34" t="str">
        <f t="shared" si="21"/>
        <v>F010</v>
      </c>
      <c r="Q1164" s="1" t="s">
        <v>137</v>
      </c>
      <c r="S1164" s="16">
        <v>20</v>
      </c>
      <c r="T1164" s="1" t="s">
        <v>2427</v>
      </c>
      <c r="U1164" s="1" t="s">
        <v>1468</v>
      </c>
      <c r="V1164" s="1" t="s">
        <v>1634</v>
      </c>
      <c r="Y1164" s="1">
        <v>3450</v>
      </c>
      <c r="AB1164" s="1">
        <v>1638.72</v>
      </c>
    </row>
    <row r="1165" spans="2:28" x14ac:dyDescent="0.2">
      <c r="B1165" s="30" t="s">
        <v>2294</v>
      </c>
      <c r="C1165" s="36"/>
      <c r="D1165" s="36"/>
      <c r="F1165" s="1" t="s">
        <v>1895</v>
      </c>
      <c r="G1165" s="30" t="s">
        <v>2986</v>
      </c>
      <c r="K1165" s="1" t="s">
        <v>3230</v>
      </c>
      <c r="L1165" s="1" t="s">
        <v>1279</v>
      </c>
      <c r="M1165" s="36" t="s">
        <v>1511</v>
      </c>
      <c r="N1165" s="1" t="s">
        <v>3226</v>
      </c>
      <c r="O1165" s="1" t="s">
        <v>1286</v>
      </c>
      <c r="P1165" s="34" t="str">
        <f t="shared" si="21"/>
        <v>F010</v>
      </c>
      <c r="Q1165" s="1" t="s">
        <v>137</v>
      </c>
      <c r="S1165" s="16">
        <v>20</v>
      </c>
      <c r="T1165" s="1" t="s">
        <v>3156</v>
      </c>
      <c r="U1165" s="1" t="s">
        <v>1468</v>
      </c>
      <c r="V1165" s="1" t="s">
        <v>1634</v>
      </c>
      <c r="Y1165" s="1">
        <v>3450</v>
      </c>
      <c r="AB1165" s="1">
        <v>1638.72</v>
      </c>
    </row>
    <row r="1166" spans="2:28" x14ac:dyDescent="0.2">
      <c r="B1166" s="30" t="s">
        <v>2294</v>
      </c>
      <c r="C1166" s="36"/>
      <c r="D1166" s="36"/>
      <c r="F1166" s="1" t="s">
        <v>3157</v>
      </c>
      <c r="G1166" s="30" t="s">
        <v>2986</v>
      </c>
      <c r="K1166" s="1" t="s">
        <v>3231</v>
      </c>
      <c r="L1166" s="1" t="s">
        <v>1279</v>
      </c>
      <c r="M1166" s="36" t="s">
        <v>1511</v>
      </c>
      <c r="N1166" s="1" t="s">
        <v>3226</v>
      </c>
      <c r="O1166" s="1" t="s">
        <v>1286</v>
      </c>
      <c r="P1166" s="34" t="str">
        <f t="shared" si="21"/>
        <v>F010</v>
      </c>
      <c r="Q1166" s="1" t="s">
        <v>137</v>
      </c>
      <c r="S1166" s="16">
        <v>20</v>
      </c>
      <c r="T1166" s="1" t="s">
        <v>2299</v>
      </c>
      <c r="U1166" s="1" t="s">
        <v>1468</v>
      </c>
      <c r="V1166" s="1" t="s">
        <v>1634</v>
      </c>
      <c r="Y1166" s="1">
        <v>3450</v>
      </c>
      <c r="AB1166" s="1">
        <v>1638.72</v>
      </c>
    </row>
    <row r="1167" spans="2:28" x14ac:dyDescent="0.2">
      <c r="B1167" s="30" t="s">
        <v>2294</v>
      </c>
      <c r="C1167" s="36"/>
      <c r="D1167" s="36"/>
      <c r="F1167" s="1" t="s">
        <v>1322</v>
      </c>
      <c r="G1167" s="30" t="s">
        <v>2986</v>
      </c>
      <c r="K1167" s="1" t="s">
        <v>3232</v>
      </c>
      <c r="L1167" s="1" t="s">
        <v>1279</v>
      </c>
      <c r="M1167" s="36" t="s">
        <v>1511</v>
      </c>
      <c r="N1167" s="1" t="s">
        <v>3226</v>
      </c>
      <c r="O1167" s="1" t="s">
        <v>1286</v>
      </c>
      <c r="P1167" s="34" t="str">
        <f t="shared" si="21"/>
        <v>F010</v>
      </c>
      <c r="Q1167" s="1" t="s">
        <v>137</v>
      </c>
      <c r="S1167" s="16">
        <v>20</v>
      </c>
      <c r="T1167" s="1" t="s">
        <v>3233</v>
      </c>
      <c r="U1167" s="1" t="s">
        <v>1468</v>
      </c>
      <c r="V1167" s="1" t="s">
        <v>1634</v>
      </c>
      <c r="Y1167" s="1">
        <v>3450</v>
      </c>
      <c r="AB1167" s="1">
        <v>1638.72</v>
      </c>
    </row>
    <row r="1168" spans="2:28" x14ac:dyDescent="0.2">
      <c r="B1168" s="30" t="s">
        <v>2294</v>
      </c>
      <c r="C1168" s="36"/>
      <c r="D1168" s="36"/>
      <c r="F1168" s="1" t="s">
        <v>3234</v>
      </c>
      <c r="G1168" s="30" t="s">
        <v>2986</v>
      </c>
      <c r="K1168" s="1" t="s">
        <v>3235</v>
      </c>
      <c r="L1168" s="1" t="s">
        <v>1279</v>
      </c>
      <c r="M1168" s="36" t="s">
        <v>1511</v>
      </c>
      <c r="N1168" s="1" t="s">
        <v>2543</v>
      </c>
      <c r="O1168" s="1" t="s">
        <v>1286</v>
      </c>
      <c r="P1168" s="34" t="str">
        <f t="shared" si="21"/>
        <v>F010</v>
      </c>
      <c r="Q1168" s="1" t="s">
        <v>137</v>
      </c>
      <c r="S1168" s="16">
        <v>20</v>
      </c>
      <c r="T1168" s="1" t="s">
        <v>2427</v>
      </c>
      <c r="U1168" s="1" t="s">
        <v>1468</v>
      </c>
      <c r="V1168" s="1" t="s">
        <v>1634</v>
      </c>
      <c r="Y1168" s="1">
        <v>3450</v>
      </c>
      <c r="AB1168" s="1">
        <v>1638.72</v>
      </c>
    </row>
    <row r="1169" spans="2:28" x14ac:dyDescent="0.2">
      <c r="B1169" s="30" t="s">
        <v>2294</v>
      </c>
      <c r="C1169" s="36"/>
      <c r="D1169" s="36"/>
      <c r="F1169" s="1" t="s">
        <v>1895</v>
      </c>
      <c r="G1169" s="30" t="s">
        <v>2986</v>
      </c>
      <c r="K1169" s="1" t="s">
        <v>3236</v>
      </c>
      <c r="L1169" s="1" t="s">
        <v>1279</v>
      </c>
      <c r="M1169" s="36" t="s">
        <v>1511</v>
      </c>
      <c r="N1169" s="1" t="s">
        <v>2543</v>
      </c>
      <c r="O1169" s="1" t="s">
        <v>1286</v>
      </c>
      <c r="P1169" s="34" t="str">
        <f t="shared" si="21"/>
        <v>F010</v>
      </c>
      <c r="Q1169" s="1" t="s">
        <v>137</v>
      </c>
      <c r="S1169" s="16">
        <v>20</v>
      </c>
      <c r="T1169" s="1" t="s">
        <v>3152</v>
      </c>
      <c r="U1169" s="1" t="s">
        <v>1468</v>
      </c>
      <c r="V1169" s="1" t="s">
        <v>1634</v>
      </c>
      <c r="Y1169" s="1">
        <v>3450</v>
      </c>
      <c r="AB1169" s="1">
        <v>1638.72</v>
      </c>
    </row>
    <row r="1170" spans="2:28" x14ac:dyDescent="0.2">
      <c r="B1170" s="30" t="s">
        <v>2294</v>
      </c>
      <c r="C1170" s="36"/>
      <c r="D1170" s="36"/>
      <c r="F1170" s="1" t="s">
        <v>3153</v>
      </c>
      <c r="G1170" s="30" t="s">
        <v>2986</v>
      </c>
      <c r="K1170" s="1" t="s">
        <v>3237</v>
      </c>
      <c r="L1170" s="1" t="s">
        <v>1279</v>
      </c>
      <c r="M1170" s="36" t="s">
        <v>1511</v>
      </c>
      <c r="N1170" s="1" t="s">
        <v>2543</v>
      </c>
      <c r="O1170" s="1" t="s">
        <v>1286</v>
      </c>
      <c r="P1170" s="34" t="str">
        <f t="shared" si="21"/>
        <v>F010</v>
      </c>
      <c r="Q1170" s="1" t="s">
        <v>137</v>
      </c>
      <c r="S1170" s="16">
        <v>20</v>
      </c>
      <c r="T1170" s="1" t="s">
        <v>2299</v>
      </c>
      <c r="U1170" s="1" t="s">
        <v>1468</v>
      </c>
      <c r="V1170" s="1" t="s">
        <v>1634</v>
      </c>
      <c r="Y1170" s="1">
        <v>3450</v>
      </c>
      <c r="AB1170" s="1">
        <v>1638.72</v>
      </c>
    </row>
    <row r="1171" spans="2:28" x14ac:dyDescent="0.2">
      <c r="B1171" s="30" t="s">
        <v>2294</v>
      </c>
      <c r="C1171" s="36"/>
      <c r="D1171" s="36"/>
      <c r="F1171" s="1" t="s">
        <v>1322</v>
      </c>
      <c r="G1171" s="30" t="s">
        <v>2986</v>
      </c>
      <c r="K1171" s="1" t="s">
        <v>3238</v>
      </c>
      <c r="L1171" s="1" t="s">
        <v>1279</v>
      </c>
      <c r="M1171" s="36" t="s">
        <v>1511</v>
      </c>
      <c r="N1171" s="1" t="s">
        <v>2543</v>
      </c>
      <c r="O1171" s="1" t="s">
        <v>1286</v>
      </c>
      <c r="P1171" s="34" t="str">
        <f t="shared" si="21"/>
        <v>F010</v>
      </c>
      <c r="Q1171" s="1" t="s">
        <v>137</v>
      </c>
      <c r="S1171" s="16">
        <v>20</v>
      </c>
      <c r="T1171" s="1" t="s">
        <v>3239</v>
      </c>
      <c r="U1171" s="1" t="s">
        <v>1468</v>
      </c>
      <c r="V1171" s="1" t="s">
        <v>1634</v>
      </c>
      <c r="Y1171" s="1">
        <v>3450</v>
      </c>
      <c r="AB1171" s="1">
        <v>1638.72</v>
      </c>
    </row>
    <row r="1172" spans="2:28" x14ac:dyDescent="0.2">
      <c r="B1172" s="30" t="s">
        <v>2294</v>
      </c>
      <c r="C1172" s="36"/>
      <c r="D1172" s="36"/>
      <c r="F1172" s="1" t="s">
        <v>3240</v>
      </c>
      <c r="G1172" s="30" t="s">
        <v>2986</v>
      </c>
      <c r="K1172" s="1" t="s">
        <v>3241</v>
      </c>
      <c r="L1172" s="1" t="s">
        <v>1279</v>
      </c>
      <c r="M1172" s="36" t="s">
        <v>1511</v>
      </c>
      <c r="N1172" s="1" t="s">
        <v>3242</v>
      </c>
      <c r="O1172" s="1" t="s">
        <v>1286</v>
      </c>
      <c r="P1172" s="34" t="str">
        <f t="shared" si="21"/>
        <v>F010</v>
      </c>
      <c r="Q1172" s="1" t="s">
        <v>137</v>
      </c>
      <c r="S1172" s="16">
        <v>20</v>
      </c>
      <c r="T1172" s="1" t="s">
        <v>2299</v>
      </c>
      <c r="U1172" s="1" t="s">
        <v>1468</v>
      </c>
      <c r="V1172" s="1" t="s">
        <v>1634</v>
      </c>
      <c r="Y1172" s="1">
        <v>3450</v>
      </c>
      <c r="AB1172" s="1">
        <v>1638.72</v>
      </c>
    </row>
    <row r="1173" spans="2:28" x14ac:dyDescent="0.2">
      <c r="B1173" s="30" t="s">
        <v>2294</v>
      </c>
      <c r="C1173" s="36"/>
      <c r="D1173" s="36"/>
      <c r="F1173" s="1" t="s">
        <v>1322</v>
      </c>
      <c r="G1173" s="30" t="s">
        <v>2986</v>
      </c>
      <c r="K1173" s="1" t="s">
        <v>3243</v>
      </c>
      <c r="L1173" s="1" t="s">
        <v>1279</v>
      </c>
      <c r="M1173" s="36" t="s">
        <v>1511</v>
      </c>
      <c r="N1173" s="1" t="s">
        <v>3242</v>
      </c>
      <c r="O1173" s="1" t="s">
        <v>1286</v>
      </c>
      <c r="P1173" s="34" t="str">
        <f t="shared" si="21"/>
        <v>F010</v>
      </c>
      <c r="Q1173" s="1" t="s">
        <v>137</v>
      </c>
      <c r="S1173" s="16">
        <v>20</v>
      </c>
      <c r="T1173" s="1" t="s">
        <v>3244</v>
      </c>
      <c r="U1173" s="1" t="s">
        <v>1468</v>
      </c>
      <c r="V1173" s="1" t="s">
        <v>1634</v>
      </c>
      <c r="Y1173" s="1">
        <v>3450</v>
      </c>
      <c r="AB1173" s="1">
        <v>1638.72</v>
      </c>
    </row>
    <row r="1174" spans="2:28" x14ac:dyDescent="0.2">
      <c r="B1174" s="30" t="s">
        <v>2294</v>
      </c>
      <c r="C1174" s="36"/>
      <c r="D1174" s="36"/>
      <c r="F1174" s="1" t="s">
        <v>3245</v>
      </c>
      <c r="G1174" s="30" t="s">
        <v>2986</v>
      </c>
      <c r="K1174" s="1" t="s">
        <v>3246</v>
      </c>
      <c r="L1174" s="1" t="s">
        <v>1279</v>
      </c>
      <c r="M1174" s="36" t="s">
        <v>1511</v>
      </c>
      <c r="N1174" s="1" t="s">
        <v>3242</v>
      </c>
      <c r="O1174" s="1" t="s">
        <v>1286</v>
      </c>
      <c r="P1174" s="34" t="str">
        <f t="shared" si="21"/>
        <v>F010</v>
      </c>
      <c r="Q1174" s="1" t="s">
        <v>137</v>
      </c>
      <c r="S1174" s="16">
        <v>20</v>
      </c>
      <c r="T1174" s="1" t="s">
        <v>2427</v>
      </c>
      <c r="U1174" s="1" t="s">
        <v>1468</v>
      </c>
      <c r="V1174" s="1" t="s">
        <v>1634</v>
      </c>
      <c r="Y1174" s="1">
        <v>3450</v>
      </c>
      <c r="AB1174" s="1">
        <v>1638.72</v>
      </c>
    </row>
    <row r="1175" spans="2:28" x14ac:dyDescent="0.2">
      <c r="B1175" s="30" t="s">
        <v>2294</v>
      </c>
      <c r="C1175" s="36"/>
      <c r="D1175" s="36"/>
      <c r="F1175" s="1" t="s">
        <v>1895</v>
      </c>
      <c r="G1175" s="30" t="s">
        <v>2986</v>
      </c>
      <c r="K1175" s="1" t="s">
        <v>3247</v>
      </c>
      <c r="L1175" s="1" t="s">
        <v>1279</v>
      </c>
      <c r="M1175" s="36" t="s">
        <v>1511</v>
      </c>
      <c r="N1175" s="1" t="s">
        <v>3242</v>
      </c>
      <c r="O1175" s="1" t="s">
        <v>1286</v>
      </c>
      <c r="P1175" s="34" t="str">
        <f t="shared" si="21"/>
        <v>F010</v>
      </c>
      <c r="Q1175" s="1" t="s">
        <v>137</v>
      </c>
      <c r="S1175" s="16">
        <v>20</v>
      </c>
      <c r="T1175" s="1" t="s">
        <v>3079</v>
      </c>
      <c r="U1175" s="1" t="s">
        <v>1468</v>
      </c>
      <c r="V1175" s="1" t="s">
        <v>1634</v>
      </c>
      <c r="Y1175" s="1">
        <v>3450</v>
      </c>
      <c r="AB1175" s="1">
        <v>1638.72</v>
      </c>
    </row>
    <row r="1176" spans="2:28" x14ac:dyDescent="0.2">
      <c r="B1176" s="30" t="s">
        <v>2294</v>
      </c>
      <c r="C1176" s="36"/>
      <c r="D1176" s="36"/>
      <c r="F1176" s="1" t="s">
        <v>3080</v>
      </c>
      <c r="G1176" s="30" t="s">
        <v>2986</v>
      </c>
      <c r="K1176" s="1" t="s">
        <v>3248</v>
      </c>
      <c r="L1176" s="1" t="s">
        <v>1279</v>
      </c>
      <c r="M1176" s="36" t="s">
        <v>1511</v>
      </c>
      <c r="N1176" s="1" t="s">
        <v>3242</v>
      </c>
      <c r="O1176" s="1" t="s">
        <v>1286</v>
      </c>
      <c r="P1176" s="34" t="str">
        <f t="shared" si="21"/>
        <v>F010</v>
      </c>
      <c r="Q1176" s="1" t="s">
        <v>137</v>
      </c>
      <c r="S1176" s="16">
        <v>20</v>
      </c>
      <c r="T1176" s="1" t="s">
        <v>2299</v>
      </c>
      <c r="U1176" s="1" t="s">
        <v>1468</v>
      </c>
      <c r="V1176" s="1" t="s">
        <v>1634</v>
      </c>
      <c r="Y1176" s="1">
        <v>3450</v>
      </c>
      <c r="AB1176" s="1">
        <v>1638.72</v>
      </c>
    </row>
    <row r="1177" spans="2:28" x14ac:dyDescent="0.2">
      <c r="B1177" s="30" t="s">
        <v>2294</v>
      </c>
      <c r="C1177" s="36"/>
      <c r="D1177" s="36"/>
      <c r="F1177" s="1" t="s">
        <v>1322</v>
      </c>
      <c r="G1177" s="30" t="s">
        <v>2986</v>
      </c>
      <c r="K1177" s="1" t="s">
        <v>3249</v>
      </c>
      <c r="L1177" s="1" t="s">
        <v>1279</v>
      </c>
      <c r="M1177" s="36" t="s">
        <v>1511</v>
      </c>
      <c r="N1177" s="1" t="s">
        <v>3242</v>
      </c>
      <c r="O1177" s="1" t="s">
        <v>1286</v>
      </c>
      <c r="P1177" s="34" t="str">
        <f t="shared" si="21"/>
        <v>F010</v>
      </c>
      <c r="Q1177" s="1" t="s">
        <v>137</v>
      </c>
      <c r="S1177" s="16">
        <v>20</v>
      </c>
      <c r="T1177" s="1" t="s">
        <v>3156</v>
      </c>
      <c r="U1177" s="1" t="s">
        <v>1468</v>
      </c>
      <c r="V1177" s="1" t="s">
        <v>1634</v>
      </c>
      <c r="Y1177" s="1">
        <v>3450</v>
      </c>
      <c r="AB1177" s="1">
        <v>1638.72</v>
      </c>
    </row>
    <row r="1178" spans="2:28" x14ac:dyDescent="0.2">
      <c r="B1178" s="30" t="s">
        <v>2294</v>
      </c>
      <c r="C1178" s="36"/>
      <c r="D1178" s="36"/>
      <c r="F1178" s="1" t="s">
        <v>3157</v>
      </c>
      <c r="G1178" s="30" t="s">
        <v>2986</v>
      </c>
      <c r="K1178" s="1" t="s">
        <v>3250</v>
      </c>
      <c r="L1178" s="1" t="s">
        <v>1279</v>
      </c>
      <c r="M1178" s="36" t="s">
        <v>1511</v>
      </c>
      <c r="N1178" s="1" t="s">
        <v>3242</v>
      </c>
      <c r="O1178" s="1" t="s">
        <v>1286</v>
      </c>
      <c r="P1178" s="34" t="str">
        <f t="shared" si="21"/>
        <v>F010</v>
      </c>
      <c r="Q1178" s="1" t="s">
        <v>137</v>
      </c>
      <c r="S1178" s="16">
        <v>20</v>
      </c>
      <c r="T1178" s="1" t="s">
        <v>2427</v>
      </c>
      <c r="U1178" s="1" t="s">
        <v>1468</v>
      </c>
      <c r="V1178" s="1" t="s">
        <v>1634</v>
      </c>
      <c r="Y1178" s="1">
        <v>3450</v>
      </c>
      <c r="AB1178" s="1">
        <v>1638.72</v>
      </c>
    </row>
    <row r="1179" spans="2:28" x14ac:dyDescent="0.2">
      <c r="B1179" s="30" t="s">
        <v>2294</v>
      </c>
      <c r="C1179" s="36"/>
      <c r="D1179" s="36"/>
      <c r="F1179" s="1" t="s">
        <v>1895</v>
      </c>
      <c r="G1179" s="30" t="s">
        <v>2986</v>
      </c>
      <c r="K1179" s="1" t="s">
        <v>3251</v>
      </c>
      <c r="L1179" s="1" t="s">
        <v>1279</v>
      </c>
      <c r="M1179" s="36" t="s">
        <v>1511</v>
      </c>
      <c r="N1179" s="1" t="s">
        <v>3242</v>
      </c>
      <c r="O1179" s="1" t="s">
        <v>1286</v>
      </c>
      <c r="P1179" s="34" t="str">
        <f t="shared" si="21"/>
        <v>F010</v>
      </c>
      <c r="Q1179" s="1" t="s">
        <v>137</v>
      </c>
      <c r="S1179" s="16">
        <v>20</v>
      </c>
      <c r="T1179" s="1" t="s">
        <v>3093</v>
      </c>
      <c r="U1179" s="1" t="s">
        <v>1468</v>
      </c>
      <c r="V1179" s="1" t="s">
        <v>1634</v>
      </c>
      <c r="Y1179" s="1">
        <v>3450</v>
      </c>
      <c r="AB1179" s="1">
        <v>1638.72</v>
      </c>
    </row>
    <row r="1180" spans="2:28" x14ac:dyDescent="0.2">
      <c r="B1180" s="30" t="s">
        <v>2294</v>
      </c>
      <c r="C1180" s="36"/>
      <c r="D1180" s="36"/>
      <c r="F1180" s="1" t="s">
        <v>3094</v>
      </c>
      <c r="G1180" s="30" t="s">
        <v>2986</v>
      </c>
      <c r="K1180" s="1" t="s">
        <v>3252</v>
      </c>
      <c r="L1180" s="1" t="s">
        <v>1279</v>
      </c>
      <c r="M1180" s="36" t="s">
        <v>1511</v>
      </c>
      <c r="N1180" s="1" t="s">
        <v>2925</v>
      </c>
      <c r="O1180" s="1" t="s">
        <v>1286</v>
      </c>
      <c r="P1180" s="34" t="str">
        <f t="shared" si="21"/>
        <v>F010</v>
      </c>
      <c r="Q1180" s="1" t="s">
        <v>137</v>
      </c>
      <c r="S1180" s="16">
        <v>20</v>
      </c>
      <c r="T1180" s="1" t="s">
        <v>2299</v>
      </c>
      <c r="U1180" s="1" t="s">
        <v>1468</v>
      </c>
      <c r="V1180" s="1" t="s">
        <v>1634</v>
      </c>
      <c r="Y1180" s="1">
        <v>3450</v>
      </c>
      <c r="AB1180" s="1">
        <v>1638.72</v>
      </c>
    </row>
    <row r="1181" spans="2:28" x14ac:dyDescent="0.2">
      <c r="B1181" s="30" t="s">
        <v>2294</v>
      </c>
      <c r="C1181" s="36"/>
      <c r="D1181" s="36"/>
      <c r="F1181" s="1" t="s">
        <v>1322</v>
      </c>
      <c r="G1181" s="30" t="s">
        <v>2986</v>
      </c>
      <c r="K1181" s="1" t="s">
        <v>3253</v>
      </c>
      <c r="L1181" s="1" t="s">
        <v>1279</v>
      </c>
      <c r="M1181" s="36" t="s">
        <v>1511</v>
      </c>
      <c r="N1181" s="1" t="s">
        <v>2925</v>
      </c>
      <c r="O1181" s="1" t="s">
        <v>1286</v>
      </c>
      <c r="P1181" s="34" t="str">
        <f t="shared" si="21"/>
        <v>F010</v>
      </c>
      <c r="Q1181" s="1" t="s">
        <v>137</v>
      </c>
      <c r="S1181" s="16">
        <v>20</v>
      </c>
      <c r="T1181" s="1" t="s">
        <v>3254</v>
      </c>
      <c r="U1181" s="1" t="s">
        <v>1468</v>
      </c>
      <c r="V1181" s="1" t="s">
        <v>1634</v>
      </c>
      <c r="Y1181" s="1">
        <v>3450</v>
      </c>
      <c r="AB1181" s="1">
        <v>1638.72</v>
      </c>
    </row>
    <row r="1182" spans="2:28" x14ac:dyDescent="0.2">
      <c r="B1182" s="30" t="s">
        <v>2294</v>
      </c>
      <c r="C1182" s="36"/>
      <c r="D1182" s="36"/>
      <c r="F1182" s="1" t="s">
        <v>3255</v>
      </c>
      <c r="G1182" s="30" t="s">
        <v>2986</v>
      </c>
      <c r="K1182" s="1" t="s">
        <v>3256</v>
      </c>
      <c r="L1182" s="1" t="s">
        <v>1279</v>
      </c>
      <c r="M1182" s="36" t="s">
        <v>1511</v>
      </c>
      <c r="N1182" s="1" t="s">
        <v>2925</v>
      </c>
      <c r="O1182" s="1" t="s">
        <v>1286</v>
      </c>
      <c r="P1182" s="34" t="str">
        <f t="shared" si="21"/>
        <v>F010</v>
      </c>
      <c r="Q1182" s="1" t="s">
        <v>137</v>
      </c>
      <c r="S1182" s="16">
        <v>20</v>
      </c>
      <c r="T1182" s="1" t="s">
        <v>2299</v>
      </c>
      <c r="U1182" s="1" t="s">
        <v>1468</v>
      </c>
      <c r="V1182" s="1" t="s">
        <v>1634</v>
      </c>
      <c r="Y1182" s="1">
        <v>3450</v>
      </c>
      <c r="AB1182" s="1">
        <v>1638.72</v>
      </c>
    </row>
    <row r="1183" spans="2:28" x14ac:dyDescent="0.2">
      <c r="B1183" s="30" t="s">
        <v>2294</v>
      </c>
      <c r="C1183" s="36"/>
      <c r="D1183" s="36"/>
      <c r="F1183" s="1" t="s">
        <v>1322</v>
      </c>
      <c r="G1183" s="30" t="s">
        <v>2986</v>
      </c>
      <c r="K1183" s="1" t="s">
        <v>3257</v>
      </c>
      <c r="L1183" s="1" t="s">
        <v>1279</v>
      </c>
      <c r="M1183" s="36" t="s">
        <v>1511</v>
      </c>
      <c r="N1183" s="1" t="s">
        <v>2925</v>
      </c>
      <c r="O1183" s="1" t="s">
        <v>1286</v>
      </c>
      <c r="P1183" s="34" t="str">
        <f t="shared" si="21"/>
        <v>F010</v>
      </c>
      <c r="Q1183" s="1" t="s">
        <v>137</v>
      </c>
      <c r="S1183" s="16">
        <v>20</v>
      </c>
      <c r="T1183" s="1" t="s">
        <v>3097</v>
      </c>
      <c r="U1183" s="1" t="s">
        <v>1468</v>
      </c>
      <c r="V1183" s="1" t="s">
        <v>1634</v>
      </c>
      <c r="Y1183" s="1">
        <v>3450</v>
      </c>
      <c r="AB1183" s="1">
        <v>1638.72</v>
      </c>
    </row>
    <row r="1184" spans="2:28" x14ac:dyDescent="0.2">
      <c r="B1184" s="30" t="s">
        <v>2294</v>
      </c>
      <c r="C1184" s="36"/>
      <c r="D1184" s="36"/>
      <c r="F1184" s="1" t="s">
        <v>3098</v>
      </c>
      <c r="G1184" s="30" t="s">
        <v>2986</v>
      </c>
      <c r="K1184" s="1" t="s">
        <v>3258</v>
      </c>
      <c r="L1184" s="1" t="s">
        <v>1279</v>
      </c>
      <c r="M1184" s="36" t="s">
        <v>1511</v>
      </c>
      <c r="N1184" s="1" t="s">
        <v>2925</v>
      </c>
      <c r="O1184" s="1" t="s">
        <v>1286</v>
      </c>
      <c r="P1184" s="34" t="str">
        <f t="shared" si="21"/>
        <v>F010</v>
      </c>
      <c r="Q1184" s="1" t="s">
        <v>137</v>
      </c>
      <c r="S1184" s="16">
        <v>20</v>
      </c>
      <c r="T1184" s="1" t="s">
        <v>2299</v>
      </c>
      <c r="U1184" s="1" t="s">
        <v>1468</v>
      </c>
      <c r="V1184" s="1" t="s">
        <v>1634</v>
      </c>
      <c r="Y1184" s="1">
        <v>3450</v>
      </c>
      <c r="AB1184" s="1">
        <v>1638.72</v>
      </c>
    </row>
    <row r="1185" spans="2:28" x14ac:dyDescent="0.2">
      <c r="B1185" s="30" t="s">
        <v>2294</v>
      </c>
      <c r="C1185" s="36"/>
      <c r="D1185" s="36"/>
      <c r="F1185" s="1" t="s">
        <v>1322</v>
      </c>
      <c r="G1185" s="30" t="s">
        <v>2986</v>
      </c>
      <c r="K1185" s="1" t="s">
        <v>3259</v>
      </c>
      <c r="L1185" s="1" t="s">
        <v>1279</v>
      </c>
      <c r="M1185" s="36" t="s">
        <v>1511</v>
      </c>
      <c r="N1185" s="1" t="s">
        <v>2925</v>
      </c>
      <c r="O1185" s="1" t="s">
        <v>1286</v>
      </c>
      <c r="P1185" s="34" t="str">
        <f t="shared" si="21"/>
        <v>F010</v>
      </c>
      <c r="Q1185" s="1" t="s">
        <v>137</v>
      </c>
      <c r="S1185" s="16">
        <v>20</v>
      </c>
      <c r="T1185" s="1" t="s">
        <v>3093</v>
      </c>
      <c r="U1185" s="1" t="s">
        <v>1468</v>
      </c>
      <c r="V1185" s="1" t="s">
        <v>1634</v>
      </c>
      <c r="Y1185" s="1">
        <v>3450</v>
      </c>
      <c r="AB1185" s="1">
        <v>1638.72</v>
      </c>
    </row>
    <row r="1186" spans="2:28" x14ac:dyDescent="0.2">
      <c r="B1186" s="30" t="s">
        <v>2294</v>
      </c>
      <c r="C1186" s="36"/>
      <c r="D1186" s="36"/>
      <c r="F1186" s="1" t="s">
        <v>3094</v>
      </c>
      <c r="G1186" s="30" t="s">
        <v>2986</v>
      </c>
      <c r="K1186" s="1" t="s">
        <v>3260</v>
      </c>
      <c r="L1186" s="1" t="s">
        <v>1279</v>
      </c>
      <c r="M1186" s="36" t="s">
        <v>1511</v>
      </c>
      <c r="N1186" s="1" t="s">
        <v>2925</v>
      </c>
      <c r="O1186" s="1" t="s">
        <v>1286</v>
      </c>
      <c r="P1186" s="34" t="str">
        <f t="shared" si="21"/>
        <v>F010</v>
      </c>
      <c r="Q1186" s="1" t="s">
        <v>137</v>
      </c>
      <c r="S1186" s="16">
        <v>20</v>
      </c>
      <c r="T1186" s="1" t="s">
        <v>2299</v>
      </c>
      <c r="U1186" s="1" t="s">
        <v>1468</v>
      </c>
      <c r="V1186" s="1" t="s">
        <v>1634</v>
      </c>
      <c r="Y1186" s="1">
        <v>3450</v>
      </c>
      <c r="AB1186" s="1">
        <v>1638.72</v>
      </c>
    </row>
    <row r="1187" spans="2:28" x14ac:dyDescent="0.2">
      <c r="B1187" s="30" t="s">
        <v>2294</v>
      </c>
      <c r="C1187" s="36"/>
      <c r="D1187" s="36"/>
      <c r="F1187" s="1" t="s">
        <v>1322</v>
      </c>
      <c r="G1187" s="30" t="s">
        <v>2986</v>
      </c>
      <c r="K1187" s="1" t="s">
        <v>3261</v>
      </c>
      <c r="L1187" s="1" t="s">
        <v>1279</v>
      </c>
      <c r="M1187" s="36" t="s">
        <v>1511</v>
      </c>
      <c r="N1187" s="1" t="s">
        <v>2925</v>
      </c>
      <c r="O1187" s="1" t="s">
        <v>1286</v>
      </c>
      <c r="P1187" s="34" t="str">
        <f t="shared" si="21"/>
        <v>F010</v>
      </c>
      <c r="Q1187" s="1" t="s">
        <v>137</v>
      </c>
      <c r="S1187" s="16">
        <v>20</v>
      </c>
      <c r="T1187" s="1" t="s">
        <v>3262</v>
      </c>
      <c r="U1187" s="1" t="s">
        <v>1468</v>
      </c>
      <c r="V1187" s="1" t="s">
        <v>1634</v>
      </c>
      <c r="Y1187" s="1">
        <v>3450</v>
      </c>
      <c r="AB1187" s="1">
        <v>1638.72</v>
      </c>
    </row>
    <row r="1188" spans="2:28" x14ac:dyDescent="0.2">
      <c r="B1188" s="30" t="s">
        <v>2294</v>
      </c>
      <c r="C1188" s="36"/>
      <c r="D1188" s="36"/>
      <c r="F1188" s="1" t="s">
        <v>3263</v>
      </c>
      <c r="G1188" s="30" t="s">
        <v>2986</v>
      </c>
      <c r="K1188" s="1" t="s">
        <v>3264</v>
      </c>
      <c r="L1188" s="1" t="s">
        <v>1279</v>
      </c>
      <c r="M1188" s="36" t="s">
        <v>1511</v>
      </c>
      <c r="N1188" s="1" t="s">
        <v>2925</v>
      </c>
      <c r="O1188" s="1" t="s">
        <v>1286</v>
      </c>
      <c r="P1188" s="34" t="str">
        <f t="shared" si="21"/>
        <v>F010</v>
      </c>
      <c r="Q1188" s="1" t="s">
        <v>137</v>
      </c>
      <c r="S1188" s="16">
        <v>20</v>
      </c>
      <c r="T1188" s="1" t="s">
        <v>2427</v>
      </c>
      <c r="U1188" s="1" t="s">
        <v>1468</v>
      </c>
      <c r="V1188" s="1" t="s">
        <v>1634</v>
      </c>
      <c r="Y1188" s="1">
        <v>3450</v>
      </c>
      <c r="AB1188" s="1">
        <v>1638.72</v>
      </c>
    </row>
    <row r="1189" spans="2:28" x14ac:dyDescent="0.2">
      <c r="B1189" s="30" t="s">
        <v>2294</v>
      </c>
      <c r="C1189" s="36"/>
      <c r="D1189" s="36"/>
      <c r="F1189" s="1" t="s">
        <v>1895</v>
      </c>
      <c r="G1189" s="30" t="s">
        <v>2986</v>
      </c>
      <c r="K1189" s="1" t="s">
        <v>3265</v>
      </c>
      <c r="L1189" s="1" t="s">
        <v>1279</v>
      </c>
      <c r="M1189" s="36" t="s">
        <v>1511</v>
      </c>
      <c r="N1189" s="1" t="s">
        <v>2925</v>
      </c>
      <c r="O1189" s="1" t="s">
        <v>1286</v>
      </c>
      <c r="P1189" s="34" t="str">
        <f t="shared" si="21"/>
        <v>F010</v>
      </c>
      <c r="Q1189" s="1" t="s">
        <v>137</v>
      </c>
      <c r="S1189" s="16">
        <v>20</v>
      </c>
      <c r="T1189" s="1" t="s">
        <v>3183</v>
      </c>
      <c r="U1189" s="1" t="s">
        <v>1468</v>
      </c>
      <c r="V1189" s="1" t="s">
        <v>1634</v>
      </c>
      <c r="Y1189" s="1">
        <v>3450</v>
      </c>
      <c r="AB1189" s="1">
        <v>1638.72</v>
      </c>
    </row>
    <row r="1190" spans="2:28" x14ac:dyDescent="0.2">
      <c r="B1190" s="30" t="s">
        <v>2294</v>
      </c>
      <c r="C1190" s="36"/>
      <c r="D1190" s="36"/>
      <c r="F1190" s="1" t="s">
        <v>3184</v>
      </c>
      <c r="G1190" s="30" t="s">
        <v>2986</v>
      </c>
      <c r="K1190" s="1" t="s">
        <v>3266</v>
      </c>
      <c r="L1190" s="1" t="s">
        <v>1279</v>
      </c>
      <c r="M1190" s="36" t="s">
        <v>1511</v>
      </c>
      <c r="N1190" s="1" t="s">
        <v>2925</v>
      </c>
      <c r="O1190" s="1" t="s">
        <v>1286</v>
      </c>
      <c r="P1190" s="34" t="str">
        <f t="shared" si="21"/>
        <v>F010</v>
      </c>
      <c r="Q1190" s="1" t="s">
        <v>137</v>
      </c>
      <c r="S1190" s="16">
        <v>20</v>
      </c>
      <c r="T1190" s="1" t="s">
        <v>2299</v>
      </c>
      <c r="U1190" s="1" t="s">
        <v>1468</v>
      </c>
      <c r="V1190" s="1" t="s">
        <v>1634</v>
      </c>
      <c r="Y1190" s="1">
        <v>3450</v>
      </c>
      <c r="AB1190" s="1">
        <v>1638.72</v>
      </c>
    </row>
    <row r="1191" spans="2:28" x14ac:dyDescent="0.2">
      <c r="B1191" s="30" t="s">
        <v>2294</v>
      </c>
      <c r="C1191" s="36"/>
      <c r="D1191" s="36"/>
      <c r="F1191" s="1" t="s">
        <v>1322</v>
      </c>
      <c r="G1191" s="30" t="s">
        <v>2986</v>
      </c>
      <c r="K1191" s="1" t="s">
        <v>3267</v>
      </c>
      <c r="L1191" s="1" t="s">
        <v>1279</v>
      </c>
      <c r="M1191" s="36" t="s">
        <v>1511</v>
      </c>
      <c r="N1191" s="1" t="s">
        <v>2925</v>
      </c>
      <c r="O1191" s="1" t="s">
        <v>1286</v>
      </c>
      <c r="P1191" s="34" t="str">
        <f t="shared" si="21"/>
        <v>F010</v>
      </c>
      <c r="Q1191" s="1" t="s">
        <v>137</v>
      </c>
      <c r="S1191" s="16">
        <v>20</v>
      </c>
      <c r="T1191" s="1" t="s">
        <v>3268</v>
      </c>
      <c r="U1191" s="1" t="s">
        <v>1468</v>
      </c>
      <c r="V1191" s="1" t="s">
        <v>1634</v>
      </c>
      <c r="Y1191" s="1">
        <v>3450</v>
      </c>
      <c r="AB1191" s="1">
        <v>1638.72</v>
      </c>
    </row>
    <row r="1192" spans="2:28" x14ac:dyDescent="0.2">
      <c r="B1192" s="30" t="s">
        <v>2294</v>
      </c>
      <c r="C1192" s="36"/>
      <c r="D1192" s="36"/>
      <c r="F1192" s="1" t="s">
        <v>3269</v>
      </c>
      <c r="G1192" s="30" t="s">
        <v>2986</v>
      </c>
      <c r="K1192" s="1" t="s">
        <v>3270</v>
      </c>
      <c r="L1192" s="1" t="s">
        <v>1279</v>
      </c>
      <c r="M1192" s="36" t="s">
        <v>1511</v>
      </c>
      <c r="N1192" s="1" t="s">
        <v>2925</v>
      </c>
      <c r="O1192" s="1" t="s">
        <v>1286</v>
      </c>
      <c r="P1192" s="34" t="str">
        <f t="shared" si="21"/>
        <v>F010</v>
      </c>
      <c r="Q1192" s="1" t="s">
        <v>137</v>
      </c>
      <c r="S1192" s="16">
        <v>20</v>
      </c>
      <c r="T1192" s="1" t="s">
        <v>2427</v>
      </c>
      <c r="U1192" s="1" t="s">
        <v>1468</v>
      </c>
      <c r="V1192" s="1" t="s">
        <v>1634</v>
      </c>
      <c r="Y1192" s="1">
        <v>3450</v>
      </c>
      <c r="AB1192" s="1">
        <v>1638.72</v>
      </c>
    </row>
    <row r="1193" spans="2:28" x14ac:dyDescent="0.2">
      <c r="B1193" s="30" t="s">
        <v>2294</v>
      </c>
      <c r="C1193" s="36"/>
      <c r="D1193" s="36"/>
      <c r="F1193" s="1" t="s">
        <v>1895</v>
      </c>
      <c r="G1193" s="30" t="s">
        <v>2986</v>
      </c>
      <c r="K1193" s="1" t="s">
        <v>3271</v>
      </c>
      <c r="L1193" s="1" t="s">
        <v>1279</v>
      </c>
      <c r="M1193" s="36" t="s">
        <v>1511</v>
      </c>
      <c r="N1193" s="1" t="s">
        <v>2925</v>
      </c>
      <c r="O1193" s="1" t="s">
        <v>1286</v>
      </c>
      <c r="P1193" s="34" t="str">
        <f t="shared" si="21"/>
        <v>F010</v>
      </c>
      <c r="Q1193" s="1" t="s">
        <v>137</v>
      </c>
      <c r="S1193" s="16">
        <v>20</v>
      </c>
      <c r="T1193" s="1" t="s">
        <v>3093</v>
      </c>
      <c r="U1193" s="1" t="s">
        <v>1468</v>
      </c>
      <c r="V1193" s="1" t="s">
        <v>1634</v>
      </c>
      <c r="Y1193" s="1">
        <v>3450</v>
      </c>
      <c r="AB1193" s="1">
        <v>1638.72</v>
      </c>
    </row>
    <row r="1194" spans="2:28" x14ac:dyDescent="0.2">
      <c r="B1194" s="30" t="s">
        <v>2294</v>
      </c>
      <c r="C1194" s="36"/>
      <c r="D1194" s="36"/>
      <c r="F1194" s="1" t="s">
        <v>3094</v>
      </c>
      <c r="G1194" s="30" t="s">
        <v>2986</v>
      </c>
      <c r="K1194" s="1" t="s">
        <v>3272</v>
      </c>
      <c r="L1194" s="1" t="s">
        <v>1279</v>
      </c>
      <c r="M1194" s="36" t="s">
        <v>1511</v>
      </c>
      <c r="N1194" s="1" t="s">
        <v>2925</v>
      </c>
      <c r="O1194" s="1" t="s">
        <v>1286</v>
      </c>
      <c r="P1194" s="34" t="str">
        <f t="shared" si="21"/>
        <v>F010</v>
      </c>
      <c r="Q1194" s="1" t="s">
        <v>137</v>
      </c>
      <c r="S1194" s="16">
        <v>20</v>
      </c>
      <c r="T1194" s="1" t="s">
        <v>2427</v>
      </c>
      <c r="U1194" s="1" t="s">
        <v>1468</v>
      </c>
      <c r="V1194" s="1" t="s">
        <v>1634</v>
      </c>
      <c r="Y1194" s="1">
        <v>3450</v>
      </c>
      <c r="AB1194" s="1">
        <v>1638.72</v>
      </c>
    </row>
    <row r="1195" spans="2:28" x14ac:dyDescent="0.2">
      <c r="B1195" s="30" t="s">
        <v>2294</v>
      </c>
      <c r="C1195" s="36"/>
      <c r="D1195" s="36"/>
      <c r="F1195" s="1" t="s">
        <v>1895</v>
      </c>
      <c r="G1195" s="30" t="s">
        <v>2986</v>
      </c>
      <c r="K1195" s="1" t="s">
        <v>3273</v>
      </c>
      <c r="L1195" s="1" t="s">
        <v>1279</v>
      </c>
      <c r="M1195" s="36" t="s">
        <v>1511</v>
      </c>
      <c r="N1195" s="1" t="s">
        <v>2925</v>
      </c>
      <c r="O1195" s="1" t="s">
        <v>1286</v>
      </c>
      <c r="P1195" s="34" t="str">
        <f t="shared" si="21"/>
        <v>F010</v>
      </c>
      <c r="Q1195" s="1" t="s">
        <v>137</v>
      </c>
      <c r="S1195" s="16">
        <v>20</v>
      </c>
      <c r="T1195" s="1" t="s">
        <v>3143</v>
      </c>
      <c r="U1195" s="1" t="s">
        <v>1468</v>
      </c>
      <c r="V1195" s="1" t="s">
        <v>1634</v>
      </c>
      <c r="Y1195" s="1">
        <v>3450</v>
      </c>
      <c r="AB1195" s="1">
        <v>1638.72</v>
      </c>
    </row>
    <row r="1196" spans="2:28" x14ac:dyDescent="0.2">
      <c r="B1196" s="30" t="s">
        <v>2294</v>
      </c>
      <c r="C1196" s="36"/>
      <c r="D1196" s="36"/>
      <c r="F1196" s="1" t="s">
        <v>3144</v>
      </c>
      <c r="G1196" s="30" t="s">
        <v>2986</v>
      </c>
      <c r="K1196" s="1" t="s">
        <v>3274</v>
      </c>
      <c r="L1196" s="1" t="s">
        <v>1279</v>
      </c>
      <c r="M1196" s="36" t="s">
        <v>1511</v>
      </c>
      <c r="N1196" s="1" t="s">
        <v>2925</v>
      </c>
      <c r="O1196" s="1" t="s">
        <v>1286</v>
      </c>
      <c r="P1196" s="34" t="str">
        <f t="shared" si="21"/>
        <v>F010</v>
      </c>
      <c r="Q1196" s="1" t="s">
        <v>137</v>
      </c>
      <c r="S1196" s="16">
        <v>20</v>
      </c>
      <c r="T1196" s="1" t="s">
        <v>2299</v>
      </c>
      <c r="U1196" s="1" t="s">
        <v>1468</v>
      </c>
      <c r="V1196" s="1" t="s">
        <v>1634</v>
      </c>
      <c r="Y1196" s="1">
        <v>3450</v>
      </c>
      <c r="AB1196" s="1">
        <v>1638.72</v>
      </c>
    </row>
    <row r="1197" spans="2:28" x14ac:dyDescent="0.2">
      <c r="B1197" s="30" t="s">
        <v>2294</v>
      </c>
      <c r="C1197" s="36"/>
      <c r="D1197" s="36"/>
      <c r="F1197" s="1" t="s">
        <v>1322</v>
      </c>
      <c r="G1197" s="30" t="s">
        <v>2986</v>
      </c>
      <c r="K1197" s="1" t="s">
        <v>3275</v>
      </c>
      <c r="L1197" s="1" t="s">
        <v>1279</v>
      </c>
      <c r="M1197" s="36" t="s">
        <v>1511</v>
      </c>
      <c r="N1197" s="1" t="s">
        <v>2925</v>
      </c>
      <c r="O1197" s="1" t="s">
        <v>1286</v>
      </c>
      <c r="P1197" s="34" t="str">
        <f t="shared" si="21"/>
        <v>F010</v>
      </c>
      <c r="Q1197" s="1" t="s">
        <v>137</v>
      </c>
      <c r="S1197" s="16">
        <v>20</v>
      </c>
      <c r="T1197" s="1" t="s">
        <v>2675</v>
      </c>
      <c r="U1197" s="1" t="s">
        <v>1468</v>
      </c>
      <c r="V1197" s="1" t="s">
        <v>1634</v>
      </c>
      <c r="Y1197" s="1">
        <v>3450</v>
      </c>
      <c r="AB1197" s="1">
        <v>1638.72</v>
      </c>
    </row>
    <row r="1198" spans="2:28" x14ac:dyDescent="0.2">
      <c r="B1198" s="30" t="s">
        <v>2294</v>
      </c>
      <c r="C1198" s="36"/>
      <c r="D1198" s="36"/>
      <c r="F1198" s="1" t="s">
        <v>2676</v>
      </c>
      <c r="G1198" s="30" t="s">
        <v>2986</v>
      </c>
      <c r="K1198" s="1" t="s">
        <v>3276</v>
      </c>
      <c r="L1198" s="1" t="s">
        <v>1279</v>
      </c>
      <c r="M1198" s="36" t="s">
        <v>1511</v>
      </c>
      <c r="N1198" s="1" t="s">
        <v>2925</v>
      </c>
      <c r="O1198" s="1" t="s">
        <v>1286</v>
      </c>
      <c r="P1198" s="34" t="str">
        <f t="shared" si="21"/>
        <v>F010</v>
      </c>
      <c r="Q1198" s="1" t="s">
        <v>137</v>
      </c>
      <c r="S1198" s="16">
        <v>20</v>
      </c>
      <c r="T1198" s="1" t="s">
        <v>2427</v>
      </c>
      <c r="U1198" s="1" t="s">
        <v>1468</v>
      </c>
      <c r="V1198" s="1" t="s">
        <v>1634</v>
      </c>
      <c r="Y1198" s="1">
        <v>3450</v>
      </c>
      <c r="AB1198" s="1">
        <v>1638.72</v>
      </c>
    </row>
    <row r="1199" spans="2:28" x14ac:dyDescent="0.2">
      <c r="B1199" s="30" t="s">
        <v>2294</v>
      </c>
      <c r="C1199" s="36"/>
      <c r="D1199" s="36"/>
      <c r="F1199" s="1" t="s">
        <v>1895</v>
      </c>
      <c r="G1199" s="30" t="s">
        <v>2986</v>
      </c>
      <c r="K1199" s="1" t="s">
        <v>3277</v>
      </c>
      <c r="L1199" s="1" t="s">
        <v>1279</v>
      </c>
      <c r="M1199" s="36" t="s">
        <v>1511</v>
      </c>
      <c r="N1199" s="1" t="s">
        <v>2925</v>
      </c>
      <c r="O1199" s="1" t="s">
        <v>1286</v>
      </c>
      <c r="P1199" s="34" t="str">
        <f t="shared" si="21"/>
        <v>F010</v>
      </c>
      <c r="Q1199" s="1" t="s">
        <v>137</v>
      </c>
      <c r="S1199" s="16">
        <v>20</v>
      </c>
      <c r="T1199" s="1" t="s">
        <v>3152</v>
      </c>
      <c r="U1199" s="1" t="s">
        <v>1468</v>
      </c>
      <c r="V1199" s="1" t="s">
        <v>1634</v>
      </c>
      <c r="Y1199" s="1">
        <v>3450</v>
      </c>
      <c r="AB1199" s="1">
        <v>1638.72</v>
      </c>
    </row>
    <row r="1200" spans="2:28" x14ac:dyDescent="0.2">
      <c r="B1200" s="30" t="s">
        <v>2294</v>
      </c>
      <c r="C1200" s="36"/>
      <c r="D1200" s="36"/>
      <c r="F1200" s="1" t="s">
        <v>3153</v>
      </c>
      <c r="G1200" s="30" t="s">
        <v>2986</v>
      </c>
      <c r="K1200" s="1" t="s">
        <v>3278</v>
      </c>
      <c r="L1200" s="1" t="s">
        <v>1279</v>
      </c>
      <c r="M1200" s="36" t="s">
        <v>1511</v>
      </c>
      <c r="N1200" s="1" t="s">
        <v>2925</v>
      </c>
      <c r="O1200" s="1" t="s">
        <v>1286</v>
      </c>
      <c r="P1200" s="34" t="str">
        <f t="shared" si="21"/>
        <v>F010</v>
      </c>
      <c r="Q1200" s="1" t="s">
        <v>137</v>
      </c>
      <c r="S1200" s="16">
        <v>20</v>
      </c>
      <c r="T1200" s="1" t="s">
        <v>2299</v>
      </c>
      <c r="U1200" s="1" t="s">
        <v>1468</v>
      </c>
      <c r="V1200" s="1" t="s">
        <v>1634</v>
      </c>
      <c r="Y1200" s="1">
        <v>3450</v>
      </c>
      <c r="AB1200" s="1">
        <v>1638.72</v>
      </c>
    </row>
    <row r="1201" spans="2:28" x14ac:dyDescent="0.2">
      <c r="B1201" s="30" t="s">
        <v>2294</v>
      </c>
      <c r="C1201" s="36"/>
      <c r="D1201" s="36"/>
      <c r="F1201" s="1" t="s">
        <v>1322</v>
      </c>
      <c r="G1201" s="30" t="s">
        <v>2986</v>
      </c>
      <c r="K1201" s="1" t="s">
        <v>3279</v>
      </c>
      <c r="L1201" s="1" t="s">
        <v>1279</v>
      </c>
      <c r="M1201" s="36" t="s">
        <v>1511</v>
      </c>
      <c r="N1201" s="1" t="s">
        <v>2925</v>
      </c>
      <c r="O1201" s="1" t="s">
        <v>1286</v>
      </c>
      <c r="P1201" s="34" t="str">
        <f t="shared" si="21"/>
        <v>F010</v>
      </c>
      <c r="Q1201" s="1" t="s">
        <v>137</v>
      </c>
      <c r="S1201" s="16">
        <v>20</v>
      </c>
      <c r="T1201" s="1" t="s">
        <v>3280</v>
      </c>
      <c r="U1201" s="1" t="s">
        <v>1468</v>
      </c>
      <c r="V1201" s="1" t="s">
        <v>1634</v>
      </c>
      <c r="Y1201" s="1">
        <v>3450</v>
      </c>
      <c r="AB1201" s="1">
        <v>1638.72</v>
      </c>
    </row>
    <row r="1202" spans="2:28" x14ac:dyDescent="0.2">
      <c r="B1202" s="30" t="s">
        <v>2294</v>
      </c>
      <c r="C1202" s="36"/>
      <c r="D1202" s="36"/>
      <c r="F1202" s="1" t="s">
        <v>3281</v>
      </c>
      <c r="G1202" s="30" t="s">
        <v>2986</v>
      </c>
      <c r="K1202" s="1" t="s">
        <v>3282</v>
      </c>
      <c r="L1202" s="1" t="s">
        <v>1279</v>
      </c>
      <c r="M1202" s="36" t="s">
        <v>1511</v>
      </c>
      <c r="N1202" s="1" t="s">
        <v>2925</v>
      </c>
      <c r="O1202" s="1" t="s">
        <v>1286</v>
      </c>
      <c r="P1202" s="34" t="str">
        <f t="shared" si="21"/>
        <v>F010</v>
      </c>
      <c r="Q1202" s="1" t="s">
        <v>137</v>
      </c>
      <c r="S1202" s="16">
        <v>20</v>
      </c>
      <c r="T1202" s="1" t="s">
        <v>2299</v>
      </c>
      <c r="U1202" s="1" t="s">
        <v>1468</v>
      </c>
      <c r="V1202" s="1" t="s">
        <v>1634</v>
      </c>
      <c r="Y1202" s="1">
        <v>3450</v>
      </c>
      <c r="AB1202" s="1">
        <v>1638.72</v>
      </c>
    </row>
    <row r="1203" spans="2:28" x14ac:dyDescent="0.2">
      <c r="B1203" s="30" t="s">
        <v>2294</v>
      </c>
      <c r="C1203" s="36"/>
      <c r="D1203" s="36"/>
      <c r="F1203" s="1" t="s">
        <v>1322</v>
      </c>
      <c r="G1203" s="30" t="s">
        <v>2986</v>
      </c>
      <c r="K1203" s="1" t="s">
        <v>3283</v>
      </c>
      <c r="L1203" s="1" t="s">
        <v>1279</v>
      </c>
      <c r="M1203" s="36" t="s">
        <v>1511</v>
      </c>
      <c r="N1203" s="1" t="s">
        <v>2925</v>
      </c>
      <c r="O1203" s="1" t="s">
        <v>1286</v>
      </c>
      <c r="P1203" s="34" t="str">
        <f t="shared" si="21"/>
        <v>F010</v>
      </c>
      <c r="Q1203" s="1" t="s">
        <v>137</v>
      </c>
      <c r="S1203" s="16">
        <v>20</v>
      </c>
      <c r="T1203" s="1" t="s">
        <v>3284</v>
      </c>
      <c r="U1203" s="1" t="s">
        <v>1468</v>
      </c>
      <c r="V1203" s="1" t="s">
        <v>1634</v>
      </c>
      <c r="Y1203" s="1">
        <v>3450</v>
      </c>
      <c r="AB1203" s="1">
        <v>1638.72</v>
      </c>
    </row>
    <row r="1204" spans="2:28" x14ac:dyDescent="0.2">
      <c r="B1204" s="30" t="s">
        <v>2294</v>
      </c>
      <c r="C1204" s="36"/>
      <c r="D1204" s="36"/>
      <c r="F1204" s="1" t="s">
        <v>3285</v>
      </c>
      <c r="G1204" s="30" t="s">
        <v>2986</v>
      </c>
      <c r="K1204" s="1" t="s">
        <v>3286</v>
      </c>
      <c r="L1204" s="1" t="s">
        <v>1279</v>
      </c>
      <c r="M1204" s="36" t="s">
        <v>1511</v>
      </c>
      <c r="N1204" s="1" t="s">
        <v>2925</v>
      </c>
      <c r="O1204" s="1" t="s">
        <v>1286</v>
      </c>
      <c r="P1204" s="34" t="str">
        <f t="shared" si="21"/>
        <v>F010</v>
      </c>
      <c r="Q1204" s="1" t="s">
        <v>137</v>
      </c>
      <c r="S1204" s="16">
        <v>20</v>
      </c>
      <c r="T1204" s="1" t="s">
        <v>2299</v>
      </c>
      <c r="U1204" s="1" t="s">
        <v>1468</v>
      </c>
      <c r="V1204" s="1" t="s">
        <v>1634</v>
      </c>
      <c r="Y1204" s="1">
        <v>3450</v>
      </c>
      <c r="AB1204" s="1">
        <v>1638.72</v>
      </c>
    </row>
    <row r="1205" spans="2:28" x14ac:dyDescent="0.2">
      <c r="B1205" s="30" t="s">
        <v>2294</v>
      </c>
      <c r="C1205" s="36"/>
      <c r="D1205" s="36"/>
      <c r="F1205" s="1" t="s">
        <v>1322</v>
      </c>
      <c r="G1205" s="30" t="s">
        <v>2986</v>
      </c>
      <c r="K1205" s="1" t="s">
        <v>3287</v>
      </c>
      <c r="L1205" s="1" t="s">
        <v>1279</v>
      </c>
      <c r="M1205" s="36" t="s">
        <v>1511</v>
      </c>
      <c r="N1205" s="1" t="s">
        <v>2925</v>
      </c>
      <c r="O1205" s="1" t="s">
        <v>1286</v>
      </c>
      <c r="P1205" s="34" t="str">
        <f t="shared" si="21"/>
        <v>F010</v>
      </c>
      <c r="Q1205" s="1" t="s">
        <v>137</v>
      </c>
      <c r="S1205" s="16">
        <v>20</v>
      </c>
      <c r="T1205" s="1" t="s">
        <v>3175</v>
      </c>
      <c r="U1205" s="1" t="s">
        <v>1468</v>
      </c>
      <c r="V1205" s="1" t="s">
        <v>1634</v>
      </c>
      <c r="Y1205" s="1">
        <v>3450</v>
      </c>
      <c r="AB1205" s="1">
        <v>1638.72</v>
      </c>
    </row>
    <row r="1206" spans="2:28" x14ac:dyDescent="0.2">
      <c r="B1206" s="30" t="s">
        <v>2294</v>
      </c>
      <c r="C1206" s="36"/>
      <c r="D1206" s="36"/>
      <c r="F1206" s="1" t="s">
        <v>3176</v>
      </c>
      <c r="G1206" s="30" t="s">
        <v>2986</v>
      </c>
      <c r="K1206" s="1" t="s">
        <v>3288</v>
      </c>
      <c r="L1206" s="1" t="s">
        <v>1279</v>
      </c>
      <c r="M1206" s="36" t="s">
        <v>1511</v>
      </c>
      <c r="N1206" s="1" t="s">
        <v>3289</v>
      </c>
      <c r="O1206" s="1" t="s">
        <v>1286</v>
      </c>
      <c r="P1206" s="34" t="str">
        <f t="shared" si="21"/>
        <v>F010</v>
      </c>
      <c r="Q1206" s="1" t="s">
        <v>137</v>
      </c>
      <c r="S1206" s="16">
        <v>20</v>
      </c>
      <c r="T1206" s="1" t="s">
        <v>2299</v>
      </c>
      <c r="U1206" s="1" t="s">
        <v>1468</v>
      </c>
      <c r="V1206" s="1" t="s">
        <v>1634</v>
      </c>
      <c r="Y1206" s="1">
        <v>3450</v>
      </c>
      <c r="AB1206" s="1">
        <v>1638.72</v>
      </c>
    </row>
    <row r="1207" spans="2:28" x14ac:dyDescent="0.2">
      <c r="B1207" s="30" t="s">
        <v>2294</v>
      </c>
      <c r="C1207" s="36"/>
      <c r="D1207" s="36"/>
      <c r="F1207" s="1" t="s">
        <v>1322</v>
      </c>
      <c r="G1207" s="30" t="s">
        <v>2986</v>
      </c>
      <c r="K1207" s="1" t="s">
        <v>3290</v>
      </c>
      <c r="L1207" s="1" t="s">
        <v>1279</v>
      </c>
      <c r="M1207" s="36" t="s">
        <v>1511</v>
      </c>
      <c r="N1207" s="1" t="s">
        <v>3289</v>
      </c>
      <c r="O1207" s="1" t="s">
        <v>1286</v>
      </c>
      <c r="P1207" s="34" t="str">
        <f t="shared" si="21"/>
        <v>F010</v>
      </c>
      <c r="Q1207" s="1" t="s">
        <v>137</v>
      </c>
      <c r="S1207" s="16">
        <v>20</v>
      </c>
      <c r="T1207" s="1" t="s">
        <v>3093</v>
      </c>
      <c r="U1207" s="1" t="s">
        <v>1468</v>
      </c>
      <c r="V1207" s="1" t="s">
        <v>1634</v>
      </c>
      <c r="Y1207" s="1">
        <v>3450</v>
      </c>
      <c r="AB1207" s="1">
        <v>1638.72</v>
      </c>
    </row>
    <row r="1208" spans="2:28" x14ac:dyDescent="0.2">
      <c r="B1208" s="30" t="s">
        <v>2294</v>
      </c>
      <c r="C1208" s="36"/>
      <c r="D1208" s="36"/>
      <c r="F1208" s="1" t="s">
        <v>3094</v>
      </c>
      <c r="G1208" s="30" t="s">
        <v>2986</v>
      </c>
      <c r="K1208" s="1" t="s">
        <v>3291</v>
      </c>
      <c r="L1208" s="1" t="s">
        <v>1279</v>
      </c>
      <c r="M1208" s="36" t="s">
        <v>1511</v>
      </c>
      <c r="N1208" s="1" t="s">
        <v>3289</v>
      </c>
      <c r="O1208" s="1" t="s">
        <v>1286</v>
      </c>
      <c r="P1208" s="34" t="str">
        <f t="shared" si="21"/>
        <v>F010</v>
      </c>
      <c r="Q1208" s="1" t="s">
        <v>137</v>
      </c>
      <c r="S1208" s="16">
        <v>20</v>
      </c>
      <c r="T1208" s="1" t="s">
        <v>2299</v>
      </c>
      <c r="U1208" s="1" t="s">
        <v>1468</v>
      </c>
      <c r="V1208" s="1" t="s">
        <v>1634</v>
      </c>
      <c r="Y1208" s="1">
        <v>3450</v>
      </c>
      <c r="AB1208" s="1">
        <v>1638.72</v>
      </c>
    </row>
    <row r="1209" spans="2:28" x14ac:dyDescent="0.2">
      <c r="B1209" s="30" t="s">
        <v>2294</v>
      </c>
      <c r="C1209" s="36"/>
      <c r="D1209" s="36"/>
      <c r="F1209" s="1" t="s">
        <v>1322</v>
      </c>
      <c r="G1209" s="30" t="s">
        <v>2986</v>
      </c>
      <c r="K1209" s="1" t="s">
        <v>3292</v>
      </c>
      <c r="L1209" s="1" t="s">
        <v>1279</v>
      </c>
      <c r="M1209" s="36" t="s">
        <v>1511</v>
      </c>
      <c r="N1209" s="1" t="s">
        <v>3289</v>
      </c>
      <c r="O1209" s="1" t="s">
        <v>1286</v>
      </c>
      <c r="P1209" s="34" t="str">
        <f t="shared" si="21"/>
        <v>F010</v>
      </c>
      <c r="Q1209" s="1" t="s">
        <v>137</v>
      </c>
      <c r="S1209" s="16">
        <v>20</v>
      </c>
      <c r="T1209" s="1" t="s">
        <v>3152</v>
      </c>
      <c r="U1209" s="1" t="s">
        <v>1468</v>
      </c>
      <c r="V1209" s="1" t="s">
        <v>1634</v>
      </c>
      <c r="Y1209" s="1">
        <v>3450</v>
      </c>
      <c r="AB1209" s="1">
        <v>1638.72</v>
      </c>
    </row>
    <row r="1210" spans="2:28" x14ac:dyDescent="0.2">
      <c r="B1210" s="30" t="s">
        <v>2294</v>
      </c>
      <c r="C1210" s="36"/>
      <c r="D1210" s="36"/>
      <c r="F1210" s="1" t="s">
        <v>3153</v>
      </c>
      <c r="G1210" s="30" t="s">
        <v>2986</v>
      </c>
      <c r="K1210" s="1" t="s">
        <v>3293</v>
      </c>
      <c r="L1210" s="1" t="s">
        <v>1279</v>
      </c>
      <c r="M1210" s="36" t="s">
        <v>1511</v>
      </c>
      <c r="N1210" s="1" t="s">
        <v>3289</v>
      </c>
      <c r="O1210" s="1" t="s">
        <v>1286</v>
      </c>
      <c r="P1210" s="34" t="str">
        <f t="shared" si="21"/>
        <v>F010</v>
      </c>
      <c r="Q1210" s="1" t="s">
        <v>137</v>
      </c>
      <c r="S1210" s="16">
        <v>20</v>
      </c>
      <c r="T1210" s="1" t="s">
        <v>2299</v>
      </c>
      <c r="U1210" s="1" t="s">
        <v>1468</v>
      </c>
      <c r="V1210" s="1" t="s">
        <v>1634</v>
      </c>
      <c r="Y1210" s="1">
        <v>3450</v>
      </c>
      <c r="AB1210" s="1">
        <v>1638.72</v>
      </c>
    </row>
    <row r="1211" spans="2:28" x14ac:dyDescent="0.2">
      <c r="B1211" s="30" t="s">
        <v>2294</v>
      </c>
      <c r="C1211" s="36"/>
      <c r="D1211" s="36"/>
      <c r="F1211" s="1" t="s">
        <v>1322</v>
      </c>
      <c r="G1211" s="30" t="s">
        <v>2986</v>
      </c>
      <c r="K1211" s="1" t="s">
        <v>3294</v>
      </c>
      <c r="L1211" s="1" t="s">
        <v>1279</v>
      </c>
      <c r="M1211" s="36" t="s">
        <v>1511</v>
      </c>
      <c r="N1211" s="1" t="s">
        <v>3289</v>
      </c>
      <c r="O1211" s="1" t="s">
        <v>1286</v>
      </c>
      <c r="P1211" s="34" t="str">
        <f t="shared" si="21"/>
        <v>F010</v>
      </c>
      <c r="Q1211" s="1" t="s">
        <v>137</v>
      </c>
      <c r="S1211" s="16">
        <v>20</v>
      </c>
      <c r="T1211" s="1" t="s">
        <v>3101</v>
      </c>
      <c r="U1211" s="1" t="s">
        <v>1468</v>
      </c>
      <c r="V1211" s="1" t="s">
        <v>1634</v>
      </c>
      <c r="Y1211" s="1">
        <v>3450</v>
      </c>
      <c r="AB1211" s="1">
        <v>1638.72</v>
      </c>
    </row>
    <row r="1212" spans="2:28" x14ac:dyDescent="0.2">
      <c r="B1212" s="30" t="s">
        <v>2294</v>
      </c>
      <c r="C1212" s="36"/>
      <c r="D1212" s="36"/>
      <c r="F1212" s="1" t="s">
        <v>3102</v>
      </c>
      <c r="G1212" s="30" t="s">
        <v>2986</v>
      </c>
      <c r="K1212" s="1" t="s">
        <v>3295</v>
      </c>
      <c r="L1212" s="1" t="s">
        <v>1279</v>
      </c>
      <c r="M1212" s="36" t="s">
        <v>1511</v>
      </c>
      <c r="N1212" s="1" t="s">
        <v>3289</v>
      </c>
      <c r="O1212" s="1" t="s">
        <v>1286</v>
      </c>
      <c r="P1212" s="34" t="str">
        <f t="shared" si="21"/>
        <v>F010</v>
      </c>
      <c r="Q1212" s="1" t="s">
        <v>137</v>
      </c>
      <c r="S1212" s="16">
        <v>20</v>
      </c>
      <c r="T1212" s="1" t="s">
        <v>2299</v>
      </c>
      <c r="U1212" s="1" t="s">
        <v>1468</v>
      </c>
      <c r="V1212" s="1" t="s">
        <v>1634</v>
      </c>
      <c r="Y1212" s="1">
        <v>3450</v>
      </c>
      <c r="AB1212" s="1">
        <v>1638.72</v>
      </c>
    </row>
    <row r="1213" spans="2:28" x14ac:dyDescent="0.2">
      <c r="B1213" s="30" t="s">
        <v>2294</v>
      </c>
      <c r="C1213" s="36"/>
      <c r="D1213" s="36"/>
      <c r="F1213" s="1" t="s">
        <v>1322</v>
      </c>
      <c r="G1213" s="30" t="s">
        <v>2986</v>
      </c>
      <c r="K1213" s="1" t="s">
        <v>3296</v>
      </c>
      <c r="L1213" s="1" t="s">
        <v>1279</v>
      </c>
      <c r="M1213" s="36" t="s">
        <v>1511</v>
      </c>
      <c r="N1213" s="1" t="s">
        <v>3289</v>
      </c>
      <c r="O1213" s="1" t="s">
        <v>1286</v>
      </c>
      <c r="P1213" s="34" t="str">
        <f t="shared" si="21"/>
        <v>F010</v>
      </c>
      <c r="Q1213" s="1" t="s">
        <v>137</v>
      </c>
      <c r="S1213" s="16">
        <v>20</v>
      </c>
      <c r="T1213" s="1" t="s">
        <v>3131</v>
      </c>
      <c r="U1213" s="1" t="s">
        <v>1468</v>
      </c>
      <c r="V1213" s="1" t="s">
        <v>1634</v>
      </c>
      <c r="Y1213" s="1">
        <v>3450</v>
      </c>
      <c r="AB1213" s="1">
        <v>1638.72</v>
      </c>
    </row>
    <row r="1214" spans="2:28" x14ac:dyDescent="0.2">
      <c r="B1214" s="30" t="s">
        <v>2294</v>
      </c>
      <c r="C1214" s="36"/>
      <c r="D1214" s="36"/>
      <c r="F1214" s="1" t="s">
        <v>3132</v>
      </c>
      <c r="G1214" s="30" t="s">
        <v>2986</v>
      </c>
      <c r="K1214" s="1" t="s">
        <v>3297</v>
      </c>
      <c r="L1214" s="1" t="s">
        <v>1279</v>
      </c>
      <c r="M1214" s="36" t="s">
        <v>1511</v>
      </c>
      <c r="N1214" s="1" t="s">
        <v>3289</v>
      </c>
      <c r="O1214" s="1" t="s">
        <v>1286</v>
      </c>
      <c r="P1214" s="34" t="str">
        <f t="shared" si="21"/>
        <v>F010</v>
      </c>
      <c r="Q1214" s="1" t="s">
        <v>137</v>
      </c>
      <c r="S1214" s="16">
        <v>20</v>
      </c>
      <c r="T1214" s="1" t="s">
        <v>2299</v>
      </c>
      <c r="U1214" s="1" t="s">
        <v>1468</v>
      </c>
      <c r="V1214" s="1" t="s">
        <v>1634</v>
      </c>
      <c r="Y1214" s="1">
        <v>3450</v>
      </c>
      <c r="AB1214" s="1">
        <v>1638.72</v>
      </c>
    </row>
    <row r="1215" spans="2:28" x14ac:dyDescent="0.2">
      <c r="B1215" s="30" t="s">
        <v>2294</v>
      </c>
      <c r="C1215" s="36"/>
      <c r="D1215" s="36"/>
      <c r="F1215" s="1" t="s">
        <v>1322</v>
      </c>
      <c r="G1215" s="30" t="s">
        <v>2986</v>
      </c>
      <c r="K1215" s="1" t="s">
        <v>3298</v>
      </c>
      <c r="L1215" s="1" t="s">
        <v>1279</v>
      </c>
      <c r="M1215" s="36" t="s">
        <v>1511</v>
      </c>
      <c r="N1215" s="1" t="s">
        <v>3289</v>
      </c>
      <c r="O1215" s="1" t="s">
        <v>1286</v>
      </c>
      <c r="P1215" s="34" t="str">
        <f t="shared" si="21"/>
        <v>F010</v>
      </c>
      <c r="Q1215" s="1" t="s">
        <v>137</v>
      </c>
      <c r="S1215" s="16">
        <v>20</v>
      </c>
      <c r="T1215" s="1" t="s">
        <v>3209</v>
      </c>
      <c r="U1215" s="1" t="s">
        <v>1468</v>
      </c>
      <c r="V1215" s="1" t="s">
        <v>1634</v>
      </c>
      <c r="Y1215" s="1">
        <v>3450</v>
      </c>
      <c r="AB1215" s="1">
        <v>1638.72</v>
      </c>
    </row>
    <row r="1216" spans="2:28" x14ac:dyDescent="0.2">
      <c r="B1216" s="30" t="s">
        <v>2294</v>
      </c>
      <c r="C1216" s="36"/>
      <c r="D1216" s="36"/>
      <c r="F1216" s="1" t="s">
        <v>3210</v>
      </c>
      <c r="G1216" s="30" t="s">
        <v>2986</v>
      </c>
      <c r="K1216" s="1" t="s">
        <v>3299</v>
      </c>
      <c r="L1216" s="1" t="s">
        <v>1279</v>
      </c>
      <c r="M1216" s="36" t="s">
        <v>1511</v>
      </c>
      <c r="N1216" s="1" t="s">
        <v>3289</v>
      </c>
      <c r="O1216" s="1" t="s">
        <v>1286</v>
      </c>
      <c r="P1216" s="34" t="str">
        <f t="shared" si="21"/>
        <v>F010</v>
      </c>
      <c r="Q1216" s="1" t="s">
        <v>137</v>
      </c>
      <c r="S1216" s="16">
        <v>20</v>
      </c>
      <c r="T1216" s="1" t="s">
        <v>2299</v>
      </c>
      <c r="U1216" s="1" t="s">
        <v>1468</v>
      </c>
      <c r="V1216" s="1" t="s">
        <v>1634</v>
      </c>
      <c r="Y1216" s="1">
        <v>3450</v>
      </c>
      <c r="AB1216" s="1">
        <v>1638.72</v>
      </c>
    </row>
    <row r="1217" spans="2:28" x14ac:dyDescent="0.2">
      <c r="B1217" s="30" t="s">
        <v>2294</v>
      </c>
      <c r="C1217" s="36"/>
      <c r="D1217" s="36"/>
      <c r="F1217" s="1" t="s">
        <v>1322</v>
      </c>
      <c r="G1217" s="30" t="s">
        <v>2986</v>
      </c>
      <c r="K1217" s="1" t="s">
        <v>3300</v>
      </c>
      <c r="L1217" s="1" t="s">
        <v>1279</v>
      </c>
      <c r="M1217" s="36" t="s">
        <v>1511</v>
      </c>
      <c r="N1217" s="1" t="s">
        <v>3289</v>
      </c>
      <c r="O1217" s="1" t="s">
        <v>1286</v>
      </c>
      <c r="P1217" s="34" t="str">
        <f t="shared" si="21"/>
        <v>F010</v>
      </c>
      <c r="Q1217" s="1" t="s">
        <v>137</v>
      </c>
      <c r="S1217" s="16">
        <v>20</v>
      </c>
      <c r="T1217" s="1" t="s">
        <v>3079</v>
      </c>
      <c r="U1217" s="1" t="s">
        <v>1468</v>
      </c>
      <c r="V1217" s="1" t="s">
        <v>1634</v>
      </c>
      <c r="Y1217" s="1">
        <v>3450</v>
      </c>
      <c r="AB1217" s="1">
        <v>1638.72</v>
      </c>
    </row>
    <row r="1218" spans="2:28" x14ac:dyDescent="0.2">
      <c r="B1218" s="30" t="s">
        <v>2294</v>
      </c>
      <c r="C1218" s="36"/>
      <c r="D1218" s="36"/>
      <c r="F1218" s="1" t="s">
        <v>3080</v>
      </c>
      <c r="G1218" s="30" t="s">
        <v>2986</v>
      </c>
      <c r="K1218" s="1" t="s">
        <v>3301</v>
      </c>
      <c r="L1218" s="1" t="s">
        <v>1279</v>
      </c>
      <c r="M1218" s="36" t="s">
        <v>1511</v>
      </c>
      <c r="N1218" s="1" t="s">
        <v>3289</v>
      </c>
      <c r="O1218" s="1" t="s">
        <v>1286</v>
      </c>
      <c r="P1218" s="34" t="str">
        <f t="shared" si="21"/>
        <v>F010</v>
      </c>
      <c r="Q1218" s="1" t="s">
        <v>137</v>
      </c>
      <c r="S1218" s="16">
        <v>20</v>
      </c>
      <c r="T1218" s="1" t="s">
        <v>2427</v>
      </c>
      <c r="U1218" s="1" t="s">
        <v>1468</v>
      </c>
      <c r="V1218" s="1" t="s">
        <v>1634</v>
      </c>
      <c r="Y1218" s="1">
        <v>3450</v>
      </c>
      <c r="AB1218" s="1">
        <v>1638.72</v>
      </c>
    </row>
    <row r="1219" spans="2:28" x14ac:dyDescent="0.2">
      <c r="B1219" s="30" t="s">
        <v>2294</v>
      </c>
      <c r="C1219" s="36"/>
      <c r="D1219" s="36"/>
      <c r="F1219" s="1" t="s">
        <v>1895</v>
      </c>
      <c r="G1219" s="30" t="s">
        <v>2986</v>
      </c>
      <c r="K1219" s="1" t="s">
        <v>3302</v>
      </c>
      <c r="L1219" s="1" t="s">
        <v>1279</v>
      </c>
      <c r="M1219" s="36" t="s">
        <v>1511</v>
      </c>
      <c r="N1219" s="1" t="s">
        <v>3289</v>
      </c>
      <c r="O1219" s="1" t="s">
        <v>1286</v>
      </c>
      <c r="P1219" s="34" t="str">
        <f t="shared" si="21"/>
        <v>F010</v>
      </c>
      <c r="Q1219" s="1" t="s">
        <v>137</v>
      </c>
      <c r="S1219" s="16">
        <v>20</v>
      </c>
      <c r="T1219" s="1" t="s">
        <v>3093</v>
      </c>
      <c r="U1219" s="1" t="s">
        <v>1468</v>
      </c>
      <c r="V1219" s="1" t="s">
        <v>1634</v>
      </c>
      <c r="Y1219" s="1">
        <v>3450</v>
      </c>
      <c r="AB1219" s="1">
        <v>1638.72</v>
      </c>
    </row>
    <row r="1220" spans="2:28" x14ac:dyDescent="0.2">
      <c r="B1220" s="30" t="s">
        <v>2294</v>
      </c>
      <c r="C1220" s="36"/>
      <c r="D1220" s="36"/>
      <c r="F1220" s="1" t="s">
        <v>3094</v>
      </c>
      <c r="G1220" s="30" t="s">
        <v>2986</v>
      </c>
      <c r="K1220" s="1" t="s">
        <v>3303</v>
      </c>
      <c r="L1220" s="1" t="s">
        <v>1279</v>
      </c>
      <c r="M1220" s="36" t="s">
        <v>1511</v>
      </c>
      <c r="N1220" s="1" t="s">
        <v>3289</v>
      </c>
      <c r="O1220" s="1" t="s">
        <v>1286</v>
      </c>
      <c r="P1220" s="34" t="str">
        <f t="shared" si="21"/>
        <v>F010</v>
      </c>
      <c r="Q1220" s="1" t="s">
        <v>137</v>
      </c>
      <c r="S1220" s="16">
        <v>20</v>
      </c>
      <c r="T1220" s="1" t="s">
        <v>2299</v>
      </c>
      <c r="U1220" s="1" t="s">
        <v>1468</v>
      </c>
      <c r="V1220" s="1" t="s">
        <v>1634</v>
      </c>
      <c r="Y1220" s="1">
        <v>3450</v>
      </c>
      <c r="AB1220" s="1">
        <v>1638.72</v>
      </c>
    </row>
    <row r="1221" spans="2:28" x14ac:dyDescent="0.2">
      <c r="B1221" s="30" t="s">
        <v>2294</v>
      </c>
      <c r="C1221" s="36"/>
      <c r="D1221" s="36"/>
      <c r="F1221" s="1" t="s">
        <v>1322</v>
      </c>
      <c r="G1221" s="30" t="s">
        <v>2986</v>
      </c>
      <c r="K1221" s="1" t="s">
        <v>3304</v>
      </c>
      <c r="L1221" s="1" t="s">
        <v>1279</v>
      </c>
      <c r="M1221" s="36" t="s">
        <v>1511</v>
      </c>
      <c r="N1221" s="1" t="s">
        <v>3289</v>
      </c>
      <c r="O1221" s="1" t="s">
        <v>1286</v>
      </c>
      <c r="P1221" s="34" t="str">
        <f t="shared" si="21"/>
        <v>F010</v>
      </c>
      <c r="Q1221" s="1" t="s">
        <v>137</v>
      </c>
      <c r="S1221" s="16">
        <v>20</v>
      </c>
      <c r="T1221" s="1" t="s">
        <v>3093</v>
      </c>
      <c r="U1221" s="1" t="s">
        <v>1468</v>
      </c>
      <c r="V1221" s="1" t="s">
        <v>1634</v>
      </c>
      <c r="Y1221" s="1">
        <v>3450</v>
      </c>
      <c r="AB1221" s="1">
        <v>1638.72</v>
      </c>
    </row>
    <row r="1222" spans="2:28" x14ac:dyDescent="0.2">
      <c r="B1222" s="30" t="s">
        <v>2294</v>
      </c>
      <c r="C1222" s="36"/>
      <c r="D1222" s="36"/>
      <c r="F1222" s="1" t="s">
        <v>3094</v>
      </c>
      <c r="G1222" s="30" t="s">
        <v>2986</v>
      </c>
      <c r="K1222" s="1" t="s">
        <v>3305</v>
      </c>
      <c r="L1222" s="1" t="s">
        <v>1279</v>
      </c>
      <c r="M1222" s="36" t="s">
        <v>1511</v>
      </c>
      <c r="N1222" s="1" t="s">
        <v>3289</v>
      </c>
      <c r="O1222" s="1" t="s">
        <v>1286</v>
      </c>
      <c r="P1222" s="34" t="str">
        <f t="shared" si="21"/>
        <v>F010</v>
      </c>
      <c r="Q1222" s="1" t="s">
        <v>137</v>
      </c>
      <c r="S1222" s="16">
        <v>20</v>
      </c>
      <c r="T1222" s="1" t="s">
        <v>2427</v>
      </c>
      <c r="U1222" s="1" t="s">
        <v>1468</v>
      </c>
      <c r="V1222" s="1" t="s">
        <v>1634</v>
      </c>
      <c r="Y1222" s="1">
        <v>3450</v>
      </c>
      <c r="AB1222" s="1">
        <v>1638.72</v>
      </c>
    </row>
    <row r="1223" spans="2:28" x14ac:dyDescent="0.2">
      <c r="B1223" s="30" t="s">
        <v>2294</v>
      </c>
      <c r="C1223" s="36"/>
      <c r="D1223" s="36"/>
      <c r="F1223" s="1" t="s">
        <v>1895</v>
      </c>
      <c r="G1223" s="30" t="s">
        <v>2986</v>
      </c>
      <c r="K1223" s="1" t="s">
        <v>3306</v>
      </c>
      <c r="L1223" s="1" t="s">
        <v>1279</v>
      </c>
      <c r="M1223" s="36" t="s">
        <v>1511</v>
      </c>
      <c r="N1223" s="1" t="s">
        <v>3289</v>
      </c>
      <c r="O1223" s="1" t="s">
        <v>1286</v>
      </c>
      <c r="P1223" s="34" t="str">
        <f t="shared" si="21"/>
        <v>F010</v>
      </c>
      <c r="Q1223" s="1" t="s">
        <v>137</v>
      </c>
      <c r="S1223" s="16">
        <v>20</v>
      </c>
      <c r="T1223" s="1" t="s">
        <v>3307</v>
      </c>
      <c r="U1223" s="1" t="s">
        <v>1468</v>
      </c>
      <c r="V1223" s="1" t="s">
        <v>1634</v>
      </c>
      <c r="Y1223" s="1">
        <v>3450</v>
      </c>
      <c r="AB1223" s="1">
        <v>1638.72</v>
      </c>
    </row>
    <row r="1224" spans="2:28" x14ac:dyDescent="0.2">
      <c r="B1224" s="30" t="s">
        <v>2294</v>
      </c>
      <c r="C1224" s="36"/>
      <c r="D1224" s="36"/>
      <c r="F1224" s="1" t="s">
        <v>1340</v>
      </c>
      <c r="G1224" s="30" t="s">
        <v>2986</v>
      </c>
      <c r="K1224" s="1" t="s">
        <v>3308</v>
      </c>
      <c r="L1224" s="1" t="s">
        <v>1279</v>
      </c>
      <c r="M1224" s="36" t="s">
        <v>1511</v>
      </c>
      <c r="N1224" s="1" t="s">
        <v>3289</v>
      </c>
      <c r="O1224" s="1" t="s">
        <v>1286</v>
      </c>
      <c r="P1224" s="34" t="str">
        <f t="shared" ref="P1224:P1287" si="22">+LEFT(Q1224,4)</f>
        <v>F010</v>
      </c>
      <c r="Q1224" s="1" t="s">
        <v>137</v>
      </c>
      <c r="S1224" s="16">
        <v>20</v>
      </c>
      <c r="T1224" s="1" t="s">
        <v>3307</v>
      </c>
      <c r="U1224" s="1" t="s">
        <v>1468</v>
      </c>
      <c r="V1224" s="1" t="s">
        <v>1634</v>
      </c>
      <c r="Y1224" s="1">
        <v>3450</v>
      </c>
      <c r="AB1224" s="1">
        <v>1638.72</v>
      </c>
    </row>
    <row r="1225" spans="2:28" x14ac:dyDescent="0.2">
      <c r="B1225" s="30" t="s">
        <v>2294</v>
      </c>
      <c r="C1225" s="36"/>
      <c r="D1225" s="36"/>
      <c r="F1225" s="1" t="s">
        <v>1340</v>
      </c>
      <c r="G1225" s="30" t="s">
        <v>2986</v>
      </c>
      <c r="K1225" s="1" t="s">
        <v>3309</v>
      </c>
      <c r="L1225" s="1" t="s">
        <v>1279</v>
      </c>
      <c r="M1225" s="36" t="s">
        <v>1511</v>
      </c>
      <c r="N1225" s="1" t="s">
        <v>3289</v>
      </c>
      <c r="O1225" s="1" t="s">
        <v>1286</v>
      </c>
      <c r="P1225" s="34" t="str">
        <f t="shared" si="22"/>
        <v>F010</v>
      </c>
      <c r="Q1225" s="1" t="s">
        <v>137</v>
      </c>
      <c r="S1225" s="16">
        <v>20</v>
      </c>
      <c r="T1225" s="1" t="s">
        <v>3093</v>
      </c>
      <c r="U1225" s="1" t="s">
        <v>1468</v>
      </c>
      <c r="V1225" s="1" t="s">
        <v>1634</v>
      </c>
      <c r="Y1225" s="1">
        <v>3450</v>
      </c>
      <c r="AB1225" s="1">
        <v>1638.72</v>
      </c>
    </row>
    <row r="1226" spans="2:28" x14ac:dyDescent="0.2">
      <c r="B1226" s="30" t="s">
        <v>2294</v>
      </c>
      <c r="C1226" s="36"/>
      <c r="D1226" s="36"/>
      <c r="F1226" s="1" t="s">
        <v>3094</v>
      </c>
      <c r="G1226" s="30" t="s">
        <v>2986</v>
      </c>
      <c r="K1226" s="1" t="s">
        <v>3310</v>
      </c>
      <c r="L1226" s="1" t="s">
        <v>1279</v>
      </c>
      <c r="M1226" s="36" t="s">
        <v>1511</v>
      </c>
      <c r="N1226" s="1" t="s">
        <v>3289</v>
      </c>
      <c r="O1226" s="1" t="s">
        <v>1286</v>
      </c>
      <c r="P1226" s="34" t="str">
        <f t="shared" si="22"/>
        <v>F010</v>
      </c>
      <c r="Q1226" s="1" t="s">
        <v>137</v>
      </c>
      <c r="S1226" s="16">
        <v>20</v>
      </c>
      <c r="T1226" s="1" t="s">
        <v>2299</v>
      </c>
      <c r="U1226" s="1" t="s">
        <v>1468</v>
      </c>
      <c r="V1226" s="1" t="s">
        <v>1634</v>
      </c>
      <c r="Y1226" s="1">
        <v>3450</v>
      </c>
      <c r="AB1226" s="1">
        <v>1638.72</v>
      </c>
    </row>
    <row r="1227" spans="2:28" x14ac:dyDescent="0.2">
      <c r="B1227" s="30" t="s">
        <v>2294</v>
      </c>
      <c r="C1227" s="36"/>
      <c r="D1227" s="36"/>
      <c r="F1227" s="1" t="s">
        <v>1322</v>
      </c>
      <c r="G1227" s="30" t="s">
        <v>2986</v>
      </c>
      <c r="K1227" s="1" t="s">
        <v>3311</v>
      </c>
      <c r="L1227" s="1" t="s">
        <v>1279</v>
      </c>
      <c r="M1227" s="36" t="s">
        <v>1511</v>
      </c>
      <c r="N1227" s="1" t="s">
        <v>3289</v>
      </c>
      <c r="O1227" s="1" t="s">
        <v>1286</v>
      </c>
      <c r="P1227" s="34" t="str">
        <f t="shared" si="22"/>
        <v>F010</v>
      </c>
      <c r="Q1227" s="1" t="s">
        <v>137</v>
      </c>
      <c r="S1227" s="16">
        <v>20</v>
      </c>
      <c r="T1227" s="1" t="s">
        <v>3156</v>
      </c>
      <c r="U1227" s="1" t="s">
        <v>1468</v>
      </c>
      <c r="V1227" s="1" t="s">
        <v>1634</v>
      </c>
      <c r="Y1227" s="1">
        <v>3450</v>
      </c>
      <c r="AB1227" s="1">
        <v>1638.72</v>
      </c>
    </row>
    <row r="1228" spans="2:28" x14ac:dyDescent="0.2">
      <c r="B1228" s="30" t="s">
        <v>2294</v>
      </c>
      <c r="C1228" s="36"/>
      <c r="D1228" s="36"/>
      <c r="F1228" s="1" t="s">
        <v>3157</v>
      </c>
      <c r="G1228" s="30" t="s">
        <v>2986</v>
      </c>
      <c r="K1228" s="1" t="s">
        <v>3312</v>
      </c>
      <c r="L1228" s="1" t="s">
        <v>1279</v>
      </c>
      <c r="M1228" s="36" t="s">
        <v>1511</v>
      </c>
      <c r="N1228" s="1" t="s">
        <v>3289</v>
      </c>
      <c r="O1228" s="1" t="s">
        <v>1286</v>
      </c>
      <c r="P1228" s="34" t="str">
        <f t="shared" si="22"/>
        <v>F010</v>
      </c>
      <c r="Q1228" s="1" t="s">
        <v>137</v>
      </c>
      <c r="S1228" s="16">
        <v>20</v>
      </c>
      <c r="T1228" s="1" t="s">
        <v>2299</v>
      </c>
      <c r="U1228" s="1" t="s">
        <v>1468</v>
      </c>
      <c r="V1228" s="1" t="s">
        <v>1634</v>
      </c>
      <c r="Y1228" s="1">
        <v>3450</v>
      </c>
      <c r="AB1228" s="1">
        <v>1638.72</v>
      </c>
    </row>
    <row r="1229" spans="2:28" x14ac:dyDescent="0.2">
      <c r="B1229" s="30" t="s">
        <v>2294</v>
      </c>
      <c r="C1229" s="36"/>
      <c r="D1229" s="36"/>
      <c r="F1229" s="1" t="s">
        <v>1322</v>
      </c>
      <c r="G1229" s="30" t="s">
        <v>2986</v>
      </c>
      <c r="K1229" s="1" t="s">
        <v>3313</v>
      </c>
      <c r="L1229" s="1" t="s">
        <v>1279</v>
      </c>
      <c r="M1229" s="36" t="s">
        <v>1511</v>
      </c>
      <c r="N1229" s="1" t="s">
        <v>3289</v>
      </c>
      <c r="O1229" s="1" t="s">
        <v>1286</v>
      </c>
      <c r="P1229" s="34" t="str">
        <f t="shared" si="22"/>
        <v>F010</v>
      </c>
      <c r="Q1229" s="1" t="s">
        <v>137</v>
      </c>
      <c r="S1229" s="16">
        <v>20</v>
      </c>
      <c r="T1229" s="1" t="s">
        <v>3195</v>
      </c>
      <c r="U1229" s="1" t="s">
        <v>1468</v>
      </c>
      <c r="V1229" s="1" t="s">
        <v>1634</v>
      </c>
      <c r="Y1229" s="1">
        <v>3450</v>
      </c>
      <c r="AB1229" s="1">
        <v>1638.72</v>
      </c>
    </row>
    <row r="1230" spans="2:28" x14ac:dyDescent="0.2">
      <c r="B1230" s="30" t="s">
        <v>2294</v>
      </c>
      <c r="C1230" s="36"/>
      <c r="D1230" s="36"/>
      <c r="F1230" s="1" t="s">
        <v>3196</v>
      </c>
      <c r="G1230" s="30" t="s">
        <v>2986</v>
      </c>
      <c r="K1230" s="1" t="s">
        <v>3314</v>
      </c>
      <c r="L1230" s="1" t="s">
        <v>1279</v>
      </c>
      <c r="M1230" s="36" t="s">
        <v>1511</v>
      </c>
      <c r="N1230" s="1" t="s">
        <v>3289</v>
      </c>
      <c r="O1230" s="1" t="s">
        <v>1286</v>
      </c>
      <c r="P1230" s="34" t="str">
        <f t="shared" si="22"/>
        <v>F010</v>
      </c>
      <c r="Q1230" s="1" t="s">
        <v>137</v>
      </c>
      <c r="S1230" s="16">
        <v>20</v>
      </c>
      <c r="T1230" s="1" t="s">
        <v>2427</v>
      </c>
      <c r="U1230" s="1" t="s">
        <v>1468</v>
      </c>
      <c r="V1230" s="1" t="s">
        <v>1634</v>
      </c>
      <c r="Y1230" s="1">
        <v>3450</v>
      </c>
      <c r="AB1230" s="1">
        <v>1638.72</v>
      </c>
    </row>
    <row r="1231" spans="2:28" x14ac:dyDescent="0.2">
      <c r="B1231" s="30" t="s">
        <v>2294</v>
      </c>
      <c r="C1231" s="36"/>
      <c r="D1231" s="36"/>
      <c r="F1231" s="1" t="s">
        <v>1895</v>
      </c>
      <c r="G1231" s="30" t="s">
        <v>2986</v>
      </c>
      <c r="K1231" s="1" t="s">
        <v>3315</v>
      </c>
      <c r="L1231" s="1" t="s">
        <v>1279</v>
      </c>
      <c r="M1231" s="36" t="s">
        <v>1511</v>
      </c>
      <c r="N1231" s="1" t="s">
        <v>3289</v>
      </c>
      <c r="O1231" s="1" t="s">
        <v>1286</v>
      </c>
      <c r="P1231" s="34" t="str">
        <f t="shared" si="22"/>
        <v>F010</v>
      </c>
      <c r="Q1231" s="1" t="s">
        <v>137</v>
      </c>
      <c r="S1231" s="16">
        <v>20</v>
      </c>
      <c r="T1231" s="1" t="s">
        <v>3079</v>
      </c>
      <c r="U1231" s="1" t="s">
        <v>1468</v>
      </c>
      <c r="V1231" s="1" t="s">
        <v>1634</v>
      </c>
      <c r="Y1231" s="1">
        <v>3450</v>
      </c>
      <c r="AB1231" s="1">
        <v>1638.72</v>
      </c>
    </row>
    <row r="1232" spans="2:28" x14ac:dyDescent="0.2">
      <c r="B1232" s="30" t="s">
        <v>2294</v>
      </c>
      <c r="C1232" s="36"/>
      <c r="D1232" s="36"/>
      <c r="F1232" s="1" t="s">
        <v>3080</v>
      </c>
      <c r="G1232" s="30" t="s">
        <v>2986</v>
      </c>
      <c r="K1232" s="1" t="s">
        <v>3316</v>
      </c>
      <c r="L1232" s="1" t="s">
        <v>1279</v>
      </c>
      <c r="M1232" s="36" t="s">
        <v>1511</v>
      </c>
      <c r="N1232" s="1" t="s">
        <v>3317</v>
      </c>
      <c r="O1232" s="1" t="s">
        <v>1286</v>
      </c>
      <c r="P1232" s="34" t="str">
        <f t="shared" si="22"/>
        <v>F010</v>
      </c>
      <c r="Q1232" s="1" t="s">
        <v>137</v>
      </c>
      <c r="S1232" s="16">
        <v>20</v>
      </c>
      <c r="T1232" s="1" t="s">
        <v>2299</v>
      </c>
      <c r="U1232" s="1" t="s">
        <v>1468</v>
      </c>
      <c r="V1232" s="1" t="s">
        <v>1634</v>
      </c>
      <c r="Y1232" s="1">
        <v>3450</v>
      </c>
      <c r="AB1232" s="1">
        <v>1638.72</v>
      </c>
    </row>
    <row r="1233" spans="2:28" x14ac:dyDescent="0.2">
      <c r="B1233" s="30" t="s">
        <v>2294</v>
      </c>
      <c r="C1233" s="36"/>
      <c r="D1233" s="36"/>
      <c r="F1233" s="1" t="s">
        <v>1322</v>
      </c>
      <c r="G1233" s="30" t="s">
        <v>2986</v>
      </c>
      <c r="K1233" s="1" t="s">
        <v>3318</v>
      </c>
      <c r="L1233" s="1" t="s">
        <v>1279</v>
      </c>
      <c r="M1233" s="36" t="s">
        <v>1511</v>
      </c>
      <c r="N1233" s="1" t="s">
        <v>3317</v>
      </c>
      <c r="O1233" s="1" t="s">
        <v>1286</v>
      </c>
      <c r="P1233" s="34" t="str">
        <f t="shared" si="22"/>
        <v>F010</v>
      </c>
      <c r="Q1233" s="1" t="s">
        <v>137</v>
      </c>
      <c r="S1233" s="16">
        <v>20</v>
      </c>
      <c r="T1233" s="1" t="s">
        <v>3239</v>
      </c>
      <c r="U1233" s="1" t="s">
        <v>1468</v>
      </c>
      <c r="V1233" s="1" t="s">
        <v>1634</v>
      </c>
      <c r="Y1233" s="1">
        <v>3450</v>
      </c>
      <c r="AB1233" s="1">
        <v>1638.72</v>
      </c>
    </row>
    <row r="1234" spans="2:28" x14ac:dyDescent="0.2">
      <c r="B1234" s="30" t="s">
        <v>2294</v>
      </c>
      <c r="C1234" s="36"/>
      <c r="D1234" s="36"/>
      <c r="F1234" s="1" t="s">
        <v>3240</v>
      </c>
      <c r="G1234" s="30" t="s">
        <v>2986</v>
      </c>
      <c r="K1234" s="1" t="s">
        <v>3319</v>
      </c>
      <c r="L1234" s="1" t="s">
        <v>1279</v>
      </c>
      <c r="M1234" s="36" t="s">
        <v>1511</v>
      </c>
      <c r="N1234" s="1" t="s">
        <v>3317</v>
      </c>
      <c r="O1234" s="1" t="s">
        <v>1286</v>
      </c>
      <c r="P1234" s="34" t="str">
        <f t="shared" si="22"/>
        <v>F010</v>
      </c>
      <c r="Q1234" s="1" t="s">
        <v>137</v>
      </c>
      <c r="S1234" s="16">
        <v>20</v>
      </c>
      <c r="T1234" s="1" t="s">
        <v>2299</v>
      </c>
      <c r="U1234" s="1" t="s">
        <v>1468</v>
      </c>
      <c r="V1234" s="1" t="s">
        <v>1634</v>
      </c>
      <c r="Y1234" s="1">
        <v>3450</v>
      </c>
      <c r="AB1234" s="1">
        <v>1638.72</v>
      </c>
    </row>
    <row r="1235" spans="2:28" x14ac:dyDescent="0.2">
      <c r="B1235" s="30" t="s">
        <v>2294</v>
      </c>
      <c r="C1235" s="36"/>
      <c r="D1235" s="36"/>
      <c r="F1235" s="1" t="s">
        <v>1322</v>
      </c>
      <c r="G1235" s="30" t="s">
        <v>2986</v>
      </c>
      <c r="K1235" s="1" t="s">
        <v>3320</v>
      </c>
      <c r="L1235" s="1" t="s">
        <v>1279</v>
      </c>
      <c r="M1235" s="36" t="s">
        <v>1511</v>
      </c>
      <c r="N1235" s="1" t="s">
        <v>3317</v>
      </c>
      <c r="O1235" s="1" t="s">
        <v>1286</v>
      </c>
      <c r="P1235" s="34" t="str">
        <f t="shared" si="22"/>
        <v>F010</v>
      </c>
      <c r="Q1235" s="1" t="s">
        <v>137</v>
      </c>
      <c r="S1235" s="16">
        <v>20</v>
      </c>
      <c r="T1235" s="1" t="s">
        <v>3152</v>
      </c>
      <c r="U1235" s="1" t="s">
        <v>1468</v>
      </c>
      <c r="V1235" s="1" t="s">
        <v>1634</v>
      </c>
      <c r="Y1235" s="1">
        <v>3450</v>
      </c>
      <c r="AB1235" s="1">
        <v>1638.72</v>
      </c>
    </row>
    <row r="1236" spans="2:28" x14ac:dyDescent="0.2">
      <c r="B1236" s="30" t="s">
        <v>2294</v>
      </c>
      <c r="C1236" s="36"/>
      <c r="D1236" s="36"/>
      <c r="F1236" s="1" t="s">
        <v>3153</v>
      </c>
      <c r="G1236" s="30" t="s">
        <v>2986</v>
      </c>
      <c r="K1236" s="1" t="s">
        <v>3321</v>
      </c>
      <c r="L1236" s="1" t="s">
        <v>1279</v>
      </c>
      <c r="M1236" s="36" t="s">
        <v>1511</v>
      </c>
      <c r="N1236" s="1" t="s">
        <v>3317</v>
      </c>
      <c r="O1236" s="1" t="s">
        <v>1286</v>
      </c>
      <c r="P1236" s="34" t="str">
        <f t="shared" si="22"/>
        <v>F010</v>
      </c>
      <c r="Q1236" s="1" t="s">
        <v>137</v>
      </c>
      <c r="S1236" s="16">
        <v>20</v>
      </c>
      <c r="T1236" s="1" t="s">
        <v>2427</v>
      </c>
      <c r="U1236" s="1" t="s">
        <v>1468</v>
      </c>
      <c r="V1236" s="1" t="s">
        <v>1634</v>
      </c>
      <c r="Y1236" s="1">
        <v>3450</v>
      </c>
      <c r="AB1236" s="1">
        <v>1638.72</v>
      </c>
    </row>
    <row r="1237" spans="2:28" x14ac:dyDescent="0.2">
      <c r="B1237" s="30" t="s">
        <v>2294</v>
      </c>
      <c r="C1237" s="36"/>
      <c r="D1237" s="36"/>
      <c r="F1237" s="1" t="s">
        <v>1895</v>
      </c>
      <c r="G1237" s="30" t="s">
        <v>2986</v>
      </c>
      <c r="K1237" s="1" t="s">
        <v>3322</v>
      </c>
      <c r="L1237" s="1" t="s">
        <v>1279</v>
      </c>
      <c r="M1237" s="36" t="s">
        <v>1511</v>
      </c>
      <c r="N1237" s="1" t="s">
        <v>3317</v>
      </c>
      <c r="O1237" s="1" t="s">
        <v>1286</v>
      </c>
      <c r="P1237" s="34" t="str">
        <f t="shared" si="22"/>
        <v>F010</v>
      </c>
      <c r="Q1237" s="1" t="s">
        <v>137</v>
      </c>
      <c r="S1237" s="16">
        <v>20</v>
      </c>
      <c r="T1237" s="1" t="s">
        <v>3227</v>
      </c>
      <c r="U1237" s="1" t="s">
        <v>1468</v>
      </c>
      <c r="V1237" s="1" t="s">
        <v>1634</v>
      </c>
      <c r="Y1237" s="1">
        <v>3450</v>
      </c>
      <c r="AB1237" s="1">
        <v>1638.72</v>
      </c>
    </row>
    <row r="1238" spans="2:28" x14ac:dyDescent="0.2">
      <c r="B1238" s="30" t="s">
        <v>2294</v>
      </c>
      <c r="C1238" s="36"/>
      <c r="D1238" s="36"/>
      <c r="F1238" s="1" t="s">
        <v>3228</v>
      </c>
      <c r="G1238" s="30" t="s">
        <v>2986</v>
      </c>
      <c r="K1238" s="1" t="s">
        <v>3323</v>
      </c>
      <c r="L1238" s="1" t="s">
        <v>1279</v>
      </c>
      <c r="M1238" s="36" t="s">
        <v>1511</v>
      </c>
      <c r="N1238" s="1" t="s">
        <v>3317</v>
      </c>
      <c r="O1238" s="1" t="s">
        <v>1286</v>
      </c>
      <c r="P1238" s="34" t="str">
        <f t="shared" si="22"/>
        <v>F010</v>
      </c>
      <c r="Q1238" s="1" t="s">
        <v>137</v>
      </c>
      <c r="S1238" s="16">
        <v>20</v>
      </c>
      <c r="T1238" s="1" t="s">
        <v>2427</v>
      </c>
      <c r="U1238" s="1" t="s">
        <v>1468</v>
      </c>
      <c r="V1238" s="1" t="s">
        <v>1634</v>
      </c>
      <c r="Y1238" s="1">
        <v>3450</v>
      </c>
      <c r="AB1238" s="1">
        <v>1638.72</v>
      </c>
    </row>
    <row r="1239" spans="2:28" x14ac:dyDescent="0.2">
      <c r="B1239" s="30" t="s">
        <v>2294</v>
      </c>
      <c r="C1239" s="36"/>
      <c r="D1239" s="36"/>
      <c r="F1239" s="1" t="s">
        <v>1895</v>
      </c>
      <c r="G1239" s="30" t="s">
        <v>2986</v>
      </c>
      <c r="K1239" s="1" t="s">
        <v>3324</v>
      </c>
      <c r="L1239" s="1" t="s">
        <v>1279</v>
      </c>
      <c r="M1239" s="36" t="s">
        <v>1511</v>
      </c>
      <c r="N1239" s="1" t="s">
        <v>3317</v>
      </c>
      <c r="O1239" s="1" t="s">
        <v>1286</v>
      </c>
      <c r="P1239" s="34" t="str">
        <f t="shared" si="22"/>
        <v>F010</v>
      </c>
      <c r="Q1239" s="1" t="s">
        <v>137</v>
      </c>
      <c r="S1239" s="16">
        <v>20</v>
      </c>
      <c r="T1239" s="1" t="s">
        <v>3183</v>
      </c>
      <c r="U1239" s="1" t="s">
        <v>1468</v>
      </c>
      <c r="V1239" s="1" t="s">
        <v>1634</v>
      </c>
      <c r="Y1239" s="1">
        <v>3450</v>
      </c>
      <c r="AB1239" s="1">
        <v>1638.72</v>
      </c>
    </row>
    <row r="1240" spans="2:28" x14ac:dyDescent="0.2">
      <c r="B1240" s="30" t="s">
        <v>2294</v>
      </c>
      <c r="C1240" s="36"/>
      <c r="D1240" s="36"/>
      <c r="F1240" s="1" t="s">
        <v>3184</v>
      </c>
      <c r="G1240" s="30" t="s">
        <v>2986</v>
      </c>
      <c r="K1240" s="1" t="s">
        <v>3325</v>
      </c>
      <c r="L1240" s="1" t="s">
        <v>1279</v>
      </c>
      <c r="M1240" s="36" t="s">
        <v>1511</v>
      </c>
      <c r="N1240" s="1" t="s">
        <v>3317</v>
      </c>
      <c r="O1240" s="1" t="s">
        <v>1286</v>
      </c>
      <c r="P1240" s="34" t="str">
        <f t="shared" si="22"/>
        <v>F010</v>
      </c>
      <c r="Q1240" s="1" t="s">
        <v>137</v>
      </c>
      <c r="S1240" s="16">
        <v>20</v>
      </c>
      <c r="T1240" s="1" t="s">
        <v>2299</v>
      </c>
      <c r="U1240" s="1" t="s">
        <v>1468</v>
      </c>
      <c r="V1240" s="1" t="s">
        <v>1634</v>
      </c>
      <c r="Y1240" s="1">
        <v>3450</v>
      </c>
      <c r="AB1240" s="1">
        <v>1638.72</v>
      </c>
    </row>
    <row r="1241" spans="2:28" x14ac:dyDescent="0.2">
      <c r="B1241" s="30" t="s">
        <v>2294</v>
      </c>
      <c r="C1241" s="36"/>
      <c r="D1241" s="36"/>
      <c r="F1241" s="1" t="s">
        <v>1322</v>
      </c>
      <c r="G1241" s="30" t="s">
        <v>2986</v>
      </c>
      <c r="K1241" s="1" t="s">
        <v>3326</v>
      </c>
      <c r="L1241" s="1" t="s">
        <v>1279</v>
      </c>
      <c r="M1241" s="36" t="s">
        <v>1511</v>
      </c>
      <c r="N1241" s="1" t="s">
        <v>3317</v>
      </c>
      <c r="O1241" s="1" t="s">
        <v>1286</v>
      </c>
      <c r="P1241" s="34" t="str">
        <f t="shared" si="22"/>
        <v>F010</v>
      </c>
      <c r="Q1241" s="1" t="s">
        <v>137</v>
      </c>
      <c r="S1241" s="16">
        <v>20</v>
      </c>
      <c r="T1241" s="1" t="s">
        <v>3093</v>
      </c>
      <c r="U1241" s="1" t="s">
        <v>1468</v>
      </c>
      <c r="V1241" s="1" t="s">
        <v>1634</v>
      </c>
      <c r="Y1241" s="1">
        <v>3450</v>
      </c>
      <c r="AB1241" s="1">
        <v>1638.72</v>
      </c>
    </row>
    <row r="1242" spans="2:28" x14ac:dyDescent="0.2">
      <c r="B1242" s="30" t="s">
        <v>2294</v>
      </c>
      <c r="C1242" s="36"/>
      <c r="D1242" s="36"/>
      <c r="F1242" s="1" t="s">
        <v>3094</v>
      </c>
      <c r="G1242" s="30" t="s">
        <v>2986</v>
      </c>
      <c r="K1242" s="1" t="s">
        <v>3327</v>
      </c>
      <c r="L1242" s="1" t="s">
        <v>1279</v>
      </c>
      <c r="M1242" s="36" t="s">
        <v>1511</v>
      </c>
      <c r="N1242" s="1" t="s">
        <v>3317</v>
      </c>
      <c r="O1242" s="1" t="s">
        <v>1286</v>
      </c>
      <c r="P1242" s="34" t="str">
        <f t="shared" si="22"/>
        <v>F010</v>
      </c>
      <c r="Q1242" s="1" t="s">
        <v>137</v>
      </c>
      <c r="S1242" s="16">
        <v>20</v>
      </c>
      <c r="T1242" s="1" t="s">
        <v>2299</v>
      </c>
      <c r="U1242" s="1" t="s">
        <v>1468</v>
      </c>
      <c r="V1242" s="1" t="s">
        <v>1634</v>
      </c>
      <c r="Y1242" s="1">
        <v>3450</v>
      </c>
      <c r="AB1242" s="1">
        <v>1638.72</v>
      </c>
    </row>
    <row r="1243" spans="2:28" x14ac:dyDescent="0.2">
      <c r="B1243" s="30" t="s">
        <v>2294</v>
      </c>
      <c r="C1243" s="36"/>
      <c r="D1243" s="36"/>
      <c r="F1243" s="1" t="s">
        <v>1322</v>
      </c>
      <c r="G1243" s="30" t="s">
        <v>2986</v>
      </c>
      <c r="K1243" s="1" t="s">
        <v>3328</v>
      </c>
      <c r="L1243" s="1" t="s">
        <v>1279</v>
      </c>
      <c r="M1243" s="36" t="s">
        <v>1511</v>
      </c>
      <c r="N1243" s="1" t="s">
        <v>3317</v>
      </c>
      <c r="O1243" s="1" t="s">
        <v>1286</v>
      </c>
      <c r="P1243" s="34" t="str">
        <f t="shared" si="22"/>
        <v>F010</v>
      </c>
      <c r="Q1243" s="1" t="s">
        <v>137</v>
      </c>
      <c r="S1243" s="16">
        <v>20</v>
      </c>
      <c r="T1243" s="1" t="s">
        <v>3209</v>
      </c>
      <c r="U1243" s="1" t="s">
        <v>1468</v>
      </c>
      <c r="V1243" s="1" t="s">
        <v>1634</v>
      </c>
      <c r="Y1243" s="1">
        <v>3450</v>
      </c>
      <c r="AB1243" s="1">
        <v>1638.72</v>
      </c>
    </row>
    <row r="1244" spans="2:28" x14ac:dyDescent="0.2">
      <c r="B1244" s="30" t="s">
        <v>2294</v>
      </c>
      <c r="C1244" s="36"/>
      <c r="D1244" s="36"/>
      <c r="F1244" s="1" t="s">
        <v>3210</v>
      </c>
      <c r="G1244" s="30" t="s">
        <v>2986</v>
      </c>
      <c r="K1244" s="1" t="s">
        <v>3329</v>
      </c>
      <c r="L1244" s="1" t="s">
        <v>1279</v>
      </c>
      <c r="M1244" s="36" t="s">
        <v>1511</v>
      </c>
      <c r="N1244" s="1" t="s">
        <v>3317</v>
      </c>
      <c r="O1244" s="1" t="s">
        <v>1286</v>
      </c>
      <c r="P1244" s="34" t="str">
        <f t="shared" si="22"/>
        <v>F010</v>
      </c>
      <c r="Q1244" s="1" t="s">
        <v>137</v>
      </c>
      <c r="S1244" s="16">
        <v>20</v>
      </c>
      <c r="T1244" s="1" t="s">
        <v>2299</v>
      </c>
      <c r="U1244" s="1" t="s">
        <v>1468</v>
      </c>
      <c r="V1244" s="1" t="s">
        <v>1634</v>
      </c>
      <c r="Y1244" s="1">
        <v>3450</v>
      </c>
      <c r="AB1244" s="1">
        <v>1638.72</v>
      </c>
    </row>
    <row r="1245" spans="2:28" x14ac:dyDescent="0.2">
      <c r="B1245" s="30" t="s">
        <v>2294</v>
      </c>
      <c r="C1245" s="36"/>
      <c r="D1245" s="36"/>
      <c r="F1245" s="1" t="s">
        <v>1322</v>
      </c>
      <c r="G1245" s="30" t="s">
        <v>2986</v>
      </c>
      <c r="K1245" s="1" t="s">
        <v>3330</v>
      </c>
      <c r="L1245" s="1" t="s">
        <v>1279</v>
      </c>
      <c r="M1245" s="36" t="s">
        <v>1511</v>
      </c>
      <c r="N1245" s="1" t="s">
        <v>3317</v>
      </c>
      <c r="O1245" s="1" t="s">
        <v>1286</v>
      </c>
      <c r="P1245" s="34" t="str">
        <f t="shared" si="22"/>
        <v>F010</v>
      </c>
      <c r="Q1245" s="1" t="s">
        <v>137</v>
      </c>
      <c r="S1245" s="16">
        <v>20</v>
      </c>
      <c r="T1245" s="1" t="s">
        <v>3183</v>
      </c>
      <c r="U1245" s="1" t="s">
        <v>1468</v>
      </c>
      <c r="V1245" s="1" t="s">
        <v>1634</v>
      </c>
      <c r="Y1245" s="1">
        <v>3450</v>
      </c>
      <c r="AB1245" s="1">
        <v>1638.72</v>
      </c>
    </row>
    <row r="1246" spans="2:28" x14ac:dyDescent="0.2">
      <c r="B1246" s="30" t="s">
        <v>2294</v>
      </c>
      <c r="C1246" s="36"/>
      <c r="D1246" s="36"/>
      <c r="F1246" s="1" t="s">
        <v>3184</v>
      </c>
      <c r="G1246" s="30" t="s">
        <v>2986</v>
      </c>
      <c r="K1246" s="1" t="s">
        <v>3331</v>
      </c>
      <c r="L1246" s="1" t="s">
        <v>1279</v>
      </c>
      <c r="M1246" s="36" t="s">
        <v>1511</v>
      </c>
      <c r="N1246" s="1" t="s">
        <v>3317</v>
      </c>
      <c r="O1246" s="1" t="s">
        <v>1286</v>
      </c>
      <c r="P1246" s="34" t="str">
        <f t="shared" si="22"/>
        <v>F010</v>
      </c>
      <c r="Q1246" s="1" t="s">
        <v>137</v>
      </c>
      <c r="S1246" s="16">
        <v>20</v>
      </c>
      <c r="T1246" s="1" t="s">
        <v>2299</v>
      </c>
      <c r="U1246" s="1" t="s">
        <v>1468</v>
      </c>
      <c r="V1246" s="1" t="s">
        <v>1634</v>
      </c>
      <c r="Y1246" s="1">
        <v>3450</v>
      </c>
      <c r="AB1246" s="1">
        <v>1638.72</v>
      </c>
    </row>
    <row r="1247" spans="2:28" x14ac:dyDescent="0.2">
      <c r="B1247" s="30" t="s">
        <v>2294</v>
      </c>
      <c r="C1247" s="36"/>
      <c r="D1247" s="36"/>
      <c r="F1247" s="1" t="s">
        <v>1322</v>
      </c>
      <c r="G1247" s="30" t="s">
        <v>2986</v>
      </c>
      <c r="K1247" s="1" t="s">
        <v>3332</v>
      </c>
      <c r="L1247" s="1" t="s">
        <v>1279</v>
      </c>
      <c r="M1247" s="36" t="s">
        <v>1511</v>
      </c>
      <c r="N1247" s="1" t="s">
        <v>3317</v>
      </c>
      <c r="O1247" s="1" t="s">
        <v>1286</v>
      </c>
      <c r="P1247" s="34" t="str">
        <f t="shared" si="22"/>
        <v>F010</v>
      </c>
      <c r="Q1247" s="1" t="s">
        <v>137</v>
      </c>
      <c r="S1247" s="16">
        <v>20</v>
      </c>
      <c r="T1247" s="1" t="s">
        <v>3333</v>
      </c>
      <c r="U1247" s="1" t="s">
        <v>1468</v>
      </c>
      <c r="V1247" s="1" t="s">
        <v>1634</v>
      </c>
      <c r="Y1247" s="1">
        <v>3450</v>
      </c>
      <c r="AB1247" s="1">
        <v>1638.72</v>
      </c>
    </row>
    <row r="1248" spans="2:28" x14ac:dyDescent="0.2">
      <c r="B1248" s="30" t="s">
        <v>2294</v>
      </c>
      <c r="C1248" s="36"/>
      <c r="D1248" s="36"/>
      <c r="F1248" s="1" t="s">
        <v>3334</v>
      </c>
      <c r="G1248" s="30" t="s">
        <v>2986</v>
      </c>
      <c r="K1248" s="1" t="s">
        <v>3335</v>
      </c>
      <c r="L1248" s="1" t="s">
        <v>1279</v>
      </c>
      <c r="M1248" s="36" t="s">
        <v>1511</v>
      </c>
      <c r="N1248" s="1" t="s">
        <v>3317</v>
      </c>
      <c r="O1248" s="1" t="s">
        <v>1286</v>
      </c>
      <c r="P1248" s="34" t="str">
        <f t="shared" si="22"/>
        <v>F010</v>
      </c>
      <c r="Q1248" s="1" t="s">
        <v>137</v>
      </c>
      <c r="S1248" s="16">
        <v>20</v>
      </c>
      <c r="T1248" s="1" t="s">
        <v>2427</v>
      </c>
      <c r="U1248" s="1" t="s">
        <v>1468</v>
      </c>
      <c r="V1248" s="1" t="s">
        <v>1634</v>
      </c>
      <c r="Y1248" s="1">
        <v>3450</v>
      </c>
      <c r="AB1248" s="1">
        <v>1638.72</v>
      </c>
    </row>
    <row r="1249" spans="2:28" x14ac:dyDescent="0.2">
      <c r="B1249" s="30" t="s">
        <v>2294</v>
      </c>
      <c r="C1249" s="36"/>
      <c r="D1249" s="36"/>
      <c r="F1249" s="1" t="s">
        <v>1895</v>
      </c>
      <c r="G1249" s="30" t="s">
        <v>2986</v>
      </c>
      <c r="K1249" s="1" t="s">
        <v>3336</v>
      </c>
      <c r="L1249" s="1" t="s">
        <v>1279</v>
      </c>
      <c r="M1249" s="36" t="s">
        <v>1511</v>
      </c>
      <c r="N1249" s="1" t="s">
        <v>3337</v>
      </c>
      <c r="O1249" s="1" t="s">
        <v>1286</v>
      </c>
      <c r="P1249" s="34" t="str">
        <f t="shared" si="22"/>
        <v>F010</v>
      </c>
      <c r="Q1249" s="1" t="s">
        <v>137</v>
      </c>
      <c r="S1249" s="16">
        <v>20</v>
      </c>
      <c r="T1249" s="1" t="s">
        <v>3079</v>
      </c>
      <c r="U1249" s="1" t="s">
        <v>1468</v>
      </c>
      <c r="V1249" s="1" t="s">
        <v>1634</v>
      </c>
      <c r="Y1249" s="1">
        <v>3450</v>
      </c>
      <c r="AB1249" s="1">
        <v>1638.72</v>
      </c>
    </row>
    <row r="1250" spans="2:28" x14ac:dyDescent="0.2">
      <c r="B1250" s="30" t="s">
        <v>2294</v>
      </c>
      <c r="C1250" s="36"/>
      <c r="D1250" s="36"/>
      <c r="F1250" s="1" t="s">
        <v>3080</v>
      </c>
      <c r="G1250" s="30" t="s">
        <v>2986</v>
      </c>
      <c r="K1250" s="1" t="s">
        <v>3338</v>
      </c>
      <c r="L1250" s="1" t="s">
        <v>1279</v>
      </c>
      <c r="M1250" s="36" t="s">
        <v>1511</v>
      </c>
      <c r="N1250" s="1" t="s">
        <v>1658</v>
      </c>
      <c r="O1250" s="1" t="s">
        <v>1286</v>
      </c>
      <c r="P1250" s="34" t="str">
        <f t="shared" si="22"/>
        <v>F010</v>
      </c>
      <c r="Q1250" s="1" t="s">
        <v>127</v>
      </c>
      <c r="S1250" s="16">
        <v>20</v>
      </c>
      <c r="T1250" s="1" t="s">
        <v>2299</v>
      </c>
      <c r="U1250" s="1" t="s">
        <v>1468</v>
      </c>
      <c r="V1250" s="1" t="s">
        <v>1634</v>
      </c>
      <c r="Y1250" s="1">
        <v>3450</v>
      </c>
      <c r="AB1250" s="1">
        <v>1638.72</v>
      </c>
    </row>
    <row r="1251" spans="2:28" x14ac:dyDescent="0.2">
      <c r="B1251" s="30" t="s">
        <v>2294</v>
      </c>
      <c r="C1251" s="36"/>
      <c r="D1251" s="36"/>
      <c r="F1251" s="1" t="s">
        <v>1322</v>
      </c>
      <c r="G1251" s="30" t="s">
        <v>2986</v>
      </c>
      <c r="K1251" s="1" t="s">
        <v>3339</v>
      </c>
      <c r="L1251" s="1" t="s">
        <v>1279</v>
      </c>
      <c r="M1251" s="36" t="s">
        <v>1511</v>
      </c>
      <c r="N1251" s="1" t="s">
        <v>3340</v>
      </c>
      <c r="O1251" s="1" t="s">
        <v>1286</v>
      </c>
      <c r="P1251" s="34" t="str">
        <f t="shared" si="22"/>
        <v>F010</v>
      </c>
      <c r="Q1251" s="1" t="s">
        <v>127</v>
      </c>
      <c r="S1251" s="16">
        <v>20</v>
      </c>
      <c r="T1251" s="1" t="s">
        <v>3084</v>
      </c>
      <c r="U1251" s="1" t="s">
        <v>1468</v>
      </c>
      <c r="V1251" s="1" t="s">
        <v>1634</v>
      </c>
      <c r="Y1251" s="1">
        <v>3450</v>
      </c>
      <c r="AB1251" s="1">
        <v>1638.72</v>
      </c>
    </row>
    <row r="1252" spans="2:28" x14ac:dyDescent="0.2">
      <c r="B1252" s="30" t="s">
        <v>2294</v>
      </c>
      <c r="C1252" s="36"/>
      <c r="D1252" s="36"/>
      <c r="F1252" s="1" t="s">
        <v>3085</v>
      </c>
      <c r="G1252" s="30" t="s">
        <v>2986</v>
      </c>
      <c r="K1252" s="1" t="s">
        <v>3341</v>
      </c>
      <c r="L1252" s="1" t="s">
        <v>1279</v>
      </c>
      <c r="M1252" s="36" t="s">
        <v>1511</v>
      </c>
      <c r="N1252" s="1" t="s">
        <v>3340</v>
      </c>
      <c r="O1252" s="1" t="s">
        <v>1286</v>
      </c>
      <c r="P1252" s="34" t="str">
        <f t="shared" si="22"/>
        <v>F010</v>
      </c>
      <c r="Q1252" s="1" t="s">
        <v>127</v>
      </c>
      <c r="S1252" s="16">
        <v>20</v>
      </c>
      <c r="T1252" s="1" t="s">
        <v>2427</v>
      </c>
      <c r="U1252" s="1" t="s">
        <v>1468</v>
      </c>
      <c r="V1252" s="1" t="s">
        <v>1634</v>
      </c>
      <c r="Y1252" s="1">
        <v>3450</v>
      </c>
      <c r="AB1252" s="1">
        <v>1638.72</v>
      </c>
    </row>
    <row r="1253" spans="2:28" x14ac:dyDescent="0.2">
      <c r="B1253" s="30" t="s">
        <v>2294</v>
      </c>
      <c r="C1253" s="36"/>
      <c r="D1253" s="36"/>
      <c r="F1253" s="1" t="s">
        <v>1895</v>
      </c>
      <c r="G1253" s="30" t="s">
        <v>2986</v>
      </c>
      <c r="K1253" s="1" t="s">
        <v>3342</v>
      </c>
      <c r="L1253" s="1" t="s">
        <v>1279</v>
      </c>
      <c r="M1253" s="36" t="s">
        <v>1511</v>
      </c>
      <c r="N1253" s="1" t="s">
        <v>1788</v>
      </c>
      <c r="O1253" s="1" t="s">
        <v>1286</v>
      </c>
      <c r="P1253" s="34" t="str">
        <f t="shared" si="22"/>
        <v>F010</v>
      </c>
      <c r="Q1253" s="1" t="s">
        <v>127</v>
      </c>
      <c r="S1253" s="16">
        <v>20</v>
      </c>
      <c r="T1253" s="1" t="s">
        <v>3199</v>
      </c>
      <c r="U1253" s="1" t="s">
        <v>1468</v>
      </c>
      <c r="V1253" s="1" t="s">
        <v>1634</v>
      </c>
      <c r="Y1253" s="1">
        <v>3450</v>
      </c>
      <c r="AB1253" s="1">
        <v>1638.72</v>
      </c>
    </row>
    <row r="1254" spans="2:28" x14ac:dyDescent="0.2">
      <c r="B1254" s="30" t="s">
        <v>2294</v>
      </c>
      <c r="C1254" s="36"/>
      <c r="D1254" s="36"/>
      <c r="F1254" s="1" t="s">
        <v>3200</v>
      </c>
      <c r="G1254" s="30" t="s">
        <v>2986</v>
      </c>
      <c r="K1254" s="1" t="s">
        <v>3343</v>
      </c>
      <c r="L1254" s="1" t="s">
        <v>1279</v>
      </c>
      <c r="M1254" s="36" t="s">
        <v>1511</v>
      </c>
      <c r="N1254" s="1" t="s">
        <v>1788</v>
      </c>
      <c r="O1254" s="1" t="s">
        <v>1286</v>
      </c>
      <c r="P1254" s="34" t="str">
        <f t="shared" si="22"/>
        <v>F010</v>
      </c>
      <c r="Q1254" s="1" t="s">
        <v>127</v>
      </c>
      <c r="S1254" s="16">
        <v>20</v>
      </c>
      <c r="T1254" s="1" t="s">
        <v>2427</v>
      </c>
      <c r="U1254" s="1" t="s">
        <v>1468</v>
      </c>
      <c r="V1254" s="1" t="s">
        <v>1634</v>
      </c>
      <c r="Y1254" s="1">
        <v>3450</v>
      </c>
      <c r="AB1254" s="1">
        <v>1638.72</v>
      </c>
    </row>
    <row r="1255" spans="2:28" x14ac:dyDescent="0.2">
      <c r="B1255" s="30" t="s">
        <v>2294</v>
      </c>
      <c r="C1255" s="36"/>
      <c r="D1255" s="36"/>
      <c r="F1255" s="1" t="s">
        <v>1895</v>
      </c>
      <c r="G1255" s="30" t="s">
        <v>2986</v>
      </c>
      <c r="K1255" s="1" t="s">
        <v>3344</v>
      </c>
      <c r="L1255" s="1" t="s">
        <v>1279</v>
      </c>
      <c r="M1255" s="36" t="s">
        <v>1511</v>
      </c>
      <c r="N1255" s="1" t="s">
        <v>1284</v>
      </c>
      <c r="O1255" s="1" t="s">
        <v>1286</v>
      </c>
      <c r="P1255" s="34" t="str">
        <f t="shared" si="22"/>
        <v>F010</v>
      </c>
      <c r="Q1255" s="1" t="s">
        <v>127</v>
      </c>
      <c r="S1255" s="16">
        <v>20</v>
      </c>
      <c r="T1255" s="1" t="s">
        <v>3345</v>
      </c>
      <c r="U1255" s="1" t="s">
        <v>1468</v>
      </c>
      <c r="V1255" s="1" t="s">
        <v>1634</v>
      </c>
      <c r="Y1255" s="1">
        <v>3450</v>
      </c>
      <c r="AB1255" s="1">
        <v>1638.72</v>
      </c>
    </row>
    <row r="1256" spans="2:28" x14ac:dyDescent="0.2">
      <c r="B1256" s="30" t="s">
        <v>2294</v>
      </c>
      <c r="C1256" s="36"/>
      <c r="D1256" s="36"/>
      <c r="F1256" s="1" t="s">
        <v>3346</v>
      </c>
      <c r="G1256" s="30" t="s">
        <v>2986</v>
      </c>
      <c r="K1256" s="1" t="s">
        <v>3347</v>
      </c>
      <c r="L1256" s="1" t="s">
        <v>1279</v>
      </c>
      <c r="M1256" s="36" t="s">
        <v>1511</v>
      </c>
      <c r="N1256" s="1" t="s">
        <v>1609</v>
      </c>
      <c r="O1256" s="1" t="s">
        <v>1286</v>
      </c>
      <c r="P1256" s="34" t="str">
        <f t="shared" si="22"/>
        <v>F010</v>
      </c>
      <c r="Q1256" s="1" t="s">
        <v>127</v>
      </c>
      <c r="S1256" s="16">
        <v>20</v>
      </c>
      <c r="T1256" s="1" t="s">
        <v>2427</v>
      </c>
      <c r="U1256" s="1" t="s">
        <v>1468</v>
      </c>
      <c r="V1256" s="1" t="s">
        <v>1634</v>
      </c>
      <c r="Y1256" s="1">
        <v>3450</v>
      </c>
      <c r="AB1256" s="1">
        <v>1638.72</v>
      </c>
    </row>
    <row r="1257" spans="2:28" x14ac:dyDescent="0.2">
      <c r="B1257" s="30" t="s">
        <v>2294</v>
      </c>
      <c r="C1257" s="36"/>
      <c r="D1257" s="36"/>
      <c r="F1257" s="1" t="s">
        <v>1895</v>
      </c>
      <c r="G1257" s="30" t="s">
        <v>2986</v>
      </c>
      <c r="K1257" s="1" t="s">
        <v>3348</v>
      </c>
      <c r="L1257" s="1" t="s">
        <v>1279</v>
      </c>
      <c r="M1257" s="36" t="s">
        <v>1511</v>
      </c>
      <c r="N1257" s="1" t="s">
        <v>1609</v>
      </c>
      <c r="O1257" s="1" t="s">
        <v>1286</v>
      </c>
      <c r="P1257" s="34" t="str">
        <f t="shared" si="22"/>
        <v>F010</v>
      </c>
      <c r="Q1257" s="1" t="s">
        <v>127</v>
      </c>
      <c r="S1257" s="16">
        <v>20</v>
      </c>
      <c r="T1257" s="1" t="s">
        <v>3239</v>
      </c>
      <c r="U1257" s="1" t="s">
        <v>1468</v>
      </c>
      <c r="V1257" s="1" t="s">
        <v>1634</v>
      </c>
      <c r="Y1257" s="1">
        <v>3450</v>
      </c>
      <c r="AB1257" s="1">
        <v>1638.72</v>
      </c>
    </row>
    <row r="1258" spans="2:28" x14ac:dyDescent="0.2">
      <c r="B1258" s="30" t="s">
        <v>2294</v>
      </c>
      <c r="C1258" s="36"/>
      <c r="D1258" s="36"/>
      <c r="F1258" s="1" t="s">
        <v>3240</v>
      </c>
      <c r="G1258" s="30" t="s">
        <v>2986</v>
      </c>
      <c r="K1258" s="1" t="s">
        <v>3349</v>
      </c>
      <c r="L1258" s="1" t="s">
        <v>1279</v>
      </c>
      <c r="M1258" s="36" t="s">
        <v>1511</v>
      </c>
      <c r="N1258" s="1" t="s">
        <v>1609</v>
      </c>
      <c r="O1258" s="1" t="s">
        <v>1286</v>
      </c>
      <c r="P1258" s="34" t="str">
        <f t="shared" si="22"/>
        <v>F010</v>
      </c>
      <c r="Q1258" s="1" t="s">
        <v>127</v>
      </c>
      <c r="S1258" s="16">
        <v>20</v>
      </c>
      <c r="T1258" s="1" t="s">
        <v>2427</v>
      </c>
      <c r="U1258" s="1" t="s">
        <v>1468</v>
      </c>
      <c r="V1258" s="1" t="s">
        <v>1634</v>
      </c>
      <c r="Y1258" s="1">
        <v>3450</v>
      </c>
      <c r="AB1258" s="1">
        <v>1638.72</v>
      </c>
    </row>
    <row r="1259" spans="2:28" x14ac:dyDescent="0.2">
      <c r="B1259" s="30" t="s">
        <v>2294</v>
      </c>
      <c r="C1259" s="36"/>
      <c r="D1259" s="36"/>
      <c r="F1259" s="1" t="s">
        <v>1895</v>
      </c>
      <c r="G1259" s="30" t="s">
        <v>2986</v>
      </c>
      <c r="K1259" s="1" t="s">
        <v>3350</v>
      </c>
      <c r="L1259" s="1" t="s">
        <v>1279</v>
      </c>
      <c r="M1259" s="36" t="s">
        <v>1511</v>
      </c>
      <c r="N1259" s="1" t="s">
        <v>1806</v>
      </c>
      <c r="O1259" s="1" t="s">
        <v>1286</v>
      </c>
      <c r="P1259" s="34" t="str">
        <f t="shared" si="22"/>
        <v>F010</v>
      </c>
      <c r="Q1259" s="1" t="s">
        <v>127</v>
      </c>
      <c r="S1259" s="16">
        <v>20</v>
      </c>
      <c r="T1259" s="1" t="s">
        <v>3333</v>
      </c>
      <c r="U1259" s="1" t="s">
        <v>1468</v>
      </c>
      <c r="V1259" s="1" t="s">
        <v>1634</v>
      </c>
      <c r="Y1259" s="1">
        <v>3450</v>
      </c>
      <c r="AB1259" s="1">
        <v>1638.72</v>
      </c>
    </row>
    <row r="1260" spans="2:28" x14ac:dyDescent="0.2">
      <c r="B1260" s="30" t="s">
        <v>2294</v>
      </c>
      <c r="C1260" s="36"/>
      <c r="D1260" s="36"/>
      <c r="F1260" s="1" t="s">
        <v>3334</v>
      </c>
      <c r="G1260" s="30" t="s">
        <v>2986</v>
      </c>
      <c r="K1260" s="1" t="s">
        <v>3351</v>
      </c>
      <c r="L1260" s="1" t="s">
        <v>1279</v>
      </c>
      <c r="M1260" s="36" t="s">
        <v>1511</v>
      </c>
      <c r="N1260" s="1" t="s">
        <v>1806</v>
      </c>
      <c r="O1260" s="1" t="s">
        <v>1286</v>
      </c>
      <c r="P1260" s="34" t="str">
        <f t="shared" si="22"/>
        <v>F010</v>
      </c>
      <c r="Q1260" s="1" t="s">
        <v>127</v>
      </c>
      <c r="S1260" s="16">
        <v>20</v>
      </c>
      <c r="T1260" s="1" t="s">
        <v>2427</v>
      </c>
      <c r="U1260" s="1" t="s">
        <v>1468</v>
      </c>
      <c r="V1260" s="1" t="s">
        <v>1634</v>
      </c>
      <c r="Y1260" s="1">
        <v>3450</v>
      </c>
      <c r="AB1260" s="1">
        <v>1638.72</v>
      </c>
    </row>
    <row r="1261" spans="2:28" x14ac:dyDescent="0.2">
      <c r="B1261" s="30" t="s">
        <v>2294</v>
      </c>
      <c r="C1261" s="36"/>
      <c r="D1261" s="36"/>
      <c r="F1261" s="1" t="s">
        <v>1895</v>
      </c>
      <c r="G1261" s="30" t="s">
        <v>2986</v>
      </c>
      <c r="K1261" s="1" t="s">
        <v>3352</v>
      </c>
      <c r="L1261" s="1" t="s">
        <v>1279</v>
      </c>
      <c r="M1261" s="36" t="s">
        <v>1511</v>
      </c>
      <c r="N1261" s="1" t="s">
        <v>1281</v>
      </c>
      <c r="O1261" s="1" t="s">
        <v>1286</v>
      </c>
      <c r="P1261" s="34" t="str">
        <f t="shared" si="22"/>
        <v>F010</v>
      </c>
      <c r="Q1261" s="1" t="s">
        <v>137</v>
      </c>
      <c r="S1261" s="16">
        <v>20</v>
      </c>
      <c r="T1261" s="1" t="s">
        <v>3209</v>
      </c>
      <c r="U1261" s="1" t="s">
        <v>1468</v>
      </c>
      <c r="V1261" s="1" t="s">
        <v>1634</v>
      </c>
      <c r="Y1261" s="1">
        <v>3450</v>
      </c>
      <c r="AB1261" s="1">
        <v>1638.72</v>
      </c>
    </row>
    <row r="1262" spans="2:28" x14ac:dyDescent="0.2">
      <c r="B1262" s="30" t="s">
        <v>2294</v>
      </c>
      <c r="C1262" s="36"/>
      <c r="D1262" s="36"/>
      <c r="F1262" s="1" t="s">
        <v>3210</v>
      </c>
      <c r="G1262" s="30" t="s">
        <v>2986</v>
      </c>
      <c r="K1262" s="1" t="s">
        <v>3353</v>
      </c>
      <c r="L1262" s="1" t="s">
        <v>1279</v>
      </c>
      <c r="M1262" s="36" t="s">
        <v>1511</v>
      </c>
      <c r="N1262" s="1" t="s">
        <v>1281</v>
      </c>
      <c r="O1262" s="1" t="s">
        <v>1286</v>
      </c>
      <c r="P1262" s="34" t="str">
        <f t="shared" si="22"/>
        <v>F010</v>
      </c>
      <c r="Q1262" s="1" t="s">
        <v>137</v>
      </c>
      <c r="S1262" s="16">
        <v>20</v>
      </c>
      <c r="T1262" s="1" t="s">
        <v>2299</v>
      </c>
      <c r="U1262" s="1" t="s">
        <v>1468</v>
      </c>
      <c r="V1262" s="1" t="s">
        <v>1634</v>
      </c>
      <c r="Y1262" s="1">
        <v>3450</v>
      </c>
      <c r="AB1262" s="1">
        <v>1638.72</v>
      </c>
    </row>
    <row r="1263" spans="2:28" x14ac:dyDescent="0.2">
      <c r="B1263" s="30" t="s">
        <v>2294</v>
      </c>
      <c r="C1263" s="36"/>
      <c r="D1263" s="36"/>
      <c r="F1263" s="1" t="s">
        <v>1322</v>
      </c>
      <c r="G1263" s="30" t="s">
        <v>2986</v>
      </c>
      <c r="K1263" s="1" t="s">
        <v>3354</v>
      </c>
      <c r="L1263" s="1" t="s">
        <v>1279</v>
      </c>
      <c r="M1263" s="36" t="s">
        <v>1511</v>
      </c>
      <c r="N1263" s="1" t="s">
        <v>1287</v>
      </c>
      <c r="O1263" s="1" t="s">
        <v>1286</v>
      </c>
      <c r="P1263" s="34" t="str">
        <f t="shared" si="22"/>
        <v>F010</v>
      </c>
      <c r="Q1263" s="1" t="s">
        <v>137</v>
      </c>
      <c r="S1263" s="16">
        <v>20</v>
      </c>
      <c r="T1263" s="1" t="s">
        <v>3254</v>
      </c>
      <c r="U1263" s="1" t="s">
        <v>1468</v>
      </c>
      <c r="V1263" s="1" t="s">
        <v>1634</v>
      </c>
      <c r="Y1263" s="1">
        <v>3450</v>
      </c>
      <c r="AB1263" s="1">
        <v>1638.72</v>
      </c>
    </row>
    <row r="1264" spans="2:28" x14ac:dyDescent="0.2">
      <c r="B1264" s="30" t="s">
        <v>2294</v>
      </c>
      <c r="C1264" s="36"/>
      <c r="D1264" s="36"/>
      <c r="F1264" s="1" t="s">
        <v>3255</v>
      </c>
      <c r="G1264" s="30" t="s">
        <v>2986</v>
      </c>
      <c r="K1264" s="1" t="s">
        <v>3355</v>
      </c>
      <c r="L1264" s="1" t="s">
        <v>1279</v>
      </c>
      <c r="M1264" s="36" t="s">
        <v>1511</v>
      </c>
      <c r="N1264" s="1" t="s">
        <v>3083</v>
      </c>
      <c r="O1264" s="1" t="s">
        <v>1286</v>
      </c>
      <c r="P1264" s="34" t="str">
        <f t="shared" si="22"/>
        <v>F010</v>
      </c>
      <c r="Q1264" s="1" t="s">
        <v>137</v>
      </c>
      <c r="S1264" s="16">
        <v>20</v>
      </c>
      <c r="T1264" s="1" t="s">
        <v>2427</v>
      </c>
      <c r="U1264" s="1" t="s">
        <v>1468</v>
      </c>
      <c r="V1264" s="1" t="s">
        <v>1634</v>
      </c>
      <c r="Y1264" s="1">
        <v>3450</v>
      </c>
      <c r="AB1264" s="1">
        <v>1638.72</v>
      </c>
    </row>
    <row r="1265" spans="2:28" x14ac:dyDescent="0.2">
      <c r="B1265" s="30" t="s">
        <v>2294</v>
      </c>
      <c r="C1265" s="36"/>
      <c r="D1265" s="36"/>
      <c r="F1265" s="1" t="s">
        <v>1895</v>
      </c>
      <c r="G1265" s="30" t="s">
        <v>2986</v>
      </c>
      <c r="K1265" s="1" t="s">
        <v>3356</v>
      </c>
      <c r="L1265" s="1" t="s">
        <v>1279</v>
      </c>
      <c r="M1265" s="36" t="s">
        <v>1511</v>
      </c>
      <c r="N1265" s="1" t="s">
        <v>1614</v>
      </c>
      <c r="O1265" s="1" t="s">
        <v>1286</v>
      </c>
      <c r="P1265" s="34" t="str">
        <f t="shared" si="22"/>
        <v>F010</v>
      </c>
      <c r="Q1265" s="1" t="s">
        <v>137</v>
      </c>
      <c r="S1265" s="16">
        <v>20</v>
      </c>
      <c r="T1265" s="1" t="s">
        <v>3074</v>
      </c>
      <c r="U1265" s="1" t="s">
        <v>1468</v>
      </c>
      <c r="V1265" s="1" t="s">
        <v>1634</v>
      </c>
      <c r="Y1265" s="1">
        <v>3450</v>
      </c>
      <c r="AB1265" s="1">
        <v>1638.72</v>
      </c>
    </row>
    <row r="1266" spans="2:28" x14ac:dyDescent="0.2">
      <c r="B1266" s="30" t="s">
        <v>2294</v>
      </c>
      <c r="C1266" s="36"/>
      <c r="D1266" s="36"/>
      <c r="F1266" s="1" t="s">
        <v>3075</v>
      </c>
      <c r="G1266" s="30" t="s">
        <v>2986</v>
      </c>
      <c r="K1266" s="1" t="s">
        <v>3357</v>
      </c>
      <c r="L1266" s="1" t="s">
        <v>1279</v>
      </c>
      <c r="M1266" s="36" t="s">
        <v>1511</v>
      </c>
      <c r="N1266" s="1" t="s">
        <v>1283</v>
      </c>
      <c r="O1266" s="1" t="s">
        <v>1286</v>
      </c>
      <c r="P1266" s="34" t="str">
        <f t="shared" si="22"/>
        <v>F010</v>
      </c>
      <c r="Q1266" s="1" t="s">
        <v>137</v>
      </c>
      <c r="S1266" s="16">
        <v>20</v>
      </c>
      <c r="T1266" s="1" t="s">
        <v>2299</v>
      </c>
      <c r="U1266" s="1" t="s">
        <v>1468</v>
      </c>
      <c r="V1266" s="1" t="s">
        <v>1634</v>
      </c>
      <c r="Y1266" s="1">
        <v>3450</v>
      </c>
      <c r="AB1266" s="1">
        <v>1638.72</v>
      </c>
    </row>
    <row r="1267" spans="2:28" x14ac:dyDescent="0.2">
      <c r="B1267" s="30" t="s">
        <v>2294</v>
      </c>
      <c r="C1267" s="36"/>
      <c r="D1267" s="36"/>
      <c r="F1267" s="1" t="s">
        <v>1322</v>
      </c>
      <c r="G1267" s="30" t="s">
        <v>2986</v>
      </c>
      <c r="K1267" s="1" t="s">
        <v>3358</v>
      </c>
      <c r="L1267" s="1" t="s">
        <v>1279</v>
      </c>
      <c r="M1267" s="36" t="s">
        <v>1511</v>
      </c>
      <c r="N1267" s="1" t="s">
        <v>1283</v>
      </c>
      <c r="O1267" s="1" t="s">
        <v>1286</v>
      </c>
      <c r="P1267" s="34" t="str">
        <f t="shared" si="22"/>
        <v>F010</v>
      </c>
      <c r="Q1267" s="1" t="s">
        <v>137</v>
      </c>
      <c r="S1267" s="16">
        <v>20</v>
      </c>
      <c r="T1267" s="1" t="s">
        <v>3131</v>
      </c>
      <c r="U1267" s="1" t="s">
        <v>1468</v>
      </c>
      <c r="V1267" s="1" t="s">
        <v>1634</v>
      </c>
      <c r="Y1267" s="1">
        <v>3450</v>
      </c>
      <c r="AB1267" s="1">
        <v>1638.72</v>
      </c>
    </row>
    <row r="1268" spans="2:28" x14ac:dyDescent="0.2">
      <c r="B1268" s="30" t="s">
        <v>2294</v>
      </c>
      <c r="C1268" s="36"/>
      <c r="D1268" s="36"/>
      <c r="F1268" s="1" t="s">
        <v>3132</v>
      </c>
      <c r="G1268" s="30" t="s">
        <v>3359</v>
      </c>
      <c r="K1268" s="1" t="s">
        <v>3360</v>
      </c>
      <c r="L1268" s="1" t="s">
        <v>1279</v>
      </c>
      <c r="M1268" s="36" t="s">
        <v>1567</v>
      </c>
      <c r="N1268" s="1" t="s">
        <v>1284</v>
      </c>
      <c r="O1268" s="1" t="s">
        <v>1286</v>
      </c>
      <c r="P1268" s="34" t="str">
        <f t="shared" si="22"/>
        <v>F010</v>
      </c>
      <c r="Q1268" s="1" t="s">
        <v>127</v>
      </c>
      <c r="S1268" s="16">
        <v>20</v>
      </c>
      <c r="T1268" s="1" t="s">
        <v>2427</v>
      </c>
      <c r="U1268" s="1" t="s">
        <v>1999</v>
      </c>
      <c r="V1268" s="1" t="s">
        <v>1526</v>
      </c>
      <c r="Y1268" s="1">
        <v>4881.74</v>
      </c>
      <c r="AB1268" s="1">
        <v>3735.88</v>
      </c>
    </row>
    <row r="1269" spans="2:28" x14ac:dyDescent="0.2">
      <c r="B1269" s="30" t="s">
        <v>2294</v>
      </c>
      <c r="C1269" s="36"/>
      <c r="D1269" s="36"/>
      <c r="F1269" s="1" t="s">
        <v>1895</v>
      </c>
      <c r="G1269" s="30" t="s">
        <v>3359</v>
      </c>
      <c r="K1269" s="1" t="s">
        <v>3361</v>
      </c>
      <c r="L1269" s="1" t="s">
        <v>1279</v>
      </c>
      <c r="M1269" s="36" t="s">
        <v>1567</v>
      </c>
      <c r="N1269" s="1" t="s">
        <v>1284</v>
      </c>
      <c r="O1269" s="1" t="s">
        <v>1286</v>
      </c>
      <c r="P1269" s="34" t="str">
        <f t="shared" si="22"/>
        <v>F010</v>
      </c>
      <c r="Q1269" s="1" t="s">
        <v>127</v>
      </c>
      <c r="S1269" s="16">
        <v>20</v>
      </c>
      <c r="T1269" s="1" t="s">
        <v>3362</v>
      </c>
      <c r="U1269" s="1" t="s">
        <v>1999</v>
      </c>
      <c r="V1269" s="1" t="s">
        <v>1526</v>
      </c>
      <c r="Y1269" s="1">
        <v>4881.74</v>
      </c>
      <c r="AB1269" s="1">
        <v>3735.88</v>
      </c>
    </row>
    <row r="1270" spans="2:28" x14ac:dyDescent="0.2">
      <c r="B1270" s="30" t="s">
        <v>2294</v>
      </c>
      <c r="C1270" s="36"/>
      <c r="D1270" s="36"/>
      <c r="F1270" s="1" t="s">
        <v>3363</v>
      </c>
      <c r="G1270" s="30" t="s">
        <v>3359</v>
      </c>
      <c r="K1270" s="1" t="s">
        <v>3364</v>
      </c>
      <c r="L1270" s="1" t="s">
        <v>1279</v>
      </c>
      <c r="M1270" s="36" t="s">
        <v>1567</v>
      </c>
      <c r="N1270" s="1" t="s">
        <v>1556</v>
      </c>
      <c r="O1270" s="1" t="s">
        <v>1286</v>
      </c>
      <c r="P1270" s="34" t="str">
        <f t="shared" si="22"/>
        <v>F010</v>
      </c>
      <c r="Q1270" s="1" t="s">
        <v>127</v>
      </c>
      <c r="S1270" s="16">
        <v>20</v>
      </c>
      <c r="T1270" s="1" t="s">
        <v>2299</v>
      </c>
      <c r="U1270" s="1" t="s">
        <v>1999</v>
      </c>
      <c r="V1270" s="1" t="s">
        <v>1526</v>
      </c>
      <c r="Y1270" s="1">
        <v>4266.63</v>
      </c>
      <c r="AB1270" s="1">
        <v>3265.14</v>
      </c>
    </row>
    <row r="1271" spans="2:28" x14ac:dyDescent="0.2">
      <c r="B1271" s="30" t="s">
        <v>2294</v>
      </c>
      <c r="C1271" s="36"/>
      <c r="D1271" s="36"/>
      <c r="F1271" s="1" t="s">
        <v>1322</v>
      </c>
      <c r="G1271" s="30" t="s">
        <v>3359</v>
      </c>
      <c r="K1271" s="1" t="s">
        <v>3365</v>
      </c>
      <c r="L1271" s="1" t="s">
        <v>1279</v>
      </c>
      <c r="M1271" s="36" t="s">
        <v>1567</v>
      </c>
      <c r="N1271" s="1" t="s">
        <v>1284</v>
      </c>
      <c r="O1271" s="1" t="s">
        <v>1286</v>
      </c>
      <c r="P1271" s="34" t="str">
        <f t="shared" si="22"/>
        <v>F010</v>
      </c>
      <c r="Q1271" s="1" t="s">
        <v>127</v>
      </c>
      <c r="S1271" s="16">
        <v>20</v>
      </c>
      <c r="T1271" s="1" t="s">
        <v>3074</v>
      </c>
      <c r="U1271" s="1" t="s">
        <v>1999</v>
      </c>
      <c r="V1271" s="1" t="s">
        <v>1526</v>
      </c>
      <c r="Y1271" s="1">
        <v>4881.74</v>
      </c>
      <c r="AB1271" s="1">
        <v>3735.88</v>
      </c>
    </row>
    <row r="1272" spans="2:28" x14ac:dyDescent="0.2">
      <c r="B1272" s="30" t="s">
        <v>2294</v>
      </c>
      <c r="C1272" s="36"/>
      <c r="D1272" s="36"/>
      <c r="F1272" s="1" t="s">
        <v>3075</v>
      </c>
      <c r="G1272" s="30" t="s">
        <v>3359</v>
      </c>
      <c r="K1272" s="1" t="s">
        <v>3366</v>
      </c>
      <c r="L1272" s="1" t="s">
        <v>1279</v>
      </c>
      <c r="M1272" s="36" t="s">
        <v>1567</v>
      </c>
      <c r="N1272" s="1" t="s">
        <v>1556</v>
      </c>
      <c r="O1272" s="1" t="s">
        <v>1286</v>
      </c>
      <c r="P1272" s="34" t="str">
        <f t="shared" si="22"/>
        <v>F010</v>
      </c>
      <c r="Q1272" s="1" t="s">
        <v>127</v>
      </c>
      <c r="S1272" s="16">
        <v>20</v>
      </c>
      <c r="T1272" s="1" t="s">
        <v>2427</v>
      </c>
      <c r="U1272" s="1" t="s">
        <v>1999</v>
      </c>
      <c r="V1272" s="1" t="s">
        <v>1526</v>
      </c>
      <c r="Y1272" s="1">
        <v>4266.63</v>
      </c>
      <c r="AB1272" s="1">
        <v>3265.14</v>
      </c>
    </row>
    <row r="1273" spans="2:28" x14ac:dyDescent="0.2">
      <c r="B1273" s="30" t="s">
        <v>2294</v>
      </c>
      <c r="C1273" s="36"/>
      <c r="D1273" s="36"/>
      <c r="F1273" s="1" t="s">
        <v>1895</v>
      </c>
      <c r="G1273" s="30" t="s">
        <v>3359</v>
      </c>
      <c r="K1273" s="1" t="s">
        <v>3367</v>
      </c>
      <c r="L1273" s="1" t="s">
        <v>1279</v>
      </c>
      <c r="M1273" s="36" t="s">
        <v>1567</v>
      </c>
      <c r="N1273" s="1" t="s">
        <v>1284</v>
      </c>
      <c r="O1273" s="1" t="s">
        <v>1286</v>
      </c>
      <c r="P1273" s="34" t="str">
        <f t="shared" si="22"/>
        <v>F010</v>
      </c>
      <c r="Q1273" s="1" t="s">
        <v>127</v>
      </c>
      <c r="S1273" s="16">
        <v>20</v>
      </c>
      <c r="T1273" s="1" t="s">
        <v>3088</v>
      </c>
      <c r="U1273" s="1" t="s">
        <v>1999</v>
      </c>
      <c r="V1273" s="1" t="s">
        <v>1526</v>
      </c>
      <c r="Y1273" s="1">
        <v>4881.75</v>
      </c>
      <c r="AB1273" s="1">
        <v>3735.89</v>
      </c>
    </row>
    <row r="1274" spans="2:28" x14ac:dyDescent="0.2">
      <c r="B1274" s="30" t="s">
        <v>2294</v>
      </c>
      <c r="C1274" s="36"/>
      <c r="D1274" s="36"/>
      <c r="F1274" s="1" t="s">
        <v>3089</v>
      </c>
      <c r="G1274" s="30" t="s">
        <v>3359</v>
      </c>
      <c r="K1274" s="1" t="s">
        <v>3368</v>
      </c>
      <c r="L1274" s="1" t="s">
        <v>1279</v>
      </c>
      <c r="M1274" s="36" t="s">
        <v>1567</v>
      </c>
      <c r="N1274" s="1" t="s">
        <v>1284</v>
      </c>
      <c r="O1274" s="1" t="s">
        <v>1286</v>
      </c>
      <c r="P1274" s="34" t="str">
        <f t="shared" si="22"/>
        <v>F010</v>
      </c>
      <c r="Q1274" s="1" t="s">
        <v>127</v>
      </c>
      <c r="S1274" s="16">
        <v>20</v>
      </c>
      <c r="T1274" s="1" t="s">
        <v>2299</v>
      </c>
      <c r="U1274" s="1" t="s">
        <v>1999</v>
      </c>
      <c r="V1274" s="1" t="s">
        <v>1526</v>
      </c>
      <c r="Y1274" s="1">
        <v>4881.74</v>
      </c>
      <c r="AB1274" s="1">
        <v>3735.88</v>
      </c>
    </row>
    <row r="1275" spans="2:28" x14ac:dyDescent="0.2">
      <c r="B1275" s="30" t="s">
        <v>2294</v>
      </c>
      <c r="C1275" s="36"/>
      <c r="D1275" s="36"/>
      <c r="F1275" s="1" t="s">
        <v>1322</v>
      </c>
      <c r="G1275" s="30" t="s">
        <v>3369</v>
      </c>
      <c r="K1275" s="1" t="s">
        <v>3370</v>
      </c>
      <c r="L1275" s="1" t="s">
        <v>1279</v>
      </c>
      <c r="M1275" s="36" t="s">
        <v>1441</v>
      </c>
      <c r="N1275" s="1" t="s">
        <v>3222</v>
      </c>
      <c r="O1275" s="1" t="s">
        <v>1286</v>
      </c>
      <c r="P1275" s="34" t="str">
        <f t="shared" si="22"/>
        <v>F010</v>
      </c>
      <c r="Q1275" s="1" t="s">
        <v>127</v>
      </c>
      <c r="S1275" s="16">
        <v>20</v>
      </c>
      <c r="T1275" s="1" t="s">
        <v>3097</v>
      </c>
      <c r="U1275" s="1" t="s">
        <v>1516</v>
      </c>
      <c r="V1275" s="1" t="s">
        <v>1503</v>
      </c>
      <c r="Y1275" s="1">
        <v>6719.34</v>
      </c>
      <c r="AB1275" s="1">
        <v>6383.37</v>
      </c>
    </row>
    <row r="1276" spans="2:28" x14ac:dyDescent="0.2">
      <c r="B1276" s="30" t="s">
        <v>2294</v>
      </c>
      <c r="C1276" s="36"/>
      <c r="D1276" s="36"/>
      <c r="F1276" s="1" t="s">
        <v>3098</v>
      </c>
      <c r="G1276" s="30" t="s">
        <v>3371</v>
      </c>
      <c r="K1276" s="1" t="s">
        <v>3372</v>
      </c>
      <c r="L1276" s="1" t="s">
        <v>1279</v>
      </c>
      <c r="M1276" s="36" t="s">
        <v>1516</v>
      </c>
      <c r="N1276" s="1" t="s">
        <v>1754</v>
      </c>
      <c r="O1276" s="1" t="s">
        <v>1286</v>
      </c>
      <c r="P1276" s="34" t="str">
        <f t="shared" si="22"/>
        <v>F010</v>
      </c>
      <c r="Q1276" s="1" t="s">
        <v>127</v>
      </c>
      <c r="S1276" s="16">
        <v>20</v>
      </c>
      <c r="T1276" s="1" t="s">
        <v>2299</v>
      </c>
      <c r="U1276" s="1" t="s">
        <v>1557</v>
      </c>
      <c r="V1276" s="1" t="s">
        <v>2072</v>
      </c>
      <c r="Y1276" s="1">
        <v>7933.8</v>
      </c>
      <c r="AB1276" s="1">
        <v>7537.11</v>
      </c>
    </row>
    <row r="1277" spans="2:28" x14ac:dyDescent="0.2">
      <c r="B1277" s="30" t="s">
        <v>2294</v>
      </c>
      <c r="C1277" s="36"/>
      <c r="D1277" s="36"/>
      <c r="F1277" s="1" t="s">
        <v>1322</v>
      </c>
      <c r="G1277" s="30" t="s">
        <v>3373</v>
      </c>
      <c r="K1277" s="1" t="s">
        <v>3374</v>
      </c>
      <c r="L1277" s="1" t="s">
        <v>1279</v>
      </c>
      <c r="M1277" s="36" t="s">
        <v>2023</v>
      </c>
      <c r="N1277" s="1" t="s">
        <v>2400</v>
      </c>
      <c r="O1277" s="1" t="s">
        <v>1286</v>
      </c>
      <c r="P1277" s="34" t="str">
        <f t="shared" si="22"/>
        <v>F010</v>
      </c>
      <c r="Q1277" s="1" t="s">
        <v>137</v>
      </c>
      <c r="S1277" s="16">
        <v>20</v>
      </c>
      <c r="T1277" s="1" t="s">
        <v>3093</v>
      </c>
      <c r="U1277" s="1" t="s">
        <v>1453</v>
      </c>
      <c r="V1277" s="1" t="s">
        <v>1794</v>
      </c>
      <c r="Y1277" s="1">
        <v>8715</v>
      </c>
      <c r="AB1277" s="1">
        <v>8279.25</v>
      </c>
    </row>
    <row r="1278" spans="2:28" x14ac:dyDescent="0.2">
      <c r="B1278" s="30" t="s">
        <v>2294</v>
      </c>
      <c r="C1278" s="36"/>
      <c r="D1278" s="36"/>
      <c r="F1278" s="1" t="s">
        <v>3094</v>
      </c>
      <c r="G1278" s="30" t="s">
        <v>3375</v>
      </c>
      <c r="K1278" s="1" t="s">
        <v>3376</v>
      </c>
      <c r="L1278" s="1" t="s">
        <v>1279</v>
      </c>
      <c r="M1278" s="36" t="s">
        <v>1511</v>
      </c>
      <c r="N1278" s="1" t="s">
        <v>3222</v>
      </c>
      <c r="O1278" s="1" t="s">
        <v>1286</v>
      </c>
      <c r="P1278" s="34" t="str">
        <f t="shared" si="22"/>
        <v>F010</v>
      </c>
      <c r="Q1278" s="1" t="s">
        <v>137</v>
      </c>
      <c r="S1278" s="16">
        <v>20</v>
      </c>
      <c r="T1278" s="1" t="s">
        <v>2299</v>
      </c>
      <c r="U1278" s="1" t="s">
        <v>1468</v>
      </c>
      <c r="V1278" s="1" t="s">
        <v>1634</v>
      </c>
      <c r="Y1278" s="1">
        <v>7380</v>
      </c>
      <c r="AB1278" s="1">
        <v>3505.5</v>
      </c>
    </row>
    <row r="1279" spans="2:28" x14ac:dyDescent="0.2">
      <c r="B1279" s="30" t="s">
        <v>2294</v>
      </c>
      <c r="C1279" s="36"/>
      <c r="D1279" s="36"/>
      <c r="F1279" s="1" t="s">
        <v>1322</v>
      </c>
      <c r="G1279" s="30" t="s">
        <v>3375</v>
      </c>
      <c r="K1279" s="1" t="s">
        <v>3377</v>
      </c>
      <c r="L1279" s="1" t="s">
        <v>1279</v>
      </c>
      <c r="M1279" s="36" t="s">
        <v>1511</v>
      </c>
      <c r="N1279" s="1" t="s">
        <v>1283</v>
      </c>
      <c r="O1279" s="1" t="s">
        <v>1286</v>
      </c>
      <c r="P1279" s="34" t="str">
        <f t="shared" si="22"/>
        <v>F010</v>
      </c>
      <c r="Q1279" s="1" t="s">
        <v>137</v>
      </c>
      <c r="S1279" s="16">
        <v>20</v>
      </c>
      <c r="T1279" s="1" t="s">
        <v>3244</v>
      </c>
      <c r="U1279" s="1" t="s">
        <v>1468</v>
      </c>
      <c r="V1279" s="1" t="s">
        <v>1634</v>
      </c>
      <c r="Y1279" s="1">
        <v>7380</v>
      </c>
      <c r="AB1279" s="1">
        <v>3505.5</v>
      </c>
    </row>
    <row r="1280" spans="2:28" x14ac:dyDescent="0.2">
      <c r="B1280" s="30" t="s">
        <v>2294</v>
      </c>
      <c r="C1280" s="36"/>
      <c r="D1280" s="36"/>
      <c r="F1280" s="1" t="s">
        <v>3245</v>
      </c>
      <c r="G1280" s="30" t="s">
        <v>3375</v>
      </c>
      <c r="K1280" s="1" t="s">
        <v>3378</v>
      </c>
      <c r="L1280" s="1" t="s">
        <v>1279</v>
      </c>
      <c r="M1280" s="36" t="s">
        <v>1511</v>
      </c>
      <c r="N1280" s="1" t="s">
        <v>1283</v>
      </c>
      <c r="O1280" s="1" t="s">
        <v>1286</v>
      </c>
      <c r="P1280" s="34" t="str">
        <f t="shared" si="22"/>
        <v>F010</v>
      </c>
      <c r="Q1280" s="1" t="s">
        <v>137</v>
      </c>
      <c r="S1280" s="16">
        <v>20</v>
      </c>
      <c r="T1280" s="1" t="s">
        <v>2299</v>
      </c>
      <c r="U1280" s="1" t="s">
        <v>1468</v>
      </c>
      <c r="V1280" s="1" t="s">
        <v>1634</v>
      </c>
      <c r="Y1280" s="1">
        <v>7380</v>
      </c>
      <c r="AB1280" s="1">
        <v>3505.5</v>
      </c>
    </row>
    <row r="1281" spans="2:28" x14ac:dyDescent="0.2">
      <c r="B1281" s="30" t="s">
        <v>2294</v>
      </c>
      <c r="C1281" s="36"/>
      <c r="D1281" s="36"/>
      <c r="F1281" s="1" t="s">
        <v>1322</v>
      </c>
      <c r="G1281" s="30" t="s">
        <v>3375</v>
      </c>
      <c r="K1281" s="1" t="s">
        <v>3379</v>
      </c>
      <c r="L1281" s="1" t="s">
        <v>1279</v>
      </c>
      <c r="M1281" s="36" t="s">
        <v>1511</v>
      </c>
      <c r="N1281" s="1" t="s">
        <v>3092</v>
      </c>
      <c r="O1281" s="1" t="s">
        <v>1286</v>
      </c>
      <c r="P1281" s="34" t="str">
        <f t="shared" si="22"/>
        <v>F010</v>
      </c>
      <c r="Q1281" s="1" t="s">
        <v>137</v>
      </c>
      <c r="S1281" s="16">
        <v>20</v>
      </c>
      <c r="T1281" s="1" t="s">
        <v>3380</v>
      </c>
      <c r="U1281" s="1" t="s">
        <v>1468</v>
      </c>
      <c r="V1281" s="1" t="s">
        <v>1634</v>
      </c>
      <c r="Y1281" s="1">
        <v>7300</v>
      </c>
      <c r="AB1281" s="1">
        <v>3467.52</v>
      </c>
    </row>
    <row r="1282" spans="2:28" x14ac:dyDescent="0.2">
      <c r="B1282" s="30" t="s">
        <v>2294</v>
      </c>
      <c r="C1282" s="36"/>
      <c r="D1282" s="36"/>
      <c r="F1282" s="1" t="s">
        <v>3381</v>
      </c>
      <c r="G1282" s="30" t="s">
        <v>3375</v>
      </c>
      <c r="K1282" s="1" t="s">
        <v>3382</v>
      </c>
      <c r="L1282" s="1" t="s">
        <v>1279</v>
      </c>
      <c r="M1282" s="36" t="s">
        <v>1511</v>
      </c>
      <c r="N1282" s="1" t="s">
        <v>3092</v>
      </c>
      <c r="O1282" s="1" t="s">
        <v>1286</v>
      </c>
      <c r="P1282" s="34" t="str">
        <f t="shared" si="22"/>
        <v>F010</v>
      </c>
      <c r="Q1282" s="1" t="s">
        <v>137</v>
      </c>
      <c r="S1282" s="16">
        <v>20</v>
      </c>
      <c r="T1282" s="1" t="s">
        <v>2299</v>
      </c>
      <c r="U1282" s="1" t="s">
        <v>1468</v>
      </c>
      <c r="V1282" s="1" t="s">
        <v>1634</v>
      </c>
      <c r="Y1282" s="1">
        <v>7300</v>
      </c>
      <c r="AB1282" s="1">
        <v>3467.52</v>
      </c>
    </row>
    <row r="1283" spans="2:28" x14ac:dyDescent="0.2">
      <c r="B1283" s="30" t="s">
        <v>2294</v>
      </c>
      <c r="C1283" s="36"/>
      <c r="D1283" s="36"/>
      <c r="F1283" s="1" t="s">
        <v>1322</v>
      </c>
      <c r="G1283" s="30" t="s">
        <v>3375</v>
      </c>
      <c r="K1283" s="1" t="s">
        <v>3383</v>
      </c>
      <c r="L1283" s="1" t="s">
        <v>1279</v>
      </c>
      <c r="M1283" s="36" t="s">
        <v>1511</v>
      </c>
      <c r="N1283" s="1" t="s">
        <v>1283</v>
      </c>
      <c r="O1283" s="1" t="s">
        <v>1286</v>
      </c>
      <c r="P1283" s="34" t="str">
        <f t="shared" si="22"/>
        <v>F010</v>
      </c>
      <c r="Q1283" s="1" t="s">
        <v>137</v>
      </c>
      <c r="S1283" s="16">
        <v>20</v>
      </c>
      <c r="T1283" s="1" t="s">
        <v>3268</v>
      </c>
      <c r="U1283" s="1" t="s">
        <v>1468</v>
      </c>
      <c r="V1283" s="1" t="s">
        <v>1634</v>
      </c>
      <c r="Y1283" s="1">
        <v>7300</v>
      </c>
      <c r="AB1283" s="1">
        <v>3467.52</v>
      </c>
    </row>
    <row r="1284" spans="2:28" x14ac:dyDescent="0.2">
      <c r="B1284" s="30" t="s">
        <v>2294</v>
      </c>
      <c r="C1284" s="36"/>
      <c r="D1284" s="36"/>
      <c r="F1284" s="1" t="s">
        <v>3269</v>
      </c>
      <c r="G1284" s="30" t="s">
        <v>3384</v>
      </c>
      <c r="K1284" s="1" t="s">
        <v>3385</v>
      </c>
      <c r="L1284" s="1" t="s">
        <v>1279</v>
      </c>
      <c r="M1284" s="36" t="s">
        <v>1567</v>
      </c>
      <c r="N1284" s="1" t="s">
        <v>1715</v>
      </c>
      <c r="O1284" s="1" t="s">
        <v>1286</v>
      </c>
      <c r="P1284" s="34" t="str">
        <f t="shared" si="22"/>
        <v>F010</v>
      </c>
      <c r="Q1284" s="1" t="s">
        <v>127</v>
      </c>
      <c r="S1284" s="16">
        <v>20</v>
      </c>
      <c r="T1284" s="1" t="s">
        <v>2299</v>
      </c>
      <c r="U1284" s="1" t="s">
        <v>1999</v>
      </c>
      <c r="V1284" s="1" t="s">
        <v>1526</v>
      </c>
      <c r="Y1284" s="1">
        <v>3192</v>
      </c>
      <c r="AB1284" s="1">
        <v>2442.7600000000002</v>
      </c>
    </row>
    <row r="1285" spans="2:28" x14ac:dyDescent="0.2">
      <c r="B1285" s="30" t="s">
        <v>2294</v>
      </c>
      <c r="C1285" s="36"/>
      <c r="D1285" s="36"/>
      <c r="F1285" s="1" t="s">
        <v>1322</v>
      </c>
      <c r="G1285" s="30" t="s">
        <v>3384</v>
      </c>
      <c r="K1285" s="1" t="s">
        <v>3386</v>
      </c>
      <c r="L1285" s="1" t="s">
        <v>1279</v>
      </c>
      <c r="M1285" s="36" t="s">
        <v>1567</v>
      </c>
      <c r="N1285" s="1" t="s">
        <v>1715</v>
      </c>
      <c r="O1285" s="1" t="s">
        <v>1286</v>
      </c>
      <c r="P1285" s="34" t="str">
        <f t="shared" si="22"/>
        <v>F010</v>
      </c>
      <c r="Q1285" s="1" t="s">
        <v>127</v>
      </c>
      <c r="S1285" s="16">
        <v>20</v>
      </c>
      <c r="T1285" s="1" t="s">
        <v>3209</v>
      </c>
      <c r="U1285" s="1" t="s">
        <v>1999</v>
      </c>
      <c r="V1285" s="1" t="s">
        <v>1526</v>
      </c>
      <c r="Y1285" s="1">
        <v>7345.91</v>
      </c>
      <c r="AB1285" s="1">
        <v>5788.98</v>
      </c>
    </row>
    <row r="1286" spans="2:28" x14ac:dyDescent="0.2">
      <c r="B1286" s="30" t="s">
        <v>2294</v>
      </c>
      <c r="C1286" s="36"/>
      <c r="D1286" s="36"/>
      <c r="F1286" s="1" t="s">
        <v>3210</v>
      </c>
      <c r="G1286" s="30" t="s">
        <v>3384</v>
      </c>
      <c r="K1286" s="1" t="s">
        <v>3387</v>
      </c>
      <c r="L1286" s="1" t="s">
        <v>1279</v>
      </c>
      <c r="M1286" s="36" t="s">
        <v>1567</v>
      </c>
      <c r="N1286" s="1" t="s">
        <v>1715</v>
      </c>
      <c r="O1286" s="1" t="s">
        <v>1286</v>
      </c>
      <c r="P1286" s="34" t="str">
        <f t="shared" si="22"/>
        <v>F010</v>
      </c>
      <c r="Q1286" s="1" t="s">
        <v>127</v>
      </c>
      <c r="S1286" s="16">
        <v>20</v>
      </c>
      <c r="T1286" s="1" t="s">
        <v>2299</v>
      </c>
      <c r="U1286" s="1" t="s">
        <v>1999</v>
      </c>
      <c r="V1286" s="1" t="s">
        <v>1526</v>
      </c>
      <c r="Y1286" s="1">
        <v>3192</v>
      </c>
      <c r="AB1286" s="1">
        <v>2442.7600000000002</v>
      </c>
    </row>
    <row r="1287" spans="2:28" x14ac:dyDescent="0.2">
      <c r="B1287" s="30" t="s">
        <v>2294</v>
      </c>
      <c r="C1287" s="36"/>
      <c r="D1287" s="36"/>
      <c r="F1287" s="1" t="s">
        <v>1322</v>
      </c>
      <c r="G1287" s="30" t="s">
        <v>3384</v>
      </c>
      <c r="K1287" s="1" t="s">
        <v>3388</v>
      </c>
      <c r="L1287" s="1" t="s">
        <v>1279</v>
      </c>
      <c r="M1287" s="36" t="s">
        <v>1567</v>
      </c>
      <c r="N1287" s="1" t="s">
        <v>1715</v>
      </c>
      <c r="O1287" s="1" t="s">
        <v>1286</v>
      </c>
      <c r="P1287" s="34" t="str">
        <f t="shared" si="22"/>
        <v>F010</v>
      </c>
      <c r="Q1287" s="1" t="s">
        <v>127</v>
      </c>
      <c r="S1287" s="16">
        <v>20</v>
      </c>
      <c r="T1287" s="1" t="s">
        <v>3131</v>
      </c>
      <c r="U1287" s="1" t="s">
        <v>1999</v>
      </c>
      <c r="V1287" s="1" t="s">
        <v>1526</v>
      </c>
      <c r="Y1287" s="1">
        <v>7345.91</v>
      </c>
      <c r="AB1287" s="1">
        <v>5788.98</v>
      </c>
    </row>
    <row r="1288" spans="2:28" x14ac:dyDescent="0.2">
      <c r="B1288" s="30" t="s">
        <v>2294</v>
      </c>
      <c r="C1288" s="36"/>
      <c r="D1288" s="36"/>
      <c r="F1288" s="1" t="s">
        <v>3132</v>
      </c>
      <c r="G1288" s="30" t="s">
        <v>3384</v>
      </c>
      <c r="K1288" s="1" t="s">
        <v>3389</v>
      </c>
      <c r="L1288" s="1" t="s">
        <v>1279</v>
      </c>
      <c r="M1288" s="36" t="s">
        <v>1567</v>
      </c>
      <c r="N1288" s="1" t="s">
        <v>3390</v>
      </c>
      <c r="O1288" s="1" t="s">
        <v>1286</v>
      </c>
      <c r="P1288" s="34" t="str">
        <f t="shared" ref="P1288:P1351" si="23">+LEFT(Q1288,4)</f>
        <v>F010</v>
      </c>
      <c r="Q1288" s="1" t="s">
        <v>127</v>
      </c>
      <c r="S1288" s="16">
        <v>20</v>
      </c>
      <c r="T1288" s="1" t="s">
        <v>2427</v>
      </c>
      <c r="U1288" s="1" t="s">
        <v>1999</v>
      </c>
      <c r="V1288" s="1" t="s">
        <v>1526</v>
      </c>
      <c r="Y1288" s="1">
        <v>3192</v>
      </c>
      <c r="AB1288" s="1">
        <v>2442.7600000000002</v>
      </c>
    </row>
    <row r="1289" spans="2:28" x14ac:dyDescent="0.2">
      <c r="B1289" s="30" t="s">
        <v>2294</v>
      </c>
      <c r="C1289" s="36"/>
      <c r="D1289" s="36"/>
      <c r="F1289" s="1" t="s">
        <v>1895</v>
      </c>
      <c r="G1289" s="30" t="s">
        <v>3384</v>
      </c>
      <c r="K1289" s="1" t="s">
        <v>3391</v>
      </c>
      <c r="L1289" s="1" t="s">
        <v>1279</v>
      </c>
      <c r="M1289" s="36" t="s">
        <v>1567</v>
      </c>
      <c r="N1289" s="1" t="s">
        <v>1715</v>
      </c>
      <c r="O1289" s="1" t="s">
        <v>1286</v>
      </c>
      <c r="P1289" s="34" t="str">
        <f t="shared" si="23"/>
        <v>F010</v>
      </c>
      <c r="Q1289" s="1" t="s">
        <v>127</v>
      </c>
      <c r="S1289" s="16">
        <v>20</v>
      </c>
      <c r="T1289" s="1" t="s">
        <v>3074</v>
      </c>
      <c r="U1289" s="1" t="s">
        <v>1999</v>
      </c>
      <c r="V1289" s="1" t="s">
        <v>1526</v>
      </c>
      <c r="Y1289" s="1">
        <v>7345.91</v>
      </c>
      <c r="AB1289" s="1">
        <v>5788.98</v>
      </c>
    </row>
    <row r="1290" spans="2:28" x14ac:dyDescent="0.2">
      <c r="B1290" s="30" t="s">
        <v>2294</v>
      </c>
      <c r="C1290" s="36"/>
      <c r="D1290" s="36"/>
      <c r="F1290" s="1" t="s">
        <v>3075</v>
      </c>
      <c r="G1290" s="30" t="s">
        <v>3384</v>
      </c>
      <c r="K1290" s="1" t="s">
        <v>3392</v>
      </c>
      <c r="L1290" s="1" t="s">
        <v>1279</v>
      </c>
      <c r="M1290" s="36" t="s">
        <v>1567</v>
      </c>
      <c r="N1290" s="1" t="s">
        <v>1715</v>
      </c>
      <c r="O1290" s="1" t="s">
        <v>1286</v>
      </c>
      <c r="P1290" s="34" t="str">
        <f t="shared" si="23"/>
        <v>F010</v>
      </c>
      <c r="Q1290" s="1" t="s">
        <v>127</v>
      </c>
      <c r="S1290" s="16">
        <v>20</v>
      </c>
      <c r="T1290" s="1" t="s">
        <v>2427</v>
      </c>
      <c r="U1290" s="1" t="s">
        <v>1999</v>
      </c>
      <c r="V1290" s="1" t="s">
        <v>1526</v>
      </c>
      <c r="Y1290" s="1">
        <v>3192</v>
      </c>
      <c r="AB1290" s="1">
        <v>2442.7600000000002</v>
      </c>
    </row>
    <row r="1291" spans="2:28" x14ac:dyDescent="0.2">
      <c r="B1291" s="30" t="s">
        <v>2294</v>
      </c>
      <c r="C1291" s="36"/>
      <c r="D1291" s="36"/>
      <c r="F1291" s="1" t="s">
        <v>1895</v>
      </c>
      <c r="G1291" s="30" t="s">
        <v>3384</v>
      </c>
      <c r="K1291" s="1" t="s">
        <v>3393</v>
      </c>
      <c r="L1291" s="1" t="s">
        <v>1279</v>
      </c>
      <c r="M1291" s="36" t="s">
        <v>1567</v>
      </c>
      <c r="N1291" s="1" t="s">
        <v>1715</v>
      </c>
      <c r="O1291" s="1" t="s">
        <v>1286</v>
      </c>
      <c r="P1291" s="34" t="str">
        <f t="shared" si="23"/>
        <v>F010</v>
      </c>
      <c r="Q1291" s="1" t="s">
        <v>127</v>
      </c>
      <c r="S1291" s="16">
        <v>20</v>
      </c>
      <c r="T1291" s="1" t="s">
        <v>3079</v>
      </c>
      <c r="U1291" s="1" t="s">
        <v>1999</v>
      </c>
      <c r="V1291" s="1" t="s">
        <v>1526</v>
      </c>
      <c r="Y1291" s="1">
        <v>7345.91</v>
      </c>
      <c r="AB1291" s="1">
        <v>5788.98</v>
      </c>
    </row>
    <row r="1292" spans="2:28" x14ac:dyDescent="0.2">
      <c r="B1292" s="30" t="s">
        <v>2294</v>
      </c>
      <c r="C1292" s="36"/>
      <c r="D1292" s="36"/>
      <c r="F1292" s="1" t="s">
        <v>3080</v>
      </c>
      <c r="G1292" s="30" t="s">
        <v>3384</v>
      </c>
      <c r="K1292" s="1" t="s">
        <v>3394</v>
      </c>
      <c r="L1292" s="1" t="s">
        <v>1279</v>
      </c>
      <c r="M1292" s="36" t="s">
        <v>1567</v>
      </c>
      <c r="N1292" s="1" t="s">
        <v>1715</v>
      </c>
      <c r="O1292" s="1" t="s">
        <v>1286</v>
      </c>
      <c r="P1292" s="34" t="str">
        <f t="shared" si="23"/>
        <v>F010</v>
      </c>
      <c r="Q1292" s="1" t="s">
        <v>127</v>
      </c>
      <c r="S1292" s="16">
        <v>20</v>
      </c>
      <c r="T1292" s="1" t="s">
        <v>2427</v>
      </c>
      <c r="U1292" s="1" t="s">
        <v>1999</v>
      </c>
      <c r="V1292" s="1" t="s">
        <v>1526</v>
      </c>
      <c r="Y1292" s="1">
        <v>7345.91</v>
      </c>
      <c r="AB1292" s="1">
        <v>5788.98</v>
      </c>
    </row>
    <row r="1293" spans="2:28" x14ac:dyDescent="0.2">
      <c r="B1293" s="30" t="s">
        <v>2294</v>
      </c>
      <c r="C1293" s="36"/>
      <c r="D1293" s="36"/>
      <c r="F1293" s="1" t="s">
        <v>1895</v>
      </c>
      <c r="G1293" s="30" t="s">
        <v>3384</v>
      </c>
      <c r="K1293" s="1" t="s">
        <v>3395</v>
      </c>
      <c r="L1293" s="1" t="s">
        <v>1279</v>
      </c>
      <c r="M1293" s="36" t="s">
        <v>1567</v>
      </c>
      <c r="N1293" s="1" t="s">
        <v>1715</v>
      </c>
      <c r="O1293" s="1" t="s">
        <v>1286</v>
      </c>
      <c r="P1293" s="34" t="str">
        <f t="shared" si="23"/>
        <v>F010</v>
      </c>
      <c r="Q1293" s="1" t="s">
        <v>127</v>
      </c>
      <c r="S1293" s="16">
        <v>20</v>
      </c>
      <c r="T1293" s="1" t="s">
        <v>3396</v>
      </c>
      <c r="U1293" s="1" t="s">
        <v>1999</v>
      </c>
      <c r="V1293" s="1" t="s">
        <v>1526</v>
      </c>
      <c r="Y1293" s="1">
        <v>3192</v>
      </c>
      <c r="AB1293" s="1">
        <v>2442.7600000000002</v>
      </c>
    </row>
    <row r="1294" spans="2:28" x14ac:dyDescent="0.2">
      <c r="B1294" s="30" t="s">
        <v>2294</v>
      </c>
      <c r="C1294" s="36"/>
      <c r="D1294" s="36"/>
      <c r="F1294" s="1" t="s">
        <v>3397</v>
      </c>
      <c r="G1294" s="30" t="s">
        <v>3398</v>
      </c>
      <c r="K1294" s="1" t="s">
        <v>3399</v>
      </c>
      <c r="L1294" s="1" t="s">
        <v>1279</v>
      </c>
      <c r="M1294" s="36" t="s">
        <v>1699</v>
      </c>
      <c r="N1294" s="1" t="s">
        <v>2546</v>
      </c>
      <c r="O1294" s="1" t="s">
        <v>1286</v>
      </c>
      <c r="P1294" s="34" t="str">
        <f t="shared" si="23"/>
        <v>F010</v>
      </c>
      <c r="Q1294" s="1" t="s">
        <v>137</v>
      </c>
      <c r="S1294" s="16">
        <v>20</v>
      </c>
      <c r="T1294" s="1" t="s">
        <v>2427</v>
      </c>
      <c r="U1294" s="1" t="s">
        <v>1541</v>
      </c>
      <c r="V1294" s="1" t="s">
        <v>2711</v>
      </c>
      <c r="Y1294" s="1">
        <v>10935.99</v>
      </c>
      <c r="AB1294" s="1">
        <v>8946.27</v>
      </c>
    </row>
    <row r="1295" spans="2:28" x14ac:dyDescent="0.2">
      <c r="B1295" s="30" t="s">
        <v>2294</v>
      </c>
      <c r="C1295" s="36"/>
      <c r="D1295" s="36"/>
      <c r="F1295" s="1" t="s">
        <v>1895</v>
      </c>
      <c r="G1295" s="30" t="s">
        <v>3400</v>
      </c>
      <c r="K1295" s="1" t="s">
        <v>3401</v>
      </c>
      <c r="L1295" s="1" t="s">
        <v>1279</v>
      </c>
      <c r="M1295" s="36" t="s">
        <v>1451</v>
      </c>
      <c r="N1295" s="1" t="s">
        <v>2400</v>
      </c>
      <c r="O1295" s="1" t="s">
        <v>1286</v>
      </c>
      <c r="P1295" s="34" t="str">
        <f t="shared" si="23"/>
        <v>F010</v>
      </c>
      <c r="Q1295" s="1" t="s">
        <v>137</v>
      </c>
      <c r="S1295" s="16">
        <v>20</v>
      </c>
      <c r="T1295" s="1" t="s">
        <v>3115</v>
      </c>
      <c r="U1295" s="1" t="s">
        <v>1345</v>
      </c>
      <c r="V1295" s="1" t="s">
        <v>1699</v>
      </c>
      <c r="Y1295" s="1">
        <v>13980</v>
      </c>
      <c r="AB1295" s="1">
        <v>13281</v>
      </c>
    </row>
    <row r="1296" spans="2:28" x14ac:dyDescent="0.2">
      <c r="B1296" s="30" t="s">
        <v>2294</v>
      </c>
      <c r="C1296" s="36"/>
      <c r="D1296" s="36"/>
      <c r="F1296" s="1" t="s">
        <v>3116</v>
      </c>
      <c r="G1296" s="30" t="s">
        <v>3400</v>
      </c>
      <c r="K1296" s="1" t="s">
        <v>3402</v>
      </c>
      <c r="L1296" s="1" t="s">
        <v>1279</v>
      </c>
      <c r="M1296" s="36" t="s">
        <v>1451</v>
      </c>
      <c r="N1296" s="1" t="s">
        <v>2400</v>
      </c>
      <c r="O1296" s="1" t="s">
        <v>1286</v>
      </c>
      <c r="P1296" s="34" t="str">
        <f t="shared" si="23"/>
        <v>F010</v>
      </c>
      <c r="Q1296" s="1" t="s">
        <v>137</v>
      </c>
      <c r="S1296" s="16">
        <v>20</v>
      </c>
      <c r="T1296" s="1" t="s">
        <v>2299</v>
      </c>
      <c r="U1296" s="1" t="s">
        <v>1345</v>
      </c>
      <c r="V1296" s="1" t="s">
        <v>1699</v>
      </c>
      <c r="Y1296" s="1">
        <v>13980</v>
      </c>
      <c r="AB1296" s="1">
        <v>13281</v>
      </c>
    </row>
    <row r="1297" spans="2:28" x14ac:dyDescent="0.2">
      <c r="B1297" s="30" t="s">
        <v>2294</v>
      </c>
      <c r="C1297" s="36"/>
      <c r="D1297" s="36"/>
      <c r="F1297" s="1" t="s">
        <v>1322</v>
      </c>
      <c r="G1297" s="30" t="s">
        <v>3400</v>
      </c>
      <c r="K1297" s="1" t="s">
        <v>3403</v>
      </c>
      <c r="L1297" s="1" t="s">
        <v>1279</v>
      </c>
      <c r="M1297" s="36" t="s">
        <v>1594</v>
      </c>
      <c r="N1297" s="1" t="s">
        <v>2546</v>
      </c>
      <c r="O1297" s="1" t="s">
        <v>1286</v>
      </c>
      <c r="P1297" s="34" t="str">
        <f t="shared" si="23"/>
        <v>F010</v>
      </c>
      <c r="Q1297" s="1" t="s">
        <v>137</v>
      </c>
      <c r="S1297" s="16">
        <v>20</v>
      </c>
      <c r="T1297" s="1" t="s">
        <v>3191</v>
      </c>
      <c r="U1297" s="1" t="s">
        <v>1582</v>
      </c>
      <c r="V1297" s="1" t="s">
        <v>1567</v>
      </c>
      <c r="Y1297" s="1">
        <v>14000</v>
      </c>
      <c r="AB1297" s="1">
        <v>13300</v>
      </c>
    </row>
    <row r="1298" spans="2:28" x14ac:dyDescent="0.2">
      <c r="B1298" s="30" t="s">
        <v>2294</v>
      </c>
      <c r="C1298" s="36"/>
      <c r="D1298" s="36"/>
      <c r="F1298" s="1" t="s">
        <v>3192</v>
      </c>
      <c r="G1298" s="30" t="s">
        <v>3400</v>
      </c>
      <c r="K1298" s="1" t="s">
        <v>3404</v>
      </c>
      <c r="L1298" s="1" t="s">
        <v>1279</v>
      </c>
      <c r="M1298" s="36" t="s">
        <v>3405</v>
      </c>
      <c r="N1298" s="1" t="s">
        <v>2546</v>
      </c>
      <c r="O1298" s="1" t="s">
        <v>1286</v>
      </c>
      <c r="P1298" s="34" t="str">
        <f t="shared" si="23"/>
        <v>F010</v>
      </c>
      <c r="Q1298" s="1" t="s">
        <v>137</v>
      </c>
      <c r="S1298" s="16">
        <v>20</v>
      </c>
      <c r="T1298" s="1" t="s">
        <v>2299</v>
      </c>
      <c r="U1298" s="1" t="s">
        <v>1451</v>
      </c>
      <c r="V1298" s="1" t="s">
        <v>1613</v>
      </c>
      <c r="Y1298" s="1">
        <v>23800</v>
      </c>
      <c r="AB1298" s="1">
        <v>22610</v>
      </c>
    </row>
    <row r="1299" spans="2:28" x14ac:dyDescent="0.2">
      <c r="B1299" s="30" t="s">
        <v>2294</v>
      </c>
      <c r="C1299" s="36"/>
      <c r="D1299" s="36"/>
      <c r="F1299" s="1" t="s">
        <v>1322</v>
      </c>
      <c r="G1299" s="30" t="s">
        <v>3400</v>
      </c>
      <c r="K1299" s="1" t="s">
        <v>3406</v>
      </c>
      <c r="L1299" s="1" t="s">
        <v>1279</v>
      </c>
      <c r="M1299" s="36" t="s">
        <v>2085</v>
      </c>
      <c r="N1299" s="1" t="s">
        <v>1833</v>
      </c>
      <c r="O1299" s="1" t="s">
        <v>1286</v>
      </c>
      <c r="P1299" s="34" t="str">
        <f t="shared" si="23"/>
        <v>F010</v>
      </c>
      <c r="Q1299" s="1" t="s">
        <v>127</v>
      </c>
      <c r="S1299" s="16">
        <v>20</v>
      </c>
      <c r="T1299" s="1" t="s">
        <v>3407</v>
      </c>
      <c r="U1299" s="1" t="s">
        <v>1441</v>
      </c>
      <c r="V1299" s="1" t="s">
        <v>1480</v>
      </c>
      <c r="Y1299" s="1">
        <v>14500</v>
      </c>
      <c r="AB1299" s="1">
        <v>13775</v>
      </c>
    </row>
    <row r="1300" spans="2:28" x14ac:dyDescent="0.2">
      <c r="B1300" s="30" t="s">
        <v>2294</v>
      </c>
      <c r="C1300" s="36"/>
      <c r="D1300" s="36"/>
      <c r="F1300" s="1" t="s">
        <v>3408</v>
      </c>
      <c r="G1300" s="30" t="s">
        <v>3409</v>
      </c>
      <c r="K1300" s="1" t="s">
        <v>3410</v>
      </c>
      <c r="L1300" s="1" t="s">
        <v>1279</v>
      </c>
      <c r="M1300" s="36" t="s">
        <v>1480</v>
      </c>
      <c r="N1300" s="1" t="s">
        <v>1577</v>
      </c>
      <c r="O1300" s="1" t="s">
        <v>1286</v>
      </c>
      <c r="P1300" s="34" t="str">
        <f t="shared" si="23"/>
        <v>F010</v>
      </c>
      <c r="Q1300" s="1" t="s">
        <v>138</v>
      </c>
      <c r="S1300" s="16">
        <v>20</v>
      </c>
      <c r="T1300" s="1" t="s">
        <v>2299</v>
      </c>
      <c r="U1300" s="1" t="s">
        <v>1503</v>
      </c>
      <c r="V1300" s="1" t="s">
        <v>2095</v>
      </c>
      <c r="Y1300" s="1">
        <v>3863.25</v>
      </c>
      <c r="AB1300" s="1">
        <v>1529.25</v>
      </c>
    </row>
    <row r="1301" spans="2:28" x14ac:dyDescent="0.2">
      <c r="B1301" s="30" t="s">
        <v>2294</v>
      </c>
      <c r="C1301" s="36"/>
      <c r="D1301" s="36"/>
      <c r="F1301" s="1" t="s">
        <v>1322</v>
      </c>
      <c r="G1301" s="30" t="s">
        <v>3411</v>
      </c>
      <c r="K1301" s="1" t="s">
        <v>3412</v>
      </c>
      <c r="L1301" s="1" t="s">
        <v>1279</v>
      </c>
      <c r="M1301" s="36" t="s">
        <v>1480</v>
      </c>
      <c r="N1301" s="1" t="s">
        <v>1577</v>
      </c>
      <c r="O1301" s="1" t="s">
        <v>1286</v>
      </c>
      <c r="P1301" s="34" t="str">
        <f t="shared" si="23"/>
        <v>F010</v>
      </c>
      <c r="Q1301" s="1" t="s">
        <v>138</v>
      </c>
      <c r="S1301" s="16">
        <v>20</v>
      </c>
      <c r="T1301" s="1" t="s">
        <v>3413</v>
      </c>
      <c r="U1301" s="1" t="s">
        <v>1503</v>
      </c>
      <c r="V1301" s="1" t="s">
        <v>2095</v>
      </c>
      <c r="Y1301" s="1">
        <v>5106.83</v>
      </c>
      <c r="AB1301" s="1">
        <v>2021.44</v>
      </c>
    </row>
    <row r="1302" spans="2:28" x14ac:dyDescent="0.2">
      <c r="B1302" s="30" t="s">
        <v>2294</v>
      </c>
      <c r="C1302" s="36"/>
      <c r="D1302" s="36"/>
      <c r="F1302" s="1" t="s">
        <v>3414</v>
      </c>
      <c r="G1302" s="30" t="s">
        <v>3415</v>
      </c>
      <c r="K1302" s="1" t="s">
        <v>3416</v>
      </c>
      <c r="L1302" s="1" t="s">
        <v>1279</v>
      </c>
      <c r="M1302" s="36" t="s">
        <v>2288</v>
      </c>
      <c r="N1302" s="1" t="s">
        <v>1287</v>
      </c>
      <c r="O1302" s="1" t="s">
        <v>1286</v>
      </c>
      <c r="P1302" s="34" t="str">
        <f t="shared" si="23"/>
        <v>F010</v>
      </c>
      <c r="Q1302" s="1" t="s">
        <v>138</v>
      </c>
      <c r="S1302" s="16">
        <v>20</v>
      </c>
      <c r="T1302" s="1" t="s">
        <v>2299</v>
      </c>
      <c r="U1302" s="1" t="s">
        <v>1548</v>
      </c>
      <c r="V1302" s="1" t="s">
        <v>2120</v>
      </c>
      <c r="Y1302" s="1">
        <v>33500</v>
      </c>
      <c r="AB1302" s="1">
        <v>31825</v>
      </c>
    </row>
    <row r="1303" spans="2:28" x14ac:dyDescent="0.2">
      <c r="B1303" s="30" t="s">
        <v>2294</v>
      </c>
      <c r="C1303" s="36"/>
      <c r="D1303" s="36"/>
      <c r="F1303" s="1" t="s">
        <v>1322</v>
      </c>
      <c r="G1303" s="30" t="s">
        <v>3415</v>
      </c>
      <c r="K1303" s="1" t="s">
        <v>3417</v>
      </c>
      <c r="L1303" s="1" t="s">
        <v>1279</v>
      </c>
      <c r="M1303" s="36" t="s">
        <v>2288</v>
      </c>
      <c r="N1303" s="1" t="s">
        <v>1287</v>
      </c>
      <c r="O1303" s="1" t="s">
        <v>1286</v>
      </c>
      <c r="P1303" s="34" t="str">
        <f t="shared" si="23"/>
        <v>F010</v>
      </c>
      <c r="Q1303" s="1" t="s">
        <v>138</v>
      </c>
      <c r="S1303" s="16">
        <v>20</v>
      </c>
      <c r="T1303" s="1" t="s">
        <v>3079</v>
      </c>
      <c r="U1303" s="1" t="s">
        <v>1548</v>
      </c>
      <c r="V1303" s="1" t="s">
        <v>2120</v>
      </c>
      <c r="Y1303" s="1">
        <v>33500</v>
      </c>
      <c r="AB1303" s="1">
        <v>31825</v>
      </c>
    </row>
    <row r="1304" spans="2:28" x14ac:dyDescent="0.2">
      <c r="B1304" s="30" t="s">
        <v>2294</v>
      </c>
      <c r="C1304" s="36"/>
      <c r="D1304" s="36"/>
      <c r="F1304" s="1" t="s">
        <v>3080</v>
      </c>
      <c r="G1304" s="30" t="s">
        <v>3418</v>
      </c>
      <c r="K1304" s="1" t="s">
        <v>3419</v>
      </c>
      <c r="L1304" s="1" t="s">
        <v>1279</v>
      </c>
      <c r="M1304" s="36" t="s">
        <v>1330</v>
      </c>
      <c r="N1304" s="1" t="s">
        <v>1637</v>
      </c>
      <c r="O1304" s="1" t="s">
        <v>1286</v>
      </c>
      <c r="P1304" s="34" t="str">
        <f t="shared" si="23"/>
        <v>F010</v>
      </c>
      <c r="Q1304" s="1" t="s">
        <v>127</v>
      </c>
      <c r="S1304" s="16">
        <v>20</v>
      </c>
      <c r="T1304" s="1" t="s">
        <v>2299</v>
      </c>
      <c r="U1304" s="1" t="s">
        <v>1426</v>
      </c>
      <c r="V1304" s="1" t="s">
        <v>1766</v>
      </c>
      <c r="Y1304" s="1">
        <v>29348.959999999999</v>
      </c>
      <c r="AB1304" s="1">
        <v>3097.96</v>
      </c>
    </row>
    <row r="1305" spans="2:28" x14ac:dyDescent="0.2">
      <c r="B1305" s="30" t="s">
        <v>2294</v>
      </c>
      <c r="C1305" s="36"/>
      <c r="D1305" s="36"/>
      <c r="F1305" s="1" t="s">
        <v>1322</v>
      </c>
      <c r="G1305" s="30" t="s">
        <v>3420</v>
      </c>
      <c r="K1305" s="1" t="s">
        <v>3421</v>
      </c>
      <c r="L1305" s="1" t="s">
        <v>1279</v>
      </c>
      <c r="M1305" s="36" t="s">
        <v>1541</v>
      </c>
      <c r="N1305" s="1" t="s">
        <v>1287</v>
      </c>
      <c r="O1305" s="1" t="s">
        <v>1286</v>
      </c>
      <c r="P1305" s="34" t="str">
        <f t="shared" si="23"/>
        <v>F010</v>
      </c>
      <c r="Q1305" s="1" t="s">
        <v>138</v>
      </c>
      <c r="S1305" s="16">
        <v>20</v>
      </c>
      <c r="T1305" s="1" t="s">
        <v>3422</v>
      </c>
      <c r="U1305" s="1" t="s">
        <v>1567</v>
      </c>
      <c r="V1305" s="1" t="s">
        <v>1513</v>
      </c>
      <c r="Y1305" s="1">
        <v>8838.43</v>
      </c>
      <c r="AB1305" s="1">
        <v>6997.1</v>
      </c>
    </row>
    <row r="1306" spans="2:28" x14ac:dyDescent="0.2">
      <c r="B1306" s="30" t="s">
        <v>2294</v>
      </c>
      <c r="C1306" s="36"/>
      <c r="D1306" s="36"/>
      <c r="F1306" s="1" t="s">
        <v>3423</v>
      </c>
      <c r="G1306" s="30" t="s">
        <v>3420</v>
      </c>
      <c r="K1306" s="1" t="s">
        <v>3424</v>
      </c>
      <c r="L1306" s="1" t="s">
        <v>1279</v>
      </c>
      <c r="M1306" s="36" t="s">
        <v>1541</v>
      </c>
      <c r="N1306" s="1" t="s">
        <v>1287</v>
      </c>
      <c r="O1306" s="1" t="s">
        <v>1286</v>
      </c>
      <c r="P1306" s="34" t="str">
        <f t="shared" si="23"/>
        <v>F010</v>
      </c>
      <c r="Q1306" s="1" t="s">
        <v>138</v>
      </c>
      <c r="S1306" s="16">
        <v>20</v>
      </c>
      <c r="T1306" s="1" t="s">
        <v>2299</v>
      </c>
      <c r="U1306" s="1" t="s">
        <v>1567</v>
      </c>
      <c r="V1306" s="1" t="s">
        <v>1513</v>
      </c>
      <c r="Y1306" s="1">
        <v>8838.43</v>
      </c>
      <c r="AB1306" s="1">
        <v>6997.1</v>
      </c>
    </row>
    <row r="1307" spans="2:28" x14ac:dyDescent="0.2">
      <c r="B1307" s="30" t="s">
        <v>2294</v>
      </c>
      <c r="C1307" s="36"/>
      <c r="D1307" s="36"/>
      <c r="F1307" s="1" t="s">
        <v>1322</v>
      </c>
      <c r="G1307" s="30" t="s">
        <v>3420</v>
      </c>
      <c r="K1307" s="1" t="s">
        <v>3425</v>
      </c>
      <c r="L1307" s="1" t="s">
        <v>1279</v>
      </c>
      <c r="M1307" s="36" t="s">
        <v>1541</v>
      </c>
      <c r="N1307" s="1" t="s">
        <v>1287</v>
      </c>
      <c r="O1307" s="1" t="s">
        <v>1286</v>
      </c>
      <c r="P1307" s="34" t="str">
        <f t="shared" si="23"/>
        <v>F010</v>
      </c>
      <c r="Q1307" s="1" t="s">
        <v>138</v>
      </c>
      <c r="S1307" s="16">
        <v>20</v>
      </c>
      <c r="T1307" s="1" t="s">
        <v>3426</v>
      </c>
      <c r="U1307" s="1" t="s">
        <v>1567</v>
      </c>
      <c r="V1307" s="1" t="s">
        <v>1513</v>
      </c>
      <c r="Y1307" s="1">
        <v>8838.43</v>
      </c>
      <c r="AB1307" s="1">
        <v>6997.1</v>
      </c>
    </row>
    <row r="1308" spans="2:28" x14ac:dyDescent="0.2">
      <c r="B1308" s="30" t="s">
        <v>2294</v>
      </c>
      <c r="C1308" s="36"/>
      <c r="D1308" s="36"/>
      <c r="F1308" s="1" t="s">
        <v>3427</v>
      </c>
      <c r="G1308" s="30" t="s">
        <v>3420</v>
      </c>
      <c r="K1308" s="1" t="s">
        <v>3428</v>
      </c>
      <c r="L1308" s="1" t="s">
        <v>1279</v>
      </c>
      <c r="M1308" s="36" t="s">
        <v>1541</v>
      </c>
      <c r="N1308" s="1" t="s">
        <v>1287</v>
      </c>
      <c r="O1308" s="1" t="s">
        <v>1286</v>
      </c>
      <c r="P1308" s="34" t="str">
        <f t="shared" si="23"/>
        <v>F010</v>
      </c>
      <c r="Q1308" s="1" t="s">
        <v>138</v>
      </c>
      <c r="S1308" s="16">
        <v>20</v>
      </c>
      <c r="T1308" s="1" t="s">
        <v>2427</v>
      </c>
      <c r="U1308" s="1" t="s">
        <v>1567</v>
      </c>
      <c r="V1308" s="1" t="s">
        <v>1513</v>
      </c>
      <c r="Y1308" s="1">
        <v>8838.43</v>
      </c>
      <c r="AB1308" s="1">
        <v>6997.1</v>
      </c>
    </row>
    <row r="1309" spans="2:28" x14ac:dyDescent="0.2">
      <c r="B1309" s="30" t="s">
        <v>2294</v>
      </c>
      <c r="C1309" s="36"/>
      <c r="D1309" s="36"/>
      <c r="F1309" s="1" t="s">
        <v>1895</v>
      </c>
      <c r="G1309" s="30" t="s">
        <v>3420</v>
      </c>
      <c r="K1309" s="1" t="s">
        <v>3429</v>
      </c>
      <c r="L1309" s="1" t="s">
        <v>1279</v>
      </c>
      <c r="M1309" s="36" t="s">
        <v>1541</v>
      </c>
      <c r="N1309" s="1" t="s">
        <v>1287</v>
      </c>
      <c r="O1309" s="1" t="s">
        <v>1286</v>
      </c>
      <c r="P1309" s="34" t="str">
        <f t="shared" si="23"/>
        <v>F010</v>
      </c>
      <c r="Q1309" s="1" t="s">
        <v>138</v>
      </c>
      <c r="S1309" s="16">
        <v>20</v>
      </c>
      <c r="T1309" s="1" t="s">
        <v>3430</v>
      </c>
      <c r="U1309" s="1" t="s">
        <v>1567</v>
      </c>
      <c r="V1309" s="1" t="s">
        <v>1513</v>
      </c>
      <c r="Y1309" s="1">
        <v>8838.43</v>
      </c>
      <c r="AB1309" s="1">
        <v>6997.1</v>
      </c>
    </row>
    <row r="1310" spans="2:28" x14ac:dyDescent="0.2">
      <c r="B1310" s="30" t="s">
        <v>2294</v>
      </c>
      <c r="C1310" s="36"/>
      <c r="D1310" s="36"/>
      <c r="F1310" s="1" t="s">
        <v>3431</v>
      </c>
      <c r="G1310" s="30" t="s">
        <v>3420</v>
      </c>
      <c r="K1310" s="1" t="s">
        <v>3432</v>
      </c>
      <c r="L1310" s="1" t="s">
        <v>1279</v>
      </c>
      <c r="M1310" s="36" t="s">
        <v>1541</v>
      </c>
      <c r="N1310" s="1" t="s">
        <v>1287</v>
      </c>
      <c r="O1310" s="1" t="s">
        <v>1286</v>
      </c>
      <c r="P1310" s="34" t="str">
        <f t="shared" si="23"/>
        <v>F010</v>
      </c>
      <c r="Q1310" s="1" t="s">
        <v>138</v>
      </c>
      <c r="S1310" s="16">
        <v>20</v>
      </c>
      <c r="T1310" s="1" t="s">
        <v>2299</v>
      </c>
      <c r="U1310" s="1" t="s">
        <v>1567</v>
      </c>
      <c r="V1310" s="1" t="s">
        <v>1513</v>
      </c>
      <c r="Y1310" s="1">
        <v>8838.43</v>
      </c>
      <c r="AB1310" s="1">
        <v>6997.1</v>
      </c>
    </row>
    <row r="1311" spans="2:28" x14ac:dyDescent="0.2">
      <c r="B1311" s="30" t="s">
        <v>2294</v>
      </c>
      <c r="C1311" s="36"/>
      <c r="D1311" s="36"/>
      <c r="F1311" s="1" t="s">
        <v>1322</v>
      </c>
      <c r="G1311" s="30" t="s">
        <v>3420</v>
      </c>
      <c r="K1311" s="1" t="s">
        <v>3433</v>
      </c>
      <c r="L1311" s="1" t="s">
        <v>1279</v>
      </c>
      <c r="M1311" s="36" t="s">
        <v>1541</v>
      </c>
      <c r="N1311" s="1" t="s">
        <v>1287</v>
      </c>
      <c r="O1311" s="1" t="s">
        <v>1286</v>
      </c>
      <c r="P1311" s="34" t="str">
        <f t="shared" si="23"/>
        <v>F010</v>
      </c>
      <c r="Q1311" s="1" t="s">
        <v>138</v>
      </c>
      <c r="S1311" s="16">
        <v>20</v>
      </c>
      <c r="T1311" s="1" t="s">
        <v>3380</v>
      </c>
      <c r="U1311" s="1" t="s">
        <v>1567</v>
      </c>
      <c r="V1311" s="1" t="s">
        <v>1513</v>
      </c>
      <c r="Y1311" s="1">
        <v>8838.43</v>
      </c>
      <c r="AB1311" s="1">
        <v>6997.1</v>
      </c>
    </row>
    <row r="1312" spans="2:28" x14ac:dyDescent="0.2">
      <c r="B1312" s="30" t="s">
        <v>2294</v>
      </c>
      <c r="C1312" s="36"/>
      <c r="D1312" s="36"/>
      <c r="F1312" s="1" t="s">
        <v>3381</v>
      </c>
      <c r="G1312" s="30" t="s">
        <v>3420</v>
      </c>
      <c r="K1312" s="1" t="s">
        <v>3434</v>
      </c>
      <c r="L1312" s="1" t="s">
        <v>1279</v>
      </c>
      <c r="M1312" s="36" t="s">
        <v>1541</v>
      </c>
      <c r="N1312" s="1" t="s">
        <v>1287</v>
      </c>
      <c r="O1312" s="1" t="s">
        <v>1286</v>
      </c>
      <c r="P1312" s="34" t="str">
        <f t="shared" si="23"/>
        <v>F010</v>
      </c>
      <c r="Q1312" s="1" t="s">
        <v>138</v>
      </c>
      <c r="S1312" s="16">
        <v>20</v>
      </c>
      <c r="T1312" s="1" t="s">
        <v>2299</v>
      </c>
      <c r="U1312" s="1" t="s">
        <v>1567</v>
      </c>
      <c r="V1312" s="1" t="s">
        <v>1513</v>
      </c>
      <c r="Y1312" s="1">
        <v>8838.43</v>
      </c>
      <c r="AB1312" s="1">
        <v>6997.1</v>
      </c>
    </row>
    <row r="1313" spans="2:28" x14ac:dyDescent="0.2">
      <c r="B1313" s="30" t="s">
        <v>2294</v>
      </c>
      <c r="C1313" s="36"/>
      <c r="D1313" s="36"/>
      <c r="F1313" s="1" t="s">
        <v>1322</v>
      </c>
      <c r="G1313" s="30" t="s">
        <v>3420</v>
      </c>
      <c r="K1313" s="1" t="s">
        <v>3435</v>
      </c>
      <c r="L1313" s="1" t="s">
        <v>1279</v>
      </c>
      <c r="M1313" s="36" t="s">
        <v>1541</v>
      </c>
      <c r="N1313" s="1" t="s">
        <v>1287</v>
      </c>
      <c r="O1313" s="1" t="s">
        <v>1286</v>
      </c>
      <c r="P1313" s="34" t="str">
        <f t="shared" si="23"/>
        <v>F010</v>
      </c>
      <c r="Q1313" s="1" t="s">
        <v>138</v>
      </c>
      <c r="S1313" s="16">
        <v>20</v>
      </c>
      <c r="T1313" s="1" t="s">
        <v>3209</v>
      </c>
      <c r="U1313" s="1" t="s">
        <v>1567</v>
      </c>
      <c r="V1313" s="1" t="s">
        <v>1513</v>
      </c>
      <c r="Y1313" s="1">
        <v>8838.43</v>
      </c>
      <c r="AB1313" s="1">
        <v>6997.1</v>
      </c>
    </row>
    <row r="1314" spans="2:28" x14ac:dyDescent="0.2">
      <c r="B1314" s="30" t="s">
        <v>2294</v>
      </c>
      <c r="C1314" s="36"/>
      <c r="D1314" s="36"/>
      <c r="F1314" s="1" t="s">
        <v>3210</v>
      </c>
      <c r="G1314" s="30" t="s">
        <v>3436</v>
      </c>
      <c r="K1314" s="1" t="s">
        <v>3437</v>
      </c>
      <c r="L1314" s="1" t="s">
        <v>1279</v>
      </c>
      <c r="M1314" s="36" t="s">
        <v>1511</v>
      </c>
      <c r="N1314" s="1" t="s">
        <v>1286</v>
      </c>
      <c r="O1314" s="1" t="s">
        <v>1286</v>
      </c>
      <c r="P1314" s="34" t="str">
        <f t="shared" si="23"/>
        <v>F010</v>
      </c>
      <c r="Q1314" s="1" t="s">
        <v>137</v>
      </c>
      <c r="S1314" s="16">
        <v>20</v>
      </c>
      <c r="T1314" s="1" t="s">
        <v>2299</v>
      </c>
      <c r="U1314" s="1" t="s">
        <v>1468</v>
      </c>
      <c r="V1314" s="1" t="s">
        <v>1634</v>
      </c>
      <c r="Y1314" s="1">
        <v>17892.650000000001</v>
      </c>
      <c r="AB1314" s="1">
        <v>8499.06</v>
      </c>
    </row>
    <row r="1315" spans="2:28" x14ac:dyDescent="0.2">
      <c r="B1315" s="30" t="s">
        <v>2294</v>
      </c>
      <c r="C1315" s="36"/>
      <c r="D1315" s="36"/>
      <c r="F1315" s="1" t="s">
        <v>1322</v>
      </c>
      <c r="G1315" s="30" t="s">
        <v>3436</v>
      </c>
      <c r="K1315" s="1" t="s">
        <v>3438</v>
      </c>
      <c r="L1315" s="1" t="s">
        <v>1279</v>
      </c>
      <c r="M1315" s="36" t="s">
        <v>1511</v>
      </c>
      <c r="N1315" s="1" t="s">
        <v>1286</v>
      </c>
      <c r="O1315" s="1" t="s">
        <v>1286</v>
      </c>
      <c r="P1315" s="34" t="str">
        <f t="shared" si="23"/>
        <v>F010</v>
      </c>
      <c r="Q1315" s="1" t="s">
        <v>137</v>
      </c>
      <c r="S1315" s="16">
        <v>20</v>
      </c>
      <c r="T1315" s="1" t="s">
        <v>3152</v>
      </c>
      <c r="U1315" s="1" t="s">
        <v>1468</v>
      </c>
      <c r="V1315" s="1" t="s">
        <v>1634</v>
      </c>
      <c r="Y1315" s="1">
        <v>17892.650000000001</v>
      </c>
      <c r="AB1315" s="1">
        <v>8499.06</v>
      </c>
    </row>
    <row r="1316" spans="2:28" x14ac:dyDescent="0.2">
      <c r="B1316" s="30" t="s">
        <v>2294</v>
      </c>
      <c r="C1316" s="36"/>
      <c r="D1316" s="36"/>
      <c r="F1316" s="1" t="s">
        <v>3153</v>
      </c>
      <c r="G1316" s="30" t="s">
        <v>3436</v>
      </c>
      <c r="K1316" s="1" t="s">
        <v>3439</v>
      </c>
      <c r="L1316" s="1" t="s">
        <v>1279</v>
      </c>
      <c r="M1316" s="36" t="s">
        <v>1511</v>
      </c>
      <c r="N1316" s="1" t="s">
        <v>1286</v>
      </c>
      <c r="O1316" s="1" t="s">
        <v>1286</v>
      </c>
      <c r="P1316" s="34" t="str">
        <f t="shared" si="23"/>
        <v>F010</v>
      </c>
      <c r="Q1316" s="1" t="s">
        <v>137</v>
      </c>
      <c r="S1316" s="16">
        <v>20</v>
      </c>
      <c r="T1316" s="1" t="s">
        <v>2299</v>
      </c>
      <c r="U1316" s="1" t="s">
        <v>1468</v>
      </c>
      <c r="V1316" s="1" t="s">
        <v>1634</v>
      </c>
      <c r="Y1316" s="1">
        <v>17892.650000000001</v>
      </c>
      <c r="AB1316" s="1">
        <v>8499.06</v>
      </c>
    </row>
    <row r="1317" spans="2:28" x14ac:dyDescent="0.2">
      <c r="B1317" s="30" t="s">
        <v>2294</v>
      </c>
      <c r="C1317" s="36"/>
      <c r="D1317" s="36"/>
      <c r="F1317" s="1" t="s">
        <v>1322</v>
      </c>
      <c r="G1317" s="30" t="s">
        <v>3436</v>
      </c>
      <c r="K1317" s="1" t="s">
        <v>3440</v>
      </c>
      <c r="L1317" s="1" t="s">
        <v>1279</v>
      </c>
      <c r="M1317" s="36" t="s">
        <v>1511</v>
      </c>
      <c r="N1317" s="1" t="s">
        <v>1286</v>
      </c>
      <c r="O1317" s="1" t="s">
        <v>1286</v>
      </c>
      <c r="P1317" s="34" t="str">
        <f t="shared" si="23"/>
        <v>F010</v>
      </c>
      <c r="Q1317" s="1" t="s">
        <v>137</v>
      </c>
      <c r="S1317" s="16">
        <v>20</v>
      </c>
      <c r="T1317" s="1" t="s">
        <v>3441</v>
      </c>
      <c r="U1317" s="1" t="s">
        <v>1468</v>
      </c>
      <c r="V1317" s="1" t="s">
        <v>1634</v>
      </c>
      <c r="Y1317" s="1">
        <v>17892.650000000001</v>
      </c>
      <c r="AB1317" s="1">
        <v>8499.06</v>
      </c>
    </row>
    <row r="1318" spans="2:28" x14ac:dyDescent="0.2">
      <c r="B1318" s="30" t="s">
        <v>2294</v>
      </c>
      <c r="C1318" s="36"/>
      <c r="D1318" s="36"/>
      <c r="F1318" s="1" t="s">
        <v>3442</v>
      </c>
      <c r="G1318" s="30" t="s">
        <v>3436</v>
      </c>
      <c r="K1318" s="1" t="s">
        <v>3443</v>
      </c>
      <c r="L1318" s="1" t="s">
        <v>1279</v>
      </c>
      <c r="M1318" s="36" t="s">
        <v>1511</v>
      </c>
      <c r="N1318" s="1" t="s">
        <v>1286</v>
      </c>
      <c r="O1318" s="1" t="s">
        <v>1286</v>
      </c>
      <c r="P1318" s="34" t="str">
        <f t="shared" si="23"/>
        <v>F010</v>
      </c>
      <c r="Q1318" s="1" t="s">
        <v>137</v>
      </c>
      <c r="S1318" s="16">
        <v>20</v>
      </c>
      <c r="T1318" s="1" t="s">
        <v>2299</v>
      </c>
      <c r="U1318" s="1" t="s">
        <v>1468</v>
      </c>
      <c r="V1318" s="1" t="s">
        <v>1634</v>
      </c>
      <c r="Y1318" s="1">
        <v>17892.650000000001</v>
      </c>
      <c r="AB1318" s="1">
        <v>8499.06</v>
      </c>
    </row>
    <row r="1319" spans="2:28" x14ac:dyDescent="0.2">
      <c r="B1319" s="30" t="s">
        <v>2294</v>
      </c>
      <c r="C1319" s="36"/>
      <c r="D1319" s="36"/>
      <c r="F1319" s="1" t="s">
        <v>1322</v>
      </c>
      <c r="G1319" s="30" t="s">
        <v>3444</v>
      </c>
      <c r="K1319" s="1" t="s">
        <v>3445</v>
      </c>
      <c r="L1319" s="1" t="s">
        <v>1279</v>
      </c>
      <c r="M1319" s="36" t="s">
        <v>2343</v>
      </c>
      <c r="N1319" s="1" t="s">
        <v>1287</v>
      </c>
      <c r="O1319" s="1" t="s">
        <v>1286</v>
      </c>
      <c r="P1319" s="34" t="str">
        <f t="shared" si="23"/>
        <v>F010</v>
      </c>
      <c r="Q1319" s="1" t="s">
        <v>138</v>
      </c>
      <c r="S1319" s="16">
        <v>20</v>
      </c>
      <c r="T1319" s="1" t="s">
        <v>3209</v>
      </c>
      <c r="U1319" s="1" t="s">
        <v>1375</v>
      </c>
      <c r="V1319" s="1" t="s">
        <v>2197</v>
      </c>
      <c r="Y1319" s="1">
        <v>10400</v>
      </c>
      <c r="AB1319" s="1">
        <v>9880</v>
      </c>
    </row>
    <row r="1320" spans="2:28" x14ac:dyDescent="0.2">
      <c r="B1320" s="30" t="s">
        <v>2294</v>
      </c>
      <c r="C1320" s="36"/>
      <c r="D1320" s="36"/>
      <c r="F1320" s="1" t="s">
        <v>3210</v>
      </c>
      <c r="G1320" s="30" t="s">
        <v>3444</v>
      </c>
      <c r="K1320" s="1" t="s">
        <v>3446</v>
      </c>
      <c r="L1320" s="1" t="s">
        <v>1279</v>
      </c>
      <c r="M1320" s="36" t="s">
        <v>2343</v>
      </c>
      <c r="N1320" s="1" t="s">
        <v>1287</v>
      </c>
      <c r="O1320" s="1" t="s">
        <v>1286</v>
      </c>
      <c r="P1320" s="34" t="str">
        <f t="shared" si="23"/>
        <v>F010</v>
      </c>
      <c r="Q1320" s="1" t="s">
        <v>138</v>
      </c>
      <c r="S1320" s="16">
        <v>20</v>
      </c>
      <c r="T1320" s="1" t="s">
        <v>2299</v>
      </c>
      <c r="U1320" s="1" t="s">
        <v>1375</v>
      </c>
      <c r="V1320" s="1" t="s">
        <v>2197</v>
      </c>
      <c r="Y1320" s="1">
        <v>10400</v>
      </c>
      <c r="AB1320" s="1">
        <v>9880</v>
      </c>
    </row>
    <row r="1321" spans="2:28" x14ac:dyDescent="0.2">
      <c r="B1321" s="30" t="s">
        <v>2294</v>
      </c>
      <c r="C1321" s="36"/>
      <c r="D1321" s="36"/>
      <c r="F1321" s="1" t="s">
        <v>1322</v>
      </c>
      <c r="G1321" s="30" t="s">
        <v>3444</v>
      </c>
      <c r="K1321" s="1" t="s">
        <v>3447</v>
      </c>
      <c r="L1321" s="1" t="s">
        <v>1279</v>
      </c>
      <c r="M1321" s="36" t="s">
        <v>2343</v>
      </c>
      <c r="N1321" s="1" t="s">
        <v>1287</v>
      </c>
      <c r="O1321" s="1" t="s">
        <v>1286</v>
      </c>
      <c r="P1321" s="34" t="str">
        <f t="shared" si="23"/>
        <v>F010</v>
      </c>
      <c r="Q1321" s="1" t="s">
        <v>138</v>
      </c>
      <c r="S1321" s="16">
        <v>20</v>
      </c>
      <c r="T1321" s="1" t="s">
        <v>3448</v>
      </c>
      <c r="U1321" s="1" t="s">
        <v>1375</v>
      </c>
      <c r="V1321" s="1" t="s">
        <v>2197</v>
      </c>
      <c r="Y1321" s="1">
        <v>10400</v>
      </c>
      <c r="AB1321" s="1">
        <v>9880</v>
      </c>
    </row>
    <row r="1322" spans="2:28" x14ac:dyDescent="0.2">
      <c r="B1322" s="30" t="s">
        <v>2294</v>
      </c>
      <c r="C1322" s="36"/>
      <c r="D1322" s="36"/>
      <c r="F1322" s="1" t="s">
        <v>3449</v>
      </c>
      <c r="G1322" s="30" t="s">
        <v>3450</v>
      </c>
      <c r="K1322" s="1" t="s">
        <v>3451</v>
      </c>
      <c r="L1322" s="1" t="s">
        <v>1279</v>
      </c>
      <c r="M1322" s="36" t="s">
        <v>1511</v>
      </c>
      <c r="N1322" s="1" t="s">
        <v>1837</v>
      </c>
      <c r="O1322" s="1" t="s">
        <v>1286</v>
      </c>
      <c r="P1322" s="34" t="str">
        <f t="shared" si="23"/>
        <v>F010</v>
      </c>
      <c r="Q1322" s="1" t="s">
        <v>137</v>
      </c>
      <c r="S1322" s="16">
        <v>20</v>
      </c>
      <c r="T1322" s="1" t="s">
        <v>2299</v>
      </c>
      <c r="U1322" s="1" t="s">
        <v>1468</v>
      </c>
      <c r="V1322" s="1" t="s">
        <v>1634</v>
      </c>
      <c r="Y1322" s="1">
        <v>2948.72</v>
      </c>
      <c r="AB1322" s="1">
        <v>1370.7</v>
      </c>
    </row>
    <row r="1323" spans="2:28" x14ac:dyDescent="0.2">
      <c r="B1323" s="30" t="s">
        <v>2294</v>
      </c>
      <c r="C1323" s="36"/>
      <c r="D1323" s="36"/>
      <c r="F1323" s="1" t="s">
        <v>1322</v>
      </c>
      <c r="G1323" s="30" t="s">
        <v>3450</v>
      </c>
      <c r="K1323" s="1" t="s">
        <v>3452</v>
      </c>
      <c r="L1323" s="1" t="s">
        <v>1279</v>
      </c>
      <c r="M1323" s="36" t="s">
        <v>1511</v>
      </c>
      <c r="N1323" s="1" t="s">
        <v>1837</v>
      </c>
      <c r="O1323" s="1" t="s">
        <v>1286</v>
      </c>
      <c r="P1323" s="34" t="str">
        <f t="shared" si="23"/>
        <v>F010</v>
      </c>
      <c r="Q1323" s="1" t="s">
        <v>137</v>
      </c>
      <c r="S1323" s="16">
        <v>20</v>
      </c>
      <c r="T1323" s="1" t="s">
        <v>3396</v>
      </c>
      <c r="U1323" s="1" t="s">
        <v>1468</v>
      </c>
      <c r="V1323" s="1" t="s">
        <v>1634</v>
      </c>
      <c r="Y1323" s="1">
        <v>2948.72</v>
      </c>
      <c r="AB1323" s="1">
        <v>1370.7</v>
      </c>
    </row>
    <row r="1324" spans="2:28" x14ac:dyDescent="0.2">
      <c r="B1324" s="30" t="s">
        <v>2294</v>
      </c>
      <c r="C1324" s="36"/>
      <c r="D1324" s="36"/>
      <c r="F1324" s="1" t="s">
        <v>3397</v>
      </c>
      <c r="G1324" s="30" t="s">
        <v>3450</v>
      </c>
      <c r="K1324" s="1" t="s">
        <v>3453</v>
      </c>
      <c r="L1324" s="1" t="s">
        <v>1279</v>
      </c>
      <c r="M1324" s="36" t="s">
        <v>1511</v>
      </c>
      <c r="N1324" s="1" t="s">
        <v>1837</v>
      </c>
      <c r="O1324" s="1" t="s">
        <v>1286</v>
      </c>
      <c r="P1324" s="34" t="str">
        <f t="shared" si="23"/>
        <v>F010</v>
      </c>
      <c r="Q1324" s="1" t="s">
        <v>137</v>
      </c>
      <c r="S1324" s="16">
        <v>20</v>
      </c>
      <c r="T1324" s="1" t="s">
        <v>2299</v>
      </c>
      <c r="U1324" s="1" t="s">
        <v>1468</v>
      </c>
      <c r="V1324" s="1" t="s">
        <v>1634</v>
      </c>
      <c r="Y1324" s="1">
        <v>2948.72</v>
      </c>
      <c r="AB1324" s="1">
        <v>1370.7</v>
      </c>
    </row>
    <row r="1325" spans="2:28" x14ac:dyDescent="0.2">
      <c r="B1325" s="30" t="s">
        <v>2294</v>
      </c>
      <c r="C1325" s="36"/>
      <c r="D1325" s="36"/>
      <c r="F1325" s="1" t="s">
        <v>1322</v>
      </c>
      <c r="G1325" s="30" t="s">
        <v>3450</v>
      </c>
      <c r="K1325" s="1" t="s">
        <v>3454</v>
      </c>
      <c r="L1325" s="1" t="s">
        <v>1279</v>
      </c>
      <c r="M1325" s="36" t="s">
        <v>1511</v>
      </c>
      <c r="N1325" s="1" t="s">
        <v>1837</v>
      </c>
      <c r="O1325" s="1" t="s">
        <v>1286</v>
      </c>
      <c r="P1325" s="34" t="str">
        <f t="shared" si="23"/>
        <v>F010</v>
      </c>
      <c r="Q1325" s="1" t="s">
        <v>137</v>
      </c>
      <c r="S1325" s="16">
        <v>20</v>
      </c>
      <c r="T1325" s="1" t="s">
        <v>3152</v>
      </c>
      <c r="U1325" s="1" t="s">
        <v>1468</v>
      </c>
      <c r="V1325" s="1" t="s">
        <v>1634</v>
      </c>
      <c r="Y1325" s="1">
        <v>2948.72</v>
      </c>
      <c r="AB1325" s="1">
        <v>1370.7</v>
      </c>
    </row>
    <row r="1326" spans="2:28" x14ac:dyDescent="0.2">
      <c r="B1326" s="30" t="s">
        <v>2294</v>
      </c>
      <c r="C1326" s="36"/>
      <c r="D1326" s="36"/>
      <c r="F1326" s="1" t="s">
        <v>3153</v>
      </c>
      <c r="G1326" s="30" t="s">
        <v>3450</v>
      </c>
      <c r="K1326" s="1" t="s">
        <v>3455</v>
      </c>
      <c r="L1326" s="1" t="s">
        <v>1279</v>
      </c>
      <c r="M1326" s="36" t="s">
        <v>1511</v>
      </c>
      <c r="N1326" s="1" t="s">
        <v>1837</v>
      </c>
      <c r="O1326" s="1" t="s">
        <v>1286</v>
      </c>
      <c r="P1326" s="34" t="str">
        <f t="shared" si="23"/>
        <v>F010</v>
      </c>
      <c r="Q1326" s="1" t="s">
        <v>137</v>
      </c>
      <c r="S1326" s="16">
        <v>20</v>
      </c>
      <c r="T1326" s="1" t="s">
        <v>2299</v>
      </c>
      <c r="U1326" s="1" t="s">
        <v>1468</v>
      </c>
      <c r="V1326" s="1" t="s">
        <v>1634</v>
      </c>
      <c r="Y1326" s="1">
        <v>2948.72</v>
      </c>
      <c r="AB1326" s="1">
        <v>1370.7</v>
      </c>
    </row>
    <row r="1327" spans="2:28" x14ac:dyDescent="0.2">
      <c r="B1327" s="30" t="s">
        <v>2294</v>
      </c>
      <c r="C1327" s="36"/>
      <c r="D1327" s="36"/>
      <c r="F1327" s="1" t="s">
        <v>1322</v>
      </c>
      <c r="G1327" s="30" t="s">
        <v>3450</v>
      </c>
      <c r="K1327" s="1" t="s">
        <v>3456</v>
      </c>
      <c r="L1327" s="1" t="s">
        <v>1279</v>
      </c>
      <c r="M1327" s="36" t="s">
        <v>1511</v>
      </c>
      <c r="N1327" s="1" t="s">
        <v>1837</v>
      </c>
      <c r="O1327" s="1" t="s">
        <v>1286</v>
      </c>
      <c r="P1327" s="34" t="str">
        <f t="shared" si="23"/>
        <v>F010</v>
      </c>
      <c r="Q1327" s="1" t="s">
        <v>137</v>
      </c>
      <c r="S1327" s="16">
        <v>20</v>
      </c>
      <c r="T1327" s="1" t="s">
        <v>3147</v>
      </c>
      <c r="U1327" s="1" t="s">
        <v>1468</v>
      </c>
      <c r="V1327" s="1" t="s">
        <v>1634</v>
      </c>
      <c r="Y1327" s="1">
        <v>2948.72</v>
      </c>
      <c r="AB1327" s="1">
        <v>1370.7</v>
      </c>
    </row>
    <row r="1328" spans="2:28" x14ac:dyDescent="0.2">
      <c r="B1328" s="30" t="s">
        <v>2294</v>
      </c>
      <c r="C1328" s="36"/>
      <c r="D1328" s="36"/>
      <c r="F1328" s="1" t="s">
        <v>3148</v>
      </c>
      <c r="G1328" s="30" t="s">
        <v>3450</v>
      </c>
      <c r="K1328" s="1" t="s">
        <v>3457</v>
      </c>
      <c r="L1328" s="1" t="s">
        <v>1279</v>
      </c>
      <c r="M1328" s="36" t="s">
        <v>1511</v>
      </c>
      <c r="N1328" s="1" t="s">
        <v>1837</v>
      </c>
      <c r="O1328" s="1" t="s">
        <v>1286</v>
      </c>
      <c r="P1328" s="34" t="str">
        <f t="shared" si="23"/>
        <v>F010</v>
      </c>
      <c r="Q1328" s="1" t="s">
        <v>137</v>
      </c>
      <c r="S1328" s="16">
        <v>20</v>
      </c>
      <c r="T1328" s="1" t="s">
        <v>2299</v>
      </c>
      <c r="U1328" s="1" t="s">
        <v>1468</v>
      </c>
      <c r="V1328" s="1" t="s">
        <v>1634</v>
      </c>
      <c r="Y1328" s="1">
        <v>2948.72</v>
      </c>
      <c r="AB1328" s="1">
        <v>1370.7</v>
      </c>
    </row>
    <row r="1329" spans="2:28" x14ac:dyDescent="0.2">
      <c r="B1329" s="30" t="s">
        <v>2294</v>
      </c>
      <c r="C1329" s="36"/>
      <c r="D1329" s="36"/>
      <c r="F1329" s="1" t="s">
        <v>1322</v>
      </c>
      <c r="G1329" s="30" t="s">
        <v>3450</v>
      </c>
      <c r="K1329" s="1" t="s">
        <v>3458</v>
      </c>
      <c r="L1329" s="1" t="s">
        <v>1279</v>
      </c>
      <c r="M1329" s="36" t="s">
        <v>1511</v>
      </c>
      <c r="N1329" s="1" t="s">
        <v>1837</v>
      </c>
      <c r="O1329" s="1" t="s">
        <v>1286</v>
      </c>
      <c r="P1329" s="34" t="str">
        <f t="shared" si="23"/>
        <v>F010</v>
      </c>
      <c r="Q1329" s="1" t="s">
        <v>137</v>
      </c>
      <c r="S1329" s="16">
        <v>20</v>
      </c>
      <c r="T1329" s="1" t="s">
        <v>3107</v>
      </c>
      <c r="U1329" s="1" t="s">
        <v>1468</v>
      </c>
      <c r="V1329" s="1" t="s">
        <v>1634</v>
      </c>
      <c r="Y1329" s="1">
        <v>2948.72</v>
      </c>
      <c r="AB1329" s="1">
        <v>1370.7</v>
      </c>
    </row>
    <row r="1330" spans="2:28" x14ac:dyDescent="0.2">
      <c r="B1330" s="30" t="s">
        <v>2294</v>
      </c>
      <c r="C1330" s="36"/>
      <c r="D1330" s="36"/>
      <c r="F1330" s="1" t="s">
        <v>3108</v>
      </c>
      <c r="G1330" s="30" t="s">
        <v>3450</v>
      </c>
      <c r="K1330" s="1" t="s">
        <v>3459</v>
      </c>
      <c r="L1330" s="1" t="s">
        <v>1279</v>
      </c>
      <c r="M1330" s="36" t="s">
        <v>1511</v>
      </c>
      <c r="N1330" s="1" t="s">
        <v>1837</v>
      </c>
      <c r="O1330" s="1" t="s">
        <v>1286</v>
      </c>
      <c r="P1330" s="34" t="str">
        <f t="shared" si="23"/>
        <v>F010</v>
      </c>
      <c r="Q1330" s="1" t="s">
        <v>137</v>
      </c>
      <c r="S1330" s="16">
        <v>20</v>
      </c>
      <c r="T1330" s="1" t="s">
        <v>2427</v>
      </c>
      <c r="U1330" s="1" t="s">
        <v>1468</v>
      </c>
      <c r="V1330" s="1" t="s">
        <v>1634</v>
      </c>
      <c r="Y1330" s="1">
        <v>2948.72</v>
      </c>
      <c r="AB1330" s="1">
        <v>1370.7</v>
      </c>
    </row>
    <row r="1331" spans="2:28" x14ac:dyDescent="0.2">
      <c r="B1331" s="30" t="s">
        <v>2294</v>
      </c>
      <c r="C1331" s="36"/>
      <c r="D1331" s="36"/>
      <c r="F1331" s="1" t="s">
        <v>1895</v>
      </c>
      <c r="G1331" s="30" t="s">
        <v>3450</v>
      </c>
      <c r="K1331" s="1" t="s">
        <v>3460</v>
      </c>
      <c r="L1331" s="1" t="s">
        <v>1279</v>
      </c>
      <c r="M1331" s="36" t="s">
        <v>1511</v>
      </c>
      <c r="N1331" s="1" t="s">
        <v>1837</v>
      </c>
      <c r="O1331" s="1" t="s">
        <v>1286</v>
      </c>
      <c r="P1331" s="34" t="str">
        <f t="shared" si="23"/>
        <v>F010</v>
      </c>
      <c r="Q1331" s="1" t="s">
        <v>137</v>
      </c>
      <c r="S1331" s="16">
        <v>20</v>
      </c>
      <c r="T1331" s="1" t="s">
        <v>3461</v>
      </c>
      <c r="U1331" s="1" t="s">
        <v>1468</v>
      </c>
      <c r="V1331" s="1" t="s">
        <v>1634</v>
      </c>
      <c r="Y1331" s="1">
        <v>2948.72</v>
      </c>
      <c r="AB1331" s="1">
        <v>1370.7</v>
      </c>
    </row>
    <row r="1332" spans="2:28" x14ac:dyDescent="0.2">
      <c r="B1332" s="30" t="s">
        <v>2294</v>
      </c>
      <c r="C1332" s="36"/>
      <c r="D1332" s="36"/>
      <c r="F1332" s="1" t="s">
        <v>3462</v>
      </c>
      <c r="G1332" s="30" t="s">
        <v>3450</v>
      </c>
      <c r="K1332" s="1" t="s">
        <v>3463</v>
      </c>
      <c r="L1332" s="1" t="s">
        <v>1279</v>
      </c>
      <c r="M1332" s="36" t="s">
        <v>1511</v>
      </c>
      <c r="N1332" s="1" t="s">
        <v>1837</v>
      </c>
      <c r="O1332" s="1" t="s">
        <v>1286</v>
      </c>
      <c r="P1332" s="34" t="str">
        <f t="shared" si="23"/>
        <v>F010</v>
      </c>
      <c r="Q1332" s="1" t="s">
        <v>137</v>
      </c>
      <c r="S1332" s="16">
        <v>20</v>
      </c>
      <c r="T1332" s="1" t="s">
        <v>3464</v>
      </c>
      <c r="U1332" s="1" t="s">
        <v>1468</v>
      </c>
      <c r="V1332" s="1" t="s">
        <v>1634</v>
      </c>
      <c r="Y1332" s="1">
        <v>2948.72</v>
      </c>
      <c r="AB1332" s="1">
        <v>1370.7</v>
      </c>
    </row>
    <row r="1333" spans="2:28" x14ac:dyDescent="0.2">
      <c r="B1333" s="30" t="s">
        <v>2294</v>
      </c>
      <c r="C1333" s="36"/>
      <c r="D1333" s="36"/>
      <c r="F1333" s="1" t="s">
        <v>3465</v>
      </c>
      <c r="G1333" s="30" t="s">
        <v>3450</v>
      </c>
      <c r="K1333" s="1" t="s">
        <v>3466</v>
      </c>
      <c r="L1333" s="1" t="s">
        <v>1279</v>
      </c>
      <c r="M1333" s="36" t="s">
        <v>1511</v>
      </c>
      <c r="N1333" s="1" t="s">
        <v>1837</v>
      </c>
      <c r="O1333" s="1" t="s">
        <v>1286</v>
      </c>
      <c r="P1333" s="34" t="str">
        <f t="shared" si="23"/>
        <v>F010</v>
      </c>
      <c r="Q1333" s="1" t="s">
        <v>137</v>
      </c>
      <c r="S1333" s="16">
        <v>20</v>
      </c>
      <c r="T1333" s="1" t="s">
        <v>3079</v>
      </c>
      <c r="U1333" s="1" t="s">
        <v>1468</v>
      </c>
      <c r="V1333" s="1" t="s">
        <v>1634</v>
      </c>
      <c r="Y1333" s="1">
        <v>2948.72</v>
      </c>
      <c r="AB1333" s="1">
        <v>1370.7</v>
      </c>
    </row>
    <row r="1334" spans="2:28" x14ac:dyDescent="0.2">
      <c r="B1334" s="30" t="s">
        <v>2294</v>
      </c>
      <c r="C1334" s="36"/>
      <c r="D1334" s="36"/>
      <c r="F1334" s="1" t="s">
        <v>3080</v>
      </c>
      <c r="G1334" s="30" t="s">
        <v>3450</v>
      </c>
      <c r="K1334" s="1" t="s">
        <v>3467</v>
      </c>
      <c r="L1334" s="1" t="s">
        <v>1279</v>
      </c>
      <c r="M1334" s="36" t="s">
        <v>1511</v>
      </c>
      <c r="N1334" s="1" t="s">
        <v>1837</v>
      </c>
      <c r="O1334" s="1" t="s">
        <v>1286</v>
      </c>
      <c r="P1334" s="34" t="str">
        <f t="shared" si="23"/>
        <v>F010</v>
      </c>
      <c r="Q1334" s="1" t="s">
        <v>137</v>
      </c>
      <c r="S1334" s="16">
        <v>20</v>
      </c>
      <c r="T1334" s="1" t="s">
        <v>2299</v>
      </c>
      <c r="U1334" s="1" t="s">
        <v>1468</v>
      </c>
      <c r="V1334" s="1" t="s">
        <v>1634</v>
      </c>
      <c r="Y1334" s="1">
        <v>2948.72</v>
      </c>
      <c r="AB1334" s="1">
        <v>1370.7</v>
      </c>
    </row>
    <row r="1335" spans="2:28" x14ac:dyDescent="0.2">
      <c r="B1335" s="30" t="s">
        <v>2294</v>
      </c>
      <c r="C1335" s="36"/>
      <c r="D1335" s="36"/>
      <c r="F1335" s="1" t="s">
        <v>1322</v>
      </c>
      <c r="G1335" s="30" t="s">
        <v>3450</v>
      </c>
      <c r="K1335" s="1" t="s">
        <v>3468</v>
      </c>
      <c r="L1335" s="1" t="s">
        <v>1279</v>
      </c>
      <c r="M1335" s="36" t="s">
        <v>1511</v>
      </c>
      <c r="N1335" s="1" t="s">
        <v>1837</v>
      </c>
      <c r="O1335" s="1" t="s">
        <v>1286</v>
      </c>
      <c r="P1335" s="34" t="str">
        <f t="shared" si="23"/>
        <v>F010</v>
      </c>
      <c r="Q1335" s="1" t="s">
        <v>137</v>
      </c>
      <c r="S1335" s="16">
        <v>20</v>
      </c>
      <c r="T1335" s="1" t="s">
        <v>3115</v>
      </c>
      <c r="U1335" s="1" t="s">
        <v>1468</v>
      </c>
      <c r="V1335" s="1" t="s">
        <v>1634</v>
      </c>
      <c r="Y1335" s="1">
        <v>2948.72</v>
      </c>
      <c r="AB1335" s="1">
        <v>1370.7</v>
      </c>
    </row>
    <row r="1336" spans="2:28" x14ac:dyDescent="0.2">
      <c r="B1336" s="30" t="s">
        <v>2294</v>
      </c>
      <c r="C1336" s="36"/>
      <c r="D1336" s="36"/>
      <c r="F1336" s="1" t="s">
        <v>3116</v>
      </c>
      <c r="G1336" s="30" t="s">
        <v>3450</v>
      </c>
      <c r="K1336" s="1" t="s">
        <v>3469</v>
      </c>
      <c r="L1336" s="1" t="s">
        <v>1279</v>
      </c>
      <c r="M1336" s="36" t="s">
        <v>1511</v>
      </c>
      <c r="N1336" s="1" t="s">
        <v>1837</v>
      </c>
      <c r="O1336" s="1" t="s">
        <v>1286</v>
      </c>
      <c r="P1336" s="34" t="str">
        <f t="shared" si="23"/>
        <v>F010</v>
      </c>
      <c r="Q1336" s="1" t="s">
        <v>137</v>
      </c>
      <c r="S1336" s="16">
        <v>20</v>
      </c>
      <c r="T1336" s="1" t="s">
        <v>2299</v>
      </c>
      <c r="U1336" s="1" t="s">
        <v>1468</v>
      </c>
      <c r="V1336" s="1" t="s">
        <v>1634</v>
      </c>
      <c r="Y1336" s="1">
        <v>2948.72</v>
      </c>
      <c r="AB1336" s="1">
        <v>1370.7</v>
      </c>
    </row>
    <row r="1337" spans="2:28" x14ac:dyDescent="0.2">
      <c r="B1337" s="30" t="s">
        <v>2294</v>
      </c>
      <c r="C1337" s="36"/>
      <c r="D1337" s="36"/>
      <c r="F1337" s="1" t="s">
        <v>1322</v>
      </c>
      <c r="G1337" s="30" t="s">
        <v>3450</v>
      </c>
      <c r="K1337" s="1" t="s">
        <v>3470</v>
      </c>
      <c r="L1337" s="1" t="s">
        <v>1279</v>
      </c>
      <c r="M1337" s="36" t="s">
        <v>1511</v>
      </c>
      <c r="N1337" s="1" t="s">
        <v>1837</v>
      </c>
      <c r="O1337" s="1" t="s">
        <v>1286</v>
      </c>
      <c r="P1337" s="34" t="str">
        <f t="shared" si="23"/>
        <v>F010</v>
      </c>
      <c r="Q1337" s="1" t="s">
        <v>137</v>
      </c>
      <c r="S1337" s="16">
        <v>20</v>
      </c>
      <c r="T1337" s="1" t="s">
        <v>3413</v>
      </c>
      <c r="U1337" s="1" t="s">
        <v>1468</v>
      </c>
      <c r="V1337" s="1" t="s">
        <v>1634</v>
      </c>
      <c r="Y1337" s="1">
        <v>2948.72</v>
      </c>
      <c r="AB1337" s="1">
        <v>1370.7</v>
      </c>
    </row>
    <row r="1338" spans="2:28" x14ac:dyDescent="0.2">
      <c r="B1338" s="30" t="s">
        <v>2294</v>
      </c>
      <c r="C1338" s="36"/>
      <c r="D1338" s="36"/>
      <c r="F1338" s="1" t="s">
        <v>3414</v>
      </c>
      <c r="G1338" s="30" t="s">
        <v>3450</v>
      </c>
      <c r="K1338" s="1" t="s">
        <v>3471</v>
      </c>
      <c r="L1338" s="1" t="s">
        <v>1279</v>
      </c>
      <c r="M1338" s="36" t="s">
        <v>1511</v>
      </c>
      <c r="N1338" s="1" t="s">
        <v>1837</v>
      </c>
      <c r="O1338" s="1" t="s">
        <v>1286</v>
      </c>
      <c r="P1338" s="34" t="str">
        <f t="shared" si="23"/>
        <v>F010</v>
      </c>
      <c r="Q1338" s="1" t="s">
        <v>137</v>
      </c>
      <c r="S1338" s="16">
        <v>20</v>
      </c>
      <c r="T1338" s="1" t="s">
        <v>2299</v>
      </c>
      <c r="U1338" s="1" t="s">
        <v>1468</v>
      </c>
      <c r="V1338" s="1" t="s">
        <v>1634</v>
      </c>
      <c r="Y1338" s="1">
        <v>2948.72</v>
      </c>
      <c r="AB1338" s="1">
        <v>1370.7</v>
      </c>
    </row>
    <row r="1339" spans="2:28" x14ac:dyDescent="0.2">
      <c r="B1339" s="30" t="s">
        <v>2294</v>
      </c>
      <c r="C1339" s="36"/>
      <c r="D1339" s="36"/>
      <c r="F1339" s="1" t="s">
        <v>1322</v>
      </c>
      <c r="G1339" s="30" t="s">
        <v>3450</v>
      </c>
      <c r="K1339" s="1" t="s">
        <v>3472</v>
      </c>
      <c r="L1339" s="1" t="s">
        <v>1279</v>
      </c>
      <c r="M1339" s="36" t="s">
        <v>1511</v>
      </c>
      <c r="N1339" s="1" t="s">
        <v>1837</v>
      </c>
      <c r="O1339" s="1" t="s">
        <v>1286</v>
      </c>
      <c r="P1339" s="34" t="str">
        <f t="shared" si="23"/>
        <v>F010</v>
      </c>
      <c r="Q1339" s="1" t="s">
        <v>137</v>
      </c>
      <c r="S1339" s="16">
        <v>20</v>
      </c>
      <c r="T1339" s="1" t="s">
        <v>3473</v>
      </c>
      <c r="U1339" s="1" t="s">
        <v>1468</v>
      </c>
      <c r="V1339" s="1" t="s">
        <v>1634</v>
      </c>
      <c r="Y1339" s="1">
        <v>2948.72</v>
      </c>
      <c r="AB1339" s="1">
        <v>1370.7</v>
      </c>
    </row>
    <row r="1340" spans="2:28" x14ac:dyDescent="0.2">
      <c r="B1340" s="30" t="s">
        <v>2294</v>
      </c>
      <c r="C1340" s="36"/>
      <c r="D1340" s="36"/>
      <c r="F1340" s="1" t="s">
        <v>3474</v>
      </c>
      <c r="G1340" s="30" t="s">
        <v>3450</v>
      </c>
      <c r="K1340" s="1" t="s">
        <v>3475</v>
      </c>
      <c r="L1340" s="1" t="s">
        <v>1279</v>
      </c>
      <c r="M1340" s="36" t="s">
        <v>1511</v>
      </c>
      <c r="N1340" s="1" t="s">
        <v>1837</v>
      </c>
      <c r="O1340" s="1" t="s">
        <v>1286</v>
      </c>
      <c r="P1340" s="34" t="str">
        <f t="shared" si="23"/>
        <v>F010</v>
      </c>
      <c r="Q1340" s="1" t="s">
        <v>137</v>
      </c>
      <c r="S1340" s="16">
        <v>20</v>
      </c>
      <c r="T1340" s="1" t="s">
        <v>2299</v>
      </c>
      <c r="U1340" s="1" t="s">
        <v>1468</v>
      </c>
      <c r="V1340" s="1" t="s">
        <v>1634</v>
      </c>
      <c r="Y1340" s="1">
        <v>2948.72</v>
      </c>
      <c r="AB1340" s="1">
        <v>1370.7</v>
      </c>
    </row>
    <row r="1341" spans="2:28" x14ac:dyDescent="0.2">
      <c r="B1341" s="30" t="s">
        <v>2294</v>
      </c>
      <c r="C1341" s="36"/>
      <c r="D1341" s="36"/>
      <c r="F1341" s="1" t="s">
        <v>1322</v>
      </c>
      <c r="G1341" s="30" t="s">
        <v>3450</v>
      </c>
      <c r="K1341" s="1" t="s">
        <v>3476</v>
      </c>
      <c r="L1341" s="1" t="s">
        <v>1279</v>
      </c>
      <c r="M1341" s="36" t="s">
        <v>1511</v>
      </c>
      <c r="N1341" s="1" t="s">
        <v>1837</v>
      </c>
      <c r="O1341" s="1" t="s">
        <v>1286</v>
      </c>
      <c r="P1341" s="34" t="str">
        <f t="shared" si="23"/>
        <v>F010</v>
      </c>
      <c r="Q1341" s="1" t="s">
        <v>137</v>
      </c>
      <c r="S1341" s="16">
        <v>20</v>
      </c>
      <c r="T1341" s="1" t="s">
        <v>3079</v>
      </c>
      <c r="U1341" s="1" t="s">
        <v>1468</v>
      </c>
      <c r="V1341" s="1" t="s">
        <v>1634</v>
      </c>
      <c r="Y1341" s="1">
        <v>2948.72</v>
      </c>
      <c r="AB1341" s="1">
        <v>1370.7</v>
      </c>
    </row>
    <row r="1342" spans="2:28" x14ac:dyDescent="0.2">
      <c r="B1342" s="30" t="s">
        <v>2294</v>
      </c>
      <c r="C1342" s="36"/>
      <c r="D1342" s="36"/>
      <c r="F1342" s="1" t="s">
        <v>3080</v>
      </c>
      <c r="G1342" s="30" t="s">
        <v>3450</v>
      </c>
      <c r="K1342" s="1" t="s">
        <v>3477</v>
      </c>
      <c r="L1342" s="1" t="s">
        <v>1279</v>
      </c>
      <c r="M1342" s="36" t="s">
        <v>1511</v>
      </c>
      <c r="N1342" s="1" t="s">
        <v>1837</v>
      </c>
      <c r="O1342" s="1" t="s">
        <v>1286</v>
      </c>
      <c r="P1342" s="34" t="str">
        <f t="shared" si="23"/>
        <v>F010</v>
      </c>
      <c r="Q1342" s="1" t="s">
        <v>137</v>
      </c>
      <c r="S1342" s="16">
        <v>20</v>
      </c>
      <c r="T1342" s="1" t="s">
        <v>2299</v>
      </c>
      <c r="U1342" s="1" t="s">
        <v>1468</v>
      </c>
      <c r="V1342" s="1" t="s">
        <v>1634</v>
      </c>
      <c r="Y1342" s="1">
        <v>2948.72</v>
      </c>
      <c r="AB1342" s="1">
        <v>1370.7</v>
      </c>
    </row>
    <row r="1343" spans="2:28" x14ac:dyDescent="0.2">
      <c r="B1343" s="30" t="s">
        <v>2294</v>
      </c>
      <c r="C1343" s="36"/>
      <c r="D1343" s="36"/>
      <c r="F1343" s="1" t="s">
        <v>1322</v>
      </c>
      <c r="G1343" s="30" t="s">
        <v>3450</v>
      </c>
      <c r="K1343" s="1" t="s">
        <v>3478</v>
      </c>
      <c r="L1343" s="1" t="s">
        <v>1279</v>
      </c>
      <c r="M1343" s="36" t="s">
        <v>1511</v>
      </c>
      <c r="N1343" s="1" t="s">
        <v>1837</v>
      </c>
      <c r="O1343" s="1" t="s">
        <v>1286</v>
      </c>
      <c r="P1343" s="34" t="str">
        <f t="shared" si="23"/>
        <v>F010</v>
      </c>
      <c r="Q1343" s="1" t="s">
        <v>137</v>
      </c>
      <c r="S1343" s="16">
        <v>20</v>
      </c>
      <c r="T1343" s="1" t="s">
        <v>3093</v>
      </c>
      <c r="U1343" s="1" t="s">
        <v>1468</v>
      </c>
      <c r="V1343" s="1" t="s">
        <v>1634</v>
      </c>
      <c r="Y1343" s="1">
        <v>2948.72</v>
      </c>
      <c r="AB1343" s="1">
        <v>1370.7</v>
      </c>
    </row>
    <row r="1344" spans="2:28" x14ac:dyDescent="0.2">
      <c r="B1344" s="30" t="s">
        <v>2294</v>
      </c>
      <c r="C1344" s="36"/>
      <c r="D1344" s="36"/>
      <c r="F1344" s="1" t="s">
        <v>3094</v>
      </c>
      <c r="G1344" s="30" t="s">
        <v>3450</v>
      </c>
      <c r="K1344" s="1" t="s">
        <v>3479</v>
      </c>
      <c r="L1344" s="1" t="s">
        <v>1279</v>
      </c>
      <c r="M1344" s="36" t="s">
        <v>1511</v>
      </c>
      <c r="N1344" s="1" t="s">
        <v>1837</v>
      </c>
      <c r="O1344" s="1" t="s">
        <v>1286</v>
      </c>
      <c r="P1344" s="34" t="str">
        <f t="shared" si="23"/>
        <v>F010</v>
      </c>
      <c r="Q1344" s="1" t="s">
        <v>137</v>
      </c>
      <c r="S1344" s="16">
        <v>20</v>
      </c>
      <c r="T1344" s="1" t="s">
        <v>2299</v>
      </c>
      <c r="U1344" s="1" t="s">
        <v>1468</v>
      </c>
      <c r="V1344" s="1" t="s">
        <v>1634</v>
      </c>
      <c r="Y1344" s="1">
        <v>2948.72</v>
      </c>
      <c r="AB1344" s="1">
        <v>1370.7</v>
      </c>
    </row>
    <row r="1345" spans="2:28" x14ac:dyDescent="0.2">
      <c r="B1345" s="30" t="s">
        <v>2294</v>
      </c>
      <c r="C1345" s="36"/>
      <c r="D1345" s="36"/>
      <c r="F1345" s="1" t="s">
        <v>1322</v>
      </c>
      <c r="G1345" s="30" t="s">
        <v>3450</v>
      </c>
      <c r="K1345" s="1" t="s">
        <v>3480</v>
      </c>
      <c r="L1345" s="1" t="s">
        <v>1279</v>
      </c>
      <c r="M1345" s="36" t="s">
        <v>1511</v>
      </c>
      <c r="N1345" s="1" t="s">
        <v>1837</v>
      </c>
      <c r="O1345" s="1" t="s">
        <v>1286</v>
      </c>
      <c r="P1345" s="34" t="str">
        <f t="shared" si="23"/>
        <v>F010</v>
      </c>
      <c r="Q1345" s="1" t="s">
        <v>137</v>
      </c>
      <c r="S1345" s="16">
        <v>20</v>
      </c>
      <c r="T1345" s="1" t="s">
        <v>3088</v>
      </c>
      <c r="U1345" s="1" t="s">
        <v>1468</v>
      </c>
      <c r="V1345" s="1" t="s">
        <v>1634</v>
      </c>
      <c r="Y1345" s="1">
        <v>2948.72</v>
      </c>
      <c r="AB1345" s="1">
        <v>1370.7</v>
      </c>
    </row>
    <row r="1346" spans="2:28" x14ac:dyDescent="0.2">
      <c r="B1346" s="30" t="s">
        <v>2294</v>
      </c>
      <c r="C1346" s="36"/>
      <c r="D1346" s="36"/>
      <c r="F1346" s="1" t="s">
        <v>3089</v>
      </c>
      <c r="G1346" s="30" t="s">
        <v>3450</v>
      </c>
      <c r="K1346" s="1" t="s">
        <v>3481</v>
      </c>
      <c r="L1346" s="1" t="s">
        <v>1279</v>
      </c>
      <c r="M1346" s="36" t="s">
        <v>1511</v>
      </c>
      <c r="N1346" s="1" t="s">
        <v>1837</v>
      </c>
      <c r="O1346" s="1" t="s">
        <v>1286</v>
      </c>
      <c r="P1346" s="34" t="str">
        <f t="shared" si="23"/>
        <v>F010</v>
      </c>
      <c r="Q1346" s="1" t="s">
        <v>137</v>
      </c>
      <c r="S1346" s="16">
        <v>20</v>
      </c>
      <c r="T1346" s="1" t="s">
        <v>2299</v>
      </c>
      <c r="U1346" s="1" t="s">
        <v>1468</v>
      </c>
      <c r="V1346" s="1" t="s">
        <v>1634</v>
      </c>
      <c r="Y1346" s="1">
        <v>2948.72</v>
      </c>
      <c r="AB1346" s="1">
        <v>1370.7</v>
      </c>
    </row>
    <row r="1347" spans="2:28" x14ac:dyDescent="0.2">
      <c r="B1347" s="30" t="s">
        <v>2294</v>
      </c>
      <c r="C1347" s="36"/>
      <c r="D1347" s="36"/>
      <c r="F1347" s="1" t="s">
        <v>1322</v>
      </c>
      <c r="G1347" s="30" t="s">
        <v>3450</v>
      </c>
      <c r="K1347" s="1" t="s">
        <v>3482</v>
      </c>
      <c r="L1347" s="1" t="s">
        <v>1279</v>
      </c>
      <c r="M1347" s="36" t="s">
        <v>1511</v>
      </c>
      <c r="N1347" s="1" t="s">
        <v>1837</v>
      </c>
      <c r="O1347" s="1" t="s">
        <v>1286</v>
      </c>
      <c r="P1347" s="34" t="str">
        <f t="shared" si="23"/>
        <v>F010</v>
      </c>
      <c r="Q1347" s="1" t="s">
        <v>137</v>
      </c>
      <c r="S1347" s="16">
        <v>20</v>
      </c>
      <c r="T1347" s="1" t="s">
        <v>3233</v>
      </c>
      <c r="U1347" s="1" t="s">
        <v>1468</v>
      </c>
      <c r="V1347" s="1" t="s">
        <v>1634</v>
      </c>
      <c r="Y1347" s="1">
        <v>2948.72</v>
      </c>
      <c r="AB1347" s="1">
        <v>1370.7</v>
      </c>
    </row>
    <row r="1348" spans="2:28" x14ac:dyDescent="0.2">
      <c r="B1348" s="30" t="s">
        <v>2294</v>
      </c>
      <c r="C1348" s="36"/>
      <c r="D1348" s="36"/>
      <c r="F1348" s="1" t="s">
        <v>3234</v>
      </c>
      <c r="G1348" s="30" t="s">
        <v>3450</v>
      </c>
      <c r="K1348" s="1" t="s">
        <v>3483</v>
      </c>
      <c r="L1348" s="1" t="s">
        <v>1279</v>
      </c>
      <c r="M1348" s="36" t="s">
        <v>1511</v>
      </c>
      <c r="N1348" s="1" t="s">
        <v>1837</v>
      </c>
      <c r="O1348" s="1" t="s">
        <v>1286</v>
      </c>
      <c r="P1348" s="34" t="str">
        <f t="shared" si="23"/>
        <v>F010</v>
      </c>
      <c r="Q1348" s="1" t="s">
        <v>137</v>
      </c>
      <c r="S1348" s="16">
        <v>20</v>
      </c>
      <c r="T1348" s="1" t="s">
        <v>2299</v>
      </c>
      <c r="U1348" s="1" t="s">
        <v>1468</v>
      </c>
      <c r="V1348" s="1" t="s">
        <v>1634</v>
      </c>
      <c r="Y1348" s="1">
        <v>2948.72</v>
      </c>
      <c r="AB1348" s="1">
        <v>1370.7</v>
      </c>
    </row>
    <row r="1349" spans="2:28" x14ac:dyDescent="0.2">
      <c r="B1349" s="30" t="s">
        <v>2294</v>
      </c>
      <c r="C1349" s="36"/>
      <c r="D1349" s="36"/>
      <c r="F1349" s="1" t="s">
        <v>1322</v>
      </c>
      <c r="G1349" s="30" t="s">
        <v>3450</v>
      </c>
      <c r="K1349" s="1" t="s">
        <v>3484</v>
      </c>
      <c r="L1349" s="1" t="s">
        <v>1279</v>
      </c>
      <c r="M1349" s="36" t="s">
        <v>1511</v>
      </c>
      <c r="N1349" s="1" t="s">
        <v>1837</v>
      </c>
      <c r="O1349" s="1" t="s">
        <v>1286</v>
      </c>
      <c r="P1349" s="34" t="str">
        <f t="shared" si="23"/>
        <v>F010</v>
      </c>
      <c r="Q1349" s="1" t="s">
        <v>137</v>
      </c>
      <c r="S1349" s="16">
        <v>20</v>
      </c>
      <c r="T1349" s="1" t="s">
        <v>3101</v>
      </c>
      <c r="U1349" s="1" t="s">
        <v>1468</v>
      </c>
      <c r="V1349" s="1" t="s">
        <v>1634</v>
      </c>
      <c r="Y1349" s="1">
        <v>2948.72</v>
      </c>
      <c r="AB1349" s="1">
        <v>1370.7</v>
      </c>
    </row>
    <row r="1350" spans="2:28" x14ac:dyDescent="0.2">
      <c r="B1350" s="30" t="s">
        <v>2294</v>
      </c>
      <c r="C1350" s="36"/>
      <c r="D1350" s="36"/>
      <c r="F1350" s="1" t="s">
        <v>3102</v>
      </c>
      <c r="G1350" s="30" t="s">
        <v>3450</v>
      </c>
      <c r="K1350" s="1" t="s">
        <v>3485</v>
      </c>
      <c r="L1350" s="1" t="s">
        <v>1279</v>
      </c>
      <c r="M1350" s="36" t="s">
        <v>1511</v>
      </c>
      <c r="N1350" s="1" t="s">
        <v>1837</v>
      </c>
      <c r="O1350" s="1" t="s">
        <v>1286</v>
      </c>
      <c r="P1350" s="34" t="str">
        <f t="shared" si="23"/>
        <v>F010</v>
      </c>
      <c r="Q1350" s="1" t="s">
        <v>137</v>
      </c>
      <c r="S1350" s="16">
        <v>20</v>
      </c>
      <c r="T1350" s="1" t="s">
        <v>2427</v>
      </c>
      <c r="U1350" s="1" t="s">
        <v>1468</v>
      </c>
      <c r="V1350" s="1" t="s">
        <v>1634</v>
      </c>
      <c r="Y1350" s="1">
        <v>2948.72</v>
      </c>
      <c r="AB1350" s="1">
        <v>1370.7</v>
      </c>
    </row>
    <row r="1351" spans="2:28" x14ac:dyDescent="0.2">
      <c r="B1351" s="30" t="s">
        <v>2294</v>
      </c>
      <c r="C1351" s="36"/>
      <c r="D1351" s="36"/>
      <c r="F1351" s="1" t="s">
        <v>1895</v>
      </c>
      <c r="G1351" s="30" t="s">
        <v>3450</v>
      </c>
      <c r="K1351" s="1" t="s">
        <v>3486</v>
      </c>
      <c r="L1351" s="1" t="s">
        <v>1279</v>
      </c>
      <c r="M1351" s="36" t="s">
        <v>1511</v>
      </c>
      <c r="N1351" s="1" t="s">
        <v>1837</v>
      </c>
      <c r="O1351" s="1" t="s">
        <v>1286</v>
      </c>
      <c r="P1351" s="34" t="str">
        <f t="shared" si="23"/>
        <v>F010</v>
      </c>
      <c r="Q1351" s="1" t="s">
        <v>137</v>
      </c>
      <c r="S1351" s="16">
        <v>20</v>
      </c>
      <c r="T1351" s="1" t="s">
        <v>3093</v>
      </c>
      <c r="U1351" s="1" t="s">
        <v>1468</v>
      </c>
      <c r="V1351" s="1" t="s">
        <v>1634</v>
      </c>
      <c r="Y1351" s="1">
        <v>2948.72</v>
      </c>
      <c r="AB1351" s="1">
        <v>1370.7</v>
      </c>
    </row>
    <row r="1352" spans="2:28" x14ac:dyDescent="0.2">
      <c r="B1352" s="30" t="s">
        <v>2294</v>
      </c>
      <c r="C1352" s="36"/>
      <c r="D1352" s="36"/>
      <c r="F1352" s="1" t="s">
        <v>3094</v>
      </c>
      <c r="G1352" s="30" t="s">
        <v>3450</v>
      </c>
      <c r="K1352" s="1" t="s">
        <v>3487</v>
      </c>
      <c r="L1352" s="1" t="s">
        <v>1279</v>
      </c>
      <c r="M1352" s="36" t="s">
        <v>1511</v>
      </c>
      <c r="N1352" s="1" t="s">
        <v>1837</v>
      </c>
      <c r="O1352" s="1" t="s">
        <v>1286</v>
      </c>
      <c r="P1352" s="34" t="str">
        <f t="shared" ref="P1352:P1415" si="24">+LEFT(Q1352,4)</f>
        <v>F010</v>
      </c>
      <c r="Q1352" s="1" t="s">
        <v>137</v>
      </c>
      <c r="S1352" s="16">
        <v>20</v>
      </c>
      <c r="T1352" s="1" t="s">
        <v>2427</v>
      </c>
      <c r="U1352" s="1" t="s">
        <v>1468</v>
      </c>
      <c r="V1352" s="1" t="s">
        <v>1634</v>
      </c>
      <c r="Y1352" s="1">
        <v>2948.72</v>
      </c>
      <c r="AB1352" s="1">
        <v>1370.7</v>
      </c>
    </row>
    <row r="1353" spans="2:28" x14ac:dyDescent="0.2">
      <c r="B1353" s="30" t="s">
        <v>2294</v>
      </c>
      <c r="C1353" s="36"/>
      <c r="D1353" s="36"/>
      <c r="F1353" s="1" t="s">
        <v>1895</v>
      </c>
      <c r="G1353" s="30" t="s">
        <v>3450</v>
      </c>
      <c r="K1353" s="1" t="s">
        <v>3488</v>
      </c>
      <c r="L1353" s="1" t="s">
        <v>1279</v>
      </c>
      <c r="M1353" s="36" t="s">
        <v>1511</v>
      </c>
      <c r="N1353" s="1" t="s">
        <v>1837</v>
      </c>
      <c r="O1353" s="1" t="s">
        <v>1286</v>
      </c>
      <c r="P1353" s="34" t="str">
        <f t="shared" si="24"/>
        <v>F010</v>
      </c>
      <c r="Q1353" s="1" t="s">
        <v>137</v>
      </c>
      <c r="S1353" s="16">
        <v>20</v>
      </c>
      <c r="T1353" s="1" t="s">
        <v>3213</v>
      </c>
      <c r="U1353" s="1" t="s">
        <v>1468</v>
      </c>
      <c r="V1353" s="1" t="s">
        <v>1634</v>
      </c>
      <c r="Y1353" s="1">
        <v>2948.72</v>
      </c>
      <c r="AB1353" s="1">
        <v>1370.7</v>
      </c>
    </row>
    <row r="1354" spans="2:28" x14ac:dyDescent="0.2">
      <c r="B1354" s="30" t="s">
        <v>2294</v>
      </c>
      <c r="C1354" s="36"/>
      <c r="D1354" s="36"/>
      <c r="F1354" s="1" t="s">
        <v>3214</v>
      </c>
      <c r="G1354" s="30" t="s">
        <v>3450</v>
      </c>
      <c r="K1354" s="1" t="s">
        <v>3489</v>
      </c>
      <c r="L1354" s="1" t="s">
        <v>1279</v>
      </c>
      <c r="M1354" s="36" t="s">
        <v>1511</v>
      </c>
      <c r="N1354" s="1" t="s">
        <v>1837</v>
      </c>
      <c r="O1354" s="1" t="s">
        <v>1286</v>
      </c>
      <c r="P1354" s="34" t="str">
        <f t="shared" si="24"/>
        <v>F010</v>
      </c>
      <c r="Q1354" s="1" t="s">
        <v>137</v>
      </c>
      <c r="S1354" s="16">
        <v>20</v>
      </c>
      <c r="T1354" s="1" t="s">
        <v>2427</v>
      </c>
      <c r="U1354" s="1" t="s">
        <v>1468</v>
      </c>
      <c r="V1354" s="1" t="s">
        <v>1634</v>
      </c>
      <c r="Y1354" s="1">
        <v>2948.72</v>
      </c>
      <c r="AB1354" s="1">
        <v>1370.7</v>
      </c>
    </row>
    <row r="1355" spans="2:28" x14ac:dyDescent="0.2">
      <c r="B1355" s="30" t="s">
        <v>2294</v>
      </c>
      <c r="C1355" s="36"/>
      <c r="D1355" s="36"/>
      <c r="F1355" s="1" t="s">
        <v>1895</v>
      </c>
      <c r="G1355" s="30" t="s">
        <v>3450</v>
      </c>
      <c r="K1355" s="1" t="s">
        <v>3490</v>
      </c>
      <c r="L1355" s="1" t="s">
        <v>1279</v>
      </c>
      <c r="M1355" s="36" t="s">
        <v>1511</v>
      </c>
      <c r="N1355" s="1" t="s">
        <v>1837</v>
      </c>
      <c r="O1355" s="1" t="s">
        <v>1286</v>
      </c>
      <c r="P1355" s="34" t="str">
        <f t="shared" si="24"/>
        <v>F010</v>
      </c>
      <c r="Q1355" s="1" t="s">
        <v>137</v>
      </c>
      <c r="S1355" s="16">
        <v>20</v>
      </c>
      <c r="T1355" s="1" t="s">
        <v>3101</v>
      </c>
      <c r="U1355" s="1" t="s">
        <v>1468</v>
      </c>
      <c r="V1355" s="1" t="s">
        <v>1634</v>
      </c>
      <c r="Y1355" s="1">
        <v>2948.72</v>
      </c>
      <c r="AB1355" s="1">
        <v>1370.7</v>
      </c>
    </row>
    <row r="1356" spans="2:28" x14ac:dyDescent="0.2">
      <c r="B1356" s="30" t="s">
        <v>2294</v>
      </c>
      <c r="C1356" s="36"/>
      <c r="D1356" s="36"/>
      <c r="F1356" s="1" t="s">
        <v>3102</v>
      </c>
      <c r="G1356" s="30" t="s">
        <v>3450</v>
      </c>
      <c r="K1356" s="1" t="s">
        <v>3491</v>
      </c>
      <c r="L1356" s="1" t="s">
        <v>1279</v>
      </c>
      <c r="M1356" s="36" t="s">
        <v>1511</v>
      </c>
      <c r="N1356" s="1" t="s">
        <v>1837</v>
      </c>
      <c r="O1356" s="1" t="s">
        <v>1286</v>
      </c>
      <c r="P1356" s="34" t="str">
        <f t="shared" si="24"/>
        <v>F010</v>
      </c>
      <c r="Q1356" s="1" t="s">
        <v>137</v>
      </c>
      <c r="S1356" s="16">
        <v>20</v>
      </c>
      <c r="T1356" s="1" t="s">
        <v>2299</v>
      </c>
      <c r="U1356" s="1" t="s">
        <v>1468</v>
      </c>
      <c r="V1356" s="1" t="s">
        <v>1634</v>
      </c>
      <c r="Y1356" s="1">
        <v>2948.72</v>
      </c>
      <c r="AB1356" s="1">
        <v>1370.7</v>
      </c>
    </row>
    <row r="1357" spans="2:28" x14ac:dyDescent="0.2">
      <c r="B1357" s="30" t="s">
        <v>2294</v>
      </c>
      <c r="C1357" s="36"/>
      <c r="D1357" s="36"/>
      <c r="F1357" s="1" t="s">
        <v>1322</v>
      </c>
      <c r="G1357" s="30" t="s">
        <v>3450</v>
      </c>
      <c r="K1357" s="1" t="s">
        <v>3492</v>
      </c>
      <c r="L1357" s="1" t="s">
        <v>1279</v>
      </c>
      <c r="M1357" s="36" t="s">
        <v>1511</v>
      </c>
      <c r="N1357" s="1" t="s">
        <v>1837</v>
      </c>
      <c r="O1357" s="1" t="s">
        <v>1286</v>
      </c>
      <c r="P1357" s="34" t="str">
        <f t="shared" si="24"/>
        <v>F010</v>
      </c>
      <c r="Q1357" s="1" t="s">
        <v>137</v>
      </c>
      <c r="S1357" s="16">
        <v>20</v>
      </c>
      <c r="T1357" s="1" t="s">
        <v>3097</v>
      </c>
      <c r="U1357" s="1" t="s">
        <v>1468</v>
      </c>
      <c r="V1357" s="1" t="s">
        <v>1634</v>
      </c>
      <c r="Y1357" s="1">
        <v>2948.72</v>
      </c>
      <c r="AB1357" s="1">
        <v>1370.7</v>
      </c>
    </row>
    <row r="1358" spans="2:28" x14ac:dyDescent="0.2">
      <c r="B1358" s="30" t="s">
        <v>2294</v>
      </c>
      <c r="C1358" s="36"/>
      <c r="D1358" s="36"/>
      <c r="F1358" s="1" t="s">
        <v>3098</v>
      </c>
      <c r="G1358" s="30" t="s">
        <v>3450</v>
      </c>
      <c r="K1358" s="1" t="s">
        <v>3493</v>
      </c>
      <c r="L1358" s="1" t="s">
        <v>1279</v>
      </c>
      <c r="M1358" s="36" t="s">
        <v>1511</v>
      </c>
      <c r="N1358" s="1" t="s">
        <v>1837</v>
      </c>
      <c r="O1358" s="1" t="s">
        <v>1286</v>
      </c>
      <c r="P1358" s="34" t="str">
        <f t="shared" si="24"/>
        <v>F010</v>
      </c>
      <c r="Q1358" s="1" t="s">
        <v>137</v>
      </c>
      <c r="S1358" s="16">
        <v>20</v>
      </c>
      <c r="T1358" s="1" t="s">
        <v>2299</v>
      </c>
      <c r="U1358" s="1" t="s">
        <v>1468</v>
      </c>
      <c r="V1358" s="1" t="s">
        <v>1634</v>
      </c>
      <c r="Y1358" s="1">
        <v>2948.72</v>
      </c>
      <c r="AB1358" s="1">
        <v>1370.7</v>
      </c>
    </row>
    <row r="1359" spans="2:28" x14ac:dyDescent="0.2">
      <c r="B1359" s="30" t="s">
        <v>2294</v>
      </c>
      <c r="C1359" s="36"/>
      <c r="D1359" s="36"/>
      <c r="F1359" s="1" t="s">
        <v>1322</v>
      </c>
      <c r="G1359" s="30" t="s">
        <v>3450</v>
      </c>
      <c r="K1359" s="1" t="s">
        <v>3494</v>
      </c>
      <c r="L1359" s="1" t="s">
        <v>1279</v>
      </c>
      <c r="M1359" s="36" t="s">
        <v>1497</v>
      </c>
      <c r="N1359" s="1" t="s">
        <v>1715</v>
      </c>
      <c r="O1359" s="1" t="s">
        <v>1286</v>
      </c>
      <c r="P1359" s="34" t="str">
        <f t="shared" si="24"/>
        <v>F010</v>
      </c>
      <c r="Q1359" s="1" t="s">
        <v>127</v>
      </c>
      <c r="S1359" s="16">
        <v>20</v>
      </c>
      <c r="T1359" s="1" t="s">
        <v>3101</v>
      </c>
      <c r="U1359" s="1" t="s">
        <v>1460</v>
      </c>
      <c r="V1359" s="1" t="s">
        <v>3495</v>
      </c>
      <c r="Y1359" s="1">
        <v>3450</v>
      </c>
      <c r="AB1359" s="1">
        <v>2184.9699999999998</v>
      </c>
    </row>
    <row r="1360" spans="2:28" x14ac:dyDescent="0.2">
      <c r="B1360" s="30" t="s">
        <v>2294</v>
      </c>
      <c r="C1360" s="36"/>
      <c r="D1360" s="36"/>
      <c r="F1360" s="1" t="s">
        <v>3102</v>
      </c>
      <c r="G1360" s="30" t="s">
        <v>3450</v>
      </c>
      <c r="K1360" s="1" t="s">
        <v>3496</v>
      </c>
      <c r="L1360" s="1" t="s">
        <v>1279</v>
      </c>
      <c r="M1360" s="36" t="s">
        <v>1497</v>
      </c>
      <c r="N1360" s="1" t="s">
        <v>1715</v>
      </c>
      <c r="O1360" s="1" t="s">
        <v>1286</v>
      </c>
      <c r="P1360" s="34" t="str">
        <f t="shared" si="24"/>
        <v>F010</v>
      </c>
      <c r="Q1360" s="1" t="s">
        <v>127</v>
      </c>
      <c r="S1360" s="16">
        <v>20</v>
      </c>
      <c r="T1360" s="1" t="s">
        <v>2299</v>
      </c>
      <c r="U1360" s="1" t="s">
        <v>1460</v>
      </c>
      <c r="V1360" s="1" t="s">
        <v>3495</v>
      </c>
      <c r="Y1360" s="1">
        <v>3450</v>
      </c>
      <c r="AB1360" s="1">
        <v>2184.9699999999998</v>
      </c>
    </row>
    <row r="1361" spans="2:28" x14ac:dyDescent="0.2">
      <c r="B1361" s="30" t="s">
        <v>2294</v>
      </c>
      <c r="C1361" s="36"/>
      <c r="D1361" s="36"/>
      <c r="F1361" s="1" t="s">
        <v>1322</v>
      </c>
      <c r="G1361" s="30" t="s">
        <v>3450</v>
      </c>
      <c r="K1361" s="1" t="s">
        <v>3497</v>
      </c>
      <c r="L1361" s="1" t="s">
        <v>1279</v>
      </c>
      <c r="M1361" s="36" t="s">
        <v>1497</v>
      </c>
      <c r="N1361" s="1" t="s">
        <v>2486</v>
      </c>
      <c r="O1361" s="1" t="s">
        <v>1286</v>
      </c>
      <c r="P1361" s="34" t="str">
        <f t="shared" si="24"/>
        <v>F010</v>
      </c>
      <c r="Q1361" s="1" t="s">
        <v>127</v>
      </c>
      <c r="S1361" s="16">
        <v>20</v>
      </c>
      <c r="T1361" s="1" t="s">
        <v>3498</v>
      </c>
      <c r="U1361" s="1" t="s">
        <v>1460</v>
      </c>
      <c r="V1361" s="1" t="s">
        <v>3495</v>
      </c>
      <c r="Y1361" s="1">
        <v>3450</v>
      </c>
      <c r="AB1361" s="1">
        <v>2184.9699999999998</v>
      </c>
    </row>
    <row r="1362" spans="2:28" x14ac:dyDescent="0.2">
      <c r="B1362" s="30" t="s">
        <v>2294</v>
      </c>
      <c r="C1362" s="36"/>
      <c r="D1362" s="36"/>
      <c r="F1362" s="1" t="s">
        <v>3499</v>
      </c>
      <c r="G1362" s="30" t="s">
        <v>3450</v>
      </c>
      <c r="K1362" s="1" t="s">
        <v>3500</v>
      </c>
      <c r="L1362" s="1" t="s">
        <v>1279</v>
      </c>
      <c r="M1362" s="36" t="s">
        <v>1334</v>
      </c>
      <c r="N1362" s="1" t="s">
        <v>1715</v>
      </c>
      <c r="O1362" s="1" t="s">
        <v>1286</v>
      </c>
      <c r="P1362" s="34" t="str">
        <f t="shared" si="24"/>
        <v>F010</v>
      </c>
      <c r="Q1362" s="1" t="s">
        <v>127</v>
      </c>
      <c r="S1362" s="16">
        <v>20</v>
      </c>
      <c r="T1362" s="1" t="s">
        <v>2299</v>
      </c>
      <c r="U1362" s="1" t="s">
        <v>1535</v>
      </c>
      <c r="V1362" s="1" t="s">
        <v>2553</v>
      </c>
      <c r="Y1362" s="1">
        <v>6398.71</v>
      </c>
      <c r="AB1362" s="1">
        <v>3631.95</v>
      </c>
    </row>
    <row r="1363" spans="2:28" x14ac:dyDescent="0.2">
      <c r="B1363" s="30" t="s">
        <v>2294</v>
      </c>
      <c r="C1363" s="36"/>
      <c r="D1363" s="36"/>
      <c r="F1363" s="1" t="s">
        <v>1322</v>
      </c>
      <c r="G1363" s="30" t="s">
        <v>3450</v>
      </c>
      <c r="K1363" s="1" t="s">
        <v>3501</v>
      </c>
      <c r="L1363" s="1" t="s">
        <v>1279</v>
      </c>
      <c r="M1363" s="36" t="s">
        <v>1334</v>
      </c>
      <c r="N1363" s="1" t="s">
        <v>1715</v>
      </c>
      <c r="O1363" s="1" t="s">
        <v>1286</v>
      </c>
      <c r="P1363" s="34" t="str">
        <f t="shared" si="24"/>
        <v>F010</v>
      </c>
      <c r="Q1363" s="1" t="s">
        <v>127</v>
      </c>
      <c r="S1363" s="16">
        <v>20</v>
      </c>
      <c r="T1363" s="1" t="s">
        <v>3079</v>
      </c>
      <c r="U1363" s="1" t="s">
        <v>1535</v>
      </c>
      <c r="V1363" s="1" t="s">
        <v>2553</v>
      </c>
      <c r="Y1363" s="1">
        <v>6398.72</v>
      </c>
      <c r="AB1363" s="1">
        <v>3631.95</v>
      </c>
    </row>
    <row r="1364" spans="2:28" x14ac:dyDescent="0.2">
      <c r="B1364" s="30" t="s">
        <v>2294</v>
      </c>
      <c r="C1364" s="36"/>
      <c r="D1364" s="36"/>
      <c r="F1364" s="1" t="s">
        <v>3080</v>
      </c>
      <c r="G1364" s="30" t="s">
        <v>3450</v>
      </c>
      <c r="K1364" s="1" t="s">
        <v>3502</v>
      </c>
      <c r="L1364" s="1" t="s">
        <v>1279</v>
      </c>
      <c r="M1364" s="36" t="s">
        <v>1334</v>
      </c>
      <c r="N1364" s="1" t="s">
        <v>1715</v>
      </c>
      <c r="O1364" s="1" t="s">
        <v>1286</v>
      </c>
      <c r="P1364" s="34" t="str">
        <f t="shared" si="24"/>
        <v>F010</v>
      </c>
      <c r="Q1364" s="1" t="s">
        <v>127</v>
      </c>
      <c r="S1364" s="16">
        <v>20</v>
      </c>
      <c r="T1364" s="1" t="s">
        <v>2299</v>
      </c>
      <c r="U1364" s="1" t="s">
        <v>1535</v>
      </c>
      <c r="V1364" s="1" t="s">
        <v>2553</v>
      </c>
      <c r="Y1364" s="1">
        <v>7445.72</v>
      </c>
      <c r="AB1364" s="1">
        <v>4242.7</v>
      </c>
    </row>
    <row r="1365" spans="2:28" x14ac:dyDescent="0.2">
      <c r="B1365" s="30" t="s">
        <v>2294</v>
      </c>
      <c r="C1365" s="36"/>
      <c r="D1365" s="36"/>
      <c r="F1365" s="1" t="s">
        <v>1322</v>
      </c>
      <c r="G1365" s="30" t="s">
        <v>3450</v>
      </c>
      <c r="K1365" s="1" t="s">
        <v>3503</v>
      </c>
      <c r="L1365" s="1" t="s">
        <v>1279</v>
      </c>
      <c r="M1365" s="36" t="s">
        <v>1334</v>
      </c>
      <c r="N1365" s="1" t="s">
        <v>3504</v>
      </c>
      <c r="O1365" s="1" t="s">
        <v>1286</v>
      </c>
      <c r="P1365" s="34" t="str">
        <f t="shared" si="24"/>
        <v>F010</v>
      </c>
      <c r="Q1365" s="1" t="s">
        <v>127</v>
      </c>
      <c r="S1365" s="16">
        <v>20</v>
      </c>
      <c r="T1365" s="1" t="s">
        <v>3084</v>
      </c>
      <c r="U1365" s="1" t="s">
        <v>1535</v>
      </c>
      <c r="V1365" s="1" t="s">
        <v>2553</v>
      </c>
      <c r="Y1365" s="1">
        <v>6398.72</v>
      </c>
      <c r="AB1365" s="1">
        <v>3631.95</v>
      </c>
    </row>
    <row r="1366" spans="2:28" x14ac:dyDescent="0.2">
      <c r="B1366" s="30" t="s">
        <v>2294</v>
      </c>
      <c r="C1366" s="36"/>
      <c r="D1366" s="36"/>
      <c r="F1366" s="1" t="s">
        <v>3085</v>
      </c>
      <c r="G1366" s="30" t="s">
        <v>3450</v>
      </c>
      <c r="K1366" s="1" t="s">
        <v>3505</v>
      </c>
      <c r="L1366" s="1" t="s">
        <v>1279</v>
      </c>
      <c r="M1366" s="36" t="s">
        <v>1334</v>
      </c>
      <c r="N1366" s="1" t="s">
        <v>1715</v>
      </c>
      <c r="O1366" s="1" t="s">
        <v>1286</v>
      </c>
      <c r="P1366" s="34" t="str">
        <f t="shared" si="24"/>
        <v>F010</v>
      </c>
      <c r="Q1366" s="1" t="s">
        <v>127</v>
      </c>
      <c r="S1366" s="16">
        <v>20</v>
      </c>
      <c r="T1366" s="1" t="s">
        <v>2299</v>
      </c>
      <c r="U1366" s="1" t="s">
        <v>1535</v>
      </c>
      <c r="V1366" s="1" t="s">
        <v>2553</v>
      </c>
      <c r="Y1366" s="1">
        <v>7445.73</v>
      </c>
      <c r="AB1366" s="1">
        <v>4242.71</v>
      </c>
    </row>
    <row r="1367" spans="2:28" x14ac:dyDescent="0.2">
      <c r="B1367" s="30" t="s">
        <v>2294</v>
      </c>
      <c r="C1367" s="36"/>
      <c r="D1367" s="36"/>
      <c r="F1367" s="1" t="s">
        <v>1322</v>
      </c>
      <c r="G1367" s="30" t="s">
        <v>3450</v>
      </c>
      <c r="K1367" s="1" t="s">
        <v>3506</v>
      </c>
      <c r="L1367" s="1" t="s">
        <v>1279</v>
      </c>
      <c r="M1367" s="36" t="s">
        <v>1460</v>
      </c>
      <c r="N1367" s="1" t="s">
        <v>1837</v>
      </c>
      <c r="O1367" s="1" t="s">
        <v>1286</v>
      </c>
      <c r="P1367" s="34" t="str">
        <f t="shared" si="24"/>
        <v>F010</v>
      </c>
      <c r="Q1367" s="1" t="s">
        <v>127</v>
      </c>
      <c r="S1367" s="16">
        <v>20</v>
      </c>
      <c r="T1367" s="1" t="s">
        <v>3209</v>
      </c>
      <c r="U1367" s="1" t="s">
        <v>2014</v>
      </c>
      <c r="V1367" s="1" t="s">
        <v>1500</v>
      </c>
      <c r="Y1367" s="1">
        <v>2948.72</v>
      </c>
      <c r="AB1367" s="1">
        <v>1789.69</v>
      </c>
    </row>
    <row r="1368" spans="2:28" x14ac:dyDescent="0.2">
      <c r="B1368" s="30" t="s">
        <v>2294</v>
      </c>
      <c r="C1368" s="36"/>
      <c r="D1368" s="36"/>
      <c r="F1368" s="1" t="s">
        <v>3210</v>
      </c>
      <c r="G1368" s="30" t="s">
        <v>3450</v>
      </c>
      <c r="K1368" s="1" t="s">
        <v>3507</v>
      </c>
      <c r="L1368" s="1" t="s">
        <v>1279</v>
      </c>
      <c r="M1368" s="36" t="s">
        <v>1334</v>
      </c>
      <c r="N1368" s="1" t="s">
        <v>3504</v>
      </c>
      <c r="O1368" s="1" t="s">
        <v>1286</v>
      </c>
      <c r="P1368" s="34" t="str">
        <f t="shared" si="24"/>
        <v>F010</v>
      </c>
      <c r="Q1368" s="1" t="s">
        <v>127</v>
      </c>
      <c r="S1368" s="16">
        <v>20</v>
      </c>
      <c r="T1368" s="1" t="s">
        <v>2299</v>
      </c>
      <c r="U1368" s="1" t="s">
        <v>1535</v>
      </c>
      <c r="V1368" s="1" t="s">
        <v>2553</v>
      </c>
      <c r="Y1368" s="1">
        <v>3450</v>
      </c>
      <c r="AB1368" s="1">
        <v>1911.84</v>
      </c>
    </row>
    <row r="1369" spans="2:28" x14ac:dyDescent="0.2">
      <c r="B1369" s="30" t="s">
        <v>2294</v>
      </c>
      <c r="C1369" s="36"/>
      <c r="D1369" s="36"/>
      <c r="F1369" s="1" t="s">
        <v>1322</v>
      </c>
      <c r="G1369" s="30" t="s">
        <v>3450</v>
      </c>
      <c r="K1369" s="1" t="s">
        <v>3508</v>
      </c>
      <c r="L1369" s="1" t="s">
        <v>1279</v>
      </c>
      <c r="M1369" s="36" t="s">
        <v>1334</v>
      </c>
      <c r="N1369" s="1" t="s">
        <v>1715</v>
      </c>
      <c r="O1369" s="1" t="s">
        <v>1286</v>
      </c>
      <c r="P1369" s="34" t="str">
        <f t="shared" si="24"/>
        <v>F010</v>
      </c>
      <c r="Q1369" s="1" t="s">
        <v>127</v>
      </c>
      <c r="S1369" s="16">
        <v>20</v>
      </c>
      <c r="T1369" s="1" t="s">
        <v>3143</v>
      </c>
      <c r="U1369" s="1" t="s">
        <v>1535</v>
      </c>
      <c r="V1369" s="1" t="s">
        <v>2553</v>
      </c>
      <c r="Y1369" s="1">
        <v>2948.72</v>
      </c>
      <c r="AB1369" s="1">
        <v>1619.5</v>
      </c>
    </row>
    <row r="1370" spans="2:28" x14ac:dyDescent="0.2">
      <c r="B1370" s="30" t="s">
        <v>2294</v>
      </c>
      <c r="C1370" s="36"/>
      <c r="D1370" s="36"/>
      <c r="F1370" s="1" t="s">
        <v>3144</v>
      </c>
      <c r="G1370" s="30" t="s">
        <v>3450</v>
      </c>
      <c r="K1370" s="1" t="s">
        <v>3509</v>
      </c>
      <c r="L1370" s="1" t="s">
        <v>1279</v>
      </c>
      <c r="M1370" s="36" t="s">
        <v>1334</v>
      </c>
      <c r="N1370" s="1" t="s">
        <v>2866</v>
      </c>
      <c r="O1370" s="1" t="s">
        <v>1286</v>
      </c>
      <c r="P1370" s="34" t="str">
        <f t="shared" si="24"/>
        <v>F010</v>
      </c>
      <c r="Q1370" s="1" t="s">
        <v>127</v>
      </c>
      <c r="S1370" s="16">
        <v>20</v>
      </c>
      <c r="T1370" s="1" t="s">
        <v>2299</v>
      </c>
      <c r="U1370" s="1" t="s">
        <v>1535</v>
      </c>
      <c r="V1370" s="1" t="s">
        <v>2553</v>
      </c>
      <c r="Y1370" s="1">
        <v>2948.72</v>
      </c>
      <c r="AB1370" s="1">
        <v>1619.5</v>
      </c>
    </row>
    <row r="1371" spans="2:28" x14ac:dyDescent="0.2">
      <c r="B1371" s="30" t="s">
        <v>2294</v>
      </c>
      <c r="C1371" s="36"/>
      <c r="D1371" s="36"/>
      <c r="F1371" s="1" t="s">
        <v>1322</v>
      </c>
      <c r="G1371" s="30" t="s">
        <v>3450</v>
      </c>
      <c r="K1371" s="1" t="s">
        <v>3510</v>
      </c>
      <c r="L1371" s="1" t="s">
        <v>1279</v>
      </c>
      <c r="M1371" s="36" t="s">
        <v>1334</v>
      </c>
      <c r="N1371" s="1" t="s">
        <v>1715</v>
      </c>
      <c r="O1371" s="1" t="s">
        <v>1286</v>
      </c>
      <c r="P1371" s="34" t="str">
        <f t="shared" si="24"/>
        <v>F010</v>
      </c>
      <c r="Q1371" s="1" t="s">
        <v>127</v>
      </c>
      <c r="S1371" s="16">
        <v>20</v>
      </c>
      <c r="T1371" s="1" t="s">
        <v>3511</v>
      </c>
      <c r="U1371" s="1" t="s">
        <v>1535</v>
      </c>
      <c r="V1371" s="1" t="s">
        <v>2553</v>
      </c>
      <c r="Y1371" s="1">
        <v>2948.72</v>
      </c>
      <c r="AB1371" s="1">
        <v>1619.5</v>
      </c>
    </row>
    <row r="1372" spans="2:28" x14ac:dyDescent="0.2">
      <c r="B1372" s="30" t="s">
        <v>2294</v>
      </c>
      <c r="C1372" s="36"/>
      <c r="D1372" s="36"/>
      <c r="F1372" s="1" t="s">
        <v>3512</v>
      </c>
      <c r="G1372" s="30" t="s">
        <v>3450</v>
      </c>
      <c r="K1372" s="1" t="s">
        <v>3513</v>
      </c>
      <c r="L1372" s="1" t="s">
        <v>1279</v>
      </c>
      <c r="M1372" s="36" t="s">
        <v>1334</v>
      </c>
      <c r="N1372" s="1" t="s">
        <v>1284</v>
      </c>
      <c r="O1372" s="1" t="s">
        <v>1286</v>
      </c>
      <c r="P1372" s="34" t="str">
        <f t="shared" si="24"/>
        <v>F010</v>
      </c>
      <c r="Q1372" s="1" t="s">
        <v>127</v>
      </c>
      <c r="S1372" s="16">
        <v>20</v>
      </c>
      <c r="T1372" s="1" t="s">
        <v>2299</v>
      </c>
      <c r="U1372" s="1" t="s">
        <v>1535</v>
      </c>
      <c r="V1372" s="1" t="s">
        <v>2553</v>
      </c>
      <c r="Y1372" s="1">
        <v>2948.72</v>
      </c>
      <c r="AB1372" s="1">
        <v>1619.5</v>
      </c>
    </row>
    <row r="1373" spans="2:28" x14ac:dyDescent="0.2">
      <c r="B1373" s="30" t="s">
        <v>2294</v>
      </c>
      <c r="C1373" s="36"/>
      <c r="D1373" s="36"/>
      <c r="F1373" s="1" t="s">
        <v>1322</v>
      </c>
      <c r="G1373" s="30" t="s">
        <v>3450</v>
      </c>
      <c r="K1373" s="1" t="s">
        <v>3514</v>
      </c>
      <c r="L1373" s="1" t="s">
        <v>1279</v>
      </c>
      <c r="M1373" s="36" t="s">
        <v>1334</v>
      </c>
      <c r="N1373" s="1" t="s">
        <v>1708</v>
      </c>
      <c r="O1373" s="1" t="s">
        <v>1286</v>
      </c>
      <c r="P1373" s="34" t="str">
        <f t="shared" si="24"/>
        <v>F010</v>
      </c>
      <c r="Q1373" s="1" t="s">
        <v>127</v>
      </c>
      <c r="S1373" s="16">
        <v>20</v>
      </c>
      <c r="T1373" s="1" t="s">
        <v>3074</v>
      </c>
      <c r="U1373" s="1" t="s">
        <v>1535</v>
      </c>
      <c r="V1373" s="1" t="s">
        <v>2553</v>
      </c>
      <c r="Y1373" s="1">
        <v>2948.7</v>
      </c>
      <c r="AB1373" s="1">
        <v>1619.48</v>
      </c>
    </row>
    <row r="1374" spans="2:28" x14ac:dyDescent="0.2">
      <c r="B1374" s="30" t="s">
        <v>2294</v>
      </c>
      <c r="C1374" s="36"/>
      <c r="D1374" s="36"/>
      <c r="F1374" s="1" t="s">
        <v>3075</v>
      </c>
      <c r="G1374" s="30" t="s">
        <v>3450</v>
      </c>
      <c r="K1374" s="1" t="s">
        <v>3515</v>
      </c>
      <c r="L1374" s="1" t="s">
        <v>1279</v>
      </c>
      <c r="M1374" s="36" t="s">
        <v>1334</v>
      </c>
      <c r="N1374" s="1" t="s">
        <v>2601</v>
      </c>
      <c r="O1374" s="1" t="s">
        <v>1286</v>
      </c>
      <c r="P1374" s="34" t="str">
        <f t="shared" si="24"/>
        <v>F010</v>
      </c>
      <c r="Q1374" s="1" t="s">
        <v>127</v>
      </c>
      <c r="S1374" s="16">
        <v>20</v>
      </c>
      <c r="T1374" s="1" t="s">
        <v>2299</v>
      </c>
      <c r="U1374" s="1" t="s">
        <v>1535</v>
      </c>
      <c r="V1374" s="1" t="s">
        <v>2553</v>
      </c>
      <c r="Y1374" s="1">
        <v>2948.72</v>
      </c>
      <c r="AB1374" s="1">
        <v>1619.5</v>
      </c>
    </row>
    <row r="1375" spans="2:28" x14ac:dyDescent="0.2">
      <c r="B1375" s="30" t="s">
        <v>2294</v>
      </c>
      <c r="C1375" s="36"/>
      <c r="D1375" s="36"/>
      <c r="F1375" s="1" t="s">
        <v>1322</v>
      </c>
      <c r="G1375" s="30" t="s">
        <v>3450</v>
      </c>
      <c r="K1375" s="1" t="s">
        <v>3516</v>
      </c>
      <c r="L1375" s="1" t="s">
        <v>1279</v>
      </c>
      <c r="M1375" s="36" t="s">
        <v>1334</v>
      </c>
      <c r="N1375" s="1" t="s">
        <v>1715</v>
      </c>
      <c r="O1375" s="1" t="s">
        <v>1286</v>
      </c>
      <c r="P1375" s="34" t="str">
        <f t="shared" si="24"/>
        <v>F010</v>
      </c>
      <c r="Q1375" s="1" t="s">
        <v>127</v>
      </c>
      <c r="S1375" s="16">
        <v>20</v>
      </c>
      <c r="T1375" s="1" t="s">
        <v>3079</v>
      </c>
      <c r="U1375" s="1" t="s">
        <v>1535</v>
      </c>
      <c r="V1375" s="1" t="s">
        <v>2553</v>
      </c>
      <c r="Y1375" s="1">
        <v>2948.72</v>
      </c>
      <c r="AB1375" s="1">
        <v>1619.5</v>
      </c>
    </row>
    <row r="1376" spans="2:28" x14ac:dyDescent="0.2">
      <c r="B1376" s="30" t="s">
        <v>2294</v>
      </c>
      <c r="C1376" s="36"/>
      <c r="D1376" s="36"/>
      <c r="F1376" s="1" t="s">
        <v>3080</v>
      </c>
      <c r="G1376" s="30" t="s">
        <v>3450</v>
      </c>
      <c r="K1376" s="1" t="s">
        <v>3517</v>
      </c>
      <c r="L1376" s="1" t="s">
        <v>1279</v>
      </c>
      <c r="M1376" s="36" t="s">
        <v>1511</v>
      </c>
      <c r="N1376" s="1" t="s">
        <v>1286</v>
      </c>
      <c r="O1376" s="1" t="s">
        <v>1286</v>
      </c>
      <c r="P1376" s="34" t="str">
        <f t="shared" si="24"/>
        <v>F010</v>
      </c>
      <c r="Q1376" s="1" t="s">
        <v>137</v>
      </c>
      <c r="S1376" s="16">
        <v>20</v>
      </c>
      <c r="T1376" s="1" t="s">
        <v>2299</v>
      </c>
      <c r="U1376" s="1" t="s">
        <v>1468</v>
      </c>
      <c r="V1376" s="1" t="s">
        <v>1634</v>
      </c>
      <c r="Y1376" s="1">
        <v>2948.72</v>
      </c>
      <c r="AB1376" s="1">
        <v>1370.7</v>
      </c>
    </row>
    <row r="1377" spans="2:28" x14ac:dyDescent="0.2">
      <c r="B1377" s="30" t="s">
        <v>2294</v>
      </c>
      <c r="C1377" s="36"/>
      <c r="D1377" s="36"/>
      <c r="F1377" s="1" t="s">
        <v>1322</v>
      </c>
      <c r="G1377" s="30" t="s">
        <v>3450</v>
      </c>
      <c r="K1377" s="1" t="s">
        <v>3518</v>
      </c>
      <c r="L1377" s="1" t="s">
        <v>1279</v>
      </c>
      <c r="M1377" s="36" t="s">
        <v>1511</v>
      </c>
      <c r="N1377" s="1" t="s">
        <v>1287</v>
      </c>
      <c r="O1377" s="1" t="s">
        <v>1286</v>
      </c>
      <c r="P1377" s="34" t="str">
        <f t="shared" si="24"/>
        <v>F010</v>
      </c>
      <c r="Q1377" s="1" t="s">
        <v>137</v>
      </c>
      <c r="S1377" s="16">
        <v>20</v>
      </c>
      <c r="T1377" s="1" t="s">
        <v>3183</v>
      </c>
      <c r="U1377" s="1" t="s">
        <v>1468</v>
      </c>
      <c r="V1377" s="1" t="s">
        <v>1634</v>
      </c>
      <c r="Y1377" s="1">
        <v>2948.72</v>
      </c>
      <c r="AB1377" s="1">
        <v>1370.7</v>
      </c>
    </row>
    <row r="1378" spans="2:28" x14ac:dyDescent="0.2">
      <c r="B1378" s="30" t="s">
        <v>2294</v>
      </c>
      <c r="C1378" s="36"/>
      <c r="D1378" s="36"/>
      <c r="F1378" s="1" t="s">
        <v>3184</v>
      </c>
      <c r="G1378" s="30" t="s">
        <v>3450</v>
      </c>
      <c r="K1378" s="1" t="s">
        <v>3519</v>
      </c>
      <c r="L1378" s="1" t="s">
        <v>1279</v>
      </c>
      <c r="M1378" s="36" t="s">
        <v>1511</v>
      </c>
      <c r="N1378" s="1" t="s">
        <v>1287</v>
      </c>
      <c r="O1378" s="1" t="s">
        <v>1286</v>
      </c>
      <c r="P1378" s="34" t="str">
        <f t="shared" si="24"/>
        <v>F010</v>
      </c>
      <c r="Q1378" s="1" t="s">
        <v>137</v>
      </c>
      <c r="S1378" s="16">
        <v>20</v>
      </c>
      <c r="T1378" s="1" t="s">
        <v>2299</v>
      </c>
      <c r="U1378" s="1" t="s">
        <v>1468</v>
      </c>
      <c r="V1378" s="1" t="s">
        <v>1634</v>
      </c>
      <c r="Y1378" s="1">
        <v>2948.72</v>
      </c>
      <c r="AB1378" s="1">
        <v>1370.7</v>
      </c>
    </row>
    <row r="1379" spans="2:28" x14ac:dyDescent="0.2">
      <c r="B1379" s="30" t="s">
        <v>2294</v>
      </c>
      <c r="C1379" s="36"/>
      <c r="D1379" s="36"/>
      <c r="F1379" s="1" t="s">
        <v>1322</v>
      </c>
      <c r="G1379" s="30" t="s">
        <v>3450</v>
      </c>
      <c r="K1379" s="1" t="s">
        <v>3520</v>
      </c>
      <c r="L1379" s="1" t="s">
        <v>1279</v>
      </c>
      <c r="M1379" s="36" t="s">
        <v>1511</v>
      </c>
      <c r="N1379" s="1" t="s">
        <v>1286</v>
      </c>
      <c r="O1379" s="1" t="s">
        <v>1286</v>
      </c>
      <c r="P1379" s="34" t="str">
        <f t="shared" si="24"/>
        <v>F010</v>
      </c>
      <c r="Q1379" s="1" t="s">
        <v>137</v>
      </c>
      <c r="S1379" s="16">
        <v>20</v>
      </c>
      <c r="T1379" s="1" t="s">
        <v>3093</v>
      </c>
      <c r="U1379" s="1" t="s">
        <v>1468</v>
      </c>
      <c r="V1379" s="1" t="s">
        <v>1634</v>
      </c>
      <c r="Y1379" s="1">
        <v>2948.72</v>
      </c>
      <c r="AB1379" s="1">
        <v>1370.7</v>
      </c>
    </row>
    <row r="1380" spans="2:28" x14ac:dyDescent="0.2">
      <c r="B1380" s="30" t="s">
        <v>2294</v>
      </c>
      <c r="C1380" s="36"/>
      <c r="D1380" s="36"/>
      <c r="F1380" s="1" t="s">
        <v>3094</v>
      </c>
      <c r="G1380" s="30" t="s">
        <v>3450</v>
      </c>
      <c r="K1380" s="1" t="s">
        <v>3521</v>
      </c>
      <c r="L1380" s="1" t="s">
        <v>1279</v>
      </c>
      <c r="M1380" s="36" t="s">
        <v>1511</v>
      </c>
      <c r="N1380" s="1" t="s">
        <v>1286</v>
      </c>
      <c r="O1380" s="1" t="s">
        <v>1286</v>
      </c>
      <c r="P1380" s="34" t="str">
        <f t="shared" si="24"/>
        <v>F010</v>
      </c>
      <c r="Q1380" s="1" t="s">
        <v>137</v>
      </c>
      <c r="S1380" s="16">
        <v>20</v>
      </c>
      <c r="T1380" s="1" t="s">
        <v>2299</v>
      </c>
      <c r="U1380" s="1" t="s">
        <v>1468</v>
      </c>
      <c r="V1380" s="1" t="s">
        <v>1634</v>
      </c>
      <c r="Y1380" s="1">
        <v>2948.72</v>
      </c>
      <c r="AB1380" s="1">
        <v>1370.7</v>
      </c>
    </row>
    <row r="1381" spans="2:28" x14ac:dyDescent="0.2">
      <c r="B1381" s="30" t="s">
        <v>2294</v>
      </c>
      <c r="C1381" s="36"/>
      <c r="D1381" s="36"/>
      <c r="F1381" s="1" t="s">
        <v>1322</v>
      </c>
      <c r="G1381" s="30" t="s">
        <v>3450</v>
      </c>
      <c r="K1381" s="1" t="s">
        <v>3522</v>
      </c>
      <c r="L1381" s="1" t="s">
        <v>1279</v>
      </c>
      <c r="M1381" s="36" t="s">
        <v>1511</v>
      </c>
      <c r="N1381" s="1" t="s">
        <v>1286</v>
      </c>
      <c r="O1381" s="1" t="s">
        <v>1286</v>
      </c>
      <c r="P1381" s="34" t="str">
        <f t="shared" si="24"/>
        <v>F010</v>
      </c>
      <c r="Q1381" s="1" t="s">
        <v>137</v>
      </c>
      <c r="S1381" s="16">
        <v>20</v>
      </c>
      <c r="T1381" s="1" t="s">
        <v>3523</v>
      </c>
      <c r="U1381" s="1" t="s">
        <v>1468</v>
      </c>
      <c r="V1381" s="1" t="s">
        <v>1634</v>
      </c>
      <c r="Y1381" s="1">
        <v>2948.72</v>
      </c>
      <c r="AB1381" s="1">
        <v>1370.7</v>
      </c>
    </row>
    <row r="1382" spans="2:28" x14ac:dyDescent="0.2">
      <c r="B1382" s="30" t="s">
        <v>2294</v>
      </c>
      <c r="C1382" s="36"/>
      <c r="D1382" s="36"/>
      <c r="F1382" s="1" t="s">
        <v>3524</v>
      </c>
      <c r="G1382" s="30" t="s">
        <v>3450</v>
      </c>
      <c r="K1382" s="1" t="s">
        <v>3525</v>
      </c>
      <c r="L1382" s="1" t="s">
        <v>1279</v>
      </c>
      <c r="M1382" s="36" t="s">
        <v>1511</v>
      </c>
      <c r="N1382" s="1" t="s">
        <v>1286</v>
      </c>
      <c r="O1382" s="1" t="s">
        <v>1286</v>
      </c>
      <c r="P1382" s="34" t="str">
        <f t="shared" si="24"/>
        <v>F010</v>
      </c>
      <c r="Q1382" s="1" t="s">
        <v>137</v>
      </c>
      <c r="S1382" s="16">
        <v>20</v>
      </c>
      <c r="T1382" s="1" t="s">
        <v>2299</v>
      </c>
      <c r="U1382" s="1" t="s">
        <v>1468</v>
      </c>
      <c r="V1382" s="1" t="s">
        <v>1634</v>
      </c>
      <c r="Y1382" s="1">
        <v>2948.72</v>
      </c>
      <c r="AB1382" s="1">
        <v>1370.7</v>
      </c>
    </row>
    <row r="1383" spans="2:28" x14ac:dyDescent="0.2">
      <c r="B1383" s="30" t="s">
        <v>2294</v>
      </c>
      <c r="C1383" s="36"/>
      <c r="D1383" s="36"/>
      <c r="F1383" s="1" t="s">
        <v>1322</v>
      </c>
      <c r="G1383" s="30" t="s">
        <v>3450</v>
      </c>
      <c r="K1383" s="1" t="s">
        <v>3526</v>
      </c>
      <c r="L1383" s="1" t="s">
        <v>1279</v>
      </c>
      <c r="M1383" s="36" t="s">
        <v>1511</v>
      </c>
      <c r="N1383" s="1" t="s">
        <v>1287</v>
      </c>
      <c r="O1383" s="1" t="s">
        <v>1286</v>
      </c>
      <c r="P1383" s="34" t="str">
        <f t="shared" si="24"/>
        <v>F010</v>
      </c>
      <c r="Q1383" s="1" t="s">
        <v>137</v>
      </c>
      <c r="S1383" s="16">
        <v>20</v>
      </c>
      <c r="T1383" s="1" t="s">
        <v>3527</v>
      </c>
      <c r="U1383" s="1" t="s">
        <v>1468</v>
      </c>
      <c r="V1383" s="1" t="s">
        <v>1634</v>
      </c>
      <c r="Y1383" s="1">
        <v>2948.72</v>
      </c>
      <c r="AB1383" s="1">
        <v>1370.7</v>
      </c>
    </row>
    <row r="1384" spans="2:28" x14ac:dyDescent="0.2">
      <c r="B1384" s="30" t="s">
        <v>2294</v>
      </c>
      <c r="C1384" s="36"/>
      <c r="D1384" s="36"/>
      <c r="F1384" s="1" t="s">
        <v>3528</v>
      </c>
      <c r="G1384" s="30" t="s">
        <v>3450</v>
      </c>
      <c r="K1384" s="1" t="s">
        <v>3529</v>
      </c>
      <c r="L1384" s="1" t="s">
        <v>1279</v>
      </c>
      <c r="M1384" s="36" t="s">
        <v>1511</v>
      </c>
      <c r="N1384" s="1" t="s">
        <v>1286</v>
      </c>
      <c r="O1384" s="1" t="s">
        <v>1286</v>
      </c>
      <c r="P1384" s="34" t="str">
        <f t="shared" si="24"/>
        <v>F010</v>
      </c>
      <c r="Q1384" s="1" t="s">
        <v>137</v>
      </c>
      <c r="S1384" s="16">
        <v>20</v>
      </c>
      <c r="T1384" s="1" t="s">
        <v>2299</v>
      </c>
      <c r="U1384" s="1" t="s">
        <v>1468</v>
      </c>
      <c r="V1384" s="1" t="s">
        <v>1634</v>
      </c>
      <c r="Y1384" s="1">
        <v>2948.72</v>
      </c>
      <c r="AB1384" s="1">
        <v>1370.7</v>
      </c>
    </row>
    <row r="1385" spans="2:28" x14ac:dyDescent="0.2">
      <c r="B1385" s="30" t="s">
        <v>2294</v>
      </c>
      <c r="C1385" s="36"/>
      <c r="D1385" s="36"/>
      <c r="F1385" s="1" t="s">
        <v>1322</v>
      </c>
      <c r="G1385" s="30" t="s">
        <v>3450</v>
      </c>
      <c r="K1385" s="1" t="s">
        <v>3530</v>
      </c>
      <c r="L1385" s="1" t="s">
        <v>1279</v>
      </c>
      <c r="M1385" s="36" t="s">
        <v>1511</v>
      </c>
      <c r="N1385" s="1" t="s">
        <v>1286</v>
      </c>
      <c r="O1385" s="1" t="s">
        <v>1286</v>
      </c>
      <c r="P1385" s="34" t="str">
        <f t="shared" si="24"/>
        <v>F010</v>
      </c>
      <c r="Q1385" s="1" t="s">
        <v>137</v>
      </c>
      <c r="S1385" s="16">
        <v>20</v>
      </c>
      <c r="T1385" s="1" t="s">
        <v>3461</v>
      </c>
      <c r="U1385" s="1" t="s">
        <v>1468</v>
      </c>
      <c r="V1385" s="1" t="s">
        <v>1634</v>
      </c>
      <c r="Y1385" s="1">
        <v>2948.72</v>
      </c>
      <c r="AB1385" s="1">
        <v>1370.7</v>
      </c>
    </row>
    <row r="1386" spans="2:28" x14ac:dyDescent="0.2">
      <c r="B1386" s="30" t="s">
        <v>2294</v>
      </c>
      <c r="C1386" s="36"/>
      <c r="D1386" s="36"/>
      <c r="F1386" s="1" t="s">
        <v>3462</v>
      </c>
      <c r="G1386" s="30" t="s">
        <v>3450</v>
      </c>
      <c r="K1386" s="1" t="s">
        <v>3531</v>
      </c>
      <c r="L1386" s="1" t="s">
        <v>1279</v>
      </c>
      <c r="M1386" s="36" t="s">
        <v>1511</v>
      </c>
      <c r="N1386" s="1" t="s">
        <v>1286</v>
      </c>
      <c r="O1386" s="1" t="s">
        <v>1286</v>
      </c>
      <c r="P1386" s="34" t="str">
        <f t="shared" si="24"/>
        <v>F010</v>
      </c>
      <c r="Q1386" s="1" t="s">
        <v>137</v>
      </c>
      <c r="S1386" s="16">
        <v>20</v>
      </c>
      <c r="T1386" s="1" t="s">
        <v>2299</v>
      </c>
      <c r="U1386" s="1" t="s">
        <v>1468</v>
      </c>
      <c r="V1386" s="1" t="s">
        <v>1634</v>
      </c>
      <c r="Y1386" s="1">
        <v>2948.72</v>
      </c>
      <c r="AB1386" s="1">
        <v>1370.7</v>
      </c>
    </row>
    <row r="1387" spans="2:28" x14ac:dyDescent="0.2">
      <c r="B1387" s="30" t="s">
        <v>2294</v>
      </c>
      <c r="C1387" s="36"/>
      <c r="D1387" s="36"/>
      <c r="F1387" s="1" t="s">
        <v>1322</v>
      </c>
      <c r="G1387" s="30" t="s">
        <v>3450</v>
      </c>
      <c r="K1387" s="1" t="s">
        <v>3532</v>
      </c>
      <c r="L1387" s="1" t="s">
        <v>1279</v>
      </c>
      <c r="M1387" s="36" t="s">
        <v>1511</v>
      </c>
      <c r="N1387" s="1" t="s">
        <v>1286</v>
      </c>
      <c r="O1387" s="1" t="s">
        <v>1286</v>
      </c>
      <c r="P1387" s="34" t="str">
        <f t="shared" si="24"/>
        <v>F010</v>
      </c>
      <c r="Q1387" s="1" t="s">
        <v>137</v>
      </c>
      <c r="S1387" s="16">
        <v>20</v>
      </c>
      <c r="T1387" s="1" t="s">
        <v>3533</v>
      </c>
      <c r="U1387" s="1" t="s">
        <v>1468</v>
      </c>
      <c r="V1387" s="1" t="s">
        <v>1634</v>
      </c>
      <c r="Y1387" s="1">
        <v>2948.72</v>
      </c>
      <c r="AB1387" s="1">
        <v>1370.7</v>
      </c>
    </row>
    <row r="1388" spans="2:28" x14ac:dyDescent="0.2">
      <c r="B1388" s="30" t="s">
        <v>2294</v>
      </c>
      <c r="C1388" s="36"/>
      <c r="D1388" s="36"/>
      <c r="F1388" s="1" t="s">
        <v>3534</v>
      </c>
      <c r="G1388" s="30" t="s">
        <v>3450</v>
      </c>
      <c r="K1388" s="1" t="s">
        <v>3535</v>
      </c>
      <c r="L1388" s="1" t="s">
        <v>1279</v>
      </c>
      <c r="M1388" s="36" t="s">
        <v>1511</v>
      </c>
      <c r="N1388" s="1" t="s">
        <v>1286</v>
      </c>
      <c r="O1388" s="1" t="s">
        <v>1286</v>
      </c>
      <c r="P1388" s="34" t="str">
        <f t="shared" si="24"/>
        <v>F010</v>
      </c>
      <c r="Q1388" s="1" t="s">
        <v>137</v>
      </c>
      <c r="S1388" s="16">
        <v>20</v>
      </c>
      <c r="T1388" s="1" t="s">
        <v>2299</v>
      </c>
      <c r="U1388" s="1" t="s">
        <v>1468</v>
      </c>
      <c r="V1388" s="1" t="s">
        <v>1634</v>
      </c>
      <c r="Y1388" s="1">
        <v>2948.72</v>
      </c>
      <c r="AB1388" s="1">
        <v>1370.7</v>
      </c>
    </row>
    <row r="1389" spans="2:28" x14ac:dyDescent="0.2">
      <c r="B1389" s="30" t="s">
        <v>2294</v>
      </c>
      <c r="C1389" s="36"/>
      <c r="D1389" s="36"/>
      <c r="F1389" s="1" t="s">
        <v>1322</v>
      </c>
      <c r="G1389" s="30" t="s">
        <v>3450</v>
      </c>
      <c r="K1389" s="1" t="s">
        <v>3536</v>
      </c>
      <c r="L1389" s="1" t="s">
        <v>1279</v>
      </c>
      <c r="M1389" s="36" t="s">
        <v>1511</v>
      </c>
      <c r="N1389" s="1" t="s">
        <v>1577</v>
      </c>
      <c r="O1389" s="1" t="s">
        <v>1286</v>
      </c>
      <c r="P1389" s="34" t="str">
        <f t="shared" si="24"/>
        <v>F010</v>
      </c>
      <c r="Q1389" s="1" t="s">
        <v>137</v>
      </c>
      <c r="S1389" s="16">
        <v>20</v>
      </c>
      <c r="T1389" s="1" t="s">
        <v>3537</v>
      </c>
      <c r="U1389" s="1" t="s">
        <v>1468</v>
      </c>
      <c r="V1389" s="1" t="s">
        <v>1634</v>
      </c>
      <c r="Y1389" s="1">
        <v>2948.72</v>
      </c>
      <c r="AB1389" s="1">
        <v>1370.7</v>
      </c>
    </row>
    <row r="1390" spans="2:28" x14ac:dyDescent="0.2">
      <c r="B1390" s="30" t="s">
        <v>2294</v>
      </c>
      <c r="C1390" s="36"/>
      <c r="D1390" s="36"/>
      <c r="F1390" s="1" t="s">
        <v>3538</v>
      </c>
      <c r="G1390" s="30" t="s">
        <v>3450</v>
      </c>
      <c r="K1390" s="1" t="s">
        <v>3539</v>
      </c>
      <c r="L1390" s="1" t="s">
        <v>1279</v>
      </c>
      <c r="M1390" s="36" t="s">
        <v>1511</v>
      </c>
      <c r="N1390" s="1" t="s">
        <v>2611</v>
      </c>
      <c r="O1390" s="1" t="s">
        <v>1286</v>
      </c>
      <c r="P1390" s="34" t="str">
        <f t="shared" si="24"/>
        <v>F010</v>
      </c>
      <c r="Q1390" s="1" t="s">
        <v>137</v>
      </c>
      <c r="S1390" s="16">
        <v>20</v>
      </c>
      <c r="T1390" s="1" t="s">
        <v>2299</v>
      </c>
      <c r="U1390" s="1" t="s">
        <v>1468</v>
      </c>
      <c r="V1390" s="1" t="s">
        <v>1634</v>
      </c>
      <c r="Y1390" s="1">
        <v>2948.72</v>
      </c>
      <c r="AB1390" s="1">
        <v>1370.7</v>
      </c>
    </row>
    <row r="1391" spans="2:28" x14ac:dyDescent="0.2">
      <c r="B1391" s="30" t="s">
        <v>2294</v>
      </c>
      <c r="C1391" s="36"/>
      <c r="D1391" s="36"/>
      <c r="F1391" s="1" t="s">
        <v>1322</v>
      </c>
      <c r="G1391" s="30" t="s">
        <v>3450</v>
      </c>
      <c r="K1391" s="1" t="s">
        <v>3540</v>
      </c>
      <c r="L1391" s="1" t="s">
        <v>1279</v>
      </c>
      <c r="M1391" s="36" t="s">
        <v>1511</v>
      </c>
      <c r="N1391" s="1" t="s">
        <v>1286</v>
      </c>
      <c r="O1391" s="1" t="s">
        <v>1286</v>
      </c>
      <c r="P1391" s="34" t="str">
        <f t="shared" si="24"/>
        <v>F010</v>
      </c>
      <c r="Q1391" s="1" t="s">
        <v>137</v>
      </c>
      <c r="S1391" s="16">
        <v>20</v>
      </c>
      <c r="T1391" s="1" t="s">
        <v>3254</v>
      </c>
      <c r="U1391" s="1" t="s">
        <v>1468</v>
      </c>
      <c r="V1391" s="1" t="s">
        <v>1634</v>
      </c>
      <c r="Y1391" s="1">
        <v>2948.72</v>
      </c>
      <c r="AB1391" s="1">
        <v>1370.7</v>
      </c>
    </row>
    <row r="1392" spans="2:28" x14ac:dyDescent="0.2">
      <c r="B1392" s="30" t="s">
        <v>2294</v>
      </c>
      <c r="C1392" s="36"/>
      <c r="D1392" s="36"/>
      <c r="F1392" s="1" t="s">
        <v>3255</v>
      </c>
      <c r="G1392" s="30" t="s">
        <v>3450</v>
      </c>
      <c r="K1392" s="1" t="s">
        <v>3541</v>
      </c>
      <c r="L1392" s="1" t="s">
        <v>1279</v>
      </c>
      <c r="M1392" s="36" t="s">
        <v>1511</v>
      </c>
      <c r="N1392" s="1" t="s">
        <v>1286</v>
      </c>
      <c r="O1392" s="1" t="s">
        <v>1286</v>
      </c>
      <c r="P1392" s="34" t="str">
        <f t="shared" si="24"/>
        <v>F010</v>
      </c>
      <c r="Q1392" s="1" t="s">
        <v>137</v>
      </c>
      <c r="S1392" s="16">
        <v>20</v>
      </c>
      <c r="T1392" s="1" t="s">
        <v>2299</v>
      </c>
      <c r="U1392" s="1" t="s">
        <v>1468</v>
      </c>
      <c r="V1392" s="1" t="s">
        <v>1634</v>
      </c>
      <c r="Y1392" s="1">
        <v>2948.72</v>
      </c>
      <c r="AB1392" s="1">
        <v>1370.7</v>
      </c>
    </row>
    <row r="1393" spans="2:28" x14ac:dyDescent="0.2">
      <c r="B1393" s="30" t="s">
        <v>2294</v>
      </c>
      <c r="C1393" s="36"/>
      <c r="D1393" s="36"/>
      <c r="F1393" s="1" t="s">
        <v>1322</v>
      </c>
      <c r="G1393" s="30" t="s">
        <v>3450</v>
      </c>
      <c r="K1393" s="1" t="s">
        <v>3542</v>
      </c>
      <c r="L1393" s="1" t="s">
        <v>1279</v>
      </c>
      <c r="M1393" s="36" t="s">
        <v>1511</v>
      </c>
      <c r="N1393" s="1" t="s">
        <v>1286</v>
      </c>
      <c r="O1393" s="1" t="s">
        <v>1286</v>
      </c>
      <c r="P1393" s="34" t="str">
        <f t="shared" si="24"/>
        <v>F010</v>
      </c>
      <c r="Q1393" s="1" t="s">
        <v>137</v>
      </c>
      <c r="S1393" s="16">
        <v>20</v>
      </c>
      <c r="T1393" s="1" t="s">
        <v>3543</v>
      </c>
      <c r="U1393" s="1" t="s">
        <v>1468</v>
      </c>
      <c r="V1393" s="1" t="s">
        <v>1634</v>
      </c>
      <c r="Y1393" s="1">
        <v>2948.72</v>
      </c>
      <c r="AB1393" s="1">
        <v>1370.7</v>
      </c>
    </row>
    <row r="1394" spans="2:28" x14ac:dyDescent="0.2">
      <c r="B1394" s="30" t="s">
        <v>2294</v>
      </c>
      <c r="C1394" s="36"/>
      <c r="D1394" s="36"/>
      <c r="F1394" s="1" t="s">
        <v>3544</v>
      </c>
      <c r="G1394" s="30" t="s">
        <v>3450</v>
      </c>
      <c r="K1394" s="1" t="s">
        <v>3545</v>
      </c>
      <c r="L1394" s="1" t="s">
        <v>1279</v>
      </c>
      <c r="M1394" s="36" t="s">
        <v>1511</v>
      </c>
      <c r="N1394" s="1" t="s">
        <v>1286</v>
      </c>
      <c r="O1394" s="1" t="s">
        <v>1286</v>
      </c>
      <c r="P1394" s="34" t="str">
        <f t="shared" si="24"/>
        <v>F010</v>
      </c>
      <c r="Q1394" s="1" t="s">
        <v>137</v>
      </c>
      <c r="S1394" s="16">
        <v>20</v>
      </c>
      <c r="T1394" s="1" t="s">
        <v>2299</v>
      </c>
      <c r="U1394" s="1" t="s">
        <v>1468</v>
      </c>
      <c r="V1394" s="1" t="s">
        <v>1634</v>
      </c>
      <c r="Y1394" s="1">
        <v>2948.72</v>
      </c>
      <c r="AB1394" s="1">
        <v>1370.7</v>
      </c>
    </row>
    <row r="1395" spans="2:28" x14ac:dyDescent="0.2">
      <c r="B1395" s="30" t="s">
        <v>2294</v>
      </c>
      <c r="C1395" s="36"/>
      <c r="D1395" s="36"/>
      <c r="F1395" s="1" t="s">
        <v>1322</v>
      </c>
      <c r="G1395" s="30" t="s">
        <v>3450</v>
      </c>
      <c r="K1395" s="1" t="s">
        <v>3546</v>
      </c>
      <c r="L1395" s="1" t="s">
        <v>1279</v>
      </c>
      <c r="M1395" s="36" t="s">
        <v>1511</v>
      </c>
      <c r="N1395" s="1" t="s">
        <v>2611</v>
      </c>
      <c r="O1395" s="1" t="s">
        <v>1286</v>
      </c>
      <c r="P1395" s="34" t="str">
        <f t="shared" si="24"/>
        <v>F010</v>
      </c>
      <c r="Q1395" s="1" t="s">
        <v>137</v>
      </c>
      <c r="S1395" s="16">
        <v>20</v>
      </c>
      <c r="T1395" s="1" t="s">
        <v>3380</v>
      </c>
      <c r="U1395" s="1" t="s">
        <v>1468</v>
      </c>
      <c r="V1395" s="1" t="s">
        <v>1634</v>
      </c>
      <c r="Y1395" s="1">
        <v>2948.72</v>
      </c>
      <c r="AB1395" s="1">
        <v>1370.7</v>
      </c>
    </row>
    <row r="1396" spans="2:28" x14ac:dyDescent="0.2">
      <c r="B1396" s="30" t="s">
        <v>2294</v>
      </c>
      <c r="C1396" s="36"/>
      <c r="D1396" s="36"/>
      <c r="F1396" s="1" t="s">
        <v>3381</v>
      </c>
      <c r="G1396" s="30" t="s">
        <v>3450</v>
      </c>
      <c r="K1396" s="1" t="s">
        <v>3547</v>
      </c>
      <c r="L1396" s="1" t="s">
        <v>1279</v>
      </c>
      <c r="M1396" s="36" t="s">
        <v>1511</v>
      </c>
      <c r="N1396" s="1" t="s">
        <v>1286</v>
      </c>
      <c r="O1396" s="1" t="s">
        <v>1286</v>
      </c>
      <c r="P1396" s="34" t="str">
        <f t="shared" si="24"/>
        <v>F010</v>
      </c>
      <c r="Q1396" s="1" t="s">
        <v>137</v>
      </c>
      <c r="S1396" s="16">
        <v>20</v>
      </c>
      <c r="T1396" s="1" t="s">
        <v>2299</v>
      </c>
      <c r="U1396" s="1" t="s">
        <v>1468</v>
      </c>
      <c r="V1396" s="1" t="s">
        <v>1634</v>
      </c>
      <c r="Y1396" s="1">
        <v>2948.72</v>
      </c>
      <c r="AB1396" s="1">
        <v>1370.7</v>
      </c>
    </row>
    <row r="1397" spans="2:28" x14ac:dyDescent="0.2">
      <c r="B1397" s="30" t="s">
        <v>2294</v>
      </c>
      <c r="C1397" s="36"/>
      <c r="D1397" s="36"/>
      <c r="F1397" s="1" t="s">
        <v>1322</v>
      </c>
      <c r="G1397" s="30" t="s">
        <v>3450</v>
      </c>
      <c r="K1397" s="1" t="s">
        <v>3548</v>
      </c>
      <c r="L1397" s="1" t="s">
        <v>1279</v>
      </c>
      <c r="M1397" s="36" t="s">
        <v>1511</v>
      </c>
      <c r="N1397" s="1" t="s">
        <v>1286</v>
      </c>
      <c r="O1397" s="1" t="s">
        <v>1286</v>
      </c>
      <c r="P1397" s="34" t="str">
        <f t="shared" si="24"/>
        <v>F010</v>
      </c>
      <c r="Q1397" s="1" t="s">
        <v>137</v>
      </c>
      <c r="S1397" s="16">
        <v>20</v>
      </c>
      <c r="T1397" s="1" t="s">
        <v>3074</v>
      </c>
      <c r="U1397" s="1" t="s">
        <v>1468</v>
      </c>
      <c r="V1397" s="1" t="s">
        <v>1634</v>
      </c>
      <c r="Y1397" s="1">
        <v>2948.72</v>
      </c>
      <c r="AB1397" s="1">
        <v>1370.7</v>
      </c>
    </row>
    <row r="1398" spans="2:28" x14ac:dyDescent="0.2">
      <c r="B1398" s="30" t="s">
        <v>2294</v>
      </c>
      <c r="C1398" s="36"/>
      <c r="D1398" s="36"/>
      <c r="F1398" s="1" t="s">
        <v>3075</v>
      </c>
      <c r="G1398" s="30" t="s">
        <v>3450</v>
      </c>
      <c r="K1398" s="1" t="s">
        <v>3549</v>
      </c>
      <c r="L1398" s="1" t="s">
        <v>1279</v>
      </c>
      <c r="M1398" s="36" t="s">
        <v>1511</v>
      </c>
      <c r="N1398" s="1" t="s">
        <v>1577</v>
      </c>
      <c r="O1398" s="1" t="s">
        <v>1286</v>
      </c>
      <c r="P1398" s="34" t="str">
        <f t="shared" si="24"/>
        <v>F010</v>
      </c>
      <c r="Q1398" s="1" t="s">
        <v>137</v>
      </c>
      <c r="S1398" s="16">
        <v>20</v>
      </c>
      <c r="T1398" s="1" t="s">
        <v>2299</v>
      </c>
      <c r="U1398" s="1" t="s">
        <v>1468</v>
      </c>
      <c r="V1398" s="1" t="s">
        <v>1634</v>
      </c>
      <c r="Y1398" s="1">
        <v>2948.72</v>
      </c>
      <c r="AB1398" s="1">
        <v>1370.7</v>
      </c>
    </row>
    <row r="1399" spans="2:28" x14ac:dyDescent="0.2">
      <c r="B1399" s="30" t="s">
        <v>2294</v>
      </c>
      <c r="C1399" s="36"/>
      <c r="D1399" s="36"/>
      <c r="F1399" s="1" t="s">
        <v>1322</v>
      </c>
      <c r="G1399" s="30" t="s">
        <v>3450</v>
      </c>
      <c r="K1399" s="1" t="s">
        <v>3550</v>
      </c>
      <c r="L1399" s="1" t="s">
        <v>1279</v>
      </c>
      <c r="M1399" s="36" t="s">
        <v>1511</v>
      </c>
      <c r="N1399" s="1" t="s">
        <v>1286</v>
      </c>
      <c r="O1399" s="1" t="s">
        <v>1286</v>
      </c>
      <c r="P1399" s="34" t="str">
        <f t="shared" si="24"/>
        <v>F010</v>
      </c>
      <c r="Q1399" s="1" t="s">
        <v>137</v>
      </c>
      <c r="S1399" s="16">
        <v>20</v>
      </c>
      <c r="T1399" s="1" t="s">
        <v>3551</v>
      </c>
      <c r="U1399" s="1" t="s">
        <v>1468</v>
      </c>
      <c r="V1399" s="1" t="s">
        <v>1634</v>
      </c>
      <c r="Y1399" s="1">
        <v>2948.72</v>
      </c>
      <c r="AB1399" s="1">
        <v>1370.7</v>
      </c>
    </row>
    <row r="1400" spans="2:28" x14ac:dyDescent="0.2">
      <c r="B1400" s="30" t="s">
        <v>2294</v>
      </c>
      <c r="C1400" s="36"/>
      <c r="D1400" s="36"/>
      <c r="F1400" s="1" t="s">
        <v>3552</v>
      </c>
      <c r="G1400" s="30" t="s">
        <v>3450</v>
      </c>
      <c r="K1400" s="1" t="s">
        <v>3553</v>
      </c>
      <c r="L1400" s="1" t="s">
        <v>1279</v>
      </c>
      <c r="M1400" s="36" t="s">
        <v>1511</v>
      </c>
      <c r="N1400" s="1" t="s">
        <v>1286</v>
      </c>
      <c r="O1400" s="1" t="s">
        <v>1286</v>
      </c>
      <c r="P1400" s="34" t="str">
        <f t="shared" si="24"/>
        <v>F010</v>
      </c>
      <c r="Q1400" s="1" t="s">
        <v>137</v>
      </c>
      <c r="S1400" s="16">
        <v>20</v>
      </c>
      <c r="T1400" s="1" t="s">
        <v>2299</v>
      </c>
      <c r="U1400" s="1" t="s">
        <v>1468</v>
      </c>
      <c r="V1400" s="1" t="s">
        <v>1634</v>
      </c>
      <c r="Y1400" s="1">
        <v>2948.72</v>
      </c>
      <c r="AB1400" s="1">
        <v>1370.7</v>
      </c>
    </row>
    <row r="1401" spans="2:28" x14ac:dyDescent="0.2">
      <c r="B1401" s="30" t="s">
        <v>2294</v>
      </c>
      <c r="C1401" s="36"/>
      <c r="D1401" s="36"/>
      <c r="F1401" s="1" t="s">
        <v>1322</v>
      </c>
      <c r="G1401" s="30" t="s">
        <v>3450</v>
      </c>
      <c r="K1401" s="1" t="s">
        <v>3554</v>
      </c>
      <c r="L1401" s="1" t="s">
        <v>1279</v>
      </c>
      <c r="M1401" s="36" t="s">
        <v>1511</v>
      </c>
      <c r="N1401" s="1" t="s">
        <v>1577</v>
      </c>
      <c r="O1401" s="1" t="s">
        <v>1286</v>
      </c>
      <c r="P1401" s="34" t="str">
        <f t="shared" si="24"/>
        <v>F010</v>
      </c>
      <c r="Q1401" s="1" t="s">
        <v>137</v>
      </c>
      <c r="S1401" s="16">
        <v>20</v>
      </c>
      <c r="T1401" s="1" t="s">
        <v>3107</v>
      </c>
      <c r="U1401" s="1" t="s">
        <v>1468</v>
      </c>
      <c r="V1401" s="1" t="s">
        <v>1634</v>
      </c>
      <c r="Y1401" s="1">
        <v>2948.72</v>
      </c>
      <c r="AB1401" s="1">
        <v>1370.7</v>
      </c>
    </row>
    <row r="1402" spans="2:28" x14ac:dyDescent="0.2">
      <c r="B1402" s="30" t="s">
        <v>2294</v>
      </c>
      <c r="C1402" s="36"/>
      <c r="D1402" s="36"/>
      <c r="F1402" s="1" t="s">
        <v>3108</v>
      </c>
      <c r="G1402" s="30" t="s">
        <v>3450</v>
      </c>
      <c r="K1402" s="1" t="s">
        <v>3555</v>
      </c>
      <c r="L1402" s="1" t="s">
        <v>1279</v>
      </c>
      <c r="M1402" s="36" t="s">
        <v>1511</v>
      </c>
      <c r="N1402" s="1" t="s">
        <v>1286</v>
      </c>
      <c r="O1402" s="1" t="s">
        <v>1286</v>
      </c>
      <c r="P1402" s="34" t="str">
        <f t="shared" si="24"/>
        <v>F010</v>
      </c>
      <c r="Q1402" s="1" t="s">
        <v>137</v>
      </c>
      <c r="S1402" s="16">
        <v>20</v>
      </c>
      <c r="T1402" s="1" t="s">
        <v>2299</v>
      </c>
      <c r="U1402" s="1" t="s">
        <v>1468</v>
      </c>
      <c r="V1402" s="1" t="s">
        <v>1634</v>
      </c>
      <c r="Y1402" s="1">
        <v>2948.72</v>
      </c>
      <c r="AB1402" s="1">
        <v>1370.7</v>
      </c>
    </row>
    <row r="1403" spans="2:28" x14ac:dyDescent="0.2">
      <c r="B1403" s="30" t="s">
        <v>2294</v>
      </c>
      <c r="C1403" s="36"/>
      <c r="D1403" s="36"/>
      <c r="F1403" s="1" t="s">
        <v>1322</v>
      </c>
      <c r="G1403" s="30" t="s">
        <v>3450</v>
      </c>
      <c r="K1403" s="1" t="s">
        <v>3556</v>
      </c>
      <c r="L1403" s="1" t="s">
        <v>1279</v>
      </c>
      <c r="M1403" s="36" t="s">
        <v>1511</v>
      </c>
      <c r="N1403" s="1" t="s">
        <v>1286</v>
      </c>
      <c r="O1403" s="1" t="s">
        <v>1286</v>
      </c>
      <c r="P1403" s="34" t="str">
        <f t="shared" si="24"/>
        <v>F010</v>
      </c>
      <c r="Q1403" s="1" t="s">
        <v>137</v>
      </c>
      <c r="S1403" s="16">
        <v>20</v>
      </c>
      <c r="T1403" s="1" t="s">
        <v>3093</v>
      </c>
      <c r="U1403" s="1" t="s">
        <v>1468</v>
      </c>
      <c r="V1403" s="1" t="s">
        <v>1634</v>
      </c>
      <c r="Y1403" s="1">
        <v>2948.72</v>
      </c>
      <c r="AB1403" s="1">
        <v>1370.7</v>
      </c>
    </row>
    <row r="1404" spans="2:28" x14ac:dyDescent="0.2">
      <c r="B1404" s="30" t="s">
        <v>2294</v>
      </c>
      <c r="C1404" s="36"/>
      <c r="D1404" s="36"/>
      <c r="F1404" s="1" t="s">
        <v>3094</v>
      </c>
      <c r="G1404" s="30" t="s">
        <v>3450</v>
      </c>
      <c r="K1404" s="1" t="s">
        <v>3557</v>
      </c>
      <c r="L1404" s="1" t="s">
        <v>1279</v>
      </c>
      <c r="M1404" s="36" t="s">
        <v>1511</v>
      </c>
      <c r="N1404" s="1" t="s">
        <v>1286</v>
      </c>
      <c r="O1404" s="1" t="s">
        <v>1286</v>
      </c>
      <c r="P1404" s="34" t="str">
        <f t="shared" si="24"/>
        <v>F010</v>
      </c>
      <c r="Q1404" s="1" t="s">
        <v>137</v>
      </c>
      <c r="S1404" s="16">
        <v>20</v>
      </c>
      <c r="T1404" s="1" t="s">
        <v>2299</v>
      </c>
      <c r="U1404" s="1" t="s">
        <v>1468</v>
      </c>
      <c r="V1404" s="1" t="s">
        <v>1634</v>
      </c>
      <c r="Y1404" s="1">
        <v>2948.72</v>
      </c>
      <c r="AB1404" s="1">
        <v>1370.7</v>
      </c>
    </row>
    <row r="1405" spans="2:28" x14ac:dyDescent="0.2">
      <c r="B1405" s="30" t="s">
        <v>2294</v>
      </c>
      <c r="C1405" s="36"/>
      <c r="D1405" s="36"/>
      <c r="F1405" s="1" t="s">
        <v>1322</v>
      </c>
      <c r="G1405" s="30" t="s">
        <v>3450</v>
      </c>
      <c r="K1405" s="1" t="s">
        <v>3558</v>
      </c>
      <c r="L1405" s="1" t="s">
        <v>1279</v>
      </c>
      <c r="M1405" s="36" t="s">
        <v>1511</v>
      </c>
      <c r="N1405" s="1" t="s">
        <v>2611</v>
      </c>
      <c r="O1405" s="1" t="s">
        <v>1286</v>
      </c>
      <c r="P1405" s="34" t="str">
        <f t="shared" si="24"/>
        <v>F010</v>
      </c>
      <c r="Q1405" s="1" t="s">
        <v>137</v>
      </c>
      <c r="S1405" s="16">
        <v>20</v>
      </c>
      <c r="T1405" s="1" t="s">
        <v>3079</v>
      </c>
      <c r="U1405" s="1" t="s">
        <v>1468</v>
      </c>
      <c r="V1405" s="1" t="s">
        <v>1634</v>
      </c>
      <c r="Y1405" s="1">
        <v>2948.72</v>
      </c>
      <c r="AB1405" s="1">
        <v>1370.7</v>
      </c>
    </row>
    <row r="1406" spans="2:28" x14ac:dyDescent="0.2">
      <c r="B1406" s="30" t="s">
        <v>2294</v>
      </c>
      <c r="C1406" s="36"/>
      <c r="D1406" s="36"/>
      <c r="F1406" s="1" t="s">
        <v>3080</v>
      </c>
      <c r="G1406" s="30" t="s">
        <v>3450</v>
      </c>
      <c r="K1406" s="1" t="s">
        <v>3559</v>
      </c>
      <c r="L1406" s="1" t="s">
        <v>1279</v>
      </c>
      <c r="M1406" s="36" t="s">
        <v>1511</v>
      </c>
      <c r="N1406" s="1" t="s">
        <v>1287</v>
      </c>
      <c r="O1406" s="1" t="s">
        <v>1286</v>
      </c>
      <c r="P1406" s="34" t="str">
        <f t="shared" si="24"/>
        <v>F010</v>
      </c>
      <c r="Q1406" s="1" t="s">
        <v>137</v>
      </c>
      <c r="S1406" s="16">
        <v>20</v>
      </c>
      <c r="T1406" s="1" t="s">
        <v>2299</v>
      </c>
      <c r="U1406" s="1" t="s">
        <v>1468</v>
      </c>
      <c r="V1406" s="1" t="s">
        <v>1634</v>
      </c>
      <c r="Y1406" s="1">
        <v>2948.72</v>
      </c>
      <c r="AB1406" s="1">
        <v>1370.7</v>
      </c>
    </row>
    <row r="1407" spans="2:28" x14ac:dyDescent="0.2">
      <c r="B1407" s="30" t="s">
        <v>2294</v>
      </c>
      <c r="C1407" s="36"/>
      <c r="D1407" s="36"/>
      <c r="F1407" s="1" t="s">
        <v>1322</v>
      </c>
      <c r="G1407" s="30" t="s">
        <v>3450</v>
      </c>
      <c r="K1407" s="1" t="s">
        <v>3560</v>
      </c>
      <c r="L1407" s="1" t="s">
        <v>1279</v>
      </c>
      <c r="M1407" s="36" t="s">
        <v>1511</v>
      </c>
      <c r="N1407" s="1" t="s">
        <v>1286</v>
      </c>
      <c r="O1407" s="1" t="s">
        <v>1286</v>
      </c>
      <c r="P1407" s="34" t="str">
        <f t="shared" si="24"/>
        <v>F010</v>
      </c>
      <c r="Q1407" s="1" t="s">
        <v>137</v>
      </c>
      <c r="S1407" s="16">
        <v>20</v>
      </c>
      <c r="T1407" s="1" t="s">
        <v>3254</v>
      </c>
      <c r="U1407" s="1" t="s">
        <v>1468</v>
      </c>
      <c r="V1407" s="1" t="s">
        <v>1634</v>
      </c>
      <c r="Y1407" s="1">
        <v>2948.72</v>
      </c>
      <c r="AB1407" s="1">
        <v>1370.7</v>
      </c>
    </row>
    <row r="1408" spans="2:28" x14ac:dyDescent="0.2">
      <c r="B1408" s="30" t="s">
        <v>2294</v>
      </c>
      <c r="C1408" s="36"/>
      <c r="D1408" s="36"/>
      <c r="F1408" s="1" t="s">
        <v>3255</v>
      </c>
      <c r="G1408" s="30" t="s">
        <v>3450</v>
      </c>
      <c r="K1408" s="1" t="s">
        <v>3561</v>
      </c>
      <c r="L1408" s="1" t="s">
        <v>1279</v>
      </c>
      <c r="M1408" s="36" t="s">
        <v>1511</v>
      </c>
      <c r="N1408" s="1" t="s">
        <v>2611</v>
      </c>
      <c r="O1408" s="1" t="s">
        <v>1286</v>
      </c>
      <c r="P1408" s="34" t="str">
        <f t="shared" si="24"/>
        <v>F010</v>
      </c>
      <c r="Q1408" s="1" t="s">
        <v>137</v>
      </c>
      <c r="S1408" s="16">
        <v>20</v>
      </c>
      <c r="T1408" s="1" t="s">
        <v>2299</v>
      </c>
      <c r="U1408" s="1" t="s">
        <v>1468</v>
      </c>
      <c r="V1408" s="1" t="s">
        <v>1634</v>
      </c>
      <c r="Y1408" s="1">
        <v>2948.72</v>
      </c>
      <c r="AB1408" s="1">
        <v>1370.7</v>
      </c>
    </row>
    <row r="1409" spans="2:28" x14ac:dyDescent="0.2">
      <c r="B1409" s="30" t="s">
        <v>2294</v>
      </c>
      <c r="C1409" s="36"/>
      <c r="D1409" s="36"/>
      <c r="F1409" s="1" t="s">
        <v>1322</v>
      </c>
      <c r="G1409" s="30" t="s">
        <v>3450</v>
      </c>
      <c r="K1409" s="1" t="s">
        <v>3562</v>
      </c>
      <c r="L1409" s="1" t="s">
        <v>1279</v>
      </c>
      <c r="M1409" s="36" t="s">
        <v>1511</v>
      </c>
      <c r="N1409" s="1" t="s">
        <v>1286</v>
      </c>
      <c r="O1409" s="1" t="s">
        <v>1286</v>
      </c>
      <c r="P1409" s="34" t="str">
        <f t="shared" si="24"/>
        <v>F010</v>
      </c>
      <c r="Q1409" s="1" t="s">
        <v>137</v>
      </c>
      <c r="S1409" s="16">
        <v>20</v>
      </c>
      <c r="T1409" s="1" t="s">
        <v>3563</v>
      </c>
      <c r="U1409" s="1" t="s">
        <v>1468</v>
      </c>
      <c r="V1409" s="1" t="s">
        <v>1634</v>
      </c>
      <c r="Y1409" s="1">
        <v>2948.72</v>
      </c>
      <c r="AB1409" s="1">
        <v>1370.7</v>
      </c>
    </row>
    <row r="1410" spans="2:28" x14ac:dyDescent="0.2">
      <c r="B1410" s="30" t="s">
        <v>2294</v>
      </c>
      <c r="C1410" s="36"/>
      <c r="D1410" s="36"/>
      <c r="F1410" s="1" t="s">
        <v>3564</v>
      </c>
      <c r="G1410" s="30" t="s">
        <v>3450</v>
      </c>
      <c r="K1410" s="1" t="s">
        <v>3565</v>
      </c>
      <c r="L1410" s="1" t="s">
        <v>1279</v>
      </c>
      <c r="M1410" s="36" t="s">
        <v>1511</v>
      </c>
      <c r="N1410" s="1" t="s">
        <v>1286</v>
      </c>
      <c r="O1410" s="1" t="s">
        <v>1286</v>
      </c>
      <c r="P1410" s="34" t="str">
        <f t="shared" si="24"/>
        <v>F010</v>
      </c>
      <c r="Q1410" s="1" t="s">
        <v>137</v>
      </c>
      <c r="S1410" s="16">
        <v>20</v>
      </c>
      <c r="T1410" s="1" t="s">
        <v>2299</v>
      </c>
      <c r="U1410" s="1" t="s">
        <v>1468</v>
      </c>
      <c r="V1410" s="1" t="s">
        <v>1634</v>
      </c>
      <c r="Y1410" s="1">
        <v>2948.72</v>
      </c>
      <c r="AB1410" s="1">
        <v>1370.7</v>
      </c>
    </row>
    <row r="1411" spans="2:28" x14ac:dyDescent="0.2">
      <c r="B1411" s="30" t="s">
        <v>2294</v>
      </c>
      <c r="C1411" s="36"/>
      <c r="D1411" s="36"/>
      <c r="F1411" s="1" t="s">
        <v>1322</v>
      </c>
      <c r="G1411" s="30" t="s">
        <v>3450</v>
      </c>
      <c r="K1411" s="1" t="s">
        <v>3566</v>
      </c>
      <c r="L1411" s="1" t="s">
        <v>1279</v>
      </c>
      <c r="M1411" s="36" t="s">
        <v>1511</v>
      </c>
      <c r="N1411" s="1" t="s">
        <v>1286</v>
      </c>
      <c r="O1411" s="1" t="s">
        <v>1286</v>
      </c>
      <c r="P1411" s="34" t="str">
        <f t="shared" si="24"/>
        <v>F010</v>
      </c>
      <c r="Q1411" s="1" t="s">
        <v>137</v>
      </c>
      <c r="S1411" s="16">
        <v>20</v>
      </c>
      <c r="T1411" s="1" t="s">
        <v>3498</v>
      </c>
      <c r="U1411" s="1" t="s">
        <v>1468</v>
      </c>
      <c r="V1411" s="1" t="s">
        <v>1634</v>
      </c>
      <c r="Y1411" s="1">
        <v>2948.72</v>
      </c>
      <c r="AB1411" s="1">
        <v>1370.7</v>
      </c>
    </row>
    <row r="1412" spans="2:28" x14ac:dyDescent="0.2">
      <c r="B1412" s="30" t="s">
        <v>2294</v>
      </c>
      <c r="C1412" s="36"/>
      <c r="D1412" s="36"/>
      <c r="F1412" s="1" t="s">
        <v>3499</v>
      </c>
      <c r="G1412" s="30" t="s">
        <v>3450</v>
      </c>
      <c r="K1412" s="1" t="s">
        <v>3567</v>
      </c>
      <c r="L1412" s="1" t="s">
        <v>1279</v>
      </c>
      <c r="M1412" s="36" t="s">
        <v>1511</v>
      </c>
      <c r="N1412" s="1" t="s">
        <v>1287</v>
      </c>
      <c r="O1412" s="1" t="s">
        <v>1286</v>
      </c>
      <c r="P1412" s="34" t="str">
        <f t="shared" si="24"/>
        <v>F010</v>
      </c>
      <c r="Q1412" s="1" t="s">
        <v>137</v>
      </c>
      <c r="S1412" s="16">
        <v>20</v>
      </c>
      <c r="T1412" s="1" t="s">
        <v>2299</v>
      </c>
      <c r="U1412" s="1" t="s">
        <v>1468</v>
      </c>
      <c r="V1412" s="1" t="s">
        <v>1634</v>
      </c>
      <c r="Y1412" s="1">
        <v>2948.72</v>
      </c>
      <c r="AB1412" s="1">
        <v>1370.7</v>
      </c>
    </row>
    <row r="1413" spans="2:28" x14ac:dyDescent="0.2">
      <c r="B1413" s="30" t="s">
        <v>2294</v>
      </c>
      <c r="C1413" s="36"/>
      <c r="D1413" s="36"/>
      <c r="F1413" s="1" t="s">
        <v>1322</v>
      </c>
      <c r="G1413" s="30" t="s">
        <v>3450</v>
      </c>
      <c r="K1413" s="1" t="s">
        <v>3568</v>
      </c>
      <c r="L1413" s="1" t="s">
        <v>1279</v>
      </c>
      <c r="M1413" s="36" t="s">
        <v>1511</v>
      </c>
      <c r="N1413" s="1" t="s">
        <v>2611</v>
      </c>
      <c r="O1413" s="1" t="s">
        <v>1286</v>
      </c>
      <c r="P1413" s="34" t="str">
        <f t="shared" si="24"/>
        <v>F010</v>
      </c>
      <c r="Q1413" s="1" t="s">
        <v>137</v>
      </c>
      <c r="S1413" s="16">
        <v>20</v>
      </c>
      <c r="T1413" s="1" t="s">
        <v>3280</v>
      </c>
      <c r="U1413" s="1" t="s">
        <v>1468</v>
      </c>
      <c r="V1413" s="1" t="s">
        <v>1634</v>
      </c>
      <c r="Y1413" s="1">
        <v>2948.72</v>
      </c>
      <c r="AB1413" s="1">
        <v>1370.7</v>
      </c>
    </row>
    <row r="1414" spans="2:28" x14ac:dyDescent="0.2">
      <c r="B1414" s="30" t="s">
        <v>2294</v>
      </c>
      <c r="C1414" s="36"/>
      <c r="D1414" s="36"/>
      <c r="F1414" s="1" t="s">
        <v>3281</v>
      </c>
      <c r="G1414" s="30" t="s">
        <v>3450</v>
      </c>
      <c r="K1414" s="1" t="s">
        <v>3569</v>
      </c>
      <c r="L1414" s="1" t="s">
        <v>1279</v>
      </c>
      <c r="M1414" s="36" t="s">
        <v>1511</v>
      </c>
      <c r="N1414" s="1" t="s">
        <v>2233</v>
      </c>
      <c r="O1414" s="1" t="s">
        <v>1286</v>
      </c>
      <c r="P1414" s="34" t="str">
        <f t="shared" si="24"/>
        <v>F010</v>
      </c>
      <c r="Q1414" s="1" t="s">
        <v>137</v>
      </c>
      <c r="S1414" s="16">
        <v>20</v>
      </c>
      <c r="T1414" s="1" t="s">
        <v>2299</v>
      </c>
      <c r="U1414" s="1" t="s">
        <v>1468</v>
      </c>
      <c r="V1414" s="1" t="s">
        <v>1634</v>
      </c>
      <c r="Y1414" s="1">
        <v>2948.72</v>
      </c>
      <c r="AB1414" s="1">
        <v>1370.7</v>
      </c>
    </row>
    <row r="1415" spans="2:28" x14ac:dyDescent="0.2">
      <c r="B1415" s="30" t="s">
        <v>2294</v>
      </c>
      <c r="C1415" s="36"/>
      <c r="D1415" s="36"/>
      <c r="F1415" s="1" t="s">
        <v>1322</v>
      </c>
      <c r="G1415" s="30" t="s">
        <v>3450</v>
      </c>
      <c r="K1415" s="1" t="s">
        <v>3570</v>
      </c>
      <c r="L1415" s="1" t="s">
        <v>1279</v>
      </c>
      <c r="M1415" s="36" t="s">
        <v>1511</v>
      </c>
      <c r="N1415" s="1" t="s">
        <v>1286</v>
      </c>
      <c r="O1415" s="1" t="s">
        <v>1286</v>
      </c>
      <c r="P1415" s="34" t="str">
        <f t="shared" si="24"/>
        <v>F010</v>
      </c>
      <c r="Q1415" s="1" t="s">
        <v>137</v>
      </c>
      <c r="S1415" s="16">
        <v>20</v>
      </c>
      <c r="T1415" s="1" t="s">
        <v>3533</v>
      </c>
      <c r="U1415" s="1" t="s">
        <v>1468</v>
      </c>
      <c r="V1415" s="1" t="s">
        <v>1634</v>
      </c>
      <c r="Y1415" s="1">
        <v>2948.72</v>
      </c>
      <c r="AB1415" s="1">
        <v>1370.7</v>
      </c>
    </row>
    <row r="1416" spans="2:28" x14ac:dyDescent="0.2">
      <c r="B1416" s="30" t="s">
        <v>2294</v>
      </c>
      <c r="C1416" s="36"/>
      <c r="D1416" s="36"/>
      <c r="F1416" s="1" t="s">
        <v>3534</v>
      </c>
      <c r="G1416" s="30" t="s">
        <v>3450</v>
      </c>
      <c r="K1416" s="1" t="s">
        <v>3571</v>
      </c>
      <c r="L1416" s="1" t="s">
        <v>1279</v>
      </c>
      <c r="M1416" s="36" t="s">
        <v>1511</v>
      </c>
      <c r="N1416" s="1" t="s">
        <v>1287</v>
      </c>
      <c r="O1416" s="1" t="s">
        <v>1286</v>
      </c>
      <c r="P1416" s="34" t="str">
        <f t="shared" ref="P1416:P1479" si="25">+LEFT(Q1416,4)</f>
        <v>F010</v>
      </c>
      <c r="Q1416" s="1" t="s">
        <v>137</v>
      </c>
      <c r="S1416" s="16">
        <v>20</v>
      </c>
      <c r="T1416" s="1" t="s">
        <v>2299</v>
      </c>
      <c r="U1416" s="1" t="s">
        <v>1468</v>
      </c>
      <c r="V1416" s="1" t="s">
        <v>1634</v>
      </c>
      <c r="Y1416" s="1">
        <v>2948.72</v>
      </c>
      <c r="AB1416" s="1">
        <v>1370.7</v>
      </c>
    </row>
    <row r="1417" spans="2:28" x14ac:dyDescent="0.2">
      <c r="B1417" s="30" t="s">
        <v>2294</v>
      </c>
      <c r="C1417" s="36"/>
      <c r="D1417" s="36"/>
      <c r="F1417" s="1" t="s">
        <v>1322</v>
      </c>
      <c r="G1417" s="30" t="s">
        <v>3450</v>
      </c>
      <c r="K1417" s="1" t="s">
        <v>3572</v>
      </c>
      <c r="L1417" s="1" t="s">
        <v>1279</v>
      </c>
      <c r="M1417" s="36" t="s">
        <v>1511</v>
      </c>
      <c r="N1417" s="1" t="s">
        <v>1287</v>
      </c>
      <c r="O1417" s="1" t="s">
        <v>1286</v>
      </c>
      <c r="P1417" s="34" t="str">
        <f t="shared" si="25"/>
        <v>F010</v>
      </c>
      <c r="Q1417" s="1" t="s">
        <v>137</v>
      </c>
      <c r="S1417" s="16">
        <v>20</v>
      </c>
      <c r="T1417" s="1" t="s">
        <v>3209</v>
      </c>
      <c r="U1417" s="1" t="s">
        <v>1468</v>
      </c>
      <c r="V1417" s="1" t="s">
        <v>1634</v>
      </c>
      <c r="Y1417" s="1">
        <v>2948.72</v>
      </c>
      <c r="AB1417" s="1">
        <v>1370.7</v>
      </c>
    </row>
    <row r="1418" spans="2:28" x14ac:dyDescent="0.2">
      <c r="B1418" s="30" t="s">
        <v>2294</v>
      </c>
      <c r="C1418" s="36"/>
      <c r="D1418" s="36"/>
      <c r="F1418" s="1" t="s">
        <v>3210</v>
      </c>
      <c r="G1418" s="30" t="s">
        <v>3450</v>
      </c>
      <c r="K1418" s="1" t="s">
        <v>3573</v>
      </c>
      <c r="L1418" s="1" t="s">
        <v>1279</v>
      </c>
      <c r="M1418" s="36" t="s">
        <v>1511</v>
      </c>
      <c r="N1418" s="1" t="s">
        <v>1286</v>
      </c>
      <c r="O1418" s="1" t="s">
        <v>1286</v>
      </c>
      <c r="P1418" s="34" t="str">
        <f t="shared" si="25"/>
        <v>F010</v>
      </c>
      <c r="Q1418" s="1" t="s">
        <v>137</v>
      </c>
      <c r="S1418" s="16">
        <v>20</v>
      </c>
      <c r="T1418" s="1" t="s">
        <v>2299</v>
      </c>
      <c r="U1418" s="1" t="s">
        <v>1468</v>
      </c>
      <c r="V1418" s="1" t="s">
        <v>1634</v>
      </c>
      <c r="Y1418" s="1">
        <v>2948.72</v>
      </c>
      <c r="AB1418" s="1">
        <v>1370.7</v>
      </c>
    </row>
    <row r="1419" spans="2:28" x14ac:dyDescent="0.2">
      <c r="B1419" s="30" t="s">
        <v>2294</v>
      </c>
      <c r="C1419" s="36"/>
      <c r="D1419" s="36"/>
      <c r="F1419" s="1" t="s">
        <v>1322</v>
      </c>
      <c r="G1419" s="30" t="s">
        <v>3450</v>
      </c>
      <c r="K1419" s="1" t="s">
        <v>3574</v>
      </c>
      <c r="L1419" s="1" t="s">
        <v>1279</v>
      </c>
      <c r="M1419" s="36" t="s">
        <v>1511</v>
      </c>
      <c r="N1419" s="1" t="s">
        <v>1286</v>
      </c>
      <c r="O1419" s="1" t="s">
        <v>1286</v>
      </c>
      <c r="P1419" s="34" t="str">
        <f t="shared" si="25"/>
        <v>F010</v>
      </c>
      <c r="Q1419" s="1" t="s">
        <v>137</v>
      </c>
      <c r="S1419" s="16">
        <v>20</v>
      </c>
      <c r="T1419" s="1" t="s">
        <v>3284</v>
      </c>
      <c r="U1419" s="1" t="s">
        <v>1468</v>
      </c>
      <c r="V1419" s="1" t="s">
        <v>1634</v>
      </c>
      <c r="Y1419" s="1">
        <v>2948.72</v>
      </c>
      <c r="AB1419" s="1">
        <v>1370.7</v>
      </c>
    </row>
    <row r="1420" spans="2:28" x14ac:dyDescent="0.2">
      <c r="B1420" s="30" t="s">
        <v>2294</v>
      </c>
      <c r="C1420" s="36"/>
      <c r="D1420" s="36"/>
      <c r="F1420" s="1" t="s">
        <v>3285</v>
      </c>
      <c r="G1420" s="30" t="s">
        <v>3450</v>
      </c>
      <c r="K1420" s="1" t="s">
        <v>3575</v>
      </c>
      <c r="L1420" s="1" t="s">
        <v>1279</v>
      </c>
      <c r="M1420" s="36" t="s">
        <v>1511</v>
      </c>
      <c r="N1420" s="1" t="s">
        <v>2611</v>
      </c>
      <c r="O1420" s="1" t="s">
        <v>1286</v>
      </c>
      <c r="P1420" s="34" t="str">
        <f t="shared" si="25"/>
        <v>F010</v>
      </c>
      <c r="Q1420" s="1" t="s">
        <v>137</v>
      </c>
      <c r="S1420" s="16">
        <v>20</v>
      </c>
      <c r="T1420" s="1" t="s">
        <v>2299</v>
      </c>
      <c r="U1420" s="1" t="s">
        <v>1468</v>
      </c>
      <c r="V1420" s="1" t="s">
        <v>1634</v>
      </c>
      <c r="Y1420" s="1">
        <v>2948.72</v>
      </c>
      <c r="AB1420" s="1">
        <v>1370.7</v>
      </c>
    </row>
    <row r="1421" spans="2:28" x14ac:dyDescent="0.2">
      <c r="B1421" s="30" t="s">
        <v>2294</v>
      </c>
      <c r="C1421" s="36"/>
      <c r="D1421" s="36"/>
      <c r="F1421" s="1" t="s">
        <v>1322</v>
      </c>
      <c r="G1421" s="30" t="s">
        <v>3450</v>
      </c>
      <c r="K1421" s="1" t="s">
        <v>3576</v>
      </c>
      <c r="L1421" s="1" t="s">
        <v>1279</v>
      </c>
      <c r="M1421" s="36" t="s">
        <v>1511</v>
      </c>
      <c r="N1421" s="1" t="s">
        <v>1286</v>
      </c>
      <c r="O1421" s="1" t="s">
        <v>1286</v>
      </c>
      <c r="P1421" s="34" t="str">
        <f t="shared" si="25"/>
        <v>F010</v>
      </c>
      <c r="Q1421" s="1" t="s">
        <v>137</v>
      </c>
      <c r="S1421" s="16">
        <v>20</v>
      </c>
      <c r="T1421" s="1" t="s">
        <v>3577</v>
      </c>
      <c r="U1421" s="1" t="s">
        <v>1468</v>
      </c>
      <c r="V1421" s="1" t="s">
        <v>1634</v>
      </c>
      <c r="Y1421" s="1">
        <v>2948.72</v>
      </c>
      <c r="AB1421" s="1">
        <v>1370.7</v>
      </c>
    </row>
    <row r="1422" spans="2:28" x14ac:dyDescent="0.2">
      <c r="B1422" s="30" t="s">
        <v>2294</v>
      </c>
      <c r="C1422" s="36"/>
      <c r="D1422" s="36"/>
      <c r="F1422" s="1" t="s">
        <v>3578</v>
      </c>
      <c r="G1422" s="30" t="s">
        <v>3450</v>
      </c>
      <c r="K1422" s="1" t="s">
        <v>3579</v>
      </c>
      <c r="L1422" s="1" t="s">
        <v>1279</v>
      </c>
      <c r="M1422" s="36" t="s">
        <v>1511</v>
      </c>
      <c r="N1422" s="1" t="s">
        <v>1286</v>
      </c>
      <c r="O1422" s="1" t="s">
        <v>1286</v>
      </c>
      <c r="P1422" s="34" t="str">
        <f t="shared" si="25"/>
        <v>F010</v>
      </c>
      <c r="Q1422" s="1" t="s">
        <v>137</v>
      </c>
      <c r="S1422" s="16">
        <v>20</v>
      </c>
      <c r="T1422" s="1" t="s">
        <v>2299</v>
      </c>
      <c r="U1422" s="1" t="s">
        <v>1468</v>
      </c>
      <c r="V1422" s="1" t="s">
        <v>1634</v>
      </c>
      <c r="Y1422" s="1">
        <v>2948.72</v>
      </c>
      <c r="AB1422" s="1">
        <v>1370.7</v>
      </c>
    </row>
    <row r="1423" spans="2:28" x14ac:dyDescent="0.2">
      <c r="B1423" s="30" t="s">
        <v>2294</v>
      </c>
      <c r="C1423" s="36"/>
      <c r="D1423" s="36"/>
      <c r="F1423" s="1" t="s">
        <v>1322</v>
      </c>
      <c r="G1423" s="30" t="s">
        <v>3450</v>
      </c>
      <c r="K1423" s="1" t="s">
        <v>3580</v>
      </c>
      <c r="L1423" s="1" t="s">
        <v>1279</v>
      </c>
      <c r="M1423" s="36" t="s">
        <v>1511</v>
      </c>
      <c r="N1423" s="1" t="s">
        <v>1577</v>
      </c>
      <c r="O1423" s="1" t="s">
        <v>1286</v>
      </c>
      <c r="P1423" s="34" t="str">
        <f t="shared" si="25"/>
        <v>F010</v>
      </c>
      <c r="Q1423" s="1" t="s">
        <v>137</v>
      </c>
      <c r="S1423" s="16">
        <v>20</v>
      </c>
      <c r="T1423" s="1" t="s">
        <v>3084</v>
      </c>
      <c r="U1423" s="1" t="s">
        <v>1468</v>
      </c>
      <c r="V1423" s="1" t="s">
        <v>1634</v>
      </c>
      <c r="Y1423" s="1">
        <v>2948.72</v>
      </c>
      <c r="AB1423" s="1">
        <v>1370.7</v>
      </c>
    </row>
    <row r="1424" spans="2:28" x14ac:dyDescent="0.2">
      <c r="B1424" s="30" t="s">
        <v>2294</v>
      </c>
      <c r="C1424" s="36"/>
      <c r="D1424" s="36"/>
      <c r="F1424" s="1" t="s">
        <v>3085</v>
      </c>
      <c r="G1424" s="30" t="s">
        <v>3450</v>
      </c>
      <c r="K1424" s="1" t="s">
        <v>3581</v>
      </c>
      <c r="L1424" s="1" t="s">
        <v>1279</v>
      </c>
      <c r="M1424" s="36" t="s">
        <v>1511</v>
      </c>
      <c r="N1424" s="1" t="s">
        <v>3582</v>
      </c>
      <c r="O1424" s="1" t="s">
        <v>1286</v>
      </c>
      <c r="P1424" s="34" t="str">
        <f t="shared" si="25"/>
        <v>F010</v>
      </c>
      <c r="Q1424" s="1" t="s">
        <v>127</v>
      </c>
      <c r="S1424" s="16">
        <v>20</v>
      </c>
      <c r="T1424" s="1" t="s">
        <v>2299</v>
      </c>
      <c r="U1424" s="1" t="s">
        <v>1468</v>
      </c>
      <c r="V1424" s="1" t="s">
        <v>1634</v>
      </c>
      <c r="Y1424" s="1">
        <v>2948.72</v>
      </c>
      <c r="AB1424" s="1">
        <v>1370.7</v>
      </c>
    </row>
    <row r="1425" spans="2:28" x14ac:dyDescent="0.2">
      <c r="B1425" s="30" t="s">
        <v>2294</v>
      </c>
      <c r="C1425" s="36"/>
      <c r="D1425" s="36"/>
      <c r="F1425" s="1" t="s">
        <v>1322</v>
      </c>
      <c r="G1425" s="30" t="s">
        <v>3450</v>
      </c>
      <c r="K1425" s="1" t="s">
        <v>3583</v>
      </c>
      <c r="L1425" s="1" t="s">
        <v>1279</v>
      </c>
      <c r="M1425" s="36" t="s">
        <v>1511</v>
      </c>
      <c r="N1425" s="1" t="s">
        <v>2601</v>
      </c>
      <c r="O1425" s="1" t="s">
        <v>1286</v>
      </c>
      <c r="P1425" s="34" t="str">
        <f t="shared" si="25"/>
        <v>F010</v>
      </c>
      <c r="Q1425" s="1" t="s">
        <v>127</v>
      </c>
      <c r="S1425" s="16">
        <v>20</v>
      </c>
      <c r="T1425" s="1" t="s">
        <v>3127</v>
      </c>
      <c r="U1425" s="1" t="s">
        <v>1468</v>
      </c>
      <c r="V1425" s="1" t="s">
        <v>1634</v>
      </c>
      <c r="Y1425" s="1">
        <v>2948.72</v>
      </c>
      <c r="AB1425" s="1">
        <v>1370.7</v>
      </c>
    </row>
    <row r="1426" spans="2:28" x14ac:dyDescent="0.2">
      <c r="B1426" s="30" t="s">
        <v>2294</v>
      </c>
      <c r="C1426" s="36"/>
      <c r="D1426" s="36"/>
      <c r="F1426" s="1" t="s">
        <v>3128</v>
      </c>
      <c r="G1426" s="30" t="s">
        <v>3450</v>
      </c>
      <c r="K1426" s="1" t="s">
        <v>3584</v>
      </c>
      <c r="L1426" s="1" t="s">
        <v>1279</v>
      </c>
      <c r="M1426" s="36" t="s">
        <v>1511</v>
      </c>
      <c r="N1426" s="1" t="s">
        <v>1556</v>
      </c>
      <c r="O1426" s="1" t="s">
        <v>1286</v>
      </c>
      <c r="P1426" s="34" t="str">
        <f t="shared" si="25"/>
        <v>F010</v>
      </c>
      <c r="Q1426" s="1" t="s">
        <v>127</v>
      </c>
      <c r="S1426" s="16">
        <v>20</v>
      </c>
      <c r="T1426" s="1" t="s">
        <v>2299</v>
      </c>
      <c r="U1426" s="1" t="s">
        <v>1468</v>
      </c>
      <c r="V1426" s="1" t="s">
        <v>1634</v>
      </c>
      <c r="Y1426" s="1">
        <v>2948.72</v>
      </c>
      <c r="AB1426" s="1">
        <v>1370.7</v>
      </c>
    </row>
    <row r="1427" spans="2:28" x14ac:dyDescent="0.2">
      <c r="B1427" s="30" t="s">
        <v>2294</v>
      </c>
      <c r="C1427" s="36"/>
      <c r="D1427" s="36"/>
      <c r="F1427" s="1" t="s">
        <v>1322</v>
      </c>
      <c r="G1427" s="30" t="s">
        <v>3450</v>
      </c>
      <c r="K1427" s="1" t="s">
        <v>3585</v>
      </c>
      <c r="L1427" s="1" t="s">
        <v>1279</v>
      </c>
      <c r="M1427" s="36" t="s">
        <v>1511</v>
      </c>
      <c r="N1427" s="1" t="s">
        <v>1944</v>
      </c>
      <c r="O1427" s="1" t="s">
        <v>1286</v>
      </c>
      <c r="P1427" s="34" t="str">
        <f t="shared" si="25"/>
        <v>F010</v>
      </c>
      <c r="Q1427" s="1" t="s">
        <v>137</v>
      </c>
      <c r="S1427" s="16">
        <v>20</v>
      </c>
      <c r="T1427" s="1" t="s">
        <v>3074</v>
      </c>
      <c r="U1427" s="1" t="s">
        <v>1468</v>
      </c>
      <c r="V1427" s="1" t="s">
        <v>1634</v>
      </c>
      <c r="Y1427" s="1">
        <v>2948.72</v>
      </c>
      <c r="AB1427" s="1">
        <v>1370.7</v>
      </c>
    </row>
    <row r="1428" spans="2:28" x14ac:dyDescent="0.2">
      <c r="B1428" s="30" t="s">
        <v>2294</v>
      </c>
      <c r="C1428" s="36"/>
      <c r="D1428" s="36"/>
      <c r="F1428" s="1" t="s">
        <v>3075</v>
      </c>
      <c r="G1428" s="30" t="s">
        <v>3450</v>
      </c>
      <c r="K1428" s="1" t="s">
        <v>3586</v>
      </c>
      <c r="L1428" s="1" t="s">
        <v>1279</v>
      </c>
      <c r="M1428" s="36" t="s">
        <v>1511</v>
      </c>
      <c r="N1428" s="1" t="s">
        <v>1284</v>
      </c>
      <c r="O1428" s="1" t="s">
        <v>1286</v>
      </c>
      <c r="P1428" s="34" t="str">
        <f t="shared" si="25"/>
        <v>F010</v>
      </c>
      <c r="Q1428" s="1" t="s">
        <v>127</v>
      </c>
      <c r="S1428" s="16">
        <v>20</v>
      </c>
      <c r="T1428" s="1" t="s">
        <v>2299</v>
      </c>
      <c r="U1428" s="1" t="s">
        <v>1468</v>
      </c>
      <c r="V1428" s="1" t="s">
        <v>1634</v>
      </c>
      <c r="Y1428" s="1">
        <v>2948.72</v>
      </c>
      <c r="AB1428" s="1">
        <v>1370.7</v>
      </c>
    </row>
    <row r="1429" spans="2:28" x14ac:dyDescent="0.2">
      <c r="B1429" s="30" t="s">
        <v>2294</v>
      </c>
      <c r="C1429" s="36"/>
      <c r="D1429" s="36"/>
      <c r="F1429" s="1" t="s">
        <v>1322</v>
      </c>
      <c r="G1429" s="30" t="s">
        <v>3450</v>
      </c>
      <c r="K1429" s="1" t="s">
        <v>3587</v>
      </c>
      <c r="L1429" s="1" t="s">
        <v>1279</v>
      </c>
      <c r="M1429" s="36" t="s">
        <v>1511</v>
      </c>
      <c r="N1429" s="1" t="s">
        <v>1715</v>
      </c>
      <c r="O1429" s="1" t="s">
        <v>1286</v>
      </c>
      <c r="P1429" s="34" t="str">
        <f t="shared" si="25"/>
        <v>F010</v>
      </c>
      <c r="Q1429" s="1" t="s">
        <v>127</v>
      </c>
      <c r="S1429" s="16">
        <v>20</v>
      </c>
      <c r="T1429" s="1" t="s">
        <v>3191</v>
      </c>
      <c r="U1429" s="1" t="s">
        <v>1468</v>
      </c>
      <c r="V1429" s="1" t="s">
        <v>1634</v>
      </c>
      <c r="Y1429" s="1">
        <v>2948.72</v>
      </c>
      <c r="AB1429" s="1">
        <v>1370.7</v>
      </c>
    </row>
    <row r="1430" spans="2:28" x14ac:dyDescent="0.2">
      <c r="B1430" s="30" t="s">
        <v>2294</v>
      </c>
      <c r="C1430" s="36"/>
      <c r="D1430" s="36"/>
      <c r="F1430" s="1" t="s">
        <v>3192</v>
      </c>
      <c r="G1430" s="30" t="s">
        <v>3450</v>
      </c>
      <c r="K1430" s="1" t="s">
        <v>3588</v>
      </c>
      <c r="L1430" s="1" t="s">
        <v>1279</v>
      </c>
      <c r="M1430" s="36" t="s">
        <v>1511</v>
      </c>
      <c r="N1430" s="1" t="s">
        <v>1658</v>
      </c>
      <c r="O1430" s="1" t="s">
        <v>1286</v>
      </c>
      <c r="P1430" s="34" t="str">
        <f t="shared" si="25"/>
        <v>F010</v>
      </c>
      <c r="Q1430" s="1" t="s">
        <v>137</v>
      </c>
      <c r="S1430" s="16">
        <v>20</v>
      </c>
      <c r="T1430" s="1" t="s">
        <v>2299</v>
      </c>
      <c r="U1430" s="1" t="s">
        <v>1468</v>
      </c>
      <c r="V1430" s="1" t="s">
        <v>1634</v>
      </c>
      <c r="Y1430" s="1">
        <v>2948.72</v>
      </c>
      <c r="AB1430" s="1">
        <v>1370.7</v>
      </c>
    </row>
    <row r="1431" spans="2:28" x14ac:dyDescent="0.2">
      <c r="B1431" s="30" t="s">
        <v>2294</v>
      </c>
      <c r="C1431" s="36"/>
      <c r="D1431" s="36"/>
      <c r="F1431" s="1" t="s">
        <v>1322</v>
      </c>
      <c r="G1431" s="30" t="s">
        <v>3450</v>
      </c>
      <c r="K1431" s="1" t="s">
        <v>3589</v>
      </c>
      <c r="L1431" s="1" t="s">
        <v>1279</v>
      </c>
      <c r="M1431" s="36" t="s">
        <v>1511</v>
      </c>
      <c r="N1431" s="1" t="s">
        <v>1284</v>
      </c>
      <c r="O1431" s="1" t="s">
        <v>1286</v>
      </c>
      <c r="P1431" s="34" t="str">
        <f t="shared" si="25"/>
        <v>F010</v>
      </c>
      <c r="Q1431" s="1" t="s">
        <v>127</v>
      </c>
      <c r="S1431" s="16">
        <v>20</v>
      </c>
      <c r="T1431" s="1" t="s">
        <v>3079</v>
      </c>
      <c r="U1431" s="1" t="s">
        <v>1468</v>
      </c>
      <c r="V1431" s="1" t="s">
        <v>1634</v>
      </c>
      <c r="Y1431" s="1">
        <v>2948.72</v>
      </c>
      <c r="AB1431" s="1">
        <v>1370.7</v>
      </c>
    </row>
    <row r="1432" spans="2:28" x14ac:dyDescent="0.2">
      <c r="B1432" s="30" t="s">
        <v>2294</v>
      </c>
      <c r="C1432" s="36"/>
      <c r="D1432" s="36"/>
      <c r="F1432" s="1" t="s">
        <v>3080</v>
      </c>
      <c r="G1432" s="30" t="s">
        <v>3450</v>
      </c>
      <c r="K1432" s="1" t="s">
        <v>3590</v>
      </c>
      <c r="L1432" s="1" t="s">
        <v>1279</v>
      </c>
      <c r="M1432" s="36" t="s">
        <v>1511</v>
      </c>
      <c r="N1432" s="1" t="s">
        <v>1658</v>
      </c>
      <c r="O1432" s="1" t="s">
        <v>1286</v>
      </c>
      <c r="P1432" s="34" t="str">
        <f t="shared" si="25"/>
        <v>F010</v>
      </c>
      <c r="Q1432" s="1" t="s">
        <v>137</v>
      </c>
      <c r="S1432" s="16">
        <v>20</v>
      </c>
      <c r="T1432" s="1" t="s">
        <v>2299</v>
      </c>
      <c r="U1432" s="1" t="s">
        <v>1468</v>
      </c>
      <c r="V1432" s="1" t="s">
        <v>1634</v>
      </c>
      <c r="Y1432" s="1">
        <v>2948.72</v>
      </c>
      <c r="AB1432" s="1">
        <v>1370.7</v>
      </c>
    </row>
    <row r="1433" spans="2:28" x14ac:dyDescent="0.2">
      <c r="B1433" s="30" t="s">
        <v>2294</v>
      </c>
      <c r="C1433" s="36"/>
      <c r="D1433" s="36"/>
      <c r="F1433" s="1" t="s">
        <v>1322</v>
      </c>
      <c r="G1433" s="30" t="s">
        <v>3450</v>
      </c>
      <c r="K1433" s="1" t="s">
        <v>3591</v>
      </c>
      <c r="L1433" s="1" t="s">
        <v>1279</v>
      </c>
      <c r="M1433" s="36" t="s">
        <v>1511</v>
      </c>
      <c r="N1433" s="1" t="s">
        <v>3592</v>
      </c>
      <c r="O1433" s="1" t="s">
        <v>1286</v>
      </c>
      <c r="P1433" s="34" t="str">
        <f t="shared" si="25"/>
        <v>F010</v>
      </c>
      <c r="Q1433" s="1" t="s">
        <v>127</v>
      </c>
      <c r="S1433" s="16">
        <v>20</v>
      </c>
      <c r="T1433" s="1" t="s">
        <v>3209</v>
      </c>
      <c r="U1433" s="1" t="s">
        <v>1468</v>
      </c>
      <c r="V1433" s="1" t="s">
        <v>1634</v>
      </c>
      <c r="Y1433" s="1">
        <v>2948.72</v>
      </c>
      <c r="AB1433" s="1">
        <v>1370.7</v>
      </c>
    </row>
    <row r="1434" spans="2:28" x14ac:dyDescent="0.2">
      <c r="B1434" s="30" t="s">
        <v>2294</v>
      </c>
      <c r="C1434" s="36"/>
      <c r="D1434" s="36"/>
      <c r="F1434" s="1" t="s">
        <v>3210</v>
      </c>
      <c r="G1434" s="30" t="s">
        <v>3450</v>
      </c>
      <c r="K1434" s="1" t="s">
        <v>3593</v>
      </c>
      <c r="L1434" s="1" t="s">
        <v>1279</v>
      </c>
      <c r="M1434" s="36" t="s">
        <v>1511</v>
      </c>
      <c r="N1434" s="1" t="s">
        <v>2486</v>
      </c>
      <c r="O1434" s="1" t="s">
        <v>1286</v>
      </c>
      <c r="P1434" s="34" t="str">
        <f t="shared" si="25"/>
        <v>F010</v>
      </c>
      <c r="Q1434" s="1" t="s">
        <v>127</v>
      </c>
      <c r="S1434" s="16">
        <v>20</v>
      </c>
      <c r="T1434" s="1" t="s">
        <v>2299</v>
      </c>
      <c r="U1434" s="1" t="s">
        <v>1468</v>
      </c>
      <c r="V1434" s="1" t="s">
        <v>1634</v>
      </c>
      <c r="Y1434" s="1">
        <v>2948.72</v>
      </c>
      <c r="AB1434" s="1">
        <v>1370.7</v>
      </c>
    </row>
    <row r="1435" spans="2:28" x14ac:dyDescent="0.2">
      <c r="B1435" s="30" t="s">
        <v>2294</v>
      </c>
      <c r="C1435" s="36"/>
      <c r="D1435" s="36"/>
      <c r="F1435" s="1" t="s">
        <v>1322</v>
      </c>
      <c r="G1435" s="30" t="s">
        <v>3450</v>
      </c>
      <c r="K1435" s="1" t="s">
        <v>3594</v>
      </c>
      <c r="L1435" s="1" t="s">
        <v>1279</v>
      </c>
      <c r="M1435" s="36" t="s">
        <v>1511</v>
      </c>
      <c r="N1435" s="1" t="s">
        <v>2934</v>
      </c>
      <c r="O1435" s="1" t="s">
        <v>1286</v>
      </c>
      <c r="P1435" s="34" t="str">
        <f t="shared" si="25"/>
        <v>F010</v>
      </c>
      <c r="Q1435" s="1" t="s">
        <v>127</v>
      </c>
      <c r="S1435" s="16">
        <v>20</v>
      </c>
      <c r="T1435" s="1" t="s">
        <v>3101</v>
      </c>
      <c r="U1435" s="1" t="s">
        <v>1468</v>
      </c>
      <c r="V1435" s="1" t="s">
        <v>1634</v>
      </c>
      <c r="Y1435" s="1">
        <v>2948.72</v>
      </c>
      <c r="AB1435" s="1">
        <v>1370.7</v>
      </c>
    </row>
    <row r="1436" spans="2:28" x14ac:dyDescent="0.2">
      <c r="B1436" s="30" t="s">
        <v>2294</v>
      </c>
      <c r="C1436" s="36"/>
      <c r="D1436" s="36"/>
      <c r="F1436" s="1" t="s">
        <v>3102</v>
      </c>
      <c r="G1436" s="30" t="s">
        <v>3450</v>
      </c>
      <c r="K1436" s="1" t="s">
        <v>3595</v>
      </c>
      <c r="L1436" s="1" t="s">
        <v>1279</v>
      </c>
      <c r="M1436" s="36" t="s">
        <v>1511</v>
      </c>
      <c r="N1436" s="1" t="s">
        <v>1609</v>
      </c>
      <c r="O1436" s="1" t="s">
        <v>1286</v>
      </c>
      <c r="P1436" s="34" t="str">
        <f t="shared" si="25"/>
        <v>F010</v>
      </c>
      <c r="Q1436" s="1" t="s">
        <v>127</v>
      </c>
      <c r="S1436" s="16">
        <v>20</v>
      </c>
      <c r="T1436" s="1" t="s">
        <v>2299</v>
      </c>
      <c r="U1436" s="1" t="s">
        <v>1468</v>
      </c>
      <c r="V1436" s="1" t="s">
        <v>1634</v>
      </c>
      <c r="Y1436" s="1">
        <v>2948.72</v>
      </c>
      <c r="AB1436" s="1">
        <v>1370.7</v>
      </c>
    </row>
    <row r="1437" spans="2:28" x14ac:dyDescent="0.2">
      <c r="B1437" s="30" t="s">
        <v>2294</v>
      </c>
      <c r="C1437" s="36"/>
      <c r="D1437" s="36"/>
      <c r="F1437" s="1" t="s">
        <v>1322</v>
      </c>
      <c r="G1437" s="30" t="s">
        <v>3450</v>
      </c>
      <c r="K1437" s="1" t="s">
        <v>3596</v>
      </c>
      <c r="L1437" s="1" t="s">
        <v>1279</v>
      </c>
      <c r="M1437" s="36" t="s">
        <v>1511</v>
      </c>
      <c r="N1437" s="1" t="s">
        <v>3592</v>
      </c>
      <c r="O1437" s="1" t="s">
        <v>1286</v>
      </c>
      <c r="P1437" s="34" t="str">
        <f t="shared" si="25"/>
        <v>F010</v>
      </c>
      <c r="Q1437" s="1" t="s">
        <v>127</v>
      </c>
      <c r="S1437" s="16">
        <v>20</v>
      </c>
      <c r="T1437" s="1" t="s">
        <v>3239</v>
      </c>
      <c r="U1437" s="1" t="s">
        <v>1468</v>
      </c>
      <c r="V1437" s="1" t="s">
        <v>1634</v>
      </c>
      <c r="Y1437" s="1">
        <v>2948.72</v>
      </c>
      <c r="AB1437" s="1">
        <v>1370.7</v>
      </c>
    </row>
    <row r="1438" spans="2:28" x14ac:dyDescent="0.2">
      <c r="B1438" s="30" t="s">
        <v>2294</v>
      </c>
      <c r="C1438" s="36"/>
      <c r="D1438" s="36"/>
      <c r="F1438" s="1" t="s">
        <v>3240</v>
      </c>
      <c r="G1438" s="30" t="s">
        <v>3450</v>
      </c>
      <c r="K1438" s="1" t="s">
        <v>3597</v>
      </c>
      <c r="L1438" s="1" t="s">
        <v>1279</v>
      </c>
      <c r="M1438" s="36" t="s">
        <v>1511</v>
      </c>
      <c r="N1438" s="1" t="s">
        <v>1715</v>
      </c>
      <c r="O1438" s="1" t="s">
        <v>1286</v>
      </c>
      <c r="P1438" s="34" t="str">
        <f t="shared" si="25"/>
        <v>F010</v>
      </c>
      <c r="Q1438" s="1" t="s">
        <v>127</v>
      </c>
      <c r="S1438" s="16">
        <v>20</v>
      </c>
      <c r="T1438" s="1" t="s">
        <v>2299</v>
      </c>
      <c r="U1438" s="1" t="s">
        <v>1468</v>
      </c>
      <c r="V1438" s="1" t="s">
        <v>1634</v>
      </c>
      <c r="Y1438" s="1">
        <v>2948.72</v>
      </c>
      <c r="AB1438" s="1">
        <v>1370.7</v>
      </c>
    </row>
    <row r="1439" spans="2:28" x14ac:dyDescent="0.2">
      <c r="B1439" s="30" t="s">
        <v>2294</v>
      </c>
      <c r="C1439" s="36"/>
      <c r="D1439" s="36"/>
      <c r="F1439" s="1" t="s">
        <v>1322</v>
      </c>
      <c r="G1439" s="30" t="s">
        <v>3450</v>
      </c>
      <c r="K1439" s="1" t="s">
        <v>3598</v>
      </c>
      <c r="L1439" s="1" t="s">
        <v>1279</v>
      </c>
      <c r="M1439" s="36" t="s">
        <v>1511</v>
      </c>
      <c r="N1439" s="1" t="s">
        <v>1609</v>
      </c>
      <c r="O1439" s="1" t="s">
        <v>1286</v>
      </c>
      <c r="P1439" s="34" t="str">
        <f t="shared" si="25"/>
        <v>F010</v>
      </c>
      <c r="Q1439" s="1" t="s">
        <v>127</v>
      </c>
      <c r="S1439" s="16">
        <v>20</v>
      </c>
      <c r="T1439" s="1" t="s">
        <v>3209</v>
      </c>
      <c r="U1439" s="1" t="s">
        <v>1468</v>
      </c>
      <c r="V1439" s="1" t="s">
        <v>1634</v>
      </c>
      <c r="Y1439" s="1">
        <v>2948.72</v>
      </c>
      <c r="AB1439" s="1">
        <v>1370.7</v>
      </c>
    </row>
    <row r="1440" spans="2:28" x14ac:dyDescent="0.2">
      <c r="B1440" s="30" t="s">
        <v>2294</v>
      </c>
      <c r="C1440" s="36"/>
      <c r="D1440" s="36"/>
      <c r="F1440" s="1" t="s">
        <v>3210</v>
      </c>
      <c r="G1440" s="30" t="s">
        <v>3450</v>
      </c>
      <c r="K1440" s="1" t="s">
        <v>3599</v>
      </c>
      <c r="L1440" s="1" t="s">
        <v>1279</v>
      </c>
      <c r="M1440" s="36" t="s">
        <v>1511</v>
      </c>
      <c r="N1440" s="1" t="s">
        <v>1944</v>
      </c>
      <c r="O1440" s="1" t="s">
        <v>1286</v>
      </c>
      <c r="P1440" s="34" t="str">
        <f t="shared" si="25"/>
        <v>F010</v>
      </c>
      <c r="Q1440" s="1" t="s">
        <v>137</v>
      </c>
      <c r="S1440" s="16">
        <v>20</v>
      </c>
      <c r="T1440" s="1" t="s">
        <v>3600</v>
      </c>
      <c r="U1440" s="1" t="s">
        <v>1468</v>
      </c>
      <c r="V1440" s="1" t="s">
        <v>1634</v>
      </c>
      <c r="Y1440" s="1">
        <v>2948.72</v>
      </c>
      <c r="AB1440" s="1">
        <v>1370.7</v>
      </c>
    </row>
    <row r="1441" spans="2:28" x14ac:dyDescent="0.2">
      <c r="B1441" s="30" t="s">
        <v>2294</v>
      </c>
      <c r="C1441" s="36"/>
      <c r="D1441" s="36"/>
      <c r="F1441" s="1" t="s">
        <v>3601</v>
      </c>
      <c r="G1441" s="30" t="s">
        <v>3450</v>
      </c>
      <c r="K1441" s="1" t="s">
        <v>3602</v>
      </c>
      <c r="L1441" s="1" t="s">
        <v>1279</v>
      </c>
      <c r="M1441" s="36" t="s">
        <v>1511</v>
      </c>
      <c r="N1441" s="1" t="s">
        <v>1708</v>
      </c>
      <c r="O1441" s="1" t="s">
        <v>1286</v>
      </c>
      <c r="P1441" s="34" t="str">
        <f t="shared" si="25"/>
        <v>F010</v>
      </c>
      <c r="Q1441" s="1" t="s">
        <v>127</v>
      </c>
      <c r="S1441" s="16">
        <v>20</v>
      </c>
      <c r="T1441" s="1" t="s">
        <v>3551</v>
      </c>
      <c r="U1441" s="1" t="s">
        <v>1468</v>
      </c>
      <c r="V1441" s="1" t="s">
        <v>1634</v>
      </c>
      <c r="Y1441" s="1">
        <v>2948.72</v>
      </c>
      <c r="AB1441" s="1">
        <v>1370.7</v>
      </c>
    </row>
    <row r="1442" spans="2:28" x14ac:dyDescent="0.2">
      <c r="B1442" s="30" t="s">
        <v>2294</v>
      </c>
      <c r="C1442" s="36"/>
      <c r="D1442" s="36"/>
      <c r="F1442" s="1" t="s">
        <v>3552</v>
      </c>
      <c r="G1442" s="30" t="s">
        <v>3450</v>
      </c>
      <c r="K1442" s="1" t="s">
        <v>3603</v>
      </c>
      <c r="L1442" s="1" t="s">
        <v>1279</v>
      </c>
      <c r="M1442" s="36" t="s">
        <v>1511</v>
      </c>
      <c r="N1442" s="1" t="s">
        <v>1788</v>
      </c>
      <c r="O1442" s="1" t="s">
        <v>1286</v>
      </c>
      <c r="P1442" s="34" t="str">
        <f t="shared" si="25"/>
        <v>F010</v>
      </c>
      <c r="Q1442" s="1" t="s">
        <v>127</v>
      </c>
      <c r="S1442" s="16">
        <v>20</v>
      </c>
      <c r="T1442" s="1" t="s">
        <v>2299</v>
      </c>
      <c r="U1442" s="1" t="s">
        <v>1468</v>
      </c>
      <c r="V1442" s="1" t="s">
        <v>1634</v>
      </c>
      <c r="Y1442" s="1">
        <v>2948.72</v>
      </c>
      <c r="AB1442" s="1">
        <v>1370.7</v>
      </c>
    </row>
    <row r="1443" spans="2:28" x14ac:dyDescent="0.2">
      <c r="B1443" s="30" t="s">
        <v>2294</v>
      </c>
      <c r="C1443" s="36"/>
      <c r="D1443" s="36"/>
      <c r="F1443" s="1" t="s">
        <v>1322</v>
      </c>
      <c r="G1443" s="30" t="s">
        <v>3450</v>
      </c>
      <c r="K1443" s="1" t="s">
        <v>3604</v>
      </c>
      <c r="L1443" s="1" t="s">
        <v>1279</v>
      </c>
      <c r="M1443" s="36" t="s">
        <v>1511</v>
      </c>
      <c r="N1443" s="1" t="s">
        <v>1609</v>
      </c>
      <c r="O1443" s="1" t="s">
        <v>1286</v>
      </c>
      <c r="P1443" s="34" t="str">
        <f t="shared" si="25"/>
        <v>F010</v>
      </c>
      <c r="Q1443" s="1" t="s">
        <v>127</v>
      </c>
      <c r="S1443" s="16">
        <v>20</v>
      </c>
      <c r="T1443" s="1" t="s">
        <v>3131</v>
      </c>
      <c r="U1443" s="1" t="s">
        <v>1468</v>
      </c>
      <c r="V1443" s="1" t="s">
        <v>1634</v>
      </c>
      <c r="Y1443" s="1">
        <v>2948.72</v>
      </c>
      <c r="AB1443" s="1">
        <v>1370.7</v>
      </c>
    </row>
    <row r="1444" spans="2:28" x14ac:dyDescent="0.2">
      <c r="B1444" s="30" t="s">
        <v>2294</v>
      </c>
      <c r="C1444" s="36"/>
      <c r="D1444" s="36"/>
      <c r="F1444" s="1" t="s">
        <v>3132</v>
      </c>
      <c r="G1444" s="30" t="s">
        <v>3450</v>
      </c>
      <c r="K1444" s="1" t="s">
        <v>3605</v>
      </c>
      <c r="L1444" s="1" t="s">
        <v>1279</v>
      </c>
      <c r="M1444" s="36" t="s">
        <v>1511</v>
      </c>
      <c r="N1444" s="1" t="s">
        <v>1284</v>
      </c>
      <c r="O1444" s="1" t="s">
        <v>1286</v>
      </c>
      <c r="P1444" s="34" t="str">
        <f t="shared" si="25"/>
        <v>F010</v>
      </c>
      <c r="Q1444" s="1" t="s">
        <v>127</v>
      </c>
      <c r="S1444" s="16">
        <v>20</v>
      </c>
      <c r="T1444" s="1" t="s">
        <v>2299</v>
      </c>
      <c r="U1444" s="1" t="s">
        <v>1468</v>
      </c>
      <c r="V1444" s="1" t="s">
        <v>1634</v>
      </c>
      <c r="Y1444" s="1">
        <v>2948.72</v>
      </c>
      <c r="AB1444" s="1">
        <v>1370.7</v>
      </c>
    </row>
    <row r="1445" spans="2:28" x14ac:dyDescent="0.2">
      <c r="B1445" s="30" t="s">
        <v>2294</v>
      </c>
      <c r="C1445" s="36"/>
      <c r="D1445" s="36"/>
      <c r="F1445" s="1" t="s">
        <v>1322</v>
      </c>
      <c r="G1445" s="30" t="s">
        <v>3450</v>
      </c>
      <c r="K1445" s="1" t="s">
        <v>3606</v>
      </c>
      <c r="L1445" s="1" t="s">
        <v>1279</v>
      </c>
      <c r="M1445" s="36" t="s">
        <v>1511</v>
      </c>
      <c r="N1445" s="1" t="s">
        <v>1715</v>
      </c>
      <c r="O1445" s="1" t="s">
        <v>1286</v>
      </c>
      <c r="P1445" s="34" t="str">
        <f t="shared" si="25"/>
        <v>F010</v>
      </c>
      <c r="Q1445" s="1" t="s">
        <v>127</v>
      </c>
      <c r="S1445" s="16">
        <v>20</v>
      </c>
      <c r="T1445" s="1" t="s">
        <v>3131</v>
      </c>
      <c r="U1445" s="1" t="s">
        <v>1468</v>
      </c>
      <c r="V1445" s="1" t="s">
        <v>1634</v>
      </c>
      <c r="Y1445" s="1">
        <v>2948.72</v>
      </c>
      <c r="AB1445" s="1">
        <v>1370.7</v>
      </c>
    </row>
    <row r="1446" spans="2:28" x14ac:dyDescent="0.2">
      <c r="B1446" s="30" t="s">
        <v>2294</v>
      </c>
      <c r="C1446" s="36"/>
      <c r="D1446" s="36"/>
      <c r="F1446" s="1" t="s">
        <v>3132</v>
      </c>
      <c r="G1446" s="30" t="s">
        <v>3450</v>
      </c>
      <c r="K1446" s="1" t="s">
        <v>3607</v>
      </c>
      <c r="L1446" s="1" t="s">
        <v>1279</v>
      </c>
      <c r="M1446" s="36" t="s">
        <v>1511</v>
      </c>
      <c r="N1446" s="1" t="s">
        <v>1788</v>
      </c>
      <c r="O1446" s="1" t="s">
        <v>1286</v>
      </c>
      <c r="P1446" s="34" t="str">
        <f t="shared" si="25"/>
        <v>F010</v>
      </c>
      <c r="Q1446" s="1" t="s">
        <v>127</v>
      </c>
      <c r="S1446" s="16">
        <v>20</v>
      </c>
      <c r="T1446" s="1" t="s">
        <v>3600</v>
      </c>
      <c r="U1446" s="1" t="s">
        <v>1468</v>
      </c>
      <c r="V1446" s="1" t="s">
        <v>1634</v>
      </c>
      <c r="Y1446" s="1">
        <v>2948.72</v>
      </c>
      <c r="AB1446" s="1">
        <v>1370.7</v>
      </c>
    </row>
    <row r="1447" spans="2:28" x14ac:dyDescent="0.2">
      <c r="B1447" s="30" t="s">
        <v>2294</v>
      </c>
      <c r="C1447" s="36"/>
      <c r="D1447" s="36"/>
      <c r="F1447" s="1" t="s">
        <v>3601</v>
      </c>
      <c r="G1447" s="30" t="s">
        <v>3450</v>
      </c>
      <c r="K1447" s="1" t="s">
        <v>3608</v>
      </c>
      <c r="L1447" s="1" t="s">
        <v>1279</v>
      </c>
      <c r="M1447" s="36" t="s">
        <v>1511</v>
      </c>
      <c r="N1447" s="1" t="s">
        <v>1708</v>
      </c>
      <c r="O1447" s="1" t="s">
        <v>1286</v>
      </c>
      <c r="P1447" s="34" t="str">
        <f t="shared" si="25"/>
        <v>F010</v>
      </c>
      <c r="Q1447" s="1" t="s">
        <v>127</v>
      </c>
      <c r="S1447" s="16">
        <v>20</v>
      </c>
      <c r="T1447" s="1" t="s">
        <v>3079</v>
      </c>
      <c r="U1447" s="1" t="s">
        <v>1468</v>
      </c>
      <c r="V1447" s="1" t="s">
        <v>1634</v>
      </c>
      <c r="Y1447" s="1">
        <v>2948.72</v>
      </c>
      <c r="AB1447" s="1">
        <v>1370.7</v>
      </c>
    </row>
    <row r="1448" spans="2:28" x14ac:dyDescent="0.2">
      <c r="B1448" s="30" t="s">
        <v>2294</v>
      </c>
      <c r="C1448" s="36"/>
      <c r="D1448" s="36"/>
      <c r="F1448" s="1" t="s">
        <v>3080</v>
      </c>
      <c r="G1448" s="30" t="s">
        <v>3450</v>
      </c>
      <c r="K1448" s="1" t="s">
        <v>3609</v>
      </c>
      <c r="L1448" s="1" t="s">
        <v>1279</v>
      </c>
      <c r="M1448" s="36" t="s">
        <v>1511</v>
      </c>
      <c r="N1448" s="1" t="s">
        <v>1556</v>
      </c>
      <c r="O1448" s="1" t="s">
        <v>1286</v>
      </c>
      <c r="P1448" s="34" t="str">
        <f t="shared" si="25"/>
        <v>F010</v>
      </c>
      <c r="Q1448" s="1" t="s">
        <v>127</v>
      </c>
      <c r="S1448" s="16">
        <v>20</v>
      </c>
      <c r="T1448" s="1" t="s">
        <v>2299</v>
      </c>
      <c r="U1448" s="1" t="s">
        <v>1468</v>
      </c>
      <c r="V1448" s="1" t="s">
        <v>1634</v>
      </c>
      <c r="Y1448" s="1">
        <v>2948.72</v>
      </c>
      <c r="AB1448" s="1">
        <v>1370.7</v>
      </c>
    </row>
    <row r="1449" spans="2:28" x14ac:dyDescent="0.2">
      <c r="B1449" s="30" t="s">
        <v>2294</v>
      </c>
      <c r="C1449" s="36"/>
      <c r="D1449" s="36"/>
      <c r="F1449" s="1" t="s">
        <v>1322</v>
      </c>
      <c r="G1449" s="30" t="s">
        <v>3450</v>
      </c>
      <c r="K1449" s="1" t="s">
        <v>3610</v>
      </c>
      <c r="L1449" s="1" t="s">
        <v>1279</v>
      </c>
      <c r="M1449" s="36" t="s">
        <v>1511</v>
      </c>
      <c r="N1449" s="1" t="s">
        <v>1556</v>
      </c>
      <c r="O1449" s="1" t="s">
        <v>1286</v>
      </c>
      <c r="P1449" s="34" t="str">
        <f t="shared" si="25"/>
        <v>F010</v>
      </c>
      <c r="Q1449" s="1" t="s">
        <v>127</v>
      </c>
      <c r="S1449" s="16">
        <v>20</v>
      </c>
      <c r="T1449" s="1" t="s">
        <v>3183</v>
      </c>
      <c r="U1449" s="1" t="s">
        <v>1468</v>
      </c>
      <c r="V1449" s="1" t="s">
        <v>1634</v>
      </c>
      <c r="Y1449" s="1">
        <v>2948.72</v>
      </c>
      <c r="AB1449" s="1">
        <v>1370.7</v>
      </c>
    </row>
    <row r="1450" spans="2:28" x14ac:dyDescent="0.2">
      <c r="B1450" s="30" t="s">
        <v>2294</v>
      </c>
      <c r="C1450" s="36"/>
      <c r="D1450" s="36"/>
      <c r="F1450" s="1" t="s">
        <v>3184</v>
      </c>
      <c r="G1450" s="30" t="s">
        <v>3450</v>
      </c>
      <c r="K1450" s="1" t="s">
        <v>3611</v>
      </c>
      <c r="L1450" s="1" t="s">
        <v>1279</v>
      </c>
      <c r="M1450" s="36" t="s">
        <v>1511</v>
      </c>
      <c r="N1450" s="1" t="s">
        <v>1708</v>
      </c>
      <c r="O1450" s="1" t="s">
        <v>1286</v>
      </c>
      <c r="P1450" s="34" t="str">
        <f t="shared" si="25"/>
        <v>F010</v>
      </c>
      <c r="Q1450" s="1" t="s">
        <v>127</v>
      </c>
      <c r="S1450" s="16">
        <v>20</v>
      </c>
      <c r="T1450" s="1" t="s">
        <v>2299</v>
      </c>
      <c r="U1450" s="1" t="s">
        <v>1468</v>
      </c>
      <c r="V1450" s="1" t="s">
        <v>1634</v>
      </c>
      <c r="Y1450" s="1">
        <v>2948.72</v>
      </c>
      <c r="AB1450" s="1">
        <v>1370.7</v>
      </c>
    </row>
    <row r="1451" spans="2:28" x14ac:dyDescent="0.2">
      <c r="B1451" s="30" t="s">
        <v>2294</v>
      </c>
      <c r="C1451" s="36"/>
      <c r="D1451" s="36"/>
      <c r="F1451" s="1" t="s">
        <v>1322</v>
      </c>
      <c r="G1451" s="30" t="s">
        <v>3450</v>
      </c>
      <c r="K1451" s="1" t="s">
        <v>3612</v>
      </c>
      <c r="L1451" s="1" t="s">
        <v>1279</v>
      </c>
      <c r="M1451" s="36" t="s">
        <v>1511</v>
      </c>
      <c r="N1451" s="1" t="s">
        <v>1284</v>
      </c>
      <c r="O1451" s="1" t="s">
        <v>1286</v>
      </c>
      <c r="P1451" s="34" t="str">
        <f t="shared" si="25"/>
        <v>F010</v>
      </c>
      <c r="Q1451" s="1" t="s">
        <v>127</v>
      </c>
      <c r="S1451" s="16">
        <v>20</v>
      </c>
      <c r="T1451" s="1" t="s">
        <v>3115</v>
      </c>
      <c r="U1451" s="1" t="s">
        <v>1468</v>
      </c>
      <c r="V1451" s="1" t="s">
        <v>1634</v>
      </c>
      <c r="Y1451" s="1">
        <v>2948.72</v>
      </c>
      <c r="AB1451" s="1">
        <v>1370.7</v>
      </c>
    </row>
    <row r="1452" spans="2:28" x14ac:dyDescent="0.2">
      <c r="B1452" s="30" t="s">
        <v>2294</v>
      </c>
      <c r="C1452" s="36"/>
      <c r="D1452" s="36"/>
      <c r="F1452" s="1" t="s">
        <v>3116</v>
      </c>
      <c r="G1452" s="30" t="s">
        <v>3450</v>
      </c>
      <c r="K1452" s="1" t="s">
        <v>3613</v>
      </c>
      <c r="L1452" s="1" t="s">
        <v>1279</v>
      </c>
      <c r="M1452" s="36" t="s">
        <v>1511</v>
      </c>
      <c r="N1452" s="1" t="s">
        <v>1944</v>
      </c>
      <c r="O1452" s="1" t="s">
        <v>1286</v>
      </c>
      <c r="P1452" s="34" t="str">
        <f t="shared" si="25"/>
        <v>F010</v>
      </c>
      <c r="Q1452" s="1" t="s">
        <v>137</v>
      </c>
      <c r="S1452" s="16">
        <v>20</v>
      </c>
      <c r="T1452" s="1" t="s">
        <v>3600</v>
      </c>
      <c r="U1452" s="1" t="s">
        <v>1468</v>
      </c>
      <c r="V1452" s="1" t="s">
        <v>1634</v>
      </c>
      <c r="Y1452" s="1">
        <v>2948.72</v>
      </c>
      <c r="AB1452" s="1">
        <v>1370.7</v>
      </c>
    </row>
    <row r="1453" spans="2:28" x14ac:dyDescent="0.2">
      <c r="B1453" s="30" t="s">
        <v>2294</v>
      </c>
      <c r="C1453" s="36"/>
      <c r="D1453" s="36"/>
      <c r="F1453" s="1" t="s">
        <v>3601</v>
      </c>
      <c r="G1453" s="30" t="s">
        <v>3450</v>
      </c>
      <c r="K1453" s="1" t="s">
        <v>3614</v>
      </c>
      <c r="L1453" s="1" t="s">
        <v>1279</v>
      </c>
      <c r="M1453" s="36" t="s">
        <v>1511</v>
      </c>
      <c r="N1453" s="1" t="s">
        <v>3615</v>
      </c>
      <c r="O1453" s="1" t="s">
        <v>1286</v>
      </c>
      <c r="P1453" s="34" t="str">
        <f t="shared" si="25"/>
        <v>F010</v>
      </c>
      <c r="Q1453" s="1" t="s">
        <v>127</v>
      </c>
      <c r="S1453" s="16">
        <v>20</v>
      </c>
      <c r="T1453" s="1" t="s">
        <v>3413</v>
      </c>
      <c r="U1453" s="1" t="s">
        <v>1468</v>
      </c>
      <c r="V1453" s="1" t="s">
        <v>1634</v>
      </c>
      <c r="Y1453" s="1">
        <v>2948.72</v>
      </c>
      <c r="AB1453" s="1">
        <v>1370.7</v>
      </c>
    </row>
    <row r="1454" spans="2:28" x14ac:dyDescent="0.2">
      <c r="B1454" s="30" t="s">
        <v>2294</v>
      </c>
      <c r="C1454" s="36"/>
      <c r="D1454" s="36"/>
      <c r="F1454" s="1" t="s">
        <v>3414</v>
      </c>
      <c r="G1454" s="30" t="s">
        <v>3450</v>
      </c>
      <c r="K1454" s="1" t="s">
        <v>3616</v>
      </c>
      <c r="L1454" s="1" t="s">
        <v>1279</v>
      </c>
      <c r="M1454" s="36" t="s">
        <v>1511</v>
      </c>
      <c r="N1454" s="1" t="s">
        <v>3615</v>
      </c>
      <c r="O1454" s="1" t="s">
        <v>1286</v>
      </c>
      <c r="P1454" s="34" t="str">
        <f t="shared" si="25"/>
        <v>F010</v>
      </c>
      <c r="Q1454" s="1" t="s">
        <v>127</v>
      </c>
      <c r="S1454" s="16">
        <v>20</v>
      </c>
      <c r="T1454" s="1" t="s">
        <v>3617</v>
      </c>
      <c r="U1454" s="1" t="s">
        <v>1468</v>
      </c>
      <c r="V1454" s="1" t="s">
        <v>1634</v>
      </c>
      <c r="Y1454" s="1">
        <v>2948.72</v>
      </c>
      <c r="AB1454" s="1">
        <v>1370.7</v>
      </c>
    </row>
    <row r="1455" spans="2:28" x14ac:dyDescent="0.2">
      <c r="B1455" s="30" t="s">
        <v>2294</v>
      </c>
      <c r="C1455" s="36"/>
      <c r="D1455" s="36"/>
      <c r="F1455" s="1" t="s">
        <v>3618</v>
      </c>
      <c r="G1455" s="30" t="s">
        <v>3450</v>
      </c>
      <c r="K1455" s="1" t="s">
        <v>3619</v>
      </c>
      <c r="L1455" s="1" t="s">
        <v>1279</v>
      </c>
      <c r="M1455" s="36" t="s">
        <v>1511</v>
      </c>
      <c r="N1455" s="1" t="s">
        <v>1788</v>
      </c>
      <c r="O1455" s="1" t="s">
        <v>1286</v>
      </c>
      <c r="P1455" s="34" t="str">
        <f t="shared" si="25"/>
        <v>F010</v>
      </c>
      <c r="Q1455" s="1" t="s">
        <v>127</v>
      </c>
      <c r="S1455" s="16">
        <v>20</v>
      </c>
      <c r="T1455" s="1" t="s">
        <v>3620</v>
      </c>
      <c r="U1455" s="1" t="s">
        <v>1468</v>
      </c>
      <c r="V1455" s="1" t="s">
        <v>1634</v>
      </c>
      <c r="Y1455" s="1">
        <v>2948.72</v>
      </c>
      <c r="AB1455" s="1">
        <v>1370.7</v>
      </c>
    </row>
    <row r="1456" spans="2:28" x14ac:dyDescent="0.2">
      <c r="B1456" s="30" t="s">
        <v>2294</v>
      </c>
      <c r="C1456" s="36"/>
      <c r="D1456" s="36"/>
      <c r="F1456" s="1" t="s">
        <v>3621</v>
      </c>
      <c r="G1456" s="30" t="s">
        <v>3450</v>
      </c>
      <c r="K1456" s="1" t="s">
        <v>3622</v>
      </c>
      <c r="L1456" s="1" t="s">
        <v>1279</v>
      </c>
      <c r="M1456" s="36" t="s">
        <v>1511</v>
      </c>
      <c r="N1456" s="1" t="s">
        <v>1715</v>
      </c>
      <c r="O1456" s="1" t="s">
        <v>1286</v>
      </c>
      <c r="P1456" s="34" t="str">
        <f t="shared" si="25"/>
        <v>F010</v>
      </c>
      <c r="Q1456" s="1" t="s">
        <v>127</v>
      </c>
      <c r="S1456" s="16">
        <v>20</v>
      </c>
      <c r="T1456" s="1" t="s">
        <v>3623</v>
      </c>
      <c r="U1456" s="1" t="s">
        <v>1468</v>
      </c>
      <c r="V1456" s="1" t="s">
        <v>1634</v>
      </c>
      <c r="Y1456" s="1">
        <v>2948.72</v>
      </c>
      <c r="AB1456" s="1">
        <v>1370.7</v>
      </c>
    </row>
    <row r="1457" spans="2:28" x14ac:dyDescent="0.2">
      <c r="B1457" s="30" t="s">
        <v>2294</v>
      </c>
      <c r="C1457" s="36"/>
      <c r="D1457" s="36"/>
      <c r="F1457" s="1" t="s">
        <v>1485</v>
      </c>
      <c r="G1457" s="30" t="s">
        <v>3450</v>
      </c>
      <c r="K1457" s="1" t="s">
        <v>3624</v>
      </c>
      <c r="L1457" s="1" t="s">
        <v>1279</v>
      </c>
      <c r="M1457" s="36" t="s">
        <v>1511</v>
      </c>
      <c r="N1457" s="1" t="s">
        <v>1708</v>
      </c>
      <c r="O1457" s="1" t="s">
        <v>1286</v>
      </c>
      <c r="P1457" s="34" t="str">
        <f t="shared" si="25"/>
        <v>F010</v>
      </c>
      <c r="Q1457" s="1" t="s">
        <v>127</v>
      </c>
      <c r="S1457" s="16">
        <v>20</v>
      </c>
      <c r="T1457" s="1" t="s">
        <v>3093</v>
      </c>
      <c r="U1457" s="1" t="s">
        <v>1468</v>
      </c>
      <c r="V1457" s="1" t="s">
        <v>1634</v>
      </c>
      <c r="Y1457" s="1">
        <v>2948.72</v>
      </c>
      <c r="AB1457" s="1">
        <v>1370.7</v>
      </c>
    </row>
    <row r="1458" spans="2:28" x14ac:dyDescent="0.2">
      <c r="B1458" s="30" t="s">
        <v>2294</v>
      </c>
      <c r="C1458" s="36"/>
      <c r="D1458" s="36"/>
      <c r="F1458" s="1" t="s">
        <v>3094</v>
      </c>
      <c r="G1458" s="30" t="s">
        <v>3450</v>
      </c>
      <c r="K1458" s="1" t="s">
        <v>3625</v>
      </c>
      <c r="L1458" s="1" t="s">
        <v>1279</v>
      </c>
      <c r="M1458" s="36" t="s">
        <v>1511</v>
      </c>
      <c r="N1458" s="1" t="s">
        <v>1788</v>
      </c>
      <c r="O1458" s="1" t="s">
        <v>1286</v>
      </c>
      <c r="P1458" s="34" t="str">
        <f t="shared" si="25"/>
        <v>F010</v>
      </c>
      <c r="Q1458" s="1" t="s">
        <v>127</v>
      </c>
      <c r="S1458" s="16">
        <v>20</v>
      </c>
      <c r="T1458" s="1" t="s">
        <v>3626</v>
      </c>
      <c r="U1458" s="1" t="s">
        <v>1468</v>
      </c>
      <c r="V1458" s="1" t="s">
        <v>1634</v>
      </c>
      <c r="Y1458" s="1">
        <v>2948.72</v>
      </c>
      <c r="AB1458" s="1">
        <v>1370.7</v>
      </c>
    </row>
    <row r="1459" spans="2:28" x14ac:dyDescent="0.2">
      <c r="B1459" s="30" t="s">
        <v>2294</v>
      </c>
      <c r="C1459" s="36"/>
      <c r="D1459" s="36"/>
      <c r="F1459" s="1" t="s">
        <v>3627</v>
      </c>
      <c r="G1459" s="30" t="s">
        <v>3450</v>
      </c>
      <c r="K1459" s="1" t="s">
        <v>3628</v>
      </c>
      <c r="L1459" s="1" t="s">
        <v>1279</v>
      </c>
      <c r="M1459" s="36" t="s">
        <v>1511</v>
      </c>
      <c r="N1459" s="1" t="s">
        <v>1788</v>
      </c>
      <c r="O1459" s="1" t="s">
        <v>1286</v>
      </c>
      <c r="P1459" s="34" t="str">
        <f t="shared" si="25"/>
        <v>F010</v>
      </c>
      <c r="Q1459" s="1" t="s">
        <v>127</v>
      </c>
      <c r="S1459" s="16">
        <v>20</v>
      </c>
      <c r="T1459" s="1" t="s">
        <v>3543</v>
      </c>
      <c r="U1459" s="1" t="s">
        <v>1468</v>
      </c>
      <c r="V1459" s="1" t="s">
        <v>1634</v>
      </c>
      <c r="Y1459" s="1">
        <v>2948.72</v>
      </c>
      <c r="AB1459" s="1">
        <v>1370.7</v>
      </c>
    </row>
    <row r="1460" spans="2:28" x14ac:dyDescent="0.2">
      <c r="B1460" s="30" t="s">
        <v>2294</v>
      </c>
      <c r="C1460" s="36"/>
      <c r="D1460" s="36"/>
      <c r="F1460" s="1" t="s">
        <v>3544</v>
      </c>
      <c r="G1460" s="30" t="s">
        <v>3450</v>
      </c>
      <c r="K1460" s="1" t="s">
        <v>3629</v>
      </c>
      <c r="L1460" s="1" t="s">
        <v>1279</v>
      </c>
      <c r="M1460" s="36" t="s">
        <v>1511</v>
      </c>
      <c r="N1460" s="1" t="s">
        <v>1795</v>
      </c>
      <c r="O1460" s="1" t="s">
        <v>1286</v>
      </c>
      <c r="P1460" s="34" t="str">
        <f t="shared" si="25"/>
        <v>F010</v>
      </c>
      <c r="Q1460" s="1" t="s">
        <v>127</v>
      </c>
      <c r="S1460" s="16">
        <v>20</v>
      </c>
      <c r="T1460" s="1" t="s">
        <v>3600</v>
      </c>
      <c r="U1460" s="1" t="s">
        <v>1468</v>
      </c>
      <c r="V1460" s="1" t="s">
        <v>1634</v>
      </c>
      <c r="Y1460" s="1">
        <v>2948.72</v>
      </c>
      <c r="AB1460" s="1">
        <v>1370.7</v>
      </c>
    </row>
    <row r="1461" spans="2:28" x14ac:dyDescent="0.2">
      <c r="B1461" s="30" t="s">
        <v>2294</v>
      </c>
      <c r="C1461" s="36"/>
      <c r="D1461" s="36"/>
      <c r="F1461" s="1" t="s">
        <v>3601</v>
      </c>
      <c r="G1461" s="30" t="s">
        <v>3450</v>
      </c>
      <c r="K1461" s="1" t="s">
        <v>3630</v>
      </c>
      <c r="L1461" s="1" t="s">
        <v>1279</v>
      </c>
      <c r="M1461" s="36" t="s">
        <v>1511</v>
      </c>
      <c r="N1461" s="1" t="s">
        <v>1284</v>
      </c>
      <c r="O1461" s="1" t="s">
        <v>1286</v>
      </c>
      <c r="P1461" s="34" t="str">
        <f t="shared" si="25"/>
        <v>F010</v>
      </c>
      <c r="Q1461" s="1" t="s">
        <v>127</v>
      </c>
      <c r="S1461" s="16">
        <v>20</v>
      </c>
      <c r="T1461" s="1" t="s">
        <v>3537</v>
      </c>
      <c r="U1461" s="1" t="s">
        <v>1468</v>
      </c>
      <c r="V1461" s="1" t="s">
        <v>1634</v>
      </c>
      <c r="Y1461" s="1">
        <v>2948.72</v>
      </c>
      <c r="AB1461" s="1">
        <v>1370.7</v>
      </c>
    </row>
    <row r="1462" spans="2:28" x14ac:dyDescent="0.2">
      <c r="B1462" s="30" t="s">
        <v>2294</v>
      </c>
      <c r="C1462" s="36"/>
      <c r="D1462" s="36"/>
      <c r="F1462" s="1" t="s">
        <v>3538</v>
      </c>
      <c r="G1462" s="30" t="s">
        <v>3450</v>
      </c>
      <c r="K1462" s="1" t="s">
        <v>3631</v>
      </c>
      <c r="L1462" s="1" t="s">
        <v>1279</v>
      </c>
      <c r="M1462" s="36" t="s">
        <v>1511</v>
      </c>
      <c r="N1462" s="1" t="s">
        <v>1833</v>
      </c>
      <c r="O1462" s="1" t="s">
        <v>1286</v>
      </c>
      <c r="P1462" s="34" t="str">
        <f t="shared" si="25"/>
        <v>F010</v>
      </c>
      <c r="Q1462" s="1" t="s">
        <v>127</v>
      </c>
      <c r="S1462" s="16">
        <v>20</v>
      </c>
      <c r="T1462" s="1" t="s">
        <v>3617</v>
      </c>
      <c r="U1462" s="1" t="s">
        <v>1468</v>
      </c>
      <c r="V1462" s="1" t="s">
        <v>1634</v>
      </c>
      <c r="Y1462" s="1">
        <v>2948.72</v>
      </c>
      <c r="AB1462" s="1">
        <v>1370.7</v>
      </c>
    </row>
    <row r="1463" spans="2:28" x14ac:dyDescent="0.2">
      <c r="B1463" s="30" t="s">
        <v>2294</v>
      </c>
      <c r="C1463" s="36"/>
      <c r="D1463" s="36"/>
      <c r="F1463" s="1" t="s">
        <v>3618</v>
      </c>
      <c r="G1463" s="30" t="s">
        <v>3450</v>
      </c>
      <c r="K1463" s="1" t="s">
        <v>3632</v>
      </c>
      <c r="L1463" s="1" t="s">
        <v>1279</v>
      </c>
      <c r="M1463" s="36" t="s">
        <v>1511</v>
      </c>
      <c r="N1463" s="1" t="s">
        <v>1715</v>
      </c>
      <c r="O1463" s="1" t="s">
        <v>1286</v>
      </c>
      <c r="P1463" s="34" t="str">
        <f t="shared" si="25"/>
        <v>F010</v>
      </c>
      <c r="Q1463" s="1" t="s">
        <v>127</v>
      </c>
      <c r="S1463" s="16">
        <v>20</v>
      </c>
      <c r="T1463" s="1" t="s">
        <v>3633</v>
      </c>
      <c r="U1463" s="1" t="s">
        <v>1468</v>
      </c>
      <c r="V1463" s="1" t="s">
        <v>1634</v>
      </c>
      <c r="Y1463" s="1">
        <v>2948.72</v>
      </c>
      <c r="AB1463" s="1">
        <v>1370.7</v>
      </c>
    </row>
    <row r="1464" spans="2:28" x14ac:dyDescent="0.2">
      <c r="B1464" s="30" t="s">
        <v>2294</v>
      </c>
      <c r="C1464" s="36"/>
      <c r="D1464" s="36"/>
      <c r="F1464" s="1" t="s">
        <v>3634</v>
      </c>
      <c r="G1464" s="30" t="s">
        <v>3450</v>
      </c>
      <c r="K1464" s="1" t="s">
        <v>3635</v>
      </c>
      <c r="L1464" s="1" t="s">
        <v>1279</v>
      </c>
      <c r="M1464" s="36" t="s">
        <v>1511</v>
      </c>
      <c r="N1464" s="1" t="s">
        <v>1287</v>
      </c>
      <c r="O1464" s="1" t="s">
        <v>1286</v>
      </c>
      <c r="P1464" s="34" t="str">
        <f t="shared" si="25"/>
        <v>F010</v>
      </c>
      <c r="Q1464" s="1" t="s">
        <v>137</v>
      </c>
      <c r="S1464" s="16">
        <v>20</v>
      </c>
      <c r="T1464" s="1" t="s">
        <v>2427</v>
      </c>
      <c r="U1464" s="1" t="s">
        <v>1468</v>
      </c>
      <c r="V1464" s="1" t="s">
        <v>1634</v>
      </c>
      <c r="Y1464" s="1">
        <v>2948.72</v>
      </c>
      <c r="AB1464" s="1">
        <v>1370.7</v>
      </c>
    </row>
    <row r="1465" spans="2:28" x14ac:dyDescent="0.2">
      <c r="B1465" s="30" t="s">
        <v>2294</v>
      </c>
      <c r="C1465" s="36"/>
      <c r="D1465" s="36"/>
      <c r="F1465" s="1" t="s">
        <v>1895</v>
      </c>
      <c r="G1465" s="30" t="s">
        <v>3450</v>
      </c>
      <c r="K1465" s="1" t="s">
        <v>3636</v>
      </c>
      <c r="L1465" s="1" t="s">
        <v>1279</v>
      </c>
      <c r="M1465" s="36" t="s">
        <v>1511</v>
      </c>
      <c r="N1465" s="1" t="s">
        <v>1715</v>
      </c>
      <c r="O1465" s="1" t="s">
        <v>1286</v>
      </c>
      <c r="P1465" s="34" t="str">
        <f t="shared" si="25"/>
        <v>F010</v>
      </c>
      <c r="Q1465" s="1" t="s">
        <v>127</v>
      </c>
      <c r="S1465" s="16">
        <v>20</v>
      </c>
      <c r="T1465" s="1" t="s">
        <v>3637</v>
      </c>
      <c r="U1465" s="1" t="s">
        <v>1468</v>
      </c>
      <c r="V1465" s="1" t="s">
        <v>1634</v>
      </c>
      <c r="Y1465" s="1">
        <v>2948.72</v>
      </c>
      <c r="AB1465" s="1">
        <v>1370.7</v>
      </c>
    </row>
    <row r="1466" spans="2:28" x14ac:dyDescent="0.2">
      <c r="B1466" s="30" t="s">
        <v>2294</v>
      </c>
      <c r="C1466" s="36"/>
      <c r="D1466" s="36"/>
      <c r="F1466" s="1" t="s">
        <v>3638</v>
      </c>
      <c r="G1466" s="30" t="s">
        <v>3450</v>
      </c>
      <c r="K1466" s="1" t="s">
        <v>3639</v>
      </c>
      <c r="L1466" s="1" t="s">
        <v>1279</v>
      </c>
      <c r="M1466" s="36" t="s">
        <v>1511</v>
      </c>
      <c r="N1466" s="1" t="s">
        <v>1944</v>
      </c>
      <c r="O1466" s="1" t="s">
        <v>1286</v>
      </c>
      <c r="P1466" s="34" t="str">
        <f t="shared" si="25"/>
        <v>F010</v>
      </c>
      <c r="Q1466" s="1" t="s">
        <v>137</v>
      </c>
      <c r="S1466" s="16">
        <v>20</v>
      </c>
      <c r="T1466" s="1" t="s">
        <v>3623</v>
      </c>
      <c r="U1466" s="1" t="s">
        <v>1468</v>
      </c>
      <c r="V1466" s="1" t="s">
        <v>1634</v>
      </c>
      <c r="Y1466" s="1">
        <v>2948.72</v>
      </c>
      <c r="AB1466" s="1">
        <v>1370.7</v>
      </c>
    </row>
    <row r="1467" spans="2:28" x14ac:dyDescent="0.2">
      <c r="B1467" s="30" t="s">
        <v>2294</v>
      </c>
      <c r="C1467" s="36"/>
      <c r="D1467" s="36"/>
      <c r="F1467" s="1" t="s">
        <v>1485</v>
      </c>
      <c r="G1467" s="30" t="s">
        <v>3450</v>
      </c>
      <c r="K1467" s="1" t="s">
        <v>3640</v>
      </c>
      <c r="L1467" s="1" t="s">
        <v>1279</v>
      </c>
      <c r="M1467" s="36" t="s">
        <v>1511</v>
      </c>
      <c r="N1467" s="1" t="s">
        <v>1587</v>
      </c>
      <c r="O1467" s="1" t="s">
        <v>1286</v>
      </c>
      <c r="P1467" s="34" t="str">
        <f t="shared" si="25"/>
        <v>F010</v>
      </c>
      <c r="Q1467" s="1" t="s">
        <v>127</v>
      </c>
      <c r="S1467" s="16">
        <v>20</v>
      </c>
      <c r="T1467" s="1" t="s">
        <v>3620</v>
      </c>
      <c r="U1467" s="1" t="s">
        <v>1468</v>
      </c>
      <c r="V1467" s="1" t="s">
        <v>1634</v>
      </c>
      <c r="Y1467" s="1">
        <v>2948.72</v>
      </c>
      <c r="AB1467" s="1">
        <v>1370.7</v>
      </c>
    </row>
    <row r="1468" spans="2:28" x14ac:dyDescent="0.2">
      <c r="B1468" s="30" t="s">
        <v>2294</v>
      </c>
      <c r="C1468" s="36"/>
      <c r="D1468" s="36"/>
      <c r="F1468" s="1" t="s">
        <v>3621</v>
      </c>
      <c r="G1468" s="30" t="s">
        <v>3450</v>
      </c>
      <c r="K1468" s="1" t="s">
        <v>3641</v>
      </c>
      <c r="L1468" s="1" t="s">
        <v>1279</v>
      </c>
      <c r="M1468" s="36" t="s">
        <v>1511</v>
      </c>
      <c r="N1468" s="1" t="s">
        <v>1637</v>
      </c>
      <c r="O1468" s="1" t="s">
        <v>1286</v>
      </c>
      <c r="P1468" s="34" t="str">
        <f t="shared" si="25"/>
        <v>F010</v>
      </c>
      <c r="Q1468" s="1" t="s">
        <v>127</v>
      </c>
      <c r="S1468" s="16">
        <v>20</v>
      </c>
      <c r="T1468" s="1" t="s">
        <v>3626</v>
      </c>
      <c r="U1468" s="1" t="s">
        <v>1468</v>
      </c>
      <c r="V1468" s="1" t="s">
        <v>1634</v>
      </c>
      <c r="Y1468" s="1">
        <v>2948.72</v>
      </c>
      <c r="AB1468" s="1">
        <v>1370.7</v>
      </c>
    </row>
    <row r="1469" spans="2:28" x14ac:dyDescent="0.2">
      <c r="B1469" s="30" t="s">
        <v>2294</v>
      </c>
      <c r="C1469" s="36"/>
      <c r="D1469" s="36"/>
      <c r="F1469" s="1" t="s">
        <v>3627</v>
      </c>
      <c r="G1469" s="30" t="s">
        <v>3450</v>
      </c>
      <c r="K1469" s="1" t="s">
        <v>3642</v>
      </c>
      <c r="L1469" s="1" t="s">
        <v>1279</v>
      </c>
      <c r="M1469" s="36" t="s">
        <v>1511</v>
      </c>
      <c r="N1469" s="1" t="s">
        <v>1284</v>
      </c>
      <c r="O1469" s="1" t="s">
        <v>1286</v>
      </c>
      <c r="P1469" s="34" t="str">
        <f t="shared" si="25"/>
        <v>F010</v>
      </c>
      <c r="Q1469" s="1" t="s">
        <v>127</v>
      </c>
      <c r="S1469" s="16">
        <v>20</v>
      </c>
      <c r="T1469" s="1" t="s">
        <v>3533</v>
      </c>
      <c r="U1469" s="1" t="s">
        <v>1468</v>
      </c>
      <c r="V1469" s="1" t="s">
        <v>1634</v>
      </c>
      <c r="Y1469" s="1">
        <v>2948.72</v>
      </c>
      <c r="AB1469" s="1">
        <v>1370.7</v>
      </c>
    </row>
    <row r="1470" spans="2:28" x14ac:dyDescent="0.2">
      <c r="B1470" s="30" t="s">
        <v>2294</v>
      </c>
      <c r="C1470" s="36"/>
      <c r="D1470" s="36"/>
      <c r="F1470" s="1" t="s">
        <v>3534</v>
      </c>
      <c r="G1470" s="30" t="s">
        <v>3450</v>
      </c>
      <c r="K1470" s="1" t="s">
        <v>3643</v>
      </c>
      <c r="L1470" s="1" t="s">
        <v>1279</v>
      </c>
      <c r="M1470" s="36" t="s">
        <v>1511</v>
      </c>
      <c r="N1470" s="1" t="s">
        <v>1715</v>
      </c>
      <c r="O1470" s="1" t="s">
        <v>1286</v>
      </c>
      <c r="P1470" s="34" t="str">
        <f t="shared" si="25"/>
        <v>F010</v>
      </c>
      <c r="Q1470" s="1" t="s">
        <v>127</v>
      </c>
      <c r="S1470" s="16">
        <v>20</v>
      </c>
      <c r="T1470" s="1" t="s">
        <v>2299</v>
      </c>
      <c r="U1470" s="1" t="s">
        <v>1468</v>
      </c>
      <c r="V1470" s="1" t="s">
        <v>1634</v>
      </c>
      <c r="Y1470" s="1">
        <v>2948.72</v>
      </c>
      <c r="AB1470" s="1">
        <v>1370.7</v>
      </c>
    </row>
    <row r="1471" spans="2:28" x14ac:dyDescent="0.2">
      <c r="B1471" s="30" t="s">
        <v>2294</v>
      </c>
      <c r="C1471" s="36"/>
      <c r="D1471" s="36"/>
      <c r="F1471" s="1" t="s">
        <v>1322</v>
      </c>
      <c r="G1471" s="30" t="s">
        <v>3450</v>
      </c>
      <c r="K1471" s="1" t="s">
        <v>3644</v>
      </c>
      <c r="L1471" s="1" t="s">
        <v>1279</v>
      </c>
      <c r="M1471" s="36" t="s">
        <v>1511</v>
      </c>
      <c r="N1471" s="1" t="s">
        <v>2495</v>
      </c>
      <c r="O1471" s="1" t="s">
        <v>1286</v>
      </c>
      <c r="P1471" s="34" t="str">
        <f t="shared" si="25"/>
        <v>F010</v>
      </c>
      <c r="Q1471" s="1" t="s">
        <v>127</v>
      </c>
      <c r="S1471" s="16">
        <v>20</v>
      </c>
      <c r="T1471" s="1" t="s">
        <v>3254</v>
      </c>
      <c r="U1471" s="1" t="s">
        <v>1468</v>
      </c>
      <c r="V1471" s="1" t="s">
        <v>1634</v>
      </c>
      <c r="Y1471" s="1">
        <v>2948.72</v>
      </c>
      <c r="AB1471" s="1">
        <v>1370.7</v>
      </c>
    </row>
    <row r="1472" spans="2:28" x14ac:dyDescent="0.2">
      <c r="B1472" s="30" t="s">
        <v>2294</v>
      </c>
      <c r="C1472" s="36"/>
      <c r="D1472" s="36"/>
      <c r="F1472" s="1" t="s">
        <v>3255</v>
      </c>
      <c r="G1472" s="30" t="s">
        <v>3450</v>
      </c>
      <c r="K1472" s="1" t="s">
        <v>3645</v>
      </c>
      <c r="L1472" s="1" t="s">
        <v>1279</v>
      </c>
      <c r="M1472" s="36" t="s">
        <v>1511</v>
      </c>
      <c r="N1472" s="1" t="s">
        <v>1637</v>
      </c>
      <c r="O1472" s="1" t="s">
        <v>1286</v>
      </c>
      <c r="P1472" s="34" t="str">
        <f t="shared" si="25"/>
        <v>F010</v>
      </c>
      <c r="Q1472" s="1" t="s">
        <v>127</v>
      </c>
      <c r="S1472" s="16">
        <v>20</v>
      </c>
      <c r="T1472" s="1" t="s">
        <v>3600</v>
      </c>
      <c r="U1472" s="1" t="s">
        <v>1468</v>
      </c>
      <c r="V1472" s="1" t="s">
        <v>1634</v>
      </c>
      <c r="Y1472" s="1">
        <v>2948.72</v>
      </c>
      <c r="AB1472" s="1">
        <v>1370.7</v>
      </c>
    </row>
    <row r="1473" spans="2:28" x14ac:dyDescent="0.2">
      <c r="B1473" s="30" t="s">
        <v>2294</v>
      </c>
      <c r="C1473" s="36"/>
      <c r="D1473" s="36"/>
      <c r="F1473" s="1" t="s">
        <v>3601</v>
      </c>
      <c r="G1473" s="30" t="s">
        <v>3450</v>
      </c>
      <c r="K1473" s="1" t="s">
        <v>3646</v>
      </c>
      <c r="L1473" s="1" t="s">
        <v>1279</v>
      </c>
      <c r="M1473" s="36" t="s">
        <v>1511</v>
      </c>
      <c r="N1473" s="1" t="s">
        <v>1795</v>
      </c>
      <c r="O1473" s="1" t="s">
        <v>1286</v>
      </c>
      <c r="P1473" s="34" t="str">
        <f t="shared" si="25"/>
        <v>F010</v>
      </c>
      <c r="Q1473" s="1" t="s">
        <v>127</v>
      </c>
      <c r="S1473" s="16">
        <v>20</v>
      </c>
      <c r="T1473" s="1" t="s">
        <v>3093</v>
      </c>
      <c r="U1473" s="1" t="s">
        <v>1468</v>
      </c>
      <c r="V1473" s="1" t="s">
        <v>1634</v>
      </c>
      <c r="Y1473" s="1">
        <v>2948.72</v>
      </c>
      <c r="AB1473" s="1">
        <v>1370.7</v>
      </c>
    </row>
    <row r="1474" spans="2:28" x14ac:dyDescent="0.2">
      <c r="B1474" s="30" t="s">
        <v>2294</v>
      </c>
      <c r="C1474" s="36"/>
      <c r="D1474" s="36"/>
      <c r="F1474" s="1" t="s">
        <v>3094</v>
      </c>
      <c r="G1474" s="30" t="s">
        <v>3450</v>
      </c>
      <c r="K1474" s="1" t="s">
        <v>3647</v>
      </c>
      <c r="L1474" s="1" t="s">
        <v>1279</v>
      </c>
      <c r="M1474" s="36" t="s">
        <v>1511</v>
      </c>
      <c r="N1474" s="1" t="s">
        <v>1708</v>
      </c>
      <c r="O1474" s="1" t="s">
        <v>1286</v>
      </c>
      <c r="P1474" s="34" t="str">
        <f t="shared" si="25"/>
        <v>F010</v>
      </c>
      <c r="Q1474" s="1" t="s">
        <v>127</v>
      </c>
      <c r="S1474" s="16">
        <v>20</v>
      </c>
      <c r="T1474" s="1" t="s">
        <v>2427</v>
      </c>
      <c r="U1474" s="1" t="s">
        <v>1468</v>
      </c>
      <c r="V1474" s="1" t="s">
        <v>1634</v>
      </c>
      <c r="Y1474" s="1">
        <v>2948.72</v>
      </c>
      <c r="AB1474" s="1">
        <v>1370.7</v>
      </c>
    </row>
    <row r="1475" spans="2:28" x14ac:dyDescent="0.2">
      <c r="B1475" s="30" t="s">
        <v>2294</v>
      </c>
      <c r="C1475" s="36"/>
      <c r="D1475" s="36"/>
      <c r="F1475" s="1" t="s">
        <v>1895</v>
      </c>
      <c r="G1475" s="30" t="s">
        <v>3450</v>
      </c>
      <c r="K1475" s="1" t="s">
        <v>3648</v>
      </c>
      <c r="L1475" s="1" t="s">
        <v>1279</v>
      </c>
      <c r="M1475" s="36" t="s">
        <v>1511</v>
      </c>
      <c r="N1475" s="1" t="s">
        <v>2601</v>
      </c>
      <c r="O1475" s="1" t="s">
        <v>1286</v>
      </c>
      <c r="P1475" s="34" t="str">
        <f t="shared" si="25"/>
        <v>F010</v>
      </c>
      <c r="Q1475" s="1" t="s">
        <v>127</v>
      </c>
      <c r="S1475" s="16">
        <v>20</v>
      </c>
      <c r="T1475" s="1" t="s">
        <v>3084</v>
      </c>
      <c r="U1475" s="1" t="s">
        <v>1468</v>
      </c>
      <c r="V1475" s="1" t="s">
        <v>1634</v>
      </c>
      <c r="Y1475" s="1">
        <v>2948.72</v>
      </c>
      <c r="AB1475" s="1">
        <v>1370.7</v>
      </c>
    </row>
    <row r="1476" spans="2:28" x14ac:dyDescent="0.2">
      <c r="B1476" s="30" t="s">
        <v>2294</v>
      </c>
      <c r="C1476" s="36"/>
      <c r="D1476" s="36"/>
      <c r="F1476" s="1" t="s">
        <v>3085</v>
      </c>
      <c r="G1476" s="30" t="s">
        <v>3450</v>
      </c>
      <c r="K1476" s="1" t="s">
        <v>3649</v>
      </c>
      <c r="L1476" s="1" t="s">
        <v>1279</v>
      </c>
      <c r="M1476" s="36" t="s">
        <v>1511</v>
      </c>
      <c r="N1476" s="1" t="s">
        <v>1609</v>
      </c>
      <c r="O1476" s="1" t="s">
        <v>1286</v>
      </c>
      <c r="P1476" s="34" t="str">
        <f t="shared" si="25"/>
        <v>F010</v>
      </c>
      <c r="Q1476" s="1" t="s">
        <v>127</v>
      </c>
      <c r="S1476" s="16">
        <v>20</v>
      </c>
      <c r="T1476" s="1" t="s">
        <v>3617</v>
      </c>
      <c r="U1476" s="1" t="s">
        <v>1468</v>
      </c>
      <c r="V1476" s="1" t="s">
        <v>1634</v>
      </c>
      <c r="Y1476" s="1">
        <v>2948.72</v>
      </c>
      <c r="AB1476" s="1">
        <v>1370.7</v>
      </c>
    </row>
    <row r="1477" spans="2:28" x14ac:dyDescent="0.2">
      <c r="B1477" s="30" t="s">
        <v>2294</v>
      </c>
      <c r="C1477" s="36"/>
      <c r="D1477" s="36"/>
      <c r="F1477" s="1" t="s">
        <v>3618</v>
      </c>
      <c r="G1477" s="30" t="s">
        <v>3450</v>
      </c>
      <c r="K1477" s="1" t="s">
        <v>3650</v>
      </c>
      <c r="L1477" s="1" t="s">
        <v>1279</v>
      </c>
      <c r="M1477" s="36" t="s">
        <v>1511</v>
      </c>
      <c r="N1477" s="1" t="s">
        <v>1284</v>
      </c>
      <c r="O1477" s="1" t="s">
        <v>1286</v>
      </c>
      <c r="P1477" s="34" t="str">
        <f t="shared" si="25"/>
        <v>F010</v>
      </c>
      <c r="Q1477" s="1" t="s">
        <v>127</v>
      </c>
      <c r="S1477" s="16">
        <v>20</v>
      </c>
      <c r="T1477" s="1" t="s">
        <v>3079</v>
      </c>
      <c r="U1477" s="1" t="s">
        <v>1468</v>
      </c>
      <c r="V1477" s="1" t="s">
        <v>1634</v>
      </c>
      <c r="Y1477" s="1">
        <v>2948.72</v>
      </c>
      <c r="AB1477" s="1">
        <v>1370.7</v>
      </c>
    </row>
    <row r="1478" spans="2:28" x14ac:dyDescent="0.2">
      <c r="B1478" s="30" t="s">
        <v>2294</v>
      </c>
      <c r="C1478" s="36"/>
      <c r="D1478" s="36"/>
      <c r="F1478" s="1" t="s">
        <v>3080</v>
      </c>
      <c r="G1478" s="30" t="s">
        <v>3450</v>
      </c>
      <c r="K1478" s="1" t="s">
        <v>3651</v>
      </c>
      <c r="L1478" s="1" t="s">
        <v>1279</v>
      </c>
      <c r="M1478" s="36" t="s">
        <v>1511</v>
      </c>
      <c r="N1478" s="1" t="s">
        <v>3615</v>
      </c>
      <c r="O1478" s="1" t="s">
        <v>1286</v>
      </c>
      <c r="P1478" s="34" t="str">
        <f t="shared" si="25"/>
        <v>F010</v>
      </c>
      <c r="Q1478" s="1" t="s">
        <v>127</v>
      </c>
      <c r="S1478" s="16">
        <v>20</v>
      </c>
      <c r="T1478" s="1" t="s">
        <v>2427</v>
      </c>
      <c r="U1478" s="1" t="s">
        <v>1468</v>
      </c>
      <c r="V1478" s="1" t="s">
        <v>1634</v>
      </c>
      <c r="Y1478" s="1">
        <v>2948.72</v>
      </c>
      <c r="AB1478" s="1">
        <v>1370.7</v>
      </c>
    </row>
    <row r="1479" spans="2:28" x14ac:dyDescent="0.2">
      <c r="B1479" s="30" t="s">
        <v>2294</v>
      </c>
      <c r="C1479" s="36"/>
      <c r="D1479" s="36"/>
      <c r="F1479" s="1" t="s">
        <v>1895</v>
      </c>
      <c r="G1479" s="30" t="s">
        <v>3450</v>
      </c>
      <c r="K1479" s="1" t="s">
        <v>3652</v>
      </c>
      <c r="L1479" s="1" t="s">
        <v>1279</v>
      </c>
      <c r="M1479" s="36" t="s">
        <v>1511</v>
      </c>
      <c r="N1479" s="1" t="s">
        <v>1630</v>
      </c>
      <c r="O1479" s="1" t="s">
        <v>1286</v>
      </c>
      <c r="P1479" s="34" t="str">
        <f t="shared" si="25"/>
        <v>F010</v>
      </c>
      <c r="Q1479" s="1" t="s">
        <v>127</v>
      </c>
      <c r="S1479" s="16">
        <v>20</v>
      </c>
      <c r="T1479" s="1" t="s">
        <v>3284</v>
      </c>
      <c r="U1479" s="1" t="s">
        <v>1468</v>
      </c>
      <c r="V1479" s="1" t="s">
        <v>1634</v>
      </c>
      <c r="Y1479" s="1">
        <v>2948.72</v>
      </c>
      <c r="AB1479" s="1">
        <v>1370.7</v>
      </c>
    </row>
    <row r="1480" spans="2:28" x14ac:dyDescent="0.2">
      <c r="B1480" s="30" t="s">
        <v>2294</v>
      </c>
      <c r="C1480" s="36"/>
      <c r="D1480" s="36"/>
      <c r="F1480" s="1" t="s">
        <v>3285</v>
      </c>
      <c r="G1480" s="30" t="s">
        <v>3450</v>
      </c>
      <c r="K1480" s="1" t="s">
        <v>3653</v>
      </c>
      <c r="L1480" s="1" t="s">
        <v>1279</v>
      </c>
      <c r="M1480" s="36" t="s">
        <v>1511</v>
      </c>
      <c r="N1480" s="1" t="s">
        <v>1708</v>
      </c>
      <c r="O1480" s="1" t="s">
        <v>1286</v>
      </c>
      <c r="P1480" s="34" t="str">
        <f t="shared" ref="P1480:P1543" si="26">+LEFT(Q1480,4)</f>
        <v>F010</v>
      </c>
      <c r="Q1480" s="1" t="s">
        <v>127</v>
      </c>
      <c r="S1480" s="16">
        <v>20</v>
      </c>
      <c r="T1480" s="1" t="s">
        <v>3623</v>
      </c>
      <c r="U1480" s="1" t="s">
        <v>1468</v>
      </c>
      <c r="V1480" s="1" t="s">
        <v>1634</v>
      </c>
      <c r="Y1480" s="1">
        <v>2948.72</v>
      </c>
      <c r="AB1480" s="1">
        <v>1370.7</v>
      </c>
    </row>
    <row r="1481" spans="2:28" x14ac:dyDescent="0.2">
      <c r="B1481" s="30" t="s">
        <v>2294</v>
      </c>
      <c r="C1481" s="36"/>
      <c r="D1481" s="36"/>
      <c r="F1481" s="1" t="s">
        <v>1485</v>
      </c>
      <c r="G1481" s="30" t="s">
        <v>3450</v>
      </c>
      <c r="K1481" s="1" t="s">
        <v>3654</v>
      </c>
      <c r="L1481" s="1" t="s">
        <v>1279</v>
      </c>
      <c r="M1481" s="36" t="s">
        <v>1511</v>
      </c>
      <c r="N1481" s="1" t="s">
        <v>2601</v>
      </c>
      <c r="O1481" s="1" t="s">
        <v>1286</v>
      </c>
      <c r="P1481" s="34" t="str">
        <f t="shared" si="26"/>
        <v>F010</v>
      </c>
      <c r="Q1481" s="1" t="s">
        <v>127</v>
      </c>
      <c r="S1481" s="16">
        <v>20</v>
      </c>
      <c r="T1481" s="1" t="s">
        <v>3093</v>
      </c>
      <c r="U1481" s="1" t="s">
        <v>1468</v>
      </c>
      <c r="V1481" s="1" t="s">
        <v>1634</v>
      </c>
      <c r="Y1481" s="1">
        <v>2948.72</v>
      </c>
      <c r="AB1481" s="1">
        <v>1370.7</v>
      </c>
    </row>
    <row r="1482" spans="2:28" x14ac:dyDescent="0.2">
      <c r="B1482" s="30" t="s">
        <v>2294</v>
      </c>
      <c r="C1482" s="36"/>
      <c r="D1482" s="36"/>
      <c r="F1482" s="1" t="s">
        <v>3094</v>
      </c>
      <c r="G1482" s="30" t="s">
        <v>3450</v>
      </c>
      <c r="K1482" s="1" t="s">
        <v>3655</v>
      </c>
      <c r="L1482" s="1" t="s">
        <v>1279</v>
      </c>
      <c r="M1482" s="36" t="s">
        <v>1511</v>
      </c>
      <c r="N1482" s="1" t="s">
        <v>1708</v>
      </c>
      <c r="O1482" s="1" t="s">
        <v>1286</v>
      </c>
      <c r="P1482" s="34" t="str">
        <f t="shared" si="26"/>
        <v>F010</v>
      </c>
      <c r="Q1482" s="1" t="s">
        <v>127</v>
      </c>
      <c r="S1482" s="16">
        <v>20</v>
      </c>
      <c r="T1482" s="1" t="s">
        <v>3626</v>
      </c>
      <c r="U1482" s="1" t="s">
        <v>1468</v>
      </c>
      <c r="V1482" s="1" t="s">
        <v>1634</v>
      </c>
      <c r="Y1482" s="1">
        <v>2948.72</v>
      </c>
      <c r="AB1482" s="1">
        <v>1370.7</v>
      </c>
    </row>
    <row r="1483" spans="2:28" x14ac:dyDescent="0.2">
      <c r="B1483" s="30" t="s">
        <v>2294</v>
      </c>
      <c r="C1483" s="36"/>
      <c r="D1483" s="36"/>
      <c r="F1483" s="1" t="s">
        <v>3627</v>
      </c>
      <c r="G1483" s="30" t="s">
        <v>3450</v>
      </c>
      <c r="K1483" s="1" t="s">
        <v>3656</v>
      </c>
      <c r="L1483" s="1" t="s">
        <v>1279</v>
      </c>
      <c r="M1483" s="36" t="s">
        <v>1511</v>
      </c>
      <c r="N1483" s="1" t="s">
        <v>2486</v>
      </c>
      <c r="O1483" s="1" t="s">
        <v>1286</v>
      </c>
      <c r="P1483" s="34" t="str">
        <f t="shared" si="26"/>
        <v>F010</v>
      </c>
      <c r="Q1483" s="1" t="s">
        <v>127</v>
      </c>
      <c r="S1483" s="16">
        <v>20</v>
      </c>
      <c r="T1483" s="1" t="s">
        <v>3657</v>
      </c>
      <c r="U1483" s="1" t="s">
        <v>1468</v>
      </c>
      <c r="V1483" s="1" t="s">
        <v>1634</v>
      </c>
      <c r="Y1483" s="1">
        <v>2948.72</v>
      </c>
      <c r="AB1483" s="1">
        <v>1370.7</v>
      </c>
    </row>
    <row r="1484" spans="2:28" x14ac:dyDescent="0.2">
      <c r="B1484" s="30" t="s">
        <v>2294</v>
      </c>
      <c r="C1484" s="36"/>
      <c r="D1484" s="36"/>
      <c r="F1484" s="1" t="s">
        <v>3658</v>
      </c>
      <c r="G1484" s="30" t="s">
        <v>3450</v>
      </c>
      <c r="K1484" s="1" t="s">
        <v>3659</v>
      </c>
      <c r="L1484" s="1" t="s">
        <v>1279</v>
      </c>
      <c r="M1484" s="36" t="s">
        <v>1511</v>
      </c>
      <c r="N1484" s="1" t="s">
        <v>1715</v>
      </c>
      <c r="O1484" s="1" t="s">
        <v>1286</v>
      </c>
      <c r="P1484" s="34" t="str">
        <f t="shared" si="26"/>
        <v>F010</v>
      </c>
      <c r="Q1484" s="1" t="s">
        <v>127</v>
      </c>
      <c r="S1484" s="16">
        <v>20</v>
      </c>
      <c r="T1484" s="1" t="s">
        <v>2299</v>
      </c>
      <c r="U1484" s="1" t="s">
        <v>1468</v>
      </c>
      <c r="V1484" s="1" t="s">
        <v>1634</v>
      </c>
      <c r="Y1484" s="1">
        <v>2948.72</v>
      </c>
      <c r="AB1484" s="1">
        <v>1370.7</v>
      </c>
    </row>
    <row r="1485" spans="2:28" x14ac:dyDescent="0.2">
      <c r="B1485" s="30" t="s">
        <v>2294</v>
      </c>
      <c r="C1485" s="36"/>
      <c r="D1485" s="36"/>
      <c r="F1485" s="1" t="s">
        <v>1322</v>
      </c>
      <c r="G1485" s="30" t="s">
        <v>3450</v>
      </c>
      <c r="K1485" s="1" t="s">
        <v>3660</v>
      </c>
      <c r="L1485" s="1" t="s">
        <v>1279</v>
      </c>
      <c r="M1485" s="36" t="s">
        <v>1511</v>
      </c>
      <c r="N1485" s="1" t="s">
        <v>1609</v>
      </c>
      <c r="O1485" s="1" t="s">
        <v>1286</v>
      </c>
      <c r="P1485" s="34" t="str">
        <f t="shared" si="26"/>
        <v>F010</v>
      </c>
      <c r="Q1485" s="1" t="s">
        <v>127</v>
      </c>
      <c r="S1485" s="16">
        <v>20</v>
      </c>
      <c r="T1485" s="1" t="s">
        <v>3239</v>
      </c>
      <c r="U1485" s="1" t="s">
        <v>1468</v>
      </c>
      <c r="V1485" s="1" t="s">
        <v>1634</v>
      </c>
      <c r="Y1485" s="1">
        <v>2948.72</v>
      </c>
      <c r="AB1485" s="1">
        <v>1370.7</v>
      </c>
    </row>
    <row r="1486" spans="2:28" x14ac:dyDescent="0.2">
      <c r="B1486" s="30" t="s">
        <v>2294</v>
      </c>
      <c r="C1486" s="36"/>
      <c r="D1486" s="36"/>
      <c r="F1486" s="1" t="s">
        <v>3240</v>
      </c>
      <c r="G1486" s="30" t="s">
        <v>3450</v>
      </c>
      <c r="K1486" s="1" t="s">
        <v>3661</v>
      </c>
      <c r="L1486" s="1" t="s">
        <v>1279</v>
      </c>
      <c r="M1486" s="36" t="s">
        <v>1511</v>
      </c>
      <c r="N1486" s="1" t="s">
        <v>1637</v>
      </c>
      <c r="O1486" s="1" t="s">
        <v>1286</v>
      </c>
      <c r="P1486" s="34" t="str">
        <f t="shared" si="26"/>
        <v>F010</v>
      </c>
      <c r="Q1486" s="1" t="s">
        <v>127</v>
      </c>
      <c r="S1486" s="16">
        <v>20</v>
      </c>
      <c r="T1486" s="1" t="s">
        <v>3662</v>
      </c>
      <c r="U1486" s="1" t="s">
        <v>1468</v>
      </c>
      <c r="V1486" s="1" t="s">
        <v>1634</v>
      </c>
      <c r="Y1486" s="1">
        <v>2948.72</v>
      </c>
      <c r="AB1486" s="1">
        <v>1370.7</v>
      </c>
    </row>
    <row r="1487" spans="2:28" x14ac:dyDescent="0.2">
      <c r="B1487" s="30" t="s">
        <v>2294</v>
      </c>
      <c r="C1487" s="36"/>
      <c r="D1487" s="36"/>
      <c r="F1487" s="1" t="s">
        <v>3663</v>
      </c>
      <c r="G1487" s="30" t="s">
        <v>3450</v>
      </c>
      <c r="K1487" s="1" t="s">
        <v>3664</v>
      </c>
      <c r="L1487" s="1" t="s">
        <v>1279</v>
      </c>
      <c r="M1487" s="36" t="s">
        <v>1511</v>
      </c>
      <c r="N1487" s="1" t="s">
        <v>1708</v>
      </c>
      <c r="O1487" s="1" t="s">
        <v>1286</v>
      </c>
      <c r="P1487" s="34" t="str">
        <f t="shared" si="26"/>
        <v>F010</v>
      </c>
      <c r="Q1487" s="1" t="s">
        <v>127</v>
      </c>
      <c r="S1487" s="16">
        <v>20</v>
      </c>
      <c r="T1487" s="1" t="s">
        <v>3074</v>
      </c>
      <c r="U1487" s="1" t="s">
        <v>1468</v>
      </c>
      <c r="V1487" s="1" t="s">
        <v>1634</v>
      </c>
      <c r="Y1487" s="1">
        <v>2948.72</v>
      </c>
      <c r="AB1487" s="1">
        <v>1370.7</v>
      </c>
    </row>
    <row r="1488" spans="2:28" x14ac:dyDescent="0.2">
      <c r="B1488" s="30" t="s">
        <v>2294</v>
      </c>
      <c r="C1488" s="36"/>
      <c r="D1488" s="36"/>
      <c r="F1488" s="1" t="s">
        <v>3075</v>
      </c>
      <c r="G1488" s="30" t="s">
        <v>3450</v>
      </c>
      <c r="K1488" s="1" t="s">
        <v>3665</v>
      </c>
      <c r="L1488" s="1" t="s">
        <v>1279</v>
      </c>
      <c r="M1488" s="36" t="s">
        <v>1511</v>
      </c>
      <c r="N1488" s="1" t="s">
        <v>1658</v>
      </c>
      <c r="O1488" s="1" t="s">
        <v>1286</v>
      </c>
      <c r="P1488" s="34" t="str">
        <f t="shared" si="26"/>
        <v>F010</v>
      </c>
      <c r="Q1488" s="1" t="s">
        <v>137</v>
      </c>
      <c r="S1488" s="16">
        <v>20</v>
      </c>
      <c r="T1488" s="1" t="s">
        <v>3666</v>
      </c>
      <c r="U1488" s="1" t="s">
        <v>1468</v>
      </c>
      <c r="V1488" s="1" t="s">
        <v>1634</v>
      </c>
      <c r="Y1488" s="1">
        <v>2948.72</v>
      </c>
      <c r="AB1488" s="1">
        <v>1370.7</v>
      </c>
    </row>
    <row r="1489" spans="2:28" x14ac:dyDescent="0.2">
      <c r="B1489" s="30" t="s">
        <v>2294</v>
      </c>
      <c r="C1489" s="36"/>
      <c r="D1489" s="36"/>
      <c r="F1489" s="1" t="s">
        <v>3667</v>
      </c>
      <c r="G1489" s="30" t="s">
        <v>3450</v>
      </c>
      <c r="K1489" s="1" t="s">
        <v>3668</v>
      </c>
      <c r="L1489" s="1" t="s">
        <v>1279</v>
      </c>
      <c r="M1489" s="36" t="s">
        <v>1511</v>
      </c>
      <c r="N1489" s="1" t="s">
        <v>1708</v>
      </c>
      <c r="O1489" s="1" t="s">
        <v>1286</v>
      </c>
      <c r="P1489" s="34" t="str">
        <f t="shared" si="26"/>
        <v>F010</v>
      </c>
      <c r="Q1489" s="1" t="s">
        <v>127</v>
      </c>
      <c r="S1489" s="16">
        <v>20</v>
      </c>
      <c r="T1489" s="1" t="s">
        <v>3152</v>
      </c>
      <c r="U1489" s="1" t="s">
        <v>1468</v>
      </c>
      <c r="V1489" s="1" t="s">
        <v>1634</v>
      </c>
      <c r="Y1489" s="1">
        <v>2948.72</v>
      </c>
      <c r="AB1489" s="1">
        <v>1370.7</v>
      </c>
    </row>
    <row r="1490" spans="2:28" x14ac:dyDescent="0.2">
      <c r="B1490" s="30" t="s">
        <v>2294</v>
      </c>
      <c r="C1490" s="36"/>
      <c r="D1490" s="36"/>
      <c r="F1490" s="1" t="s">
        <v>3153</v>
      </c>
      <c r="G1490" s="30" t="s">
        <v>3450</v>
      </c>
      <c r="K1490" s="1" t="s">
        <v>3669</v>
      </c>
      <c r="L1490" s="1" t="s">
        <v>1279</v>
      </c>
      <c r="M1490" s="36" t="s">
        <v>1511</v>
      </c>
      <c r="N1490" s="1" t="s">
        <v>1658</v>
      </c>
      <c r="O1490" s="1" t="s">
        <v>1286</v>
      </c>
      <c r="P1490" s="34" t="str">
        <f t="shared" si="26"/>
        <v>F010</v>
      </c>
      <c r="Q1490" s="1" t="s">
        <v>137</v>
      </c>
      <c r="S1490" s="16">
        <v>20</v>
      </c>
      <c r="T1490" s="1" t="s">
        <v>2299</v>
      </c>
      <c r="U1490" s="1" t="s">
        <v>1468</v>
      </c>
      <c r="V1490" s="1" t="s">
        <v>1634</v>
      </c>
      <c r="Y1490" s="1">
        <v>2948.72</v>
      </c>
      <c r="AB1490" s="1">
        <v>1370.7</v>
      </c>
    </row>
    <row r="1491" spans="2:28" x14ac:dyDescent="0.2">
      <c r="B1491" s="30" t="s">
        <v>2294</v>
      </c>
      <c r="C1491" s="36"/>
      <c r="D1491" s="36"/>
      <c r="F1491" s="1" t="s">
        <v>1322</v>
      </c>
      <c r="G1491" s="30" t="s">
        <v>3450</v>
      </c>
      <c r="K1491" s="1" t="s">
        <v>3670</v>
      </c>
      <c r="L1491" s="1" t="s">
        <v>1279</v>
      </c>
      <c r="M1491" s="36" t="e">
        <v>#VALUE!</v>
      </c>
      <c r="N1491" s="1" t="s">
        <v>1630</v>
      </c>
      <c r="O1491" s="1" t="s">
        <v>1286</v>
      </c>
      <c r="P1491" s="34" t="str">
        <f t="shared" si="26"/>
        <v>F010</v>
      </c>
      <c r="Q1491" s="1" t="s">
        <v>127</v>
      </c>
      <c r="S1491" s="16">
        <v>20</v>
      </c>
      <c r="T1491" s="1" t="s">
        <v>3239</v>
      </c>
      <c r="U1491" s="1" t="s">
        <v>3171</v>
      </c>
      <c r="V1491" s="1" t="s">
        <v>3171</v>
      </c>
      <c r="Y1491" s="1">
        <v>2948.72</v>
      </c>
      <c r="AB1491" s="1">
        <v>0</v>
      </c>
    </row>
    <row r="1492" spans="2:28" x14ac:dyDescent="0.2">
      <c r="B1492" s="30" t="s">
        <v>2294</v>
      </c>
      <c r="C1492" s="36"/>
      <c r="D1492" s="36"/>
      <c r="F1492" s="1" t="s">
        <v>3240</v>
      </c>
      <c r="G1492" s="30" t="s">
        <v>3450</v>
      </c>
      <c r="K1492" s="1" t="s">
        <v>3671</v>
      </c>
      <c r="L1492" s="1" t="s">
        <v>1279</v>
      </c>
      <c r="M1492" s="36" t="s">
        <v>1511</v>
      </c>
      <c r="N1492" s="1" t="s">
        <v>1708</v>
      </c>
      <c r="O1492" s="1" t="s">
        <v>1286</v>
      </c>
      <c r="P1492" s="34" t="str">
        <f t="shared" si="26"/>
        <v>F010</v>
      </c>
      <c r="Q1492" s="1" t="s">
        <v>127</v>
      </c>
      <c r="S1492" s="16">
        <v>20</v>
      </c>
      <c r="T1492" s="1" t="s">
        <v>3666</v>
      </c>
      <c r="U1492" s="1" t="s">
        <v>1468</v>
      </c>
      <c r="V1492" s="1" t="s">
        <v>1634</v>
      </c>
      <c r="Y1492" s="1">
        <v>2948.72</v>
      </c>
      <c r="AB1492" s="1">
        <v>1370.7</v>
      </c>
    </row>
    <row r="1493" spans="2:28" x14ac:dyDescent="0.2">
      <c r="B1493" s="30" t="s">
        <v>2294</v>
      </c>
      <c r="C1493" s="36"/>
      <c r="D1493" s="36"/>
      <c r="F1493" s="1" t="s">
        <v>3667</v>
      </c>
      <c r="G1493" s="30" t="s">
        <v>3450</v>
      </c>
      <c r="K1493" s="1" t="s">
        <v>3672</v>
      </c>
      <c r="L1493" s="1" t="s">
        <v>1279</v>
      </c>
      <c r="M1493" s="36" t="s">
        <v>1511</v>
      </c>
      <c r="N1493" s="1" t="s">
        <v>1658</v>
      </c>
      <c r="O1493" s="1" t="s">
        <v>1286</v>
      </c>
      <c r="P1493" s="34" t="str">
        <f t="shared" si="26"/>
        <v>F010</v>
      </c>
      <c r="Q1493" s="1" t="s">
        <v>137</v>
      </c>
      <c r="S1493" s="16">
        <v>20</v>
      </c>
      <c r="T1493" s="1" t="s">
        <v>3209</v>
      </c>
      <c r="U1493" s="1" t="s">
        <v>1468</v>
      </c>
      <c r="V1493" s="1" t="s">
        <v>1634</v>
      </c>
      <c r="Y1493" s="1">
        <v>2948.72</v>
      </c>
      <c r="AB1493" s="1">
        <v>1370.7</v>
      </c>
    </row>
    <row r="1494" spans="2:28" x14ac:dyDescent="0.2">
      <c r="B1494" s="30" t="s">
        <v>2294</v>
      </c>
      <c r="C1494" s="36"/>
      <c r="D1494" s="36"/>
      <c r="F1494" s="1" t="s">
        <v>3210</v>
      </c>
      <c r="G1494" s="30" t="s">
        <v>3450</v>
      </c>
      <c r="K1494" s="1" t="s">
        <v>3673</v>
      </c>
      <c r="L1494" s="1" t="s">
        <v>1279</v>
      </c>
      <c r="M1494" s="36" t="s">
        <v>1511</v>
      </c>
      <c r="N1494" s="1" t="s">
        <v>1658</v>
      </c>
      <c r="O1494" s="1" t="s">
        <v>1286</v>
      </c>
      <c r="P1494" s="34" t="str">
        <f t="shared" si="26"/>
        <v>F010</v>
      </c>
      <c r="Q1494" s="1" t="s">
        <v>137</v>
      </c>
      <c r="S1494" s="16">
        <v>20</v>
      </c>
      <c r="T1494" s="1" t="s">
        <v>2299</v>
      </c>
      <c r="U1494" s="1" t="s">
        <v>1468</v>
      </c>
      <c r="V1494" s="1" t="s">
        <v>1634</v>
      </c>
      <c r="Y1494" s="1">
        <v>2948.72</v>
      </c>
      <c r="AB1494" s="1">
        <v>1370.7</v>
      </c>
    </row>
    <row r="1495" spans="2:28" x14ac:dyDescent="0.2">
      <c r="B1495" s="30" t="s">
        <v>2294</v>
      </c>
      <c r="C1495" s="36"/>
      <c r="D1495" s="36"/>
      <c r="F1495" s="1" t="s">
        <v>1322</v>
      </c>
      <c r="G1495" s="30" t="s">
        <v>3450</v>
      </c>
      <c r="K1495" s="1" t="s">
        <v>3674</v>
      </c>
      <c r="L1495" s="1" t="s">
        <v>1279</v>
      </c>
      <c r="M1495" s="36" t="s">
        <v>1511</v>
      </c>
      <c r="N1495" s="1" t="s">
        <v>1658</v>
      </c>
      <c r="O1495" s="1" t="s">
        <v>1286</v>
      </c>
      <c r="P1495" s="34" t="str">
        <f t="shared" si="26"/>
        <v>F010</v>
      </c>
      <c r="Q1495" s="1" t="s">
        <v>137</v>
      </c>
      <c r="S1495" s="16">
        <v>20</v>
      </c>
      <c r="T1495" s="1" t="s">
        <v>3577</v>
      </c>
      <c r="U1495" s="1" t="s">
        <v>1468</v>
      </c>
      <c r="V1495" s="1" t="s">
        <v>1634</v>
      </c>
      <c r="Y1495" s="1">
        <v>2948.72</v>
      </c>
      <c r="AB1495" s="1">
        <v>1370.7</v>
      </c>
    </row>
    <row r="1496" spans="2:28" x14ac:dyDescent="0.2">
      <c r="B1496" s="30" t="s">
        <v>2294</v>
      </c>
      <c r="C1496" s="36"/>
      <c r="D1496" s="36"/>
      <c r="F1496" s="1" t="s">
        <v>3578</v>
      </c>
      <c r="G1496" s="30" t="s">
        <v>3450</v>
      </c>
      <c r="K1496" s="1" t="s">
        <v>3675</v>
      </c>
      <c r="L1496" s="1" t="s">
        <v>1279</v>
      </c>
      <c r="M1496" s="36" t="s">
        <v>1511</v>
      </c>
      <c r="N1496" s="1" t="s">
        <v>1833</v>
      </c>
      <c r="O1496" s="1" t="s">
        <v>1286</v>
      </c>
      <c r="P1496" s="34" t="str">
        <f t="shared" si="26"/>
        <v>F010</v>
      </c>
      <c r="Q1496" s="1" t="s">
        <v>127</v>
      </c>
      <c r="S1496" s="16">
        <v>20</v>
      </c>
      <c r="T1496" s="1" t="s">
        <v>3676</v>
      </c>
      <c r="U1496" s="1" t="s">
        <v>1468</v>
      </c>
      <c r="V1496" s="1" t="s">
        <v>1634</v>
      </c>
      <c r="Y1496" s="1">
        <v>2948.72</v>
      </c>
      <c r="AB1496" s="1">
        <v>1370.7</v>
      </c>
    </row>
    <row r="1497" spans="2:28" x14ac:dyDescent="0.2">
      <c r="B1497" s="30" t="s">
        <v>2294</v>
      </c>
      <c r="C1497" s="36"/>
      <c r="D1497" s="36"/>
      <c r="F1497" s="1" t="s">
        <v>3677</v>
      </c>
      <c r="G1497" s="30" t="s">
        <v>3450</v>
      </c>
      <c r="K1497" s="1" t="s">
        <v>3678</v>
      </c>
      <c r="L1497" s="1" t="s">
        <v>1279</v>
      </c>
      <c r="M1497" s="36" t="s">
        <v>1511</v>
      </c>
      <c r="N1497" s="1" t="s">
        <v>1587</v>
      </c>
      <c r="O1497" s="1" t="s">
        <v>1286</v>
      </c>
      <c r="P1497" s="34" t="str">
        <f t="shared" si="26"/>
        <v>F010</v>
      </c>
      <c r="Q1497" s="1" t="s">
        <v>127</v>
      </c>
      <c r="S1497" s="16">
        <v>20</v>
      </c>
      <c r="T1497" s="1" t="s">
        <v>3679</v>
      </c>
      <c r="U1497" s="1" t="s">
        <v>1468</v>
      </c>
      <c r="V1497" s="1" t="s">
        <v>1634</v>
      </c>
      <c r="Y1497" s="1">
        <v>2948.72</v>
      </c>
      <c r="AB1497" s="1">
        <v>1370.7</v>
      </c>
    </row>
    <row r="1498" spans="2:28" x14ac:dyDescent="0.2">
      <c r="B1498" s="30" t="s">
        <v>2294</v>
      </c>
      <c r="C1498" s="36"/>
      <c r="D1498" s="36"/>
      <c r="F1498" s="1" t="s">
        <v>3680</v>
      </c>
      <c r="G1498" s="30" t="s">
        <v>3450</v>
      </c>
      <c r="K1498" s="1" t="s">
        <v>3681</v>
      </c>
      <c r="L1498" s="1" t="s">
        <v>1279</v>
      </c>
      <c r="M1498" s="36" t="s">
        <v>1511</v>
      </c>
      <c r="N1498" s="1" t="s">
        <v>1708</v>
      </c>
      <c r="O1498" s="1" t="s">
        <v>1286</v>
      </c>
      <c r="P1498" s="34" t="str">
        <f t="shared" si="26"/>
        <v>F010</v>
      </c>
      <c r="Q1498" s="1" t="s">
        <v>127</v>
      </c>
      <c r="S1498" s="16">
        <v>20</v>
      </c>
      <c r="T1498" s="1" t="s">
        <v>2299</v>
      </c>
      <c r="U1498" s="1" t="s">
        <v>1468</v>
      </c>
      <c r="V1498" s="1" t="s">
        <v>1634</v>
      </c>
      <c r="Y1498" s="1">
        <v>2948.72</v>
      </c>
      <c r="AB1498" s="1">
        <v>1370.7</v>
      </c>
    </row>
    <row r="1499" spans="2:28" x14ac:dyDescent="0.2">
      <c r="B1499" s="30" t="s">
        <v>2294</v>
      </c>
      <c r="C1499" s="36"/>
      <c r="D1499" s="36"/>
      <c r="F1499" s="1" t="s">
        <v>1322</v>
      </c>
      <c r="G1499" s="30" t="s">
        <v>3450</v>
      </c>
      <c r="K1499" s="1" t="s">
        <v>3682</v>
      </c>
      <c r="L1499" s="1" t="s">
        <v>1279</v>
      </c>
      <c r="M1499" s="36" t="s">
        <v>1511</v>
      </c>
      <c r="N1499" s="1" t="s">
        <v>1708</v>
      </c>
      <c r="O1499" s="1" t="s">
        <v>1286</v>
      </c>
      <c r="P1499" s="34" t="str">
        <f t="shared" si="26"/>
        <v>F010</v>
      </c>
      <c r="Q1499" s="1" t="s">
        <v>127</v>
      </c>
      <c r="S1499" s="16">
        <v>20</v>
      </c>
      <c r="T1499" s="1" t="s">
        <v>3143</v>
      </c>
      <c r="U1499" s="1" t="s">
        <v>1468</v>
      </c>
      <c r="V1499" s="1" t="s">
        <v>1634</v>
      </c>
      <c r="Y1499" s="1">
        <v>2948.72</v>
      </c>
      <c r="AB1499" s="1">
        <v>1370.7</v>
      </c>
    </row>
    <row r="1500" spans="2:28" x14ac:dyDescent="0.2">
      <c r="B1500" s="30" t="s">
        <v>2294</v>
      </c>
      <c r="C1500" s="36"/>
      <c r="D1500" s="36"/>
      <c r="F1500" s="1" t="s">
        <v>3144</v>
      </c>
      <c r="G1500" s="30" t="s">
        <v>3450</v>
      </c>
      <c r="K1500" s="1" t="s">
        <v>3683</v>
      </c>
      <c r="L1500" s="1" t="s">
        <v>1279</v>
      </c>
      <c r="M1500" s="36" t="s">
        <v>1511</v>
      </c>
      <c r="N1500" s="1" t="s">
        <v>1833</v>
      </c>
      <c r="O1500" s="1" t="s">
        <v>1286</v>
      </c>
      <c r="P1500" s="34" t="str">
        <f t="shared" si="26"/>
        <v>F010</v>
      </c>
      <c r="Q1500" s="1" t="s">
        <v>127</v>
      </c>
      <c r="S1500" s="16">
        <v>20</v>
      </c>
      <c r="T1500" s="1" t="s">
        <v>3684</v>
      </c>
      <c r="U1500" s="1" t="s">
        <v>1468</v>
      </c>
      <c r="V1500" s="1" t="s">
        <v>1634</v>
      </c>
      <c r="Y1500" s="1">
        <v>2948.72</v>
      </c>
      <c r="AB1500" s="1">
        <v>1370.7</v>
      </c>
    </row>
    <row r="1501" spans="2:28" x14ac:dyDescent="0.2">
      <c r="B1501" s="30" t="s">
        <v>2294</v>
      </c>
      <c r="C1501" s="36"/>
      <c r="D1501" s="36"/>
      <c r="F1501" s="1" t="s">
        <v>3685</v>
      </c>
      <c r="G1501" s="30" t="s">
        <v>3450</v>
      </c>
      <c r="K1501" s="1" t="s">
        <v>3686</v>
      </c>
      <c r="L1501" s="1" t="s">
        <v>1279</v>
      </c>
      <c r="M1501" s="36" t="s">
        <v>1511</v>
      </c>
      <c r="N1501" s="1" t="s">
        <v>1754</v>
      </c>
      <c r="O1501" s="1" t="s">
        <v>1286</v>
      </c>
      <c r="P1501" s="34" t="str">
        <f t="shared" si="26"/>
        <v>F010</v>
      </c>
      <c r="Q1501" s="1" t="s">
        <v>127</v>
      </c>
      <c r="S1501" s="16">
        <v>20</v>
      </c>
      <c r="T1501" s="1" t="s">
        <v>3687</v>
      </c>
      <c r="U1501" s="1" t="s">
        <v>1468</v>
      </c>
      <c r="V1501" s="1" t="s">
        <v>1634</v>
      </c>
      <c r="Y1501" s="1">
        <v>2948.72</v>
      </c>
      <c r="AB1501" s="1">
        <v>1370.7</v>
      </c>
    </row>
    <row r="1502" spans="2:28" x14ac:dyDescent="0.2">
      <c r="B1502" s="30" t="s">
        <v>2294</v>
      </c>
      <c r="C1502" s="36"/>
      <c r="D1502" s="36"/>
      <c r="F1502" s="1" t="s">
        <v>3688</v>
      </c>
      <c r="G1502" s="30" t="s">
        <v>3450</v>
      </c>
      <c r="K1502" s="1" t="s">
        <v>3689</v>
      </c>
      <c r="L1502" s="1" t="s">
        <v>1279</v>
      </c>
      <c r="M1502" s="36" t="s">
        <v>1511</v>
      </c>
      <c r="N1502" s="1" t="s">
        <v>2601</v>
      </c>
      <c r="O1502" s="1" t="s">
        <v>1286</v>
      </c>
      <c r="P1502" s="34" t="str">
        <f t="shared" si="26"/>
        <v>F010</v>
      </c>
      <c r="Q1502" s="1" t="s">
        <v>127</v>
      </c>
      <c r="S1502" s="16">
        <v>20</v>
      </c>
      <c r="T1502" s="1" t="s">
        <v>3690</v>
      </c>
      <c r="U1502" s="1" t="s">
        <v>1468</v>
      </c>
      <c r="V1502" s="1" t="s">
        <v>1634</v>
      </c>
      <c r="Y1502" s="1">
        <v>2948.72</v>
      </c>
      <c r="AB1502" s="1">
        <v>1370.7</v>
      </c>
    </row>
    <row r="1503" spans="2:28" x14ac:dyDescent="0.2">
      <c r="B1503" s="30" t="s">
        <v>2294</v>
      </c>
      <c r="C1503" s="36"/>
      <c r="D1503" s="36"/>
      <c r="F1503" s="1" t="s">
        <v>3691</v>
      </c>
      <c r="G1503" s="30" t="s">
        <v>3450</v>
      </c>
      <c r="K1503" s="1" t="s">
        <v>3692</v>
      </c>
      <c r="L1503" s="1" t="s">
        <v>1279</v>
      </c>
      <c r="M1503" s="36" t="s">
        <v>1511</v>
      </c>
      <c r="N1503" s="1" t="s">
        <v>1556</v>
      </c>
      <c r="O1503" s="1" t="s">
        <v>1286</v>
      </c>
      <c r="P1503" s="34" t="str">
        <f t="shared" si="26"/>
        <v>F010</v>
      </c>
      <c r="Q1503" s="1" t="s">
        <v>127</v>
      </c>
      <c r="S1503" s="16">
        <v>20</v>
      </c>
      <c r="T1503" s="1" t="s">
        <v>3156</v>
      </c>
      <c r="U1503" s="1" t="s">
        <v>1468</v>
      </c>
      <c r="V1503" s="1" t="s">
        <v>1634</v>
      </c>
      <c r="Y1503" s="1">
        <v>2948.72</v>
      </c>
      <c r="AB1503" s="1">
        <v>1370.7</v>
      </c>
    </row>
    <row r="1504" spans="2:28" x14ac:dyDescent="0.2">
      <c r="B1504" s="30" t="s">
        <v>2294</v>
      </c>
      <c r="C1504" s="36"/>
      <c r="D1504" s="36"/>
      <c r="F1504" s="1" t="s">
        <v>3157</v>
      </c>
      <c r="G1504" s="30" t="s">
        <v>3450</v>
      </c>
      <c r="K1504" s="1" t="s">
        <v>3693</v>
      </c>
      <c r="L1504" s="1" t="s">
        <v>1279</v>
      </c>
      <c r="M1504" s="36" t="s">
        <v>1511</v>
      </c>
      <c r="N1504" s="1" t="s">
        <v>1708</v>
      </c>
      <c r="O1504" s="1" t="s">
        <v>1286</v>
      </c>
      <c r="P1504" s="34" t="str">
        <f t="shared" si="26"/>
        <v>F010</v>
      </c>
      <c r="Q1504" s="1" t="s">
        <v>127</v>
      </c>
      <c r="S1504" s="16">
        <v>20</v>
      </c>
      <c r="T1504" s="1" t="s">
        <v>3690</v>
      </c>
      <c r="U1504" s="1" t="s">
        <v>1468</v>
      </c>
      <c r="V1504" s="1" t="s">
        <v>1634</v>
      </c>
      <c r="Y1504" s="1">
        <v>2948.72</v>
      </c>
      <c r="AB1504" s="1">
        <v>1370.7</v>
      </c>
    </row>
    <row r="1505" spans="2:28" x14ac:dyDescent="0.2">
      <c r="B1505" s="30" t="s">
        <v>2294</v>
      </c>
      <c r="C1505" s="36"/>
      <c r="D1505" s="36"/>
      <c r="F1505" s="1" t="s">
        <v>3691</v>
      </c>
      <c r="G1505" s="30" t="s">
        <v>3450</v>
      </c>
      <c r="K1505" s="1" t="s">
        <v>3694</v>
      </c>
      <c r="L1505" s="1" t="s">
        <v>1279</v>
      </c>
      <c r="M1505" s="36" t="s">
        <v>1511</v>
      </c>
      <c r="N1505" s="1" t="s">
        <v>1658</v>
      </c>
      <c r="O1505" s="1" t="s">
        <v>1286</v>
      </c>
      <c r="P1505" s="34" t="str">
        <f t="shared" si="26"/>
        <v>F010</v>
      </c>
      <c r="Q1505" s="1" t="s">
        <v>137</v>
      </c>
      <c r="S1505" s="16">
        <v>20</v>
      </c>
      <c r="T1505" s="1" t="s">
        <v>3209</v>
      </c>
      <c r="U1505" s="1" t="s">
        <v>1468</v>
      </c>
      <c r="V1505" s="1" t="s">
        <v>1634</v>
      </c>
      <c r="Y1505" s="1">
        <v>2948.72</v>
      </c>
      <c r="AB1505" s="1">
        <v>1370.7</v>
      </c>
    </row>
    <row r="1506" spans="2:28" x14ac:dyDescent="0.2">
      <c r="B1506" s="30" t="s">
        <v>2294</v>
      </c>
      <c r="C1506" s="36"/>
      <c r="D1506" s="36"/>
      <c r="F1506" s="1" t="s">
        <v>3210</v>
      </c>
      <c r="G1506" s="30" t="s">
        <v>3450</v>
      </c>
      <c r="K1506" s="1" t="s">
        <v>3695</v>
      </c>
      <c r="L1506" s="1" t="s">
        <v>1279</v>
      </c>
      <c r="M1506" s="36" t="s">
        <v>1511</v>
      </c>
      <c r="N1506" s="1" t="s">
        <v>1708</v>
      </c>
      <c r="O1506" s="1" t="s">
        <v>1286</v>
      </c>
      <c r="P1506" s="34" t="str">
        <f t="shared" si="26"/>
        <v>F010</v>
      </c>
      <c r="Q1506" s="1" t="s">
        <v>127</v>
      </c>
      <c r="S1506" s="16">
        <v>20</v>
      </c>
      <c r="T1506" s="1" t="s">
        <v>2299</v>
      </c>
      <c r="U1506" s="1" t="s">
        <v>1468</v>
      </c>
      <c r="V1506" s="1" t="s">
        <v>1634</v>
      </c>
      <c r="Y1506" s="1">
        <v>2948.72</v>
      </c>
      <c r="AB1506" s="1">
        <v>1370.7</v>
      </c>
    </row>
    <row r="1507" spans="2:28" x14ac:dyDescent="0.2">
      <c r="B1507" s="30" t="s">
        <v>2294</v>
      </c>
      <c r="C1507" s="36"/>
      <c r="D1507" s="36"/>
      <c r="F1507" s="1" t="s">
        <v>1322</v>
      </c>
      <c r="G1507" s="30" t="s">
        <v>3450</v>
      </c>
      <c r="K1507" s="1" t="s">
        <v>3696</v>
      </c>
      <c r="L1507" s="1" t="s">
        <v>1279</v>
      </c>
      <c r="M1507" s="36" t="s">
        <v>1511</v>
      </c>
      <c r="N1507" s="1" t="s">
        <v>1833</v>
      </c>
      <c r="O1507" s="1" t="s">
        <v>1286</v>
      </c>
      <c r="P1507" s="34" t="str">
        <f t="shared" si="26"/>
        <v>F010</v>
      </c>
      <c r="Q1507" s="1" t="s">
        <v>127</v>
      </c>
      <c r="S1507" s="16">
        <v>20</v>
      </c>
      <c r="T1507" s="1" t="s">
        <v>3152</v>
      </c>
      <c r="U1507" s="1" t="s">
        <v>1468</v>
      </c>
      <c r="V1507" s="1" t="s">
        <v>1634</v>
      </c>
      <c r="Y1507" s="1">
        <v>2948.72</v>
      </c>
      <c r="AB1507" s="1">
        <v>1370.7</v>
      </c>
    </row>
    <row r="1508" spans="2:28" x14ac:dyDescent="0.2">
      <c r="B1508" s="30" t="s">
        <v>2294</v>
      </c>
      <c r="C1508" s="36"/>
      <c r="D1508" s="36"/>
      <c r="F1508" s="1" t="s">
        <v>3153</v>
      </c>
      <c r="G1508" s="30" t="s">
        <v>3450</v>
      </c>
      <c r="K1508" s="1" t="s">
        <v>3697</v>
      </c>
      <c r="L1508" s="1" t="s">
        <v>1279</v>
      </c>
      <c r="M1508" s="36" t="s">
        <v>1511</v>
      </c>
      <c r="N1508" s="1" t="s">
        <v>1708</v>
      </c>
      <c r="O1508" s="1" t="s">
        <v>1286</v>
      </c>
      <c r="P1508" s="34" t="str">
        <f t="shared" si="26"/>
        <v>F010</v>
      </c>
      <c r="Q1508" s="1" t="s">
        <v>127</v>
      </c>
      <c r="S1508" s="16">
        <v>20</v>
      </c>
      <c r="T1508" s="1" t="s">
        <v>3698</v>
      </c>
      <c r="U1508" s="1" t="s">
        <v>1468</v>
      </c>
      <c r="V1508" s="1" t="s">
        <v>1634</v>
      </c>
      <c r="Y1508" s="1">
        <v>2948.72</v>
      </c>
      <c r="AB1508" s="1">
        <v>1370.7</v>
      </c>
    </row>
    <row r="1509" spans="2:28" x14ac:dyDescent="0.2">
      <c r="B1509" s="30" t="s">
        <v>2294</v>
      </c>
      <c r="C1509" s="36"/>
      <c r="D1509" s="36"/>
      <c r="F1509" s="1" t="s">
        <v>1667</v>
      </c>
      <c r="G1509" s="30" t="s">
        <v>3450</v>
      </c>
      <c r="K1509" s="1" t="s">
        <v>3699</v>
      </c>
      <c r="L1509" s="1" t="s">
        <v>1279</v>
      </c>
      <c r="M1509" s="36" t="s">
        <v>1511</v>
      </c>
      <c r="N1509" s="1" t="s">
        <v>1284</v>
      </c>
      <c r="O1509" s="1" t="s">
        <v>1286</v>
      </c>
      <c r="P1509" s="34" t="str">
        <f t="shared" si="26"/>
        <v>F010</v>
      </c>
      <c r="Q1509" s="1" t="s">
        <v>127</v>
      </c>
      <c r="S1509" s="16">
        <v>20</v>
      </c>
      <c r="T1509" s="1" t="s">
        <v>3380</v>
      </c>
      <c r="U1509" s="1" t="s">
        <v>1468</v>
      </c>
      <c r="V1509" s="1" t="s">
        <v>1634</v>
      </c>
      <c r="Y1509" s="1">
        <v>2948.72</v>
      </c>
      <c r="AB1509" s="1">
        <v>1370.7</v>
      </c>
    </row>
    <row r="1510" spans="2:28" x14ac:dyDescent="0.2">
      <c r="B1510" s="30" t="s">
        <v>2294</v>
      </c>
      <c r="C1510" s="36"/>
      <c r="D1510" s="36"/>
      <c r="F1510" s="1" t="s">
        <v>3381</v>
      </c>
      <c r="G1510" s="30" t="s">
        <v>3450</v>
      </c>
      <c r="K1510" s="1" t="s">
        <v>3700</v>
      </c>
      <c r="L1510" s="1" t="s">
        <v>1279</v>
      </c>
      <c r="M1510" s="36" t="s">
        <v>1511</v>
      </c>
      <c r="N1510" s="1" t="s">
        <v>1715</v>
      </c>
      <c r="O1510" s="1" t="s">
        <v>1286</v>
      </c>
      <c r="P1510" s="34" t="str">
        <f t="shared" si="26"/>
        <v>F010</v>
      </c>
      <c r="Q1510" s="1" t="s">
        <v>127</v>
      </c>
      <c r="S1510" s="16">
        <v>20</v>
      </c>
      <c r="T1510" s="1" t="s">
        <v>3701</v>
      </c>
      <c r="U1510" s="1" t="s">
        <v>1468</v>
      </c>
      <c r="V1510" s="1" t="s">
        <v>1634</v>
      </c>
      <c r="Y1510" s="1">
        <v>2948.72</v>
      </c>
      <c r="AB1510" s="1">
        <v>1370.7</v>
      </c>
    </row>
    <row r="1511" spans="2:28" x14ac:dyDescent="0.2">
      <c r="B1511" s="30" t="s">
        <v>2294</v>
      </c>
      <c r="C1511" s="36"/>
      <c r="D1511" s="36"/>
      <c r="F1511" s="1" t="s">
        <v>3702</v>
      </c>
      <c r="G1511" s="30" t="s">
        <v>3450</v>
      </c>
      <c r="K1511" s="1" t="s">
        <v>3703</v>
      </c>
      <c r="L1511" s="1" t="s">
        <v>1279</v>
      </c>
      <c r="M1511" s="36" t="s">
        <v>1511</v>
      </c>
      <c r="N1511" s="1" t="s">
        <v>1708</v>
      </c>
      <c r="O1511" s="1" t="s">
        <v>1286</v>
      </c>
      <c r="P1511" s="34" t="str">
        <f t="shared" si="26"/>
        <v>F010</v>
      </c>
      <c r="Q1511" s="1" t="s">
        <v>127</v>
      </c>
      <c r="S1511" s="16">
        <v>20</v>
      </c>
      <c r="T1511" s="1" t="s">
        <v>3461</v>
      </c>
      <c r="U1511" s="1" t="s">
        <v>1468</v>
      </c>
      <c r="V1511" s="1" t="s">
        <v>1634</v>
      </c>
      <c r="Y1511" s="1">
        <v>2948.72</v>
      </c>
      <c r="AB1511" s="1">
        <v>1370.7</v>
      </c>
    </row>
    <row r="1512" spans="2:28" x14ac:dyDescent="0.2">
      <c r="B1512" s="30" t="s">
        <v>2294</v>
      </c>
      <c r="C1512" s="36"/>
      <c r="D1512" s="36"/>
      <c r="F1512" s="1" t="s">
        <v>3462</v>
      </c>
      <c r="G1512" s="30" t="s">
        <v>3450</v>
      </c>
      <c r="K1512" s="1" t="s">
        <v>3704</v>
      </c>
      <c r="L1512" s="1" t="s">
        <v>1279</v>
      </c>
      <c r="M1512" s="36" t="s">
        <v>1511</v>
      </c>
      <c r="N1512" s="1" t="s">
        <v>1833</v>
      </c>
      <c r="O1512" s="1" t="s">
        <v>1286</v>
      </c>
      <c r="P1512" s="34" t="str">
        <f t="shared" si="26"/>
        <v>F010</v>
      </c>
      <c r="Q1512" s="1" t="s">
        <v>127</v>
      </c>
      <c r="S1512" s="16">
        <v>20</v>
      </c>
      <c r="T1512" s="1" t="s">
        <v>3705</v>
      </c>
      <c r="U1512" s="1" t="s">
        <v>1468</v>
      </c>
      <c r="V1512" s="1" t="s">
        <v>1634</v>
      </c>
      <c r="Y1512" s="1">
        <v>2948.72</v>
      </c>
      <c r="AB1512" s="1">
        <v>1370.7</v>
      </c>
    </row>
    <row r="1513" spans="2:28" x14ac:dyDescent="0.2">
      <c r="B1513" s="30" t="s">
        <v>2294</v>
      </c>
      <c r="C1513" s="36"/>
      <c r="D1513" s="36"/>
      <c r="F1513" s="1" t="s">
        <v>1680</v>
      </c>
      <c r="G1513" s="30" t="s">
        <v>3450</v>
      </c>
      <c r="K1513" s="1" t="s">
        <v>3706</v>
      </c>
      <c r="L1513" s="1" t="s">
        <v>1279</v>
      </c>
      <c r="M1513" s="36" t="s">
        <v>1511</v>
      </c>
      <c r="N1513" s="1" t="s">
        <v>1287</v>
      </c>
      <c r="O1513" s="1" t="s">
        <v>1286</v>
      </c>
      <c r="P1513" s="34" t="str">
        <f t="shared" si="26"/>
        <v>F010</v>
      </c>
      <c r="Q1513" s="1" t="s">
        <v>137</v>
      </c>
      <c r="S1513" s="16">
        <v>20</v>
      </c>
      <c r="T1513" s="1" t="s">
        <v>3254</v>
      </c>
      <c r="U1513" s="1" t="s">
        <v>1468</v>
      </c>
      <c r="V1513" s="1" t="s">
        <v>1634</v>
      </c>
      <c r="Y1513" s="1">
        <v>2948.72</v>
      </c>
      <c r="AB1513" s="1">
        <v>1370.7</v>
      </c>
    </row>
    <row r="1514" spans="2:28" x14ac:dyDescent="0.2">
      <c r="B1514" s="30" t="s">
        <v>2294</v>
      </c>
      <c r="C1514" s="36"/>
      <c r="D1514" s="36"/>
      <c r="F1514" s="1" t="s">
        <v>3255</v>
      </c>
      <c r="G1514" s="30" t="s">
        <v>3450</v>
      </c>
      <c r="K1514" s="1" t="s">
        <v>3707</v>
      </c>
      <c r="L1514" s="1" t="s">
        <v>1279</v>
      </c>
      <c r="M1514" s="36" t="s">
        <v>1511</v>
      </c>
      <c r="N1514" s="1" t="s">
        <v>1556</v>
      </c>
      <c r="O1514" s="1" t="s">
        <v>1286</v>
      </c>
      <c r="P1514" s="34" t="str">
        <f t="shared" si="26"/>
        <v>F010</v>
      </c>
      <c r="Q1514" s="1" t="s">
        <v>127</v>
      </c>
      <c r="S1514" s="16">
        <v>20</v>
      </c>
      <c r="T1514" s="1" t="s">
        <v>3708</v>
      </c>
      <c r="U1514" s="1" t="s">
        <v>1468</v>
      </c>
      <c r="V1514" s="1" t="s">
        <v>1634</v>
      </c>
      <c r="Y1514" s="1">
        <v>2948.72</v>
      </c>
      <c r="AB1514" s="1">
        <v>1370.7</v>
      </c>
    </row>
    <row r="1515" spans="2:28" x14ac:dyDescent="0.2">
      <c r="B1515" s="30" t="s">
        <v>2294</v>
      </c>
      <c r="C1515" s="36"/>
      <c r="D1515" s="36"/>
      <c r="F1515" s="1" t="s">
        <v>1384</v>
      </c>
      <c r="G1515" s="30" t="s">
        <v>3450</v>
      </c>
      <c r="K1515" s="1" t="s">
        <v>3709</v>
      </c>
      <c r="L1515" s="1" t="s">
        <v>1279</v>
      </c>
      <c r="M1515" s="36" t="s">
        <v>1511</v>
      </c>
      <c r="N1515" s="1" t="s">
        <v>1556</v>
      </c>
      <c r="O1515" s="1" t="s">
        <v>1286</v>
      </c>
      <c r="P1515" s="34" t="str">
        <f t="shared" si="26"/>
        <v>F010</v>
      </c>
      <c r="Q1515" s="1" t="s">
        <v>127</v>
      </c>
      <c r="S1515" s="16">
        <v>20</v>
      </c>
      <c r="T1515" s="1" t="s">
        <v>3710</v>
      </c>
      <c r="U1515" s="1" t="s">
        <v>1468</v>
      </c>
      <c r="V1515" s="1" t="s">
        <v>1634</v>
      </c>
      <c r="Y1515" s="1">
        <v>2948.72</v>
      </c>
      <c r="AB1515" s="1">
        <v>1370.7</v>
      </c>
    </row>
    <row r="1516" spans="2:28" x14ac:dyDescent="0.2">
      <c r="B1516" s="30" t="s">
        <v>2294</v>
      </c>
      <c r="C1516" s="36"/>
      <c r="D1516" s="36"/>
      <c r="F1516" s="1" t="s">
        <v>3711</v>
      </c>
      <c r="G1516" s="30" t="s">
        <v>3450</v>
      </c>
      <c r="K1516" s="1" t="s">
        <v>3712</v>
      </c>
      <c r="L1516" s="1" t="s">
        <v>1279</v>
      </c>
      <c r="M1516" s="36" t="s">
        <v>1511</v>
      </c>
      <c r="N1516" s="1" t="s">
        <v>3592</v>
      </c>
      <c r="O1516" s="1" t="s">
        <v>1286</v>
      </c>
      <c r="P1516" s="34" t="str">
        <f t="shared" si="26"/>
        <v>F010</v>
      </c>
      <c r="Q1516" s="1" t="s">
        <v>127</v>
      </c>
      <c r="S1516" s="16">
        <v>20</v>
      </c>
      <c r="T1516" s="1" t="s">
        <v>3705</v>
      </c>
      <c r="U1516" s="1" t="s">
        <v>1468</v>
      </c>
      <c r="V1516" s="1" t="s">
        <v>1634</v>
      </c>
      <c r="Y1516" s="1">
        <v>2948.72</v>
      </c>
      <c r="AB1516" s="1">
        <v>1370.7</v>
      </c>
    </row>
    <row r="1517" spans="2:28" x14ac:dyDescent="0.2">
      <c r="B1517" s="30" t="s">
        <v>2294</v>
      </c>
      <c r="C1517" s="36"/>
      <c r="D1517" s="36"/>
      <c r="F1517" s="1" t="s">
        <v>1680</v>
      </c>
      <c r="G1517" s="30" t="s">
        <v>3450</v>
      </c>
      <c r="K1517" s="1" t="s">
        <v>3713</v>
      </c>
      <c r="L1517" s="1" t="s">
        <v>1279</v>
      </c>
      <c r="M1517" s="36" t="s">
        <v>1511</v>
      </c>
      <c r="N1517" s="1" t="s">
        <v>1708</v>
      </c>
      <c r="O1517" s="1" t="s">
        <v>1286</v>
      </c>
      <c r="P1517" s="34" t="str">
        <f t="shared" si="26"/>
        <v>F010</v>
      </c>
      <c r="Q1517" s="1" t="s">
        <v>127</v>
      </c>
      <c r="S1517" s="16">
        <v>20</v>
      </c>
      <c r="T1517" s="1" t="s">
        <v>3714</v>
      </c>
      <c r="U1517" s="1" t="s">
        <v>1468</v>
      </c>
      <c r="V1517" s="1" t="s">
        <v>1634</v>
      </c>
      <c r="Y1517" s="1">
        <v>2948.72</v>
      </c>
      <c r="AB1517" s="1">
        <v>1370.7</v>
      </c>
    </row>
    <row r="1518" spans="2:28" x14ac:dyDescent="0.2">
      <c r="B1518" s="30" t="s">
        <v>2294</v>
      </c>
      <c r="C1518" s="36"/>
      <c r="D1518" s="36"/>
      <c r="F1518" s="1" t="s">
        <v>3715</v>
      </c>
      <c r="G1518" s="30" t="s">
        <v>3450</v>
      </c>
      <c r="K1518" s="1" t="s">
        <v>3716</v>
      </c>
      <c r="L1518" s="1" t="s">
        <v>1279</v>
      </c>
      <c r="M1518" s="36" t="s">
        <v>1511</v>
      </c>
      <c r="N1518" s="1" t="s">
        <v>1708</v>
      </c>
      <c r="O1518" s="1" t="s">
        <v>1286</v>
      </c>
      <c r="P1518" s="34" t="str">
        <f t="shared" si="26"/>
        <v>F010</v>
      </c>
      <c r="Q1518" s="1" t="s">
        <v>127</v>
      </c>
      <c r="S1518" s="16">
        <v>20</v>
      </c>
      <c r="T1518" s="1" t="s">
        <v>2299</v>
      </c>
      <c r="U1518" s="1" t="s">
        <v>1468</v>
      </c>
      <c r="V1518" s="1" t="s">
        <v>1634</v>
      </c>
      <c r="Y1518" s="1">
        <v>2948.72</v>
      </c>
      <c r="AB1518" s="1">
        <v>1370.7</v>
      </c>
    </row>
    <row r="1519" spans="2:28" x14ac:dyDescent="0.2">
      <c r="B1519" s="30" t="s">
        <v>2294</v>
      </c>
      <c r="C1519" s="36"/>
      <c r="D1519" s="36"/>
      <c r="F1519" s="1" t="s">
        <v>1322</v>
      </c>
      <c r="G1519" s="30" t="s">
        <v>3450</v>
      </c>
      <c r="K1519" s="1" t="s">
        <v>3717</v>
      </c>
      <c r="L1519" s="1" t="s">
        <v>1279</v>
      </c>
      <c r="M1519" s="36" t="s">
        <v>1511</v>
      </c>
      <c r="N1519" s="1" t="s">
        <v>1944</v>
      </c>
      <c r="O1519" s="1" t="s">
        <v>1286</v>
      </c>
      <c r="P1519" s="34" t="str">
        <f t="shared" si="26"/>
        <v>F010</v>
      </c>
      <c r="Q1519" s="1" t="s">
        <v>137</v>
      </c>
      <c r="S1519" s="16">
        <v>20</v>
      </c>
      <c r="T1519" s="1" t="s">
        <v>3448</v>
      </c>
      <c r="U1519" s="1" t="s">
        <v>1468</v>
      </c>
      <c r="V1519" s="1" t="s">
        <v>1634</v>
      </c>
      <c r="Y1519" s="1">
        <v>2948.72</v>
      </c>
      <c r="AB1519" s="1">
        <v>1370.7</v>
      </c>
    </row>
    <row r="1520" spans="2:28" x14ac:dyDescent="0.2">
      <c r="B1520" s="30" t="s">
        <v>2294</v>
      </c>
      <c r="C1520" s="36"/>
      <c r="D1520" s="36"/>
      <c r="F1520" s="1" t="s">
        <v>3449</v>
      </c>
      <c r="G1520" s="30" t="s">
        <v>3450</v>
      </c>
      <c r="K1520" s="1" t="s">
        <v>3718</v>
      </c>
      <c r="L1520" s="1" t="s">
        <v>1279</v>
      </c>
      <c r="M1520" s="36" t="s">
        <v>1511</v>
      </c>
      <c r="N1520" s="1" t="s">
        <v>1715</v>
      </c>
      <c r="O1520" s="1" t="s">
        <v>1286</v>
      </c>
      <c r="P1520" s="34" t="str">
        <f t="shared" si="26"/>
        <v>F010</v>
      </c>
      <c r="Q1520" s="1" t="s">
        <v>127</v>
      </c>
      <c r="S1520" s="16">
        <v>20</v>
      </c>
      <c r="T1520" s="1" t="s">
        <v>3719</v>
      </c>
      <c r="U1520" s="1" t="s">
        <v>1468</v>
      </c>
      <c r="V1520" s="1" t="s">
        <v>1634</v>
      </c>
      <c r="Y1520" s="1">
        <v>2948.72</v>
      </c>
      <c r="AB1520" s="1">
        <v>1370.7</v>
      </c>
    </row>
    <row r="1521" spans="2:28" x14ac:dyDescent="0.2">
      <c r="B1521" s="30" t="s">
        <v>2294</v>
      </c>
      <c r="C1521" s="36"/>
      <c r="D1521" s="36"/>
      <c r="F1521" s="1" t="s">
        <v>3720</v>
      </c>
      <c r="G1521" s="30" t="s">
        <v>3450</v>
      </c>
      <c r="K1521" s="1" t="s">
        <v>3721</v>
      </c>
      <c r="L1521" s="1" t="s">
        <v>1279</v>
      </c>
      <c r="M1521" s="36" t="s">
        <v>1511</v>
      </c>
      <c r="N1521" s="1" t="s">
        <v>1284</v>
      </c>
      <c r="O1521" s="1" t="s">
        <v>1286</v>
      </c>
      <c r="P1521" s="34" t="str">
        <f t="shared" si="26"/>
        <v>F010</v>
      </c>
      <c r="Q1521" s="1" t="s">
        <v>127</v>
      </c>
      <c r="S1521" s="16">
        <v>20</v>
      </c>
      <c r="T1521" s="1" t="s">
        <v>3107</v>
      </c>
      <c r="U1521" s="1" t="s">
        <v>1468</v>
      </c>
      <c r="V1521" s="1" t="s">
        <v>1634</v>
      </c>
      <c r="Y1521" s="1">
        <v>2948.72</v>
      </c>
      <c r="AB1521" s="1">
        <v>1370.7</v>
      </c>
    </row>
    <row r="1522" spans="2:28" x14ac:dyDescent="0.2">
      <c r="B1522" s="30" t="s">
        <v>2294</v>
      </c>
      <c r="C1522" s="36"/>
      <c r="D1522" s="36"/>
      <c r="F1522" s="1" t="s">
        <v>3108</v>
      </c>
      <c r="G1522" s="30" t="s">
        <v>3450</v>
      </c>
      <c r="K1522" s="1" t="s">
        <v>3722</v>
      </c>
      <c r="L1522" s="1" t="s">
        <v>1279</v>
      </c>
      <c r="M1522" s="36" t="s">
        <v>1511</v>
      </c>
      <c r="N1522" s="1" t="s">
        <v>2497</v>
      </c>
      <c r="O1522" s="1" t="s">
        <v>1286</v>
      </c>
      <c r="P1522" s="34" t="str">
        <f t="shared" si="26"/>
        <v>F010</v>
      </c>
      <c r="Q1522" s="1" t="s">
        <v>127</v>
      </c>
      <c r="S1522" s="16">
        <v>20</v>
      </c>
      <c r="T1522" s="1" t="s">
        <v>3705</v>
      </c>
      <c r="U1522" s="1" t="s">
        <v>1468</v>
      </c>
      <c r="V1522" s="1" t="s">
        <v>1634</v>
      </c>
      <c r="Y1522" s="1">
        <v>2948.72</v>
      </c>
      <c r="AB1522" s="1">
        <v>1370.7</v>
      </c>
    </row>
    <row r="1523" spans="2:28" x14ac:dyDescent="0.2">
      <c r="B1523" s="30" t="s">
        <v>2294</v>
      </c>
      <c r="C1523" s="36"/>
      <c r="D1523" s="36"/>
      <c r="F1523" s="1" t="s">
        <v>1680</v>
      </c>
      <c r="G1523" s="30" t="s">
        <v>3450</v>
      </c>
      <c r="K1523" s="1" t="s">
        <v>3723</v>
      </c>
      <c r="L1523" s="1" t="s">
        <v>1279</v>
      </c>
      <c r="M1523" s="36" t="s">
        <v>1511</v>
      </c>
      <c r="N1523" s="1" t="s">
        <v>1287</v>
      </c>
      <c r="O1523" s="1" t="s">
        <v>1286</v>
      </c>
      <c r="P1523" s="34" t="str">
        <f t="shared" si="26"/>
        <v>F010</v>
      </c>
      <c r="Q1523" s="1" t="s">
        <v>137</v>
      </c>
      <c r="S1523" s="16">
        <v>20</v>
      </c>
      <c r="T1523" s="1" t="s">
        <v>3111</v>
      </c>
      <c r="U1523" s="1" t="s">
        <v>1468</v>
      </c>
      <c r="V1523" s="1" t="s">
        <v>1634</v>
      </c>
      <c r="Y1523" s="1">
        <v>2948.72</v>
      </c>
      <c r="AB1523" s="1">
        <v>1370.7</v>
      </c>
    </row>
    <row r="1524" spans="2:28" x14ac:dyDescent="0.2">
      <c r="B1524" s="30" t="s">
        <v>2294</v>
      </c>
      <c r="C1524" s="36"/>
      <c r="D1524" s="36"/>
      <c r="F1524" s="1" t="s">
        <v>3112</v>
      </c>
      <c r="G1524" s="30" t="s">
        <v>3450</v>
      </c>
      <c r="K1524" s="1" t="s">
        <v>3724</v>
      </c>
      <c r="L1524" s="1" t="s">
        <v>1279</v>
      </c>
      <c r="M1524" s="36" t="s">
        <v>1511</v>
      </c>
      <c r="N1524" s="1" t="s">
        <v>1708</v>
      </c>
      <c r="O1524" s="1" t="s">
        <v>1286</v>
      </c>
      <c r="P1524" s="34" t="str">
        <f t="shared" si="26"/>
        <v>F010</v>
      </c>
      <c r="Q1524" s="1" t="s">
        <v>127</v>
      </c>
      <c r="S1524" s="16">
        <v>20</v>
      </c>
      <c r="T1524" s="1" t="s">
        <v>3705</v>
      </c>
      <c r="U1524" s="1" t="s">
        <v>1468</v>
      </c>
      <c r="V1524" s="1" t="s">
        <v>1634</v>
      </c>
      <c r="Y1524" s="1">
        <v>2948.72</v>
      </c>
      <c r="AB1524" s="1">
        <v>1370.7</v>
      </c>
    </row>
    <row r="1525" spans="2:28" x14ac:dyDescent="0.2">
      <c r="B1525" s="30" t="s">
        <v>2294</v>
      </c>
      <c r="C1525" s="36"/>
      <c r="D1525" s="36"/>
      <c r="F1525" s="1" t="s">
        <v>1680</v>
      </c>
      <c r="G1525" s="30" t="s">
        <v>3450</v>
      </c>
      <c r="K1525" s="1" t="s">
        <v>3725</v>
      </c>
      <c r="L1525" s="1" t="s">
        <v>1279</v>
      </c>
      <c r="M1525" s="36" t="s">
        <v>1511</v>
      </c>
      <c r="N1525" s="1" t="s">
        <v>1637</v>
      </c>
      <c r="O1525" s="1" t="s">
        <v>1286</v>
      </c>
      <c r="P1525" s="34" t="str">
        <f t="shared" si="26"/>
        <v>F010</v>
      </c>
      <c r="Q1525" s="1" t="s">
        <v>127</v>
      </c>
      <c r="S1525" s="16">
        <v>20</v>
      </c>
      <c r="T1525" s="1" t="s">
        <v>3563</v>
      </c>
      <c r="U1525" s="1" t="s">
        <v>1468</v>
      </c>
      <c r="V1525" s="1" t="s">
        <v>1634</v>
      </c>
      <c r="Y1525" s="1">
        <v>2948.72</v>
      </c>
      <c r="AB1525" s="1">
        <v>1370.7</v>
      </c>
    </row>
    <row r="1526" spans="2:28" x14ac:dyDescent="0.2">
      <c r="B1526" s="30" t="s">
        <v>2294</v>
      </c>
      <c r="C1526" s="36"/>
      <c r="D1526" s="36"/>
      <c r="F1526" s="1" t="s">
        <v>3564</v>
      </c>
      <c r="G1526" s="30" t="s">
        <v>3450</v>
      </c>
      <c r="K1526" s="1" t="s">
        <v>3726</v>
      </c>
      <c r="L1526" s="1" t="s">
        <v>1279</v>
      </c>
      <c r="M1526" s="36" t="s">
        <v>1511</v>
      </c>
      <c r="N1526" s="1" t="s">
        <v>1556</v>
      </c>
      <c r="O1526" s="1" t="s">
        <v>1286</v>
      </c>
      <c r="P1526" s="34" t="str">
        <f t="shared" si="26"/>
        <v>F010</v>
      </c>
      <c r="Q1526" s="1" t="s">
        <v>127</v>
      </c>
      <c r="S1526" s="16">
        <v>20</v>
      </c>
      <c r="T1526" s="1" t="s">
        <v>3705</v>
      </c>
      <c r="U1526" s="1" t="s">
        <v>1468</v>
      </c>
      <c r="V1526" s="1" t="s">
        <v>1634</v>
      </c>
      <c r="Y1526" s="1">
        <v>2948.72</v>
      </c>
      <c r="AB1526" s="1">
        <v>1370.7</v>
      </c>
    </row>
    <row r="1527" spans="2:28" x14ac:dyDescent="0.2">
      <c r="B1527" s="30" t="s">
        <v>2294</v>
      </c>
      <c r="C1527" s="36"/>
      <c r="D1527" s="36"/>
      <c r="F1527" s="1" t="s">
        <v>1680</v>
      </c>
      <c r="G1527" s="30" t="s">
        <v>3450</v>
      </c>
      <c r="K1527" s="1" t="s">
        <v>3727</v>
      </c>
      <c r="L1527" s="1" t="s">
        <v>1279</v>
      </c>
      <c r="M1527" s="36" t="s">
        <v>1511</v>
      </c>
      <c r="N1527" s="1" t="s">
        <v>1806</v>
      </c>
      <c r="O1527" s="1" t="s">
        <v>1286</v>
      </c>
      <c r="P1527" s="34" t="str">
        <f t="shared" si="26"/>
        <v>F010</v>
      </c>
      <c r="Q1527" s="1" t="s">
        <v>127</v>
      </c>
      <c r="S1527" s="16">
        <v>20</v>
      </c>
      <c r="T1527" s="1" t="s">
        <v>3170</v>
      </c>
      <c r="U1527" s="1" t="s">
        <v>1468</v>
      </c>
      <c r="V1527" s="1" t="s">
        <v>1634</v>
      </c>
      <c r="Y1527" s="1">
        <v>2948.72</v>
      </c>
      <c r="AB1527" s="1">
        <v>1370.7</v>
      </c>
    </row>
    <row r="1528" spans="2:28" x14ac:dyDescent="0.2">
      <c r="B1528" s="30" t="s">
        <v>2294</v>
      </c>
      <c r="C1528" s="36"/>
      <c r="D1528" s="36"/>
      <c r="F1528" s="1" t="s">
        <v>3172</v>
      </c>
      <c r="G1528" s="30" t="s">
        <v>3450</v>
      </c>
      <c r="K1528" s="1" t="s">
        <v>3728</v>
      </c>
      <c r="L1528" s="1" t="s">
        <v>1279</v>
      </c>
      <c r="M1528" s="36" t="s">
        <v>1511</v>
      </c>
      <c r="N1528" s="1" t="s">
        <v>1708</v>
      </c>
      <c r="O1528" s="1" t="s">
        <v>1286</v>
      </c>
      <c r="P1528" s="34" t="str">
        <f t="shared" si="26"/>
        <v>F010</v>
      </c>
      <c r="Q1528" s="1" t="s">
        <v>127</v>
      </c>
      <c r="S1528" s="16">
        <v>20</v>
      </c>
      <c r="T1528" s="1" t="s">
        <v>3729</v>
      </c>
      <c r="U1528" s="1" t="s">
        <v>1468</v>
      </c>
      <c r="V1528" s="1" t="s">
        <v>1634</v>
      </c>
      <c r="Y1528" s="1">
        <v>2948.72</v>
      </c>
      <c r="AB1528" s="1">
        <v>1370.7</v>
      </c>
    </row>
    <row r="1529" spans="2:28" x14ac:dyDescent="0.2">
      <c r="B1529" s="30" t="s">
        <v>2294</v>
      </c>
      <c r="C1529" s="36"/>
      <c r="D1529" s="36"/>
      <c r="F1529" s="1" t="s">
        <v>1445</v>
      </c>
      <c r="G1529" s="30" t="s">
        <v>3450</v>
      </c>
      <c r="K1529" s="1" t="s">
        <v>3730</v>
      </c>
      <c r="L1529" s="1" t="s">
        <v>1279</v>
      </c>
      <c r="M1529" s="36" t="s">
        <v>1511</v>
      </c>
      <c r="N1529" s="1" t="s">
        <v>1708</v>
      </c>
      <c r="O1529" s="1" t="s">
        <v>1286</v>
      </c>
      <c r="P1529" s="34" t="str">
        <f t="shared" si="26"/>
        <v>F010</v>
      </c>
      <c r="Q1529" s="1" t="s">
        <v>127</v>
      </c>
      <c r="S1529" s="16">
        <v>20</v>
      </c>
      <c r="T1529" s="1" t="s">
        <v>3209</v>
      </c>
      <c r="U1529" s="1" t="s">
        <v>1468</v>
      </c>
      <c r="V1529" s="1" t="s">
        <v>1634</v>
      </c>
      <c r="Y1529" s="1">
        <v>2948.72</v>
      </c>
      <c r="AB1529" s="1">
        <v>1370.7</v>
      </c>
    </row>
    <row r="1530" spans="2:28" x14ac:dyDescent="0.2">
      <c r="B1530" s="30" t="s">
        <v>2294</v>
      </c>
      <c r="C1530" s="36"/>
      <c r="D1530" s="36"/>
      <c r="F1530" s="1" t="s">
        <v>3210</v>
      </c>
      <c r="G1530" s="30" t="s">
        <v>3450</v>
      </c>
      <c r="K1530" s="1" t="s">
        <v>3731</v>
      </c>
      <c r="L1530" s="1" t="s">
        <v>1279</v>
      </c>
      <c r="M1530" s="36" t="s">
        <v>1511</v>
      </c>
      <c r="N1530" s="1" t="s">
        <v>1658</v>
      </c>
      <c r="O1530" s="1" t="s">
        <v>1286</v>
      </c>
      <c r="P1530" s="34" t="str">
        <f t="shared" si="26"/>
        <v>F010</v>
      </c>
      <c r="Q1530" s="1" t="s">
        <v>137</v>
      </c>
      <c r="S1530" s="16">
        <v>20</v>
      </c>
      <c r="T1530" s="1" t="s">
        <v>3708</v>
      </c>
      <c r="U1530" s="1" t="s">
        <v>1468</v>
      </c>
      <c r="V1530" s="1" t="s">
        <v>1634</v>
      </c>
      <c r="Y1530" s="1">
        <v>2948.72</v>
      </c>
      <c r="AB1530" s="1">
        <v>1370.7</v>
      </c>
    </row>
    <row r="1531" spans="2:28" x14ac:dyDescent="0.2">
      <c r="B1531" s="30" t="s">
        <v>2294</v>
      </c>
      <c r="C1531" s="36"/>
      <c r="D1531" s="36"/>
      <c r="F1531" s="1" t="s">
        <v>1384</v>
      </c>
      <c r="G1531" s="30" t="s">
        <v>3450</v>
      </c>
      <c r="K1531" s="1" t="s">
        <v>3732</v>
      </c>
      <c r="L1531" s="1" t="s">
        <v>1279</v>
      </c>
      <c r="M1531" s="36" t="s">
        <v>1511</v>
      </c>
      <c r="N1531" s="1" t="s">
        <v>1284</v>
      </c>
      <c r="O1531" s="1" t="s">
        <v>1286</v>
      </c>
      <c r="P1531" s="34" t="str">
        <f t="shared" si="26"/>
        <v>F010</v>
      </c>
      <c r="Q1531" s="1" t="s">
        <v>127</v>
      </c>
      <c r="S1531" s="16">
        <v>20</v>
      </c>
      <c r="T1531" s="1" t="s">
        <v>3079</v>
      </c>
      <c r="U1531" s="1" t="s">
        <v>1468</v>
      </c>
      <c r="V1531" s="1" t="s">
        <v>1634</v>
      </c>
      <c r="Y1531" s="1">
        <v>2948.72</v>
      </c>
      <c r="AB1531" s="1">
        <v>1370.7</v>
      </c>
    </row>
    <row r="1532" spans="2:28" x14ac:dyDescent="0.2">
      <c r="B1532" s="30" t="s">
        <v>2294</v>
      </c>
      <c r="C1532" s="36"/>
      <c r="D1532" s="36"/>
      <c r="F1532" s="1" t="s">
        <v>3080</v>
      </c>
      <c r="G1532" s="30" t="s">
        <v>3450</v>
      </c>
      <c r="K1532" s="1" t="s">
        <v>3733</v>
      </c>
      <c r="L1532" s="1" t="s">
        <v>1279</v>
      </c>
      <c r="M1532" s="36" t="s">
        <v>1511</v>
      </c>
      <c r="N1532" s="1" t="s">
        <v>1587</v>
      </c>
      <c r="O1532" s="1" t="s">
        <v>1286</v>
      </c>
      <c r="P1532" s="34" t="str">
        <f t="shared" si="26"/>
        <v>F010</v>
      </c>
      <c r="Q1532" s="1" t="s">
        <v>127</v>
      </c>
      <c r="S1532" s="16">
        <v>20</v>
      </c>
      <c r="T1532" s="1" t="s">
        <v>3708</v>
      </c>
      <c r="U1532" s="1" t="s">
        <v>1468</v>
      </c>
      <c r="V1532" s="1" t="s">
        <v>1634</v>
      </c>
      <c r="Y1532" s="1">
        <v>2948.72</v>
      </c>
      <c r="AB1532" s="1">
        <v>1370.7</v>
      </c>
    </row>
    <row r="1533" spans="2:28" x14ac:dyDescent="0.2">
      <c r="B1533" s="30" t="s">
        <v>2294</v>
      </c>
      <c r="C1533" s="36"/>
      <c r="D1533" s="36"/>
      <c r="F1533" s="1" t="s">
        <v>1384</v>
      </c>
      <c r="G1533" s="30" t="s">
        <v>3450</v>
      </c>
      <c r="K1533" s="1" t="s">
        <v>3734</v>
      </c>
      <c r="L1533" s="1" t="s">
        <v>1279</v>
      </c>
      <c r="M1533" s="36" t="s">
        <v>1511</v>
      </c>
      <c r="N1533" s="1" t="s">
        <v>2866</v>
      </c>
      <c r="O1533" s="1" t="s">
        <v>1286</v>
      </c>
      <c r="P1533" s="34" t="str">
        <f t="shared" si="26"/>
        <v>F010</v>
      </c>
      <c r="Q1533" s="1" t="s">
        <v>127</v>
      </c>
      <c r="S1533" s="16">
        <v>20</v>
      </c>
      <c r="T1533" s="1" t="s">
        <v>3239</v>
      </c>
      <c r="U1533" s="1" t="s">
        <v>1468</v>
      </c>
      <c r="V1533" s="1" t="s">
        <v>1634</v>
      </c>
      <c r="Y1533" s="1">
        <v>2948.72</v>
      </c>
      <c r="AB1533" s="1">
        <v>1370.7</v>
      </c>
    </row>
    <row r="1534" spans="2:28" x14ac:dyDescent="0.2">
      <c r="B1534" s="30" t="s">
        <v>2294</v>
      </c>
      <c r="C1534" s="36"/>
      <c r="D1534" s="36"/>
      <c r="F1534" s="1" t="s">
        <v>3240</v>
      </c>
      <c r="G1534" s="30" t="s">
        <v>3450</v>
      </c>
      <c r="K1534" s="1" t="s">
        <v>3735</v>
      </c>
      <c r="L1534" s="1" t="s">
        <v>1279</v>
      </c>
      <c r="M1534" s="36" t="s">
        <v>1511</v>
      </c>
      <c r="N1534" s="1" t="s">
        <v>1708</v>
      </c>
      <c r="O1534" s="1" t="s">
        <v>1286</v>
      </c>
      <c r="P1534" s="34" t="str">
        <f t="shared" si="26"/>
        <v>F010</v>
      </c>
      <c r="Q1534" s="1" t="s">
        <v>127</v>
      </c>
      <c r="S1534" s="16">
        <v>20</v>
      </c>
      <c r="T1534" s="1" t="s">
        <v>3307</v>
      </c>
      <c r="U1534" s="1" t="s">
        <v>1468</v>
      </c>
      <c r="V1534" s="1" t="s">
        <v>1634</v>
      </c>
      <c r="Y1534" s="1">
        <v>2948.72</v>
      </c>
      <c r="AB1534" s="1">
        <v>1370.7</v>
      </c>
    </row>
    <row r="1535" spans="2:28" x14ac:dyDescent="0.2">
      <c r="B1535" s="30" t="s">
        <v>2294</v>
      </c>
      <c r="C1535" s="36"/>
      <c r="D1535" s="36"/>
      <c r="F1535" s="1" t="s">
        <v>1340</v>
      </c>
      <c r="G1535" s="30" t="s">
        <v>3450</v>
      </c>
      <c r="K1535" s="1" t="s">
        <v>3736</v>
      </c>
      <c r="L1535" s="1" t="s">
        <v>1279</v>
      </c>
      <c r="M1535" s="36" t="s">
        <v>1511</v>
      </c>
      <c r="N1535" s="1" t="s">
        <v>2497</v>
      </c>
      <c r="O1535" s="1" t="s">
        <v>1286</v>
      </c>
      <c r="P1535" s="34" t="str">
        <f t="shared" si="26"/>
        <v>F010</v>
      </c>
      <c r="Q1535" s="1" t="s">
        <v>127</v>
      </c>
      <c r="S1535" s="16">
        <v>20</v>
      </c>
      <c r="T1535" s="1" t="s">
        <v>3074</v>
      </c>
      <c r="U1535" s="1" t="s">
        <v>1468</v>
      </c>
      <c r="V1535" s="1" t="s">
        <v>1634</v>
      </c>
      <c r="Y1535" s="1">
        <v>2948.72</v>
      </c>
      <c r="AB1535" s="1">
        <v>1370.7</v>
      </c>
    </row>
    <row r="1536" spans="2:28" x14ac:dyDescent="0.2">
      <c r="B1536" s="30" t="s">
        <v>2294</v>
      </c>
      <c r="C1536" s="36"/>
      <c r="D1536" s="36"/>
      <c r="F1536" s="1" t="s">
        <v>3075</v>
      </c>
      <c r="G1536" s="30" t="s">
        <v>3450</v>
      </c>
      <c r="K1536" s="1" t="s">
        <v>3737</v>
      </c>
      <c r="L1536" s="1" t="s">
        <v>1279</v>
      </c>
      <c r="M1536" s="36" t="s">
        <v>1511</v>
      </c>
      <c r="N1536" s="1" t="s">
        <v>1944</v>
      </c>
      <c r="O1536" s="1" t="s">
        <v>1286</v>
      </c>
      <c r="P1536" s="34" t="str">
        <f t="shared" si="26"/>
        <v>F010</v>
      </c>
      <c r="Q1536" s="1" t="s">
        <v>137</v>
      </c>
      <c r="S1536" s="16">
        <v>20</v>
      </c>
      <c r="T1536" s="1" t="s">
        <v>3708</v>
      </c>
      <c r="U1536" s="1" t="s">
        <v>1468</v>
      </c>
      <c r="V1536" s="1" t="s">
        <v>1634</v>
      </c>
      <c r="Y1536" s="1">
        <v>2948.72</v>
      </c>
      <c r="AB1536" s="1">
        <v>1370.7</v>
      </c>
    </row>
    <row r="1537" spans="2:28" x14ac:dyDescent="0.2">
      <c r="B1537" s="30" t="s">
        <v>2294</v>
      </c>
      <c r="C1537" s="36"/>
      <c r="D1537" s="36"/>
      <c r="F1537" s="1" t="s">
        <v>1384</v>
      </c>
      <c r="G1537" s="30" t="s">
        <v>3450</v>
      </c>
      <c r="K1537" s="1" t="s">
        <v>3738</v>
      </c>
      <c r="L1537" s="1" t="s">
        <v>1279</v>
      </c>
      <c r="M1537" s="36" t="s">
        <v>1511</v>
      </c>
      <c r="N1537" s="1" t="s">
        <v>1944</v>
      </c>
      <c r="O1537" s="1" t="s">
        <v>1286</v>
      </c>
      <c r="P1537" s="34" t="str">
        <f t="shared" si="26"/>
        <v>F010</v>
      </c>
      <c r="Q1537" s="1" t="s">
        <v>137</v>
      </c>
      <c r="S1537" s="16">
        <v>20</v>
      </c>
      <c r="T1537" s="1" t="s">
        <v>3152</v>
      </c>
      <c r="U1537" s="1" t="s">
        <v>1468</v>
      </c>
      <c r="V1537" s="1" t="s">
        <v>1634</v>
      </c>
      <c r="Y1537" s="1">
        <v>2948.72</v>
      </c>
      <c r="AB1537" s="1">
        <v>1370.7</v>
      </c>
    </row>
    <row r="1538" spans="2:28" x14ac:dyDescent="0.2">
      <c r="B1538" s="30" t="s">
        <v>2294</v>
      </c>
      <c r="C1538" s="36"/>
      <c r="D1538" s="36"/>
      <c r="F1538" s="1" t="s">
        <v>3153</v>
      </c>
      <c r="G1538" s="30" t="s">
        <v>3450</v>
      </c>
      <c r="K1538" s="1" t="s">
        <v>3739</v>
      </c>
      <c r="L1538" s="1" t="s">
        <v>1279</v>
      </c>
      <c r="M1538" s="36" t="s">
        <v>1511</v>
      </c>
      <c r="N1538" s="1" t="s">
        <v>1568</v>
      </c>
      <c r="O1538" s="1" t="s">
        <v>1286</v>
      </c>
      <c r="P1538" s="34" t="str">
        <f t="shared" si="26"/>
        <v>F010</v>
      </c>
      <c r="Q1538" s="1" t="s">
        <v>127</v>
      </c>
      <c r="S1538" s="16">
        <v>20</v>
      </c>
      <c r="T1538" s="1" t="s">
        <v>3740</v>
      </c>
      <c r="U1538" s="1" t="s">
        <v>1468</v>
      </c>
      <c r="V1538" s="1" t="s">
        <v>1634</v>
      </c>
      <c r="Y1538" s="1">
        <v>2948.72</v>
      </c>
      <c r="AB1538" s="1">
        <v>1370.7</v>
      </c>
    </row>
    <row r="1539" spans="2:28" x14ac:dyDescent="0.2">
      <c r="B1539" s="30" t="s">
        <v>2294</v>
      </c>
      <c r="C1539" s="36"/>
      <c r="D1539" s="36"/>
      <c r="F1539" s="1" t="s">
        <v>1447</v>
      </c>
      <c r="G1539" s="30" t="s">
        <v>3450</v>
      </c>
      <c r="K1539" s="1" t="s">
        <v>3741</v>
      </c>
      <c r="L1539" s="1" t="s">
        <v>1279</v>
      </c>
      <c r="M1539" s="36" t="s">
        <v>1511</v>
      </c>
      <c r="N1539" s="1" t="s">
        <v>1708</v>
      </c>
      <c r="O1539" s="1" t="s">
        <v>1286</v>
      </c>
      <c r="P1539" s="34" t="str">
        <f t="shared" si="26"/>
        <v>F010</v>
      </c>
      <c r="Q1539" s="1" t="s">
        <v>127</v>
      </c>
      <c r="S1539" s="16">
        <v>20</v>
      </c>
      <c r="T1539" s="1" t="s">
        <v>3101</v>
      </c>
      <c r="U1539" s="1" t="s">
        <v>1468</v>
      </c>
      <c r="V1539" s="1" t="s">
        <v>1634</v>
      </c>
      <c r="Y1539" s="1">
        <v>2948.72</v>
      </c>
      <c r="AB1539" s="1">
        <v>1370.7</v>
      </c>
    </row>
    <row r="1540" spans="2:28" x14ac:dyDescent="0.2">
      <c r="B1540" s="30" t="s">
        <v>2294</v>
      </c>
      <c r="C1540" s="36"/>
      <c r="D1540" s="36"/>
      <c r="F1540" s="1" t="s">
        <v>3102</v>
      </c>
      <c r="G1540" s="30" t="s">
        <v>3450</v>
      </c>
      <c r="K1540" s="1" t="s">
        <v>3742</v>
      </c>
      <c r="L1540" s="1" t="s">
        <v>1279</v>
      </c>
      <c r="M1540" s="36" t="s">
        <v>1511</v>
      </c>
      <c r="N1540" s="1" t="s">
        <v>2497</v>
      </c>
      <c r="O1540" s="1" t="s">
        <v>1286</v>
      </c>
      <c r="P1540" s="34" t="str">
        <f t="shared" si="26"/>
        <v>F010</v>
      </c>
      <c r="Q1540" s="1" t="s">
        <v>127</v>
      </c>
      <c r="S1540" s="16">
        <v>20</v>
      </c>
      <c r="T1540" s="1" t="s">
        <v>3743</v>
      </c>
      <c r="U1540" s="1" t="s">
        <v>1468</v>
      </c>
      <c r="V1540" s="1" t="s">
        <v>1634</v>
      </c>
      <c r="Y1540" s="1">
        <v>2948.72</v>
      </c>
      <c r="AB1540" s="1">
        <v>1370.7</v>
      </c>
    </row>
    <row r="1541" spans="2:28" x14ac:dyDescent="0.2">
      <c r="B1541" s="30" t="s">
        <v>2294</v>
      </c>
      <c r="C1541" s="36"/>
      <c r="D1541" s="36"/>
      <c r="F1541" s="1" t="s">
        <v>1416</v>
      </c>
      <c r="G1541" s="30" t="s">
        <v>3450</v>
      </c>
      <c r="K1541" s="1" t="s">
        <v>3744</v>
      </c>
      <c r="L1541" s="1" t="s">
        <v>1279</v>
      </c>
      <c r="M1541" s="36" t="s">
        <v>1511</v>
      </c>
      <c r="N1541" s="1" t="s">
        <v>1708</v>
      </c>
      <c r="O1541" s="1" t="s">
        <v>1286</v>
      </c>
      <c r="P1541" s="34" t="str">
        <f t="shared" si="26"/>
        <v>F010</v>
      </c>
      <c r="Q1541" s="1" t="s">
        <v>127</v>
      </c>
      <c r="S1541" s="16">
        <v>20</v>
      </c>
      <c r="T1541" s="1" t="s">
        <v>3209</v>
      </c>
      <c r="U1541" s="1" t="s">
        <v>1468</v>
      </c>
      <c r="V1541" s="1" t="s">
        <v>1634</v>
      </c>
      <c r="Y1541" s="1">
        <v>2948.72</v>
      </c>
      <c r="AB1541" s="1">
        <v>1370.7</v>
      </c>
    </row>
    <row r="1542" spans="2:28" x14ac:dyDescent="0.2">
      <c r="B1542" s="30" t="s">
        <v>2294</v>
      </c>
      <c r="C1542" s="36"/>
      <c r="D1542" s="36"/>
      <c r="F1542" s="1" t="s">
        <v>3210</v>
      </c>
      <c r="G1542" s="30" t="s">
        <v>3450</v>
      </c>
      <c r="K1542" s="1" t="s">
        <v>3745</v>
      </c>
      <c r="L1542" s="1" t="s">
        <v>1279</v>
      </c>
      <c r="M1542" s="36" t="s">
        <v>1511</v>
      </c>
      <c r="N1542" s="1" t="s">
        <v>1287</v>
      </c>
      <c r="O1542" s="1" t="s">
        <v>1286</v>
      </c>
      <c r="P1542" s="34" t="str">
        <f t="shared" si="26"/>
        <v>F010</v>
      </c>
      <c r="Q1542" s="1" t="s">
        <v>137</v>
      </c>
      <c r="S1542" s="16">
        <v>20</v>
      </c>
      <c r="T1542" s="1" t="s">
        <v>3705</v>
      </c>
      <c r="U1542" s="1" t="s">
        <v>1468</v>
      </c>
      <c r="V1542" s="1" t="s">
        <v>1634</v>
      </c>
      <c r="Y1542" s="1">
        <v>2948.72</v>
      </c>
      <c r="AB1542" s="1">
        <v>1370.7</v>
      </c>
    </row>
    <row r="1543" spans="2:28" x14ac:dyDescent="0.2">
      <c r="B1543" s="30" t="s">
        <v>2294</v>
      </c>
      <c r="C1543" s="36"/>
      <c r="D1543" s="36"/>
      <c r="F1543" s="1" t="s">
        <v>1680</v>
      </c>
      <c r="G1543" s="30" t="s">
        <v>3450</v>
      </c>
      <c r="K1543" s="1" t="s">
        <v>3746</v>
      </c>
      <c r="L1543" s="1" t="s">
        <v>1279</v>
      </c>
      <c r="M1543" s="36" t="s">
        <v>1511</v>
      </c>
      <c r="N1543" s="1" t="s">
        <v>1833</v>
      </c>
      <c r="O1543" s="1" t="s">
        <v>1286</v>
      </c>
      <c r="P1543" s="34" t="str">
        <f t="shared" si="26"/>
        <v>F010</v>
      </c>
      <c r="Q1543" s="1" t="s">
        <v>127</v>
      </c>
      <c r="S1543" s="16">
        <v>20</v>
      </c>
      <c r="T1543" s="1" t="s">
        <v>3747</v>
      </c>
      <c r="U1543" s="1" t="s">
        <v>1468</v>
      </c>
      <c r="V1543" s="1" t="s">
        <v>1634</v>
      </c>
      <c r="Y1543" s="1">
        <v>2948.72</v>
      </c>
      <c r="AB1543" s="1">
        <v>1370.7</v>
      </c>
    </row>
    <row r="1544" spans="2:28" x14ac:dyDescent="0.2">
      <c r="B1544" s="30" t="s">
        <v>2294</v>
      </c>
      <c r="C1544" s="36"/>
      <c r="D1544" s="36"/>
      <c r="F1544" s="1" t="s">
        <v>3748</v>
      </c>
      <c r="G1544" s="30" t="s">
        <v>3450</v>
      </c>
      <c r="K1544" s="1" t="s">
        <v>3749</v>
      </c>
      <c r="L1544" s="1" t="s">
        <v>1279</v>
      </c>
      <c r="M1544" s="36" t="s">
        <v>1511</v>
      </c>
      <c r="N1544" s="1" t="s">
        <v>1630</v>
      </c>
      <c r="O1544" s="1" t="s">
        <v>1286</v>
      </c>
      <c r="P1544" s="34" t="str">
        <f t="shared" ref="P1544:P1607" si="27">+LEFT(Q1544,4)</f>
        <v>F010</v>
      </c>
      <c r="Q1544" s="1" t="s">
        <v>127</v>
      </c>
      <c r="S1544" s="16">
        <v>20</v>
      </c>
      <c r="T1544" s="1" t="s">
        <v>3729</v>
      </c>
      <c r="U1544" s="1" t="s">
        <v>1468</v>
      </c>
      <c r="V1544" s="1" t="s">
        <v>1634</v>
      </c>
      <c r="Y1544" s="1">
        <v>2948.72</v>
      </c>
      <c r="AB1544" s="1">
        <v>1370.7</v>
      </c>
    </row>
    <row r="1545" spans="2:28" x14ac:dyDescent="0.2">
      <c r="B1545" s="30" t="s">
        <v>2294</v>
      </c>
      <c r="C1545" s="36"/>
      <c r="D1545" s="36"/>
      <c r="F1545" s="1" t="s">
        <v>1445</v>
      </c>
      <c r="G1545" s="30" t="s">
        <v>3450</v>
      </c>
      <c r="K1545" s="1" t="s">
        <v>3750</v>
      </c>
      <c r="L1545" s="1" t="s">
        <v>1279</v>
      </c>
      <c r="M1545" s="36" t="s">
        <v>1511</v>
      </c>
      <c r="N1545" s="1" t="s">
        <v>1587</v>
      </c>
      <c r="O1545" s="1" t="s">
        <v>1286</v>
      </c>
      <c r="P1545" s="34" t="str">
        <f t="shared" si="27"/>
        <v>F010</v>
      </c>
      <c r="Q1545" s="1" t="s">
        <v>127</v>
      </c>
      <c r="S1545" s="16">
        <v>20</v>
      </c>
      <c r="T1545" s="1" t="s">
        <v>3239</v>
      </c>
      <c r="U1545" s="1" t="s">
        <v>1468</v>
      </c>
      <c r="V1545" s="1" t="s">
        <v>1634</v>
      </c>
      <c r="Y1545" s="1">
        <v>2948.72</v>
      </c>
      <c r="AB1545" s="1">
        <v>1370.7</v>
      </c>
    </row>
    <row r="1546" spans="2:28" x14ac:dyDescent="0.2">
      <c r="B1546" s="30" t="s">
        <v>2294</v>
      </c>
      <c r="C1546" s="36"/>
      <c r="D1546" s="36"/>
      <c r="F1546" s="1" t="s">
        <v>3240</v>
      </c>
      <c r="G1546" s="30" t="s">
        <v>3450</v>
      </c>
      <c r="K1546" s="1" t="s">
        <v>3751</v>
      </c>
      <c r="L1546" s="1" t="s">
        <v>1279</v>
      </c>
      <c r="M1546" s="36" t="s">
        <v>1511</v>
      </c>
      <c r="N1546" s="1" t="s">
        <v>1658</v>
      </c>
      <c r="O1546" s="1" t="s">
        <v>1286</v>
      </c>
      <c r="P1546" s="34" t="str">
        <f t="shared" si="27"/>
        <v>F010</v>
      </c>
      <c r="Q1546" s="1" t="s">
        <v>137</v>
      </c>
      <c r="S1546" s="16">
        <v>20</v>
      </c>
      <c r="T1546" s="1" t="s">
        <v>3740</v>
      </c>
      <c r="U1546" s="1" t="s">
        <v>1468</v>
      </c>
      <c r="V1546" s="1" t="s">
        <v>1634</v>
      </c>
      <c r="Y1546" s="1">
        <v>2948.72</v>
      </c>
      <c r="AB1546" s="1">
        <v>1370.7</v>
      </c>
    </row>
    <row r="1547" spans="2:28" x14ac:dyDescent="0.2">
      <c r="B1547" s="30" t="s">
        <v>2294</v>
      </c>
      <c r="C1547" s="36"/>
      <c r="D1547" s="36"/>
      <c r="F1547" s="1" t="s">
        <v>1447</v>
      </c>
      <c r="G1547" s="30" t="s">
        <v>3450</v>
      </c>
      <c r="K1547" s="1" t="s">
        <v>3752</v>
      </c>
      <c r="L1547" s="1" t="s">
        <v>1279</v>
      </c>
      <c r="M1547" s="36" t="s">
        <v>1511</v>
      </c>
      <c r="N1547" s="1" t="s">
        <v>1708</v>
      </c>
      <c r="O1547" s="1" t="s">
        <v>1286</v>
      </c>
      <c r="P1547" s="34" t="str">
        <f t="shared" si="27"/>
        <v>F010</v>
      </c>
      <c r="Q1547" s="1" t="s">
        <v>127</v>
      </c>
      <c r="S1547" s="16">
        <v>20</v>
      </c>
      <c r="T1547" s="1" t="s">
        <v>3175</v>
      </c>
      <c r="U1547" s="1" t="s">
        <v>1468</v>
      </c>
      <c r="V1547" s="1" t="s">
        <v>1634</v>
      </c>
      <c r="Y1547" s="1">
        <v>2948.72</v>
      </c>
      <c r="AB1547" s="1">
        <v>1370.7</v>
      </c>
    </row>
    <row r="1548" spans="2:28" x14ac:dyDescent="0.2">
      <c r="B1548" s="30" t="s">
        <v>2294</v>
      </c>
      <c r="C1548" s="36"/>
      <c r="D1548" s="36"/>
      <c r="F1548" s="1" t="s">
        <v>3176</v>
      </c>
      <c r="G1548" s="30" t="s">
        <v>3450</v>
      </c>
      <c r="K1548" s="1" t="s">
        <v>3753</v>
      </c>
      <c r="L1548" s="1" t="s">
        <v>1279</v>
      </c>
      <c r="M1548" s="36" t="s">
        <v>1511</v>
      </c>
      <c r="N1548" s="1" t="s">
        <v>1284</v>
      </c>
      <c r="O1548" s="1" t="s">
        <v>1286</v>
      </c>
      <c r="P1548" s="34" t="str">
        <f t="shared" si="27"/>
        <v>F010</v>
      </c>
      <c r="Q1548" s="1" t="s">
        <v>127</v>
      </c>
      <c r="S1548" s="16">
        <v>20</v>
      </c>
      <c r="T1548" s="1" t="s">
        <v>3708</v>
      </c>
      <c r="U1548" s="1" t="s">
        <v>1468</v>
      </c>
      <c r="V1548" s="1" t="s">
        <v>1634</v>
      </c>
      <c r="Y1548" s="1">
        <v>2948.72</v>
      </c>
      <c r="AB1548" s="1">
        <v>1370.7</v>
      </c>
    </row>
    <row r="1549" spans="2:28" x14ac:dyDescent="0.2">
      <c r="B1549" s="30" t="s">
        <v>2294</v>
      </c>
      <c r="C1549" s="36"/>
      <c r="D1549" s="36"/>
      <c r="F1549" s="1" t="s">
        <v>1384</v>
      </c>
      <c r="G1549" s="30" t="s">
        <v>3450</v>
      </c>
      <c r="K1549" s="1" t="s">
        <v>3754</v>
      </c>
      <c r="L1549" s="1" t="s">
        <v>1279</v>
      </c>
      <c r="M1549" s="36" t="s">
        <v>1511</v>
      </c>
      <c r="N1549" s="1" t="s">
        <v>1658</v>
      </c>
      <c r="O1549" s="1" t="s">
        <v>1286</v>
      </c>
      <c r="P1549" s="34" t="str">
        <f t="shared" si="27"/>
        <v>F010</v>
      </c>
      <c r="Q1549" s="1" t="s">
        <v>137</v>
      </c>
      <c r="S1549" s="16">
        <v>20</v>
      </c>
      <c r="T1549" s="1" t="s">
        <v>3079</v>
      </c>
      <c r="U1549" s="1" t="s">
        <v>1468</v>
      </c>
      <c r="V1549" s="1" t="s">
        <v>1634</v>
      </c>
      <c r="Y1549" s="1">
        <v>2948.72</v>
      </c>
      <c r="AB1549" s="1">
        <v>1370.7</v>
      </c>
    </row>
    <row r="1550" spans="2:28" x14ac:dyDescent="0.2">
      <c r="B1550" s="30" t="s">
        <v>2294</v>
      </c>
      <c r="C1550" s="36"/>
      <c r="D1550" s="36"/>
      <c r="F1550" s="1" t="s">
        <v>3080</v>
      </c>
      <c r="G1550" s="30" t="s">
        <v>3450</v>
      </c>
      <c r="K1550" s="1" t="s">
        <v>3755</v>
      </c>
      <c r="L1550" s="1" t="s">
        <v>1279</v>
      </c>
      <c r="M1550" s="36" t="s">
        <v>1511</v>
      </c>
      <c r="N1550" s="1" t="s">
        <v>1658</v>
      </c>
      <c r="O1550" s="1" t="s">
        <v>1286</v>
      </c>
      <c r="P1550" s="34" t="str">
        <f t="shared" si="27"/>
        <v>F010</v>
      </c>
      <c r="Q1550" s="1" t="s">
        <v>137</v>
      </c>
      <c r="S1550" s="16">
        <v>20</v>
      </c>
      <c r="T1550" s="1" t="s">
        <v>3705</v>
      </c>
      <c r="U1550" s="1" t="s">
        <v>1468</v>
      </c>
      <c r="V1550" s="1" t="s">
        <v>1634</v>
      </c>
      <c r="Y1550" s="1">
        <v>2948.72</v>
      </c>
      <c r="AB1550" s="1">
        <v>1370.7</v>
      </c>
    </row>
    <row r="1551" spans="2:28" x14ac:dyDescent="0.2">
      <c r="B1551" s="30" t="s">
        <v>2294</v>
      </c>
      <c r="C1551" s="36"/>
      <c r="D1551" s="36"/>
      <c r="F1551" s="1" t="s">
        <v>1680</v>
      </c>
      <c r="G1551" s="30" t="s">
        <v>3450</v>
      </c>
      <c r="K1551" s="1" t="s">
        <v>3756</v>
      </c>
      <c r="L1551" s="1" t="s">
        <v>1279</v>
      </c>
      <c r="M1551" s="36" t="s">
        <v>1511</v>
      </c>
      <c r="N1551" s="1" t="s">
        <v>2543</v>
      </c>
      <c r="O1551" s="1" t="s">
        <v>1286</v>
      </c>
      <c r="P1551" s="34" t="str">
        <f t="shared" si="27"/>
        <v>F010</v>
      </c>
      <c r="Q1551" s="1" t="s">
        <v>137</v>
      </c>
      <c r="S1551" s="16">
        <v>20</v>
      </c>
      <c r="T1551" s="1" t="s">
        <v>3396</v>
      </c>
      <c r="U1551" s="1" t="s">
        <v>1468</v>
      </c>
      <c r="V1551" s="1" t="s">
        <v>1634</v>
      </c>
      <c r="Y1551" s="1">
        <v>2948.72</v>
      </c>
      <c r="AB1551" s="1">
        <v>1370.7</v>
      </c>
    </row>
    <row r="1552" spans="2:28" x14ac:dyDescent="0.2">
      <c r="B1552" s="30" t="s">
        <v>2294</v>
      </c>
      <c r="C1552" s="36"/>
      <c r="D1552" s="36"/>
      <c r="F1552" s="1" t="s">
        <v>3397</v>
      </c>
      <c r="G1552" s="30" t="s">
        <v>3450</v>
      </c>
      <c r="K1552" s="1" t="s">
        <v>3757</v>
      </c>
      <c r="L1552" s="1" t="s">
        <v>1279</v>
      </c>
      <c r="M1552" s="36" t="s">
        <v>1511</v>
      </c>
      <c r="N1552" s="1" t="s">
        <v>2497</v>
      </c>
      <c r="O1552" s="1" t="s">
        <v>1286</v>
      </c>
      <c r="P1552" s="34" t="str">
        <f t="shared" si="27"/>
        <v>F010</v>
      </c>
      <c r="Q1552" s="1" t="s">
        <v>127</v>
      </c>
      <c r="S1552" s="16">
        <v>20</v>
      </c>
      <c r="T1552" s="1" t="s">
        <v>3740</v>
      </c>
      <c r="U1552" s="1" t="s">
        <v>1468</v>
      </c>
      <c r="V1552" s="1" t="s">
        <v>1634</v>
      </c>
      <c r="Y1552" s="1">
        <v>2948.72</v>
      </c>
      <c r="AB1552" s="1">
        <v>1370.7</v>
      </c>
    </row>
    <row r="1553" spans="2:28" x14ac:dyDescent="0.2">
      <c r="B1553" s="30" t="s">
        <v>2294</v>
      </c>
      <c r="C1553" s="36"/>
      <c r="D1553" s="36"/>
      <c r="F1553" s="1" t="s">
        <v>1447</v>
      </c>
      <c r="G1553" s="30" t="s">
        <v>3450</v>
      </c>
      <c r="K1553" s="1" t="s">
        <v>3758</v>
      </c>
      <c r="L1553" s="1" t="s">
        <v>1279</v>
      </c>
      <c r="M1553" s="36" t="s">
        <v>1511</v>
      </c>
      <c r="N1553" s="1" t="s">
        <v>1715</v>
      </c>
      <c r="O1553" s="1" t="s">
        <v>1286</v>
      </c>
      <c r="P1553" s="34" t="str">
        <f t="shared" si="27"/>
        <v>F010</v>
      </c>
      <c r="Q1553" s="1" t="s">
        <v>127</v>
      </c>
      <c r="S1553" s="16">
        <v>20</v>
      </c>
      <c r="T1553" s="1" t="s">
        <v>3759</v>
      </c>
      <c r="U1553" s="1" t="s">
        <v>1468</v>
      </c>
      <c r="V1553" s="1" t="s">
        <v>1634</v>
      </c>
      <c r="Y1553" s="1">
        <v>2948.72</v>
      </c>
      <c r="AB1553" s="1">
        <v>1370.7</v>
      </c>
    </row>
    <row r="1554" spans="2:28" x14ac:dyDescent="0.2">
      <c r="B1554" s="30" t="s">
        <v>2294</v>
      </c>
      <c r="C1554" s="36"/>
      <c r="D1554" s="36"/>
      <c r="F1554" s="1" t="s">
        <v>3760</v>
      </c>
      <c r="G1554" s="30" t="s">
        <v>3450</v>
      </c>
      <c r="K1554" s="1" t="s">
        <v>3761</v>
      </c>
      <c r="L1554" s="1" t="s">
        <v>1279</v>
      </c>
      <c r="M1554" s="36" t="s">
        <v>1511</v>
      </c>
      <c r="N1554" s="1" t="s">
        <v>1286</v>
      </c>
      <c r="O1554" s="1" t="s">
        <v>1286</v>
      </c>
      <c r="P1554" s="34" t="str">
        <f t="shared" si="27"/>
        <v>F010</v>
      </c>
      <c r="Q1554" s="1" t="s">
        <v>137</v>
      </c>
      <c r="S1554" s="16">
        <v>20</v>
      </c>
      <c r="T1554" s="1" t="s">
        <v>3307</v>
      </c>
      <c r="U1554" s="1" t="s">
        <v>1468</v>
      </c>
      <c r="V1554" s="1" t="s">
        <v>1634</v>
      </c>
      <c r="Y1554" s="1">
        <v>2948.72</v>
      </c>
      <c r="AB1554" s="1">
        <v>1370.7</v>
      </c>
    </row>
    <row r="1555" spans="2:28" x14ac:dyDescent="0.2">
      <c r="B1555" s="30" t="s">
        <v>2294</v>
      </c>
      <c r="C1555" s="36"/>
      <c r="D1555" s="36"/>
      <c r="F1555" s="1" t="s">
        <v>1340</v>
      </c>
      <c r="G1555" s="30" t="s">
        <v>3450</v>
      </c>
      <c r="K1555" s="1" t="s">
        <v>3762</v>
      </c>
      <c r="L1555" s="1" t="s">
        <v>1279</v>
      </c>
      <c r="M1555" s="36" t="s">
        <v>1511</v>
      </c>
      <c r="N1555" s="1" t="s">
        <v>1286</v>
      </c>
      <c r="O1555" s="1" t="s">
        <v>1286</v>
      </c>
      <c r="P1555" s="34" t="str">
        <f t="shared" si="27"/>
        <v>F010</v>
      </c>
      <c r="Q1555" s="1" t="s">
        <v>137</v>
      </c>
      <c r="S1555" s="16">
        <v>20</v>
      </c>
      <c r="T1555" s="1" t="s">
        <v>3074</v>
      </c>
      <c r="U1555" s="1" t="s">
        <v>1468</v>
      </c>
      <c r="V1555" s="1" t="s">
        <v>1634</v>
      </c>
      <c r="Y1555" s="1">
        <v>2948.72</v>
      </c>
      <c r="AB1555" s="1">
        <v>1370.7</v>
      </c>
    </row>
    <row r="1556" spans="2:28" x14ac:dyDescent="0.2">
      <c r="B1556" s="30" t="s">
        <v>2294</v>
      </c>
      <c r="C1556" s="36"/>
      <c r="D1556" s="36"/>
      <c r="F1556" s="1" t="s">
        <v>3075</v>
      </c>
      <c r="G1556" s="30" t="s">
        <v>3450</v>
      </c>
      <c r="K1556" s="1" t="s">
        <v>3763</v>
      </c>
      <c r="L1556" s="1" t="s">
        <v>1279</v>
      </c>
      <c r="M1556" s="36" t="s">
        <v>1511</v>
      </c>
      <c r="N1556" s="1" t="s">
        <v>1286</v>
      </c>
      <c r="O1556" s="1" t="s">
        <v>1286</v>
      </c>
      <c r="P1556" s="34" t="str">
        <f t="shared" si="27"/>
        <v>F010</v>
      </c>
      <c r="Q1556" s="1" t="s">
        <v>137</v>
      </c>
      <c r="S1556" s="16">
        <v>20</v>
      </c>
      <c r="T1556" s="1" t="s">
        <v>3729</v>
      </c>
      <c r="U1556" s="1" t="s">
        <v>1468</v>
      </c>
      <c r="V1556" s="1" t="s">
        <v>1634</v>
      </c>
      <c r="Y1556" s="1">
        <v>2948.72</v>
      </c>
      <c r="AB1556" s="1">
        <v>1370.7</v>
      </c>
    </row>
    <row r="1557" spans="2:28" x14ac:dyDescent="0.2">
      <c r="B1557" s="30" t="s">
        <v>2294</v>
      </c>
      <c r="C1557" s="36"/>
      <c r="D1557" s="36"/>
      <c r="F1557" s="1" t="s">
        <v>1445</v>
      </c>
      <c r="G1557" s="30" t="s">
        <v>3450</v>
      </c>
      <c r="K1557" s="1" t="s">
        <v>3764</v>
      </c>
      <c r="L1557" s="1" t="s">
        <v>1279</v>
      </c>
      <c r="M1557" s="36" t="s">
        <v>1511</v>
      </c>
      <c r="N1557" s="1" t="s">
        <v>1577</v>
      </c>
      <c r="O1557" s="1" t="s">
        <v>1286</v>
      </c>
      <c r="P1557" s="34" t="str">
        <f t="shared" si="27"/>
        <v>F010</v>
      </c>
      <c r="Q1557" s="1" t="s">
        <v>137</v>
      </c>
      <c r="S1557" s="16">
        <v>20</v>
      </c>
      <c r="T1557" s="1" t="s">
        <v>3115</v>
      </c>
      <c r="U1557" s="1" t="s">
        <v>1468</v>
      </c>
      <c r="V1557" s="1" t="s">
        <v>1634</v>
      </c>
      <c r="Y1557" s="1">
        <v>2948.72</v>
      </c>
      <c r="AB1557" s="1">
        <v>1370.7</v>
      </c>
    </row>
    <row r="1558" spans="2:28" x14ac:dyDescent="0.2">
      <c r="B1558" s="30" t="s">
        <v>2294</v>
      </c>
      <c r="C1558" s="36"/>
      <c r="D1558" s="36"/>
      <c r="F1558" s="1" t="s">
        <v>3116</v>
      </c>
      <c r="G1558" s="30" t="s">
        <v>3450</v>
      </c>
      <c r="K1558" s="1" t="s">
        <v>3765</v>
      </c>
      <c r="L1558" s="1" t="s">
        <v>1279</v>
      </c>
      <c r="M1558" s="36" t="s">
        <v>1511</v>
      </c>
      <c r="N1558" s="1" t="s">
        <v>1286</v>
      </c>
      <c r="O1558" s="1" t="s">
        <v>1286</v>
      </c>
      <c r="P1558" s="34" t="str">
        <f t="shared" si="27"/>
        <v>F010</v>
      </c>
      <c r="Q1558" s="1" t="s">
        <v>137</v>
      </c>
      <c r="S1558" s="16">
        <v>20</v>
      </c>
      <c r="T1558" s="1" t="s">
        <v>3740</v>
      </c>
      <c r="U1558" s="1" t="s">
        <v>1468</v>
      </c>
      <c r="V1558" s="1" t="s">
        <v>1634</v>
      </c>
      <c r="Y1558" s="1">
        <v>2948.72</v>
      </c>
      <c r="AB1558" s="1">
        <v>1370.7</v>
      </c>
    </row>
    <row r="1559" spans="2:28" x14ac:dyDescent="0.2">
      <c r="B1559" s="30" t="s">
        <v>2294</v>
      </c>
      <c r="C1559" s="36"/>
      <c r="D1559" s="36"/>
      <c r="F1559" s="1" t="s">
        <v>1447</v>
      </c>
      <c r="G1559" s="30" t="s">
        <v>3450</v>
      </c>
      <c r="K1559" s="1" t="s">
        <v>3766</v>
      </c>
      <c r="L1559" s="1" t="s">
        <v>1279</v>
      </c>
      <c r="M1559" s="36" t="s">
        <v>1511</v>
      </c>
      <c r="N1559" s="1" t="s">
        <v>1287</v>
      </c>
      <c r="O1559" s="1" t="s">
        <v>1286</v>
      </c>
      <c r="P1559" s="34" t="str">
        <f t="shared" si="27"/>
        <v>F010</v>
      </c>
      <c r="Q1559" s="1" t="s">
        <v>137</v>
      </c>
      <c r="S1559" s="16">
        <v>20</v>
      </c>
      <c r="T1559" s="1" t="s">
        <v>3074</v>
      </c>
      <c r="U1559" s="1" t="s">
        <v>1468</v>
      </c>
      <c r="V1559" s="1" t="s">
        <v>1634</v>
      </c>
      <c r="Y1559" s="1">
        <v>2948.72</v>
      </c>
      <c r="AB1559" s="1">
        <v>1370.7</v>
      </c>
    </row>
    <row r="1560" spans="2:28" x14ac:dyDescent="0.2">
      <c r="B1560" s="30" t="s">
        <v>2294</v>
      </c>
      <c r="C1560" s="36"/>
      <c r="D1560" s="36"/>
      <c r="F1560" s="1" t="s">
        <v>3075</v>
      </c>
      <c r="G1560" s="30" t="s">
        <v>3450</v>
      </c>
      <c r="K1560" s="1" t="s">
        <v>3767</v>
      </c>
      <c r="L1560" s="1" t="s">
        <v>1279</v>
      </c>
      <c r="M1560" s="36" t="s">
        <v>1511</v>
      </c>
      <c r="N1560" s="1" t="s">
        <v>1286</v>
      </c>
      <c r="O1560" s="1" t="s">
        <v>1286</v>
      </c>
      <c r="P1560" s="34" t="str">
        <f t="shared" si="27"/>
        <v>F010</v>
      </c>
      <c r="Q1560" s="1" t="s">
        <v>137</v>
      </c>
      <c r="S1560" s="16">
        <v>20</v>
      </c>
      <c r="T1560" s="1" t="s">
        <v>3705</v>
      </c>
      <c r="U1560" s="1" t="s">
        <v>1468</v>
      </c>
      <c r="V1560" s="1" t="s">
        <v>1634</v>
      </c>
      <c r="Y1560" s="1">
        <v>2948.72</v>
      </c>
      <c r="AB1560" s="1">
        <v>1370.7</v>
      </c>
    </row>
    <row r="1561" spans="2:28" x14ac:dyDescent="0.2">
      <c r="B1561" s="30" t="s">
        <v>2294</v>
      </c>
      <c r="C1561" s="36"/>
      <c r="D1561" s="36"/>
      <c r="F1561" s="1" t="s">
        <v>1680</v>
      </c>
      <c r="G1561" s="30" t="s">
        <v>3450</v>
      </c>
      <c r="K1561" s="1" t="s">
        <v>3768</v>
      </c>
      <c r="L1561" s="1" t="s">
        <v>1279</v>
      </c>
      <c r="M1561" s="36" t="s">
        <v>1511</v>
      </c>
      <c r="N1561" s="1" t="s">
        <v>3769</v>
      </c>
      <c r="O1561" s="1" t="s">
        <v>1286</v>
      </c>
      <c r="P1561" s="34" t="str">
        <f t="shared" si="27"/>
        <v>F010</v>
      </c>
      <c r="Q1561" s="1" t="s">
        <v>137</v>
      </c>
      <c r="S1561" s="16">
        <v>20</v>
      </c>
      <c r="T1561" s="1" t="s">
        <v>3152</v>
      </c>
      <c r="U1561" s="1" t="s">
        <v>1468</v>
      </c>
      <c r="V1561" s="1" t="s">
        <v>1634</v>
      </c>
      <c r="Y1561" s="1">
        <v>2948.72</v>
      </c>
      <c r="AB1561" s="1">
        <v>1370.7</v>
      </c>
    </row>
    <row r="1562" spans="2:28" x14ac:dyDescent="0.2">
      <c r="B1562" s="30" t="s">
        <v>2294</v>
      </c>
      <c r="C1562" s="36"/>
      <c r="D1562" s="36"/>
      <c r="F1562" s="1" t="s">
        <v>3153</v>
      </c>
      <c r="G1562" s="30" t="s">
        <v>3450</v>
      </c>
      <c r="K1562" s="1" t="s">
        <v>3770</v>
      </c>
      <c r="L1562" s="1" t="s">
        <v>1279</v>
      </c>
      <c r="M1562" s="36" t="s">
        <v>1511</v>
      </c>
      <c r="N1562" s="1" t="s">
        <v>1286</v>
      </c>
      <c r="O1562" s="1" t="s">
        <v>1286</v>
      </c>
      <c r="P1562" s="34" t="str">
        <f t="shared" si="27"/>
        <v>F010</v>
      </c>
      <c r="Q1562" s="1" t="s">
        <v>137</v>
      </c>
      <c r="S1562" s="16">
        <v>20</v>
      </c>
      <c r="T1562" s="1" t="s">
        <v>2299</v>
      </c>
      <c r="U1562" s="1" t="s">
        <v>1468</v>
      </c>
      <c r="V1562" s="1" t="s">
        <v>1634</v>
      </c>
      <c r="Y1562" s="1">
        <v>2948.72</v>
      </c>
      <c r="AB1562" s="1">
        <v>1370.7</v>
      </c>
    </row>
    <row r="1563" spans="2:28" x14ac:dyDescent="0.2">
      <c r="B1563" s="30" t="s">
        <v>2294</v>
      </c>
      <c r="C1563" s="36"/>
      <c r="D1563" s="36"/>
      <c r="F1563" s="1" t="s">
        <v>1322</v>
      </c>
      <c r="G1563" s="30" t="s">
        <v>3450</v>
      </c>
      <c r="K1563" s="1" t="s">
        <v>3771</v>
      </c>
      <c r="L1563" s="1" t="s">
        <v>1279</v>
      </c>
      <c r="M1563" s="36" t="s">
        <v>1511</v>
      </c>
      <c r="N1563" s="1" t="s">
        <v>2611</v>
      </c>
      <c r="O1563" s="1" t="s">
        <v>1286</v>
      </c>
      <c r="P1563" s="34" t="str">
        <f t="shared" si="27"/>
        <v>F010</v>
      </c>
      <c r="Q1563" s="1" t="s">
        <v>137</v>
      </c>
      <c r="S1563" s="16">
        <v>20</v>
      </c>
      <c r="T1563" s="1" t="s">
        <v>3119</v>
      </c>
      <c r="U1563" s="1" t="s">
        <v>1468</v>
      </c>
      <c r="V1563" s="1" t="s">
        <v>1634</v>
      </c>
      <c r="Y1563" s="1">
        <v>2948.72</v>
      </c>
      <c r="AB1563" s="1">
        <v>1370.7</v>
      </c>
    </row>
    <row r="1564" spans="2:28" x14ac:dyDescent="0.2">
      <c r="B1564" s="30" t="s">
        <v>2294</v>
      </c>
      <c r="C1564" s="36"/>
      <c r="D1564" s="36"/>
      <c r="F1564" s="1" t="s">
        <v>3120</v>
      </c>
      <c r="G1564" s="30" t="s">
        <v>3450</v>
      </c>
      <c r="K1564" s="1" t="s">
        <v>3772</v>
      </c>
      <c r="L1564" s="1" t="s">
        <v>1279</v>
      </c>
      <c r="M1564" s="36" t="s">
        <v>1511</v>
      </c>
      <c r="N1564" s="1" t="s">
        <v>1287</v>
      </c>
      <c r="O1564" s="1" t="s">
        <v>1286</v>
      </c>
      <c r="P1564" s="34" t="str">
        <f t="shared" si="27"/>
        <v>F010</v>
      </c>
      <c r="Q1564" s="1" t="s">
        <v>137</v>
      </c>
      <c r="S1564" s="16">
        <v>20</v>
      </c>
      <c r="T1564" s="1" t="s">
        <v>2299</v>
      </c>
      <c r="U1564" s="1" t="s">
        <v>1468</v>
      </c>
      <c r="V1564" s="1" t="s">
        <v>1634</v>
      </c>
      <c r="Y1564" s="1">
        <v>2948.72</v>
      </c>
      <c r="AB1564" s="1">
        <v>1370.7</v>
      </c>
    </row>
    <row r="1565" spans="2:28" x14ac:dyDescent="0.2">
      <c r="B1565" s="30" t="s">
        <v>2294</v>
      </c>
      <c r="C1565" s="36"/>
      <c r="D1565" s="36"/>
      <c r="F1565" s="1" t="s">
        <v>1322</v>
      </c>
      <c r="G1565" s="30" t="s">
        <v>3450</v>
      </c>
      <c r="K1565" s="1" t="s">
        <v>3773</v>
      </c>
      <c r="L1565" s="1" t="s">
        <v>1279</v>
      </c>
      <c r="M1565" s="36" t="s">
        <v>1511</v>
      </c>
      <c r="N1565" s="1" t="s">
        <v>1287</v>
      </c>
      <c r="O1565" s="1" t="s">
        <v>1286</v>
      </c>
      <c r="P1565" s="34" t="str">
        <f t="shared" si="27"/>
        <v>F010</v>
      </c>
      <c r="Q1565" s="1" t="s">
        <v>137</v>
      </c>
      <c r="S1565" s="16">
        <v>20</v>
      </c>
      <c r="T1565" s="1" t="s">
        <v>3577</v>
      </c>
      <c r="U1565" s="1" t="s">
        <v>1468</v>
      </c>
      <c r="V1565" s="1" t="s">
        <v>1634</v>
      </c>
      <c r="Y1565" s="1">
        <v>2948.72</v>
      </c>
      <c r="AB1565" s="1">
        <v>1370.7</v>
      </c>
    </row>
    <row r="1566" spans="2:28" x14ac:dyDescent="0.2">
      <c r="B1566" s="30" t="s">
        <v>2294</v>
      </c>
      <c r="C1566" s="36"/>
      <c r="D1566" s="36"/>
      <c r="F1566" s="1" t="s">
        <v>3578</v>
      </c>
      <c r="G1566" s="30" t="s">
        <v>3450</v>
      </c>
      <c r="K1566" s="1" t="s">
        <v>3774</v>
      </c>
      <c r="L1566" s="1" t="s">
        <v>1279</v>
      </c>
      <c r="M1566" s="36" t="s">
        <v>1511</v>
      </c>
      <c r="N1566" s="1" t="s">
        <v>1287</v>
      </c>
      <c r="O1566" s="1" t="s">
        <v>1286</v>
      </c>
      <c r="P1566" s="34" t="str">
        <f t="shared" si="27"/>
        <v>F010</v>
      </c>
      <c r="Q1566" s="1" t="s">
        <v>137</v>
      </c>
      <c r="S1566" s="16">
        <v>20</v>
      </c>
      <c r="T1566" s="1" t="s">
        <v>2299</v>
      </c>
      <c r="U1566" s="1" t="s">
        <v>1468</v>
      </c>
      <c r="V1566" s="1" t="s">
        <v>1634</v>
      </c>
      <c r="Y1566" s="1">
        <v>2948.72</v>
      </c>
      <c r="AB1566" s="1">
        <v>1370.7</v>
      </c>
    </row>
    <row r="1567" spans="2:28" x14ac:dyDescent="0.2">
      <c r="B1567" s="30" t="s">
        <v>2294</v>
      </c>
      <c r="C1567" s="36"/>
      <c r="D1567" s="36"/>
      <c r="F1567" s="1" t="s">
        <v>1322</v>
      </c>
      <c r="G1567" s="30" t="s">
        <v>3450</v>
      </c>
      <c r="K1567" s="1" t="s">
        <v>3775</v>
      </c>
      <c r="L1567" s="1" t="s">
        <v>1279</v>
      </c>
      <c r="M1567" s="36" t="s">
        <v>1511</v>
      </c>
      <c r="N1567" s="1" t="s">
        <v>1287</v>
      </c>
      <c r="O1567" s="1" t="s">
        <v>1286</v>
      </c>
      <c r="P1567" s="34" t="str">
        <f t="shared" si="27"/>
        <v>F010</v>
      </c>
      <c r="Q1567" s="1" t="s">
        <v>137</v>
      </c>
      <c r="S1567" s="16">
        <v>20</v>
      </c>
      <c r="T1567" s="1" t="s">
        <v>3209</v>
      </c>
      <c r="U1567" s="1" t="s">
        <v>1468</v>
      </c>
      <c r="V1567" s="1" t="s">
        <v>1634</v>
      </c>
      <c r="Y1567" s="1">
        <v>2948.72</v>
      </c>
      <c r="AB1567" s="1">
        <v>1370.7</v>
      </c>
    </row>
    <row r="1568" spans="2:28" x14ac:dyDescent="0.2">
      <c r="B1568" s="30" t="s">
        <v>2294</v>
      </c>
      <c r="C1568" s="36"/>
      <c r="D1568" s="36"/>
      <c r="F1568" s="1" t="s">
        <v>3210</v>
      </c>
      <c r="G1568" s="30" t="s">
        <v>3450</v>
      </c>
      <c r="K1568" s="1" t="s">
        <v>3776</v>
      </c>
      <c r="L1568" s="1" t="s">
        <v>1279</v>
      </c>
      <c r="M1568" s="36" t="s">
        <v>1511</v>
      </c>
      <c r="N1568" s="1" t="s">
        <v>1287</v>
      </c>
      <c r="O1568" s="1" t="s">
        <v>1286</v>
      </c>
      <c r="P1568" s="34" t="str">
        <f t="shared" si="27"/>
        <v>F010</v>
      </c>
      <c r="Q1568" s="1" t="s">
        <v>137</v>
      </c>
      <c r="S1568" s="16">
        <v>20</v>
      </c>
      <c r="T1568" s="1" t="s">
        <v>2299</v>
      </c>
      <c r="U1568" s="1" t="s">
        <v>1468</v>
      </c>
      <c r="V1568" s="1" t="s">
        <v>1634</v>
      </c>
      <c r="Y1568" s="1">
        <v>2948.72</v>
      </c>
      <c r="AB1568" s="1">
        <v>1370.7</v>
      </c>
    </row>
    <row r="1569" spans="2:28" x14ac:dyDescent="0.2">
      <c r="B1569" s="30" t="s">
        <v>2294</v>
      </c>
      <c r="C1569" s="36"/>
      <c r="D1569" s="36"/>
      <c r="F1569" s="1" t="s">
        <v>1322</v>
      </c>
      <c r="G1569" s="30" t="s">
        <v>3450</v>
      </c>
      <c r="K1569" s="1" t="s">
        <v>3777</v>
      </c>
      <c r="L1569" s="1" t="s">
        <v>1279</v>
      </c>
      <c r="M1569" s="36" t="s">
        <v>1511</v>
      </c>
      <c r="N1569" s="1" t="s">
        <v>1577</v>
      </c>
      <c r="O1569" s="1" t="s">
        <v>1286</v>
      </c>
      <c r="P1569" s="34" t="str">
        <f t="shared" si="27"/>
        <v>F010</v>
      </c>
      <c r="Q1569" s="1" t="s">
        <v>137</v>
      </c>
      <c r="S1569" s="16">
        <v>20</v>
      </c>
      <c r="T1569" s="1" t="s">
        <v>3563</v>
      </c>
      <c r="U1569" s="1" t="s">
        <v>1468</v>
      </c>
      <c r="V1569" s="1" t="s">
        <v>1634</v>
      </c>
      <c r="Y1569" s="1">
        <v>2948.72</v>
      </c>
      <c r="AB1569" s="1">
        <v>1370.7</v>
      </c>
    </row>
    <row r="1570" spans="2:28" x14ac:dyDescent="0.2">
      <c r="B1570" s="30" t="s">
        <v>2294</v>
      </c>
      <c r="C1570" s="36"/>
      <c r="D1570" s="36"/>
      <c r="F1570" s="1" t="s">
        <v>3564</v>
      </c>
      <c r="G1570" s="30" t="s">
        <v>3450</v>
      </c>
      <c r="K1570" s="1" t="s">
        <v>3778</v>
      </c>
      <c r="L1570" s="1" t="s">
        <v>1279</v>
      </c>
      <c r="M1570" s="36" t="s">
        <v>1511</v>
      </c>
      <c r="N1570" s="1" t="s">
        <v>1286</v>
      </c>
      <c r="O1570" s="1" t="s">
        <v>1286</v>
      </c>
      <c r="P1570" s="34" t="str">
        <f t="shared" si="27"/>
        <v>F010</v>
      </c>
      <c r="Q1570" s="1" t="s">
        <v>137</v>
      </c>
      <c r="S1570" s="16">
        <v>20</v>
      </c>
      <c r="T1570" s="1" t="s">
        <v>2299</v>
      </c>
      <c r="U1570" s="1" t="s">
        <v>1468</v>
      </c>
      <c r="V1570" s="1" t="s">
        <v>1634</v>
      </c>
      <c r="Y1570" s="1">
        <v>2948.72</v>
      </c>
      <c r="AB1570" s="1">
        <v>1370.7</v>
      </c>
    </row>
    <row r="1571" spans="2:28" x14ac:dyDescent="0.2">
      <c r="B1571" s="30" t="s">
        <v>2294</v>
      </c>
      <c r="C1571" s="36"/>
      <c r="D1571" s="36"/>
      <c r="F1571" s="1" t="s">
        <v>1322</v>
      </c>
      <c r="G1571" s="30" t="s">
        <v>3450</v>
      </c>
      <c r="K1571" s="1" t="s">
        <v>3779</v>
      </c>
      <c r="L1571" s="1" t="s">
        <v>1279</v>
      </c>
      <c r="M1571" s="36" t="s">
        <v>1511</v>
      </c>
      <c r="N1571" s="1" t="s">
        <v>1286</v>
      </c>
      <c r="O1571" s="1" t="s">
        <v>1286</v>
      </c>
      <c r="P1571" s="34" t="str">
        <f t="shared" si="27"/>
        <v>F010</v>
      </c>
      <c r="Q1571" s="1" t="s">
        <v>137</v>
      </c>
      <c r="S1571" s="16">
        <v>20</v>
      </c>
      <c r="T1571" s="1" t="s">
        <v>3195</v>
      </c>
      <c r="U1571" s="1" t="s">
        <v>1468</v>
      </c>
      <c r="V1571" s="1" t="s">
        <v>1634</v>
      </c>
      <c r="Y1571" s="1">
        <v>2948.72</v>
      </c>
      <c r="AB1571" s="1">
        <v>1370.7</v>
      </c>
    </row>
    <row r="1572" spans="2:28" x14ac:dyDescent="0.2">
      <c r="B1572" s="30" t="s">
        <v>2294</v>
      </c>
      <c r="C1572" s="36"/>
      <c r="D1572" s="36"/>
      <c r="F1572" s="1" t="s">
        <v>3196</v>
      </c>
      <c r="G1572" s="30" t="s">
        <v>3450</v>
      </c>
      <c r="K1572" s="1" t="s">
        <v>3780</v>
      </c>
      <c r="L1572" s="1" t="s">
        <v>1279</v>
      </c>
      <c r="M1572" s="36" t="s">
        <v>1511</v>
      </c>
      <c r="N1572" s="1" t="s">
        <v>1287</v>
      </c>
      <c r="O1572" s="1" t="s">
        <v>1286</v>
      </c>
      <c r="P1572" s="34" t="str">
        <f t="shared" si="27"/>
        <v>F010</v>
      </c>
      <c r="Q1572" s="1" t="s">
        <v>137</v>
      </c>
      <c r="S1572" s="16">
        <v>20</v>
      </c>
      <c r="T1572" s="1" t="s">
        <v>2299</v>
      </c>
      <c r="U1572" s="1" t="s">
        <v>1468</v>
      </c>
      <c r="V1572" s="1" t="s">
        <v>1634</v>
      </c>
      <c r="Y1572" s="1">
        <v>2948.72</v>
      </c>
      <c r="AB1572" s="1">
        <v>1370.7</v>
      </c>
    </row>
    <row r="1573" spans="2:28" x14ac:dyDescent="0.2">
      <c r="B1573" s="30" t="s">
        <v>2294</v>
      </c>
      <c r="C1573" s="36"/>
      <c r="D1573" s="36"/>
      <c r="F1573" s="1" t="s">
        <v>1322</v>
      </c>
      <c r="G1573" s="30" t="s">
        <v>3450</v>
      </c>
      <c r="K1573" s="1" t="s">
        <v>3781</v>
      </c>
      <c r="L1573" s="1" t="s">
        <v>1279</v>
      </c>
      <c r="M1573" s="36" t="s">
        <v>1511</v>
      </c>
      <c r="N1573" s="1" t="s">
        <v>1287</v>
      </c>
      <c r="O1573" s="1" t="s">
        <v>1286</v>
      </c>
      <c r="P1573" s="34" t="str">
        <f t="shared" si="27"/>
        <v>F010</v>
      </c>
      <c r="Q1573" s="1" t="s">
        <v>137</v>
      </c>
      <c r="S1573" s="16">
        <v>20</v>
      </c>
      <c r="T1573" s="1" t="s">
        <v>3396</v>
      </c>
      <c r="U1573" s="1" t="s">
        <v>1468</v>
      </c>
      <c r="V1573" s="1" t="s">
        <v>1634</v>
      </c>
      <c r="Y1573" s="1">
        <v>2948.72</v>
      </c>
      <c r="AB1573" s="1">
        <v>1370.7</v>
      </c>
    </row>
    <row r="1574" spans="2:28" x14ac:dyDescent="0.2">
      <c r="B1574" s="30" t="s">
        <v>2294</v>
      </c>
      <c r="C1574" s="36"/>
      <c r="D1574" s="36"/>
      <c r="F1574" s="1" t="s">
        <v>3397</v>
      </c>
      <c r="G1574" s="30" t="s">
        <v>3450</v>
      </c>
      <c r="K1574" s="1" t="s">
        <v>3782</v>
      </c>
      <c r="L1574" s="1" t="s">
        <v>1279</v>
      </c>
      <c r="M1574" s="36" t="s">
        <v>1511</v>
      </c>
      <c r="N1574" s="1" t="s">
        <v>1577</v>
      </c>
      <c r="O1574" s="1" t="s">
        <v>1286</v>
      </c>
      <c r="P1574" s="34" t="str">
        <f t="shared" si="27"/>
        <v>F010</v>
      </c>
      <c r="Q1574" s="1" t="s">
        <v>137</v>
      </c>
      <c r="S1574" s="16">
        <v>20</v>
      </c>
      <c r="T1574" s="1" t="s">
        <v>2299</v>
      </c>
      <c r="U1574" s="1" t="s">
        <v>1468</v>
      </c>
      <c r="V1574" s="1" t="s">
        <v>1634</v>
      </c>
      <c r="Y1574" s="1">
        <v>2948.72</v>
      </c>
      <c r="AB1574" s="1">
        <v>1370.7</v>
      </c>
    </row>
    <row r="1575" spans="2:28" x14ac:dyDescent="0.2">
      <c r="B1575" s="30" t="s">
        <v>2294</v>
      </c>
      <c r="C1575" s="36"/>
      <c r="D1575" s="36"/>
      <c r="F1575" s="1" t="s">
        <v>1322</v>
      </c>
      <c r="G1575" s="30" t="s">
        <v>3450</v>
      </c>
      <c r="K1575" s="1" t="s">
        <v>3783</v>
      </c>
      <c r="L1575" s="1" t="s">
        <v>1279</v>
      </c>
      <c r="M1575" s="36" t="s">
        <v>1511</v>
      </c>
      <c r="N1575" s="1" t="s">
        <v>1286</v>
      </c>
      <c r="O1575" s="1" t="s">
        <v>1286</v>
      </c>
      <c r="P1575" s="34" t="str">
        <f t="shared" si="27"/>
        <v>F010</v>
      </c>
      <c r="Q1575" s="1" t="s">
        <v>137</v>
      </c>
      <c r="S1575" s="16">
        <v>20</v>
      </c>
      <c r="T1575" s="1" t="s">
        <v>3620</v>
      </c>
      <c r="U1575" s="1" t="s">
        <v>1468</v>
      </c>
      <c r="V1575" s="1" t="s">
        <v>1634</v>
      </c>
      <c r="Y1575" s="1">
        <v>2948.72</v>
      </c>
      <c r="AB1575" s="1">
        <v>1370.7</v>
      </c>
    </row>
    <row r="1576" spans="2:28" x14ac:dyDescent="0.2">
      <c r="B1576" s="30" t="s">
        <v>2294</v>
      </c>
      <c r="C1576" s="36"/>
      <c r="D1576" s="36"/>
      <c r="F1576" s="1" t="s">
        <v>3621</v>
      </c>
      <c r="G1576" s="30" t="s">
        <v>3450</v>
      </c>
      <c r="K1576" s="1" t="s">
        <v>3784</v>
      </c>
      <c r="L1576" s="1" t="s">
        <v>1279</v>
      </c>
      <c r="M1576" s="36" t="s">
        <v>1511</v>
      </c>
      <c r="N1576" s="1" t="s">
        <v>1287</v>
      </c>
      <c r="O1576" s="1" t="s">
        <v>1286</v>
      </c>
      <c r="P1576" s="34" t="str">
        <f t="shared" si="27"/>
        <v>F010</v>
      </c>
      <c r="Q1576" s="1" t="s">
        <v>137</v>
      </c>
      <c r="S1576" s="16">
        <v>20</v>
      </c>
      <c r="T1576" s="1" t="s">
        <v>2299</v>
      </c>
      <c r="U1576" s="1" t="s">
        <v>1468</v>
      </c>
      <c r="V1576" s="1" t="s">
        <v>1634</v>
      </c>
      <c r="Y1576" s="1">
        <v>2948.72</v>
      </c>
      <c r="AB1576" s="1">
        <v>1370.7</v>
      </c>
    </row>
    <row r="1577" spans="2:28" x14ac:dyDescent="0.2">
      <c r="B1577" s="30" t="s">
        <v>2294</v>
      </c>
      <c r="C1577" s="36"/>
      <c r="D1577" s="36"/>
      <c r="F1577" s="1" t="s">
        <v>1322</v>
      </c>
      <c r="G1577" s="30" t="s">
        <v>3450</v>
      </c>
      <c r="K1577" s="1" t="s">
        <v>3785</v>
      </c>
      <c r="L1577" s="1" t="s">
        <v>1279</v>
      </c>
      <c r="M1577" s="36" t="s">
        <v>1511</v>
      </c>
      <c r="N1577" s="1" t="s">
        <v>1287</v>
      </c>
      <c r="O1577" s="1" t="s">
        <v>1286</v>
      </c>
      <c r="P1577" s="34" t="str">
        <f t="shared" si="27"/>
        <v>F010</v>
      </c>
      <c r="Q1577" s="1" t="s">
        <v>137</v>
      </c>
      <c r="S1577" s="16">
        <v>20</v>
      </c>
      <c r="T1577" s="1" t="s">
        <v>3199</v>
      </c>
      <c r="U1577" s="1" t="s">
        <v>1468</v>
      </c>
      <c r="V1577" s="1" t="s">
        <v>1634</v>
      </c>
      <c r="Y1577" s="1">
        <v>2948.72</v>
      </c>
      <c r="AB1577" s="1">
        <v>1370.7</v>
      </c>
    </row>
    <row r="1578" spans="2:28" x14ac:dyDescent="0.2">
      <c r="B1578" s="30" t="s">
        <v>2294</v>
      </c>
      <c r="C1578" s="36"/>
      <c r="D1578" s="36"/>
      <c r="F1578" s="1" t="s">
        <v>3200</v>
      </c>
      <c r="G1578" s="30" t="s">
        <v>3450</v>
      </c>
      <c r="K1578" s="1" t="s">
        <v>3786</v>
      </c>
      <c r="L1578" s="1" t="s">
        <v>1279</v>
      </c>
      <c r="M1578" s="36" t="s">
        <v>1511</v>
      </c>
      <c r="N1578" s="1" t="s">
        <v>1577</v>
      </c>
      <c r="O1578" s="1" t="s">
        <v>1286</v>
      </c>
      <c r="P1578" s="34" t="str">
        <f t="shared" si="27"/>
        <v>F010</v>
      </c>
      <c r="Q1578" s="1" t="s">
        <v>137</v>
      </c>
      <c r="S1578" s="16">
        <v>20</v>
      </c>
      <c r="T1578" s="1" t="s">
        <v>2299</v>
      </c>
      <c r="U1578" s="1" t="s">
        <v>1468</v>
      </c>
      <c r="V1578" s="1" t="s">
        <v>1634</v>
      </c>
      <c r="Y1578" s="1">
        <v>2948.72</v>
      </c>
      <c r="AB1578" s="1">
        <v>1370.7</v>
      </c>
    </row>
    <row r="1579" spans="2:28" x14ac:dyDescent="0.2">
      <c r="B1579" s="30" t="s">
        <v>2294</v>
      </c>
      <c r="C1579" s="36"/>
      <c r="D1579" s="36"/>
      <c r="F1579" s="1" t="s">
        <v>1322</v>
      </c>
      <c r="G1579" s="30" t="s">
        <v>3450</v>
      </c>
      <c r="K1579" s="1" t="s">
        <v>3787</v>
      </c>
      <c r="L1579" s="1" t="s">
        <v>1279</v>
      </c>
      <c r="M1579" s="36" t="s">
        <v>1511</v>
      </c>
      <c r="N1579" s="1" t="s">
        <v>1286</v>
      </c>
      <c r="O1579" s="1" t="s">
        <v>1286</v>
      </c>
      <c r="P1579" s="34" t="str">
        <f t="shared" si="27"/>
        <v>F010</v>
      </c>
      <c r="Q1579" s="1" t="s">
        <v>137</v>
      </c>
      <c r="S1579" s="16">
        <v>20</v>
      </c>
      <c r="T1579" s="1" t="s">
        <v>3537</v>
      </c>
      <c r="U1579" s="1" t="s">
        <v>1468</v>
      </c>
      <c r="V1579" s="1" t="s">
        <v>1634</v>
      </c>
      <c r="Y1579" s="1">
        <v>2948.72</v>
      </c>
      <c r="AB1579" s="1">
        <v>1370.7</v>
      </c>
    </row>
    <row r="1580" spans="2:28" x14ac:dyDescent="0.2">
      <c r="B1580" s="30" t="s">
        <v>2294</v>
      </c>
      <c r="C1580" s="36"/>
      <c r="D1580" s="36"/>
      <c r="F1580" s="1" t="s">
        <v>3538</v>
      </c>
      <c r="G1580" s="30" t="s">
        <v>3450</v>
      </c>
      <c r="K1580" s="1" t="s">
        <v>3788</v>
      </c>
      <c r="L1580" s="1" t="s">
        <v>1279</v>
      </c>
      <c r="M1580" s="36" t="s">
        <v>1511</v>
      </c>
      <c r="N1580" s="1" t="s">
        <v>1286</v>
      </c>
      <c r="O1580" s="1" t="s">
        <v>1286</v>
      </c>
      <c r="P1580" s="34" t="str">
        <f t="shared" si="27"/>
        <v>F010</v>
      </c>
      <c r="Q1580" s="1" t="s">
        <v>137</v>
      </c>
      <c r="S1580" s="16">
        <v>20</v>
      </c>
      <c r="T1580" s="1" t="s">
        <v>2299</v>
      </c>
      <c r="U1580" s="1" t="s">
        <v>1468</v>
      </c>
      <c r="V1580" s="1" t="s">
        <v>1634</v>
      </c>
      <c r="Y1580" s="1">
        <v>2948.72</v>
      </c>
      <c r="AB1580" s="1">
        <v>1370.7</v>
      </c>
    </row>
    <row r="1581" spans="2:28" x14ac:dyDescent="0.2">
      <c r="B1581" s="30" t="s">
        <v>2294</v>
      </c>
      <c r="C1581" s="36"/>
      <c r="D1581" s="36"/>
      <c r="F1581" s="1" t="s">
        <v>1322</v>
      </c>
      <c r="G1581" s="30" t="s">
        <v>3450</v>
      </c>
      <c r="K1581" s="1" t="s">
        <v>3789</v>
      </c>
      <c r="L1581" s="1" t="s">
        <v>1279</v>
      </c>
      <c r="M1581" s="36" t="s">
        <v>1511</v>
      </c>
      <c r="N1581" s="1" t="s">
        <v>1286</v>
      </c>
      <c r="O1581" s="1" t="s">
        <v>1286</v>
      </c>
      <c r="P1581" s="34" t="str">
        <f t="shared" si="27"/>
        <v>F010</v>
      </c>
      <c r="Q1581" s="1" t="s">
        <v>137</v>
      </c>
      <c r="S1581" s="16">
        <v>20</v>
      </c>
      <c r="T1581" s="1" t="s">
        <v>3407</v>
      </c>
      <c r="U1581" s="1" t="s">
        <v>1468</v>
      </c>
      <c r="V1581" s="1" t="s">
        <v>1634</v>
      </c>
      <c r="Y1581" s="1">
        <v>2948.72</v>
      </c>
      <c r="AB1581" s="1">
        <v>1370.7</v>
      </c>
    </row>
    <row r="1582" spans="2:28" x14ac:dyDescent="0.2">
      <c r="B1582" s="30" t="s">
        <v>2294</v>
      </c>
      <c r="C1582" s="36"/>
      <c r="D1582" s="36"/>
      <c r="F1582" s="1" t="s">
        <v>3408</v>
      </c>
      <c r="G1582" s="30" t="s">
        <v>3450</v>
      </c>
      <c r="K1582" s="1" t="s">
        <v>3790</v>
      </c>
      <c r="L1582" s="1" t="s">
        <v>1279</v>
      </c>
      <c r="M1582" s="36" t="s">
        <v>1511</v>
      </c>
      <c r="N1582" s="1" t="s">
        <v>1287</v>
      </c>
      <c r="O1582" s="1" t="s">
        <v>1286</v>
      </c>
      <c r="P1582" s="34" t="str">
        <f t="shared" si="27"/>
        <v>F010</v>
      </c>
      <c r="Q1582" s="1" t="s">
        <v>137</v>
      </c>
      <c r="S1582" s="16">
        <v>20</v>
      </c>
      <c r="T1582" s="1" t="s">
        <v>2299</v>
      </c>
      <c r="U1582" s="1" t="s">
        <v>1468</v>
      </c>
      <c r="V1582" s="1" t="s">
        <v>1634</v>
      </c>
      <c r="Y1582" s="1">
        <v>2948.72</v>
      </c>
      <c r="AB1582" s="1">
        <v>1370.7</v>
      </c>
    </row>
    <row r="1583" spans="2:28" x14ac:dyDescent="0.2">
      <c r="B1583" s="30" t="s">
        <v>2294</v>
      </c>
      <c r="C1583" s="36"/>
      <c r="D1583" s="36"/>
      <c r="F1583" s="1" t="s">
        <v>1322</v>
      </c>
      <c r="G1583" s="30" t="s">
        <v>3450</v>
      </c>
      <c r="K1583" s="1" t="s">
        <v>3791</v>
      </c>
      <c r="L1583" s="1" t="s">
        <v>1279</v>
      </c>
      <c r="M1583" s="36" t="s">
        <v>1511</v>
      </c>
      <c r="N1583" s="1" t="s">
        <v>1286</v>
      </c>
      <c r="O1583" s="1" t="s">
        <v>1286</v>
      </c>
      <c r="P1583" s="34" t="str">
        <f t="shared" si="27"/>
        <v>F010</v>
      </c>
      <c r="Q1583" s="1" t="s">
        <v>137</v>
      </c>
      <c r="S1583" s="16">
        <v>20</v>
      </c>
      <c r="T1583" s="1" t="s">
        <v>3209</v>
      </c>
      <c r="U1583" s="1" t="s">
        <v>1468</v>
      </c>
      <c r="V1583" s="1" t="s">
        <v>1634</v>
      </c>
      <c r="Y1583" s="1">
        <v>2948.72</v>
      </c>
      <c r="AB1583" s="1">
        <v>1370.7</v>
      </c>
    </row>
    <row r="1584" spans="2:28" x14ac:dyDescent="0.2">
      <c r="B1584" s="30" t="s">
        <v>2294</v>
      </c>
      <c r="C1584" s="36"/>
      <c r="D1584" s="36"/>
      <c r="F1584" s="1" t="s">
        <v>3210</v>
      </c>
      <c r="G1584" s="30" t="s">
        <v>3450</v>
      </c>
      <c r="K1584" s="1" t="s">
        <v>3792</v>
      </c>
      <c r="L1584" s="1" t="s">
        <v>1279</v>
      </c>
      <c r="M1584" s="36" t="s">
        <v>1511</v>
      </c>
      <c r="N1584" s="1" t="s">
        <v>1577</v>
      </c>
      <c r="O1584" s="1" t="s">
        <v>1286</v>
      </c>
      <c r="P1584" s="34" t="str">
        <f t="shared" si="27"/>
        <v>F010</v>
      </c>
      <c r="Q1584" s="1" t="s">
        <v>137</v>
      </c>
      <c r="S1584" s="16">
        <v>20</v>
      </c>
      <c r="T1584" s="1" t="s">
        <v>2299</v>
      </c>
      <c r="U1584" s="1" t="s">
        <v>1468</v>
      </c>
      <c r="V1584" s="1" t="s">
        <v>1634</v>
      </c>
      <c r="Y1584" s="1">
        <v>2948.72</v>
      </c>
      <c r="AB1584" s="1">
        <v>1370.7</v>
      </c>
    </row>
    <row r="1585" spans="2:28" x14ac:dyDescent="0.2">
      <c r="B1585" s="30" t="s">
        <v>2294</v>
      </c>
      <c r="C1585" s="36"/>
      <c r="D1585" s="36"/>
      <c r="F1585" s="1" t="s">
        <v>1322</v>
      </c>
      <c r="G1585" s="30" t="s">
        <v>3450</v>
      </c>
      <c r="K1585" s="1" t="s">
        <v>3793</v>
      </c>
      <c r="L1585" s="1" t="s">
        <v>1279</v>
      </c>
      <c r="M1585" s="36" t="s">
        <v>1511</v>
      </c>
      <c r="N1585" s="1" t="s">
        <v>1286</v>
      </c>
      <c r="O1585" s="1" t="s">
        <v>1286</v>
      </c>
      <c r="P1585" s="34" t="str">
        <f t="shared" si="27"/>
        <v>F010</v>
      </c>
      <c r="Q1585" s="1" t="s">
        <v>137</v>
      </c>
      <c r="S1585" s="16">
        <v>20</v>
      </c>
      <c r="T1585" s="1" t="s">
        <v>3254</v>
      </c>
      <c r="U1585" s="1" t="s">
        <v>1468</v>
      </c>
      <c r="V1585" s="1" t="s">
        <v>1634</v>
      </c>
      <c r="Y1585" s="1">
        <v>2948.72</v>
      </c>
      <c r="AB1585" s="1">
        <v>1370.7</v>
      </c>
    </row>
    <row r="1586" spans="2:28" x14ac:dyDescent="0.2">
      <c r="B1586" s="30" t="s">
        <v>2294</v>
      </c>
      <c r="C1586" s="36"/>
      <c r="D1586" s="36"/>
      <c r="F1586" s="1" t="s">
        <v>3255</v>
      </c>
      <c r="G1586" s="30" t="s">
        <v>3450</v>
      </c>
      <c r="K1586" s="1" t="s">
        <v>3794</v>
      </c>
      <c r="L1586" s="1" t="s">
        <v>1279</v>
      </c>
      <c r="M1586" s="36" t="s">
        <v>1511</v>
      </c>
      <c r="N1586" s="1" t="s">
        <v>1287</v>
      </c>
      <c r="O1586" s="1" t="s">
        <v>1286</v>
      </c>
      <c r="P1586" s="34" t="str">
        <f t="shared" si="27"/>
        <v>F010</v>
      </c>
      <c r="Q1586" s="1" t="s">
        <v>137</v>
      </c>
      <c r="S1586" s="16">
        <v>20</v>
      </c>
      <c r="T1586" s="1" t="s">
        <v>2299</v>
      </c>
      <c r="U1586" s="1" t="s">
        <v>1468</v>
      </c>
      <c r="V1586" s="1" t="s">
        <v>1634</v>
      </c>
      <c r="Y1586" s="1">
        <v>2948.72</v>
      </c>
      <c r="AB1586" s="1">
        <v>1370.7</v>
      </c>
    </row>
    <row r="1587" spans="2:28" x14ac:dyDescent="0.2">
      <c r="B1587" s="30" t="s">
        <v>2294</v>
      </c>
      <c r="C1587" s="36"/>
      <c r="D1587" s="36"/>
      <c r="F1587" s="1" t="s">
        <v>1322</v>
      </c>
      <c r="G1587" s="30" t="s">
        <v>3450</v>
      </c>
      <c r="K1587" s="1" t="s">
        <v>3795</v>
      </c>
      <c r="L1587" s="1" t="s">
        <v>1279</v>
      </c>
      <c r="M1587" s="36" t="s">
        <v>1511</v>
      </c>
      <c r="N1587" s="1" t="s">
        <v>1286</v>
      </c>
      <c r="O1587" s="1" t="s">
        <v>1286</v>
      </c>
      <c r="P1587" s="34" t="str">
        <f t="shared" si="27"/>
        <v>F010</v>
      </c>
      <c r="Q1587" s="1" t="s">
        <v>137</v>
      </c>
      <c r="S1587" s="16">
        <v>20</v>
      </c>
      <c r="T1587" s="1" t="s">
        <v>3079</v>
      </c>
      <c r="U1587" s="1" t="s">
        <v>1468</v>
      </c>
      <c r="V1587" s="1" t="s">
        <v>1634</v>
      </c>
      <c r="Y1587" s="1">
        <v>2948.72</v>
      </c>
      <c r="AB1587" s="1">
        <v>1370.7</v>
      </c>
    </row>
    <row r="1588" spans="2:28" x14ac:dyDescent="0.2">
      <c r="B1588" s="30" t="s">
        <v>2294</v>
      </c>
      <c r="C1588" s="36"/>
      <c r="D1588" s="36"/>
      <c r="F1588" s="1" t="s">
        <v>3080</v>
      </c>
      <c r="G1588" s="30" t="s">
        <v>3450</v>
      </c>
      <c r="K1588" s="1" t="s">
        <v>3796</v>
      </c>
      <c r="L1588" s="1" t="s">
        <v>1279</v>
      </c>
      <c r="M1588" s="36" t="s">
        <v>1511</v>
      </c>
      <c r="N1588" s="1" t="s">
        <v>1287</v>
      </c>
      <c r="O1588" s="1" t="s">
        <v>1286</v>
      </c>
      <c r="P1588" s="34" t="str">
        <f t="shared" si="27"/>
        <v>F010</v>
      </c>
      <c r="Q1588" s="1" t="s">
        <v>137</v>
      </c>
      <c r="S1588" s="16">
        <v>20</v>
      </c>
      <c r="T1588" s="1" t="s">
        <v>2299</v>
      </c>
      <c r="U1588" s="1" t="s">
        <v>1468</v>
      </c>
      <c r="V1588" s="1" t="s">
        <v>1634</v>
      </c>
      <c r="Y1588" s="1">
        <v>2948.72</v>
      </c>
      <c r="AB1588" s="1">
        <v>1370.7</v>
      </c>
    </row>
    <row r="1589" spans="2:28" x14ac:dyDescent="0.2">
      <c r="B1589" s="30" t="s">
        <v>2294</v>
      </c>
      <c r="C1589" s="36"/>
      <c r="D1589" s="36"/>
      <c r="F1589" s="1" t="s">
        <v>1322</v>
      </c>
      <c r="G1589" s="30" t="s">
        <v>3450</v>
      </c>
      <c r="K1589" s="1" t="s">
        <v>3797</v>
      </c>
      <c r="L1589" s="1" t="s">
        <v>1279</v>
      </c>
      <c r="M1589" s="36" t="s">
        <v>1511</v>
      </c>
      <c r="N1589" s="1" t="s">
        <v>1287</v>
      </c>
      <c r="O1589" s="1" t="s">
        <v>1286</v>
      </c>
      <c r="P1589" s="34" t="str">
        <f t="shared" si="27"/>
        <v>F010</v>
      </c>
      <c r="Q1589" s="1" t="s">
        <v>137</v>
      </c>
      <c r="S1589" s="16">
        <v>20</v>
      </c>
      <c r="T1589" s="1" t="s">
        <v>3209</v>
      </c>
      <c r="U1589" s="1" t="s">
        <v>1468</v>
      </c>
      <c r="V1589" s="1" t="s">
        <v>1634</v>
      </c>
      <c r="Y1589" s="1">
        <v>2948.72</v>
      </c>
      <c r="AB1589" s="1">
        <v>1370.7</v>
      </c>
    </row>
    <row r="1590" spans="2:28" x14ac:dyDescent="0.2">
      <c r="B1590" s="30" t="s">
        <v>2294</v>
      </c>
      <c r="C1590" s="36"/>
      <c r="D1590" s="36"/>
      <c r="F1590" s="1" t="s">
        <v>3210</v>
      </c>
      <c r="G1590" s="30" t="s">
        <v>3450</v>
      </c>
      <c r="K1590" s="1" t="s">
        <v>3798</v>
      </c>
      <c r="L1590" s="1" t="s">
        <v>1279</v>
      </c>
      <c r="M1590" s="36" t="s">
        <v>1511</v>
      </c>
      <c r="N1590" s="1" t="s">
        <v>1286</v>
      </c>
      <c r="O1590" s="1" t="s">
        <v>1286</v>
      </c>
      <c r="P1590" s="34" t="str">
        <f t="shared" si="27"/>
        <v>F010</v>
      </c>
      <c r="Q1590" s="1" t="s">
        <v>137</v>
      </c>
      <c r="S1590" s="16">
        <v>20</v>
      </c>
      <c r="T1590" s="1" t="s">
        <v>2299</v>
      </c>
      <c r="U1590" s="1" t="s">
        <v>1468</v>
      </c>
      <c r="V1590" s="1" t="s">
        <v>1634</v>
      </c>
      <c r="Y1590" s="1">
        <v>2948.72</v>
      </c>
      <c r="AB1590" s="1">
        <v>1370.7</v>
      </c>
    </row>
    <row r="1591" spans="2:28" x14ac:dyDescent="0.2">
      <c r="B1591" s="30" t="s">
        <v>2294</v>
      </c>
      <c r="C1591" s="36"/>
      <c r="D1591" s="36"/>
      <c r="F1591" s="1" t="s">
        <v>1322</v>
      </c>
      <c r="G1591" s="30" t="s">
        <v>3450</v>
      </c>
      <c r="K1591" s="1" t="s">
        <v>3799</v>
      </c>
      <c r="L1591" s="1" t="s">
        <v>1279</v>
      </c>
      <c r="M1591" s="36" t="s">
        <v>1511</v>
      </c>
      <c r="N1591" s="1" t="s">
        <v>1286</v>
      </c>
      <c r="O1591" s="1" t="s">
        <v>1286</v>
      </c>
      <c r="P1591" s="34" t="str">
        <f t="shared" si="27"/>
        <v>F010</v>
      </c>
      <c r="Q1591" s="1" t="s">
        <v>137</v>
      </c>
      <c r="S1591" s="16">
        <v>20</v>
      </c>
      <c r="T1591" s="1" t="s">
        <v>3533</v>
      </c>
      <c r="U1591" s="1" t="s">
        <v>1468</v>
      </c>
      <c r="V1591" s="1" t="s">
        <v>1634</v>
      </c>
      <c r="Y1591" s="1">
        <v>2948.72</v>
      </c>
      <c r="AB1591" s="1">
        <v>1370.7</v>
      </c>
    </row>
    <row r="1592" spans="2:28" x14ac:dyDescent="0.2">
      <c r="B1592" s="30" t="s">
        <v>2294</v>
      </c>
      <c r="C1592" s="36"/>
      <c r="D1592" s="36"/>
      <c r="F1592" s="1" t="s">
        <v>3534</v>
      </c>
      <c r="G1592" s="30" t="s">
        <v>3450</v>
      </c>
      <c r="K1592" s="1" t="s">
        <v>3800</v>
      </c>
      <c r="L1592" s="1" t="s">
        <v>1279</v>
      </c>
      <c r="M1592" s="36" t="s">
        <v>1511</v>
      </c>
      <c r="N1592" s="1" t="s">
        <v>1287</v>
      </c>
      <c r="O1592" s="1" t="s">
        <v>1286</v>
      </c>
      <c r="P1592" s="34" t="str">
        <f t="shared" si="27"/>
        <v>F010</v>
      </c>
      <c r="Q1592" s="1" t="s">
        <v>137</v>
      </c>
      <c r="S1592" s="16">
        <v>20</v>
      </c>
      <c r="T1592" s="1" t="s">
        <v>2299</v>
      </c>
      <c r="U1592" s="1" t="s">
        <v>1468</v>
      </c>
      <c r="V1592" s="1" t="s">
        <v>1634</v>
      </c>
      <c r="Y1592" s="1">
        <v>2948.72</v>
      </c>
      <c r="AB1592" s="1">
        <v>1370.7</v>
      </c>
    </row>
    <row r="1593" spans="2:28" x14ac:dyDescent="0.2">
      <c r="B1593" s="30" t="s">
        <v>2294</v>
      </c>
      <c r="C1593" s="36"/>
      <c r="D1593" s="36"/>
      <c r="F1593" s="1" t="s">
        <v>1322</v>
      </c>
      <c r="G1593" s="30" t="s">
        <v>3450</v>
      </c>
      <c r="K1593" s="1" t="s">
        <v>3801</v>
      </c>
      <c r="L1593" s="1" t="s">
        <v>1279</v>
      </c>
      <c r="M1593" s="36" t="s">
        <v>1511</v>
      </c>
      <c r="N1593" s="1" t="s">
        <v>1287</v>
      </c>
      <c r="O1593" s="1" t="s">
        <v>1286</v>
      </c>
      <c r="P1593" s="34" t="str">
        <f t="shared" si="27"/>
        <v>F010</v>
      </c>
      <c r="Q1593" s="1" t="s">
        <v>137</v>
      </c>
      <c r="S1593" s="16">
        <v>20</v>
      </c>
      <c r="T1593" s="1" t="s">
        <v>3107</v>
      </c>
      <c r="U1593" s="1" t="s">
        <v>1468</v>
      </c>
      <c r="V1593" s="1" t="s">
        <v>1634</v>
      </c>
      <c r="Y1593" s="1">
        <v>2948.72</v>
      </c>
      <c r="AB1593" s="1">
        <v>1370.7</v>
      </c>
    </row>
    <row r="1594" spans="2:28" x14ac:dyDescent="0.2">
      <c r="B1594" s="30" t="s">
        <v>2294</v>
      </c>
      <c r="C1594" s="36"/>
      <c r="D1594" s="36"/>
      <c r="F1594" s="1" t="s">
        <v>3108</v>
      </c>
      <c r="G1594" s="30" t="s">
        <v>3450</v>
      </c>
      <c r="K1594" s="1" t="s">
        <v>3802</v>
      </c>
      <c r="L1594" s="1" t="s">
        <v>1279</v>
      </c>
      <c r="M1594" s="36" t="s">
        <v>1511</v>
      </c>
      <c r="N1594" s="1" t="s">
        <v>1287</v>
      </c>
      <c r="O1594" s="1" t="s">
        <v>1286</v>
      </c>
      <c r="P1594" s="34" t="str">
        <f t="shared" si="27"/>
        <v>F010</v>
      </c>
      <c r="Q1594" s="1" t="s">
        <v>137</v>
      </c>
      <c r="S1594" s="16">
        <v>20</v>
      </c>
      <c r="T1594" s="1" t="s">
        <v>2299</v>
      </c>
      <c r="U1594" s="1" t="s">
        <v>1468</v>
      </c>
      <c r="V1594" s="1" t="s">
        <v>1634</v>
      </c>
      <c r="Y1594" s="1">
        <v>2948.72</v>
      </c>
      <c r="AB1594" s="1">
        <v>1370.7</v>
      </c>
    </row>
    <row r="1595" spans="2:28" x14ac:dyDescent="0.2">
      <c r="B1595" s="30" t="s">
        <v>2294</v>
      </c>
      <c r="C1595" s="36"/>
      <c r="D1595" s="36"/>
      <c r="F1595" s="1" t="s">
        <v>1322</v>
      </c>
      <c r="G1595" s="30" t="s">
        <v>3450</v>
      </c>
      <c r="K1595" s="1" t="s">
        <v>3803</v>
      </c>
      <c r="L1595" s="1" t="s">
        <v>1279</v>
      </c>
      <c r="M1595" s="36" t="s">
        <v>1511</v>
      </c>
      <c r="N1595" s="1" t="s">
        <v>1287</v>
      </c>
      <c r="O1595" s="1" t="s">
        <v>1286</v>
      </c>
      <c r="P1595" s="34" t="str">
        <f t="shared" si="27"/>
        <v>F010</v>
      </c>
      <c r="Q1595" s="1" t="s">
        <v>137</v>
      </c>
      <c r="S1595" s="16">
        <v>20</v>
      </c>
      <c r="T1595" s="1" t="s">
        <v>3074</v>
      </c>
      <c r="U1595" s="1" t="s">
        <v>1468</v>
      </c>
      <c r="V1595" s="1" t="s">
        <v>1634</v>
      </c>
      <c r="Y1595" s="1">
        <v>2948.72</v>
      </c>
      <c r="AB1595" s="1">
        <v>1370.7</v>
      </c>
    </row>
    <row r="1596" spans="2:28" x14ac:dyDescent="0.2">
      <c r="B1596" s="30" t="s">
        <v>2294</v>
      </c>
      <c r="C1596" s="36"/>
      <c r="D1596" s="36"/>
      <c r="F1596" s="1" t="s">
        <v>3075</v>
      </c>
      <c r="G1596" s="30" t="s">
        <v>3450</v>
      </c>
      <c r="K1596" s="1" t="s">
        <v>3804</v>
      </c>
      <c r="L1596" s="1" t="s">
        <v>1279</v>
      </c>
      <c r="M1596" s="36" t="s">
        <v>1511</v>
      </c>
      <c r="N1596" s="1" t="s">
        <v>1286</v>
      </c>
      <c r="O1596" s="1" t="s">
        <v>1286</v>
      </c>
      <c r="P1596" s="34" t="str">
        <f t="shared" si="27"/>
        <v>F010</v>
      </c>
      <c r="Q1596" s="1" t="s">
        <v>137</v>
      </c>
      <c r="S1596" s="16">
        <v>20</v>
      </c>
      <c r="T1596" s="1" t="s">
        <v>2299</v>
      </c>
      <c r="U1596" s="1" t="s">
        <v>1468</v>
      </c>
      <c r="V1596" s="1" t="s">
        <v>1634</v>
      </c>
      <c r="Y1596" s="1">
        <v>2948.72</v>
      </c>
      <c r="AB1596" s="1">
        <v>1370.7</v>
      </c>
    </row>
    <row r="1597" spans="2:28" x14ac:dyDescent="0.2">
      <c r="B1597" s="30" t="s">
        <v>2294</v>
      </c>
      <c r="C1597" s="36"/>
      <c r="D1597" s="36"/>
      <c r="F1597" s="1" t="s">
        <v>1322</v>
      </c>
      <c r="G1597" s="30" t="s">
        <v>3450</v>
      </c>
      <c r="K1597" s="1" t="s">
        <v>3805</v>
      </c>
      <c r="L1597" s="1" t="s">
        <v>1279</v>
      </c>
      <c r="M1597" s="36" t="s">
        <v>1511</v>
      </c>
      <c r="N1597" s="1" t="s">
        <v>1286</v>
      </c>
      <c r="O1597" s="1" t="s">
        <v>1286</v>
      </c>
      <c r="P1597" s="34" t="str">
        <f t="shared" si="27"/>
        <v>F010</v>
      </c>
      <c r="Q1597" s="1" t="s">
        <v>137</v>
      </c>
      <c r="S1597" s="16">
        <v>20</v>
      </c>
      <c r="T1597" s="1" t="s">
        <v>3227</v>
      </c>
      <c r="U1597" s="1" t="s">
        <v>1468</v>
      </c>
      <c r="V1597" s="1" t="s">
        <v>1634</v>
      </c>
      <c r="Y1597" s="1">
        <v>2948.72</v>
      </c>
      <c r="AB1597" s="1">
        <v>1370.7</v>
      </c>
    </row>
    <row r="1598" spans="2:28" x14ac:dyDescent="0.2">
      <c r="B1598" s="30" t="s">
        <v>2294</v>
      </c>
      <c r="C1598" s="36"/>
      <c r="D1598" s="36"/>
      <c r="F1598" s="1" t="s">
        <v>3228</v>
      </c>
      <c r="G1598" s="30" t="s">
        <v>3450</v>
      </c>
      <c r="K1598" s="1" t="s">
        <v>3806</v>
      </c>
      <c r="L1598" s="1" t="s">
        <v>1279</v>
      </c>
      <c r="M1598" s="36" t="s">
        <v>1511</v>
      </c>
      <c r="N1598" s="1" t="s">
        <v>1287</v>
      </c>
      <c r="O1598" s="1" t="s">
        <v>1286</v>
      </c>
      <c r="P1598" s="34" t="str">
        <f t="shared" si="27"/>
        <v>F010</v>
      </c>
      <c r="Q1598" s="1" t="s">
        <v>137</v>
      </c>
      <c r="S1598" s="16">
        <v>20</v>
      </c>
      <c r="T1598" s="1" t="s">
        <v>2299</v>
      </c>
      <c r="U1598" s="1" t="s">
        <v>1468</v>
      </c>
      <c r="V1598" s="1" t="s">
        <v>1634</v>
      </c>
      <c r="Y1598" s="1">
        <v>2948.72</v>
      </c>
      <c r="AB1598" s="1">
        <v>1370.7</v>
      </c>
    </row>
    <row r="1599" spans="2:28" x14ac:dyDescent="0.2">
      <c r="B1599" s="30" t="s">
        <v>2294</v>
      </c>
      <c r="C1599" s="36"/>
      <c r="D1599" s="36"/>
      <c r="F1599" s="1" t="s">
        <v>1322</v>
      </c>
      <c r="G1599" s="30" t="s">
        <v>3450</v>
      </c>
      <c r="K1599" s="1" t="s">
        <v>3807</v>
      </c>
      <c r="L1599" s="1" t="s">
        <v>1279</v>
      </c>
      <c r="M1599" s="36" t="s">
        <v>1511</v>
      </c>
      <c r="N1599" s="1" t="s">
        <v>1287</v>
      </c>
      <c r="O1599" s="1" t="s">
        <v>1286</v>
      </c>
      <c r="P1599" s="34" t="str">
        <f t="shared" si="27"/>
        <v>F010</v>
      </c>
      <c r="Q1599" s="1" t="s">
        <v>137</v>
      </c>
      <c r="S1599" s="16">
        <v>20</v>
      </c>
      <c r="T1599" s="1" t="s">
        <v>3170</v>
      </c>
      <c r="U1599" s="1" t="s">
        <v>1468</v>
      </c>
      <c r="V1599" s="1" t="s">
        <v>1634</v>
      </c>
      <c r="Y1599" s="1">
        <v>2948.72</v>
      </c>
      <c r="AB1599" s="1">
        <v>1370.7</v>
      </c>
    </row>
    <row r="1600" spans="2:28" x14ac:dyDescent="0.2">
      <c r="B1600" s="30" t="s">
        <v>2294</v>
      </c>
      <c r="C1600" s="36"/>
      <c r="D1600" s="36"/>
      <c r="F1600" s="1" t="s">
        <v>3172</v>
      </c>
      <c r="G1600" s="30" t="s">
        <v>3450</v>
      </c>
      <c r="K1600" s="1" t="s">
        <v>3808</v>
      </c>
      <c r="L1600" s="1" t="s">
        <v>1279</v>
      </c>
      <c r="M1600" s="36" t="s">
        <v>1511</v>
      </c>
      <c r="N1600" s="1" t="s">
        <v>1286</v>
      </c>
      <c r="O1600" s="1" t="s">
        <v>1286</v>
      </c>
      <c r="P1600" s="34" t="str">
        <f t="shared" si="27"/>
        <v>F010</v>
      </c>
      <c r="Q1600" s="1" t="s">
        <v>137</v>
      </c>
      <c r="S1600" s="16">
        <v>20</v>
      </c>
      <c r="T1600" s="1" t="s">
        <v>2299</v>
      </c>
      <c r="U1600" s="1" t="s">
        <v>1468</v>
      </c>
      <c r="V1600" s="1" t="s">
        <v>1634</v>
      </c>
      <c r="Y1600" s="1">
        <v>2948.72</v>
      </c>
      <c r="AB1600" s="1">
        <v>1370.7</v>
      </c>
    </row>
    <row r="1601" spans="2:28" x14ac:dyDescent="0.2">
      <c r="B1601" s="30" t="s">
        <v>2294</v>
      </c>
      <c r="C1601" s="36"/>
      <c r="D1601" s="36"/>
      <c r="F1601" s="1" t="s">
        <v>1322</v>
      </c>
      <c r="G1601" s="30" t="s">
        <v>3450</v>
      </c>
      <c r="K1601" s="1" t="s">
        <v>3809</v>
      </c>
      <c r="L1601" s="1" t="s">
        <v>1279</v>
      </c>
      <c r="M1601" s="36" t="s">
        <v>1511</v>
      </c>
      <c r="N1601" s="1" t="s">
        <v>1287</v>
      </c>
      <c r="O1601" s="1" t="s">
        <v>1286</v>
      </c>
      <c r="P1601" s="34" t="str">
        <f t="shared" si="27"/>
        <v>F010</v>
      </c>
      <c r="Q1601" s="1" t="s">
        <v>137</v>
      </c>
      <c r="S1601" s="16">
        <v>20</v>
      </c>
      <c r="T1601" s="1" t="s">
        <v>3084</v>
      </c>
      <c r="U1601" s="1" t="s">
        <v>1468</v>
      </c>
      <c r="V1601" s="1" t="s">
        <v>1634</v>
      </c>
      <c r="Y1601" s="1">
        <v>2948.72</v>
      </c>
      <c r="AB1601" s="1">
        <v>1370.7</v>
      </c>
    </row>
    <row r="1602" spans="2:28" x14ac:dyDescent="0.2">
      <c r="B1602" s="30" t="s">
        <v>2294</v>
      </c>
      <c r="C1602" s="36"/>
      <c r="D1602" s="36"/>
      <c r="F1602" s="1" t="s">
        <v>3085</v>
      </c>
      <c r="G1602" s="30" t="s">
        <v>3450</v>
      </c>
      <c r="K1602" s="1" t="s">
        <v>3810</v>
      </c>
      <c r="L1602" s="1" t="s">
        <v>1279</v>
      </c>
      <c r="M1602" s="36" t="s">
        <v>1511</v>
      </c>
      <c r="N1602" s="1" t="s">
        <v>1286</v>
      </c>
      <c r="O1602" s="1" t="s">
        <v>1286</v>
      </c>
      <c r="P1602" s="34" t="str">
        <f t="shared" si="27"/>
        <v>F010</v>
      </c>
      <c r="Q1602" s="1" t="s">
        <v>137</v>
      </c>
      <c r="S1602" s="16">
        <v>20</v>
      </c>
      <c r="T1602" s="1" t="s">
        <v>2299</v>
      </c>
      <c r="U1602" s="1" t="s">
        <v>1468</v>
      </c>
      <c r="V1602" s="1" t="s">
        <v>1634</v>
      </c>
      <c r="Y1602" s="1">
        <v>2948.72</v>
      </c>
      <c r="AB1602" s="1">
        <v>1370.7</v>
      </c>
    </row>
    <row r="1603" spans="2:28" x14ac:dyDescent="0.2">
      <c r="B1603" s="30" t="s">
        <v>2294</v>
      </c>
      <c r="C1603" s="36"/>
      <c r="D1603" s="36"/>
      <c r="F1603" s="1" t="s">
        <v>1322</v>
      </c>
      <c r="G1603" s="30" t="s">
        <v>3450</v>
      </c>
      <c r="K1603" s="1" t="s">
        <v>3811</v>
      </c>
      <c r="L1603" s="1" t="s">
        <v>1279</v>
      </c>
      <c r="M1603" s="36" t="s">
        <v>1511</v>
      </c>
      <c r="N1603" s="1" t="s">
        <v>1286</v>
      </c>
      <c r="O1603" s="1" t="s">
        <v>1286</v>
      </c>
      <c r="P1603" s="34" t="str">
        <f t="shared" si="27"/>
        <v>F010</v>
      </c>
      <c r="Q1603" s="1" t="s">
        <v>137</v>
      </c>
      <c r="S1603" s="16">
        <v>20</v>
      </c>
      <c r="T1603" s="1" t="s">
        <v>3079</v>
      </c>
      <c r="U1603" s="1" t="s">
        <v>1468</v>
      </c>
      <c r="V1603" s="1" t="s">
        <v>1634</v>
      </c>
      <c r="Y1603" s="1">
        <v>2948.72</v>
      </c>
      <c r="AB1603" s="1">
        <v>1370.7</v>
      </c>
    </row>
    <row r="1604" spans="2:28" x14ac:dyDescent="0.2">
      <c r="B1604" s="30" t="s">
        <v>2294</v>
      </c>
      <c r="C1604" s="36"/>
      <c r="D1604" s="36"/>
      <c r="F1604" s="1" t="s">
        <v>3080</v>
      </c>
      <c r="G1604" s="30" t="s">
        <v>3450</v>
      </c>
      <c r="K1604" s="1" t="s">
        <v>3812</v>
      </c>
      <c r="L1604" s="1" t="s">
        <v>1279</v>
      </c>
      <c r="M1604" s="36" t="s">
        <v>1511</v>
      </c>
      <c r="N1604" s="1" t="s">
        <v>2611</v>
      </c>
      <c r="O1604" s="1" t="s">
        <v>1286</v>
      </c>
      <c r="P1604" s="34" t="str">
        <f t="shared" si="27"/>
        <v>F010</v>
      </c>
      <c r="Q1604" s="1" t="s">
        <v>137</v>
      </c>
      <c r="S1604" s="16">
        <v>20</v>
      </c>
      <c r="T1604" s="1" t="s">
        <v>2299</v>
      </c>
      <c r="U1604" s="1" t="s">
        <v>1468</v>
      </c>
      <c r="V1604" s="1" t="s">
        <v>1634</v>
      </c>
      <c r="Y1604" s="1">
        <v>2948.72</v>
      </c>
      <c r="AB1604" s="1">
        <v>1370.7</v>
      </c>
    </row>
    <row r="1605" spans="2:28" x14ac:dyDescent="0.2">
      <c r="B1605" s="30" t="s">
        <v>2294</v>
      </c>
      <c r="C1605" s="36"/>
      <c r="D1605" s="36"/>
      <c r="F1605" s="1" t="s">
        <v>1322</v>
      </c>
      <c r="G1605" s="30" t="s">
        <v>3450</v>
      </c>
      <c r="K1605" s="1" t="s">
        <v>3813</v>
      </c>
      <c r="L1605" s="1" t="s">
        <v>1279</v>
      </c>
      <c r="M1605" s="36" t="s">
        <v>1463</v>
      </c>
      <c r="N1605" s="1" t="s">
        <v>1284</v>
      </c>
      <c r="O1605" s="1" t="s">
        <v>1286</v>
      </c>
      <c r="P1605" s="34" t="str">
        <f t="shared" si="27"/>
        <v>F010</v>
      </c>
      <c r="Q1605" s="1" t="s">
        <v>127</v>
      </c>
      <c r="S1605" s="16">
        <v>20</v>
      </c>
      <c r="T1605" s="1" t="s">
        <v>3191</v>
      </c>
      <c r="U1605" s="1" t="s">
        <v>1480</v>
      </c>
      <c r="V1605" s="1" t="s">
        <v>1696</v>
      </c>
      <c r="Y1605" s="1">
        <v>2978.74</v>
      </c>
      <c r="AB1605" s="1">
        <v>1257.71</v>
      </c>
    </row>
    <row r="1606" spans="2:28" x14ac:dyDescent="0.2">
      <c r="B1606" s="30" t="s">
        <v>2294</v>
      </c>
      <c r="C1606" s="36"/>
      <c r="D1606" s="36"/>
      <c r="F1606" s="1" t="s">
        <v>3192</v>
      </c>
      <c r="G1606" s="30" t="s">
        <v>3450</v>
      </c>
      <c r="K1606" s="1" t="s">
        <v>3814</v>
      </c>
      <c r="L1606" s="1" t="s">
        <v>1279</v>
      </c>
      <c r="M1606" s="36" t="s">
        <v>1463</v>
      </c>
      <c r="N1606" s="1" t="s">
        <v>1573</v>
      </c>
      <c r="O1606" s="1" t="s">
        <v>1286</v>
      </c>
      <c r="P1606" s="34" t="str">
        <f t="shared" si="27"/>
        <v>F010</v>
      </c>
      <c r="Q1606" s="1" t="s">
        <v>127</v>
      </c>
      <c r="S1606" s="16">
        <v>20</v>
      </c>
      <c r="T1606" s="1" t="s">
        <v>2299</v>
      </c>
      <c r="U1606" s="1" t="s">
        <v>1480</v>
      </c>
      <c r="V1606" s="1" t="s">
        <v>1696</v>
      </c>
      <c r="Y1606" s="1">
        <v>2978.74</v>
      </c>
      <c r="AB1606" s="1">
        <v>1257.71</v>
      </c>
    </row>
    <row r="1607" spans="2:28" x14ac:dyDescent="0.2">
      <c r="B1607" s="30" t="s">
        <v>2294</v>
      </c>
      <c r="C1607" s="36"/>
      <c r="D1607" s="36"/>
      <c r="F1607" s="1" t="s">
        <v>1322</v>
      </c>
      <c r="G1607" s="30" t="s">
        <v>3450</v>
      </c>
      <c r="K1607" s="1" t="s">
        <v>3815</v>
      </c>
      <c r="L1607" s="1" t="s">
        <v>1279</v>
      </c>
      <c r="M1607" s="36" t="s">
        <v>1463</v>
      </c>
      <c r="N1607" s="1" t="s">
        <v>1715</v>
      </c>
      <c r="O1607" s="1" t="s">
        <v>1286</v>
      </c>
      <c r="P1607" s="34" t="str">
        <f t="shared" si="27"/>
        <v>F010</v>
      </c>
      <c r="Q1607" s="1" t="s">
        <v>127</v>
      </c>
      <c r="S1607" s="16">
        <v>20</v>
      </c>
      <c r="T1607" s="1" t="s">
        <v>3633</v>
      </c>
      <c r="U1607" s="1" t="s">
        <v>1480</v>
      </c>
      <c r="V1607" s="1" t="s">
        <v>1696</v>
      </c>
      <c r="Y1607" s="1">
        <v>2978.74</v>
      </c>
      <c r="AB1607" s="1">
        <v>1257.71</v>
      </c>
    </row>
    <row r="1608" spans="2:28" x14ac:dyDescent="0.2">
      <c r="B1608" s="30" t="s">
        <v>2294</v>
      </c>
      <c r="C1608" s="36"/>
      <c r="D1608" s="36"/>
      <c r="F1608" s="1" t="s">
        <v>3634</v>
      </c>
      <c r="G1608" s="30" t="s">
        <v>3450</v>
      </c>
      <c r="K1608" s="1" t="s">
        <v>3816</v>
      </c>
      <c r="L1608" s="1" t="s">
        <v>1279</v>
      </c>
      <c r="M1608" s="36" t="s">
        <v>1463</v>
      </c>
      <c r="N1608" s="1" t="s">
        <v>1573</v>
      </c>
      <c r="O1608" s="1" t="s">
        <v>1286</v>
      </c>
      <c r="P1608" s="34" t="str">
        <f t="shared" ref="P1608:P1671" si="28">+LEFT(Q1608,4)</f>
        <v>F010</v>
      </c>
      <c r="Q1608" s="1" t="s">
        <v>127</v>
      </c>
      <c r="S1608" s="16">
        <v>20</v>
      </c>
      <c r="T1608" s="1" t="s">
        <v>2299</v>
      </c>
      <c r="U1608" s="1" t="s">
        <v>1480</v>
      </c>
      <c r="V1608" s="1" t="s">
        <v>1696</v>
      </c>
      <c r="Y1608" s="1">
        <v>2978.74</v>
      </c>
      <c r="AB1608" s="1">
        <v>1257.71</v>
      </c>
    </row>
    <row r="1609" spans="2:28" x14ac:dyDescent="0.2">
      <c r="B1609" s="30" t="s">
        <v>2294</v>
      </c>
      <c r="C1609" s="36"/>
      <c r="D1609" s="36"/>
      <c r="F1609" s="1" t="s">
        <v>1322</v>
      </c>
      <c r="G1609" s="30" t="s">
        <v>3450</v>
      </c>
      <c r="K1609" s="1" t="s">
        <v>3817</v>
      </c>
      <c r="L1609" s="1" t="s">
        <v>1279</v>
      </c>
      <c r="M1609" s="36" t="s">
        <v>1463</v>
      </c>
      <c r="N1609" s="1" t="s">
        <v>1286</v>
      </c>
      <c r="O1609" s="1" t="s">
        <v>1286</v>
      </c>
      <c r="P1609" s="34" t="str">
        <f t="shared" si="28"/>
        <v>F010</v>
      </c>
      <c r="Q1609" s="1" t="s">
        <v>127</v>
      </c>
      <c r="S1609" s="16">
        <v>20</v>
      </c>
      <c r="T1609" s="1" t="s">
        <v>3111</v>
      </c>
      <c r="U1609" s="1" t="s">
        <v>1480</v>
      </c>
      <c r="V1609" s="1" t="s">
        <v>1696</v>
      </c>
      <c r="Y1609" s="1">
        <v>2978.74</v>
      </c>
      <c r="AB1609" s="1">
        <v>1257.71</v>
      </c>
    </row>
    <row r="1610" spans="2:28" x14ac:dyDescent="0.2">
      <c r="B1610" s="30" t="s">
        <v>2294</v>
      </c>
      <c r="C1610" s="36"/>
      <c r="D1610" s="36"/>
      <c r="F1610" s="1" t="s">
        <v>3112</v>
      </c>
      <c r="G1610" s="30" t="s">
        <v>3450</v>
      </c>
      <c r="K1610" s="1" t="s">
        <v>3818</v>
      </c>
      <c r="L1610" s="1" t="s">
        <v>1279</v>
      </c>
      <c r="M1610" s="36" t="s">
        <v>1463</v>
      </c>
      <c r="N1610" s="1" t="s">
        <v>1284</v>
      </c>
      <c r="O1610" s="1" t="s">
        <v>1286</v>
      </c>
      <c r="P1610" s="34" t="str">
        <f t="shared" si="28"/>
        <v>F010</v>
      </c>
      <c r="Q1610" s="1" t="s">
        <v>127</v>
      </c>
      <c r="S1610" s="16">
        <v>20</v>
      </c>
      <c r="T1610" s="1" t="s">
        <v>2299</v>
      </c>
      <c r="U1610" s="1" t="s">
        <v>1480</v>
      </c>
      <c r="V1610" s="1" t="s">
        <v>1696</v>
      </c>
      <c r="Y1610" s="1">
        <v>2978.74</v>
      </c>
      <c r="AB1610" s="1">
        <v>1257.71</v>
      </c>
    </row>
    <row r="1611" spans="2:28" x14ac:dyDescent="0.2">
      <c r="B1611" s="30" t="s">
        <v>2294</v>
      </c>
      <c r="C1611" s="36"/>
      <c r="D1611" s="36"/>
      <c r="F1611" s="1" t="s">
        <v>1322</v>
      </c>
      <c r="G1611" s="30" t="s">
        <v>3450</v>
      </c>
      <c r="K1611" s="1" t="s">
        <v>3819</v>
      </c>
      <c r="L1611" s="1" t="s">
        <v>1279</v>
      </c>
      <c r="M1611" s="36" t="s">
        <v>1511</v>
      </c>
      <c r="N1611" s="1" t="s">
        <v>1286</v>
      </c>
      <c r="O1611" s="1" t="s">
        <v>1286</v>
      </c>
      <c r="P1611" s="34" t="str">
        <f t="shared" si="28"/>
        <v>F010</v>
      </c>
      <c r="Q1611" s="1" t="s">
        <v>137</v>
      </c>
      <c r="S1611" s="16">
        <v>20</v>
      </c>
      <c r="T1611" s="1" t="s">
        <v>3441</v>
      </c>
      <c r="U1611" s="1" t="s">
        <v>1468</v>
      </c>
      <c r="V1611" s="1" t="s">
        <v>1634</v>
      </c>
      <c r="Y1611" s="1">
        <v>2948.72</v>
      </c>
      <c r="AB1611" s="1">
        <v>1370.7</v>
      </c>
    </row>
    <row r="1612" spans="2:28" x14ac:dyDescent="0.2">
      <c r="B1612" s="30" t="s">
        <v>2294</v>
      </c>
      <c r="C1612" s="36"/>
      <c r="D1612" s="36"/>
      <c r="F1612" s="1" t="s">
        <v>3442</v>
      </c>
      <c r="G1612" s="30" t="s">
        <v>3450</v>
      </c>
      <c r="K1612" s="1" t="s">
        <v>3820</v>
      </c>
      <c r="L1612" s="1" t="s">
        <v>1279</v>
      </c>
      <c r="M1612" s="36" t="s">
        <v>1511</v>
      </c>
      <c r="N1612" s="1" t="s">
        <v>1577</v>
      </c>
      <c r="O1612" s="1" t="s">
        <v>1286</v>
      </c>
      <c r="P1612" s="34" t="str">
        <f t="shared" si="28"/>
        <v>F010</v>
      </c>
      <c r="Q1612" s="1" t="s">
        <v>137</v>
      </c>
      <c r="S1612" s="16">
        <v>20</v>
      </c>
      <c r="T1612" s="1" t="s">
        <v>2299</v>
      </c>
      <c r="U1612" s="1" t="s">
        <v>1468</v>
      </c>
      <c r="V1612" s="1" t="s">
        <v>1634</v>
      </c>
      <c r="Y1612" s="1">
        <v>2948.72</v>
      </c>
      <c r="AB1612" s="1">
        <v>1370.7</v>
      </c>
    </row>
    <row r="1613" spans="2:28" x14ac:dyDescent="0.2">
      <c r="B1613" s="30" t="s">
        <v>2294</v>
      </c>
      <c r="C1613" s="36"/>
      <c r="D1613" s="36"/>
      <c r="F1613" s="1" t="s">
        <v>1322</v>
      </c>
      <c r="G1613" s="30" t="s">
        <v>3821</v>
      </c>
      <c r="K1613" s="1" t="s">
        <v>3822</v>
      </c>
      <c r="L1613" s="1" t="s">
        <v>1279</v>
      </c>
      <c r="M1613" s="36" t="s">
        <v>1463</v>
      </c>
      <c r="N1613" s="1" t="s">
        <v>2925</v>
      </c>
      <c r="O1613" s="1" t="s">
        <v>1286</v>
      </c>
      <c r="P1613" s="34" t="str">
        <f t="shared" si="28"/>
        <v>F010</v>
      </c>
      <c r="Q1613" s="1" t="s">
        <v>137</v>
      </c>
      <c r="S1613" s="16">
        <v>20</v>
      </c>
      <c r="T1613" s="1" t="s">
        <v>3074</v>
      </c>
      <c r="U1613" s="1" t="s">
        <v>1480</v>
      </c>
      <c r="V1613" s="1" t="s">
        <v>1696</v>
      </c>
      <c r="Y1613" s="1">
        <v>3247.85</v>
      </c>
      <c r="AB1613" s="1">
        <v>1371.36</v>
      </c>
    </row>
    <row r="1614" spans="2:28" x14ac:dyDescent="0.2">
      <c r="B1614" s="30" t="s">
        <v>2294</v>
      </c>
      <c r="C1614" s="36"/>
      <c r="D1614" s="36"/>
      <c r="F1614" s="1" t="s">
        <v>3075</v>
      </c>
      <c r="G1614" s="30" t="s">
        <v>3821</v>
      </c>
      <c r="K1614" s="1" t="s">
        <v>3823</v>
      </c>
      <c r="L1614" s="1" t="s">
        <v>1279</v>
      </c>
      <c r="M1614" s="36" t="s">
        <v>1463</v>
      </c>
      <c r="N1614" s="1" t="s">
        <v>2925</v>
      </c>
      <c r="O1614" s="1" t="s">
        <v>1286</v>
      </c>
      <c r="P1614" s="34" t="str">
        <f t="shared" si="28"/>
        <v>F010</v>
      </c>
      <c r="Q1614" s="1" t="s">
        <v>137</v>
      </c>
      <c r="S1614" s="16">
        <v>20</v>
      </c>
      <c r="T1614" s="1" t="s">
        <v>2299</v>
      </c>
      <c r="U1614" s="1" t="s">
        <v>1480</v>
      </c>
      <c r="V1614" s="1" t="s">
        <v>1696</v>
      </c>
      <c r="Y1614" s="1">
        <v>3247.85</v>
      </c>
      <c r="AB1614" s="1">
        <v>1371.36</v>
      </c>
    </row>
    <row r="1615" spans="2:28" x14ac:dyDescent="0.2">
      <c r="B1615" s="30" t="s">
        <v>2294</v>
      </c>
      <c r="C1615" s="36"/>
      <c r="D1615" s="36"/>
      <c r="F1615" s="1" t="s">
        <v>1322</v>
      </c>
      <c r="G1615" s="30" t="s">
        <v>3821</v>
      </c>
      <c r="K1615" s="1" t="s">
        <v>3824</v>
      </c>
      <c r="L1615" s="1" t="s">
        <v>1279</v>
      </c>
      <c r="M1615" s="36" t="s">
        <v>1463</v>
      </c>
      <c r="N1615" s="1" t="s">
        <v>2925</v>
      </c>
      <c r="O1615" s="1" t="s">
        <v>1286</v>
      </c>
      <c r="P1615" s="34" t="str">
        <f t="shared" si="28"/>
        <v>F010</v>
      </c>
      <c r="Q1615" s="1" t="s">
        <v>137</v>
      </c>
      <c r="S1615" s="16">
        <v>20</v>
      </c>
      <c r="T1615" s="1" t="s">
        <v>3825</v>
      </c>
      <c r="U1615" s="1" t="s">
        <v>1480</v>
      </c>
      <c r="V1615" s="1" t="s">
        <v>1696</v>
      </c>
      <c r="Y1615" s="1">
        <v>3247.85</v>
      </c>
      <c r="AB1615" s="1">
        <v>1371.36</v>
      </c>
    </row>
    <row r="1616" spans="2:28" x14ac:dyDescent="0.2">
      <c r="B1616" s="30" t="s">
        <v>2294</v>
      </c>
      <c r="C1616" s="36"/>
      <c r="D1616" s="36"/>
      <c r="F1616" s="1" t="s">
        <v>3826</v>
      </c>
      <c r="G1616" s="30" t="s">
        <v>3821</v>
      </c>
      <c r="K1616" s="1" t="s">
        <v>3827</v>
      </c>
      <c r="L1616" s="1" t="s">
        <v>1279</v>
      </c>
      <c r="M1616" s="36" t="s">
        <v>1463</v>
      </c>
      <c r="N1616" s="1" t="s">
        <v>2925</v>
      </c>
      <c r="O1616" s="1" t="s">
        <v>1286</v>
      </c>
      <c r="P1616" s="34" t="str">
        <f t="shared" si="28"/>
        <v>F010</v>
      </c>
      <c r="Q1616" s="1" t="s">
        <v>137</v>
      </c>
      <c r="S1616" s="16">
        <v>20</v>
      </c>
      <c r="T1616" s="1" t="s">
        <v>2427</v>
      </c>
      <c r="U1616" s="1" t="s">
        <v>1480</v>
      </c>
      <c r="V1616" s="1" t="s">
        <v>1696</v>
      </c>
      <c r="Y1616" s="1">
        <v>3247.85</v>
      </c>
      <c r="AB1616" s="1">
        <v>1371.36</v>
      </c>
    </row>
    <row r="1617" spans="2:28" x14ac:dyDescent="0.2">
      <c r="B1617" s="30" t="s">
        <v>2294</v>
      </c>
      <c r="C1617" s="36"/>
      <c r="D1617" s="36"/>
      <c r="F1617" s="1" t="s">
        <v>1895</v>
      </c>
      <c r="G1617" s="30" t="s">
        <v>3828</v>
      </c>
      <c r="K1617" s="1" t="s">
        <v>3829</v>
      </c>
      <c r="L1617" s="1" t="s">
        <v>1279</v>
      </c>
      <c r="M1617" s="36" t="s">
        <v>2502</v>
      </c>
      <c r="N1617" s="1" t="s">
        <v>1715</v>
      </c>
      <c r="O1617" s="1" t="s">
        <v>1286</v>
      </c>
      <c r="P1617" s="34" t="str">
        <f t="shared" si="28"/>
        <v>F010</v>
      </c>
      <c r="Q1617" s="1" t="s">
        <v>127</v>
      </c>
      <c r="S1617" s="16">
        <v>20</v>
      </c>
      <c r="T1617" s="1" t="s">
        <v>3830</v>
      </c>
      <c r="U1617" s="1" t="s">
        <v>2197</v>
      </c>
      <c r="V1617" s="1" t="s">
        <v>1601</v>
      </c>
      <c r="Y1617" s="1">
        <v>4781.8500000000004</v>
      </c>
      <c r="AB1617" s="1">
        <v>4416.58</v>
      </c>
    </row>
    <row r="1618" spans="2:28" x14ac:dyDescent="0.2">
      <c r="B1618" s="30" t="s">
        <v>2294</v>
      </c>
      <c r="C1618" s="36"/>
      <c r="D1618" s="36"/>
      <c r="F1618" s="1" t="s">
        <v>3831</v>
      </c>
      <c r="G1618" s="30" t="s">
        <v>3828</v>
      </c>
      <c r="K1618" s="1" t="s">
        <v>3832</v>
      </c>
      <c r="L1618" s="1" t="s">
        <v>1279</v>
      </c>
      <c r="M1618" s="36" t="s">
        <v>2502</v>
      </c>
      <c r="N1618" s="1" t="s">
        <v>1715</v>
      </c>
      <c r="O1618" s="1" t="s">
        <v>1286</v>
      </c>
      <c r="P1618" s="34" t="str">
        <f t="shared" si="28"/>
        <v>F010</v>
      </c>
      <c r="Q1618" s="1" t="s">
        <v>127</v>
      </c>
      <c r="S1618" s="16">
        <v>20</v>
      </c>
      <c r="T1618" s="1" t="s">
        <v>2427</v>
      </c>
      <c r="U1618" s="1" t="s">
        <v>2197</v>
      </c>
      <c r="V1618" s="1" t="s">
        <v>1601</v>
      </c>
      <c r="Y1618" s="1">
        <v>4781.8500000000004</v>
      </c>
      <c r="AB1618" s="1">
        <v>4416.58</v>
      </c>
    </row>
    <row r="1619" spans="2:28" x14ac:dyDescent="0.2">
      <c r="B1619" s="30" t="s">
        <v>2294</v>
      </c>
      <c r="C1619" s="36"/>
      <c r="D1619" s="36"/>
      <c r="F1619" s="1" t="s">
        <v>1895</v>
      </c>
      <c r="G1619" s="30" t="s">
        <v>3828</v>
      </c>
      <c r="K1619" s="1" t="s">
        <v>3833</v>
      </c>
      <c r="L1619" s="1" t="s">
        <v>1279</v>
      </c>
      <c r="M1619" s="36" t="s">
        <v>2502</v>
      </c>
      <c r="N1619" s="1" t="s">
        <v>1715</v>
      </c>
      <c r="O1619" s="1" t="s">
        <v>1286</v>
      </c>
      <c r="P1619" s="34" t="str">
        <f t="shared" si="28"/>
        <v>F010</v>
      </c>
      <c r="Q1619" s="1" t="s">
        <v>127</v>
      </c>
      <c r="S1619" s="16">
        <v>20</v>
      </c>
      <c r="T1619" s="1" t="s">
        <v>3834</v>
      </c>
      <c r="U1619" s="1" t="s">
        <v>2197</v>
      </c>
      <c r="V1619" s="1" t="s">
        <v>1601</v>
      </c>
      <c r="Y1619" s="1">
        <v>4781.84</v>
      </c>
      <c r="AB1619" s="1">
        <v>4416.57</v>
      </c>
    </row>
    <row r="1620" spans="2:28" x14ac:dyDescent="0.2">
      <c r="B1620" s="30" t="s">
        <v>2294</v>
      </c>
      <c r="C1620" s="36"/>
      <c r="D1620" s="36"/>
      <c r="F1620" s="1" t="s">
        <v>3835</v>
      </c>
      <c r="G1620" s="30" t="s">
        <v>3828</v>
      </c>
      <c r="K1620" s="1" t="s">
        <v>3836</v>
      </c>
      <c r="L1620" s="1" t="s">
        <v>1279</v>
      </c>
      <c r="M1620" s="36" t="s">
        <v>2502</v>
      </c>
      <c r="N1620" s="1" t="s">
        <v>1715</v>
      </c>
      <c r="O1620" s="1" t="s">
        <v>1286</v>
      </c>
      <c r="P1620" s="34" t="str">
        <f t="shared" si="28"/>
        <v>F010</v>
      </c>
      <c r="Q1620" s="1" t="s">
        <v>127</v>
      </c>
      <c r="S1620" s="16">
        <v>20</v>
      </c>
      <c r="T1620" s="1" t="s">
        <v>3834</v>
      </c>
      <c r="U1620" s="1" t="s">
        <v>2197</v>
      </c>
      <c r="V1620" s="1" t="s">
        <v>1601</v>
      </c>
      <c r="Y1620" s="1">
        <v>4781.8500000000004</v>
      </c>
      <c r="AB1620" s="1">
        <v>4416.58</v>
      </c>
    </row>
    <row r="1621" spans="2:28" x14ac:dyDescent="0.2">
      <c r="B1621" s="30" t="s">
        <v>2294</v>
      </c>
      <c r="C1621" s="36"/>
      <c r="D1621" s="36"/>
      <c r="F1621" s="1" t="s">
        <v>3835</v>
      </c>
      <c r="G1621" s="30" t="s">
        <v>3828</v>
      </c>
      <c r="K1621" s="1" t="s">
        <v>3837</v>
      </c>
      <c r="L1621" s="1" t="s">
        <v>1279</v>
      </c>
      <c r="M1621" s="36" t="s">
        <v>2502</v>
      </c>
      <c r="N1621" s="1" t="s">
        <v>1837</v>
      </c>
      <c r="O1621" s="1" t="s">
        <v>1286</v>
      </c>
      <c r="P1621" s="34" t="str">
        <f t="shared" si="28"/>
        <v>F010</v>
      </c>
      <c r="Q1621" s="1" t="s">
        <v>127</v>
      </c>
      <c r="S1621" s="16">
        <v>20</v>
      </c>
      <c r="T1621" s="1" t="s">
        <v>3834</v>
      </c>
      <c r="U1621" s="1" t="s">
        <v>2197</v>
      </c>
      <c r="V1621" s="1" t="s">
        <v>1601</v>
      </c>
      <c r="Y1621" s="1">
        <v>3181.85</v>
      </c>
      <c r="AB1621" s="1">
        <v>2938.8</v>
      </c>
    </row>
    <row r="1622" spans="2:28" x14ac:dyDescent="0.2">
      <c r="B1622" s="30" t="s">
        <v>2294</v>
      </c>
      <c r="C1622" s="36"/>
      <c r="D1622" s="36"/>
      <c r="F1622" s="1" t="s">
        <v>3835</v>
      </c>
      <c r="G1622" s="30" t="s">
        <v>3828</v>
      </c>
      <c r="K1622" s="1" t="s">
        <v>3838</v>
      </c>
      <c r="L1622" s="1" t="s">
        <v>1279</v>
      </c>
      <c r="M1622" s="36" t="s">
        <v>2502</v>
      </c>
      <c r="N1622" s="1" t="s">
        <v>1837</v>
      </c>
      <c r="O1622" s="1" t="s">
        <v>1286</v>
      </c>
      <c r="P1622" s="34" t="str">
        <f t="shared" si="28"/>
        <v>F010</v>
      </c>
      <c r="Q1622" s="1" t="s">
        <v>127</v>
      </c>
      <c r="S1622" s="16">
        <v>20</v>
      </c>
      <c r="T1622" s="1" t="s">
        <v>3834</v>
      </c>
      <c r="U1622" s="1" t="s">
        <v>2197</v>
      </c>
      <c r="V1622" s="1" t="s">
        <v>1601</v>
      </c>
      <c r="Y1622" s="1">
        <v>3181.85</v>
      </c>
      <c r="AB1622" s="1">
        <v>2938.8</v>
      </c>
    </row>
    <row r="1623" spans="2:28" x14ac:dyDescent="0.2">
      <c r="B1623" s="30" t="s">
        <v>2294</v>
      </c>
      <c r="C1623" s="36"/>
      <c r="D1623" s="36"/>
      <c r="F1623" s="1" t="s">
        <v>3835</v>
      </c>
      <c r="G1623" s="30" t="s">
        <v>3828</v>
      </c>
      <c r="K1623" s="1" t="s">
        <v>3839</v>
      </c>
      <c r="L1623" s="1" t="s">
        <v>1279</v>
      </c>
      <c r="M1623" s="36" t="s">
        <v>2502</v>
      </c>
      <c r="N1623" s="1" t="s">
        <v>1837</v>
      </c>
      <c r="O1623" s="1" t="s">
        <v>1286</v>
      </c>
      <c r="P1623" s="34" t="str">
        <f t="shared" si="28"/>
        <v>F010</v>
      </c>
      <c r="Q1623" s="1" t="s">
        <v>127</v>
      </c>
      <c r="S1623" s="16">
        <v>20</v>
      </c>
      <c r="T1623" s="1" t="s">
        <v>3834</v>
      </c>
      <c r="U1623" s="1" t="s">
        <v>2197</v>
      </c>
      <c r="V1623" s="1" t="s">
        <v>1601</v>
      </c>
      <c r="Y1623" s="1">
        <v>3181.85</v>
      </c>
      <c r="AB1623" s="1">
        <v>2938.8</v>
      </c>
    </row>
    <row r="1624" spans="2:28" x14ac:dyDescent="0.2">
      <c r="B1624" s="30" t="s">
        <v>2294</v>
      </c>
      <c r="C1624" s="36"/>
      <c r="D1624" s="36"/>
      <c r="F1624" s="1" t="s">
        <v>3835</v>
      </c>
      <c r="G1624" s="30" t="s">
        <v>3828</v>
      </c>
      <c r="K1624" s="1" t="s">
        <v>3840</v>
      </c>
      <c r="L1624" s="1" t="s">
        <v>1279</v>
      </c>
      <c r="M1624" s="36" t="s">
        <v>2502</v>
      </c>
      <c r="N1624" s="1" t="s">
        <v>1573</v>
      </c>
      <c r="O1624" s="1" t="s">
        <v>1286</v>
      </c>
      <c r="P1624" s="34" t="str">
        <f t="shared" si="28"/>
        <v>F010</v>
      </c>
      <c r="Q1624" s="1" t="s">
        <v>127</v>
      </c>
      <c r="S1624" s="16">
        <v>20</v>
      </c>
      <c r="T1624" s="1" t="s">
        <v>3834</v>
      </c>
      <c r="U1624" s="1" t="s">
        <v>2197</v>
      </c>
      <c r="V1624" s="1" t="s">
        <v>1601</v>
      </c>
      <c r="Y1624" s="1">
        <v>4063.39</v>
      </c>
      <c r="AB1624" s="1">
        <v>3753</v>
      </c>
    </row>
    <row r="1625" spans="2:28" x14ac:dyDescent="0.2">
      <c r="B1625" s="30" t="s">
        <v>2294</v>
      </c>
      <c r="C1625" s="36"/>
      <c r="D1625" s="36"/>
      <c r="F1625" s="1" t="s">
        <v>3835</v>
      </c>
      <c r="G1625" s="30" t="s">
        <v>3828</v>
      </c>
      <c r="K1625" s="1" t="s">
        <v>3841</v>
      </c>
      <c r="L1625" s="1" t="s">
        <v>1279</v>
      </c>
      <c r="M1625" s="36" t="s">
        <v>2502</v>
      </c>
      <c r="N1625" s="1" t="s">
        <v>1837</v>
      </c>
      <c r="O1625" s="1" t="s">
        <v>1286</v>
      </c>
      <c r="P1625" s="34" t="str">
        <f t="shared" si="28"/>
        <v>F010</v>
      </c>
      <c r="Q1625" s="1" t="s">
        <v>127</v>
      </c>
      <c r="S1625" s="16">
        <v>20</v>
      </c>
      <c r="T1625" s="1" t="s">
        <v>3834</v>
      </c>
      <c r="U1625" s="1" t="s">
        <v>2197</v>
      </c>
      <c r="V1625" s="1" t="s">
        <v>1601</v>
      </c>
      <c r="Y1625" s="1">
        <v>3181.85</v>
      </c>
      <c r="AB1625" s="1">
        <v>2938.8</v>
      </c>
    </row>
    <row r="1626" spans="2:28" x14ac:dyDescent="0.2">
      <c r="B1626" s="30" t="s">
        <v>2294</v>
      </c>
      <c r="C1626" s="36"/>
      <c r="D1626" s="36"/>
      <c r="F1626" s="1" t="s">
        <v>3835</v>
      </c>
      <c r="G1626" s="30" t="s">
        <v>3828</v>
      </c>
      <c r="K1626" s="1" t="s">
        <v>3842</v>
      </c>
      <c r="L1626" s="1" t="s">
        <v>1279</v>
      </c>
      <c r="M1626" s="36" t="s">
        <v>2502</v>
      </c>
      <c r="N1626" s="1" t="s">
        <v>1837</v>
      </c>
      <c r="O1626" s="1" t="s">
        <v>1286</v>
      </c>
      <c r="P1626" s="34" t="str">
        <f t="shared" si="28"/>
        <v>F010</v>
      </c>
      <c r="Q1626" s="1" t="s">
        <v>127</v>
      </c>
      <c r="S1626" s="16">
        <v>20</v>
      </c>
      <c r="T1626" s="1" t="s">
        <v>3834</v>
      </c>
      <c r="U1626" s="1" t="s">
        <v>2197</v>
      </c>
      <c r="V1626" s="1" t="s">
        <v>1601</v>
      </c>
      <c r="Y1626" s="1">
        <v>3181.85</v>
      </c>
      <c r="AB1626" s="1">
        <v>2938.8</v>
      </c>
    </row>
    <row r="1627" spans="2:28" x14ac:dyDescent="0.2">
      <c r="B1627" s="30" t="s">
        <v>2294</v>
      </c>
      <c r="C1627" s="36"/>
      <c r="D1627" s="36"/>
      <c r="F1627" s="1" t="s">
        <v>3835</v>
      </c>
      <c r="G1627" s="30" t="s">
        <v>3828</v>
      </c>
      <c r="K1627" s="1" t="s">
        <v>3843</v>
      </c>
      <c r="L1627" s="1" t="s">
        <v>1279</v>
      </c>
      <c r="M1627" s="36" t="s">
        <v>2502</v>
      </c>
      <c r="N1627" s="1" t="s">
        <v>1837</v>
      </c>
      <c r="O1627" s="1" t="s">
        <v>1286</v>
      </c>
      <c r="P1627" s="34" t="str">
        <f t="shared" si="28"/>
        <v>F010</v>
      </c>
      <c r="Q1627" s="1" t="s">
        <v>127</v>
      </c>
      <c r="S1627" s="16">
        <v>20</v>
      </c>
      <c r="T1627" s="1" t="s">
        <v>3834</v>
      </c>
      <c r="U1627" s="1" t="s">
        <v>2197</v>
      </c>
      <c r="V1627" s="1" t="s">
        <v>1601</v>
      </c>
      <c r="Y1627" s="1">
        <v>3181.85</v>
      </c>
      <c r="AB1627" s="1">
        <v>2938.8</v>
      </c>
    </row>
    <row r="1628" spans="2:28" x14ac:dyDescent="0.2">
      <c r="B1628" s="30" t="s">
        <v>2294</v>
      </c>
      <c r="C1628" s="36"/>
      <c r="D1628" s="36"/>
      <c r="F1628" s="1" t="s">
        <v>3835</v>
      </c>
      <c r="G1628" s="30" t="s">
        <v>3828</v>
      </c>
      <c r="K1628" s="1" t="s">
        <v>3844</v>
      </c>
      <c r="L1628" s="1" t="s">
        <v>1279</v>
      </c>
      <c r="M1628" s="36" t="s">
        <v>2502</v>
      </c>
      <c r="N1628" s="1" t="s">
        <v>1837</v>
      </c>
      <c r="O1628" s="1" t="s">
        <v>1286</v>
      </c>
      <c r="P1628" s="34" t="str">
        <f t="shared" si="28"/>
        <v>F010</v>
      </c>
      <c r="Q1628" s="1" t="s">
        <v>127</v>
      </c>
      <c r="S1628" s="16">
        <v>20</v>
      </c>
      <c r="T1628" s="1" t="s">
        <v>3834</v>
      </c>
      <c r="U1628" s="1" t="s">
        <v>2197</v>
      </c>
      <c r="V1628" s="1" t="s">
        <v>1601</v>
      </c>
      <c r="Y1628" s="1">
        <v>3181.85</v>
      </c>
      <c r="AB1628" s="1">
        <v>2938.8</v>
      </c>
    </row>
    <row r="1629" spans="2:28" x14ac:dyDescent="0.2">
      <c r="B1629" s="30" t="s">
        <v>2294</v>
      </c>
      <c r="C1629" s="36"/>
      <c r="D1629" s="36"/>
      <c r="F1629" s="1" t="s">
        <v>3835</v>
      </c>
      <c r="G1629" s="30" t="s">
        <v>3828</v>
      </c>
      <c r="K1629" s="1" t="s">
        <v>3845</v>
      </c>
      <c r="L1629" s="1" t="s">
        <v>1279</v>
      </c>
      <c r="M1629" s="36" t="s">
        <v>2502</v>
      </c>
      <c r="N1629" s="1" t="s">
        <v>1837</v>
      </c>
      <c r="O1629" s="1" t="s">
        <v>1286</v>
      </c>
      <c r="P1629" s="34" t="str">
        <f t="shared" si="28"/>
        <v>F010</v>
      </c>
      <c r="Q1629" s="1" t="s">
        <v>127</v>
      </c>
      <c r="S1629" s="16">
        <v>20</v>
      </c>
      <c r="T1629" s="1" t="s">
        <v>3846</v>
      </c>
      <c r="U1629" s="1" t="s">
        <v>2197</v>
      </c>
      <c r="V1629" s="1" t="s">
        <v>1601</v>
      </c>
      <c r="Y1629" s="1">
        <v>3181.85</v>
      </c>
      <c r="AB1629" s="1">
        <v>2938.8</v>
      </c>
    </row>
    <row r="1630" spans="2:28" x14ac:dyDescent="0.2">
      <c r="B1630" s="30" t="s">
        <v>2294</v>
      </c>
      <c r="C1630" s="36"/>
      <c r="D1630" s="36"/>
      <c r="F1630" s="1" t="s">
        <v>3847</v>
      </c>
      <c r="G1630" s="30" t="s">
        <v>3828</v>
      </c>
      <c r="K1630" s="1" t="s">
        <v>3848</v>
      </c>
      <c r="L1630" s="1" t="s">
        <v>1279</v>
      </c>
      <c r="M1630" s="36" t="s">
        <v>2502</v>
      </c>
      <c r="N1630" s="1" t="s">
        <v>1573</v>
      </c>
      <c r="O1630" s="1" t="s">
        <v>1286</v>
      </c>
      <c r="P1630" s="34" t="str">
        <f t="shared" si="28"/>
        <v>F010</v>
      </c>
      <c r="Q1630" s="1" t="s">
        <v>127</v>
      </c>
      <c r="S1630" s="16">
        <v>20</v>
      </c>
      <c r="T1630" s="1" t="s">
        <v>3846</v>
      </c>
      <c r="U1630" s="1" t="s">
        <v>2197</v>
      </c>
      <c r="V1630" s="1" t="s">
        <v>1601</v>
      </c>
      <c r="Y1630" s="1">
        <v>4063.38</v>
      </c>
      <c r="AB1630" s="1">
        <v>3752.99</v>
      </c>
    </row>
    <row r="1631" spans="2:28" x14ac:dyDescent="0.2">
      <c r="B1631" s="30" t="s">
        <v>2294</v>
      </c>
      <c r="C1631" s="36"/>
      <c r="D1631" s="36"/>
      <c r="F1631" s="1" t="s">
        <v>3847</v>
      </c>
      <c r="G1631" s="30" t="s">
        <v>3828</v>
      </c>
      <c r="K1631" s="1" t="s">
        <v>3849</v>
      </c>
      <c r="L1631" s="1" t="s">
        <v>1279</v>
      </c>
      <c r="M1631" s="36" t="s">
        <v>2502</v>
      </c>
      <c r="N1631" s="1" t="s">
        <v>1837</v>
      </c>
      <c r="O1631" s="1" t="s">
        <v>1286</v>
      </c>
      <c r="P1631" s="34" t="str">
        <f t="shared" si="28"/>
        <v>F010</v>
      </c>
      <c r="Q1631" s="1" t="s">
        <v>127</v>
      </c>
      <c r="S1631" s="16">
        <v>20</v>
      </c>
      <c r="T1631" s="1" t="s">
        <v>3846</v>
      </c>
      <c r="U1631" s="1" t="s">
        <v>2197</v>
      </c>
      <c r="V1631" s="1" t="s">
        <v>1601</v>
      </c>
      <c r="Y1631" s="1">
        <v>3181.85</v>
      </c>
      <c r="AB1631" s="1">
        <v>2938.8</v>
      </c>
    </row>
    <row r="1632" spans="2:28" x14ac:dyDescent="0.2">
      <c r="B1632" s="30" t="s">
        <v>2294</v>
      </c>
      <c r="C1632" s="36"/>
      <c r="D1632" s="36"/>
      <c r="F1632" s="1" t="s">
        <v>3847</v>
      </c>
      <c r="G1632" s="30" t="s">
        <v>3828</v>
      </c>
      <c r="K1632" s="1" t="s">
        <v>3850</v>
      </c>
      <c r="L1632" s="1" t="s">
        <v>1279</v>
      </c>
      <c r="M1632" s="36" t="s">
        <v>2502</v>
      </c>
      <c r="N1632" s="1" t="s">
        <v>1837</v>
      </c>
      <c r="O1632" s="1" t="s">
        <v>1286</v>
      </c>
      <c r="P1632" s="34" t="str">
        <f t="shared" si="28"/>
        <v>F010</v>
      </c>
      <c r="Q1632" s="1" t="s">
        <v>127</v>
      </c>
      <c r="S1632" s="16">
        <v>20</v>
      </c>
      <c r="T1632" s="1" t="s">
        <v>3846</v>
      </c>
      <c r="U1632" s="1" t="s">
        <v>2197</v>
      </c>
      <c r="V1632" s="1" t="s">
        <v>1601</v>
      </c>
      <c r="Y1632" s="1">
        <v>3181.85</v>
      </c>
      <c r="AB1632" s="1">
        <v>2938.8</v>
      </c>
    </row>
    <row r="1633" spans="2:28" x14ac:dyDescent="0.2">
      <c r="B1633" s="30" t="s">
        <v>2294</v>
      </c>
      <c r="C1633" s="36"/>
      <c r="D1633" s="36"/>
      <c r="F1633" s="1" t="s">
        <v>3847</v>
      </c>
      <c r="G1633" s="30" t="s">
        <v>3828</v>
      </c>
      <c r="K1633" s="1" t="s">
        <v>3851</v>
      </c>
      <c r="L1633" s="1" t="s">
        <v>1279</v>
      </c>
      <c r="M1633" s="36" t="s">
        <v>2502</v>
      </c>
      <c r="N1633" s="1" t="s">
        <v>1837</v>
      </c>
      <c r="O1633" s="1" t="s">
        <v>1286</v>
      </c>
      <c r="P1633" s="34" t="str">
        <f t="shared" si="28"/>
        <v>F010</v>
      </c>
      <c r="Q1633" s="1" t="s">
        <v>127</v>
      </c>
      <c r="S1633" s="16">
        <v>20</v>
      </c>
      <c r="T1633" s="1" t="s">
        <v>3846</v>
      </c>
      <c r="U1633" s="1" t="s">
        <v>2197</v>
      </c>
      <c r="V1633" s="1" t="s">
        <v>1601</v>
      </c>
      <c r="Y1633" s="1">
        <v>3181.85</v>
      </c>
      <c r="AB1633" s="1">
        <v>2938.8</v>
      </c>
    </row>
    <row r="1634" spans="2:28" x14ac:dyDescent="0.2">
      <c r="B1634" s="30" t="s">
        <v>2294</v>
      </c>
      <c r="C1634" s="36"/>
      <c r="D1634" s="36"/>
      <c r="F1634" s="1" t="s">
        <v>3847</v>
      </c>
      <c r="G1634" s="30" t="s">
        <v>3852</v>
      </c>
      <c r="K1634" s="1" t="s">
        <v>3853</v>
      </c>
      <c r="L1634" s="1" t="s">
        <v>1279</v>
      </c>
      <c r="M1634" s="36" t="s">
        <v>1334</v>
      </c>
      <c r="N1634" s="1" t="s">
        <v>1286</v>
      </c>
      <c r="O1634" s="1" t="s">
        <v>1286</v>
      </c>
      <c r="P1634" s="34" t="str">
        <f t="shared" si="28"/>
        <v>F010</v>
      </c>
      <c r="Q1634" s="1" t="s">
        <v>127</v>
      </c>
      <c r="S1634" s="16">
        <v>20</v>
      </c>
      <c r="T1634" s="1" t="s">
        <v>3846</v>
      </c>
      <c r="U1634" s="1" t="s">
        <v>1535</v>
      </c>
      <c r="V1634" s="1" t="s">
        <v>2553</v>
      </c>
      <c r="Y1634" s="1">
        <v>7150</v>
      </c>
      <c r="AB1634" s="1">
        <v>3962.28</v>
      </c>
    </row>
    <row r="1635" spans="2:28" x14ac:dyDescent="0.2">
      <c r="B1635" s="30" t="s">
        <v>2294</v>
      </c>
      <c r="C1635" s="36"/>
      <c r="D1635" s="36"/>
      <c r="F1635" s="1" t="s">
        <v>3847</v>
      </c>
      <c r="G1635" s="30" t="s">
        <v>3852</v>
      </c>
      <c r="K1635" s="1" t="s">
        <v>3854</v>
      </c>
      <c r="L1635" s="1" t="s">
        <v>1279</v>
      </c>
      <c r="M1635" s="36" t="s">
        <v>1334</v>
      </c>
      <c r="N1635" s="1" t="s">
        <v>1286</v>
      </c>
      <c r="O1635" s="1" t="s">
        <v>1286</v>
      </c>
      <c r="P1635" s="34" t="str">
        <f t="shared" si="28"/>
        <v>F010</v>
      </c>
      <c r="Q1635" s="1" t="s">
        <v>127</v>
      </c>
      <c r="S1635" s="16">
        <v>20</v>
      </c>
      <c r="T1635" s="1" t="s">
        <v>3846</v>
      </c>
      <c r="U1635" s="1" t="s">
        <v>1535</v>
      </c>
      <c r="V1635" s="1" t="s">
        <v>2553</v>
      </c>
      <c r="Y1635" s="1">
        <v>7150</v>
      </c>
      <c r="AB1635" s="1">
        <v>3962.28</v>
      </c>
    </row>
    <row r="1636" spans="2:28" x14ac:dyDescent="0.2">
      <c r="B1636" s="30" t="s">
        <v>2294</v>
      </c>
      <c r="C1636" s="36"/>
      <c r="D1636" s="36"/>
      <c r="F1636" s="1" t="s">
        <v>3847</v>
      </c>
      <c r="G1636" s="30" t="s">
        <v>3852</v>
      </c>
      <c r="K1636" s="1" t="s">
        <v>3855</v>
      </c>
      <c r="L1636" s="1" t="s">
        <v>1279</v>
      </c>
      <c r="M1636" s="36" t="s">
        <v>1334</v>
      </c>
      <c r="N1636" s="1" t="s">
        <v>1286</v>
      </c>
      <c r="O1636" s="1" t="s">
        <v>1286</v>
      </c>
      <c r="P1636" s="34" t="str">
        <f t="shared" si="28"/>
        <v>F010</v>
      </c>
      <c r="Q1636" s="1" t="s">
        <v>127</v>
      </c>
      <c r="S1636" s="16">
        <v>20</v>
      </c>
      <c r="T1636" s="1" t="s">
        <v>3846</v>
      </c>
      <c r="U1636" s="1" t="s">
        <v>1535</v>
      </c>
      <c r="V1636" s="1" t="s">
        <v>2553</v>
      </c>
      <c r="Y1636" s="1">
        <v>7150</v>
      </c>
      <c r="AB1636" s="1">
        <v>3962.28</v>
      </c>
    </row>
    <row r="1637" spans="2:28" x14ac:dyDescent="0.2">
      <c r="B1637" s="30" t="s">
        <v>2294</v>
      </c>
      <c r="C1637" s="36"/>
      <c r="D1637" s="36"/>
      <c r="F1637" s="1" t="s">
        <v>3847</v>
      </c>
      <c r="G1637" s="30" t="s">
        <v>3852</v>
      </c>
      <c r="K1637" s="1" t="s">
        <v>3856</v>
      </c>
      <c r="L1637" s="1" t="s">
        <v>1279</v>
      </c>
      <c r="M1637" s="36" t="s">
        <v>1334</v>
      </c>
      <c r="N1637" s="1" t="s">
        <v>1286</v>
      </c>
      <c r="O1637" s="1" t="s">
        <v>1286</v>
      </c>
      <c r="P1637" s="34" t="str">
        <f t="shared" si="28"/>
        <v>F010</v>
      </c>
      <c r="Q1637" s="1" t="s">
        <v>127</v>
      </c>
      <c r="S1637" s="16">
        <v>20</v>
      </c>
      <c r="T1637" s="1" t="s">
        <v>3846</v>
      </c>
      <c r="U1637" s="1" t="s">
        <v>1535</v>
      </c>
      <c r="V1637" s="1" t="s">
        <v>2553</v>
      </c>
      <c r="Y1637" s="1">
        <v>7150</v>
      </c>
      <c r="AB1637" s="1">
        <v>3962.28</v>
      </c>
    </row>
    <row r="1638" spans="2:28" x14ac:dyDescent="0.2">
      <c r="B1638" s="30" t="s">
        <v>2294</v>
      </c>
      <c r="C1638" s="36"/>
      <c r="D1638" s="36"/>
      <c r="F1638" s="1" t="s">
        <v>3847</v>
      </c>
      <c r="G1638" s="30" t="s">
        <v>3852</v>
      </c>
      <c r="K1638" s="1" t="s">
        <v>3857</v>
      </c>
      <c r="L1638" s="1" t="s">
        <v>1279</v>
      </c>
      <c r="M1638" s="36" t="s">
        <v>1334</v>
      </c>
      <c r="N1638" s="1" t="s">
        <v>1286</v>
      </c>
      <c r="O1638" s="1" t="s">
        <v>1286</v>
      </c>
      <c r="P1638" s="34" t="str">
        <f t="shared" si="28"/>
        <v>F010</v>
      </c>
      <c r="Q1638" s="1" t="s">
        <v>127</v>
      </c>
      <c r="S1638" s="16">
        <v>20</v>
      </c>
      <c r="T1638" s="1" t="s">
        <v>3846</v>
      </c>
      <c r="U1638" s="1" t="s">
        <v>1535</v>
      </c>
      <c r="V1638" s="1" t="s">
        <v>2553</v>
      </c>
      <c r="Y1638" s="1">
        <v>7150</v>
      </c>
      <c r="AB1638" s="1">
        <v>3962.28</v>
      </c>
    </row>
    <row r="1639" spans="2:28" x14ac:dyDescent="0.2">
      <c r="B1639" s="30" t="s">
        <v>2294</v>
      </c>
      <c r="C1639" s="36"/>
      <c r="D1639" s="36"/>
      <c r="F1639" s="1" t="s">
        <v>3847</v>
      </c>
      <c r="G1639" s="30" t="s">
        <v>3852</v>
      </c>
      <c r="K1639" s="1" t="s">
        <v>3858</v>
      </c>
      <c r="L1639" s="1" t="s">
        <v>1279</v>
      </c>
      <c r="M1639" s="36" t="s">
        <v>1497</v>
      </c>
      <c r="N1639" s="1" t="s">
        <v>1286</v>
      </c>
      <c r="O1639" s="1" t="s">
        <v>1286</v>
      </c>
      <c r="P1639" s="34" t="str">
        <f t="shared" si="28"/>
        <v>F010</v>
      </c>
      <c r="Q1639" s="1" t="s">
        <v>127</v>
      </c>
      <c r="S1639" s="16">
        <v>20</v>
      </c>
      <c r="T1639" s="1" t="s">
        <v>3846</v>
      </c>
      <c r="U1639" s="1" t="s">
        <v>1460</v>
      </c>
      <c r="V1639" s="1" t="s">
        <v>3495</v>
      </c>
      <c r="Y1639" s="1">
        <v>7150</v>
      </c>
      <c r="AB1639" s="1">
        <v>4528.32</v>
      </c>
    </row>
    <row r="1640" spans="2:28" x14ac:dyDescent="0.2">
      <c r="B1640" s="30" t="s">
        <v>2294</v>
      </c>
      <c r="C1640" s="36"/>
      <c r="D1640" s="36"/>
      <c r="F1640" s="1" t="s">
        <v>3847</v>
      </c>
      <c r="G1640" s="30" t="s">
        <v>3859</v>
      </c>
      <c r="K1640" s="1" t="s">
        <v>3860</v>
      </c>
      <c r="L1640" s="1" t="s">
        <v>1279</v>
      </c>
      <c r="M1640" s="36" t="s">
        <v>1334</v>
      </c>
      <c r="N1640" s="1" t="s">
        <v>2598</v>
      </c>
      <c r="O1640" s="1" t="s">
        <v>1286</v>
      </c>
      <c r="P1640" s="34" t="str">
        <f t="shared" si="28"/>
        <v>F010</v>
      </c>
      <c r="Q1640" s="1" t="s">
        <v>127</v>
      </c>
      <c r="S1640" s="16">
        <v>20</v>
      </c>
      <c r="T1640" s="1" t="s">
        <v>3846</v>
      </c>
      <c r="U1640" s="1" t="s">
        <v>1535</v>
      </c>
      <c r="V1640" s="1" t="s">
        <v>2553</v>
      </c>
      <c r="Y1640" s="1">
        <v>3555.34</v>
      </c>
      <c r="AB1640" s="1">
        <v>1970.22</v>
      </c>
    </row>
    <row r="1641" spans="2:28" x14ac:dyDescent="0.2">
      <c r="B1641" s="30" t="s">
        <v>2294</v>
      </c>
      <c r="C1641" s="36"/>
      <c r="D1641" s="36"/>
      <c r="F1641" s="1" t="s">
        <v>3847</v>
      </c>
      <c r="G1641" s="30" t="s">
        <v>3859</v>
      </c>
      <c r="K1641" s="1" t="s">
        <v>3861</v>
      </c>
      <c r="L1641" s="1" t="s">
        <v>1279</v>
      </c>
      <c r="M1641" s="36" t="s">
        <v>1334</v>
      </c>
      <c r="N1641" s="1" t="s">
        <v>2598</v>
      </c>
      <c r="O1641" s="1" t="s">
        <v>1286</v>
      </c>
      <c r="P1641" s="34" t="str">
        <f t="shared" si="28"/>
        <v>F010</v>
      </c>
      <c r="Q1641" s="1" t="s">
        <v>127</v>
      </c>
      <c r="S1641" s="16">
        <v>20</v>
      </c>
      <c r="T1641" s="1" t="s">
        <v>3846</v>
      </c>
      <c r="U1641" s="1" t="s">
        <v>1535</v>
      </c>
      <c r="V1641" s="1" t="s">
        <v>2553</v>
      </c>
      <c r="Y1641" s="1">
        <v>3555.34</v>
      </c>
      <c r="AB1641" s="1">
        <v>1970.22</v>
      </c>
    </row>
    <row r="1642" spans="2:28" x14ac:dyDescent="0.2">
      <c r="B1642" s="30" t="s">
        <v>2294</v>
      </c>
      <c r="C1642" s="36"/>
      <c r="D1642" s="36"/>
      <c r="F1642" s="1" t="s">
        <v>3847</v>
      </c>
      <c r="G1642" s="30" t="s">
        <v>3859</v>
      </c>
      <c r="K1642" s="1" t="s">
        <v>3862</v>
      </c>
      <c r="L1642" s="1" t="s">
        <v>1279</v>
      </c>
      <c r="M1642" s="36" t="s">
        <v>1334</v>
      </c>
      <c r="N1642" s="1" t="s">
        <v>2598</v>
      </c>
      <c r="O1642" s="1" t="s">
        <v>1286</v>
      </c>
      <c r="P1642" s="34" t="str">
        <f t="shared" si="28"/>
        <v>F010</v>
      </c>
      <c r="Q1642" s="1" t="s">
        <v>127</v>
      </c>
      <c r="S1642" s="16">
        <v>20</v>
      </c>
      <c r="T1642" s="1" t="s">
        <v>3088</v>
      </c>
      <c r="U1642" s="1" t="s">
        <v>1535</v>
      </c>
      <c r="V1642" s="1" t="s">
        <v>2553</v>
      </c>
      <c r="Y1642" s="1">
        <v>3555.34</v>
      </c>
      <c r="AB1642" s="1">
        <v>1970.22</v>
      </c>
    </row>
    <row r="1643" spans="2:28" x14ac:dyDescent="0.2">
      <c r="B1643" s="30" t="s">
        <v>2294</v>
      </c>
      <c r="C1643" s="36"/>
      <c r="D1643" s="36"/>
      <c r="F1643" s="1" t="s">
        <v>3089</v>
      </c>
      <c r="G1643" s="30" t="s">
        <v>3859</v>
      </c>
      <c r="K1643" s="1" t="s">
        <v>3863</v>
      </c>
      <c r="L1643" s="1" t="s">
        <v>1279</v>
      </c>
      <c r="M1643" s="36" t="s">
        <v>1334</v>
      </c>
      <c r="N1643" s="1" t="s">
        <v>1564</v>
      </c>
      <c r="O1643" s="1" t="s">
        <v>1286</v>
      </c>
      <c r="P1643" s="34" t="str">
        <f t="shared" si="28"/>
        <v>F010</v>
      </c>
      <c r="Q1643" s="1" t="s">
        <v>127</v>
      </c>
      <c r="S1643" s="16">
        <v>20</v>
      </c>
      <c r="T1643" s="1" t="s">
        <v>3088</v>
      </c>
      <c r="U1643" s="1" t="s">
        <v>1535</v>
      </c>
      <c r="V1643" s="1" t="s">
        <v>2553</v>
      </c>
      <c r="Y1643" s="1">
        <v>6850</v>
      </c>
      <c r="AB1643" s="1">
        <v>3796.03</v>
      </c>
    </row>
    <row r="1644" spans="2:28" x14ac:dyDescent="0.2">
      <c r="B1644" s="30" t="s">
        <v>2294</v>
      </c>
      <c r="C1644" s="36"/>
      <c r="D1644" s="36"/>
      <c r="F1644" s="1" t="s">
        <v>3089</v>
      </c>
      <c r="G1644" s="30" t="s">
        <v>3859</v>
      </c>
      <c r="K1644" s="1" t="s">
        <v>3864</v>
      </c>
      <c r="L1644" s="1" t="s">
        <v>1279</v>
      </c>
      <c r="M1644" s="36" t="s">
        <v>1334</v>
      </c>
      <c r="N1644" s="1" t="s">
        <v>2598</v>
      </c>
      <c r="O1644" s="1" t="s">
        <v>1286</v>
      </c>
      <c r="P1644" s="34" t="str">
        <f t="shared" si="28"/>
        <v>F010</v>
      </c>
      <c r="Q1644" s="1" t="s">
        <v>127</v>
      </c>
      <c r="S1644" s="16">
        <v>20</v>
      </c>
      <c r="T1644" s="1" t="s">
        <v>3088</v>
      </c>
      <c r="U1644" s="1" t="s">
        <v>1535</v>
      </c>
      <c r="V1644" s="1" t="s">
        <v>2553</v>
      </c>
      <c r="Y1644" s="1">
        <v>3555.35</v>
      </c>
      <c r="AB1644" s="1">
        <v>1970.22</v>
      </c>
    </row>
    <row r="1645" spans="2:28" x14ac:dyDescent="0.2">
      <c r="B1645" s="30" t="s">
        <v>2294</v>
      </c>
      <c r="C1645" s="36"/>
      <c r="D1645" s="36"/>
      <c r="F1645" s="1" t="s">
        <v>3089</v>
      </c>
      <c r="G1645" s="30" t="s">
        <v>3859</v>
      </c>
      <c r="K1645" s="1" t="s">
        <v>3865</v>
      </c>
      <c r="L1645" s="1" t="s">
        <v>1279</v>
      </c>
      <c r="M1645" s="36" t="s">
        <v>1463</v>
      </c>
      <c r="N1645" s="1" t="s">
        <v>1754</v>
      </c>
      <c r="O1645" s="1" t="s">
        <v>1286</v>
      </c>
      <c r="P1645" s="34" t="str">
        <f t="shared" si="28"/>
        <v>F010</v>
      </c>
      <c r="Q1645" s="1" t="s">
        <v>127</v>
      </c>
      <c r="S1645" s="16">
        <v>20</v>
      </c>
      <c r="T1645" s="1" t="s">
        <v>3088</v>
      </c>
      <c r="U1645" s="1" t="s">
        <v>1480</v>
      </c>
      <c r="V1645" s="1" t="s">
        <v>1696</v>
      </c>
      <c r="Y1645" s="1">
        <v>6302.84</v>
      </c>
      <c r="AB1645" s="1">
        <v>2661.21</v>
      </c>
    </row>
    <row r="1646" spans="2:28" x14ac:dyDescent="0.2">
      <c r="B1646" s="30" t="s">
        <v>2294</v>
      </c>
      <c r="C1646" s="36"/>
      <c r="D1646" s="36"/>
      <c r="F1646" s="1" t="s">
        <v>3089</v>
      </c>
      <c r="G1646" s="30" t="s">
        <v>3859</v>
      </c>
      <c r="K1646" s="1" t="s">
        <v>3866</v>
      </c>
      <c r="L1646" s="1" t="s">
        <v>1279</v>
      </c>
      <c r="M1646" s="36" t="s">
        <v>1463</v>
      </c>
      <c r="N1646" s="1" t="s">
        <v>1795</v>
      </c>
      <c r="O1646" s="1" t="s">
        <v>1286</v>
      </c>
      <c r="P1646" s="34" t="str">
        <f t="shared" si="28"/>
        <v>F010</v>
      </c>
      <c r="Q1646" s="1" t="s">
        <v>127</v>
      </c>
      <c r="S1646" s="16">
        <v>20</v>
      </c>
      <c r="T1646" s="1" t="s">
        <v>3088</v>
      </c>
      <c r="U1646" s="1" t="s">
        <v>1480</v>
      </c>
      <c r="V1646" s="1" t="s">
        <v>1696</v>
      </c>
      <c r="Y1646" s="1">
        <v>6302.84</v>
      </c>
      <c r="AB1646" s="1">
        <v>2661.21</v>
      </c>
    </row>
    <row r="1647" spans="2:28" x14ac:dyDescent="0.2">
      <c r="B1647" s="30" t="s">
        <v>2294</v>
      </c>
      <c r="C1647" s="36"/>
      <c r="D1647" s="36"/>
      <c r="F1647" s="1" t="s">
        <v>3089</v>
      </c>
      <c r="G1647" s="30" t="s">
        <v>3859</v>
      </c>
      <c r="K1647" s="1" t="s">
        <v>3867</v>
      </c>
      <c r="L1647" s="1" t="s">
        <v>1279</v>
      </c>
      <c r="M1647" s="36" t="s">
        <v>1463</v>
      </c>
      <c r="N1647" s="1" t="s">
        <v>1795</v>
      </c>
      <c r="O1647" s="1" t="s">
        <v>1286</v>
      </c>
      <c r="P1647" s="34" t="str">
        <f t="shared" si="28"/>
        <v>F010</v>
      </c>
      <c r="Q1647" s="1" t="s">
        <v>127</v>
      </c>
      <c r="S1647" s="16">
        <v>20</v>
      </c>
      <c r="T1647" s="1" t="s">
        <v>3088</v>
      </c>
      <c r="U1647" s="1" t="s">
        <v>1480</v>
      </c>
      <c r="V1647" s="1" t="s">
        <v>1696</v>
      </c>
      <c r="Y1647" s="1">
        <v>6302.84</v>
      </c>
      <c r="AB1647" s="1">
        <v>2661.21</v>
      </c>
    </row>
    <row r="1648" spans="2:28" x14ac:dyDescent="0.2">
      <c r="B1648" s="30" t="s">
        <v>2294</v>
      </c>
      <c r="C1648" s="36"/>
      <c r="D1648" s="36"/>
      <c r="F1648" s="1" t="s">
        <v>3089</v>
      </c>
      <c r="G1648" s="30" t="s">
        <v>3859</v>
      </c>
      <c r="K1648" s="1" t="s">
        <v>3868</v>
      </c>
      <c r="L1648" s="1" t="s">
        <v>1279</v>
      </c>
      <c r="M1648" s="36" t="s">
        <v>1463</v>
      </c>
      <c r="N1648" s="1" t="s">
        <v>2934</v>
      </c>
      <c r="O1648" s="1" t="s">
        <v>1286</v>
      </c>
      <c r="P1648" s="34" t="str">
        <f t="shared" si="28"/>
        <v>F010</v>
      </c>
      <c r="Q1648" s="1" t="s">
        <v>127</v>
      </c>
      <c r="S1648" s="16">
        <v>20</v>
      </c>
      <c r="T1648" s="1" t="s">
        <v>3088</v>
      </c>
      <c r="U1648" s="1" t="s">
        <v>1480</v>
      </c>
      <c r="V1648" s="1" t="s">
        <v>1696</v>
      </c>
      <c r="Y1648" s="1">
        <v>6302.84</v>
      </c>
      <c r="AB1648" s="1">
        <v>2661.21</v>
      </c>
    </row>
    <row r="1649" spans="2:28" x14ac:dyDescent="0.2">
      <c r="B1649" s="30" t="s">
        <v>2294</v>
      </c>
      <c r="C1649" s="36"/>
      <c r="D1649" s="36"/>
      <c r="F1649" s="1" t="s">
        <v>3089</v>
      </c>
      <c r="G1649" s="30" t="s">
        <v>3859</v>
      </c>
      <c r="K1649" s="1" t="s">
        <v>3869</v>
      </c>
      <c r="L1649" s="1" t="s">
        <v>1279</v>
      </c>
      <c r="M1649" s="36" t="s">
        <v>1463</v>
      </c>
      <c r="N1649" s="1" t="s">
        <v>1708</v>
      </c>
      <c r="O1649" s="1" t="s">
        <v>1286</v>
      </c>
      <c r="P1649" s="34" t="str">
        <f t="shared" si="28"/>
        <v>F010</v>
      </c>
      <c r="Q1649" s="1" t="s">
        <v>127</v>
      </c>
      <c r="S1649" s="16">
        <v>20</v>
      </c>
      <c r="T1649" s="1" t="s">
        <v>3088</v>
      </c>
      <c r="U1649" s="1" t="s">
        <v>1480</v>
      </c>
      <c r="V1649" s="1" t="s">
        <v>1696</v>
      </c>
      <c r="Y1649" s="1">
        <v>6302.84</v>
      </c>
      <c r="AB1649" s="1">
        <v>2661.21</v>
      </c>
    </row>
    <row r="1650" spans="2:28" x14ac:dyDescent="0.2">
      <c r="B1650" s="30" t="s">
        <v>2294</v>
      </c>
      <c r="C1650" s="36"/>
      <c r="D1650" s="36"/>
      <c r="F1650" s="1" t="s">
        <v>3089</v>
      </c>
      <c r="G1650" s="30" t="s">
        <v>3859</v>
      </c>
      <c r="K1650" s="1" t="s">
        <v>3870</v>
      </c>
      <c r="L1650" s="1" t="s">
        <v>1279</v>
      </c>
      <c r="M1650" s="36" t="s">
        <v>1463</v>
      </c>
      <c r="N1650" s="1" t="s">
        <v>1587</v>
      </c>
      <c r="O1650" s="1" t="s">
        <v>1286</v>
      </c>
      <c r="P1650" s="34" t="str">
        <f t="shared" si="28"/>
        <v>F010</v>
      </c>
      <c r="Q1650" s="1" t="s">
        <v>127</v>
      </c>
      <c r="S1650" s="16">
        <v>20</v>
      </c>
      <c r="T1650" s="1" t="s">
        <v>3088</v>
      </c>
      <c r="U1650" s="1" t="s">
        <v>1480</v>
      </c>
      <c r="V1650" s="1" t="s">
        <v>1696</v>
      </c>
      <c r="Y1650" s="1">
        <v>6302.84</v>
      </c>
      <c r="AB1650" s="1">
        <v>2661.21</v>
      </c>
    </row>
    <row r="1651" spans="2:28" x14ac:dyDescent="0.2">
      <c r="B1651" s="30" t="s">
        <v>2294</v>
      </c>
      <c r="C1651" s="36"/>
      <c r="D1651" s="36"/>
      <c r="F1651" s="1" t="s">
        <v>3089</v>
      </c>
      <c r="G1651" s="30" t="s">
        <v>3859</v>
      </c>
      <c r="K1651" s="1" t="s">
        <v>3871</v>
      </c>
      <c r="L1651" s="1" t="s">
        <v>1279</v>
      </c>
      <c r="M1651" s="36" t="s">
        <v>1463</v>
      </c>
      <c r="N1651" s="1" t="s">
        <v>1577</v>
      </c>
      <c r="O1651" s="1" t="s">
        <v>1286</v>
      </c>
      <c r="P1651" s="34" t="str">
        <f t="shared" si="28"/>
        <v>F010</v>
      </c>
      <c r="Q1651" s="1" t="s">
        <v>127</v>
      </c>
      <c r="S1651" s="16">
        <v>20</v>
      </c>
      <c r="T1651" s="1" t="s">
        <v>3088</v>
      </c>
      <c r="U1651" s="1" t="s">
        <v>1480</v>
      </c>
      <c r="V1651" s="1" t="s">
        <v>1696</v>
      </c>
      <c r="Y1651" s="1">
        <v>6302.83</v>
      </c>
      <c r="AB1651" s="1">
        <v>2661.2</v>
      </c>
    </row>
    <row r="1652" spans="2:28" x14ac:dyDescent="0.2">
      <c r="B1652" s="30" t="s">
        <v>2294</v>
      </c>
      <c r="C1652" s="36"/>
      <c r="D1652" s="36"/>
      <c r="F1652" s="1" t="s">
        <v>3089</v>
      </c>
      <c r="G1652" s="30" t="s">
        <v>3872</v>
      </c>
      <c r="K1652" s="1" t="s">
        <v>3873</v>
      </c>
      <c r="L1652" s="1" t="s">
        <v>1279</v>
      </c>
      <c r="M1652" s="36" t="s">
        <v>1497</v>
      </c>
      <c r="N1652" s="1" t="s">
        <v>2598</v>
      </c>
      <c r="O1652" s="1" t="s">
        <v>1286</v>
      </c>
      <c r="P1652" s="34" t="str">
        <f t="shared" si="28"/>
        <v>F010</v>
      </c>
      <c r="Q1652" s="1" t="s">
        <v>127</v>
      </c>
      <c r="S1652" s="16">
        <v>20</v>
      </c>
      <c r="T1652" s="1" t="s">
        <v>3088</v>
      </c>
      <c r="U1652" s="1" t="s">
        <v>1460</v>
      </c>
      <c r="V1652" s="1" t="s">
        <v>3495</v>
      </c>
      <c r="Y1652" s="1">
        <v>6850</v>
      </c>
      <c r="AB1652" s="1">
        <v>4338.33</v>
      </c>
    </row>
    <row r="1653" spans="2:28" x14ac:dyDescent="0.2">
      <c r="B1653" s="30" t="s">
        <v>2294</v>
      </c>
      <c r="C1653" s="36"/>
      <c r="D1653" s="36"/>
      <c r="F1653" s="1" t="s">
        <v>3089</v>
      </c>
      <c r="G1653" s="30" t="s">
        <v>3872</v>
      </c>
      <c r="K1653" s="1" t="s">
        <v>3874</v>
      </c>
      <c r="L1653" s="1" t="s">
        <v>1279</v>
      </c>
      <c r="M1653" s="36" t="s">
        <v>1497</v>
      </c>
      <c r="N1653" s="1" t="s">
        <v>1287</v>
      </c>
      <c r="O1653" s="1" t="s">
        <v>1286</v>
      </c>
      <c r="P1653" s="34" t="str">
        <f t="shared" si="28"/>
        <v>F010</v>
      </c>
      <c r="Q1653" s="1" t="s">
        <v>127</v>
      </c>
      <c r="S1653" s="16">
        <v>20</v>
      </c>
      <c r="T1653" s="1" t="s">
        <v>3088</v>
      </c>
      <c r="U1653" s="1" t="s">
        <v>1460</v>
      </c>
      <c r="V1653" s="1" t="s">
        <v>3495</v>
      </c>
      <c r="Y1653" s="1">
        <v>6850</v>
      </c>
      <c r="AB1653" s="1">
        <v>4338.33</v>
      </c>
    </row>
    <row r="1654" spans="2:28" x14ac:dyDescent="0.2">
      <c r="B1654" s="30" t="s">
        <v>2294</v>
      </c>
      <c r="C1654" s="36"/>
      <c r="D1654" s="36"/>
      <c r="F1654" s="1" t="s">
        <v>3089</v>
      </c>
      <c r="G1654" s="30" t="s">
        <v>3872</v>
      </c>
      <c r="K1654" s="1" t="s">
        <v>3875</v>
      </c>
      <c r="L1654" s="1" t="s">
        <v>1279</v>
      </c>
      <c r="M1654" s="36" t="s">
        <v>1497</v>
      </c>
      <c r="N1654" s="1" t="s">
        <v>1287</v>
      </c>
      <c r="O1654" s="1" t="s">
        <v>1286</v>
      </c>
      <c r="P1654" s="34" t="str">
        <f t="shared" si="28"/>
        <v>F010</v>
      </c>
      <c r="Q1654" s="1" t="s">
        <v>127</v>
      </c>
      <c r="S1654" s="16">
        <v>20</v>
      </c>
      <c r="T1654" s="1" t="s">
        <v>3876</v>
      </c>
      <c r="U1654" s="1" t="s">
        <v>1460</v>
      </c>
      <c r="V1654" s="1" t="s">
        <v>3495</v>
      </c>
      <c r="Y1654" s="1">
        <v>6850</v>
      </c>
      <c r="AB1654" s="1">
        <v>4338.33</v>
      </c>
    </row>
    <row r="1655" spans="2:28" x14ac:dyDescent="0.2">
      <c r="B1655" s="30" t="s">
        <v>2294</v>
      </c>
      <c r="C1655" s="36"/>
      <c r="D1655" s="36"/>
      <c r="F1655" s="1" t="s">
        <v>3877</v>
      </c>
      <c r="G1655" s="30" t="s">
        <v>3872</v>
      </c>
      <c r="K1655" s="1" t="s">
        <v>3878</v>
      </c>
      <c r="L1655" s="1" t="s">
        <v>1279</v>
      </c>
      <c r="M1655" s="36" t="s">
        <v>1497</v>
      </c>
      <c r="N1655" s="1" t="s">
        <v>1715</v>
      </c>
      <c r="O1655" s="1" t="s">
        <v>1286</v>
      </c>
      <c r="P1655" s="34" t="str">
        <f t="shared" si="28"/>
        <v>F010</v>
      </c>
      <c r="Q1655" s="1" t="s">
        <v>127</v>
      </c>
      <c r="S1655" s="16">
        <v>20</v>
      </c>
      <c r="T1655" s="1" t="s">
        <v>3876</v>
      </c>
      <c r="U1655" s="1" t="s">
        <v>1460</v>
      </c>
      <c r="V1655" s="1" t="s">
        <v>3495</v>
      </c>
      <c r="Y1655" s="1">
        <v>6850</v>
      </c>
      <c r="AB1655" s="1">
        <v>4338.33</v>
      </c>
    </row>
    <row r="1656" spans="2:28" x14ac:dyDescent="0.2">
      <c r="B1656" s="30" t="s">
        <v>2294</v>
      </c>
      <c r="C1656" s="36"/>
      <c r="D1656" s="36"/>
      <c r="F1656" s="1" t="s">
        <v>3877</v>
      </c>
      <c r="G1656" s="30" t="s">
        <v>3879</v>
      </c>
      <c r="K1656" s="1" t="s">
        <v>3880</v>
      </c>
      <c r="L1656" s="1" t="s">
        <v>1279</v>
      </c>
      <c r="M1656" s="36" t="s">
        <v>1641</v>
      </c>
      <c r="N1656" s="1" t="s">
        <v>1286</v>
      </c>
      <c r="O1656" s="1" t="s">
        <v>1286</v>
      </c>
      <c r="P1656" s="34" t="str">
        <f t="shared" si="28"/>
        <v>F010</v>
      </c>
      <c r="Q1656" s="1" t="s">
        <v>137</v>
      </c>
      <c r="S1656" s="16">
        <v>20</v>
      </c>
      <c r="T1656" s="1" t="s">
        <v>3876</v>
      </c>
      <c r="U1656" s="1" t="s">
        <v>2236</v>
      </c>
      <c r="V1656" s="1" t="s">
        <v>1857</v>
      </c>
      <c r="Y1656" s="1">
        <v>4292</v>
      </c>
      <c r="AB1656" s="1">
        <v>4077.4</v>
      </c>
    </row>
    <row r="1657" spans="2:28" x14ac:dyDescent="0.2">
      <c r="B1657" s="30" t="s">
        <v>2294</v>
      </c>
      <c r="C1657" s="36"/>
      <c r="D1657" s="36"/>
      <c r="F1657" s="1" t="s">
        <v>3877</v>
      </c>
      <c r="G1657" s="30" t="s">
        <v>3879</v>
      </c>
      <c r="K1657" s="1" t="s">
        <v>3881</v>
      </c>
      <c r="L1657" s="1" t="s">
        <v>1279</v>
      </c>
      <c r="M1657" s="36" t="s">
        <v>1641</v>
      </c>
      <c r="N1657" s="1" t="s">
        <v>1287</v>
      </c>
      <c r="O1657" s="1" t="s">
        <v>1286</v>
      </c>
      <c r="P1657" s="34" t="str">
        <f t="shared" si="28"/>
        <v>F010</v>
      </c>
      <c r="Q1657" s="1" t="s">
        <v>127</v>
      </c>
      <c r="S1657" s="16">
        <v>20</v>
      </c>
      <c r="T1657" s="1" t="s">
        <v>3876</v>
      </c>
      <c r="U1657" s="1" t="s">
        <v>2236</v>
      </c>
      <c r="V1657" s="1" t="s">
        <v>1857</v>
      </c>
      <c r="Y1657" s="1">
        <v>4292</v>
      </c>
      <c r="AB1657" s="1">
        <v>4077.4</v>
      </c>
    </row>
    <row r="1658" spans="2:28" x14ac:dyDescent="0.2">
      <c r="B1658" s="30" t="s">
        <v>2294</v>
      </c>
      <c r="C1658" s="36"/>
      <c r="D1658" s="36"/>
      <c r="F1658" s="1" t="s">
        <v>3877</v>
      </c>
      <c r="G1658" s="30" t="s">
        <v>3879</v>
      </c>
      <c r="K1658" s="1" t="s">
        <v>3882</v>
      </c>
      <c r="L1658" s="1" t="s">
        <v>1279</v>
      </c>
      <c r="M1658" s="36" t="s">
        <v>1641</v>
      </c>
      <c r="N1658" s="1" t="s">
        <v>1284</v>
      </c>
      <c r="O1658" s="1" t="s">
        <v>1286</v>
      </c>
      <c r="P1658" s="34" t="str">
        <f t="shared" si="28"/>
        <v>F010</v>
      </c>
      <c r="Q1658" s="1" t="s">
        <v>127</v>
      </c>
      <c r="S1658" s="16">
        <v>20</v>
      </c>
      <c r="T1658" s="1" t="s">
        <v>3876</v>
      </c>
      <c r="U1658" s="1" t="s">
        <v>2236</v>
      </c>
      <c r="V1658" s="1" t="s">
        <v>1857</v>
      </c>
      <c r="Y1658" s="1">
        <v>4292</v>
      </c>
      <c r="AB1658" s="1">
        <v>4077.4</v>
      </c>
    </row>
    <row r="1659" spans="2:28" x14ac:dyDescent="0.2">
      <c r="B1659" s="30" t="s">
        <v>2294</v>
      </c>
      <c r="C1659" s="36"/>
      <c r="D1659" s="36"/>
      <c r="F1659" s="1" t="s">
        <v>3877</v>
      </c>
      <c r="G1659" s="30" t="s">
        <v>3879</v>
      </c>
      <c r="K1659" s="1" t="s">
        <v>3883</v>
      </c>
      <c r="L1659" s="1" t="s">
        <v>1279</v>
      </c>
      <c r="M1659" s="36" t="s">
        <v>1641</v>
      </c>
      <c r="N1659" s="1" t="s">
        <v>1287</v>
      </c>
      <c r="O1659" s="1" t="s">
        <v>1286</v>
      </c>
      <c r="P1659" s="34" t="str">
        <f t="shared" si="28"/>
        <v>F010</v>
      </c>
      <c r="Q1659" s="1" t="s">
        <v>127</v>
      </c>
      <c r="S1659" s="16">
        <v>20</v>
      </c>
      <c r="T1659" s="1" t="s">
        <v>3876</v>
      </c>
      <c r="U1659" s="1" t="s">
        <v>2236</v>
      </c>
      <c r="V1659" s="1" t="s">
        <v>1857</v>
      </c>
      <c r="Y1659" s="1">
        <v>4292</v>
      </c>
      <c r="AB1659" s="1">
        <v>4077.4</v>
      </c>
    </row>
    <row r="1660" spans="2:28" x14ac:dyDescent="0.2">
      <c r="B1660" s="30" t="s">
        <v>2294</v>
      </c>
      <c r="C1660" s="36"/>
      <c r="D1660" s="36"/>
      <c r="F1660" s="1" t="s">
        <v>3877</v>
      </c>
      <c r="G1660" s="30" t="s">
        <v>3879</v>
      </c>
      <c r="K1660" s="1" t="s">
        <v>3884</v>
      </c>
      <c r="L1660" s="1" t="s">
        <v>1279</v>
      </c>
      <c r="M1660" s="36" t="s">
        <v>1641</v>
      </c>
      <c r="N1660" s="1" t="s">
        <v>2598</v>
      </c>
      <c r="O1660" s="1" t="s">
        <v>1286</v>
      </c>
      <c r="P1660" s="34" t="str">
        <f t="shared" si="28"/>
        <v>F010</v>
      </c>
      <c r="Q1660" s="1" t="s">
        <v>127</v>
      </c>
      <c r="S1660" s="16">
        <v>20</v>
      </c>
      <c r="T1660" s="1" t="s">
        <v>3876</v>
      </c>
      <c r="U1660" s="1" t="s">
        <v>2236</v>
      </c>
      <c r="V1660" s="1" t="s">
        <v>1857</v>
      </c>
      <c r="Y1660" s="1">
        <v>4292</v>
      </c>
      <c r="AB1660" s="1">
        <v>4077.4</v>
      </c>
    </row>
    <row r="1661" spans="2:28" x14ac:dyDescent="0.2">
      <c r="B1661" s="30" t="s">
        <v>2294</v>
      </c>
      <c r="C1661" s="36"/>
      <c r="D1661" s="36"/>
      <c r="F1661" s="1" t="s">
        <v>3877</v>
      </c>
      <c r="G1661" s="30" t="s">
        <v>3879</v>
      </c>
      <c r="K1661" s="1" t="s">
        <v>3885</v>
      </c>
      <c r="L1661" s="1" t="s">
        <v>1279</v>
      </c>
      <c r="M1661" s="36" t="s">
        <v>1641</v>
      </c>
      <c r="N1661" s="1" t="s">
        <v>1284</v>
      </c>
      <c r="O1661" s="1" t="s">
        <v>1286</v>
      </c>
      <c r="P1661" s="34" t="str">
        <f t="shared" si="28"/>
        <v>F010</v>
      </c>
      <c r="Q1661" s="1" t="s">
        <v>127</v>
      </c>
      <c r="S1661" s="16">
        <v>20</v>
      </c>
      <c r="T1661" s="1" t="s">
        <v>3876</v>
      </c>
      <c r="U1661" s="1" t="s">
        <v>2236</v>
      </c>
      <c r="V1661" s="1" t="s">
        <v>1857</v>
      </c>
      <c r="Y1661" s="1">
        <v>4292</v>
      </c>
      <c r="AB1661" s="1">
        <v>4077.4</v>
      </c>
    </row>
    <row r="1662" spans="2:28" x14ac:dyDescent="0.2">
      <c r="B1662" s="30" t="s">
        <v>2294</v>
      </c>
      <c r="C1662" s="36"/>
      <c r="D1662" s="36"/>
      <c r="F1662" s="1" t="s">
        <v>3877</v>
      </c>
      <c r="G1662" s="30" t="s">
        <v>3879</v>
      </c>
      <c r="K1662" s="1" t="s">
        <v>3886</v>
      </c>
      <c r="L1662" s="1" t="s">
        <v>1279</v>
      </c>
      <c r="M1662" s="36" t="s">
        <v>1641</v>
      </c>
      <c r="N1662" s="1" t="s">
        <v>1715</v>
      </c>
      <c r="O1662" s="1" t="s">
        <v>1286</v>
      </c>
      <c r="P1662" s="34" t="str">
        <f t="shared" si="28"/>
        <v>F010</v>
      </c>
      <c r="Q1662" s="1" t="s">
        <v>127</v>
      </c>
      <c r="S1662" s="16">
        <v>20</v>
      </c>
      <c r="T1662" s="1" t="s">
        <v>3876</v>
      </c>
      <c r="U1662" s="1" t="s">
        <v>2236</v>
      </c>
      <c r="V1662" s="1" t="s">
        <v>1857</v>
      </c>
      <c r="Y1662" s="1">
        <v>4292</v>
      </c>
      <c r="AB1662" s="1">
        <v>4077.4</v>
      </c>
    </row>
    <row r="1663" spans="2:28" x14ac:dyDescent="0.2">
      <c r="B1663" s="30" t="s">
        <v>2294</v>
      </c>
      <c r="C1663" s="36"/>
      <c r="D1663" s="36"/>
      <c r="F1663" s="1" t="s">
        <v>3877</v>
      </c>
      <c r="G1663" s="30" t="s">
        <v>3879</v>
      </c>
      <c r="K1663" s="1" t="s">
        <v>3887</v>
      </c>
      <c r="L1663" s="1" t="s">
        <v>1279</v>
      </c>
      <c r="M1663" s="36" t="s">
        <v>1641</v>
      </c>
      <c r="N1663" s="1" t="s">
        <v>1573</v>
      </c>
      <c r="O1663" s="1" t="s">
        <v>1286</v>
      </c>
      <c r="P1663" s="34" t="str">
        <f t="shared" si="28"/>
        <v>F010</v>
      </c>
      <c r="Q1663" s="1" t="s">
        <v>137</v>
      </c>
      <c r="S1663" s="16">
        <v>20</v>
      </c>
      <c r="T1663" s="1" t="s">
        <v>3876</v>
      </c>
      <c r="U1663" s="1" t="s">
        <v>2236</v>
      </c>
      <c r="V1663" s="1" t="s">
        <v>1857</v>
      </c>
      <c r="Y1663" s="1">
        <v>4292</v>
      </c>
      <c r="AB1663" s="1">
        <v>4077.4</v>
      </c>
    </row>
    <row r="1664" spans="2:28" x14ac:dyDescent="0.2">
      <c r="B1664" s="30" t="s">
        <v>2294</v>
      </c>
      <c r="C1664" s="36"/>
      <c r="D1664" s="36"/>
      <c r="F1664" s="1" t="s">
        <v>3877</v>
      </c>
      <c r="G1664" s="30" t="s">
        <v>3879</v>
      </c>
      <c r="K1664" s="1" t="s">
        <v>3888</v>
      </c>
      <c r="L1664" s="1" t="s">
        <v>1279</v>
      </c>
      <c r="M1664" s="36" t="s">
        <v>1641</v>
      </c>
      <c r="N1664" s="1" t="s">
        <v>1833</v>
      </c>
      <c r="O1664" s="1" t="s">
        <v>1286</v>
      </c>
      <c r="P1664" s="34" t="str">
        <f t="shared" si="28"/>
        <v>F010</v>
      </c>
      <c r="Q1664" s="1" t="s">
        <v>127</v>
      </c>
      <c r="S1664" s="16">
        <v>20</v>
      </c>
      <c r="T1664" s="1" t="s">
        <v>3876</v>
      </c>
      <c r="U1664" s="1" t="s">
        <v>2236</v>
      </c>
      <c r="V1664" s="1" t="s">
        <v>1857</v>
      </c>
      <c r="Y1664" s="1">
        <v>4292</v>
      </c>
      <c r="AB1664" s="1">
        <v>4077.4</v>
      </c>
    </row>
    <row r="1665" spans="2:28" x14ac:dyDescent="0.2">
      <c r="B1665" s="30" t="s">
        <v>2294</v>
      </c>
      <c r="C1665" s="36"/>
      <c r="D1665" s="36"/>
      <c r="F1665" s="1" t="s">
        <v>3877</v>
      </c>
      <c r="G1665" s="30" t="s">
        <v>3879</v>
      </c>
      <c r="K1665" s="1" t="s">
        <v>3889</v>
      </c>
      <c r="L1665" s="1" t="s">
        <v>1279</v>
      </c>
      <c r="M1665" s="36" t="s">
        <v>1641</v>
      </c>
      <c r="N1665" s="1" t="s">
        <v>1754</v>
      </c>
      <c r="O1665" s="1" t="s">
        <v>1286</v>
      </c>
      <c r="P1665" s="34" t="str">
        <f t="shared" si="28"/>
        <v>F010</v>
      </c>
      <c r="Q1665" s="1" t="s">
        <v>127</v>
      </c>
      <c r="S1665" s="16">
        <v>20</v>
      </c>
      <c r="T1665" s="1" t="s">
        <v>3876</v>
      </c>
      <c r="U1665" s="1" t="s">
        <v>2236</v>
      </c>
      <c r="V1665" s="1" t="s">
        <v>1857</v>
      </c>
      <c r="Y1665" s="1">
        <v>4292</v>
      </c>
      <c r="AB1665" s="1">
        <v>4077.4</v>
      </c>
    </row>
    <row r="1666" spans="2:28" x14ac:dyDescent="0.2">
      <c r="B1666" s="30" t="s">
        <v>2294</v>
      </c>
      <c r="C1666" s="36"/>
      <c r="D1666" s="36"/>
      <c r="F1666" s="1" t="s">
        <v>3877</v>
      </c>
      <c r="G1666" s="30" t="s">
        <v>3879</v>
      </c>
      <c r="K1666" s="1" t="s">
        <v>3890</v>
      </c>
      <c r="L1666" s="1" t="s">
        <v>1279</v>
      </c>
      <c r="M1666" s="36" t="s">
        <v>1641</v>
      </c>
      <c r="N1666" s="1" t="s">
        <v>1573</v>
      </c>
      <c r="O1666" s="1" t="s">
        <v>1286</v>
      </c>
      <c r="P1666" s="34" t="str">
        <f t="shared" si="28"/>
        <v>F010</v>
      </c>
      <c r="Q1666" s="1" t="s">
        <v>127</v>
      </c>
      <c r="S1666" s="16">
        <v>20</v>
      </c>
      <c r="T1666" s="1" t="s">
        <v>3891</v>
      </c>
      <c r="U1666" s="1" t="s">
        <v>2236</v>
      </c>
      <c r="V1666" s="1" t="s">
        <v>1857</v>
      </c>
      <c r="Y1666" s="1">
        <v>4292</v>
      </c>
      <c r="AB1666" s="1">
        <v>4077.4</v>
      </c>
    </row>
    <row r="1667" spans="2:28" x14ac:dyDescent="0.2">
      <c r="B1667" s="30" t="s">
        <v>2294</v>
      </c>
      <c r="C1667" s="36"/>
      <c r="D1667" s="36"/>
      <c r="F1667" s="1" t="s">
        <v>3892</v>
      </c>
      <c r="G1667" s="30" t="s">
        <v>3879</v>
      </c>
      <c r="K1667" s="1" t="s">
        <v>3893</v>
      </c>
      <c r="L1667" s="1" t="s">
        <v>1279</v>
      </c>
      <c r="M1667" s="36" t="s">
        <v>1641</v>
      </c>
      <c r="N1667" s="1" t="s">
        <v>1284</v>
      </c>
      <c r="O1667" s="1" t="s">
        <v>1286</v>
      </c>
      <c r="P1667" s="34" t="str">
        <f t="shared" si="28"/>
        <v>F010</v>
      </c>
      <c r="Q1667" s="1" t="s">
        <v>127</v>
      </c>
      <c r="S1667" s="16">
        <v>20</v>
      </c>
      <c r="T1667" s="1" t="s">
        <v>3891</v>
      </c>
      <c r="U1667" s="1" t="s">
        <v>2236</v>
      </c>
      <c r="V1667" s="1" t="s">
        <v>1857</v>
      </c>
      <c r="Y1667" s="1">
        <v>4292</v>
      </c>
      <c r="AB1667" s="1">
        <v>4077.4</v>
      </c>
    </row>
    <row r="1668" spans="2:28" x14ac:dyDescent="0.2">
      <c r="B1668" s="30" t="s">
        <v>2294</v>
      </c>
      <c r="C1668" s="36"/>
      <c r="D1668" s="36"/>
      <c r="F1668" s="1" t="s">
        <v>3892</v>
      </c>
      <c r="G1668" s="30" t="s">
        <v>3879</v>
      </c>
      <c r="K1668" s="1" t="s">
        <v>3894</v>
      </c>
      <c r="L1668" s="1" t="s">
        <v>1279</v>
      </c>
      <c r="M1668" s="36" t="s">
        <v>1641</v>
      </c>
      <c r="N1668" s="1" t="s">
        <v>2426</v>
      </c>
      <c r="O1668" s="1" t="s">
        <v>1286</v>
      </c>
      <c r="P1668" s="34" t="str">
        <f t="shared" si="28"/>
        <v>F010</v>
      </c>
      <c r="Q1668" s="1" t="s">
        <v>127</v>
      </c>
      <c r="S1668" s="16">
        <v>20</v>
      </c>
      <c r="T1668" s="1" t="s">
        <v>3891</v>
      </c>
      <c r="U1668" s="1" t="s">
        <v>2236</v>
      </c>
      <c r="V1668" s="1" t="s">
        <v>1857</v>
      </c>
      <c r="Y1668" s="1">
        <v>4292</v>
      </c>
      <c r="AB1668" s="1">
        <v>4077.4</v>
      </c>
    </row>
    <row r="1669" spans="2:28" x14ac:dyDescent="0.2">
      <c r="B1669" s="30" t="s">
        <v>2294</v>
      </c>
      <c r="C1669" s="36"/>
      <c r="D1669" s="36"/>
      <c r="F1669" s="1" t="s">
        <v>3892</v>
      </c>
      <c r="G1669" s="30" t="s">
        <v>3879</v>
      </c>
      <c r="K1669" s="1" t="s">
        <v>3895</v>
      </c>
      <c r="L1669" s="1" t="s">
        <v>1279</v>
      </c>
      <c r="M1669" s="36" t="s">
        <v>1641</v>
      </c>
      <c r="N1669" s="1" t="s">
        <v>1286</v>
      </c>
      <c r="O1669" s="1" t="s">
        <v>1286</v>
      </c>
      <c r="P1669" s="34" t="str">
        <f t="shared" si="28"/>
        <v>F010</v>
      </c>
      <c r="Q1669" s="1" t="s">
        <v>137</v>
      </c>
      <c r="S1669" s="16">
        <v>20</v>
      </c>
      <c r="T1669" s="1" t="s">
        <v>3891</v>
      </c>
      <c r="U1669" s="1" t="s">
        <v>2236</v>
      </c>
      <c r="V1669" s="1" t="s">
        <v>1857</v>
      </c>
      <c r="Y1669" s="1">
        <v>4292</v>
      </c>
      <c r="AB1669" s="1">
        <v>4077.4</v>
      </c>
    </row>
    <row r="1670" spans="2:28" x14ac:dyDescent="0.2">
      <c r="B1670" s="30" t="s">
        <v>2294</v>
      </c>
      <c r="C1670" s="36"/>
      <c r="D1670" s="36"/>
      <c r="F1670" s="1" t="s">
        <v>3892</v>
      </c>
      <c r="G1670" s="30" t="s">
        <v>3879</v>
      </c>
      <c r="K1670" s="1" t="s">
        <v>3896</v>
      </c>
      <c r="L1670" s="1" t="s">
        <v>1279</v>
      </c>
      <c r="M1670" s="36" t="s">
        <v>1641</v>
      </c>
      <c r="N1670" s="1" t="s">
        <v>1286</v>
      </c>
      <c r="O1670" s="1" t="s">
        <v>1286</v>
      </c>
      <c r="P1670" s="34" t="str">
        <f t="shared" si="28"/>
        <v>F010</v>
      </c>
      <c r="Q1670" s="1" t="s">
        <v>137</v>
      </c>
      <c r="S1670" s="16">
        <v>20</v>
      </c>
      <c r="T1670" s="1" t="s">
        <v>3891</v>
      </c>
      <c r="U1670" s="1" t="s">
        <v>2236</v>
      </c>
      <c r="V1670" s="1" t="s">
        <v>1857</v>
      </c>
      <c r="Y1670" s="1">
        <v>4292</v>
      </c>
      <c r="AB1670" s="1">
        <v>4077.4</v>
      </c>
    </row>
    <row r="1671" spans="2:28" x14ac:dyDescent="0.2">
      <c r="B1671" s="30" t="s">
        <v>2294</v>
      </c>
      <c r="C1671" s="36"/>
      <c r="D1671" s="36"/>
      <c r="F1671" s="1" t="s">
        <v>3892</v>
      </c>
      <c r="G1671" s="30" t="s">
        <v>3879</v>
      </c>
      <c r="K1671" s="1" t="s">
        <v>3897</v>
      </c>
      <c r="L1671" s="1" t="s">
        <v>1279</v>
      </c>
      <c r="M1671" s="36" t="s">
        <v>1641</v>
      </c>
      <c r="N1671" s="1" t="s">
        <v>1287</v>
      </c>
      <c r="O1671" s="1" t="s">
        <v>1286</v>
      </c>
      <c r="P1671" s="34" t="str">
        <f t="shared" si="28"/>
        <v>F010</v>
      </c>
      <c r="Q1671" s="1" t="s">
        <v>127</v>
      </c>
      <c r="S1671" s="16">
        <v>20</v>
      </c>
      <c r="T1671" s="1" t="s">
        <v>3898</v>
      </c>
      <c r="U1671" s="1" t="s">
        <v>2236</v>
      </c>
      <c r="V1671" s="1" t="s">
        <v>1857</v>
      </c>
      <c r="Y1671" s="1">
        <v>4292</v>
      </c>
      <c r="AB1671" s="1">
        <v>4077.4</v>
      </c>
    </row>
    <row r="1672" spans="2:28" x14ac:dyDescent="0.2">
      <c r="B1672" s="30" t="s">
        <v>2294</v>
      </c>
      <c r="C1672" s="36"/>
      <c r="D1672" s="36"/>
      <c r="F1672" s="1" t="s">
        <v>3899</v>
      </c>
      <c r="G1672" s="30" t="s">
        <v>3879</v>
      </c>
      <c r="K1672" s="1" t="s">
        <v>3900</v>
      </c>
      <c r="L1672" s="1" t="s">
        <v>1279</v>
      </c>
      <c r="M1672" s="36" t="s">
        <v>1641</v>
      </c>
      <c r="N1672" s="1" t="s">
        <v>1286</v>
      </c>
      <c r="O1672" s="1" t="s">
        <v>1286</v>
      </c>
      <c r="P1672" s="34" t="str">
        <f t="shared" ref="P1672:P1741" si="29">+LEFT(Q1672,4)</f>
        <v>F010</v>
      </c>
      <c r="Q1672" s="1" t="s">
        <v>137</v>
      </c>
      <c r="S1672" s="16">
        <v>20</v>
      </c>
      <c r="T1672" s="1" t="s">
        <v>3898</v>
      </c>
      <c r="U1672" s="1" t="s">
        <v>2236</v>
      </c>
      <c r="V1672" s="1" t="s">
        <v>1857</v>
      </c>
      <c r="Y1672" s="1">
        <v>4292</v>
      </c>
      <c r="AB1672" s="1">
        <v>4077.4</v>
      </c>
    </row>
    <row r="1673" spans="2:28" x14ac:dyDescent="0.2">
      <c r="B1673" s="30" t="s">
        <v>2294</v>
      </c>
      <c r="C1673" s="36"/>
      <c r="D1673" s="36"/>
      <c r="F1673" s="1" t="s">
        <v>3899</v>
      </c>
      <c r="G1673" s="30" t="s">
        <v>3879</v>
      </c>
      <c r="K1673" s="1" t="s">
        <v>3901</v>
      </c>
      <c r="L1673" s="1" t="s">
        <v>1279</v>
      </c>
      <c r="M1673" s="36" t="s">
        <v>1641</v>
      </c>
      <c r="N1673" s="1" t="s">
        <v>1754</v>
      </c>
      <c r="O1673" s="1" t="s">
        <v>1286</v>
      </c>
      <c r="P1673" s="34" t="str">
        <f t="shared" si="29"/>
        <v>F010</v>
      </c>
      <c r="Q1673" s="1" t="s">
        <v>127</v>
      </c>
      <c r="S1673" s="16">
        <v>20</v>
      </c>
      <c r="T1673" s="1" t="s">
        <v>3898</v>
      </c>
      <c r="U1673" s="1" t="s">
        <v>2236</v>
      </c>
      <c r="V1673" s="1" t="s">
        <v>1857</v>
      </c>
      <c r="Y1673" s="1">
        <v>4292</v>
      </c>
      <c r="AB1673" s="1">
        <v>4077.4</v>
      </c>
    </row>
    <row r="1674" spans="2:28" x14ac:dyDescent="0.2">
      <c r="B1674" s="30" t="s">
        <v>2294</v>
      </c>
      <c r="C1674" s="36"/>
      <c r="D1674" s="36"/>
      <c r="F1674" s="1" t="s">
        <v>3899</v>
      </c>
      <c r="G1674" s="30" t="s">
        <v>3879</v>
      </c>
      <c r="K1674" s="1" t="s">
        <v>3902</v>
      </c>
      <c r="L1674" s="1" t="s">
        <v>1279</v>
      </c>
      <c r="M1674" s="36" t="s">
        <v>1641</v>
      </c>
      <c r="N1674" s="1" t="s">
        <v>1573</v>
      </c>
      <c r="O1674" s="1" t="s">
        <v>1286</v>
      </c>
      <c r="P1674" s="34" t="str">
        <f t="shared" si="29"/>
        <v>F010</v>
      </c>
      <c r="Q1674" s="1" t="s">
        <v>127</v>
      </c>
      <c r="S1674" s="16">
        <v>20</v>
      </c>
      <c r="T1674" s="1" t="s">
        <v>3903</v>
      </c>
      <c r="U1674" s="1" t="s">
        <v>2236</v>
      </c>
      <c r="V1674" s="1" t="s">
        <v>1857</v>
      </c>
      <c r="Y1674" s="1">
        <v>4292</v>
      </c>
      <c r="AB1674" s="1">
        <v>4077.4</v>
      </c>
    </row>
    <row r="1675" spans="2:28" x14ac:dyDescent="0.2">
      <c r="B1675" s="30" t="s">
        <v>2294</v>
      </c>
      <c r="C1675" s="36"/>
      <c r="D1675" s="36"/>
      <c r="F1675" s="1" t="s">
        <v>3904</v>
      </c>
      <c r="G1675" s="30" t="s">
        <v>3879</v>
      </c>
      <c r="K1675" s="1" t="s">
        <v>3905</v>
      </c>
      <c r="L1675" s="1" t="s">
        <v>1279</v>
      </c>
      <c r="M1675" s="36" t="s">
        <v>1641</v>
      </c>
      <c r="N1675" s="1" t="s">
        <v>1642</v>
      </c>
      <c r="O1675" s="1" t="s">
        <v>1286</v>
      </c>
      <c r="P1675" s="34" t="str">
        <f t="shared" si="29"/>
        <v>F010</v>
      </c>
      <c r="Q1675" s="1" t="s">
        <v>127</v>
      </c>
      <c r="S1675" s="16">
        <v>20</v>
      </c>
      <c r="T1675" s="1" t="s">
        <v>3903</v>
      </c>
      <c r="U1675" s="1" t="s">
        <v>2236</v>
      </c>
      <c r="V1675" s="1" t="s">
        <v>1857</v>
      </c>
      <c r="Y1675" s="1">
        <v>4292</v>
      </c>
      <c r="AB1675" s="1">
        <v>4077.4</v>
      </c>
    </row>
    <row r="1676" spans="2:28" x14ac:dyDescent="0.2">
      <c r="B1676" s="30" t="s">
        <v>2294</v>
      </c>
      <c r="C1676" s="36"/>
      <c r="D1676" s="36"/>
      <c r="F1676" s="1" t="s">
        <v>3904</v>
      </c>
      <c r="G1676" s="30" t="s">
        <v>3879</v>
      </c>
      <c r="K1676" s="1" t="s">
        <v>3906</v>
      </c>
      <c r="L1676" s="1" t="s">
        <v>1279</v>
      </c>
      <c r="M1676" s="36" t="s">
        <v>1641</v>
      </c>
      <c r="N1676" s="1" t="s">
        <v>1284</v>
      </c>
      <c r="O1676" s="1" t="s">
        <v>1286</v>
      </c>
      <c r="P1676" s="34" t="str">
        <f t="shared" si="29"/>
        <v>F010</v>
      </c>
      <c r="Q1676" s="1" t="s">
        <v>127</v>
      </c>
      <c r="S1676" s="16">
        <v>20</v>
      </c>
      <c r="T1676" s="1" t="s">
        <v>3903</v>
      </c>
      <c r="U1676" s="1" t="s">
        <v>2236</v>
      </c>
      <c r="V1676" s="1" t="s">
        <v>1857</v>
      </c>
      <c r="Y1676" s="1">
        <v>4292</v>
      </c>
      <c r="AB1676" s="1">
        <v>4077.4</v>
      </c>
    </row>
    <row r="1677" spans="2:28" x14ac:dyDescent="0.2">
      <c r="B1677" s="30" t="s">
        <v>2294</v>
      </c>
      <c r="C1677" s="36"/>
      <c r="D1677" s="36"/>
      <c r="F1677" s="1" t="s">
        <v>3904</v>
      </c>
      <c r="G1677" s="30" t="s">
        <v>3879</v>
      </c>
      <c r="K1677" s="1" t="s">
        <v>3907</v>
      </c>
      <c r="L1677" s="1" t="s">
        <v>1279</v>
      </c>
      <c r="M1677" s="36" t="s">
        <v>1641</v>
      </c>
      <c r="N1677" s="1" t="s">
        <v>1287</v>
      </c>
      <c r="O1677" s="1" t="s">
        <v>1286</v>
      </c>
      <c r="P1677" s="34" t="str">
        <f t="shared" si="29"/>
        <v>F010</v>
      </c>
      <c r="Q1677" s="1" t="s">
        <v>127</v>
      </c>
      <c r="S1677" s="16">
        <v>20</v>
      </c>
      <c r="T1677" s="1" t="s">
        <v>3903</v>
      </c>
      <c r="U1677" s="1" t="s">
        <v>2236</v>
      </c>
      <c r="V1677" s="1" t="s">
        <v>1857</v>
      </c>
      <c r="Y1677" s="1">
        <v>4292</v>
      </c>
      <c r="AB1677" s="1">
        <v>4077.4</v>
      </c>
    </row>
    <row r="1678" spans="2:28" x14ac:dyDescent="0.2">
      <c r="B1678" s="30" t="s">
        <v>2294</v>
      </c>
      <c r="C1678" s="36"/>
      <c r="D1678" s="36"/>
      <c r="F1678" s="1" t="s">
        <v>3904</v>
      </c>
      <c r="G1678" s="30" t="s">
        <v>3879</v>
      </c>
      <c r="K1678" s="1" t="s">
        <v>3908</v>
      </c>
      <c r="L1678" s="1" t="s">
        <v>1279</v>
      </c>
      <c r="M1678" s="36" t="s">
        <v>1641</v>
      </c>
      <c r="N1678" s="1" t="s">
        <v>1642</v>
      </c>
      <c r="O1678" s="1" t="s">
        <v>1286</v>
      </c>
      <c r="P1678" s="34" t="str">
        <f t="shared" si="29"/>
        <v>F010</v>
      </c>
      <c r="Q1678" s="1" t="s">
        <v>127</v>
      </c>
      <c r="S1678" s="16">
        <v>20</v>
      </c>
      <c r="T1678" s="1" t="s">
        <v>3909</v>
      </c>
      <c r="U1678" s="1" t="s">
        <v>2236</v>
      </c>
      <c r="V1678" s="1" t="s">
        <v>1857</v>
      </c>
      <c r="Y1678" s="1">
        <v>4292</v>
      </c>
      <c r="AB1678" s="1">
        <v>4077.4</v>
      </c>
    </row>
    <row r="1679" spans="2:28" x14ac:dyDescent="0.2">
      <c r="B1679" s="30" t="s">
        <v>2294</v>
      </c>
      <c r="C1679" s="36"/>
      <c r="D1679" s="36"/>
      <c r="F1679" s="1" t="s">
        <v>3910</v>
      </c>
      <c r="G1679" s="30" t="s">
        <v>3879</v>
      </c>
      <c r="K1679" s="1" t="s">
        <v>3911</v>
      </c>
      <c r="L1679" s="1" t="s">
        <v>1279</v>
      </c>
      <c r="M1679" s="36" t="s">
        <v>1641</v>
      </c>
      <c r="N1679" s="1" t="s">
        <v>2094</v>
      </c>
      <c r="O1679" s="1" t="s">
        <v>1286</v>
      </c>
      <c r="P1679" s="34" t="str">
        <f t="shared" si="29"/>
        <v>F010</v>
      </c>
      <c r="Q1679" s="1" t="s">
        <v>127</v>
      </c>
      <c r="S1679" s="16">
        <v>20</v>
      </c>
      <c r="T1679" s="1" t="s">
        <v>3909</v>
      </c>
      <c r="U1679" s="1" t="s">
        <v>2236</v>
      </c>
      <c r="V1679" s="1" t="s">
        <v>1857</v>
      </c>
      <c r="Y1679" s="1">
        <v>4292</v>
      </c>
      <c r="AB1679" s="1">
        <v>4077.4</v>
      </c>
    </row>
    <row r="1680" spans="2:28" x14ac:dyDescent="0.2">
      <c r="B1680" s="30" t="s">
        <v>2294</v>
      </c>
      <c r="C1680" s="36"/>
      <c r="D1680" s="36"/>
      <c r="F1680" s="1" t="s">
        <v>3910</v>
      </c>
      <c r="G1680" s="30" t="s">
        <v>3879</v>
      </c>
      <c r="K1680" s="1" t="s">
        <v>3912</v>
      </c>
      <c r="L1680" s="1" t="s">
        <v>1279</v>
      </c>
      <c r="M1680" s="36" t="s">
        <v>1641</v>
      </c>
      <c r="N1680" s="1" t="s">
        <v>1284</v>
      </c>
      <c r="O1680" s="1" t="s">
        <v>1286</v>
      </c>
      <c r="P1680" s="34" t="str">
        <f t="shared" si="29"/>
        <v>F010</v>
      </c>
      <c r="Q1680" s="1" t="s">
        <v>127</v>
      </c>
      <c r="S1680" s="16">
        <v>20</v>
      </c>
      <c r="T1680" s="1" t="s">
        <v>3913</v>
      </c>
      <c r="U1680" s="1" t="s">
        <v>2236</v>
      </c>
      <c r="V1680" s="1" t="s">
        <v>1857</v>
      </c>
      <c r="Y1680" s="1">
        <v>4292</v>
      </c>
      <c r="AB1680" s="1">
        <v>4077.4</v>
      </c>
    </row>
    <row r="1681" spans="2:28" x14ac:dyDescent="0.2">
      <c r="B1681" s="30" t="s">
        <v>2294</v>
      </c>
      <c r="C1681" s="36"/>
      <c r="D1681" s="36"/>
      <c r="F1681" s="1" t="s">
        <v>3914</v>
      </c>
      <c r="G1681" s="30" t="s">
        <v>3915</v>
      </c>
      <c r="K1681" s="1" t="s">
        <v>3916</v>
      </c>
      <c r="L1681" s="1" t="s">
        <v>1279</v>
      </c>
      <c r="M1681" s="36" t="s">
        <v>1805</v>
      </c>
      <c r="N1681" s="1" t="s">
        <v>3226</v>
      </c>
      <c r="O1681" s="1" t="s">
        <v>1286</v>
      </c>
      <c r="P1681" s="34" t="str">
        <f t="shared" si="29"/>
        <v>F010</v>
      </c>
      <c r="Q1681" s="1" t="s">
        <v>137</v>
      </c>
      <c r="S1681" s="16">
        <v>20</v>
      </c>
      <c r="T1681" s="1" t="s">
        <v>3913</v>
      </c>
      <c r="U1681" s="1" t="s">
        <v>1794</v>
      </c>
      <c r="V1681" s="1" t="s">
        <v>1796</v>
      </c>
      <c r="Y1681" s="1">
        <v>8200</v>
      </c>
      <c r="AB1681" s="1">
        <v>5626.14</v>
      </c>
    </row>
    <row r="1682" spans="2:28" x14ac:dyDescent="0.2">
      <c r="B1682" s="30" t="s">
        <v>2294</v>
      </c>
      <c r="C1682" s="36"/>
      <c r="D1682" s="36"/>
      <c r="F1682" s="1" t="s">
        <v>3914</v>
      </c>
      <c r="G1682" s="30" t="s">
        <v>3915</v>
      </c>
      <c r="K1682" s="1" t="s">
        <v>3917</v>
      </c>
      <c r="L1682" s="1" t="s">
        <v>1279</v>
      </c>
      <c r="M1682" s="36" t="s">
        <v>1805</v>
      </c>
      <c r="N1682" s="1" t="s">
        <v>3226</v>
      </c>
      <c r="O1682" s="1" t="s">
        <v>1286</v>
      </c>
      <c r="P1682" s="34" t="str">
        <f t="shared" si="29"/>
        <v>F010</v>
      </c>
      <c r="Q1682" s="1" t="s">
        <v>137</v>
      </c>
      <c r="S1682" s="16">
        <v>20</v>
      </c>
      <c r="T1682" s="1" t="s">
        <v>3918</v>
      </c>
      <c r="U1682" s="1" t="s">
        <v>1794</v>
      </c>
      <c r="V1682" s="1" t="s">
        <v>1796</v>
      </c>
      <c r="Y1682" s="1">
        <v>8200</v>
      </c>
      <c r="AB1682" s="1">
        <v>5626.14</v>
      </c>
    </row>
    <row r="1683" spans="2:28" x14ac:dyDescent="0.2">
      <c r="B1683" s="30" t="s">
        <v>2294</v>
      </c>
      <c r="C1683" s="36"/>
      <c r="D1683" s="36"/>
      <c r="F1683" s="1" t="s">
        <v>3919</v>
      </c>
      <c r="G1683" s="30" t="s">
        <v>3915</v>
      </c>
      <c r="K1683" s="1" t="s">
        <v>3920</v>
      </c>
      <c r="L1683" s="1" t="s">
        <v>1279</v>
      </c>
      <c r="M1683" s="36" t="s">
        <v>1794</v>
      </c>
      <c r="N1683" s="1" t="s">
        <v>3226</v>
      </c>
      <c r="O1683" s="1" t="s">
        <v>1286</v>
      </c>
      <c r="P1683" s="34" t="str">
        <f t="shared" si="29"/>
        <v>F010</v>
      </c>
      <c r="Q1683" s="1" t="s">
        <v>137</v>
      </c>
      <c r="S1683" s="16">
        <v>20</v>
      </c>
      <c r="T1683" s="1" t="s">
        <v>3921</v>
      </c>
      <c r="U1683" s="1" t="s">
        <v>1497</v>
      </c>
      <c r="V1683" s="1" t="s">
        <v>1498</v>
      </c>
      <c r="Y1683" s="1">
        <v>8200</v>
      </c>
      <c r="AB1683" s="1">
        <v>5409.75</v>
      </c>
    </row>
    <row r="1684" spans="2:28" x14ac:dyDescent="0.2">
      <c r="B1684" s="30" t="s">
        <v>2294</v>
      </c>
      <c r="C1684" s="36"/>
      <c r="D1684" s="36"/>
      <c r="F1684" s="1" t="s">
        <v>3922</v>
      </c>
      <c r="G1684" s="30" t="s">
        <v>3923</v>
      </c>
      <c r="K1684" s="1" t="s">
        <v>3924</v>
      </c>
      <c r="L1684" s="1" t="s">
        <v>1279</v>
      </c>
      <c r="M1684" s="36" t="s">
        <v>1411</v>
      </c>
      <c r="N1684" s="1" t="s">
        <v>1287</v>
      </c>
      <c r="O1684" s="1" t="s">
        <v>1286</v>
      </c>
      <c r="P1684" s="34" t="str">
        <f t="shared" si="29"/>
        <v>F010</v>
      </c>
      <c r="Q1684" s="1" t="s">
        <v>138</v>
      </c>
      <c r="S1684" s="16">
        <v>20</v>
      </c>
      <c r="T1684" s="1" t="s">
        <v>3921</v>
      </c>
      <c r="U1684" s="1" t="s">
        <v>1887</v>
      </c>
      <c r="V1684" s="1" t="s">
        <v>1544</v>
      </c>
      <c r="Y1684" s="1">
        <v>4400</v>
      </c>
      <c r="AB1684" s="1">
        <v>4180</v>
      </c>
    </row>
    <row r="1685" spans="2:28" x14ac:dyDescent="0.2">
      <c r="B1685" s="30" t="s">
        <v>2294</v>
      </c>
      <c r="C1685" s="36"/>
      <c r="D1685" s="36"/>
      <c r="F1685" s="1" t="s">
        <v>3922</v>
      </c>
      <c r="G1685" s="30" t="s">
        <v>3923</v>
      </c>
      <c r="K1685" s="1" t="s">
        <v>3925</v>
      </c>
      <c r="L1685" s="1" t="s">
        <v>1279</v>
      </c>
      <c r="M1685" s="36" t="s">
        <v>1411</v>
      </c>
      <c r="N1685" s="1" t="s">
        <v>1287</v>
      </c>
      <c r="O1685" s="1" t="s">
        <v>1286</v>
      </c>
      <c r="P1685" s="34" t="str">
        <f t="shared" si="29"/>
        <v>F010</v>
      </c>
      <c r="Q1685" s="1" t="s">
        <v>138</v>
      </c>
      <c r="S1685" s="16">
        <v>20</v>
      </c>
      <c r="T1685" s="1" t="s">
        <v>3921</v>
      </c>
      <c r="U1685" s="1" t="s">
        <v>1887</v>
      </c>
      <c r="V1685" s="1" t="s">
        <v>1544</v>
      </c>
      <c r="Y1685" s="1">
        <v>4400</v>
      </c>
      <c r="AB1685" s="1">
        <v>4180</v>
      </c>
    </row>
    <row r="1686" spans="2:28" x14ac:dyDescent="0.2">
      <c r="B1686" s="30" t="s">
        <v>2294</v>
      </c>
      <c r="C1686" s="36"/>
      <c r="D1686" s="36"/>
      <c r="F1686" s="1" t="s">
        <v>3922</v>
      </c>
      <c r="G1686" s="30" t="s">
        <v>3923</v>
      </c>
      <c r="K1686" s="1" t="s">
        <v>3926</v>
      </c>
      <c r="L1686" s="1" t="s">
        <v>1279</v>
      </c>
      <c r="M1686" s="36" t="s">
        <v>1411</v>
      </c>
      <c r="N1686" s="1" t="s">
        <v>1287</v>
      </c>
      <c r="O1686" s="1" t="s">
        <v>1286</v>
      </c>
      <c r="P1686" s="34" t="str">
        <f t="shared" si="29"/>
        <v>F010</v>
      </c>
      <c r="Q1686" s="1" t="s">
        <v>138</v>
      </c>
      <c r="S1686" s="16">
        <v>20</v>
      </c>
      <c r="T1686" s="1" t="s">
        <v>3921</v>
      </c>
      <c r="U1686" s="1" t="s">
        <v>1887</v>
      </c>
      <c r="V1686" s="1" t="s">
        <v>1544</v>
      </c>
      <c r="Y1686" s="1">
        <v>4400</v>
      </c>
      <c r="AB1686" s="1">
        <v>4180</v>
      </c>
    </row>
    <row r="1687" spans="2:28" x14ac:dyDescent="0.2">
      <c r="B1687" s="30" t="s">
        <v>2294</v>
      </c>
      <c r="C1687" s="36"/>
      <c r="D1687" s="36"/>
      <c r="F1687" s="1" t="s">
        <v>3922</v>
      </c>
      <c r="G1687" s="30" t="s">
        <v>3927</v>
      </c>
      <c r="K1687" s="1" t="s">
        <v>3928</v>
      </c>
      <c r="L1687" s="1" t="s">
        <v>1279</v>
      </c>
      <c r="M1687" s="36" t="s">
        <v>2364</v>
      </c>
      <c r="N1687" s="1" t="s">
        <v>1754</v>
      </c>
      <c r="O1687" s="1" t="s">
        <v>1286</v>
      </c>
      <c r="P1687" s="34" t="str">
        <f t="shared" si="29"/>
        <v>F010</v>
      </c>
      <c r="Q1687" s="1" t="s">
        <v>138</v>
      </c>
      <c r="S1687" s="16">
        <v>20</v>
      </c>
      <c r="T1687" s="1" t="s">
        <v>3921</v>
      </c>
      <c r="U1687" s="1" t="s">
        <v>1555</v>
      </c>
      <c r="V1687" s="1" t="s">
        <v>1557</v>
      </c>
      <c r="Y1687" s="1">
        <v>9801.25</v>
      </c>
      <c r="AB1687" s="1">
        <v>9311.19</v>
      </c>
    </row>
    <row r="1688" spans="2:28" x14ac:dyDescent="0.2">
      <c r="B1688" s="30" t="s">
        <v>2294</v>
      </c>
      <c r="C1688" s="36"/>
      <c r="D1688" s="36"/>
      <c r="F1688" s="1" t="s">
        <v>3922</v>
      </c>
      <c r="G1688" s="30" t="s">
        <v>3927</v>
      </c>
      <c r="K1688" s="1" t="s">
        <v>3929</v>
      </c>
      <c r="L1688" s="1" t="s">
        <v>1279</v>
      </c>
      <c r="M1688" s="36" t="s">
        <v>2364</v>
      </c>
      <c r="N1688" s="1" t="s">
        <v>1754</v>
      </c>
      <c r="O1688" s="1" t="s">
        <v>1286</v>
      </c>
      <c r="P1688" s="34" t="str">
        <f t="shared" si="29"/>
        <v>F010</v>
      </c>
      <c r="Q1688" s="1" t="s">
        <v>138</v>
      </c>
      <c r="S1688" s="16">
        <v>20</v>
      </c>
      <c r="T1688" s="1" t="s">
        <v>3921</v>
      </c>
      <c r="U1688" s="1" t="s">
        <v>1555</v>
      </c>
      <c r="V1688" s="1" t="s">
        <v>1557</v>
      </c>
      <c r="Y1688" s="1">
        <v>9801.25</v>
      </c>
      <c r="AB1688" s="1">
        <v>9311.19</v>
      </c>
    </row>
    <row r="1689" spans="2:28" x14ac:dyDescent="0.2">
      <c r="B1689" s="30" t="s">
        <v>2294</v>
      </c>
      <c r="C1689" s="36"/>
      <c r="D1689" s="36"/>
      <c r="F1689" s="1" t="s">
        <v>3922</v>
      </c>
      <c r="G1689" s="30" t="s">
        <v>3930</v>
      </c>
      <c r="K1689" s="1" t="s">
        <v>3931</v>
      </c>
      <c r="L1689" s="1" t="s">
        <v>1279</v>
      </c>
      <c r="M1689" s="36" t="s">
        <v>1356</v>
      </c>
      <c r="N1689" s="1" t="s">
        <v>1754</v>
      </c>
      <c r="O1689" s="1" t="s">
        <v>1286</v>
      </c>
      <c r="P1689" s="34" t="str">
        <f t="shared" si="29"/>
        <v>F010</v>
      </c>
      <c r="Q1689" s="1" t="s">
        <v>127</v>
      </c>
      <c r="S1689" s="16">
        <v>20</v>
      </c>
      <c r="T1689" s="1" t="s">
        <v>3921</v>
      </c>
      <c r="U1689" s="1" t="s">
        <v>2442</v>
      </c>
      <c r="V1689" s="1" t="s">
        <v>2102</v>
      </c>
      <c r="Y1689" s="1">
        <v>792058</v>
      </c>
      <c r="AB1689" s="1">
        <v>752455.1</v>
      </c>
    </row>
    <row r="1690" spans="2:28" x14ac:dyDescent="0.2">
      <c r="B1690" s="30" t="s">
        <v>2294</v>
      </c>
      <c r="C1690" s="36"/>
      <c r="D1690" s="36"/>
      <c r="F1690" s="1" t="s">
        <v>3922</v>
      </c>
      <c r="G1690" s="30" t="s">
        <v>3932</v>
      </c>
      <c r="K1690" s="1" t="s">
        <v>3933</v>
      </c>
      <c r="L1690" s="1" t="s">
        <v>1279</v>
      </c>
      <c r="M1690" s="36" t="s">
        <v>2102</v>
      </c>
      <c r="N1690" s="1" t="s">
        <v>1287</v>
      </c>
      <c r="O1690" s="1" t="s">
        <v>1286</v>
      </c>
      <c r="P1690" s="34" t="str">
        <f t="shared" si="29"/>
        <v>F010</v>
      </c>
      <c r="Q1690" s="1" t="s">
        <v>138</v>
      </c>
      <c r="S1690" s="16">
        <v>20</v>
      </c>
      <c r="T1690" s="1" t="s">
        <v>3921</v>
      </c>
      <c r="U1690" s="1" t="s">
        <v>2034</v>
      </c>
      <c r="V1690" s="1" t="s">
        <v>1510</v>
      </c>
      <c r="Y1690" s="1">
        <v>12380</v>
      </c>
      <c r="AB1690" s="1">
        <v>11761</v>
      </c>
    </row>
    <row r="1691" spans="2:28" x14ac:dyDescent="0.2">
      <c r="B1691" s="30" t="s">
        <v>2294</v>
      </c>
      <c r="C1691" s="36"/>
      <c r="D1691" s="36"/>
      <c r="F1691" s="1" t="s">
        <v>3922</v>
      </c>
      <c r="G1691" s="30" t="s">
        <v>3934</v>
      </c>
      <c r="K1691" s="1" t="s">
        <v>3935</v>
      </c>
      <c r="L1691" s="1" t="s">
        <v>1279</v>
      </c>
      <c r="M1691" s="36" t="s">
        <v>3936</v>
      </c>
      <c r="N1691" s="1" t="s">
        <v>1290</v>
      </c>
      <c r="O1691" s="1" t="s">
        <v>1286</v>
      </c>
      <c r="P1691" s="34" t="str">
        <f t="shared" si="29"/>
        <v>F010</v>
      </c>
      <c r="Q1691" s="1" t="s">
        <v>1297</v>
      </c>
      <c r="S1691" s="16">
        <v>20</v>
      </c>
      <c r="T1691" s="1" t="s">
        <v>3921</v>
      </c>
      <c r="U1691" s="1" t="s">
        <v>3937</v>
      </c>
      <c r="V1691" s="1" t="s">
        <v>3938</v>
      </c>
      <c r="Y1691" s="1">
        <v>6400</v>
      </c>
      <c r="AB1691" s="1">
        <v>6080</v>
      </c>
    </row>
    <row r="1692" spans="2:28" x14ac:dyDescent="0.2">
      <c r="B1692" s="30" t="s">
        <v>2294</v>
      </c>
      <c r="C1692" s="36"/>
      <c r="D1692" s="36"/>
      <c r="F1692" s="1" t="s">
        <v>3922</v>
      </c>
      <c r="G1692" s="30" t="s">
        <v>3939</v>
      </c>
      <c r="K1692" s="1" t="s">
        <v>3940</v>
      </c>
      <c r="L1692" s="1" t="s">
        <v>1279</v>
      </c>
      <c r="M1692" s="36" t="s">
        <v>2323</v>
      </c>
      <c r="N1692" s="1" t="s">
        <v>1285</v>
      </c>
      <c r="O1692" s="1" t="s">
        <v>1286</v>
      </c>
      <c r="P1692" s="34" t="str">
        <f t="shared" si="29"/>
        <v>F010</v>
      </c>
      <c r="Q1692" s="1" t="s">
        <v>127</v>
      </c>
      <c r="S1692" s="16">
        <v>20</v>
      </c>
      <c r="T1692" s="1" t="s">
        <v>3921</v>
      </c>
      <c r="U1692" s="1" t="s">
        <v>1724</v>
      </c>
      <c r="V1692" s="1" t="s">
        <v>1889</v>
      </c>
      <c r="Y1692" s="1">
        <v>3896.61</v>
      </c>
      <c r="AB1692" s="1">
        <v>3521.94</v>
      </c>
    </row>
    <row r="1693" spans="2:28" x14ac:dyDescent="0.2">
      <c r="B1693" s="30" t="s">
        <v>2294</v>
      </c>
      <c r="C1693" s="36"/>
      <c r="D1693" s="36"/>
      <c r="F1693" s="1" t="s">
        <v>3922</v>
      </c>
      <c r="G1693" s="30" t="s">
        <v>3941</v>
      </c>
      <c r="K1693" s="1" t="s">
        <v>3942</v>
      </c>
      <c r="L1693" s="1" t="s">
        <v>1279</v>
      </c>
      <c r="M1693" s="36" t="s">
        <v>1425</v>
      </c>
      <c r="N1693" s="1" t="s">
        <v>1294</v>
      </c>
      <c r="O1693" s="1" t="s">
        <v>1286</v>
      </c>
      <c r="P1693" s="34" t="str">
        <f t="shared" si="29"/>
        <v>F010</v>
      </c>
      <c r="Q1693" s="1" t="s">
        <v>127</v>
      </c>
      <c r="S1693" s="16">
        <v>20</v>
      </c>
      <c r="T1693" s="1" t="s">
        <v>3921</v>
      </c>
      <c r="U1693" s="1" t="s">
        <v>2120</v>
      </c>
      <c r="V1693" s="1" t="s">
        <v>1990</v>
      </c>
      <c r="Y1693" s="1">
        <v>7788</v>
      </c>
      <c r="AB1693" s="1">
        <v>7398.6</v>
      </c>
    </row>
    <row r="1694" spans="2:28" s="58" customFormat="1" x14ac:dyDescent="0.2">
      <c r="B1694" s="56" t="s">
        <v>2294</v>
      </c>
      <c r="C1694" s="57">
        <v>6000</v>
      </c>
      <c r="D1694" s="48">
        <f t="shared" ref="D1694:D1700" si="30">+C1694/100000</f>
        <v>0.06</v>
      </c>
      <c r="E1694" s="58" t="s">
        <v>1331</v>
      </c>
      <c r="F1694" s="58" t="s">
        <v>3922</v>
      </c>
      <c r="G1694" s="56" t="s">
        <v>3943</v>
      </c>
      <c r="K1694" s="58" t="s">
        <v>3944</v>
      </c>
      <c r="L1694" s="58" t="s">
        <v>1279</v>
      </c>
      <c r="M1694" s="58" t="s">
        <v>1594</v>
      </c>
      <c r="N1694" s="58" t="s">
        <v>2543</v>
      </c>
      <c r="O1694" s="58" t="s">
        <v>1286</v>
      </c>
      <c r="P1694" s="58" t="str">
        <f t="shared" si="29"/>
        <v>F010</v>
      </c>
      <c r="Q1694" s="58" t="s">
        <v>137</v>
      </c>
      <c r="S1694" s="59">
        <v>20</v>
      </c>
      <c r="T1694" s="58" t="s">
        <v>3921</v>
      </c>
      <c r="U1694" s="58" t="s">
        <v>1582</v>
      </c>
      <c r="V1694" s="58" t="s">
        <v>1567</v>
      </c>
      <c r="Y1694" s="58">
        <v>5313.6</v>
      </c>
      <c r="AB1694" s="58">
        <v>5047.92</v>
      </c>
    </row>
    <row r="1695" spans="2:28" s="58" customFormat="1" x14ac:dyDescent="0.2">
      <c r="B1695" s="56" t="s">
        <v>2294</v>
      </c>
      <c r="C1695" s="57">
        <v>19000</v>
      </c>
      <c r="D1695" s="48">
        <f t="shared" si="30"/>
        <v>0.19</v>
      </c>
      <c r="E1695" s="58" t="s">
        <v>1337</v>
      </c>
      <c r="F1695" s="58" t="s">
        <v>3922</v>
      </c>
      <c r="G1695" s="56" t="s">
        <v>3943</v>
      </c>
      <c r="K1695" s="58" t="s">
        <v>3944</v>
      </c>
      <c r="L1695" s="58" t="s">
        <v>1279</v>
      </c>
      <c r="M1695" s="58" t="s">
        <v>1594</v>
      </c>
      <c r="N1695" s="58" t="s">
        <v>2400</v>
      </c>
      <c r="O1695" s="58" t="s">
        <v>1286</v>
      </c>
      <c r="P1695" s="58" t="str">
        <f t="shared" si="29"/>
        <v>F010</v>
      </c>
      <c r="Q1695" s="58" t="s">
        <v>137</v>
      </c>
      <c r="S1695" s="59">
        <v>20</v>
      </c>
      <c r="T1695" s="58" t="s">
        <v>3921</v>
      </c>
      <c r="U1695" s="58" t="s">
        <v>1582</v>
      </c>
      <c r="V1695" s="58" t="s">
        <v>1567</v>
      </c>
      <c r="Y1695" s="58">
        <v>16826.400000000001</v>
      </c>
      <c r="AB1695" s="58">
        <v>15985.08</v>
      </c>
    </row>
    <row r="1696" spans="2:28" s="58" customFormat="1" x14ac:dyDescent="0.2">
      <c r="B1696" s="56" t="s">
        <v>2294</v>
      </c>
      <c r="C1696" s="57">
        <v>19000</v>
      </c>
      <c r="D1696" s="48">
        <f t="shared" si="30"/>
        <v>0.19</v>
      </c>
      <c r="E1696" s="58" t="s">
        <v>1348</v>
      </c>
      <c r="F1696" s="58" t="s">
        <v>3922</v>
      </c>
      <c r="G1696" s="56" t="s">
        <v>3943</v>
      </c>
      <c r="K1696" s="58" t="s">
        <v>3944</v>
      </c>
      <c r="L1696" s="58" t="s">
        <v>1279</v>
      </c>
      <c r="M1696" s="58" t="s">
        <v>1594</v>
      </c>
      <c r="N1696" s="58" t="s">
        <v>6004</v>
      </c>
      <c r="O1696" s="58" t="s">
        <v>1286</v>
      </c>
      <c r="P1696" s="58" t="str">
        <f t="shared" si="29"/>
        <v>F010</v>
      </c>
      <c r="Q1696" s="58" t="s">
        <v>137</v>
      </c>
      <c r="S1696" s="59">
        <v>20</v>
      </c>
      <c r="T1696" s="58" t="s">
        <v>3921</v>
      </c>
      <c r="U1696" s="58" t="s">
        <v>1582</v>
      </c>
      <c r="V1696" s="58" t="s">
        <v>1567</v>
      </c>
      <c r="Y1696" s="58">
        <v>16826.400000000001</v>
      </c>
      <c r="AB1696" s="58">
        <v>15985.08</v>
      </c>
    </row>
    <row r="1697" spans="2:28" s="58" customFormat="1" x14ac:dyDescent="0.2">
      <c r="B1697" s="56" t="s">
        <v>2294</v>
      </c>
      <c r="C1697" s="57">
        <v>31000</v>
      </c>
      <c r="D1697" s="48">
        <f t="shared" si="30"/>
        <v>0.31</v>
      </c>
      <c r="E1697" s="58" t="s">
        <v>1351</v>
      </c>
      <c r="F1697" s="58" t="s">
        <v>3922</v>
      </c>
      <c r="G1697" s="56" t="s">
        <v>3943</v>
      </c>
      <c r="K1697" s="58" t="s">
        <v>3944</v>
      </c>
      <c r="L1697" s="58" t="s">
        <v>1279</v>
      </c>
      <c r="M1697" s="58" t="s">
        <v>1594</v>
      </c>
      <c r="N1697" s="58" t="s">
        <v>2988</v>
      </c>
      <c r="O1697" s="58" t="s">
        <v>1286</v>
      </c>
      <c r="P1697" s="58" t="str">
        <f t="shared" si="29"/>
        <v>F010</v>
      </c>
      <c r="Q1697" s="58" t="s">
        <v>137</v>
      </c>
      <c r="S1697" s="59">
        <v>20</v>
      </c>
      <c r="T1697" s="58" t="s">
        <v>3921</v>
      </c>
      <c r="U1697" s="58" t="s">
        <v>1582</v>
      </c>
      <c r="V1697" s="58" t="s">
        <v>1567</v>
      </c>
      <c r="Y1697" s="58">
        <v>27453.599999999999</v>
      </c>
      <c r="AB1697" s="58">
        <v>26080.92</v>
      </c>
    </row>
    <row r="1698" spans="2:28" s="58" customFormat="1" x14ac:dyDescent="0.2">
      <c r="B1698" s="56" t="s">
        <v>2294</v>
      </c>
      <c r="C1698" s="57">
        <v>6000</v>
      </c>
      <c r="D1698" s="48">
        <f t="shared" si="30"/>
        <v>0.06</v>
      </c>
      <c r="E1698" s="58" t="s">
        <v>1352</v>
      </c>
      <c r="F1698" s="58" t="s">
        <v>3922</v>
      </c>
      <c r="G1698" s="56" t="s">
        <v>3943</v>
      </c>
      <c r="K1698" s="58" t="s">
        <v>3944</v>
      </c>
      <c r="L1698" s="58" t="s">
        <v>1279</v>
      </c>
      <c r="M1698" s="58" t="s">
        <v>1594</v>
      </c>
      <c r="N1698" s="58" t="s">
        <v>3957</v>
      </c>
      <c r="O1698" s="58" t="s">
        <v>1286</v>
      </c>
      <c r="P1698" s="58" t="str">
        <f t="shared" si="29"/>
        <v>F010</v>
      </c>
      <c r="Q1698" s="58" t="s">
        <v>137</v>
      </c>
      <c r="S1698" s="59">
        <v>20</v>
      </c>
      <c r="T1698" s="58" t="s">
        <v>3921</v>
      </c>
      <c r="U1698" s="58" t="s">
        <v>1582</v>
      </c>
      <c r="V1698" s="58" t="s">
        <v>1567</v>
      </c>
      <c r="Y1698" s="58">
        <v>5313.6</v>
      </c>
      <c r="AB1698" s="58">
        <v>5047.92</v>
      </c>
    </row>
    <row r="1699" spans="2:28" s="58" customFormat="1" x14ac:dyDescent="0.2">
      <c r="B1699" s="56" t="s">
        <v>2294</v>
      </c>
      <c r="C1699" s="57">
        <v>13000</v>
      </c>
      <c r="D1699" s="48">
        <f t="shared" si="30"/>
        <v>0.13</v>
      </c>
      <c r="E1699" s="58" t="s">
        <v>1353</v>
      </c>
      <c r="F1699" s="58" t="s">
        <v>3922</v>
      </c>
      <c r="G1699" s="56" t="s">
        <v>3943</v>
      </c>
      <c r="K1699" s="58" t="s">
        <v>3944</v>
      </c>
      <c r="L1699" s="58" t="s">
        <v>1279</v>
      </c>
      <c r="M1699" s="58" t="s">
        <v>1594</v>
      </c>
      <c r="N1699" s="58" t="s">
        <v>3226</v>
      </c>
      <c r="O1699" s="58" t="s">
        <v>1286</v>
      </c>
      <c r="P1699" s="58" t="str">
        <f t="shared" si="29"/>
        <v>F010</v>
      </c>
      <c r="Q1699" s="58" t="s">
        <v>137</v>
      </c>
      <c r="S1699" s="59">
        <v>20</v>
      </c>
      <c r="T1699" s="58" t="s">
        <v>3921</v>
      </c>
      <c r="U1699" s="58" t="s">
        <v>1582</v>
      </c>
      <c r="V1699" s="58" t="s">
        <v>1567</v>
      </c>
      <c r="Y1699" s="58">
        <v>11512.8</v>
      </c>
      <c r="AB1699" s="58">
        <v>10937.16</v>
      </c>
    </row>
    <row r="1700" spans="2:28" s="58" customFormat="1" x14ac:dyDescent="0.2">
      <c r="B1700" s="56" t="s">
        <v>2294</v>
      </c>
      <c r="C1700" s="57">
        <v>6000</v>
      </c>
      <c r="D1700" s="48">
        <f t="shared" si="30"/>
        <v>0.06</v>
      </c>
      <c r="E1700" s="58" t="s">
        <v>1367</v>
      </c>
      <c r="F1700" s="58" t="s">
        <v>3922</v>
      </c>
      <c r="G1700" s="56" t="s">
        <v>3943</v>
      </c>
      <c r="K1700" s="58" t="s">
        <v>3944</v>
      </c>
      <c r="L1700" s="58" t="s">
        <v>1279</v>
      </c>
      <c r="M1700" s="58" t="s">
        <v>1594</v>
      </c>
      <c r="N1700" s="58" t="s">
        <v>1534</v>
      </c>
      <c r="O1700" s="58" t="s">
        <v>1286</v>
      </c>
      <c r="P1700" s="58" t="str">
        <f t="shared" si="29"/>
        <v>F010</v>
      </c>
      <c r="Q1700" s="58" t="s">
        <v>137</v>
      </c>
      <c r="S1700" s="59">
        <v>20</v>
      </c>
      <c r="T1700" s="58" t="s">
        <v>3921</v>
      </c>
      <c r="U1700" s="58" t="s">
        <v>1582</v>
      </c>
      <c r="V1700" s="58" t="s">
        <v>1567</v>
      </c>
      <c r="Y1700" s="58">
        <v>5313.6</v>
      </c>
      <c r="AB1700" s="58">
        <v>5047.92</v>
      </c>
    </row>
    <row r="1701" spans="2:28" x14ac:dyDescent="0.2">
      <c r="B1701" s="30" t="s">
        <v>2294</v>
      </c>
      <c r="C1701" s="36"/>
      <c r="D1701" s="36"/>
      <c r="F1701" s="1" t="s">
        <v>3922</v>
      </c>
      <c r="G1701" s="30" t="s">
        <v>3945</v>
      </c>
      <c r="K1701" s="1" t="s">
        <v>3946</v>
      </c>
      <c r="L1701" s="1" t="s">
        <v>1279</v>
      </c>
      <c r="M1701" s="36" t="s">
        <v>1484</v>
      </c>
      <c r="N1701" s="1" t="s">
        <v>2497</v>
      </c>
      <c r="O1701" s="1" t="s">
        <v>1286</v>
      </c>
      <c r="P1701" s="34" t="str">
        <f t="shared" si="29"/>
        <v>F010</v>
      </c>
      <c r="Q1701" s="1" t="s">
        <v>127</v>
      </c>
      <c r="S1701" s="16">
        <v>20</v>
      </c>
      <c r="T1701" s="1" t="s">
        <v>3921</v>
      </c>
      <c r="U1701" s="1" t="s">
        <v>1492</v>
      </c>
      <c r="V1701" s="1" t="s">
        <v>1330</v>
      </c>
      <c r="Y1701" s="1">
        <v>5673</v>
      </c>
      <c r="AB1701" s="1">
        <v>5389.35</v>
      </c>
    </row>
    <row r="1702" spans="2:28" x14ac:dyDescent="0.2">
      <c r="B1702" s="30" t="s">
        <v>2294</v>
      </c>
      <c r="C1702" s="36"/>
      <c r="D1702" s="36"/>
      <c r="F1702" s="1" t="s">
        <v>3922</v>
      </c>
      <c r="G1702" s="30" t="s">
        <v>3945</v>
      </c>
      <c r="K1702" s="1" t="s">
        <v>3947</v>
      </c>
      <c r="L1702" s="1" t="s">
        <v>1279</v>
      </c>
      <c r="M1702" s="36" t="s">
        <v>1484</v>
      </c>
      <c r="N1702" s="1" t="s">
        <v>2497</v>
      </c>
      <c r="O1702" s="1" t="s">
        <v>1286</v>
      </c>
      <c r="P1702" s="34" t="str">
        <f t="shared" si="29"/>
        <v>F010</v>
      </c>
      <c r="Q1702" s="1" t="s">
        <v>127</v>
      </c>
      <c r="S1702" s="16">
        <v>20</v>
      </c>
      <c r="T1702" s="1" t="s">
        <v>3921</v>
      </c>
      <c r="U1702" s="1" t="s">
        <v>1492</v>
      </c>
      <c r="V1702" s="1" t="s">
        <v>1330</v>
      </c>
      <c r="Y1702" s="1">
        <v>5673</v>
      </c>
      <c r="AB1702" s="1">
        <v>5389.35</v>
      </c>
    </row>
    <row r="1703" spans="2:28" x14ac:dyDescent="0.2">
      <c r="B1703" s="30" t="s">
        <v>2294</v>
      </c>
      <c r="C1703" s="36"/>
      <c r="D1703" s="36"/>
      <c r="F1703" s="1" t="s">
        <v>3922</v>
      </c>
      <c r="G1703" s="30" t="s">
        <v>3948</v>
      </c>
      <c r="K1703" s="1" t="s">
        <v>3949</v>
      </c>
      <c r="L1703" s="1" t="s">
        <v>1279</v>
      </c>
      <c r="M1703" s="36" t="s">
        <v>1484</v>
      </c>
      <c r="N1703" s="1" t="s">
        <v>1754</v>
      </c>
      <c r="O1703" s="1" t="s">
        <v>1286</v>
      </c>
      <c r="P1703" s="34" t="str">
        <f t="shared" si="29"/>
        <v>F010</v>
      </c>
      <c r="Q1703" s="1" t="s">
        <v>127</v>
      </c>
      <c r="S1703" s="16">
        <v>20</v>
      </c>
      <c r="T1703" s="1" t="s">
        <v>3921</v>
      </c>
      <c r="U1703" s="1" t="s">
        <v>1492</v>
      </c>
      <c r="V1703" s="1" t="s">
        <v>1330</v>
      </c>
      <c r="Y1703" s="1">
        <v>7672</v>
      </c>
      <c r="AB1703" s="1">
        <v>7288.4</v>
      </c>
    </row>
    <row r="1704" spans="2:28" x14ac:dyDescent="0.2">
      <c r="B1704" s="30" t="s">
        <v>2294</v>
      </c>
      <c r="C1704" s="36"/>
      <c r="D1704" s="36"/>
      <c r="F1704" s="1" t="s">
        <v>3922</v>
      </c>
      <c r="G1704" s="30" t="s">
        <v>3948</v>
      </c>
      <c r="K1704" s="1" t="s">
        <v>3950</v>
      </c>
      <c r="L1704" s="1" t="s">
        <v>1279</v>
      </c>
      <c r="M1704" s="36" t="s">
        <v>1484</v>
      </c>
      <c r="N1704" s="1" t="s">
        <v>1287</v>
      </c>
      <c r="O1704" s="1" t="s">
        <v>1286</v>
      </c>
      <c r="P1704" s="34" t="str">
        <f t="shared" si="29"/>
        <v>F010</v>
      </c>
      <c r="Q1704" s="1" t="s">
        <v>127</v>
      </c>
      <c r="S1704" s="16">
        <v>20</v>
      </c>
      <c r="T1704" s="1" t="s">
        <v>3921</v>
      </c>
      <c r="U1704" s="1" t="s">
        <v>1492</v>
      </c>
      <c r="V1704" s="1" t="s">
        <v>1330</v>
      </c>
      <c r="Y1704" s="1">
        <v>7672</v>
      </c>
      <c r="AB1704" s="1">
        <v>7288.4</v>
      </c>
    </row>
    <row r="1705" spans="2:28" x14ac:dyDescent="0.2">
      <c r="B1705" s="30" t="s">
        <v>2294</v>
      </c>
      <c r="C1705" s="36"/>
      <c r="D1705" s="36"/>
      <c r="F1705" s="1" t="s">
        <v>3922</v>
      </c>
      <c r="G1705" s="30" t="s">
        <v>3948</v>
      </c>
      <c r="K1705" s="1" t="s">
        <v>3951</v>
      </c>
      <c r="L1705" s="1" t="s">
        <v>1279</v>
      </c>
      <c r="M1705" s="36" t="s">
        <v>1484</v>
      </c>
      <c r="N1705" s="1" t="s">
        <v>2486</v>
      </c>
      <c r="O1705" s="1" t="s">
        <v>1286</v>
      </c>
      <c r="P1705" s="34" t="str">
        <f t="shared" si="29"/>
        <v>F010</v>
      </c>
      <c r="Q1705" s="1" t="s">
        <v>127</v>
      </c>
      <c r="S1705" s="16">
        <v>20</v>
      </c>
      <c r="T1705" s="1" t="s">
        <v>3921</v>
      </c>
      <c r="U1705" s="1" t="s">
        <v>1492</v>
      </c>
      <c r="V1705" s="1" t="s">
        <v>1330</v>
      </c>
      <c r="Y1705" s="1">
        <v>7672</v>
      </c>
      <c r="AB1705" s="1">
        <v>7288.4</v>
      </c>
    </row>
    <row r="1706" spans="2:28" x14ac:dyDescent="0.2">
      <c r="B1706" s="30" t="s">
        <v>2294</v>
      </c>
      <c r="C1706" s="36"/>
      <c r="D1706" s="36"/>
      <c r="F1706" s="1" t="s">
        <v>3922</v>
      </c>
      <c r="G1706" s="30" t="s">
        <v>3948</v>
      </c>
      <c r="K1706" s="1" t="s">
        <v>3952</v>
      </c>
      <c r="L1706" s="1" t="s">
        <v>1279</v>
      </c>
      <c r="M1706" s="36" t="s">
        <v>1484</v>
      </c>
      <c r="N1706" s="1" t="s">
        <v>1287</v>
      </c>
      <c r="O1706" s="1" t="s">
        <v>1286</v>
      </c>
      <c r="P1706" s="34" t="str">
        <f t="shared" si="29"/>
        <v>F010</v>
      </c>
      <c r="Q1706" s="1" t="s">
        <v>127</v>
      </c>
      <c r="S1706" s="16">
        <v>20</v>
      </c>
      <c r="T1706" s="1" t="s">
        <v>3921</v>
      </c>
      <c r="U1706" s="1" t="s">
        <v>1492</v>
      </c>
      <c r="V1706" s="1" t="s">
        <v>1330</v>
      </c>
      <c r="Y1706" s="1">
        <v>7672</v>
      </c>
      <c r="AB1706" s="1">
        <v>7288.4</v>
      </c>
    </row>
    <row r="1707" spans="2:28" x14ac:dyDescent="0.2">
      <c r="B1707" s="30" t="s">
        <v>2294</v>
      </c>
      <c r="C1707" s="36"/>
      <c r="D1707" s="36"/>
      <c r="F1707" s="1" t="s">
        <v>3922</v>
      </c>
      <c r="G1707" s="30" t="s">
        <v>3948</v>
      </c>
      <c r="K1707" s="1" t="s">
        <v>3953</v>
      </c>
      <c r="L1707" s="1" t="s">
        <v>1279</v>
      </c>
      <c r="M1707" s="36" t="s">
        <v>1484</v>
      </c>
      <c r="N1707" s="1" t="s">
        <v>1294</v>
      </c>
      <c r="O1707" s="1" t="s">
        <v>1286</v>
      </c>
      <c r="P1707" s="34" t="str">
        <f t="shared" si="29"/>
        <v>F010</v>
      </c>
      <c r="Q1707" s="1" t="s">
        <v>127</v>
      </c>
      <c r="S1707" s="16">
        <v>20</v>
      </c>
      <c r="T1707" s="1" t="s">
        <v>3921</v>
      </c>
      <c r="U1707" s="1" t="s">
        <v>1492</v>
      </c>
      <c r="V1707" s="1" t="s">
        <v>1330</v>
      </c>
      <c r="Y1707" s="1">
        <v>7672</v>
      </c>
      <c r="AB1707" s="1">
        <v>7288.4</v>
      </c>
    </row>
    <row r="1708" spans="2:28" x14ac:dyDescent="0.2">
      <c r="B1708" s="30" t="s">
        <v>2294</v>
      </c>
      <c r="C1708" s="36"/>
      <c r="D1708" s="36"/>
      <c r="F1708" s="1" t="s">
        <v>3922</v>
      </c>
      <c r="G1708" s="30" t="s">
        <v>3948</v>
      </c>
      <c r="K1708" s="1" t="s">
        <v>3954</v>
      </c>
      <c r="L1708" s="1" t="s">
        <v>1279</v>
      </c>
      <c r="M1708" s="36" t="s">
        <v>1484</v>
      </c>
      <c r="N1708" s="1" t="s">
        <v>3582</v>
      </c>
      <c r="O1708" s="1" t="s">
        <v>1286</v>
      </c>
      <c r="P1708" s="34" t="str">
        <f t="shared" si="29"/>
        <v>F010</v>
      </c>
      <c r="Q1708" s="1" t="s">
        <v>127</v>
      </c>
      <c r="S1708" s="16">
        <v>20</v>
      </c>
      <c r="T1708" s="1" t="s">
        <v>3921</v>
      </c>
      <c r="U1708" s="1" t="s">
        <v>1492</v>
      </c>
      <c r="V1708" s="1" t="s">
        <v>1330</v>
      </c>
      <c r="Y1708" s="1">
        <v>7672</v>
      </c>
      <c r="AB1708" s="1">
        <v>7288.4</v>
      </c>
    </row>
    <row r="1709" spans="2:28" x14ac:dyDescent="0.2">
      <c r="B1709" s="30" t="s">
        <v>2294</v>
      </c>
      <c r="C1709" s="36"/>
      <c r="D1709" s="36"/>
      <c r="F1709" s="1" t="s">
        <v>3922</v>
      </c>
      <c r="G1709" s="30" t="s">
        <v>3948</v>
      </c>
      <c r="K1709" s="1" t="s">
        <v>3955</v>
      </c>
      <c r="L1709" s="1" t="s">
        <v>1279</v>
      </c>
      <c r="M1709" s="36" t="s">
        <v>1484</v>
      </c>
      <c r="N1709" s="1" t="s">
        <v>1287</v>
      </c>
      <c r="O1709" s="1" t="s">
        <v>1286</v>
      </c>
      <c r="P1709" s="34" t="str">
        <f t="shared" si="29"/>
        <v>F010</v>
      </c>
      <c r="Q1709" s="1" t="s">
        <v>127</v>
      </c>
      <c r="S1709" s="16">
        <v>20</v>
      </c>
      <c r="T1709" s="1" t="s">
        <v>3921</v>
      </c>
      <c r="U1709" s="1" t="s">
        <v>1492</v>
      </c>
      <c r="V1709" s="1" t="s">
        <v>1330</v>
      </c>
      <c r="Y1709" s="1">
        <v>7672</v>
      </c>
      <c r="AB1709" s="1">
        <v>7288.4</v>
      </c>
    </row>
    <row r="1710" spans="2:28" x14ac:dyDescent="0.2">
      <c r="B1710" s="30" t="s">
        <v>2294</v>
      </c>
      <c r="C1710" s="36"/>
      <c r="D1710" s="36"/>
      <c r="F1710" s="1" t="s">
        <v>3922</v>
      </c>
      <c r="G1710" s="30" t="s">
        <v>3948</v>
      </c>
      <c r="K1710" s="1" t="s">
        <v>3956</v>
      </c>
      <c r="L1710" s="1" t="s">
        <v>1279</v>
      </c>
      <c r="M1710" s="36" t="s">
        <v>1484</v>
      </c>
      <c r="N1710" s="1" t="s">
        <v>3957</v>
      </c>
      <c r="O1710" s="1" t="s">
        <v>1286</v>
      </c>
      <c r="P1710" s="34" t="str">
        <f t="shared" si="29"/>
        <v>F010</v>
      </c>
      <c r="Q1710" s="1" t="s">
        <v>127</v>
      </c>
      <c r="S1710" s="16">
        <v>20</v>
      </c>
      <c r="T1710" s="1" t="s">
        <v>3921</v>
      </c>
      <c r="U1710" s="1" t="s">
        <v>1492</v>
      </c>
      <c r="V1710" s="1" t="s">
        <v>1330</v>
      </c>
      <c r="Y1710" s="1">
        <v>7672</v>
      </c>
      <c r="AB1710" s="1">
        <v>7288.4</v>
      </c>
    </row>
    <row r="1711" spans="2:28" x14ac:dyDescent="0.2">
      <c r="B1711" s="30" t="s">
        <v>2294</v>
      </c>
      <c r="C1711" s="36"/>
      <c r="D1711" s="36"/>
      <c r="F1711" s="1" t="s">
        <v>3922</v>
      </c>
      <c r="G1711" s="30" t="s">
        <v>3948</v>
      </c>
      <c r="K1711" s="1" t="s">
        <v>3958</v>
      </c>
      <c r="L1711" s="1" t="s">
        <v>1279</v>
      </c>
      <c r="M1711" s="36" t="s">
        <v>1484</v>
      </c>
      <c r="N1711" s="1" t="s">
        <v>1284</v>
      </c>
      <c r="O1711" s="1" t="s">
        <v>1286</v>
      </c>
      <c r="P1711" s="34" t="str">
        <f t="shared" si="29"/>
        <v>F010</v>
      </c>
      <c r="Q1711" s="1" t="s">
        <v>127</v>
      </c>
      <c r="S1711" s="16">
        <v>20</v>
      </c>
      <c r="T1711" s="1" t="s">
        <v>3959</v>
      </c>
      <c r="U1711" s="1" t="s">
        <v>1492</v>
      </c>
      <c r="V1711" s="1" t="s">
        <v>1330</v>
      </c>
      <c r="Y1711" s="1">
        <v>7672</v>
      </c>
      <c r="AB1711" s="1">
        <v>7288.4</v>
      </c>
    </row>
    <row r="1712" spans="2:28" x14ac:dyDescent="0.2">
      <c r="B1712" s="30" t="s">
        <v>2294</v>
      </c>
      <c r="C1712" s="36"/>
      <c r="D1712" s="36"/>
      <c r="F1712" s="1" t="s">
        <v>3960</v>
      </c>
      <c r="G1712" s="30" t="s">
        <v>3948</v>
      </c>
      <c r="K1712" s="1" t="s">
        <v>3961</v>
      </c>
      <c r="L1712" s="1" t="s">
        <v>1279</v>
      </c>
      <c r="M1712" s="36" t="s">
        <v>1484</v>
      </c>
      <c r="N1712" s="1" t="s">
        <v>1287</v>
      </c>
      <c r="O1712" s="1" t="s">
        <v>1286</v>
      </c>
      <c r="P1712" s="34" t="str">
        <f t="shared" si="29"/>
        <v>F010</v>
      </c>
      <c r="Q1712" s="1" t="s">
        <v>127</v>
      </c>
      <c r="S1712" s="16">
        <v>20</v>
      </c>
      <c r="T1712" s="1" t="s">
        <v>3959</v>
      </c>
      <c r="U1712" s="1" t="s">
        <v>1492</v>
      </c>
      <c r="V1712" s="1" t="s">
        <v>1330</v>
      </c>
      <c r="Y1712" s="1">
        <v>7672</v>
      </c>
      <c r="AB1712" s="1">
        <v>7288.4</v>
      </c>
    </row>
    <row r="1713" spans="2:28" x14ac:dyDescent="0.2">
      <c r="B1713" s="30" t="s">
        <v>2294</v>
      </c>
      <c r="C1713" s="36"/>
      <c r="D1713" s="36"/>
      <c r="F1713" s="1" t="s">
        <v>3960</v>
      </c>
      <c r="G1713" s="30" t="s">
        <v>3948</v>
      </c>
      <c r="K1713" s="1" t="s">
        <v>3962</v>
      </c>
      <c r="L1713" s="1" t="s">
        <v>1279</v>
      </c>
      <c r="M1713" s="36" t="s">
        <v>1484</v>
      </c>
      <c r="N1713" s="1" t="s">
        <v>1833</v>
      </c>
      <c r="O1713" s="1" t="s">
        <v>1286</v>
      </c>
      <c r="P1713" s="34" t="str">
        <f t="shared" si="29"/>
        <v>F010</v>
      </c>
      <c r="Q1713" s="1" t="s">
        <v>127</v>
      </c>
      <c r="S1713" s="16">
        <v>20</v>
      </c>
      <c r="T1713" s="1" t="s">
        <v>3959</v>
      </c>
      <c r="U1713" s="1" t="s">
        <v>1492</v>
      </c>
      <c r="V1713" s="1" t="s">
        <v>1330</v>
      </c>
      <c r="Y1713" s="1">
        <v>7672</v>
      </c>
      <c r="AB1713" s="1">
        <v>7288.4</v>
      </c>
    </row>
    <row r="1714" spans="2:28" x14ac:dyDescent="0.2">
      <c r="B1714" s="30" t="s">
        <v>2294</v>
      </c>
      <c r="C1714" s="36"/>
      <c r="D1714" s="36"/>
      <c r="F1714" s="1" t="s">
        <v>3960</v>
      </c>
      <c r="G1714" s="30" t="s">
        <v>3948</v>
      </c>
      <c r="K1714" s="1" t="s">
        <v>3963</v>
      </c>
      <c r="L1714" s="1" t="s">
        <v>1279</v>
      </c>
      <c r="M1714" s="36" t="s">
        <v>1484</v>
      </c>
      <c r="N1714" s="1" t="s">
        <v>1287</v>
      </c>
      <c r="O1714" s="1" t="s">
        <v>1286</v>
      </c>
      <c r="P1714" s="34" t="str">
        <f t="shared" si="29"/>
        <v>F010</v>
      </c>
      <c r="Q1714" s="1" t="s">
        <v>127</v>
      </c>
      <c r="S1714" s="16">
        <v>20</v>
      </c>
      <c r="T1714" s="1" t="s">
        <v>3959</v>
      </c>
      <c r="U1714" s="1" t="s">
        <v>1492</v>
      </c>
      <c r="V1714" s="1" t="s">
        <v>1330</v>
      </c>
      <c r="Y1714" s="1">
        <v>7672</v>
      </c>
      <c r="AB1714" s="1">
        <v>7288.4</v>
      </c>
    </row>
    <row r="1715" spans="2:28" x14ac:dyDescent="0.2">
      <c r="B1715" s="30" t="s">
        <v>2294</v>
      </c>
      <c r="C1715" s="36"/>
      <c r="D1715" s="36"/>
      <c r="F1715" s="1" t="s">
        <v>3960</v>
      </c>
      <c r="G1715" s="30" t="s">
        <v>3948</v>
      </c>
      <c r="K1715" s="1" t="s">
        <v>3964</v>
      </c>
      <c r="L1715" s="1" t="s">
        <v>1279</v>
      </c>
      <c r="M1715" s="36" t="s">
        <v>1484</v>
      </c>
      <c r="N1715" s="1" t="s">
        <v>1573</v>
      </c>
      <c r="O1715" s="1" t="s">
        <v>1286</v>
      </c>
      <c r="P1715" s="34" t="str">
        <f t="shared" si="29"/>
        <v>F010</v>
      </c>
      <c r="Q1715" s="1" t="s">
        <v>127</v>
      </c>
      <c r="S1715" s="16">
        <v>20</v>
      </c>
      <c r="T1715" s="1" t="s">
        <v>3959</v>
      </c>
      <c r="U1715" s="1" t="s">
        <v>1492</v>
      </c>
      <c r="V1715" s="1" t="s">
        <v>1330</v>
      </c>
      <c r="Y1715" s="1">
        <v>7672</v>
      </c>
      <c r="AB1715" s="1">
        <v>7288.4</v>
      </c>
    </row>
    <row r="1716" spans="2:28" x14ac:dyDescent="0.2">
      <c r="B1716" s="30" t="s">
        <v>2294</v>
      </c>
      <c r="C1716" s="36"/>
      <c r="D1716" s="36"/>
      <c r="F1716" s="1" t="s">
        <v>3960</v>
      </c>
      <c r="G1716" s="30" t="s">
        <v>3948</v>
      </c>
      <c r="K1716" s="1" t="s">
        <v>3965</v>
      </c>
      <c r="L1716" s="1" t="s">
        <v>1279</v>
      </c>
      <c r="M1716" s="36" t="s">
        <v>1484</v>
      </c>
      <c r="N1716" s="1" t="s">
        <v>2598</v>
      </c>
      <c r="O1716" s="1" t="s">
        <v>1286</v>
      </c>
      <c r="P1716" s="34" t="str">
        <f t="shared" si="29"/>
        <v>F010</v>
      </c>
      <c r="Q1716" s="1" t="s">
        <v>127</v>
      </c>
      <c r="S1716" s="16">
        <v>20</v>
      </c>
      <c r="T1716" s="1" t="s">
        <v>3959</v>
      </c>
      <c r="U1716" s="1" t="s">
        <v>1492</v>
      </c>
      <c r="V1716" s="1" t="s">
        <v>1330</v>
      </c>
      <c r="Y1716" s="1">
        <v>7672</v>
      </c>
      <c r="AB1716" s="1">
        <v>7288.4</v>
      </c>
    </row>
    <row r="1717" spans="2:28" x14ac:dyDescent="0.2">
      <c r="B1717" s="30" t="s">
        <v>2294</v>
      </c>
      <c r="C1717" s="36"/>
      <c r="D1717" s="36"/>
      <c r="F1717" s="1" t="s">
        <v>3960</v>
      </c>
      <c r="G1717" s="30" t="s">
        <v>3948</v>
      </c>
      <c r="K1717" s="1" t="s">
        <v>3966</v>
      </c>
      <c r="L1717" s="1" t="s">
        <v>1279</v>
      </c>
      <c r="M1717" s="36" t="s">
        <v>1484</v>
      </c>
      <c r="N1717" s="1" t="s">
        <v>2611</v>
      </c>
      <c r="O1717" s="1" t="s">
        <v>1286</v>
      </c>
      <c r="P1717" s="34" t="str">
        <f t="shared" si="29"/>
        <v>F010</v>
      </c>
      <c r="Q1717" s="1" t="s">
        <v>127</v>
      </c>
      <c r="S1717" s="16">
        <v>20</v>
      </c>
      <c r="T1717" s="1" t="s">
        <v>3959</v>
      </c>
      <c r="U1717" s="1" t="s">
        <v>1492</v>
      </c>
      <c r="V1717" s="1" t="s">
        <v>1330</v>
      </c>
      <c r="Y1717" s="1">
        <v>7672</v>
      </c>
      <c r="AB1717" s="1">
        <v>7288.4</v>
      </c>
    </row>
    <row r="1718" spans="2:28" x14ac:dyDescent="0.2">
      <c r="B1718" s="30" t="s">
        <v>2294</v>
      </c>
      <c r="C1718" s="36"/>
      <c r="D1718" s="36"/>
      <c r="F1718" s="1" t="s">
        <v>3960</v>
      </c>
      <c r="G1718" s="30" t="s">
        <v>3948</v>
      </c>
      <c r="K1718" s="1" t="s">
        <v>3967</v>
      </c>
      <c r="L1718" s="1" t="s">
        <v>1279</v>
      </c>
      <c r="M1718" s="36" t="s">
        <v>1484</v>
      </c>
      <c r="N1718" s="1" t="s">
        <v>1285</v>
      </c>
      <c r="O1718" s="1" t="s">
        <v>1286</v>
      </c>
      <c r="P1718" s="34" t="str">
        <f t="shared" si="29"/>
        <v>F010</v>
      </c>
      <c r="Q1718" s="1" t="s">
        <v>127</v>
      </c>
      <c r="S1718" s="16">
        <v>20</v>
      </c>
      <c r="T1718" s="1" t="s">
        <v>3959</v>
      </c>
      <c r="U1718" s="1" t="s">
        <v>1492</v>
      </c>
      <c r="V1718" s="1" t="s">
        <v>1330</v>
      </c>
      <c r="Y1718" s="1">
        <v>7672</v>
      </c>
      <c r="AB1718" s="1">
        <v>7288.4</v>
      </c>
    </row>
    <row r="1719" spans="2:28" x14ac:dyDescent="0.2">
      <c r="B1719" s="30" t="s">
        <v>2294</v>
      </c>
      <c r="C1719" s="36"/>
      <c r="D1719" s="36"/>
      <c r="F1719" s="1" t="s">
        <v>3960</v>
      </c>
      <c r="G1719" s="30" t="s">
        <v>3948</v>
      </c>
      <c r="K1719" s="1" t="s">
        <v>3968</v>
      </c>
      <c r="L1719" s="1" t="s">
        <v>1279</v>
      </c>
      <c r="M1719" s="36" t="s">
        <v>1484</v>
      </c>
      <c r="N1719" s="1" t="s">
        <v>1287</v>
      </c>
      <c r="O1719" s="1" t="s">
        <v>1286</v>
      </c>
      <c r="P1719" s="34" t="str">
        <f t="shared" si="29"/>
        <v>F010</v>
      </c>
      <c r="Q1719" s="1" t="s">
        <v>127</v>
      </c>
      <c r="S1719" s="16">
        <v>20</v>
      </c>
      <c r="T1719" s="1" t="s">
        <v>3959</v>
      </c>
      <c r="U1719" s="1" t="s">
        <v>1492</v>
      </c>
      <c r="V1719" s="1" t="s">
        <v>1330</v>
      </c>
      <c r="Y1719" s="1">
        <v>7672</v>
      </c>
      <c r="AB1719" s="1">
        <v>7288.4</v>
      </c>
    </row>
    <row r="1720" spans="2:28" x14ac:dyDescent="0.2">
      <c r="B1720" s="30" t="s">
        <v>2294</v>
      </c>
      <c r="C1720" s="36"/>
      <c r="D1720" s="36"/>
      <c r="F1720" s="1" t="s">
        <v>3960</v>
      </c>
      <c r="G1720" s="30" t="s">
        <v>3948</v>
      </c>
      <c r="K1720" s="1" t="s">
        <v>3969</v>
      </c>
      <c r="L1720" s="1" t="s">
        <v>1279</v>
      </c>
      <c r="M1720" s="36" t="s">
        <v>1484</v>
      </c>
      <c r="N1720" s="1" t="s">
        <v>1287</v>
      </c>
      <c r="O1720" s="1" t="s">
        <v>1286</v>
      </c>
      <c r="P1720" s="34" t="str">
        <f t="shared" si="29"/>
        <v>F010</v>
      </c>
      <c r="Q1720" s="1" t="s">
        <v>127</v>
      </c>
      <c r="S1720" s="16">
        <v>20</v>
      </c>
      <c r="T1720" s="1" t="s">
        <v>3959</v>
      </c>
      <c r="U1720" s="1" t="s">
        <v>1492</v>
      </c>
      <c r="V1720" s="1" t="s">
        <v>1330</v>
      </c>
      <c r="Y1720" s="1">
        <v>7672</v>
      </c>
      <c r="AB1720" s="1">
        <v>7288.4</v>
      </c>
    </row>
    <row r="1721" spans="2:28" x14ac:dyDescent="0.2">
      <c r="B1721" s="30" t="s">
        <v>2294</v>
      </c>
      <c r="C1721" s="36"/>
      <c r="D1721" s="36"/>
      <c r="F1721" s="1" t="s">
        <v>3960</v>
      </c>
      <c r="G1721" s="30" t="s">
        <v>3948</v>
      </c>
      <c r="K1721" s="1" t="s">
        <v>3970</v>
      </c>
      <c r="L1721" s="1" t="s">
        <v>1279</v>
      </c>
      <c r="M1721" s="36" t="s">
        <v>1484</v>
      </c>
      <c r="N1721" s="1" t="s">
        <v>1287</v>
      </c>
      <c r="O1721" s="1" t="s">
        <v>1286</v>
      </c>
      <c r="P1721" s="34" t="str">
        <f t="shared" si="29"/>
        <v>F010</v>
      </c>
      <c r="Q1721" s="1" t="s">
        <v>127</v>
      </c>
      <c r="S1721" s="16">
        <v>20</v>
      </c>
      <c r="T1721" s="1" t="s">
        <v>3959</v>
      </c>
      <c r="U1721" s="1" t="s">
        <v>1492</v>
      </c>
      <c r="V1721" s="1" t="s">
        <v>1330</v>
      </c>
      <c r="Y1721" s="1">
        <v>7672</v>
      </c>
      <c r="AB1721" s="1">
        <v>7288.4</v>
      </c>
    </row>
    <row r="1722" spans="2:28" x14ac:dyDescent="0.2">
      <c r="B1722" s="30" t="s">
        <v>2294</v>
      </c>
      <c r="C1722" s="36"/>
      <c r="D1722" s="36"/>
      <c r="F1722" s="1" t="s">
        <v>3960</v>
      </c>
      <c r="G1722" s="30" t="s">
        <v>3948</v>
      </c>
      <c r="K1722" s="1" t="s">
        <v>3971</v>
      </c>
      <c r="L1722" s="1" t="s">
        <v>1279</v>
      </c>
      <c r="M1722" s="36" t="s">
        <v>1484</v>
      </c>
      <c r="N1722" s="1" t="s">
        <v>1614</v>
      </c>
      <c r="O1722" s="1" t="s">
        <v>1286</v>
      </c>
      <c r="P1722" s="34" t="str">
        <f t="shared" si="29"/>
        <v>F010</v>
      </c>
      <c r="Q1722" s="1" t="s">
        <v>127</v>
      </c>
      <c r="S1722" s="16">
        <v>20</v>
      </c>
      <c r="T1722" s="1" t="s">
        <v>3959</v>
      </c>
      <c r="U1722" s="1" t="s">
        <v>1492</v>
      </c>
      <c r="V1722" s="1" t="s">
        <v>1330</v>
      </c>
      <c r="Y1722" s="1">
        <v>7672</v>
      </c>
      <c r="AB1722" s="1">
        <v>7288.4</v>
      </c>
    </row>
    <row r="1723" spans="2:28" x14ac:dyDescent="0.2">
      <c r="B1723" s="30" t="s">
        <v>2294</v>
      </c>
      <c r="C1723" s="36"/>
      <c r="D1723" s="36"/>
      <c r="F1723" s="1" t="s">
        <v>3960</v>
      </c>
      <c r="G1723" s="30" t="s">
        <v>3948</v>
      </c>
      <c r="K1723" s="1" t="s">
        <v>3972</v>
      </c>
      <c r="L1723" s="1" t="s">
        <v>1279</v>
      </c>
      <c r="M1723" s="36" t="s">
        <v>1484</v>
      </c>
      <c r="N1723" s="1" t="s">
        <v>1788</v>
      </c>
      <c r="O1723" s="1" t="s">
        <v>1286</v>
      </c>
      <c r="P1723" s="34" t="str">
        <f t="shared" si="29"/>
        <v>F010</v>
      </c>
      <c r="Q1723" s="1" t="s">
        <v>127</v>
      </c>
      <c r="S1723" s="16">
        <v>20</v>
      </c>
      <c r="T1723" s="1" t="s">
        <v>3959</v>
      </c>
      <c r="U1723" s="1" t="s">
        <v>1492</v>
      </c>
      <c r="V1723" s="1" t="s">
        <v>1330</v>
      </c>
      <c r="Y1723" s="1">
        <v>7672</v>
      </c>
      <c r="AB1723" s="1">
        <v>7288.4</v>
      </c>
    </row>
    <row r="1724" spans="2:28" x14ac:dyDescent="0.2">
      <c r="B1724" s="30" t="s">
        <v>2294</v>
      </c>
      <c r="C1724" s="36"/>
      <c r="D1724" s="36"/>
      <c r="F1724" s="1" t="s">
        <v>3960</v>
      </c>
      <c r="G1724" s="30" t="s">
        <v>3948</v>
      </c>
      <c r="K1724" s="1" t="s">
        <v>3973</v>
      </c>
      <c r="L1724" s="1" t="s">
        <v>1279</v>
      </c>
      <c r="M1724" s="36" t="s">
        <v>1510</v>
      </c>
      <c r="N1724" s="1" t="s">
        <v>1687</v>
      </c>
      <c r="O1724" s="1" t="s">
        <v>1286</v>
      </c>
      <c r="P1724" s="34" t="str">
        <f t="shared" si="29"/>
        <v>F010</v>
      </c>
      <c r="Q1724" s="1" t="s">
        <v>137</v>
      </c>
      <c r="S1724" s="16">
        <v>20</v>
      </c>
      <c r="T1724" s="1" t="s">
        <v>3959</v>
      </c>
      <c r="U1724" s="1" t="s">
        <v>1413</v>
      </c>
      <c r="V1724" s="1" t="s">
        <v>1560</v>
      </c>
      <c r="Y1724" s="1">
        <v>3588</v>
      </c>
      <c r="AB1724" s="1">
        <v>3408.6</v>
      </c>
    </row>
    <row r="1725" spans="2:28" x14ac:dyDescent="0.2">
      <c r="B1725" s="30" t="s">
        <v>2294</v>
      </c>
      <c r="C1725" s="36"/>
      <c r="D1725" s="36"/>
      <c r="F1725" s="1" t="s">
        <v>3960</v>
      </c>
      <c r="G1725" s="30" t="s">
        <v>3948</v>
      </c>
      <c r="K1725" s="1" t="s">
        <v>3974</v>
      </c>
      <c r="L1725" s="1" t="s">
        <v>1279</v>
      </c>
      <c r="M1725" s="36" t="s">
        <v>1510</v>
      </c>
      <c r="N1725" s="1" t="s">
        <v>1687</v>
      </c>
      <c r="O1725" s="1" t="s">
        <v>1286</v>
      </c>
      <c r="P1725" s="34" t="str">
        <f t="shared" si="29"/>
        <v>F010</v>
      </c>
      <c r="Q1725" s="1" t="s">
        <v>137</v>
      </c>
      <c r="S1725" s="16">
        <v>20</v>
      </c>
      <c r="T1725" s="1" t="s">
        <v>3959</v>
      </c>
      <c r="U1725" s="1" t="s">
        <v>1413</v>
      </c>
      <c r="V1725" s="1" t="s">
        <v>1560</v>
      </c>
      <c r="Y1725" s="1">
        <v>3588</v>
      </c>
      <c r="AB1725" s="1">
        <v>3408.6</v>
      </c>
    </row>
    <row r="1726" spans="2:28" x14ac:dyDescent="0.2">
      <c r="B1726" s="30" t="s">
        <v>2294</v>
      </c>
      <c r="C1726" s="36"/>
      <c r="D1726" s="36"/>
      <c r="F1726" s="1" t="s">
        <v>3960</v>
      </c>
      <c r="G1726" s="30" t="s">
        <v>3948</v>
      </c>
      <c r="K1726" s="1" t="s">
        <v>3975</v>
      </c>
      <c r="L1726" s="1" t="s">
        <v>1279</v>
      </c>
      <c r="M1726" s="36" t="s">
        <v>1510</v>
      </c>
      <c r="N1726" s="1" t="s">
        <v>1687</v>
      </c>
      <c r="O1726" s="1" t="s">
        <v>1286</v>
      </c>
      <c r="P1726" s="34" t="str">
        <f t="shared" si="29"/>
        <v>F010</v>
      </c>
      <c r="Q1726" s="1" t="s">
        <v>137</v>
      </c>
      <c r="S1726" s="16">
        <v>20</v>
      </c>
      <c r="T1726" s="1" t="s">
        <v>3959</v>
      </c>
      <c r="U1726" s="1" t="s">
        <v>1413</v>
      </c>
      <c r="V1726" s="1" t="s">
        <v>1560</v>
      </c>
      <c r="Y1726" s="1">
        <v>3588</v>
      </c>
      <c r="AB1726" s="1">
        <v>3408.6</v>
      </c>
    </row>
    <row r="1727" spans="2:28" x14ac:dyDescent="0.2">
      <c r="B1727" s="30" t="s">
        <v>2294</v>
      </c>
      <c r="C1727" s="36"/>
      <c r="D1727" s="36"/>
      <c r="F1727" s="1" t="s">
        <v>3960</v>
      </c>
      <c r="G1727" s="30" t="s">
        <v>3948</v>
      </c>
      <c r="K1727" s="1" t="s">
        <v>3976</v>
      </c>
      <c r="L1727" s="1" t="s">
        <v>1279</v>
      </c>
      <c r="M1727" s="36" t="s">
        <v>1510</v>
      </c>
      <c r="N1727" s="1" t="s">
        <v>1687</v>
      </c>
      <c r="O1727" s="1" t="s">
        <v>1286</v>
      </c>
      <c r="P1727" s="34" t="str">
        <f t="shared" si="29"/>
        <v>F010</v>
      </c>
      <c r="Q1727" s="1" t="s">
        <v>137</v>
      </c>
      <c r="S1727" s="16">
        <v>20</v>
      </c>
      <c r="T1727" s="1" t="s">
        <v>3959</v>
      </c>
      <c r="U1727" s="1" t="s">
        <v>1413</v>
      </c>
      <c r="V1727" s="1" t="s">
        <v>1560</v>
      </c>
      <c r="Y1727" s="1">
        <v>3588</v>
      </c>
      <c r="AB1727" s="1">
        <v>3408.6</v>
      </c>
    </row>
    <row r="1728" spans="2:28" x14ac:dyDescent="0.2">
      <c r="B1728" s="30" t="s">
        <v>2294</v>
      </c>
      <c r="C1728" s="36"/>
      <c r="D1728" s="36"/>
      <c r="F1728" s="1" t="s">
        <v>3960</v>
      </c>
      <c r="G1728" s="30" t="s">
        <v>3948</v>
      </c>
      <c r="K1728" s="1" t="s">
        <v>3977</v>
      </c>
      <c r="L1728" s="1" t="s">
        <v>1279</v>
      </c>
      <c r="M1728" s="36" t="s">
        <v>1510</v>
      </c>
      <c r="N1728" s="1" t="s">
        <v>1687</v>
      </c>
      <c r="O1728" s="1" t="s">
        <v>1286</v>
      </c>
      <c r="P1728" s="34" t="str">
        <f t="shared" si="29"/>
        <v>F010</v>
      </c>
      <c r="Q1728" s="1" t="s">
        <v>137</v>
      </c>
      <c r="S1728" s="16">
        <v>20</v>
      </c>
      <c r="T1728" s="1" t="s">
        <v>3959</v>
      </c>
      <c r="U1728" s="1" t="s">
        <v>1413</v>
      </c>
      <c r="V1728" s="1" t="s">
        <v>1560</v>
      </c>
      <c r="Y1728" s="1">
        <v>3588</v>
      </c>
      <c r="AB1728" s="1">
        <v>3408.6</v>
      </c>
    </row>
    <row r="1729" spans="2:28" x14ac:dyDescent="0.2">
      <c r="B1729" s="30" t="s">
        <v>2294</v>
      </c>
      <c r="C1729" s="36"/>
      <c r="D1729" s="36"/>
      <c r="F1729" s="1" t="s">
        <v>3960</v>
      </c>
      <c r="G1729" s="30" t="s">
        <v>3948</v>
      </c>
      <c r="K1729" s="1" t="s">
        <v>3978</v>
      </c>
      <c r="L1729" s="1" t="s">
        <v>1279</v>
      </c>
      <c r="M1729" s="36" t="s">
        <v>1484</v>
      </c>
      <c r="N1729" s="1" t="s">
        <v>3615</v>
      </c>
      <c r="O1729" s="1" t="s">
        <v>1286</v>
      </c>
      <c r="P1729" s="34" t="str">
        <f t="shared" si="29"/>
        <v>F010</v>
      </c>
      <c r="Q1729" s="1" t="s">
        <v>127</v>
      </c>
      <c r="S1729" s="16">
        <v>20</v>
      </c>
      <c r="T1729" s="1" t="s">
        <v>3959</v>
      </c>
      <c r="U1729" s="1" t="s">
        <v>1492</v>
      </c>
      <c r="V1729" s="1" t="s">
        <v>1330</v>
      </c>
      <c r="Y1729" s="1">
        <v>4202</v>
      </c>
      <c r="AB1729" s="1">
        <v>3991.9</v>
      </c>
    </row>
    <row r="1730" spans="2:28" x14ac:dyDescent="0.2">
      <c r="B1730" s="30" t="s">
        <v>2294</v>
      </c>
      <c r="C1730" s="36"/>
      <c r="D1730" s="36"/>
      <c r="F1730" s="1" t="s">
        <v>3960</v>
      </c>
      <c r="G1730" s="30" t="s">
        <v>3948</v>
      </c>
      <c r="K1730" s="1" t="s">
        <v>3979</v>
      </c>
      <c r="L1730" s="1" t="s">
        <v>1279</v>
      </c>
      <c r="M1730" s="36" t="s">
        <v>1484</v>
      </c>
      <c r="N1730" s="1" t="s">
        <v>1708</v>
      </c>
      <c r="O1730" s="1" t="s">
        <v>1286</v>
      </c>
      <c r="P1730" s="34" t="str">
        <f t="shared" si="29"/>
        <v>F010</v>
      </c>
      <c r="Q1730" s="1" t="s">
        <v>127</v>
      </c>
      <c r="S1730" s="16">
        <v>20</v>
      </c>
      <c r="T1730" s="1" t="s">
        <v>3959</v>
      </c>
      <c r="U1730" s="1" t="s">
        <v>1492</v>
      </c>
      <c r="V1730" s="1" t="s">
        <v>1330</v>
      </c>
      <c r="Y1730" s="1">
        <v>6038</v>
      </c>
      <c r="AB1730" s="1">
        <v>5736.1</v>
      </c>
    </row>
    <row r="1731" spans="2:28" x14ac:dyDescent="0.2">
      <c r="B1731" s="30" t="s">
        <v>2294</v>
      </c>
      <c r="C1731" s="36"/>
      <c r="D1731" s="36"/>
      <c r="F1731" s="1" t="s">
        <v>3960</v>
      </c>
      <c r="G1731" s="30" t="s">
        <v>3980</v>
      </c>
      <c r="K1731" s="1" t="s">
        <v>3981</v>
      </c>
      <c r="L1731" s="1" t="s">
        <v>1279</v>
      </c>
      <c r="M1731" s="36" t="s">
        <v>1557</v>
      </c>
      <c r="N1731" s="1" t="s">
        <v>3222</v>
      </c>
      <c r="O1731" s="1" t="s">
        <v>1286</v>
      </c>
      <c r="P1731" s="34" t="str">
        <f t="shared" si="29"/>
        <v>F010</v>
      </c>
      <c r="Q1731" s="1" t="s">
        <v>127</v>
      </c>
      <c r="S1731" s="16">
        <v>20</v>
      </c>
      <c r="T1731" s="1" t="s">
        <v>3959</v>
      </c>
      <c r="U1731" s="1" t="s">
        <v>1436</v>
      </c>
      <c r="V1731" s="1" t="s">
        <v>1686</v>
      </c>
      <c r="Y1731" s="1">
        <v>3570.19</v>
      </c>
      <c r="AB1731" s="1">
        <v>3391.68</v>
      </c>
    </row>
    <row r="1732" spans="2:28" x14ac:dyDescent="0.2">
      <c r="B1732" s="30" t="s">
        <v>2294</v>
      </c>
      <c r="C1732" s="36"/>
      <c r="D1732" s="36"/>
      <c r="F1732" s="1" t="s">
        <v>3960</v>
      </c>
      <c r="G1732" s="30" t="s">
        <v>3980</v>
      </c>
      <c r="K1732" s="1" t="s">
        <v>3982</v>
      </c>
      <c r="L1732" s="1" t="s">
        <v>1279</v>
      </c>
      <c r="M1732" s="36" t="s">
        <v>1557</v>
      </c>
      <c r="N1732" s="1" t="s">
        <v>3289</v>
      </c>
      <c r="O1732" s="1" t="s">
        <v>1286</v>
      </c>
      <c r="P1732" s="34" t="str">
        <f t="shared" si="29"/>
        <v>F010</v>
      </c>
      <c r="Q1732" s="1" t="s">
        <v>127</v>
      </c>
      <c r="S1732" s="16">
        <v>20</v>
      </c>
      <c r="T1732" s="1" t="s">
        <v>3959</v>
      </c>
      <c r="U1732" s="1" t="s">
        <v>1436</v>
      </c>
      <c r="V1732" s="1" t="s">
        <v>1686</v>
      </c>
      <c r="Y1732" s="1">
        <v>3570.19</v>
      </c>
      <c r="AB1732" s="1">
        <v>3391.68</v>
      </c>
    </row>
    <row r="1733" spans="2:28" x14ac:dyDescent="0.2">
      <c r="B1733" s="30" t="s">
        <v>2294</v>
      </c>
      <c r="C1733" s="36"/>
      <c r="D1733" s="36"/>
      <c r="F1733" s="1" t="s">
        <v>3960</v>
      </c>
      <c r="G1733" s="30" t="s">
        <v>3980</v>
      </c>
      <c r="K1733" s="1" t="s">
        <v>3983</v>
      </c>
      <c r="L1733" s="1" t="s">
        <v>1279</v>
      </c>
      <c r="M1733" s="36" t="s">
        <v>1557</v>
      </c>
      <c r="N1733" s="1" t="s">
        <v>1944</v>
      </c>
      <c r="O1733" s="1" t="s">
        <v>1286</v>
      </c>
      <c r="P1733" s="34" t="str">
        <f t="shared" si="29"/>
        <v>F010</v>
      </c>
      <c r="Q1733" s="1" t="s">
        <v>127</v>
      </c>
      <c r="S1733" s="16">
        <v>20</v>
      </c>
      <c r="T1733" s="1" t="s">
        <v>3959</v>
      </c>
      <c r="U1733" s="1" t="s">
        <v>1436</v>
      </c>
      <c r="V1733" s="1" t="s">
        <v>1686</v>
      </c>
      <c r="Y1733" s="1">
        <v>3570.19</v>
      </c>
      <c r="AB1733" s="1">
        <v>3391.68</v>
      </c>
    </row>
    <row r="1734" spans="2:28" x14ac:dyDescent="0.2">
      <c r="B1734" s="30" t="s">
        <v>2294</v>
      </c>
      <c r="C1734" s="36"/>
      <c r="D1734" s="36"/>
      <c r="F1734" s="1" t="s">
        <v>3960</v>
      </c>
      <c r="G1734" s="30" t="s">
        <v>3980</v>
      </c>
      <c r="K1734" s="1" t="s">
        <v>3984</v>
      </c>
      <c r="L1734" s="1" t="s">
        <v>1279</v>
      </c>
      <c r="M1734" s="36" t="s">
        <v>1557</v>
      </c>
      <c r="N1734" s="1" t="s">
        <v>1687</v>
      </c>
      <c r="O1734" s="1" t="s">
        <v>1286</v>
      </c>
      <c r="P1734" s="34" t="str">
        <f t="shared" si="29"/>
        <v>F010</v>
      </c>
      <c r="Q1734" s="1" t="s">
        <v>127</v>
      </c>
      <c r="S1734" s="16">
        <v>20</v>
      </c>
      <c r="T1734" s="1" t="s">
        <v>3959</v>
      </c>
      <c r="U1734" s="1" t="s">
        <v>1436</v>
      </c>
      <c r="V1734" s="1" t="s">
        <v>1686</v>
      </c>
      <c r="Y1734" s="1">
        <v>3570.19</v>
      </c>
      <c r="AB1734" s="1">
        <v>3391.68</v>
      </c>
    </row>
    <row r="1735" spans="2:28" x14ac:dyDescent="0.2">
      <c r="B1735" s="30" t="s">
        <v>2294</v>
      </c>
      <c r="C1735" s="36"/>
      <c r="D1735" s="36"/>
      <c r="F1735" s="1" t="s">
        <v>3960</v>
      </c>
      <c r="G1735" s="30" t="s">
        <v>3980</v>
      </c>
      <c r="K1735" s="1" t="s">
        <v>3985</v>
      </c>
      <c r="L1735" s="1" t="s">
        <v>1279</v>
      </c>
      <c r="M1735" s="36" t="s">
        <v>1557</v>
      </c>
      <c r="N1735" s="1" t="s">
        <v>3072</v>
      </c>
      <c r="O1735" s="1" t="s">
        <v>1286</v>
      </c>
      <c r="P1735" s="34" t="str">
        <f t="shared" si="29"/>
        <v>F010</v>
      </c>
      <c r="Q1735" s="1" t="s">
        <v>127</v>
      </c>
      <c r="S1735" s="16">
        <v>20</v>
      </c>
      <c r="T1735" s="1" t="s">
        <v>3959</v>
      </c>
      <c r="U1735" s="1" t="s">
        <v>1436</v>
      </c>
      <c r="V1735" s="1" t="s">
        <v>1686</v>
      </c>
      <c r="Y1735" s="1">
        <v>3570.19</v>
      </c>
      <c r="AB1735" s="1">
        <v>3391.68</v>
      </c>
    </row>
    <row r="1736" spans="2:28" x14ac:dyDescent="0.2">
      <c r="B1736" s="30" t="s">
        <v>2294</v>
      </c>
      <c r="C1736" s="36"/>
      <c r="D1736" s="36"/>
      <c r="F1736" s="1" t="s">
        <v>3960</v>
      </c>
      <c r="G1736" s="30" t="s">
        <v>3980</v>
      </c>
      <c r="K1736" s="1" t="s">
        <v>3986</v>
      </c>
      <c r="L1736" s="1" t="s">
        <v>1279</v>
      </c>
      <c r="M1736" s="36" t="s">
        <v>1557</v>
      </c>
      <c r="N1736" s="1" t="s">
        <v>3337</v>
      </c>
      <c r="O1736" s="1" t="s">
        <v>1286</v>
      </c>
      <c r="P1736" s="34" t="str">
        <f t="shared" si="29"/>
        <v>F010</v>
      </c>
      <c r="Q1736" s="1" t="s">
        <v>127</v>
      </c>
      <c r="S1736" s="16">
        <v>20</v>
      </c>
      <c r="T1736" s="1" t="s">
        <v>3959</v>
      </c>
      <c r="U1736" s="1" t="s">
        <v>1436</v>
      </c>
      <c r="V1736" s="1" t="s">
        <v>1686</v>
      </c>
      <c r="Y1736" s="1">
        <v>3570.19</v>
      </c>
      <c r="AB1736" s="1">
        <v>3391.68</v>
      </c>
    </row>
    <row r="1737" spans="2:28" x14ac:dyDescent="0.2">
      <c r="B1737" s="30" t="s">
        <v>2294</v>
      </c>
      <c r="C1737" s="36"/>
      <c r="D1737" s="36"/>
      <c r="F1737" s="1" t="s">
        <v>3960</v>
      </c>
      <c r="G1737" s="30" t="s">
        <v>3980</v>
      </c>
      <c r="K1737" s="1" t="s">
        <v>3987</v>
      </c>
      <c r="L1737" s="1" t="s">
        <v>1279</v>
      </c>
      <c r="M1737" s="36" t="s">
        <v>1557</v>
      </c>
      <c r="N1737" s="1" t="s">
        <v>1285</v>
      </c>
      <c r="O1737" s="1" t="s">
        <v>1286</v>
      </c>
      <c r="P1737" s="34" t="str">
        <f t="shared" si="29"/>
        <v>F010</v>
      </c>
      <c r="Q1737" s="1" t="s">
        <v>127</v>
      </c>
      <c r="S1737" s="16">
        <v>20</v>
      </c>
      <c r="T1737" s="1" t="s">
        <v>3959</v>
      </c>
      <c r="U1737" s="1" t="s">
        <v>1436</v>
      </c>
      <c r="V1737" s="1" t="s">
        <v>1686</v>
      </c>
      <c r="Y1737" s="1">
        <v>3570.19</v>
      </c>
      <c r="AB1737" s="1">
        <v>3391.68</v>
      </c>
    </row>
    <row r="1738" spans="2:28" x14ac:dyDescent="0.2">
      <c r="B1738" s="30" t="s">
        <v>2294</v>
      </c>
      <c r="C1738" s="36"/>
      <c r="D1738" s="36"/>
      <c r="F1738" s="1" t="s">
        <v>3960</v>
      </c>
      <c r="G1738" s="30" t="s">
        <v>3980</v>
      </c>
      <c r="K1738" s="1" t="s">
        <v>3988</v>
      </c>
      <c r="L1738" s="1" t="s">
        <v>1279</v>
      </c>
      <c r="M1738" s="36" t="s">
        <v>1557</v>
      </c>
      <c r="N1738" s="1" t="s">
        <v>3226</v>
      </c>
      <c r="O1738" s="1" t="s">
        <v>1286</v>
      </c>
      <c r="P1738" s="34" t="str">
        <f t="shared" si="29"/>
        <v>F010</v>
      </c>
      <c r="Q1738" s="1" t="s">
        <v>127</v>
      </c>
      <c r="S1738" s="16">
        <v>20</v>
      </c>
      <c r="T1738" s="1" t="s">
        <v>3959</v>
      </c>
      <c r="U1738" s="1" t="s">
        <v>1436</v>
      </c>
      <c r="V1738" s="1" t="s">
        <v>1686</v>
      </c>
      <c r="Y1738" s="1">
        <v>3570.19</v>
      </c>
      <c r="AB1738" s="1">
        <v>3391.68</v>
      </c>
    </row>
    <row r="1739" spans="2:28" x14ac:dyDescent="0.2">
      <c r="B1739" s="30" t="s">
        <v>2294</v>
      </c>
      <c r="C1739" s="36"/>
      <c r="D1739" s="36"/>
      <c r="F1739" s="1" t="s">
        <v>3960</v>
      </c>
      <c r="G1739" s="30" t="s">
        <v>3989</v>
      </c>
      <c r="K1739" s="1" t="s">
        <v>3990</v>
      </c>
      <c r="L1739" s="1" t="s">
        <v>1279</v>
      </c>
      <c r="M1739" s="36" t="s">
        <v>2072</v>
      </c>
      <c r="N1739" s="1" t="s">
        <v>1577</v>
      </c>
      <c r="O1739" s="1" t="s">
        <v>1286</v>
      </c>
      <c r="P1739" s="34" t="str">
        <f t="shared" si="29"/>
        <v>F010</v>
      </c>
      <c r="Q1739" s="1" t="s">
        <v>138</v>
      </c>
      <c r="S1739" s="16">
        <v>20</v>
      </c>
      <c r="T1739" s="1" t="s">
        <v>3991</v>
      </c>
      <c r="U1739" s="1" t="s">
        <v>1686</v>
      </c>
      <c r="V1739" s="1" t="s">
        <v>1574</v>
      </c>
      <c r="Y1739" s="1">
        <v>4592.55</v>
      </c>
      <c r="AB1739" s="1">
        <v>1565.07</v>
      </c>
    </row>
    <row r="1740" spans="2:28" x14ac:dyDescent="0.2">
      <c r="B1740" s="30" t="s">
        <v>2294</v>
      </c>
      <c r="C1740" s="36"/>
      <c r="D1740" s="36"/>
      <c r="F1740" s="1" t="s">
        <v>3992</v>
      </c>
      <c r="G1740" s="30" t="s">
        <v>3993</v>
      </c>
      <c r="K1740" s="1" t="s">
        <v>3994</v>
      </c>
      <c r="L1740" s="1" t="s">
        <v>1279</v>
      </c>
      <c r="M1740" s="36" t="s">
        <v>2072</v>
      </c>
      <c r="N1740" s="1" t="s">
        <v>1577</v>
      </c>
      <c r="O1740" s="1" t="s">
        <v>1286</v>
      </c>
      <c r="P1740" s="34" t="str">
        <f t="shared" si="29"/>
        <v>F010</v>
      </c>
      <c r="Q1740" s="1" t="s">
        <v>138</v>
      </c>
      <c r="S1740" s="16">
        <v>20</v>
      </c>
      <c r="T1740" s="1" t="s">
        <v>3991</v>
      </c>
      <c r="U1740" s="1" t="s">
        <v>1686</v>
      </c>
      <c r="V1740" s="1" t="s">
        <v>1574</v>
      </c>
      <c r="Y1740" s="1">
        <v>3632.54</v>
      </c>
      <c r="AB1740" s="1">
        <v>1235.69</v>
      </c>
    </row>
    <row r="1741" spans="2:28" x14ac:dyDescent="0.2">
      <c r="B1741" s="30" t="s">
        <v>2294</v>
      </c>
      <c r="C1741" s="36"/>
      <c r="D1741" s="36"/>
      <c r="F1741" s="1" t="s">
        <v>3992</v>
      </c>
      <c r="G1741" s="30" t="s">
        <v>3995</v>
      </c>
      <c r="K1741" s="1" t="s">
        <v>3996</v>
      </c>
      <c r="L1741" s="1" t="s">
        <v>1279</v>
      </c>
      <c r="M1741" s="36" t="s">
        <v>2072</v>
      </c>
      <c r="N1741" s="1" t="s">
        <v>1577</v>
      </c>
      <c r="O1741" s="1" t="s">
        <v>1286</v>
      </c>
      <c r="P1741" s="34" t="str">
        <f t="shared" si="29"/>
        <v>F010</v>
      </c>
      <c r="Q1741" s="1" t="s">
        <v>138</v>
      </c>
      <c r="S1741" s="16">
        <v>20</v>
      </c>
      <c r="T1741" s="1" t="s">
        <v>3991</v>
      </c>
      <c r="U1741" s="1" t="s">
        <v>1686</v>
      </c>
      <c r="V1741" s="1" t="s">
        <v>1574</v>
      </c>
      <c r="Y1741" s="1">
        <v>2000.55</v>
      </c>
      <c r="AB1741" s="1">
        <v>675.87</v>
      </c>
    </row>
    <row r="1742" spans="2:28" s="58" customFormat="1" x14ac:dyDescent="0.2">
      <c r="B1742" s="56" t="s">
        <v>2294</v>
      </c>
      <c r="C1742" s="57">
        <v>20000</v>
      </c>
      <c r="D1742" s="48">
        <f>+C1742/100000</f>
        <v>0.2</v>
      </c>
      <c r="E1742" s="58" t="s">
        <v>1331</v>
      </c>
      <c r="F1742" s="58" t="s">
        <v>3992</v>
      </c>
      <c r="G1742" s="56" t="s">
        <v>3997</v>
      </c>
      <c r="K1742" s="58" t="s">
        <v>3998</v>
      </c>
      <c r="L1742" s="58" t="s">
        <v>1279</v>
      </c>
      <c r="M1742" s="58" t="s">
        <v>3999</v>
      </c>
      <c r="N1742" s="58" t="s">
        <v>2400</v>
      </c>
      <c r="O1742" s="58" t="s">
        <v>1286</v>
      </c>
      <c r="P1742" s="58" t="str">
        <f t="shared" ref="P1742:P1805" si="31">+LEFT(Q1742,4)</f>
        <v>F010</v>
      </c>
      <c r="Q1742" s="58" t="s">
        <v>129</v>
      </c>
      <c r="S1742" s="59">
        <v>20</v>
      </c>
      <c r="T1742" s="58" t="s">
        <v>3991</v>
      </c>
      <c r="U1742" s="58" t="s">
        <v>2393</v>
      </c>
      <c r="V1742" s="58" t="s">
        <v>2084</v>
      </c>
      <c r="Y1742" s="58">
        <v>42719.99</v>
      </c>
      <c r="AB1742" s="58">
        <v>40583.99</v>
      </c>
    </row>
    <row r="1743" spans="2:28" s="58" customFormat="1" x14ac:dyDescent="0.2">
      <c r="B1743" s="56" t="s">
        <v>2294</v>
      </c>
      <c r="C1743" s="57">
        <v>40000</v>
      </c>
      <c r="D1743" s="48">
        <f>+C1743/100000</f>
        <v>0.4</v>
      </c>
      <c r="E1743" s="58" t="s">
        <v>1337</v>
      </c>
      <c r="F1743" s="58" t="s">
        <v>3992</v>
      </c>
      <c r="G1743" s="56" t="s">
        <v>3997</v>
      </c>
      <c r="K1743" s="58" t="s">
        <v>3998</v>
      </c>
      <c r="L1743" s="58" t="s">
        <v>1279</v>
      </c>
      <c r="M1743" s="58" t="s">
        <v>3999</v>
      </c>
      <c r="N1743" s="58" t="s">
        <v>6004</v>
      </c>
      <c r="O1743" s="58" t="s">
        <v>1286</v>
      </c>
      <c r="P1743" s="58" t="str">
        <f t="shared" si="31"/>
        <v>F010</v>
      </c>
      <c r="Q1743" s="58" t="s">
        <v>129</v>
      </c>
      <c r="S1743" s="59">
        <v>20</v>
      </c>
      <c r="T1743" s="58" t="s">
        <v>3991</v>
      </c>
      <c r="U1743" s="58" t="s">
        <v>2393</v>
      </c>
      <c r="V1743" s="58" t="s">
        <v>2084</v>
      </c>
      <c r="Y1743" s="58">
        <v>85439.98</v>
      </c>
      <c r="AB1743" s="58">
        <v>81167.98</v>
      </c>
    </row>
    <row r="1744" spans="2:28" s="58" customFormat="1" x14ac:dyDescent="0.2">
      <c r="B1744" s="56" t="s">
        <v>2294</v>
      </c>
      <c r="C1744" s="57">
        <v>20000</v>
      </c>
      <c r="D1744" s="48">
        <f>+C1744/100000</f>
        <v>0.2</v>
      </c>
      <c r="E1744" s="58" t="s">
        <v>1348</v>
      </c>
      <c r="F1744" s="58" t="s">
        <v>3992</v>
      </c>
      <c r="G1744" s="56" t="s">
        <v>3997</v>
      </c>
      <c r="K1744" s="58" t="s">
        <v>3998</v>
      </c>
      <c r="L1744" s="58" t="s">
        <v>1279</v>
      </c>
      <c r="M1744" s="58" t="s">
        <v>3999</v>
      </c>
      <c r="N1744" s="58" t="s">
        <v>3317</v>
      </c>
      <c r="O1744" s="58" t="s">
        <v>1286</v>
      </c>
      <c r="P1744" s="58" t="str">
        <f t="shared" si="31"/>
        <v>F010</v>
      </c>
      <c r="Q1744" s="58" t="s">
        <v>129</v>
      </c>
      <c r="S1744" s="59">
        <v>20</v>
      </c>
      <c r="T1744" s="58" t="s">
        <v>3991</v>
      </c>
      <c r="U1744" s="58" t="s">
        <v>2393</v>
      </c>
      <c r="V1744" s="58" t="s">
        <v>2084</v>
      </c>
      <c r="Y1744" s="58">
        <v>42719.99</v>
      </c>
      <c r="AB1744" s="58">
        <v>40583.99</v>
      </c>
    </row>
    <row r="1745" spans="2:28" s="58" customFormat="1" x14ac:dyDescent="0.2">
      <c r="B1745" s="56" t="s">
        <v>2294</v>
      </c>
      <c r="C1745" s="57">
        <v>10000</v>
      </c>
      <c r="D1745" s="48">
        <f>+C1745/100000</f>
        <v>0.1</v>
      </c>
      <c r="E1745" s="58" t="s">
        <v>1351</v>
      </c>
      <c r="F1745" s="58" t="s">
        <v>3992</v>
      </c>
      <c r="G1745" s="56" t="s">
        <v>3997</v>
      </c>
      <c r="K1745" s="58" t="s">
        <v>3998</v>
      </c>
      <c r="L1745" s="58" t="s">
        <v>1279</v>
      </c>
      <c r="M1745" s="58" t="s">
        <v>3999</v>
      </c>
      <c r="N1745" s="58" t="s">
        <v>5175</v>
      </c>
      <c r="O1745" s="58" t="s">
        <v>1286</v>
      </c>
      <c r="P1745" s="58" t="str">
        <f t="shared" si="31"/>
        <v>F010</v>
      </c>
      <c r="Q1745" s="58" t="s">
        <v>129</v>
      </c>
      <c r="S1745" s="59">
        <v>20</v>
      </c>
      <c r="T1745" s="58" t="s">
        <v>3991</v>
      </c>
      <c r="U1745" s="58" t="s">
        <v>2393</v>
      </c>
      <c r="V1745" s="58" t="s">
        <v>2084</v>
      </c>
      <c r="Y1745" s="58">
        <v>21359.99</v>
      </c>
      <c r="AB1745" s="58">
        <v>20291.990000000002</v>
      </c>
    </row>
    <row r="1746" spans="2:28" s="58" customFormat="1" x14ac:dyDescent="0.2">
      <c r="B1746" s="56" t="s">
        <v>2294</v>
      </c>
      <c r="C1746" s="57">
        <v>10000</v>
      </c>
      <c r="D1746" s="48">
        <f>+C1746/100000</f>
        <v>0.1</v>
      </c>
      <c r="E1746" s="58" t="s">
        <v>1352</v>
      </c>
      <c r="F1746" s="58" t="s">
        <v>3992</v>
      </c>
      <c r="G1746" s="56" t="s">
        <v>3997</v>
      </c>
      <c r="K1746" s="58" t="s">
        <v>3998</v>
      </c>
      <c r="L1746" s="58" t="s">
        <v>1279</v>
      </c>
      <c r="M1746" s="58" t="s">
        <v>3999</v>
      </c>
      <c r="N1746" s="58" t="s">
        <v>2988</v>
      </c>
      <c r="O1746" s="58" t="s">
        <v>1286</v>
      </c>
      <c r="P1746" s="58" t="str">
        <f t="shared" si="31"/>
        <v>F010</v>
      </c>
      <c r="Q1746" s="58" t="s">
        <v>129</v>
      </c>
      <c r="S1746" s="59">
        <v>20</v>
      </c>
      <c r="T1746" s="58" t="s">
        <v>3991</v>
      </c>
      <c r="U1746" s="58" t="s">
        <v>2393</v>
      </c>
      <c r="V1746" s="58" t="s">
        <v>2084</v>
      </c>
      <c r="Y1746" s="58">
        <v>21359.99</v>
      </c>
      <c r="AB1746" s="58">
        <v>20291.990000000002</v>
      </c>
    </row>
    <row r="1747" spans="2:28" x14ac:dyDescent="0.2">
      <c r="B1747" s="30" t="s">
        <v>2294</v>
      </c>
      <c r="C1747" s="36"/>
      <c r="D1747" s="36"/>
      <c r="F1747" s="1" t="s">
        <v>3992</v>
      </c>
      <c r="G1747" s="30" t="s">
        <v>4000</v>
      </c>
      <c r="K1747" s="1" t="s">
        <v>4001</v>
      </c>
      <c r="L1747" s="1" t="s">
        <v>1279</v>
      </c>
      <c r="M1747" s="36" t="s">
        <v>1567</v>
      </c>
      <c r="N1747" s="1" t="s">
        <v>1286</v>
      </c>
      <c r="O1747" s="1" t="s">
        <v>1286</v>
      </c>
      <c r="P1747" s="34" t="str">
        <f t="shared" si="31"/>
        <v>F010</v>
      </c>
      <c r="Q1747" s="1" t="s">
        <v>137</v>
      </c>
      <c r="S1747" s="16">
        <v>20</v>
      </c>
      <c r="T1747" s="1" t="s">
        <v>3991</v>
      </c>
      <c r="U1747" s="1" t="s">
        <v>1999</v>
      </c>
      <c r="V1747" s="1" t="s">
        <v>1526</v>
      </c>
      <c r="Y1747" s="1">
        <v>224000</v>
      </c>
      <c r="AB1747" s="1">
        <v>171422.2</v>
      </c>
    </row>
    <row r="1748" spans="2:28" x14ac:dyDescent="0.2">
      <c r="B1748" s="30" t="s">
        <v>2294</v>
      </c>
      <c r="C1748" s="36"/>
      <c r="D1748" s="36"/>
      <c r="F1748" s="1" t="s">
        <v>3992</v>
      </c>
      <c r="G1748" s="30" t="s">
        <v>4002</v>
      </c>
      <c r="K1748" s="1" t="s">
        <v>4003</v>
      </c>
      <c r="L1748" s="1" t="s">
        <v>1279</v>
      </c>
      <c r="M1748" s="36" t="s">
        <v>2319</v>
      </c>
      <c r="N1748" s="1" t="s">
        <v>1287</v>
      </c>
      <c r="O1748" s="1" t="s">
        <v>1286</v>
      </c>
      <c r="P1748" s="34" t="str">
        <f t="shared" si="31"/>
        <v>F010</v>
      </c>
      <c r="Q1748" s="1" t="s">
        <v>138</v>
      </c>
      <c r="S1748" s="16">
        <v>20</v>
      </c>
      <c r="T1748" s="1" t="s">
        <v>3991</v>
      </c>
      <c r="U1748" s="1" t="s">
        <v>1356</v>
      </c>
      <c r="V1748" s="1" t="s">
        <v>2140</v>
      </c>
      <c r="Y1748" s="1">
        <v>1301944.6399999999</v>
      </c>
      <c r="AB1748" s="1">
        <v>1236847.4099999999</v>
      </c>
    </row>
    <row r="1749" spans="2:28" s="58" customFormat="1" x14ac:dyDescent="0.2">
      <c r="B1749" s="56" t="s">
        <v>2294</v>
      </c>
      <c r="C1749" s="57">
        <v>13890</v>
      </c>
      <c r="D1749" s="48">
        <f t="shared" ref="D1749:D1758" si="32">+C1749/100000</f>
        <v>0.1389</v>
      </c>
      <c r="E1749" s="58" t="s">
        <v>1331</v>
      </c>
      <c r="F1749" s="58" t="s">
        <v>3992</v>
      </c>
      <c r="G1749" s="56" t="s">
        <v>4004</v>
      </c>
      <c r="K1749" s="58" t="s">
        <v>4005</v>
      </c>
      <c r="L1749" s="58" t="s">
        <v>1279</v>
      </c>
      <c r="M1749" s="58" t="s">
        <v>2319</v>
      </c>
      <c r="N1749" s="58" t="s">
        <v>6082</v>
      </c>
      <c r="O1749" s="58" t="s">
        <v>1286</v>
      </c>
      <c r="P1749" s="58" t="str">
        <f t="shared" si="31"/>
        <v>F010</v>
      </c>
      <c r="Q1749" s="58" t="s">
        <v>129</v>
      </c>
      <c r="S1749" s="59">
        <v>20</v>
      </c>
      <c r="T1749" s="58" t="s">
        <v>3991</v>
      </c>
      <c r="U1749" s="58" t="s">
        <v>1356</v>
      </c>
      <c r="V1749" s="58" t="s">
        <v>2140</v>
      </c>
      <c r="Y1749" s="58">
        <v>135629.53</v>
      </c>
      <c r="AB1749" s="58">
        <v>128848.07</v>
      </c>
    </row>
    <row r="1750" spans="2:28" s="58" customFormat="1" x14ac:dyDescent="0.2">
      <c r="B1750" s="56" t="s">
        <v>2294</v>
      </c>
      <c r="C1750" s="57">
        <v>6940</v>
      </c>
      <c r="D1750" s="48">
        <f t="shared" si="32"/>
        <v>6.9400000000000003E-2</v>
      </c>
      <c r="E1750" s="58" t="s">
        <v>1357</v>
      </c>
      <c r="F1750" s="58" t="s">
        <v>3992</v>
      </c>
      <c r="G1750" s="56" t="s">
        <v>4004</v>
      </c>
      <c r="K1750" s="58" t="s">
        <v>4005</v>
      </c>
      <c r="L1750" s="58" t="s">
        <v>1279</v>
      </c>
      <c r="M1750" s="58" t="s">
        <v>2319</v>
      </c>
      <c r="N1750" s="58" t="s">
        <v>2543</v>
      </c>
      <c r="O1750" s="58" t="s">
        <v>1286</v>
      </c>
      <c r="P1750" s="58" t="str">
        <f t="shared" si="31"/>
        <v>F010</v>
      </c>
      <c r="Q1750" s="58" t="s">
        <v>129</v>
      </c>
      <c r="S1750" s="59">
        <v>20</v>
      </c>
      <c r="T1750" s="58" t="s">
        <v>3991</v>
      </c>
      <c r="U1750" s="58" t="s">
        <v>1356</v>
      </c>
      <c r="V1750" s="58" t="s">
        <v>2140</v>
      </c>
      <c r="Y1750" s="58">
        <v>67765.94</v>
      </c>
      <c r="AB1750" s="58">
        <v>64377.64</v>
      </c>
    </row>
    <row r="1751" spans="2:28" s="58" customFormat="1" x14ac:dyDescent="0.2">
      <c r="B1751" s="56" t="s">
        <v>2294</v>
      </c>
      <c r="C1751" s="57">
        <v>16670</v>
      </c>
      <c r="D1751" s="48">
        <f t="shared" si="32"/>
        <v>0.16669999999999999</v>
      </c>
      <c r="E1751" s="58" t="s">
        <v>1337</v>
      </c>
      <c r="F1751" s="58" t="s">
        <v>3992</v>
      </c>
      <c r="G1751" s="56" t="s">
        <v>4004</v>
      </c>
      <c r="K1751" s="58" t="s">
        <v>4005</v>
      </c>
      <c r="L1751" s="58" t="s">
        <v>1279</v>
      </c>
      <c r="M1751" s="58" t="s">
        <v>2319</v>
      </c>
      <c r="N1751" s="58" t="s">
        <v>3092</v>
      </c>
      <c r="O1751" s="58" t="s">
        <v>1286</v>
      </c>
      <c r="P1751" s="58" t="str">
        <f t="shared" si="31"/>
        <v>F010</v>
      </c>
      <c r="Q1751" s="58" t="s">
        <v>129</v>
      </c>
      <c r="S1751" s="59">
        <v>20</v>
      </c>
      <c r="T1751" s="58" t="s">
        <v>3991</v>
      </c>
      <c r="U1751" s="58" t="s">
        <v>1356</v>
      </c>
      <c r="V1751" s="58" t="s">
        <v>2140</v>
      </c>
      <c r="Y1751" s="58">
        <v>162774.97</v>
      </c>
      <c r="AB1751" s="58">
        <v>154636.22</v>
      </c>
    </row>
    <row r="1752" spans="2:28" s="58" customFormat="1" x14ac:dyDescent="0.2">
      <c r="B1752" s="56" t="s">
        <v>2294</v>
      </c>
      <c r="C1752" s="57">
        <v>15280</v>
      </c>
      <c r="D1752" s="48">
        <f t="shared" si="32"/>
        <v>0.15279999999999999</v>
      </c>
      <c r="E1752" s="58" t="s">
        <v>1348</v>
      </c>
      <c r="F1752" s="58" t="s">
        <v>3992</v>
      </c>
      <c r="G1752" s="56" t="s">
        <v>4004</v>
      </c>
      <c r="K1752" s="58" t="s">
        <v>4005</v>
      </c>
      <c r="L1752" s="58" t="s">
        <v>1279</v>
      </c>
      <c r="M1752" s="58" t="s">
        <v>2319</v>
      </c>
      <c r="N1752" s="58" t="s">
        <v>6083</v>
      </c>
      <c r="O1752" s="58" t="s">
        <v>1286</v>
      </c>
      <c r="P1752" s="58" t="str">
        <f t="shared" si="31"/>
        <v>F010</v>
      </c>
      <c r="Q1752" s="58" t="s">
        <v>129</v>
      </c>
      <c r="S1752" s="59">
        <v>20</v>
      </c>
      <c r="T1752" s="58" t="s">
        <v>3991</v>
      </c>
      <c r="U1752" s="58" t="s">
        <v>1356</v>
      </c>
      <c r="V1752" s="58" t="s">
        <v>2140</v>
      </c>
      <c r="Y1752" s="58">
        <v>149202.25</v>
      </c>
      <c r="AB1752" s="58">
        <v>141742.13</v>
      </c>
    </row>
    <row r="1753" spans="2:28" s="58" customFormat="1" x14ac:dyDescent="0.2">
      <c r="B1753" s="56" t="s">
        <v>2294</v>
      </c>
      <c r="C1753" s="57">
        <v>15970</v>
      </c>
      <c r="D1753" s="48">
        <f t="shared" si="32"/>
        <v>0.15970000000000001</v>
      </c>
      <c r="E1753" s="58" t="s">
        <v>1351</v>
      </c>
      <c r="F1753" s="58" t="s">
        <v>3992</v>
      </c>
      <c r="G1753" s="56" t="s">
        <v>4004</v>
      </c>
      <c r="K1753" s="58" t="s">
        <v>4005</v>
      </c>
      <c r="L1753" s="58" t="s">
        <v>1279</v>
      </c>
      <c r="M1753" s="58" t="s">
        <v>2319</v>
      </c>
      <c r="N1753" s="58" t="s">
        <v>1687</v>
      </c>
      <c r="O1753" s="58" t="s">
        <v>1286</v>
      </c>
      <c r="P1753" s="58" t="str">
        <f t="shared" si="31"/>
        <v>F010</v>
      </c>
      <c r="Q1753" s="58" t="s">
        <v>129</v>
      </c>
      <c r="S1753" s="59">
        <v>20</v>
      </c>
      <c r="T1753" s="58" t="s">
        <v>3991</v>
      </c>
      <c r="U1753" s="58" t="s">
        <v>1356</v>
      </c>
      <c r="V1753" s="58" t="s">
        <v>2140</v>
      </c>
      <c r="Y1753" s="58">
        <v>155939.78</v>
      </c>
      <c r="AB1753" s="58">
        <v>148142.79</v>
      </c>
    </row>
    <row r="1754" spans="2:28" s="58" customFormat="1" x14ac:dyDescent="0.2">
      <c r="B1754" s="56" t="s">
        <v>2294</v>
      </c>
      <c r="C1754" s="57">
        <v>1390</v>
      </c>
      <c r="D1754" s="48">
        <f t="shared" si="32"/>
        <v>1.3899999999999999E-2</v>
      </c>
      <c r="E1754" s="58" t="s">
        <v>1352</v>
      </c>
      <c r="F1754" s="58" t="s">
        <v>3992</v>
      </c>
      <c r="G1754" s="56" t="s">
        <v>4004</v>
      </c>
      <c r="K1754" s="58" t="s">
        <v>4005</v>
      </c>
      <c r="L1754" s="58" t="s">
        <v>1279</v>
      </c>
      <c r="M1754" s="58" t="s">
        <v>2319</v>
      </c>
      <c r="N1754" s="58" t="s">
        <v>2925</v>
      </c>
      <c r="O1754" s="58" t="s">
        <v>1286</v>
      </c>
      <c r="P1754" s="58" t="str">
        <f t="shared" si="31"/>
        <v>F010</v>
      </c>
      <c r="Q1754" s="58" t="s">
        <v>129</v>
      </c>
      <c r="S1754" s="59">
        <v>20</v>
      </c>
      <c r="T1754" s="58" t="s">
        <v>3991</v>
      </c>
      <c r="U1754" s="58" t="s">
        <v>1356</v>
      </c>
      <c r="V1754" s="58" t="s">
        <v>2140</v>
      </c>
      <c r="Y1754" s="58">
        <v>13572.72</v>
      </c>
      <c r="AB1754" s="58">
        <v>12894.08</v>
      </c>
    </row>
    <row r="1755" spans="2:28" s="58" customFormat="1" x14ac:dyDescent="0.2">
      <c r="B1755" s="56" t="s">
        <v>2294</v>
      </c>
      <c r="C1755" s="57">
        <v>4170</v>
      </c>
      <c r="D1755" s="48">
        <f t="shared" si="32"/>
        <v>4.1700000000000001E-2</v>
      </c>
      <c r="E1755" s="58" t="s">
        <v>1353</v>
      </c>
      <c r="F1755" s="58" t="s">
        <v>3992</v>
      </c>
      <c r="G1755" s="56" t="s">
        <v>4004</v>
      </c>
      <c r="K1755" s="58" t="s">
        <v>4005</v>
      </c>
      <c r="L1755" s="58" t="s">
        <v>1279</v>
      </c>
      <c r="M1755" s="58" t="s">
        <v>2319</v>
      </c>
      <c r="N1755" s="58" t="s">
        <v>6084</v>
      </c>
      <c r="O1755" s="58" t="s">
        <v>1286</v>
      </c>
      <c r="P1755" s="58" t="str">
        <f t="shared" si="31"/>
        <v>F010</v>
      </c>
      <c r="Q1755" s="58" t="s">
        <v>129</v>
      </c>
      <c r="S1755" s="59">
        <v>20</v>
      </c>
      <c r="T1755" s="58" t="s">
        <v>3991</v>
      </c>
      <c r="U1755" s="58" t="s">
        <v>1356</v>
      </c>
      <c r="V1755" s="58" t="s">
        <v>2140</v>
      </c>
      <c r="Y1755" s="58">
        <v>40718.15</v>
      </c>
      <c r="AB1755" s="58">
        <v>38682.239999999998</v>
      </c>
    </row>
    <row r="1756" spans="2:28" s="58" customFormat="1" x14ac:dyDescent="0.2">
      <c r="B1756" s="56" t="s">
        <v>2294</v>
      </c>
      <c r="C1756" s="57">
        <v>10420</v>
      </c>
      <c r="D1756" s="48">
        <f t="shared" si="32"/>
        <v>0.1042</v>
      </c>
      <c r="E1756" s="58" t="s">
        <v>1367</v>
      </c>
      <c r="F1756" s="58" t="s">
        <v>3992</v>
      </c>
      <c r="G1756" s="56" t="s">
        <v>4004</v>
      </c>
      <c r="K1756" s="58" t="s">
        <v>4005</v>
      </c>
      <c r="L1756" s="58" t="s">
        <v>1279</v>
      </c>
      <c r="M1756" s="58" t="s">
        <v>2319</v>
      </c>
      <c r="N1756" s="58" t="s">
        <v>3242</v>
      </c>
      <c r="O1756" s="58" t="s">
        <v>1286</v>
      </c>
      <c r="P1756" s="58" t="str">
        <f t="shared" si="31"/>
        <v>F010</v>
      </c>
      <c r="Q1756" s="58" t="s">
        <v>129</v>
      </c>
      <c r="S1756" s="59">
        <v>20</v>
      </c>
      <c r="T1756" s="58" t="s">
        <v>3991</v>
      </c>
      <c r="U1756" s="58" t="s">
        <v>1356</v>
      </c>
      <c r="V1756" s="58" t="s">
        <v>2140</v>
      </c>
      <c r="Y1756" s="58">
        <v>101746.56</v>
      </c>
      <c r="AB1756" s="58">
        <v>96659.23</v>
      </c>
    </row>
    <row r="1757" spans="2:28" s="58" customFormat="1" x14ac:dyDescent="0.2">
      <c r="B1757" s="56" t="s">
        <v>2294</v>
      </c>
      <c r="C1757" s="57">
        <v>8330</v>
      </c>
      <c r="D1757" s="48">
        <f t="shared" si="32"/>
        <v>8.3299999999999999E-2</v>
      </c>
      <c r="E1757" s="58" t="s">
        <v>1368</v>
      </c>
      <c r="F1757" s="58" t="s">
        <v>3992</v>
      </c>
      <c r="G1757" s="56" t="s">
        <v>4004</v>
      </c>
      <c r="K1757" s="58" t="s">
        <v>4005</v>
      </c>
      <c r="L1757" s="58" t="s">
        <v>1279</v>
      </c>
      <c r="M1757" s="58" t="s">
        <v>2319</v>
      </c>
      <c r="N1757" s="58" t="s">
        <v>2400</v>
      </c>
      <c r="O1757" s="58" t="s">
        <v>1286</v>
      </c>
      <c r="P1757" s="58" t="str">
        <f t="shared" si="31"/>
        <v>F010</v>
      </c>
      <c r="Q1757" s="58" t="s">
        <v>129</v>
      </c>
      <c r="S1757" s="59">
        <v>20</v>
      </c>
      <c r="T1757" s="58" t="s">
        <v>3991</v>
      </c>
      <c r="U1757" s="58" t="s">
        <v>1356</v>
      </c>
      <c r="V1757" s="58" t="s">
        <v>2140</v>
      </c>
      <c r="Y1757" s="58">
        <v>81338.66</v>
      </c>
      <c r="AB1757" s="58">
        <v>77271.73</v>
      </c>
    </row>
    <row r="1758" spans="2:28" s="58" customFormat="1" x14ac:dyDescent="0.2">
      <c r="B1758" s="56" t="s">
        <v>2294</v>
      </c>
      <c r="C1758" s="57">
        <v>6940</v>
      </c>
      <c r="D1758" s="48">
        <f t="shared" si="32"/>
        <v>6.9400000000000003E-2</v>
      </c>
      <c r="E1758" s="58" t="s">
        <v>1369</v>
      </c>
      <c r="F1758" s="58" t="s">
        <v>3992</v>
      </c>
      <c r="G1758" s="56" t="s">
        <v>4004</v>
      </c>
      <c r="K1758" s="58" t="s">
        <v>4005</v>
      </c>
      <c r="L1758" s="58" t="s">
        <v>1279</v>
      </c>
      <c r="M1758" s="58" t="s">
        <v>2319</v>
      </c>
      <c r="N1758" s="58" t="s">
        <v>6085</v>
      </c>
      <c r="O1758" s="58" t="s">
        <v>1286</v>
      </c>
      <c r="P1758" s="58" t="str">
        <f t="shared" si="31"/>
        <v>F010</v>
      </c>
      <c r="Q1758" s="58" t="s">
        <v>129</v>
      </c>
      <c r="S1758" s="59">
        <v>20</v>
      </c>
      <c r="T1758" s="58" t="s">
        <v>3991</v>
      </c>
      <c r="U1758" s="58" t="s">
        <v>1356</v>
      </c>
      <c r="V1758" s="58" t="s">
        <v>2140</v>
      </c>
      <c r="Y1758" s="58">
        <v>67765.94</v>
      </c>
      <c r="AB1758" s="58">
        <v>64377.64</v>
      </c>
    </row>
    <row r="1759" spans="2:28" x14ac:dyDescent="0.2">
      <c r="B1759" s="30" t="s">
        <v>2294</v>
      </c>
      <c r="C1759" s="36"/>
      <c r="D1759" s="36"/>
      <c r="F1759" s="1" t="s">
        <v>3992</v>
      </c>
      <c r="G1759" s="30" t="s">
        <v>4006</v>
      </c>
      <c r="K1759" s="1" t="s">
        <v>4007</v>
      </c>
      <c r="L1759" s="1" t="s">
        <v>1279</v>
      </c>
      <c r="M1759" s="36" t="s">
        <v>1560</v>
      </c>
      <c r="N1759" s="1" t="s">
        <v>1788</v>
      </c>
      <c r="O1759" s="1" t="s">
        <v>1286</v>
      </c>
      <c r="P1759" s="34" t="str">
        <f t="shared" si="31"/>
        <v>F010</v>
      </c>
      <c r="Q1759" s="1" t="s">
        <v>127</v>
      </c>
      <c r="S1759" s="16">
        <v>20</v>
      </c>
      <c r="T1759" s="1" t="s">
        <v>3991</v>
      </c>
      <c r="U1759" s="1" t="s">
        <v>1476</v>
      </c>
      <c r="V1759" s="1" t="s">
        <v>1569</v>
      </c>
      <c r="Y1759" s="1">
        <v>2527</v>
      </c>
      <c r="AB1759" s="1">
        <v>400.12</v>
      </c>
    </row>
    <row r="1760" spans="2:28" x14ac:dyDescent="0.2">
      <c r="B1760" s="30" t="s">
        <v>2294</v>
      </c>
      <c r="C1760" s="36"/>
      <c r="D1760" s="36"/>
      <c r="F1760" s="1" t="s">
        <v>3992</v>
      </c>
      <c r="G1760" s="30" t="s">
        <v>4008</v>
      </c>
      <c r="K1760" s="1" t="s">
        <v>4009</v>
      </c>
      <c r="L1760" s="1" t="s">
        <v>1279</v>
      </c>
      <c r="M1760" s="36" t="s">
        <v>1560</v>
      </c>
      <c r="N1760" s="1" t="s">
        <v>1788</v>
      </c>
      <c r="O1760" s="1" t="s">
        <v>1286</v>
      </c>
      <c r="P1760" s="34" t="str">
        <f t="shared" si="31"/>
        <v>F010</v>
      </c>
      <c r="Q1760" s="1" t="s">
        <v>127</v>
      </c>
      <c r="S1760" s="16">
        <v>20</v>
      </c>
      <c r="T1760" s="1" t="s">
        <v>3991</v>
      </c>
      <c r="U1760" s="1" t="s">
        <v>1476</v>
      </c>
      <c r="V1760" s="1" t="s">
        <v>1569</v>
      </c>
      <c r="Y1760" s="1">
        <v>2527</v>
      </c>
      <c r="AB1760" s="1">
        <v>400.12</v>
      </c>
    </row>
    <row r="1761" spans="2:28" x14ac:dyDescent="0.2">
      <c r="B1761" s="30" t="s">
        <v>2294</v>
      </c>
      <c r="C1761" s="36"/>
      <c r="D1761" s="36"/>
      <c r="F1761" s="1" t="s">
        <v>3992</v>
      </c>
      <c r="G1761" s="30" t="s">
        <v>4010</v>
      </c>
      <c r="K1761" s="1" t="s">
        <v>4011</v>
      </c>
      <c r="L1761" s="1" t="s">
        <v>1279</v>
      </c>
      <c r="M1761" s="36" t="s">
        <v>1560</v>
      </c>
      <c r="N1761" s="1" t="s">
        <v>1788</v>
      </c>
      <c r="O1761" s="1" t="s">
        <v>1286</v>
      </c>
      <c r="P1761" s="34" t="str">
        <f t="shared" si="31"/>
        <v>F010</v>
      </c>
      <c r="Q1761" s="1" t="s">
        <v>127</v>
      </c>
      <c r="S1761" s="16">
        <v>20</v>
      </c>
      <c r="T1761" s="1" t="s">
        <v>3991</v>
      </c>
      <c r="U1761" s="1" t="s">
        <v>1476</v>
      </c>
      <c r="V1761" s="1" t="s">
        <v>1569</v>
      </c>
      <c r="Y1761" s="1">
        <v>2527</v>
      </c>
      <c r="AB1761" s="1">
        <v>400.12</v>
      </c>
    </row>
    <row r="1762" spans="2:28" x14ac:dyDescent="0.2">
      <c r="B1762" s="30" t="s">
        <v>2294</v>
      </c>
      <c r="C1762" s="36"/>
      <c r="D1762" s="36"/>
      <c r="F1762" s="1" t="s">
        <v>3992</v>
      </c>
      <c r="G1762" s="30" t="s">
        <v>4012</v>
      </c>
      <c r="K1762" s="1" t="s">
        <v>4013</v>
      </c>
      <c r="L1762" s="1" t="s">
        <v>1279</v>
      </c>
      <c r="M1762" s="36" t="s">
        <v>1560</v>
      </c>
      <c r="N1762" s="1" t="s">
        <v>1788</v>
      </c>
      <c r="O1762" s="1" t="s">
        <v>1286</v>
      </c>
      <c r="P1762" s="34" t="str">
        <f t="shared" si="31"/>
        <v>F010</v>
      </c>
      <c r="Q1762" s="1" t="s">
        <v>127</v>
      </c>
      <c r="S1762" s="16">
        <v>20</v>
      </c>
      <c r="T1762" s="1" t="s">
        <v>3991</v>
      </c>
      <c r="U1762" s="1" t="s">
        <v>1476</v>
      </c>
      <c r="V1762" s="1" t="s">
        <v>1569</v>
      </c>
      <c r="Y1762" s="1">
        <v>2527</v>
      </c>
      <c r="AB1762" s="1">
        <v>400.12</v>
      </c>
    </row>
    <row r="1763" spans="2:28" x14ac:dyDescent="0.2">
      <c r="B1763" s="30" t="s">
        <v>2294</v>
      </c>
      <c r="C1763" s="36"/>
      <c r="D1763" s="36"/>
      <c r="F1763" s="1" t="s">
        <v>3992</v>
      </c>
      <c r="G1763" s="30" t="s">
        <v>4014</v>
      </c>
      <c r="K1763" s="1" t="s">
        <v>4015</v>
      </c>
      <c r="L1763" s="1" t="s">
        <v>1279</v>
      </c>
      <c r="M1763" s="36" t="s">
        <v>1560</v>
      </c>
      <c r="N1763" s="1" t="s">
        <v>1788</v>
      </c>
      <c r="O1763" s="1" t="s">
        <v>1286</v>
      </c>
      <c r="P1763" s="34" t="str">
        <f t="shared" si="31"/>
        <v>F010</v>
      </c>
      <c r="Q1763" s="1" t="s">
        <v>127</v>
      </c>
      <c r="S1763" s="16">
        <v>20</v>
      </c>
      <c r="T1763" s="1" t="s">
        <v>3991</v>
      </c>
      <c r="U1763" s="1" t="s">
        <v>1476</v>
      </c>
      <c r="V1763" s="1" t="s">
        <v>1569</v>
      </c>
      <c r="Y1763" s="1">
        <v>2527</v>
      </c>
      <c r="AB1763" s="1">
        <v>400.12</v>
      </c>
    </row>
    <row r="1764" spans="2:28" x14ac:dyDescent="0.2">
      <c r="B1764" s="30" t="s">
        <v>2294</v>
      </c>
      <c r="C1764" s="36"/>
      <c r="D1764" s="36"/>
      <c r="F1764" s="1" t="s">
        <v>3992</v>
      </c>
      <c r="G1764" s="30" t="s">
        <v>4016</v>
      </c>
      <c r="K1764" s="1" t="s">
        <v>4017</v>
      </c>
      <c r="L1764" s="1" t="s">
        <v>1279</v>
      </c>
      <c r="M1764" s="36" t="s">
        <v>1560</v>
      </c>
      <c r="N1764" s="1" t="s">
        <v>1788</v>
      </c>
      <c r="O1764" s="1" t="s">
        <v>1286</v>
      </c>
      <c r="P1764" s="34" t="str">
        <f t="shared" si="31"/>
        <v>F010</v>
      </c>
      <c r="Q1764" s="1" t="s">
        <v>127</v>
      </c>
      <c r="S1764" s="16">
        <v>20</v>
      </c>
      <c r="T1764" s="1" t="s">
        <v>3991</v>
      </c>
      <c r="U1764" s="1" t="s">
        <v>1476</v>
      </c>
      <c r="V1764" s="1" t="s">
        <v>1569</v>
      </c>
      <c r="Y1764" s="1">
        <v>2527</v>
      </c>
      <c r="AB1764" s="1">
        <v>400.12</v>
      </c>
    </row>
    <row r="1765" spans="2:28" x14ac:dyDescent="0.2">
      <c r="B1765" s="30" t="s">
        <v>2294</v>
      </c>
      <c r="C1765" s="36"/>
      <c r="D1765" s="36"/>
      <c r="F1765" s="1" t="s">
        <v>3992</v>
      </c>
      <c r="G1765" s="30" t="s">
        <v>4018</v>
      </c>
      <c r="K1765" s="1" t="s">
        <v>4019</v>
      </c>
      <c r="L1765" s="1" t="s">
        <v>1279</v>
      </c>
      <c r="M1765" s="36" t="s">
        <v>1560</v>
      </c>
      <c r="N1765" s="1" t="s">
        <v>1788</v>
      </c>
      <c r="O1765" s="1" t="s">
        <v>1286</v>
      </c>
      <c r="P1765" s="34" t="str">
        <f t="shared" si="31"/>
        <v>F010</v>
      </c>
      <c r="Q1765" s="1" t="s">
        <v>127</v>
      </c>
      <c r="S1765" s="16">
        <v>20</v>
      </c>
      <c r="T1765" s="1" t="s">
        <v>3991</v>
      </c>
      <c r="U1765" s="1" t="s">
        <v>1476</v>
      </c>
      <c r="V1765" s="1" t="s">
        <v>1569</v>
      </c>
      <c r="Y1765" s="1">
        <v>2527</v>
      </c>
      <c r="AB1765" s="1">
        <v>400.12</v>
      </c>
    </row>
    <row r="1766" spans="2:28" x14ac:dyDescent="0.2">
      <c r="B1766" s="30" t="s">
        <v>2294</v>
      </c>
      <c r="C1766" s="36"/>
      <c r="D1766" s="36"/>
      <c r="F1766" s="1" t="s">
        <v>3992</v>
      </c>
      <c r="G1766" s="30" t="s">
        <v>4020</v>
      </c>
      <c r="K1766" s="1" t="s">
        <v>4021</v>
      </c>
      <c r="L1766" s="1" t="s">
        <v>1279</v>
      </c>
      <c r="M1766" s="36" t="s">
        <v>1560</v>
      </c>
      <c r="N1766" s="1" t="s">
        <v>1788</v>
      </c>
      <c r="O1766" s="1" t="s">
        <v>1286</v>
      </c>
      <c r="P1766" s="34" t="str">
        <f t="shared" si="31"/>
        <v>F010</v>
      </c>
      <c r="Q1766" s="1" t="s">
        <v>127</v>
      </c>
      <c r="S1766" s="16">
        <v>20</v>
      </c>
      <c r="T1766" s="1" t="s">
        <v>3991</v>
      </c>
      <c r="U1766" s="1" t="s">
        <v>1476</v>
      </c>
      <c r="V1766" s="1" t="s">
        <v>1569</v>
      </c>
      <c r="Y1766" s="1">
        <v>2527</v>
      </c>
      <c r="AB1766" s="1">
        <v>400.12</v>
      </c>
    </row>
    <row r="1767" spans="2:28" x14ac:dyDescent="0.2">
      <c r="B1767" s="30" t="s">
        <v>2294</v>
      </c>
      <c r="C1767" s="36"/>
      <c r="D1767" s="36"/>
      <c r="F1767" s="1" t="s">
        <v>3992</v>
      </c>
      <c r="G1767" s="30" t="s">
        <v>4022</v>
      </c>
      <c r="K1767" s="1" t="s">
        <v>4023</v>
      </c>
      <c r="L1767" s="1" t="s">
        <v>1279</v>
      </c>
      <c r="M1767" s="36" t="s">
        <v>1560</v>
      </c>
      <c r="N1767" s="1" t="s">
        <v>1788</v>
      </c>
      <c r="O1767" s="1" t="s">
        <v>1286</v>
      </c>
      <c r="P1767" s="34" t="str">
        <f t="shared" si="31"/>
        <v>F010</v>
      </c>
      <c r="Q1767" s="1" t="s">
        <v>127</v>
      </c>
      <c r="S1767" s="16">
        <v>20</v>
      </c>
      <c r="T1767" s="1" t="s">
        <v>4024</v>
      </c>
      <c r="U1767" s="1" t="s">
        <v>1476</v>
      </c>
      <c r="V1767" s="1" t="s">
        <v>1569</v>
      </c>
      <c r="Y1767" s="1">
        <v>2527</v>
      </c>
      <c r="AB1767" s="1">
        <v>400.12</v>
      </c>
    </row>
    <row r="1768" spans="2:28" x14ac:dyDescent="0.2">
      <c r="B1768" s="30" t="s">
        <v>2294</v>
      </c>
      <c r="C1768" s="36"/>
      <c r="D1768" s="36"/>
      <c r="F1768" s="1" t="s">
        <v>4025</v>
      </c>
      <c r="G1768" s="30" t="s">
        <v>4026</v>
      </c>
      <c r="K1768" s="1" t="s">
        <v>4027</v>
      </c>
      <c r="L1768" s="1" t="s">
        <v>1279</v>
      </c>
      <c r="M1768" s="36" t="s">
        <v>1560</v>
      </c>
      <c r="N1768" s="1" t="s">
        <v>1788</v>
      </c>
      <c r="O1768" s="1" t="s">
        <v>1286</v>
      </c>
      <c r="P1768" s="34" t="str">
        <f t="shared" si="31"/>
        <v>F010</v>
      </c>
      <c r="Q1768" s="1" t="s">
        <v>127</v>
      </c>
      <c r="S1768" s="16">
        <v>20</v>
      </c>
      <c r="T1768" s="1" t="s">
        <v>4024</v>
      </c>
      <c r="U1768" s="1" t="s">
        <v>1476</v>
      </c>
      <c r="V1768" s="1" t="s">
        <v>1569</v>
      </c>
      <c r="Y1768" s="1">
        <v>2527</v>
      </c>
      <c r="AB1768" s="1">
        <v>400.12</v>
      </c>
    </row>
    <row r="1769" spans="2:28" x14ac:dyDescent="0.2">
      <c r="B1769" s="30" t="s">
        <v>2294</v>
      </c>
      <c r="C1769" s="36"/>
      <c r="D1769" s="36"/>
      <c r="F1769" s="1" t="s">
        <v>4025</v>
      </c>
      <c r="G1769" s="30" t="s">
        <v>4028</v>
      </c>
      <c r="K1769" s="1" t="s">
        <v>4029</v>
      </c>
      <c r="L1769" s="1" t="s">
        <v>1279</v>
      </c>
      <c r="M1769" s="36" t="s">
        <v>1560</v>
      </c>
      <c r="N1769" s="1" t="s">
        <v>1788</v>
      </c>
      <c r="O1769" s="1" t="s">
        <v>1286</v>
      </c>
      <c r="P1769" s="34" t="str">
        <f t="shared" si="31"/>
        <v>F010</v>
      </c>
      <c r="Q1769" s="1" t="s">
        <v>127</v>
      </c>
      <c r="S1769" s="16">
        <v>20</v>
      </c>
      <c r="T1769" s="1" t="s">
        <v>4024</v>
      </c>
      <c r="U1769" s="1" t="s">
        <v>1476</v>
      </c>
      <c r="V1769" s="1" t="s">
        <v>1569</v>
      </c>
      <c r="Y1769" s="1">
        <v>2527</v>
      </c>
      <c r="AB1769" s="1">
        <v>400.12</v>
      </c>
    </row>
    <row r="1770" spans="2:28" x14ac:dyDescent="0.2">
      <c r="B1770" s="30" t="s">
        <v>2294</v>
      </c>
      <c r="C1770" s="36"/>
      <c r="D1770" s="36"/>
      <c r="F1770" s="1" t="s">
        <v>4025</v>
      </c>
      <c r="G1770" s="30" t="s">
        <v>4030</v>
      </c>
      <c r="K1770" s="1" t="s">
        <v>4031</v>
      </c>
      <c r="L1770" s="1" t="s">
        <v>1279</v>
      </c>
      <c r="M1770" s="36" t="s">
        <v>1560</v>
      </c>
      <c r="N1770" s="1" t="s">
        <v>1788</v>
      </c>
      <c r="O1770" s="1" t="s">
        <v>1286</v>
      </c>
      <c r="P1770" s="34" t="str">
        <f t="shared" si="31"/>
        <v>F010</v>
      </c>
      <c r="Q1770" s="1" t="s">
        <v>127</v>
      </c>
      <c r="S1770" s="16">
        <v>20</v>
      </c>
      <c r="T1770" s="1" t="s">
        <v>4024</v>
      </c>
      <c r="U1770" s="1" t="s">
        <v>1476</v>
      </c>
      <c r="V1770" s="1" t="s">
        <v>1569</v>
      </c>
      <c r="Y1770" s="1">
        <v>2527</v>
      </c>
      <c r="AB1770" s="1">
        <v>400.12</v>
      </c>
    </row>
    <row r="1771" spans="2:28" x14ac:dyDescent="0.2">
      <c r="B1771" s="30" t="s">
        <v>2294</v>
      </c>
      <c r="C1771" s="36"/>
      <c r="D1771" s="36"/>
      <c r="F1771" s="1" t="s">
        <v>4025</v>
      </c>
      <c r="G1771" s="30" t="s">
        <v>4032</v>
      </c>
      <c r="K1771" s="1" t="s">
        <v>4033</v>
      </c>
      <c r="L1771" s="1" t="s">
        <v>1279</v>
      </c>
      <c r="M1771" s="36" t="s">
        <v>1560</v>
      </c>
      <c r="N1771" s="1" t="s">
        <v>1788</v>
      </c>
      <c r="O1771" s="1" t="s">
        <v>1286</v>
      </c>
      <c r="P1771" s="34" t="str">
        <f t="shared" si="31"/>
        <v>F010</v>
      </c>
      <c r="Q1771" s="1" t="s">
        <v>127</v>
      </c>
      <c r="S1771" s="16">
        <v>20</v>
      </c>
      <c r="T1771" s="1" t="s">
        <v>4024</v>
      </c>
      <c r="U1771" s="1" t="s">
        <v>1476</v>
      </c>
      <c r="V1771" s="1" t="s">
        <v>1569</v>
      </c>
      <c r="Y1771" s="1">
        <v>2527</v>
      </c>
      <c r="AB1771" s="1">
        <v>400.12</v>
      </c>
    </row>
    <row r="1772" spans="2:28" x14ac:dyDescent="0.2">
      <c r="B1772" s="30" t="s">
        <v>2294</v>
      </c>
      <c r="C1772" s="36"/>
      <c r="D1772" s="36"/>
      <c r="F1772" s="1" t="s">
        <v>4025</v>
      </c>
      <c r="G1772" s="30" t="s">
        <v>4034</v>
      </c>
      <c r="K1772" s="1" t="s">
        <v>4035</v>
      </c>
      <c r="L1772" s="1" t="s">
        <v>1279</v>
      </c>
      <c r="M1772" s="36" t="s">
        <v>1560</v>
      </c>
      <c r="N1772" s="1" t="s">
        <v>1788</v>
      </c>
      <c r="O1772" s="1" t="s">
        <v>1286</v>
      </c>
      <c r="P1772" s="34" t="str">
        <f t="shared" si="31"/>
        <v>F010</v>
      </c>
      <c r="Q1772" s="1" t="s">
        <v>127</v>
      </c>
      <c r="S1772" s="16">
        <v>20</v>
      </c>
      <c r="T1772" s="1" t="s">
        <v>4024</v>
      </c>
      <c r="U1772" s="1" t="s">
        <v>1476</v>
      </c>
      <c r="V1772" s="1" t="s">
        <v>1569</v>
      </c>
      <c r="Y1772" s="1">
        <v>2527</v>
      </c>
      <c r="AB1772" s="1">
        <v>400.12</v>
      </c>
    </row>
    <row r="1773" spans="2:28" x14ac:dyDescent="0.2">
      <c r="B1773" s="30" t="s">
        <v>2294</v>
      </c>
      <c r="C1773" s="36"/>
      <c r="D1773" s="36"/>
      <c r="F1773" s="1" t="s">
        <v>4025</v>
      </c>
      <c r="G1773" s="30" t="s">
        <v>4036</v>
      </c>
      <c r="K1773" s="1" t="s">
        <v>4037</v>
      </c>
      <c r="L1773" s="1" t="s">
        <v>1279</v>
      </c>
      <c r="M1773" s="36" t="s">
        <v>1560</v>
      </c>
      <c r="N1773" s="1" t="s">
        <v>1788</v>
      </c>
      <c r="O1773" s="1" t="s">
        <v>1286</v>
      </c>
      <c r="P1773" s="34" t="str">
        <f t="shared" si="31"/>
        <v>F010</v>
      </c>
      <c r="Q1773" s="1" t="s">
        <v>127</v>
      </c>
      <c r="S1773" s="16">
        <v>20</v>
      </c>
      <c r="T1773" s="1" t="s">
        <v>4024</v>
      </c>
      <c r="U1773" s="1" t="s">
        <v>1476</v>
      </c>
      <c r="V1773" s="1" t="s">
        <v>1569</v>
      </c>
      <c r="Y1773" s="1">
        <v>2527</v>
      </c>
      <c r="AB1773" s="1">
        <v>400.12</v>
      </c>
    </row>
    <row r="1774" spans="2:28" x14ac:dyDescent="0.2">
      <c r="B1774" s="30" t="s">
        <v>2294</v>
      </c>
      <c r="C1774" s="36"/>
      <c r="D1774" s="36"/>
      <c r="F1774" s="1" t="s">
        <v>4025</v>
      </c>
      <c r="G1774" s="30" t="s">
        <v>4038</v>
      </c>
      <c r="K1774" s="1" t="s">
        <v>4039</v>
      </c>
      <c r="L1774" s="1" t="s">
        <v>1279</v>
      </c>
      <c r="M1774" s="36" t="s">
        <v>1560</v>
      </c>
      <c r="N1774" s="1" t="s">
        <v>1788</v>
      </c>
      <c r="O1774" s="1" t="s">
        <v>1286</v>
      </c>
      <c r="P1774" s="34" t="str">
        <f t="shared" si="31"/>
        <v>F010</v>
      </c>
      <c r="Q1774" s="1" t="s">
        <v>127</v>
      </c>
      <c r="S1774" s="16">
        <v>20</v>
      </c>
      <c r="T1774" s="1" t="s">
        <v>4024</v>
      </c>
      <c r="U1774" s="1" t="s">
        <v>1476</v>
      </c>
      <c r="V1774" s="1" t="s">
        <v>1569</v>
      </c>
      <c r="Y1774" s="1">
        <v>2527</v>
      </c>
      <c r="AB1774" s="1">
        <v>400.12</v>
      </c>
    </row>
    <row r="1775" spans="2:28" x14ac:dyDescent="0.2">
      <c r="B1775" s="30" t="s">
        <v>2294</v>
      </c>
      <c r="C1775" s="36"/>
      <c r="D1775" s="36"/>
      <c r="F1775" s="1" t="s">
        <v>4025</v>
      </c>
      <c r="G1775" s="30" t="s">
        <v>4040</v>
      </c>
      <c r="K1775" s="1" t="s">
        <v>4041</v>
      </c>
      <c r="L1775" s="1" t="s">
        <v>1279</v>
      </c>
      <c r="M1775" s="36" t="s">
        <v>1560</v>
      </c>
      <c r="N1775" s="1" t="s">
        <v>1788</v>
      </c>
      <c r="O1775" s="1" t="s">
        <v>1286</v>
      </c>
      <c r="P1775" s="34" t="str">
        <f t="shared" si="31"/>
        <v>F010</v>
      </c>
      <c r="Q1775" s="1" t="s">
        <v>127</v>
      </c>
      <c r="S1775" s="16">
        <v>20</v>
      </c>
      <c r="T1775" s="1" t="s">
        <v>4024</v>
      </c>
      <c r="U1775" s="1" t="s">
        <v>1476</v>
      </c>
      <c r="V1775" s="1" t="s">
        <v>1569</v>
      </c>
      <c r="Y1775" s="1">
        <v>2527</v>
      </c>
      <c r="AB1775" s="1">
        <v>400.12</v>
      </c>
    </row>
    <row r="1776" spans="2:28" x14ac:dyDescent="0.2">
      <c r="B1776" s="30" t="s">
        <v>2294</v>
      </c>
      <c r="C1776" s="36"/>
      <c r="D1776" s="36"/>
      <c r="F1776" s="1" t="s">
        <v>4025</v>
      </c>
      <c r="G1776" s="30" t="s">
        <v>4042</v>
      </c>
      <c r="K1776" s="1" t="s">
        <v>4043</v>
      </c>
      <c r="L1776" s="1" t="s">
        <v>1279</v>
      </c>
      <c r="M1776" s="36" t="s">
        <v>1560</v>
      </c>
      <c r="N1776" s="1" t="s">
        <v>1788</v>
      </c>
      <c r="O1776" s="1" t="s">
        <v>1286</v>
      </c>
      <c r="P1776" s="34" t="str">
        <f t="shared" si="31"/>
        <v>F010</v>
      </c>
      <c r="Q1776" s="1" t="s">
        <v>127</v>
      </c>
      <c r="S1776" s="16">
        <v>20</v>
      </c>
      <c r="T1776" s="1" t="s">
        <v>4024</v>
      </c>
      <c r="U1776" s="1" t="s">
        <v>1476</v>
      </c>
      <c r="V1776" s="1" t="s">
        <v>1569</v>
      </c>
      <c r="Y1776" s="1">
        <v>2527</v>
      </c>
      <c r="AB1776" s="1">
        <v>400.12</v>
      </c>
    </row>
    <row r="1777" spans="2:28" x14ac:dyDescent="0.2">
      <c r="B1777" s="30" t="s">
        <v>2294</v>
      </c>
      <c r="C1777" s="36"/>
      <c r="D1777" s="36"/>
      <c r="F1777" s="1" t="s">
        <v>4025</v>
      </c>
      <c r="G1777" s="30" t="s">
        <v>4044</v>
      </c>
      <c r="K1777" s="1" t="s">
        <v>4045</v>
      </c>
      <c r="L1777" s="1" t="s">
        <v>1279</v>
      </c>
      <c r="M1777" s="36" t="s">
        <v>1560</v>
      </c>
      <c r="N1777" s="1" t="s">
        <v>1788</v>
      </c>
      <c r="O1777" s="1" t="s">
        <v>1286</v>
      </c>
      <c r="P1777" s="34" t="str">
        <f t="shared" si="31"/>
        <v>F010</v>
      </c>
      <c r="Q1777" s="1" t="s">
        <v>127</v>
      </c>
      <c r="S1777" s="16">
        <v>20</v>
      </c>
      <c r="T1777" s="1" t="s">
        <v>4024</v>
      </c>
      <c r="U1777" s="1" t="s">
        <v>1476</v>
      </c>
      <c r="V1777" s="1" t="s">
        <v>1569</v>
      </c>
      <c r="Y1777" s="1">
        <v>2527</v>
      </c>
      <c r="AB1777" s="1">
        <v>400.12</v>
      </c>
    </row>
    <row r="1778" spans="2:28" x14ac:dyDescent="0.2">
      <c r="B1778" s="30" t="s">
        <v>2294</v>
      </c>
      <c r="C1778" s="36"/>
      <c r="D1778" s="36"/>
      <c r="F1778" s="1" t="s">
        <v>4025</v>
      </c>
      <c r="G1778" s="30" t="s">
        <v>4046</v>
      </c>
      <c r="K1778" s="1" t="s">
        <v>4047</v>
      </c>
      <c r="L1778" s="1" t="s">
        <v>1279</v>
      </c>
      <c r="M1778" s="36" t="s">
        <v>1560</v>
      </c>
      <c r="N1778" s="1" t="s">
        <v>1788</v>
      </c>
      <c r="O1778" s="1" t="s">
        <v>1286</v>
      </c>
      <c r="P1778" s="34" t="str">
        <f t="shared" si="31"/>
        <v>F010</v>
      </c>
      <c r="Q1778" s="1" t="s">
        <v>127</v>
      </c>
      <c r="S1778" s="16">
        <v>20</v>
      </c>
      <c r="T1778" s="1" t="s">
        <v>4024</v>
      </c>
      <c r="U1778" s="1" t="s">
        <v>1476</v>
      </c>
      <c r="V1778" s="1" t="s">
        <v>1569</v>
      </c>
      <c r="Y1778" s="1">
        <v>2527</v>
      </c>
      <c r="AB1778" s="1">
        <v>400.12</v>
      </c>
    </row>
    <row r="1779" spans="2:28" x14ac:dyDescent="0.2">
      <c r="B1779" s="30" t="s">
        <v>2294</v>
      </c>
      <c r="C1779" s="36"/>
      <c r="D1779" s="36"/>
      <c r="F1779" s="1" t="s">
        <v>4025</v>
      </c>
      <c r="G1779" s="30" t="s">
        <v>4048</v>
      </c>
      <c r="K1779" s="1" t="s">
        <v>4049</v>
      </c>
      <c r="L1779" s="1" t="s">
        <v>1279</v>
      </c>
      <c r="M1779" s="36" t="s">
        <v>1560</v>
      </c>
      <c r="N1779" s="1" t="s">
        <v>1788</v>
      </c>
      <c r="O1779" s="1" t="s">
        <v>1286</v>
      </c>
      <c r="P1779" s="34" t="str">
        <f t="shared" si="31"/>
        <v>F010</v>
      </c>
      <c r="Q1779" s="1" t="s">
        <v>127</v>
      </c>
      <c r="S1779" s="16">
        <v>20</v>
      </c>
      <c r="T1779" s="1" t="s">
        <v>4024</v>
      </c>
      <c r="U1779" s="1" t="s">
        <v>1476</v>
      </c>
      <c r="V1779" s="1" t="s">
        <v>1569</v>
      </c>
      <c r="Y1779" s="1">
        <v>2527</v>
      </c>
      <c r="AB1779" s="1">
        <v>400.12</v>
      </c>
    </row>
    <row r="1780" spans="2:28" x14ac:dyDescent="0.2">
      <c r="B1780" s="30" t="s">
        <v>2294</v>
      </c>
      <c r="C1780" s="36"/>
      <c r="D1780" s="36"/>
      <c r="F1780" s="1" t="s">
        <v>4025</v>
      </c>
      <c r="G1780" s="30" t="s">
        <v>4050</v>
      </c>
      <c r="K1780" s="1" t="s">
        <v>4051</v>
      </c>
      <c r="L1780" s="1" t="s">
        <v>1279</v>
      </c>
      <c r="M1780" s="36" t="s">
        <v>1560</v>
      </c>
      <c r="N1780" s="1" t="s">
        <v>1788</v>
      </c>
      <c r="O1780" s="1" t="s">
        <v>1286</v>
      </c>
      <c r="P1780" s="34" t="str">
        <f t="shared" si="31"/>
        <v>F010</v>
      </c>
      <c r="Q1780" s="1" t="s">
        <v>127</v>
      </c>
      <c r="S1780" s="16">
        <v>20</v>
      </c>
      <c r="T1780" s="1" t="s">
        <v>4024</v>
      </c>
      <c r="U1780" s="1" t="s">
        <v>1476</v>
      </c>
      <c r="V1780" s="1" t="s">
        <v>1569</v>
      </c>
      <c r="Y1780" s="1">
        <v>2527</v>
      </c>
      <c r="AB1780" s="1">
        <v>400.12</v>
      </c>
    </row>
    <row r="1781" spans="2:28" x14ac:dyDescent="0.2">
      <c r="B1781" s="30" t="s">
        <v>2294</v>
      </c>
      <c r="C1781" s="36"/>
      <c r="D1781" s="36"/>
      <c r="F1781" s="1" t="s">
        <v>4025</v>
      </c>
      <c r="G1781" s="30" t="s">
        <v>4052</v>
      </c>
      <c r="K1781" s="1" t="s">
        <v>4053</v>
      </c>
      <c r="L1781" s="1" t="s">
        <v>1279</v>
      </c>
      <c r="M1781" s="36" t="s">
        <v>1560</v>
      </c>
      <c r="N1781" s="1" t="s">
        <v>1788</v>
      </c>
      <c r="O1781" s="1" t="s">
        <v>1286</v>
      </c>
      <c r="P1781" s="34" t="str">
        <f t="shared" si="31"/>
        <v>F010</v>
      </c>
      <c r="Q1781" s="1" t="s">
        <v>127</v>
      </c>
      <c r="S1781" s="16">
        <v>20</v>
      </c>
      <c r="T1781" s="1" t="s">
        <v>4024</v>
      </c>
      <c r="U1781" s="1" t="s">
        <v>1476</v>
      </c>
      <c r="V1781" s="1" t="s">
        <v>1569</v>
      </c>
      <c r="Y1781" s="1">
        <v>2527</v>
      </c>
      <c r="AB1781" s="1">
        <v>400.12</v>
      </c>
    </row>
    <row r="1782" spans="2:28" x14ac:dyDescent="0.2">
      <c r="B1782" s="30" t="s">
        <v>2294</v>
      </c>
      <c r="C1782" s="36"/>
      <c r="D1782" s="36"/>
      <c r="F1782" s="1" t="s">
        <v>4025</v>
      </c>
      <c r="G1782" s="30" t="s">
        <v>4054</v>
      </c>
      <c r="K1782" s="1" t="s">
        <v>4055</v>
      </c>
      <c r="L1782" s="1" t="s">
        <v>1279</v>
      </c>
      <c r="M1782" s="36" t="s">
        <v>1560</v>
      </c>
      <c r="N1782" s="1" t="s">
        <v>1788</v>
      </c>
      <c r="O1782" s="1" t="s">
        <v>1286</v>
      </c>
      <c r="P1782" s="34" t="str">
        <f t="shared" si="31"/>
        <v>F010</v>
      </c>
      <c r="Q1782" s="1" t="s">
        <v>127</v>
      </c>
      <c r="S1782" s="16">
        <v>20</v>
      </c>
      <c r="T1782" s="1" t="s">
        <v>4024</v>
      </c>
      <c r="U1782" s="1" t="s">
        <v>1476</v>
      </c>
      <c r="V1782" s="1" t="s">
        <v>1569</v>
      </c>
      <c r="Y1782" s="1">
        <v>2527</v>
      </c>
      <c r="AB1782" s="1">
        <v>400.12</v>
      </c>
    </row>
    <row r="1783" spans="2:28" x14ac:dyDescent="0.2">
      <c r="B1783" s="30" t="s">
        <v>2294</v>
      </c>
      <c r="C1783" s="36"/>
      <c r="D1783" s="36"/>
      <c r="F1783" s="1" t="s">
        <v>4025</v>
      </c>
      <c r="G1783" s="30" t="s">
        <v>4056</v>
      </c>
      <c r="K1783" s="1" t="s">
        <v>4057</v>
      </c>
      <c r="L1783" s="1" t="s">
        <v>1279</v>
      </c>
      <c r="M1783" s="36" t="s">
        <v>1560</v>
      </c>
      <c r="N1783" s="1" t="s">
        <v>1788</v>
      </c>
      <c r="O1783" s="1" t="s">
        <v>1286</v>
      </c>
      <c r="P1783" s="34" t="str">
        <f t="shared" si="31"/>
        <v>F010</v>
      </c>
      <c r="Q1783" s="1" t="s">
        <v>127</v>
      </c>
      <c r="S1783" s="16">
        <v>20</v>
      </c>
      <c r="T1783" s="1" t="s">
        <v>4024</v>
      </c>
      <c r="U1783" s="1" t="s">
        <v>1476</v>
      </c>
      <c r="V1783" s="1" t="s">
        <v>1569</v>
      </c>
      <c r="Y1783" s="1">
        <v>2527</v>
      </c>
      <c r="AB1783" s="1">
        <v>400.12</v>
      </c>
    </row>
    <row r="1784" spans="2:28" x14ac:dyDescent="0.2">
      <c r="B1784" s="30" t="s">
        <v>2294</v>
      </c>
      <c r="C1784" s="36"/>
      <c r="D1784" s="36"/>
      <c r="F1784" s="1" t="s">
        <v>4025</v>
      </c>
      <c r="G1784" s="30" t="s">
        <v>4058</v>
      </c>
      <c r="K1784" s="1" t="s">
        <v>4059</v>
      </c>
      <c r="L1784" s="1" t="s">
        <v>1279</v>
      </c>
      <c r="M1784" s="36" t="s">
        <v>1560</v>
      </c>
      <c r="N1784" s="1" t="s">
        <v>1788</v>
      </c>
      <c r="O1784" s="1" t="s">
        <v>1286</v>
      </c>
      <c r="P1784" s="34" t="str">
        <f t="shared" si="31"/>
        <v>F010</v>
      </c>
      <c r="Q1784" s="1" t="s">
        <v>127</v>
      </c>
      <c r="S1784" s="16">
        <v>20</v>
      </c>
      <c r="T1784" s="1" t="s">
        <v>4024</v>
      </c>
      <c r="U1784" s="1" t="s">
        <v>1476</v>
      </c>
      <c r="V1784" s="1" t="s">
        <v>1569</v>
      </c>
      <c r="Y1784" s="1">
        <v>2527</v>
      </c>
      <c r="AB1784" s="1">
        <v>400.12</v>
      </c>
    </row>
    <row r="1785" spans="2:28" x14ac:dyDescent="0.2">
      <c r="B1785" s="30" t="s">
        <v>2294</v>
      </c>
      <c r="C1785" s="36"/>
      <c r="D1785" s="36"/>
      <c r="F1785" s="1" t="s">
        <v>4025</v>
      </c>
      <c r="G1785" s="30" t="s">
        <v>4060</v>
      </c>
      <c r="K1785" s="1" t="s">
        <v>4061</v>
      </c>
      <c r="L1785" s="1" t="s">
        <v>1279</v>
      </c>
      <c r="M1785" s="36" t="s">
        <v>1560</v>
      </c>
      <c r="N1785" s="1" t="s">
        <v>1788</v>
      </c>
      <c r="O1785" s="1" t="s">
        <v>1286</v>
      </c>
      <c r="P1785" s="34" t="str">
        <f t="shared" si="31"/>
        <v>F010</v>
      </c>
      <c r="Q1785" s="1" t="s">
        <v>127</v>
      </c>
      <c r="S1785" s="16">
        <v>20</v>
      </c>
      <c r="T1785" s="1" t="s">
        <v>4024</v>
      </c>
      <c r="U1785" s="1" t="s">
        <v>1476</v>
      </c>
      <c r="V1785" s="1" t="s">
        <v>1569</v>
      </c>
      <c r="Y1785" s="1">
        <v>2527</v>
      </c>
      <c r="AB1785" s="1">
        <v>400.12</v>
      </c>
    </row>
    <row r="1786" spans="2:28" x14ac:dyDescent="0.2">
      <c r="B1786" s="30" t="s">
        <v>2294</v>
      </c>
      <c r="C1786" s="36"/>
      <c r="D1786" s="36"/>
      <c r="F1786" s="1" t="s">
        <v>4025</v>
      </c>
      <c r="G1786" s="30" t="s">
        <v>4062</v>
      </c>
      <c r="K1786" s="1" t="s">
        <v>4063</v>
      </c>
      <c r="L1786" s="1" t="s">
        <v>1279</v>
      </c>
      <c r="M1786" s="36" t="s">
        <v>1560</v>
      </c>
      <c r="N1786" s="1" t="s">
        <v>1788</v>
      </c>
      <c r="O1786" s="1" t="s">
        <v>1286</v>
      </c>
      <c r="P1786" s="34" t="str">
        <f t="shared" si="31"/>
        <v>F010</v>
      </c>
      <c r="Q1786" s="1" t="s">
        <v>127</v>
      </c>
      <c r="S1786" s="16">
        <v>20</v>
      </c>
      <c r="T1786" s="1" t="s">
        <v>4024</v>
      </c>
      <c r="U1786" s="1" t="s">
        <v>1476</v>
      </c>
      <c r="V1786" s="1" t="s">
        <v>1569</v>
      </c>
      <c r="Y1786" s="1">
        <v>2527</v>
      </c>
      <c r="AB1786" s="1">
        <v>400.12</v>
      </c>
    </row>
    <row r="1787" spans="2:28" x14ac:dyDescent="0.2">
      <c r="B1787" s="30" t="s">
        <v>2294</v>
      </c>
      <c r="C1787" s="36"/>
      <c r="D1787" s="36"/>
      <c r="F1787" s="1" t="s">
        <v>4025</v>
      </c>
      <c r="G1787" s="30" t="s">
        <v>4064</v>
      </c>
      <c r="K1787" s="1" t="s">
        <v>4065</v>
      </c>
      <c r="L1787" s="1" t="s">
        <v>1279</v>
      </c>
      <c r="M1787" s="36" t="s">
        <v>1560</v>
      </c>
      <c r="N1787" s="1" t="s">
        <v>1788</v>
      </c>
      <c r="O1787" s="1" t="s">
        <v>1286</v>
      </c>
      <c r="P1787" s="34" t="str">
        <f t="shared" si="31"/>
        <v>F010</v>
      </c>
      <c r="Q1787" s="1" t="s">
        <v>127</v>
      </c>
      <c r="S1787" s="16">
        <v>20</v>
      </c>
      <c r="T1787" s="1" t="s">
        <v>4024</v>
      </c>
      <c r="U1787" s="1" t="s">
        <v>1476</v>
      </c>
      <c r="V1787" s="1" t="s">
        <v>1569</v>
      </c>
      <c r="Y1787" s="1">
        <v>2527</v>
      </c>
      <c r="AB1787" s="1">
        <v>400.12</v>
      </c>
    </row>
    <row r="1788" spans="2:28" x14ac:dyDescent="0.2">
      <c r="B1788" s="30" t="s">
        <v>2294</v>
      </c>
      <c r="C1788" s="36"/>
      <c r="D1788" s="36"/>
      <c r="F1788" s="1" t="s">
        <v>4025</v>
      </c>
      <c r="G1788" s="30" t="s">
        <v>4066</v>
      </c>
      <c r="K1788" s="1" t="s">
        <v>4067</v>
      </c>
      <c r="L1788" s="1" t="s">
        <v>1279</v>
      </c>
      <c r="M1788" s="36" t="s">
        <v>1560</v>
      </c>
      <c r="N1788" s="1" t="s">
        <v>1788</v>
      </c>
      <c r="O1788" s="1" t="s">
        <v>1286</v>
      </c>
      <c r="P1788" s="34" t="str">
        <f t="shared" si="31"/>
        <v>F010</v>
      </c>
      <c r="Q1788" s="1" t="s">
        <v>127</v>
      </c>
      <c r="S1788" s="16">
        <v>20</v>
      </c>
      <c r="T1788" s="1" t="s">
        <v>4024</v>
      </c>
      <c r="U1788" s="1" t="s">
        <v>1476</v>
      </c>
      <c r="V1788" s="1" t="s">
        <v>1569</v>
      </c>
      <c r="Y1788" s="1">
        <v>2527</v>
      </c>
      <c r="AB1788" s="1">
        <v>400.12</v>
      </c>
    </row>
    <row r="1789" spans="2:28" x14ac:dyDescent="0.2">
      <c r="B1789" s="30" t="s">
        <v>2294</v>
      </c>
      <c r="C1789" s="36"/>
      <c r="D1789" s="36"/>
      <c r="F1789" s="1" t="s">
        <v>4025</v>
      </c>
      <c r="G1789" s="30" t="s">
        <v>4068</v>
      </c>
      <c r="K1789" s="1" t="s">
        <v>4069</v>
      </c>
      <c r="L1789" s="1" t="s">
        <v>1279</v>
      </c>
      <c r="M1789" s="36" t="s">
        <v>1560</v>
      </c>
      <c r="N1789" s="1" t="s">
        <v>1788</v>
      </c>
      <c r="O1789" s="1" t="s">
        <v>1286</v>
      </c>
      <c r="P1789" s="34" t="str">
        <f t="shared" si="31"/>
        <v>F010</v>
      </c>
      <c r="Q1789" s="1" t="s">
        <v>127</v>
      </c>
      <c r="S1789" s="16">
        <v>20</v>
      </c>
      <c r="T1789" s="1" t="s">
        <v>4024</v>
      </c>
      <c r="U1789" s="1" t="s">
        <v>1476</v>
      </c>
      <c r="V1789" s="1" t="s">
        <v>1569</v>
      </c>
      <c r="Y1789" s="1">
        <v>2527</v>
      </c>
      <c r="AB1789" s="1">
        <v>400.12</v>
      </c>
    </row>
    <row r="1790" spans="2:28" x14ac:dyDescent="0.2">
      <c r="B1790" s="30" t="s">
        <v>2294</v>
      </c>
      <c r="C1790" s="36"/>
      <c r="D1790" s="36"/>
      <c r="F1790" s="1" t="s">
        <v>4025</v>
      </c>
      <c r="G1790" s="30" t="s">
        <v>4070</v>
      </c>
      <c r="K1790" s="1" t="s">
        <v>4071</v>
      </c>
      <c r="L1790" s="1" t="s">
        <v>1279</v>
      </c>
      <c r="M1790" s="36" t="s">
        <v>1560</v>
      </c>
      <c r="N1790" s="1" t="s">
        <v>1788</v>
      </c>
      <c r="O1790" s="1" t="s">
        <v>1286</v>
      </c>
      <c r="P1790" s="34" t="str">
        <f t="shared" si="31"/>
        <v>F010</v>
      </c>
      <c r="Q1790" s="1" t="s">
        <v>127</v>
      </c>
      <c r="S1790" s="16">
        <v>20</v>
      </c>
      <c r="T1790" s="1" t="s">
        <v>4024</v>
      </c>
      <c r="U1790" s="1" t="s">
        <v>1476</v>
      </c>
      <c r="V1790" s="1" t="s">
        <v>1569</v>
      </c>
      <c r="Y1790" s="1">
        <v>2527</v>
      </c>
      <c r="AB1790" s="1">
        <v>400.12</v>
      </c>
    </row>
    <row r="1791" spans="2:28" x14ac:dyDescent="0.2">
      <c r="B1791" s="30" t="s">
        <v>2294</v>
      </c>
      <c r="C1791" s="36"/>
      <c r="D1791" s="36"/>
      <c r="F1791" s="1" t="s">
        <v>4025</v>
      </c>
      <c r="G1791" s="30" t="s">
        <v>4072</v>
      </c>
      <c r="K1791" s="1" t="s">
        <v>4073</v>
      </c>
      <c r="L1791" s="1" t="s">
        <v>1279</v>
      </c>
      <c r="M1791" s="36" t="s">
        <v>1560</v>
      </c>
      <c r="N1791" s="1" t="s">
        <v>1788</v>
      </c>
      <c r="O1791" s="1" t="s">
        <v>1286</v>
      </c>
      <c r="P1791" s="34" t="str">
        <f t="shared" si="31"/>
        <v>F010</v>
      </c>
      <c r="Q1791" s="1" t="s">
        <v>127</v>
      </c>
      <c r="S1791" s="16">
        <v>20</v>
      </c>
      <c r="T1791" s="1" t="s">
        <v>4024</v>
      </c>
      <c r="U1791" s="1" t="s">
        <v>1476</v>
      </c>
      <c r="V1791" s="1" t="s">
        <v>1569</v>
      </c>
      <c r="Y1791" s="1">
        <v>2527</v>
      </c>
      <c r="AB1791" s="1">
        <v>400.12</v>
      </c>
    </row>
    <row r="1792" spans="2:28" x14ac:dyDescent="0.2">
      <c r="B1792" s="30" t="s">
        <v>2294</v>
      </c>
      <c r="C1792" s="36"/>
      <c r="D1792" s="36"/>
      <c r="F1792" s="1" t="s">
        <v>4025</v>
      </c>
      <c r="G1792" s="30" t="s">
        <v>4074</v>
      </c>
      <c r="K1792" s="1" t="s">
        <v>4075</v>
      </c>
      <c r="L1792" s="1" t="s">
        <v>1279</v>
      </c>
      <c r="M1792" s="36" t="s">
        <v>1560</v>
      </c>
      <c r="N1792" s="1" t="s">
        <v>1788</v>
      </c>
      <c r="O1792" s="1" t="s">
        <v>1286</v>
      </c>
      <c r="P1792" s="34" t="str">
        <f t="shared" si="31"/>
        <v>F010</v>
      </c>
      <c r="Q1792" s="1" t="s">
        <v>127</v>
      </c>
      <c r="S1792" s="16">
        <v>20</v>
      </c>
      <c r="T1792" s="1" t="s">
        <v>4024</v>
      </c>
      <c r="U1792" s="1" t="s">
        <v>1476</v>
      </c>
      <c r="V1792" s="1" t="s">
        <v>1569</v>
      </c>
      <c r="Y1792" s="1">
        <v>2527</v>
      </c>
      <c r="AB1792" s="1">
        <v>400.12</v>
      </c>
    </row>
    <row r="1793" spans="2:28" x14ac:dyDescent="0.2">
      <c r="B1793" s="30" t="s">
        <v>2294</v>
      </c>
      <c r="C1793" s="36"/>
      <c r="D1793" s="36"/>
      <c r="F1793" s="1" t="s">
        <v>4025</v>
      </c>
      <c r="G1793" s="30" t="s">
        <v>4076</v>
      </c>
      <c r="K1793" s="1" t="s">
        <v>4077</v>
      </c>
      <c r="L1793" s="1" t="s">
        <v>1279</v>
      </c>
      <c r="M1793" s="36" t="s">
        <v>1560</v>
      </c>
      <c r="N1793" s="1" t="s">
        <v>1788</v>
      </c>
      <c r="O1793" s="1" t="s">
        <v>1286</v>
      </c>
      <c r="P1793" s="34" t="str">
        <f t="shared" si="31"/>
        <v>F010</v>
      </c>
      <c r="Q1793" s="1" t="s">
        <v>127</v>
      </c>
      <c r="S1793" s="16">
        <v>20</v>
      </c>
      <c r="T1793" s="1" t="s">
        <v>4024</v>
      </c>
      <c r="U1793" s="1" t="s">
        <v>1476</v>
      </c>
      <c r="V1793" s="1" t="s">
        <v>1569</v>
      </c>
      <c r="Y1793" s="1">
        <v>2527</v>
      </c>
      <c r="AB1793" s="1">
        <v>400.12</v>
      </c>
    </row>
    <row r="1794" spans="2:28" x14ac:dyDescent="0.2">
      <c r="B1794" s="30" t="s">
        <v>2294</v>
      </c>
      <c r="C1794" s="36"/>
      <c r="D1794" s="36"/>
      <c r="F1794" s="1" t="s">
        <v>4025</v>
      </c>
      <c r="G1794" s="30" t="s">
        <v>4078</v>
      </c>
      <c r="K1794" s="1" t="s">
        <v>4079</v>
      </c>
      <c r="L1794" s="1" t="s">
        <v>1279</v>
      </c>
      <c r="M1794" s="36" t="s">
        <v>1560</v>
      </c>
      <c r="N1794" s="1" t="s">
        <v>1788</v>
      </c>
      <c r="O1794" s="1" t="s">
        <v>1286</v>
      </c>
      <c r="P1794" s="34" t="str">
        <f t="shared" si="31"/>
        <v>F010</v>
      </c>
      <c r="Q1794" s="1" t="s">
        <v>127</v>
      </c>
      <c r="S1794" s="16">
        <v>20</v>
      </c>
      <c r="T1794" s="1" t="s">
        <v>4024</v>
      </c>
      <c r="U1794" s="1" t="s">
        <v>1476</v>
      </c>
      <c r="V1794" s="1" t="s">
        <v>1569</v>
      </c>
      <c r="Y1794" s="1">
        <v>2527</v>
      </c>
      <c r="AB1794" s="1">
        <v>400.12</v>
      </c>
    </row>
    <row r="1795" spans="2:28" x14ac:dyDescent="0.2">
      <c r="B1795" s="30" t="s">
        <v>2294</v>
      </c>
      <c r="C1795" s="36"/>
      <c r="D1795" s="36"/>
      <c r="F1795" s="1" t="s">
        <v>4025</v>
      </c>
      <c r="G1795" s="30" t="s">
        <v>4080</v>
      </c>
      <c r="K1795" s="1" t="s">
        <v>4081</v>
      </c>
      <c r="L1795" s="1" t="s">
        <v>1279</v>
      </c>
      <c r="M1795" s="36" t="s">
        <v>1560</v>
      </c>
      <c r="N1795" s="1" t="s">
        <v>1788</v>
      </c>
      <c r="O1795" s="1" t="s">
        <v>1286</v>
      </c>
      <c r="P1795" s="34" t="str">
        <f t="shared" si="31"/>
        <v>F010</v>
      </c>
      <c r="Q1795" s="1" t="s">
        <v>127</v>
      </c>
      <c r="S1795" s="16">
        <v>20</v>
      </c>
      <c r="T1795" s="1" t="s">
        <v>4082</v>
      </c>
      <c r="U1795" s="1" t="s">
        <v>1476</v>
      </c>
      <c r="V1795" s="1" t="s">
        <v>1569</v>
      </c>
      <c r="Y1795" s="1">
        <v>2527</v>
      </c>
      <c r="AB1795" s="1">
        <v>400.12</v>
      </c>
    </row>
    <row r="1796" spans="2:28" x14ac:dyDescent="0.2">
      <c r="B1796" s="30" t="s">
        <v>2294</v>
      </c>
      <c r="C1796" s="36"/>
      <c r="D1796" s="36"/>
      <c r="F1796" s="1" t="s">
        <v>4083</v>
      </c>
      <c r="G1796" s="30" t="s">
        <v>4084</v>
      </c>
      <c r="K1796" s="1" t="s">
        <v>4085</v>
      </c>
      <c r="L1796" s="1" t="s">
        <v>1279</v>
      </c>
      <c r="M1796" s="36" t="s">
        <v>1560</v>
      </c>
      <c r="N1796" s="1" t="s">
        <v>1788</v>
      </c>
      <c r="O1796" s="1" t="s">
        <v>1286</v>
      </c>
      <c r="P1796" s="34" t="str">
        <f t="shared" si="31"/>
        <v>F010</v>
      </c>
      <c r="Q1796" s="1" t="s">
        <v>127</v>
      </c>
      <c r="S1796" s="16">
        <v>20</v>
      </c>
      <c r="T1796" s="1" t="s">
        <v>4082</v>
      </c>
      <c r="U1796" s="1" t="s">
        <v>1476</v>
      </c>
      <c r="V1796" s="1" t="s">
        <v>1569</v>
      </c>
      <c r="Y1796" s="1">
        <v>2527</v>
      </c>
      <c r="AB1796" s="1">
        <v>400.12</v>
      </c>
    </row>
    <row r="1797" spans="2:28" x14ac:dyDescent="0.2">
      <c r="B1797" s="30" t="s">
        <v>2294</v>
      </c>
      <c r="C1797" s="36"/>
      <c r="D1797" s="36"/>
      <c r="F1797" s="1" t="s">
        <v>4083</v>
      </c>
      <c r="G1797" s="30" t="s">
        <v>4086</v>
      </c>
      <c r="K1797" s="1" t="s">
        <v>4087</v>
      </c>
      <c r="L1797" s="1" t="s">
        <v>1279</v>
      </c>
      <c r="M1797" s="36" t="s">
        <v>1560</v>
      </c>
      <c r="N1797" s="1" t="s">
        <v>1788</v>
      </c>
      <c r="O1797" s="1" t="s">
        <v>1286</v>
      </c>
      <c r="P1797" s="34" t="str">
        <f t="shared" si="31"/>
        <v>F010</v>
      </c>
      <c r="Q1797" s="1" t="s">
        <v>127</v>
      </c>
      <c r="S1797" s="16">
        <v>20</v>
      </c>
      <c r="T1797" s="1" t="s">
        <v>4082</v>
      </c>
      <c r="U1797" s="1" t="s">
        <v>1476</v>
      </c>
      <c r="V1797" s="1" t="s">
        <v>1569</v>
      </c>
      <c r="Y1797" s="1">
        <v>2527</v>
      </c>
      <c r="AB1797" s="1">
        <v>400.12</v>
      </c>
    </row>
    <row r="1798" spans="2:28" x14ac:dyDescent="0.2">
      <c r="B1798" s="30" t="s">
        <v>2294</v>
      </c>
      <c r="C1798" s="36"/>
      <c r="D1798" s="36"/>
      <c r="F1798" s="1" t="s">
        <v>4083</v>
      </c>
      <c r="G1798" s="30" t="s">
        <v>4088</v>
      </c>
      <c r="K1798" s="1" t="s">
        <v>4089</v>
      </c>
      <c r="L1798" s="1" t="s">
        <v>1279</v>
      </c>
      <c r="M1798" s="36" t="s">
        <v>1560</v>
      </c>
      <c r="N1798" s="1" t="s">
        <v>1788</v>
      </c>
      <c r="O1798" s="1" t="s">
        <v>1286</v>
      </c>
      <c r="P1798" s="34" t="str">
        <f t="shared" si="31"/>
        <v>F010</v>
      </c>
      <c r="Q1798" s="1" t="s">
        <v>127</v>
      </c>
      <c r="S1798" s="16">
        <v>20</v>
      </c>
      <c r="T1798" s="1" t="s">
        <v>4082</v>
      </c>
      <c r="U1798" s="1" t="s">
        <v>1476</v>
      </c>
      <c r="V1798" s="1" t="s">
        <v>1569</v>
      </c>
      <c r="Y1798" s="1">
        <v>2527</v>
      </c>
      <c r="AB1798" s="1">
        <v>400.12</v>
      </c>
    </row>
    <row r="1799" spans="2:28" x14ac:dyDescent="0.2">
      <c r="B1799" s="30" t="s">
        <v>2294</v>
      </c>
      <c r="C1799" s="36"/>
      <c r="D1799" s="36"/>
      <c r="F1799" s="1" t="s">
        <v>4083</v>
      </c>
      <c r="G1799" s="30" t="s">
        <v>4090</v>
      </c>
      <c r="K1799" s="1" t="s">
        <v>4091</v>
      </c>
      <c r="L1799" s="1" t="s">
        <v>1279</v>
      </c>
      <c r="M1799" s="36" t="s">
        <v>1560</v>
      </c>
      <c r="N1799" s="1" t="s">
        <v>1788</v>
      </c>
      <c r="O1799" s="1" t="s">
        <v>1286</v>
      </c>
      <c r="P1799" s="34" t="str">
        <f t="shared" si="31"/>
        <v>F010</v>
      </c>
      <c r="Q1799" s="1" t="s">
        <v>127</v>
      </c>
      <c r="S1799" s="16">
        <v>20</v>
      </c>
      <c r="T1799" s="1" t="s">
        <v>4082</v>
      </c>
      <c r="U1799" s="1" t="s">
        <v>1476</v>
      </c>
      <c r="V1799" s="1" t="s">
        <v>1569</v>
      </c>
      <c r="Y1799" s="1">
        <v>2527</v>
      </c>
      <c r="AB1799" s="1">
        <v>400.12</v>
      </c>
    </row>
    <row r="1800" spans="2:28" x14ac:dyDescent="0.2">
      <c r="B1800" s="30" t="s">
        <v>2294</v>
      </c>
      <c r="C1800" s="36"/>
      <c r="D1800" s="36"/>
      <c r="F1800" s="1" t="s">
        <v>4083</v>
      </c>
      <c r="G1800" s="30" t="s">
        <v>4092</v>
      </c>
      <c r="K1800" s="1" t="s">
        <v>4093</v>
      </c>
      <c r="L1800" s="1" t="s">
        <v>1279</v>
      </c>
      <c r="M1800" s="36" t="s">
        <v>1560</v>
      </c>
      <c r="N1800" s="1" t="s">
        <v>1788</v>
      </c>
      <c r="O1800" s="1" t="s">
        <v>1286</v>
      </c>
      <c r="P1800" s="34" t="str">
        <f t="shared" si="31"/>
        <v>F010</v>
      </c>
      <c r="Q1800" s="1" t="s">
        <v>127</v>
      </c>
      <c r="S1800" s="16">
        <v>20</v>
      </c>
      <c r="T1800" s="1" t="s">
        <v>4082</v>
      </c>
      <c r="U1800" s="1" t="s">
        <v>1476</v>
      </c>
      <c r="V1800" s="1" t="s">
        <v>1569</v>
      </c>
      <c r="Y1800" s="1">
        <v>2527</v>
      </c>
      <c r="AB1800" s="1">
        <v>400.12</v>
      </c>
    </row>
    <row r="1801" spans="2:28" x14ac:dyDescent="0.2">
      <c r="B1801" s="30" t="s">
        <v>2294</v>
      </c>
      <c r="C1801" s="36"/>
      <c r="D1801" s="36"/>
      <c r="F1801" s="1" t="s">
        <v>4083</v>
      </c>
      <c r="G1801" s="30" t="s">
        <v>4094</v>
      </c>
      <c r="K1801" s="1" t="s">
        <v>4095</v>
      </c>
      <c r="L1801" s="1" t="s">
        <v>1279</v>
      </c>
      <c r="M1801" s="36" t="s">
        <v>1560</v>
      </c>
      <c r="N1801" s="1" t="s">
        <v>1788</v>
      </c>
      <c r="O1801" s="1" t="s">
        <v>1286</v>
      </c>
      <c r="P1801" s="34" t="str">
        <f t="shared" si="31"/>
        <v>F010</v>
      </c>
      <c r="Q1801" s="1" t="s">
        <v>127</v>
      </c>
      <c r="S1801" s="16">
        <v>20</v>
      </c>
      <c r="T1801" s="1" t="s">
        <v>4082</v>
      </c>
      <c r="U1801" s="1" t="s">
        <v>1476</v>
      </c>
      <c r="V1801" s="1" t="s">
        <v>1569</v>
      </c>
      <c r="Y1801" s="1">
        <v>2527</v>
      </c>
      <c r="AB1801" s="1">
        <v>400.12</v>
      </c>
    </row>
    <row r="1802" spans="2:28" x14ac:dyDescent="0.2">
      <c r="B1802" s="30" t="s">
        <v>2294</v>
      </c>
      <c r="C1802" s="36"/>
      <c r="D1802" s="36"/>
      <c r="F1802" s="1" t="s">
        <v>4083</v>
      </c>
      <c r="G1802" s="30" t="s">
        <v>4096</v>
      </c>
      <c r="K1802" s="1" t="s">
        <v>4097</v>
      </c>
      <c r="L1802" s="1" t="s">
        <v>1279</v>
      </c>
      <c r="M1802" s="36" t="s">
        <v>1560</v>
      </c>
      <c r="N1802" s="1" t="s">
        <v>1788</v>
      </c>
      <c r="O1802" s="1" t="s">
        <v>1286</v>
      </c>
      <c r="P1802" s="34" t="str">
        <f t="shared" si="31"/>
        <v>F010</v>
      </c>
      <c r="Q1802" s="1" t="s">
        <v>127</v>
      </c>
      <c r="S1802" s="16">
        <v>20</v>
      </c>
      <c r="T1802" s="1" t="s">
        <v>4082</v>
      </c>
      <c r="U1802" s="1" t="s">
        <v>1476</v>
      </c>
      <c r="V1802" s="1" t="s">
        <v>1569</v>
      </c>
      <c r="Y1802" s="1">
        <v>2527</v>
      </c>
      <c r="AB1802" s="1">
        <v>400.12</v>
      </c>
    </row>
    <row r="1803" spans="2:28" x14ac:dyDescent="0.2">
      <c r="B1803" s="30" t="s">
        <v>2294</v>
      </c>
      <c r="C1803" s="36"/>
      <c r="D1803" s="36"/>
      <c r="F1803" s="1" t="s">
        <v>4083</v>
      </c>
      <c r="G1803" s="30" t="s">
        <v>4098</v>
      </c>
      <c r="K1803" s="1" t="s">
        <v>4099</v>
      </c>
      <c r="L1803" s="1" t="s">
        <v>1279</v>
      </c>
      <c r="M1803" s="36" t="s">
        <v>1560</v>
      </c>
      <c r="N1803" s="1" t="s">
        <v>1788</v>
      </c>
      <c r="O1803" s="1" t="s">
        <v>1286</v>
      </c>
      <c r="P1803" s="34" t="str">
        <f t="shared" si="31"/>
        <v>F010</v>
      </c>
      <c r="Q1803" s="1" t="s">
        <v>127</v>
      </c>
      <c r="S1803" s="16">
        <v>20</v>
      </c>
      <c r="T1803" s="1" t="s">
        <v>4082</v>
      </c>
      <c r="U1803" s="1" t="s">
        <v>1476</v>
      </c>
      <c r="V1803" s="1" t="s">
        <v>1569</v>
      </c>
      <c r="Y1803" s="1">
        <v>2527</v>
      </c>
      <c r="AB1803" s="1">
        <v>400.12</v>
      </c>
    </row>
    <row r="1804" spans="2:28" x14ac:dyDescent="0.2">
      <c r="B1804" s="30" t="s">
        <v>2294</v>
      </c>
      <c r="C1804" s="36"/>
      <c r="D1804" s="36"/>
      <c r="F1804" s="1" t="s">
        <v>4083</v>
      </c>
      <c r="G1804" s="30" t="s">
        <v>4100</v>
      </c>
      <c r="K1804" s="1" t="s">
        <v>4101</v>
      </c>
      <c r="L1804" s="1" t="s">
        <v>1279</v>
      </c>
      <c r="M1804" s="36" t="s">
        <v>1430</v>
      </c>
      <c r="N1804" s="1" t="s">
        <v>1614</v>
      </c>
      <c r="O1804" s="1" t="s">
        <v>1286</v>
      </c>
      <c r="P1804" s="34" t="str">
        <f t="shared" si="31"/>
        <v>F010</v>
      </c>
      <c r="Q1804" s="1" t="s">
        <v>127</v>
      </c>
      <c r="S1804" s="16">
        <v>20</v>
      </c>
      <c r="T1804" s="1" t="s">
        <v>4082</v>
      </c>
      <c r="U1804" s="1" t="s">
        <v>1654</v>
      </c>
      <c r="V1804" s="1" t="s">
        <v>1701</v>
      </c>
      <c r="Y1804" s="1">
        <v>3254.39</v>
      </c>
      <c r="AB1804" s="1">
        <v>675.04</v>
      </c>
    </row>
    <row r="1805" spans="2:28" x14ac:dyDescent="0.2">
      <c r="B1805" s="30" t="s">
        <v>2294</v>
      </c>
      <c r="C1805" s="36"/>
      <c r="D1805" s="36"/>
      <c r="F1805" s="1" t="s">
        <v>4083</v>
      </c>
      <c r="G1805" s="30" t="s">
        <v>4100</v>
      </c>
      <c r="K1805" s="1" t="s">
        <v>4102</v>
      </c>
      <c r="L1805" s="1" t="s">
        <v>1279</v>
      </c>
      <c r="M1805" s="36" t="s">
        <v>2014</v>
      </c>
      <c r="N1805" s="1" t="s">
        <v>1788</v>
      </c>
      <c r="O1805" s="1" t="s">
        <v>1286</v>
      </c>
      <c r="P1805" s="34" t="str">
        <f t="shared" si="31"/>
        <v>F010</v>
      </c>
      <c r="Q1805" s="1" t="s">
        <v>127</v>
      </c>
      <c r="S1805" s="16">
        <v>20</v>
      </c>
      <c r="T1805" s="1" t="s">
        <v>4082</v>
      </c>
      <c r="U1805" s="1" t="s">
        <v>1334</v>
      </c>
      <c r="V1805" s="1" t="s">
        <v>1377</v>
      </c>
      <c r="Y1805" s="1">
        <v>4689</v>
      </c>
      <c r="AB1805" s="1">
        <v>2722.27</v>
      </c>
    </row>
    <row r="1806" spans="2:28" x14ac:dyDescent="0.2">
      <c r="B1806" s="30" t="s">
        <v>2294</v>
      </c>
      <c r="C1806" s="36"/>
      <c r="D1806" s="36"/>
      <c r="F1806" s="1" t="s">
        <v>4083</v>
      </c>
      <c r="G1806" s="30" t="s">
        <v>4103</v>
      </c>
      <c r="K1806" s="1" t="s">
        <v>4104</v>
      </c>
      <c r="L1806" s="1" t="s">
        <v>1279</v>
      </c>
      <c r="M1806" s="36" t="s">
        <v>1480</v>
      </c>
      <c r="N1806" s="1" t="s">
        <v>1609</v>
      </c>
      <c r="O1806" s="1" t="s">
        <v>1286</v>
      </c>
      <c r="P1806" s="34" t="str">
        <f t="shared" ref="P1806:P1877" si="33">+LEFT(Q1806,4)</f>
        <v>F010</v>
      </c>
      <c r="Q1806" s="1" t="s">
        <v>127</v>
      </c>
      <c r="S1806" s="16">
        <v>20</v>
      </c>
      <c r="T1806" s="1" t="s">
        <v>4082</v>
      </c>
      <c r="U1806" s="1" t="s">
        <v>1503</v>
      </c>
      <c r="V1806" s="1" t="s">
        <v>2095</v>
      </c>
      <c r="Y1806" s="1">
        <v>2963.25</v>
      </c>
      <c r="AB1806" s="1">
        <v>1162.5</v>
      </c>
    </row>
    <row r="1807" spans="2:28" x14ac:dyDescent="0.2">
      <c r="B1807" s="30" t="s">
        <v>2294</v>
      </c>
      <c r="C1807" s="36"/>
      <c r="D1807" s="36"/>
      <c r="F1807" s="1" t="s">
        <v>4083</v>
      </c>
      <c r="G1807" s="30" t="s">
        <v>4105</v>
      </c>
      <c r="K1807" s="1" t="s">
        <v>4106</v>
      </c>
      <c r="L1807" s="1" t="s">
        <v>1279</v>
      </c>
      <c r="M1807" s="36" t="s">
        <v>1999</v>
      </c>
      <c r="N1807" s="1" t="s">
        <v>1614</v>
      </c>
      <c r="O1807" s="1" t="s">
        <v>1286</v>
      </c>
      <c r="P1807" s="34" t="str">
        <f t="shared" si="33"/>
        <v>F010</v>
      </c>
      <c r="Q1807" s="1" t="s">
        <v>127</v>
      </c>
      <c r="S1807" s="16">
        <v>20</v>
      </c>
      <c r="T1807" s="1" t="s">
        <v>4082</v>
      </c>
      <c r="U1807" s="1" t="s">
        <v>2544</v>
      </c>
      <c r="V1807" s="1" t="s">
        <v>4107</v>
      </c>
      <c r="Y1807" s="1">
        <v>5507</v>
      </c>
      <c r="AB1807" s="1">
        <v>4069.05</v>
      </c>
    </row>
    <row r="1808" spans="2:28" x14ac:dyDescent="0.2">
      <c r="B1808" s="30" t="s">
        <v>2294</v>
      </c>
      <c r="C1808" s="36"/>
      <c r="D1808" s="36"/>
      <c r="F1808" s="1" t="s">
        <v>4083</v>
      </c>
      <c r="G1808" s="30" t="s">
        <v>4108</v>
      </c>
      <c r="K1808" s="1" t="s">
        <v>4109</v>
      </c>
      <c r="L1808" s="1" t="s">
        <v>1279</v>
      </c>
      <c r="M1808" s="36" t="s">
        <v>1805</v>
      </c>
      <c r="N1808" s="1" t="s">
        <v>2598</v>
      </c>
      <c r="O1808" s="1" t="s">
        <v>1286</v>
      </c>
      <c r="P1808" s="34" t="str">
        <f t="shared" si="33"/>
        <v>F010</v>
      </c>
      <c r="Q1808" s="1" t="s">
        <v>127</v>
      </c>
      <c r="S1808" s="16">
        <v>20</v>
      </c>
      <c r="T1808" s="1" t="s">
        <v>4082</v>
      </c>
      <c r="U1808" s="1" t="s">
        <v>1794</v>
      </c>
      <c r="V1808" s="1" t="s">
        <v>1796</v>
      </c>
      <c r="Y1808" s="1">
        <v>2715</v>
      </c>
      <c r="AB1808" s="1">
        <v>1862.81</v>
      </c>
    </row>
    <row r="1809" spans="2:28" x14ac:dyDescent="0.2">
      <c r="B1809" s="30" t="s">
        <v>2294</v>
      </c>
      <c r="C1809" s="36"/>
      <c r="D1809" s="36"/>
      <c r="F1809" s="1" t="s">
        <v>4083</v>
      </c>
      <c r="G1809" s="30" t="s">
        <v>4108</v>
      </c>
      <c r="K1809" s="1" t="s">
        <v>4110</v>
      </c>
      <c r="L1809" s="1" t="s">
        <v>1279</v>
      </c>
      <c r="M1809" s="36" t="s">
        <v>1805</v>
      </c>
      <c r="N1809" s="1" t="s">
        <v>2598</v>
      </c>
      <c r="O1809" s="1" t="s">
        <v>1286</v>
      </c>
      <c r="P1809" s="34" t="str">
        <f t="shared" si="33"/>
        <v>F010</v>
      </c>
      <c r="Q1809" s="1" t="s">
        <v>127</v>
      </c>
      <c r="S1809" s="16">
        <v>20</v>
      </c>
      <c r="T1809" s="1" t="s">
        <v>4082</v>
      </c>
      <c r="U1809" s="1" t="s">
        <v>1794</v>
      </c>
      <c r="V1809" s="1" t="s">
        <v>1796</v>
      </c>
      <c r="Y1809" s="1">
        <v>2715</v>
      </c>
      <c r="AB1809" s="1">
        <v>1862.81</v>
      </c>
    </row>
    <row r="1810" spans="2:28" x14ac:dyDescent="0.2">
      <c r="B1810" s="30" t="s">
        <v>2294</v>
      </c>
      <c r="C1810" s="36"/>
      <c r="D1810" s="36"/>
      <c r="F1810" s="1" t="s">
        <v>4083</v>
      </c>
      <c r="G1810" s="30" t="s">
        <v>4108</v>
      </c>
      <c r="K1810" s="1" t="s">
        <v>4111</v>
      </c>
      <c r="L1810" s="1" t="s">
        <v>1279</v>
      </c>
      <c r="M1810" s="36" t="s">
        <v>1805</v>
      </c>
      <c r="N1810" s="1" t="s">
        <v>2598</v>
      </c>
      <c r="O1810" s="1" t="s">
        <v>1286</v>
      </c>
      <c r="P1810" s="34" t="str">
        <f t="shared" si="33"/>
        <v>F010</v>
      </c>
      <c r="Q1810" s="1" t="s">
        <v>127</v>
      </c>
      <c r="S1810" s="16">
        <v>20</v>
      </c>
      <c r="T1810" s="1" t="s">
        <v>4082</v>
      </c>
      <c r="U1810" s="1" t="s">
        <v>1794</v>
      </c>
      <c r="V1810" s="1" t="s">
        <v>1796</v>
      </c>
      <c r="Y1810" s="1">
        <v>2715</v>
      </c>
      <c r="AB1810" s="1">
        <v>1862.81</v>
      </c>
    </row>
    <row r="1811" spans="2:28" x14ac:dyDescent="0.2">
      <c r="B1811" s="30" t="s">
        <v>2294</v>
      </c>
      <c r="C1811" s="36"/>
      <c r="D1811" s="36"/>
      <c r="F1811" s="1" t="s">
        <v>4083</v>
      </c>
      <c r="G1811" s="30" t="s">
        <v>4108</v>
      </c>
      <c r="K1811" s="1" t="s">
        <v>4112</v>
      </c>
      <c r="L1811" s="1" t="s">
        <v>1279</v>
      </c>
      <c r="M1811" s="36" t="s">
        <v>1805</v>
      </c>
      <c r="N1811" s="1" t="s">
        <v>2598</v>
      </c>
      <c r="O1811" s="1" t="s">
        <v>1286</v>
      </c>
      <c r="P1811" s="34" t="str">
        <f t="shared" si="33"/>
        <v>F010</v>
      </c>
      <c r="Q1811" s="1" t="s">
        <v>127</v>
      </c>
      <c r="S1811" s="16">
        <v>20</v>
      </c>
      <c r="T1811" s="1" t="s">
        <v>4082</v>
      </c>
      <c r="U1811" s="1" t="s">
        <v>1794</v>
      </c>
      <c r="V1811" s="1" t="s">
        <v>1796</v>
      </c>
      <c r="Y1811" s="1">
        <v>2715</v>
      </c>
      <c r="AB1811" s="1">
        <v>1862.81</v>
      </c>
    </row>
    <row r="1812" spans="2:28" x14ac:dyDescent="0.2">
      <c r="B1812" s="30" t="s">
        <v>2294</v>
      </c>
      <c r="C1812" s="36"/>
      <c r="D1812" s="36"/>
      <c r="F1812" s="1" t="s">
        <v>4083</v>
      </c>
      <c r="G1812" s="30" t="s">
        <v>4108</v>
      </c>
      <c r="K1812" s="1" t="s">
        <v>4113</v>
      </c>
      <c r="L1812" s="1" t="s">
        <v>1279</v>
      </c>
      <c r="M1812" s="36" t="s">
        <v>1805</v>
      </c>
      <c r="N1812" s="1" t="s">
        <v>2598</v>
      </c>
      <c r="O1812" s="1" t="s">
        <v>1286</v>
      </c>
      <c r="P1812" s="34" t="str">
        <f t="shared" si="33"/>
        <v>F010</v>
      </c>
      <c r="Q1812" s="1" t="s">
        <v>127</v>
      </c>
      <c r="S1812" s="16">
        <v>20</v>
      </c>
      <c r="T1812" s="1" t="s">
        <v>4082</v>
      </c>
      <c r="U1812" s="1" t="s">
        <v>1794</v>
      </c>
      <c r="V1812" s="1" t="s">
        <v>1796</v>
      </c>
      <c r="Y1812" s="1">
        <v>2715</v>
      </c>
      <c r="AB1812" s="1">
        <v>1862.81</v>
      </c>
    </row>
    <row r="1813" spans="2:28" x14ac:dyDescent="0.2">
      <c r="B1813" s="30" t="s">
        <v>2294</v>
      </c>
      <c r="C1813" s="36"/>
      <c r="D1813" s="36"/>
      <c r="F1813" s="1" t="s">
        <v>4083</v>
      </c>
      <c r="G1813" s="30" t="s">
        <v>4108</v>
      </c>
      <c r="K1813" s="1" t="s">
        <v>4114</v>
      </c>
      <c r="L1813" s="1" t="s">
        <v>1279</v>
      </c>
      <c r="M1813" s="36" t="s">
        <v>1805</v>
      </c>
      <c r="N1813" s="1" t="s">
        <v>2598</v>
      </c>
      <c r="O1813" s="1" t="s">
        <v>1286</v>
      </c>
      <c r="P1813" s="34" t="str">
        <f t="shared" si="33"/>
        <v>F010</v>
      </c>
      <c r="Q1813" s="1" t="s">
        <v>127</v>
      </c>
      <c r="S1813" s="16">
        <v>20</v>
      </c>
      <c r="T1813" s="1" t="s">
        <v>4082</v>
      </c>
      <c r="U1813" s="1" t="s">
        <v>1794</v>
      </c>
      <c r="V1813" s="1" t="s">
        <v>1796</v>
      </c>
      <c r="Y1813" s="1">
        <v>2715</v>
      </c>
      <c r="AB1813" s="1">
        <v>1862.81</v>
      </c>
    </row>
    <row r="1814" spans="2:28" x14ac:dyDescent="0.2">
      <c r="B1814" s="30" t="s">
        <v>2294</v>
      </c>
      <c r="C1814" s="36"/>
      <c r="D1814" s="36"/>
      <c r="F1814" s="1" t="s">
        <v>4083</v>
      </c>
      <c r="G1814" s="30" t="s">
        <v>4108</v>
      </c>
      <c r="K1814" s="1" t="s">
        <v>4115</v>
      </c>
      <c r="L1814" s="1" t="s">
        <v>1279</v>
      </c>
      <c r="M1814" s="36" t="s">
        <v>1805</v>
      </c>
      <c r="N1814" s="1" t="s">
        <v>2598</v>
      </c>
      <c r="O1814" s="1" t="s">
        <v>1286</v>
      </c>
      <c r="P1814" s="34" t="str">
        <f t="shared" si="33"/>
        <v>F010</v>
      </c>
      <c r="Q1814" s="1" t="s">
        <v>127</v>
      </c>
      <c r="S1814" s="16">
        <v>20</v>
      </c>
      <c r="T1814" s="1" t="s">
        <v>4082</v>
      </c>
      <c r="U1814" s="1" t="s">
        <v>1794</v>
      </c>
      <c r="V1814" s="1" t="s">
        <v>1796</v>
      </c>
      <c r="Y1814" s="1">
        <v>2715</v>
      </c>
      <c r="AB1814" s="1">
        <v>1862.81</v>
      </c>
    </row>
    <row r="1815" spans="2:28" x14ac:dyDescent="0.2">
      <c r="B1815" s="30" t="s">
        <v>2294</v>
      </c>
      <c r="C1815" s="36"/>
      <c r="D1815" s="36"/>
      <c r="F1815" s="1" t="s">
        <v>4083</v>
      </c>
      <c r="G1815" s="30" t="s">
        <v>4116</v>
      </c>
      <c r="K1815" s="1" t="s">
        <v>4117</v>
      </c>
      <c r="L1815" s="1" t="s">
        <v>1279</v>
      </c>
      <c r="M1815" s="36" t="s">
        <v>1430</v>
      </c>
      <c r="N1815" s="1" t="s">
        <v>1614</v>
      </c>
      <c r="O1815" s="1" t="s">
        <v>1286</v>
      </c>
      <c r="P1815" s="34" t="str">
        <f t="shared" si="33"/>
        <v>F010</v>
      </c>
      <c r="Q1815" s="1" t="s">
        <v>127</v>
      </c>
      <c r="S1815" s="16">
        <v>20</v>
      </c>
      <c r="T1815" s="1" t="s">
        <v>4082</v>
      </c>
      <c r="U1815" s="1" t="s">
        <v>1654</v>
      </c>
      <c r="V1815" s="1" t="s">
        <v>1701</v>
      </c>
      <c r="Y1815" s="1">
        <v>3108</v>
      </c>
      <c r="AB1815" s="1">
        <v>656.16</v>
      </c>
    </row>
    <row r="1816" spans="2:28" x14ac:dyDescent="0.2">
      <c r="B1816" s="30" t="s">
        <v>2294</v>
      </c>
      <c r="C1816" s="36"/>
      <c r="D1816" s="36"/>
      <c r="F1816" s="1" t="s">
        <v>4083</v>
      </c>
      <c r="G1816" s="30" t="s">
        <v>4118</v>
      </c>
      <c r="K1816" s="1" t="s">
        <v>4119</v>
      </c>
      <c r="L1816" s="1" t="s">
        <v>1279</v>
      </c>
      <c r="M1816" s="36" t="s">
        <v>2014</v>
      </c>
      <c r="N1816" s="1" t="s">
        <v>1795</v>
      </c>
      <c r="O1816" s="1" t="s">
        <v>1286</v>
      </c>
      <c r="P1816" s="34" t="str">
        <f t="shared" si="33"/>
        <v>F010</v>
      </c>
      <c r="Q1816" s="1" t="s">
        <v>127</v>
      </c>
      <c r="S1816" s="16">
        <v>20</v>
      </c>
      <c r="T1816" s="1" t="s">
        <v>4082</v>
      </c>
      <c r="U1816" s="1" t="s">
        <v>1334</v>
      </c>
      <c r="V1816" s="1" t="s">
        <v>1377</v>
      </c>
      <c r="Y1816" s="1">
        <v>5065</v>
      </c>
      <c r="AB1816" s="1">
        <v>2940.52</v>
      </c>
    </row>
    <row r="1817" spans="2:28" x14ac:dyDescent="0.2">
      <c r="B1817" s="30" t="s">
        <v>2294</v>
      </c>
      <c r="C1817" s="36"/>
      <c r="D1817" s="36"/>
      <c r="F1817" s="1" t="s">
        <v>4083</v>
      </c>
      <c r="G1817" s="30" t="s">
        <v>4120</v>
      </c>
      <c r="K1817" s="1" t="s">
        <v>4121</v>
      </c>
      <c r="L1817" s="1" t="s">
        <v>1279</v>
      </c>
      <c r="M1817" s="36" t="s">
        <v>1999</v>
      </c>
      <c r="N1817" s="1" t="s">
        <v>1614</v>
      </c>
      <c r="O1817" s="1" t="s">
        <v>1286</v>
      </c>
      <c r="P1817" s="34" t="str">
        <f t="shared" si="33"/>
        <v>F010</v>
      </c>
      <c r="Q1817" s="1" t="s">
        <v>127</v>
      </c>
      <c r="S1817" s="16">
        <v>20</v>
      </c>
      <c r="T1817" s="1" t="s">
        <v>4082</v>
      </c>
      <c r="U1817" s="1" t="s">
        <v>2544</v>
      </c>
      <c r="V1817" s="1" t="s">
        <v>4107</v>
      </c>
      <c r="Y1817" s="1">
        <v>5024</v>
      </c>
      <c r="AB1817" s="1">
        <v>3712.2</v>
      </c>
    </row>
    <row r="1818" spans="2:28" x14ac:dyDescent="0.2">
      <c r="B1818" s="30" t="s">
        <v>2294</v>
      </c>
      <c r="C1818" s="36"/>
      <c r="D1818" s="36"/>
      <c r="F1818" s="1" t="s">
        <v>4083</v>
      </c>
      <c r="G1818" s="30" t="s">
        <v>4120</v>
      </c>
      <c r="K1818" s="1" t="s">
        <v>4122</v>
      </c>
      <c r="L1818" s="1" t="s">
        <v>1279</v>
      </c>
      <c r="M1818" s="36" t="s">
        <v>1999</v>
      </c>
      <c r="N1818" s="1" t="s">
        <v>1614</v>
      </c>
      <c r="O1818" s="1" t="s">
        <v>1286</v>
      </c>
      <c r="P1818" s="34" t="str">
        <f t="shared" si="33"/>
        <v>F010</v>
      </c>
      <c r="Q1818" s="1" t="s">
        <v>127</v>
      </c>
      <c r="S1818" s="16">
        <v>20</v>
      </c>
      <c r="T1818" s="1" t="s">
        <v>4082</v>
      </c>
      <c r="U1818" s="1" t="s">
        <v>2544</v>
      </c>
      <c r="V1818" s="1" t="s">
        <v>4107</v>
      </c>
      <c r="Y1818" s="1">
        <v>5024</v>
      </c>
      <c r="AB1818" s="1">
        <v>3712.2</v>
      </c>
    </row>
    <row r="1819" spans="2:28" x14ac:dyDescent="0.2">
      <c r="B1819" s="30" t="s">
        <v>2294</v>
      </c>
      <c r="C1819" s="36"/>
      <c r="D1819" s="36"/>
      <c r="F1819" s="1" t="s">
        <v>4083</v>
      </c>
      <c r="G1819" s="30" t="s">
        <v>4120</v>
      </c>
      <c r="K1819" s="1" t="s">
        <v>4123</v>
      </c>
      <c r="L1819" s="1" t="s">
        <v>1279</v>
      </c>
      <c r="M1819" s="36" t="s">
        <v>1999</v>
      </c>
      <c r="N1819" s="1" t="s">
        <v>1614</v>
      </c>
      <c r="O1819" s="1" t="s">
        <v>1286</v>
      </c>
      <c r="P1819" s="34" t="str">
        <f t="shared" si="33"/>
        <v>F010</v>
      </c>
      <c r="Q1819" s="1" t="s">
        <v>127</v>
      </c>
      <c r="S1819" s="16">
        <v>20</v>
      </c>
      <c r="T1819" s="1" t="s">
        <v>4082</v>
      </c>
      <c r="U1819" s="1" t="s">
        <v>2544</v>
      </c>
      <c r="V1819" s="1" t="s">
        <v>4107</v>
      </c>
      <c r="Y1819" s="1">
        <v>5024</v>
      </c>
      <c r="AB1819" s="1">
        <v>3712.2</v>
      </c>
    </row>
    <row r="1820" spans="2:28" x14ac:dyDescent="0.2">
      <c r="B1820" s="30" t="s">
        <v>2294</v>
      </c>
      <c r="C1820" s="36"/>
      <c r="D1820" s="36"/>
      <c r="F1820" s="1" t="s">
        <v>4083</v>
      </c>
      <c r="G1820" s="30" t="s">
        <v>4124</v>
      </c>
      <c r="K1820" s="1" t="s">
        <v>4125</v>
      </c>
      <c r="L1820" s="1" t="s">
        <v>1279</v>
      </c>
      <c r="M1820" s="36" t="s">
        <v>2014</v>
      </c>
      <c r="N1820" s="1" t="s">
        <v>1287</v>
      </c>
      <c r="O1820" s="1" t="s">
        <v>1286</v>
      </c>
      <c r="P1820" s="34" t="str">
        <f t="shared" si="33"/>
        <v>F010</v>
      </c>
      <c r="Q1820" s="1" t="s">
        <v>127</v>
      </c>
      <c r="S1820" s="16">
        <v>20</v>
      </c>
      <c r="T1820" s="1" t="s">
        <v>4082</v>
      </c>
      <c r="U1820" s="1" t="s">
        <v>1334</v>
      </c>
      <c r="V1820" s="1" t="s">
        <v>1377</v>
      </c>
      <c r="Y1820" s="1">
        <v>5723</v>
      </c>
      <c r="AB1820" s="1">
        <v>3322.51</v>
      </c>
    </row>
    <row r="1821" spans="2:28" x14ac:dyDescent="0.2">
      <c r="B1821" s="30" t="s">
        <v>2294</v>
      </c>
      <c r="C1821" s="36"/>
      <c r="D1821" s="36"/>
      <c r="F1821" s="1" t="s">
        <v>4083</v>
      </c>
      <c r="G1821" s="30" t="s">
        <v>4124</v>
      </c>
      <c r="K1821" s="1" t="s">
        <v>4126</v>
      </c>
      <c r="L1821" s="1" t="s">
        <v>1279</v>
      </c>
      <c r="M1821" s="36" t="s">
        <v>2014</v>
      </c>
      <c r="N1821" s="1" t="s">
        <v>1287</v>
      </c>
      <c r="O1821" s="1" t="s">
        <v>1286</v>
      </c>
      <c r="P1821" s="34" t="str">
        <f t="shared" si="33"/>
        <v>F010</v>
      </c>
      <c r="Q1821" s="1" t="s">
        <v>127</v>
      </c>
      <c r="S1821" s="16">
        <v>20</v>
      </c>
      <c r="T1821" s="1" t="s">
        <v>4082</v>
      </c>
      <c r="U1821" s="1" t="s">
        <v>1334</v>
      </c>
      <c r="V1821" s="1" t="s">
        <v>1377</v>
      </c>
      <c r="Y1821" s="1">
        <v>5723</v>
      </c>
      <c r="AB1821" s="1">
        <v>3322.51</v>
      </c>
    </row>
    <row r="1822" spans="2:28" x14ac:dyDescent="0.2">
      <c r="B1822" s="30" t="s">
        <v>2294</v>
      </c>
      <c r="C1822" s="36"/>
      <c r="D1822" s="36"/>
      <c r="F1822" s="1" t="s">
        <v>4083</v>
      </c>
      <c r="G1822" s="30" t="s">
        <v>4127</v>
      </c>
      <c r="K1822" s="1" t="s">
        <v>4128</v>
      </c>
      <c r="L1822" s="1" t="s">
        <v>1279</v>
      </c>
      <c r="M1822" s="36" t="s">
        <v>2014</v>
      </c>
      <c r="N1822" s="1" t="s">
        <v>1287</v>
      </c>
      <c r="O1822" s="1" t="s">
        <v>1286</v>
      </c>
      <c r="P1822" s="34" t="str">
        <f t="shared" si="33"/>
        <v>F010</v>
      </c>
      <c r="Q1822" s="1" t="s">
        <v>127</v>
      </c>
      <c r="S1822" s="16">
        <v>20</v>
      </c>
      <c r="T1822" s="1" t="s">
        <v>4082</v>
      </c>
      <c r="U1822" s="1" t="s">
        <v>1334</v>
      </c>
      <c r="V1822" s="1" t="s">
        <v>1377</v>
      </c>
      <c r="Y1822" s="1">
        <v>6475</v>
      </c>
      <c r="AB1822" s="1">
        <v>3759.14</v>
      </c>
    </row>
    <row r="1823" spans="2:28" x14ac:dyDescent="0.2">
      <c r="B1823" s="30" t="s">
        <v>2294</v>
      </c>
      <c r="C1823" s="36"/>
      <c r="D1823" s="36"/>
      <c r="F1823" s="1" t="s">
        <v>4083</v>
      </c>
      <c r="G1823" s="30" t="s">
        <v>4127</v>
      </c>
      <c r="K1823" s="1" t="s">
        <v>4129</v>
      </c>
      <c r="L1823" s="1" t="s">
        <v>1279</v>
      </c>
      <c r="M1823" s="36" t="s">
        <v>2014</v>
      </c>
      <c r="N1823" s="1" t="s">
        <v>1287</v>
      </c>
      <c r="O1823" s="1" t="s">
        <v>1286</v>
      </c>
      <c r="P1823" s="34" t="str">
        <f t="shared" si="33"/>
        <v>F010</v>
      </c>
      <c r="Q1823" s="1" t="s">
        <v>127</v>
      </c>
      <c r="S1823" s="16">
        <v>20</v>
      </c>
      <c r="T1823" s="1" t="s">
        <v>4130</v>
      </c>
      <c r="U1823" s="1" t="s">
        <v>1334</v>
      </c>
      <c r="V1823" s="1" t="s">
        <v>1377</v>
      </c>
      <c r="Y1823" s="1">
        <v>6475</v>
      </c>
      <c r="AB1823" s="1">
        <v>3759.14</v>
      </c>
    </row>
    <row r="1824" spans="2:28" x14ac:dyDescent="0.2">
      <c r="B1824" s="30" t="s">
        <v>2294</v>
      </c>
      <c r="C1824" s="36"/>
      <c r="D1824" s="36"/>
      <c r="F1824" s="1" t="s">
        <v>4131</v>
      </c>
      <c r="G1824" s="30" t="s">
        <v>4127</v>
      </c>
      <c r="K1824" s="1" t="s">
        <v>4132</v>
      </c>
      <c r="L1824" s="1" t="s">
        <v>1279</v>
      </c>
      <c r="M1824" s="36" t="s">
        <v>2014</v>
      </c>
      <c r="N1824" s="1" t="s">
        <v>1287</v>
      </c>
      <c r="O1824" s="1" t="s">
        <v>1286</v>
      </c>
      <c r="P1824" s="34" t="str">
        <f t="shared" si="33"/>
        <v>F010</v>
      </c>
      <c r="Q1824" s="1" t="s">
        <v>127</v>
      </c>
      <c r="S1824" s="16">
        <v>20</v>
      </c>
      <c r="T1824" s="1" t="s">
        <v>4130</v>
      </c>
      <c r="U1824" s="1" t="s">
        <v>1334</v>
      </c>
      <c r="V1824" s="1" t="s">
        <v>1377</v>
      </c>
      <c r="Y1824" s="1">
        <v>6475</v>
      </c>
      <c r="AB1824" s="1">
        <v>3759.14</v>
      </c>
    </row>
    <row r="1825" spans="2:28" x14ac:dyDescent="0.2">
      <c r="B1825" s="30" t="s">
        <v>2294</v>
      </c>
      <c r="C1825" s="36"/>
      <c r="D1825" s="36"/>
      <c r="F1825" s="1" t="s">
        <v>4131</v>
      </c>
      <c r="G1825" s="30" t="s">
        <v>4133</v>
      </c>
      <c r="K1825" s="1" t="s">
        <v>4134</v>
      </c>
      <c r="L1825" s="1" t="s">
        <v>1279</v>
      </c>
      <c r="M1825" s="36" t="s">
        <v>2288</v>
      </c>
      <c r="N1825" s="1" t="s">
        <v>1286</v>
      </c>
      <c r="O1825" s="1" t="s">
        <v>1286</v>
      </c>
      <c r="P1825" s="34" t="str">
        <f t="shared" si="33"/>
        <v>F010</v>
      </c>
      <c r="Q1825" s="1" t="s">
        <v>138</v>
      </c>
      <c r="S1825" s="16">
        <v>20</v>
      </c>
      <c r="T1825" s="1" t="s">
        <v>4130</v>
      </c>
      <c r="U1825" s="1" t="s">
        <v>1548</v>
      </c>
      <c r="V1825" s="1" t="s">
        <v>2120</v>
      </c>
      <c r="Y1825" s="1">
        <v>9495</v>
      </c>
      <c r="AB1825" s="1">
        <v>9020.25</v>
      </c>
    </row>
    <row r="1826" spans="2:28" x14ac:dyDescent="0.2">
      <c r="B1826" s="30" t="s">
        <v>2294</v>
      </c>
      <c r="C1826" s="36"/>
      <c r="D1826" s="36"/>
      <c r="F1826" s="1" t="s">
        <v>4131</v>
      </c>
      <c r="G1826" s="30" t="s">
        <v>4135</v>
      </c>
      <c r="K1826" s="1" t="s">
        <v>4136</v>
      </c>
      <c r="L1826" s="1" t="s">
        <v>1279</v>
      </c>
      <c r="M1826" s="36" t="s">
        <v>2395</v>
      </c>
      <c r="N1826" s="1" t="s">
        <v>2866</v>
      </c>
      <c r="O1826" s="1" t="s">
        <v>1286</v>
      </c>
      <c r="P1826" s="34" t="str">
        <f t="shared" si="33"/>
        <v>F010</v>
      </c>
      <c r="Q1826" s="1" t="s">
        <v>127</v>
      </c>
      <c r="S1826" s="16">
        <v>20</v>
      </c>
      <c r="T1826" s="1" t="s">
        <v>4130</v>
      </c>
      <c r="U1826" s="1" t="s">
        <v>1875</v>
      </c>
      <c r="V1826" s="1" t="s">
        <v>2022</v>
      </c>
      <c r="Y1826" s="1">
        <v>12715.56</v>
      </c>
      <c r="AB1826" s="1">
        <v>12079.78</v>
      </c>
    </row>
    <row r="1827" spans="2:28" x14ac:dyDescent="0.2">
      <c r="B1827" s="30" t="s">
        <v>2294</v>
      </c>
      <c r="C1827" s="36"/>
      <c r="D1827" s="36"/>
      <c r="F1827" s="1" t="s">
        <v>4131</v>
      </c>
      <c r="G1827" s="30" t="s">
        <v>4135</v>
      </c>
      <c r="K1827" s="1" t="s">
        <v>4137</v>
      </c>
      <c r="L1827" s="1" t="s">
        <v>1279</v>
      </c>
      <c r="M1827" s="36" t="s">
        <v>2395</v>
      </c>
      <c r="N1827" s="1" t="s">
        <v>1573</v>
      </c>
      <c r="O1827" s="1" t="s">
        <v>1286</v>
      </c>
      <c r="P1827" s="34" t="str">
        <f t="shared" si="33"/>
        <v>F010</v>
      </c>
      <c r="Q1827" s="1" t="s">
        <v>129</v>
      </c>
      <c r="S1827" s="16">
        <v>20</v>
      </c>
      <c r="T1827" s="1" t="s">
        <v>4130</v>
      </c>
      <c r="U1827" s="1" t="s">
        <v>1875</v>
      </c>
      <c r="V1827" s="1" t="s">
        <v>2022</v>
      </c>
      <c r="Y1827" s="1">
        <v>12715.56</v>
      </c>
      <c r="AB1827" s="1">
        <v>12079.78</v>
      </c>
    </row>
    <row r="1828" spans="2:28" x14ac:dyDescent="0.2">
      <c r="B1828" s="30" t="s">
        <v>2294</v>
      </c>
      <c r="C1828" s="36"/>
      <c r="D1828" s="36"/>
      <c r="F1828" s="1" t="s">
        <v>4131</v>
      </c>
      <c r="G1828" s="30" t="s">
        <v>4138</v>
      </c>
      <c r="K1828" s="1" t="s">
        <v>4139</v>
      </c>
      <c r="L1828" s="1" t="s">
        <v>1279</v>
      </c>
      <c r="M1828" s="36" t="s">
        <v>2393</v>
      </c>
      <c r="N1828" s="1" t="s">
        <v>1573</v>
      </c>
      <c r="O1828" s="1" t="s">
        <v>1286</v>
      </c>
      <c r="P1828" s="34" t="str">
        <f t="shared" si="33"/>
        <v>F010</v>
      </c>
      <c r="Q1828" s="1" t="s">
        <v>137</v>
      </c>
      <c r="S1828" s="16">
        <v>20</v>
      </c>
      <c r="T1828" s="1" t="s">
        <v>4130</v>
      </c>
      <c r="U1828" s="1" t="s">
        <v>2395</v>
      </c>
      <c r="V1828" s="1" t="s">
        <v>2244</v>
      </c>
      <c r="Y1828" s="1">
        <v>10995.66</v>
      </c>
      <c r="AB1828" s="1">
        <v>10445.879999999999</v>
      </c>
    </row>
    <row r="1829" spans="2:28" x14ac:dyDescent="0.2">
      <c r="B1829" s="30" t="s">
        <v>2294</v>
      </c>
      <c r="C1829" s="36"/>
      <c r="D1829" s="36"/>
      <c r="F1829" s="1" t="s">
        <v>4131</v>
      </c>
      <c r="G1829" s="30" t="s">
        <v>4138</v>
      </c>
      <c r="K1829" s="1" t="s">
        <v>4140</v>
      </c>
      <c r="L1829" s="1" t="s">
        <v>1279</v>
      </c>
      <c r="M1829" s="36" t="s">
        <v>2319</v>
      </c>
      <c r="N1829" s="1" t="s">
        <v>1285</v>
      </c>
      <c r="O1829" s="1" t="s">
        <v>1286</v>
      </c>
      <c r="P1829" s="34" t="str">
        <f t="shared" si="33"/>
        <v>F010</v>
      </c>
      <c r="Q1829" s="1" t="s">
        <v>127</v>
      </c>
      <c r="S1829" s="16">
        <v>20</v>
      </c>
      <c r="T1829" s="1" t="s">
        <v>4130</v>
      </c>
      <c r="U1829" s="1" t="s">
        <v>1356</v>
      </c>
      <c r="V1829" s="1" t="s">
        <v>2361</v>
      </c>
      <c r="Y1829" s="1">
        <v>9150.57</v>
      </c>
      <c r="AB1829" s="1">
        <v>8693.0400000000009</v>
      </c>
    </row>
    <row r="1830" spans="2:28" x14ac:dyDescent="0.2">
      <c r="B1830" s="30" t="s">
        <v>2294</v>
      </c>
      <c r="C1830" s="36"/>
      <c r="D1830" s="36"/>
      <c r="F1830" s="1" t="s">
        <v>4131</v>
      </c>
      <c r="G1830" s="30" t="s">
        <v>4141</v>
      </c>
      <c r="K1830" s="1" t="s">
        <v>4142</v>
      </c>
      <c r="L1830" s="1" t="s">
        <v>1279</v>
      </c>
      <c r="M1830" s="36" t="s">
        <v>2208</v>
      </c>
      <c r="N1830" s="1" t="s">
        <v>2094</v>
      </c>
      <c r="O1830" s="1" t="s">
        <v>1286</v>
      </c>
      <c r="P1830" s="34" t="str">
        <f t="shared" si="33"/>
        <v>F010</v>
      </c>
      <c r="Q1830" s="1" t="s">
        <v>127</v>
      </c>
      <c r="S1830" s="16">
        <v>20</v>
      </c>
      <c r="T1830" s="1" t="s">
        <v>4130</v>
      </c>
      <c r="U1830" s="1" t="s">
        <v>2364</v>
      </c>
      <c r="V1830" s="1" t="s">
        <v>1516</v>
      </c>
      <c r="Y1830" s="1">
        <v>8560</v>
      </c>
      <c r="AB1830" s="1">
        <v>8132</v>
      </c>
    </row>
    <row r="1831" spans="2:28" x14ac:dyDescent="0.2">
      <c r="B1831" s="30" t="s">
        <v>2294</v>
      </c>
      <c r="C1831" s="36"/>
      <c r="D1831" s="36"/>
      <c r="F1831" s="1" t="s">
        <v>4131</v>
      </c>
      <c r="G1831" s="30" t="s">
        <v>4141</v>
      </c>
      <c r="K1831" s="1" t="s">
        <v>4143</v>
      </c>
      <c r="L1831" s="1" t="s">
        <v>1279</v>
      </c>
      <c r="M1831" s="36" t="s">
        <v>2208</v>
      </c>
      <c r="N1831" s="1" t="s">
        <v>1833</v>
      </c>
      <c r="O1831" s="1" t="s">
        <v>1286</v>
      </c>
      <c r="P1831" s="34" t="str">
        <f t="shared" si="33"/>
        <v>F010</v>
      </c>
      <c r="Q1831" s="1" t="s">
        <v>127</v>
      </c>
      <c r="S1831" s="16">
        <v>20</v>
      </c>
      <c r="T1831" s="1" t="s">
        <v>4130</v>
      </c>
      <c r="U1831" s="1" t="s">
        <v>2364</v>
      </c>
      <c r="V1831" s="1" t="s">
        <v>1516</v>
      </c>
      <c r="Y1831" s="1">
        <v>8560</v>
      </c>
      <c r="AB1831" s="1">
        <v>8132</v>
      </c>
    </row>
    <row r="1832" spans="2:28" x14ac:dyDescent="0.2">
      <c r="B1832" s="30" t="s">
        <v>2294</v>
      </c>
      <c r="C1832" s="36"/>
      <c r="D1832" s="36"/>
      <c r="F1832" s="1" t="s">
        <v>4131</v>
      </c>
      <c r="G1832" s="30" t="s">
        <v>4144</v>
      </c>
      <c r="K1832" s="1" t="s">
        <v>4145</v>
      </c>
      <c r="L1832" s="1" t="s">
        <v>1279</v>
      </c>
      <c r="M1832" s="36" t="s">
        <v>1862</v>
      </c>
      <c r="N1832" s="1" t="s">
        <v>1564</v>
      </c>
      <c r="O1832" s="1" t="s">
        <v>1286</v>
      </c>
      <c r="P1832" s="34" t="str">
        <f t="shared" si="33"/>
        <v>F010</v>
      </c>
      <c r="Q1832" s="1" t="s">
        <v>127</v>
      </c>
      <c r="S1832" s="16">
        <v>20</v>
      </c>
      <c r="T1832" s="1" t="s">
        <v>4130</v>
      </c>
      <c r="U1832" s="1" t="s">
        <v>4146</v>
      </c>
      <c r="V1832" s="1" t="s">
        <v>1345</v>
      </c>
      <c r="Y1832" s="1">
        <v>9490</v>
      </c>
      <c r="AB1832" s="1">
        <v>9015.5</v>
      </c>
    </row>
    <row r="1833" spans="2:28" x14ac:dyDescent="0.2">
      <c r="B1833" s="30" t="s">
        <v>2294</v>
      </c>
      <c r="C1833" s="36"/>
      <c r="D1833" s="36"/>
      <c r="F1833" s="1" t="s">
        <v>4131</v>
      </c>
      <c r="G1833" s="30" t="s">
        <v>4144</v>
      </c>
      <c r="K1833" s="1" t="s">
        <v>4147</v>
      </c>
      <c r="L1833" s="1" t="s">
        <v>1279</v>
      </c>
      <c r="M1833" s="36" t="s">
        <v>1862</v>
      </c>
      <c r="N1833" s="1" t="s">
        <v>1744</v>
      </c>
      <c r="O1833" s="1" t="s">
        <v>1286</v>
      </c>
      <c r="P1833" s="34" t="str">
        <f t="shared" si="33"/>
        <v>F010</v>
      </c>
      <c r="Q1833" s="1" t="s">
        <v>127</v>
      </c>
      <c r="S1833" s="16">
        <v>20</v>
      </c>
      <c r="T1833" s="1" t="s">
        <v>4130</v>
      </c>
      <c r="U1833" s="1" t="s">
        <v>4146</v>
      </c>
      <c r="V1833" s="1" t="s">
        <v>1345</v>
      </c>
      <c r="Y1833" s="1">
        <v>9490</v>
      </c>
      <c r="AB1833" s="1">
        <v>9015.5</v>
      </c>
    </row>
    <row r="1834" spans="2:28" x14ac:dyDescent="0.2">
      <c r="B1834" s="30" t="s">
        <v>2294</v>
      </c>
      <c r="C1834" s="36"/>
      <c r="D1834" s="36"/>
      <c r="F1834" s="1" t="s">
        <v>4131</v>
      </c>
      <c r="G1834" s="30" t="s">
        <v>4144</v>
      </c>
      <c r="K1834" s="1" t="s">
        <v>4148</v>
      </c>
      <c r="L1834" s="1" t="s">
        <v>1279</v>
      </c>
      <c r="M1834" s="36" t="s">
        <v>1862</v>
      </c>
      <c r="N1834" s="1" t="s">
        <v>1754</v>
      </c>
      <c r="O1834" s="1" t="s">
        <v>1286</v>
      </c>
      <c r="P1834" s="34" t="str">
        <f t="shared" si="33"/>
        <v>F010</v>
      </c>
      <c r="Q1834" s="1" t="s">
        <v>127</v>
      </c>
      <c r="S1834" s="16">
        <v>20</v>
      </c>
      <c r="T1834" s="1" t="s">
        <v>4130</v>
      </c>
      <c r="U1834" s="1" t="s">
        <v>4146</v>
      </c>
      <c r="V1834" s="1" t="s">
        <v>1345</v>
      </c>
      <c r="Y1834" s="1">
        <v>9490</v>
      </c>
      <c r="AB1834" s="1">
        <v>9015.5</v>
      </c>
    </row>
    <row r="1835" spans="2:28" x14ac:dyDescent="0.2">
      <c r="B1835" s="30" t="s">
        <v>2294</v>
      </c>
      <c r="C1835" s="36"/>
      <c r="D1835" s="36"/>
      <c r="F1835" s="1" t="s">
        <v>4131</v>
      </c>
      <c r="G1835" s="30" t="s">
        <v>4144</v>
      </c>
      <c r="K1835" s="1" t="s">
        <v>4149</v>
      </c>
      <c r="L1835" s="1" t="s">
        <v>1279</v>
      </c>
      <c r="M1835" s="36" t="s">
        <v>1862</v>
      </c>
      <c r="N1835" s="1" t="s">
        <v>1287</v>
      </c>
      <c r="O1835" s="1" t="s">
        <v>1286</v>
      </c>
      <c r="P1835" s="34" t="str">
        <f t="shared" si="33"/>
        <v>F010</v>
      </c>
      <c r="Q1835" s="1" t="s">
        <v>127</v>
      </c>
      <c r="S1835" s="16">
        <v>20</v>
      </c>
      <c r="T1835" s="1" t="s">
        <v>4130</v>
      </c>
      <c r="U1835" s="1" t="s">
        <v>4146</v>
      </c>
      <c r="V1835" s="1" t="s">
        <v>1345</v>
      </c>
      <c r="Y1835" s="1">
        <v>9490</v>
      </c>
      <c r="AB1835" s="1">
        <v>9015.5</v>
      </c>
    </row>
    <row r="1836" spans="2:28" x14ac:dyDescent="0.2">
      <c r="B1836" s="30" t="s">
        <v>2294</v>
      </c>
      <c r="C1836" s="36"/>
      <c r="D1836" s="36"/>
      <c r="F1836" s="1" t="s">
        <v>4131</v>
      </c>
      <c r="G1836" s="30" t="s">
        <v>4144</v>
      </c>
      <c r="K1836" s="1" t="s">
        <v>4150</v>
      </c>
      <c r="L1836" s="1" t="s">
        <v>1279</v>
      </c>
      <c r="M1836" s="36" t="s">
        <v>1862</v>
      </c>
      <c r="N1836" s="1" t="s">
        <v>1754</v>
      </c>
      <c r="O1836" s="1" t="s">
        <v>1286</v>
      </c>
      <c r="P1836" s="34" t="str">
        <f t="shared" si="33"/>
        <v>F010</v>
      </c>
      <c r="Q1836" s="1" t="s">
        <v>127</v>
      </c>
      <c r="S1836" s="16">
        <v>20</v>
      </c>
      <c r="T1836" s="1" t="s">
        <v>4130</v>
      </c>
      <c r="U1836" s="1" t="s">
        <v>4146</v>
      </c>
      <c r="V1836" s="1" t="s">
        <v>1345</v>
      </c>
      <c r="Y1836" s="1">
        <v>9490</v>
      </c>
      <c r="AB1836" s="1">
        <v>9015.5</v>
      </c>
    </row>
    <row r="1837" spans="2:28" s="58" customFormat="1" x14ac:dyDescent="0.2">
      <c r="B1837" s="56" t="s">
        <v>2294</v>
      </c>
      <c r="C1837" s="57">
        <v>12120</v>
      </c>
      <c r="D1837" s="48">
        <f t="shared" ref="D1837:D1853" si="34">+C1837/100000</f>
        <v>0.1212</v>
      </c>
      <c r="E1837" s="58" t="s">
        <v>1331</v>
      </c>
      <c r="F1837" s="58" t="s">
        <v>4131</v>
      </c>
      <c r="G1837" s="56" t="s">
        <v>4151</v>
      </c>
      <c r="K1837" s="58" t="s">
        <v>4152</v>
      </c>
      <c r="L1837" s="58" t="s">
        <v>1279</v>
      </c>
      <c r="M1837" s="58" t="s">
        <v>1415</v>
      </c>
      <c r="N1837" s="58" t="s">
        <v>1708</v>
      </c>
      <c r="O1837" s="58" t="s">
        <v>1286</v>
      </c>
      <c r="P1837" s="58" t="str">
        <f t="shared" si="33"/>
        <v>F010</v>
      </c>
      <c r="Q1837" s="58" t="s">
        <v>127</v>
      </c>
      <c r="S1837" s="59">
        <v>20</v>
      </c>
      <c r="T1837" s="58" t="s">
        <v>4130</v>
      </c>
      <c r="U1837" s="58" t="s">
        <v>2023</v>
      </c>
      <c r="V1837" s="58" t="s">
        <v>1805</v>
      </c>
      <c r="Y1837" s="58">
        <v>34351.58</v>
      </c>
      <c r="AB1837" s="58">
        <v>32634.03</v>
      </c>
    </row>
    <row r="1838" spans="2:28" s="58" customFormat="1" x14ac:dyDescent="0.2">
      <c r="B1838" s="56" t="s">
        <v>2294</v>
      </c>
      <c r="C1838" s="57">
        <v>3030</v>
      </c>
      <c r="D1838" s="48">
        <f t="shared" si="34"/>
        <v>3.0300000000000001E-2</v>
      </c>
      <c r="E1838" s="58" t="s">
        <v>1357</v>
      </c>
      <c r="F1838" s="58" t="s">
        <v>4131</v>
      </c>
      <c r="G1838" s="56" t="s">
        <v>4151</v>
      </c>
      <c r="K1838" s="58" t="s">
        <v>4152</v>
      </c>
      <c r="L1838" s="58" t="s">
        <v>1279</v>
      </c>
      <c r="M1838" s="58" t="s">
        <v>1415</v>
      </c>
      <c r="N1838" s="58" t="s">
        <v>1637</v>
      </c>
      <c r="O1838" s="58" t="s">
        <v>1286</v>
      </c>
      <c r="P1838" s="58" t="str">
        <f t="shared" si="33"/>
        <v>F010</v>
      </c>
      <c r="Q1838" s="58" t="s">
        <v>127</v>
      </c>
      <c r="S1838" s="59">
        <v>20</v>
      </c>
      <c r="T1838" s="58" t="s">
        <v>4130</v>
      </c>
      <c r="U1838" s="58" t="s">
        <v>2023</v>
      </c>
      <c r="V1838" s="58" t="s">
        <v>1805</v>
      </c>
      <c r="Y1838" s="58">
        <v>8587.9</v>
      </c>
      <c r="AB1838" s="58">
        <v>8158.5</v>
      </c>
    </row>
    <row r="1839" spans="2:28" s="58" customFormat="1" x14ac:dyDescent="0.2">
      <c r="B1839" s="56" t="s">
        <v>2294</v>
      </c>
      <c r="C1839" s="57">
        <v>3030</v>
      </c>
      <c r="D1839" s="48">
        <f t="shared" si="34"/>
        <v>3.0300000000000001E-2</v>
      </c>
      <c r="E1839" s="58" t="s">
        <v>1358</v>
      </c>
      <c r="F1839" s="58" t="s">
        <v>4131</v>
      </c>
      <c r="G1839" s="56" t="s">
        <v>4151</v>
      </c>
      <c r="K1839" s="58" t="s">
        <v>4152</v>
      </c>
      <c r="L1839" s="58" t="s">
        <v>1279</v>
      </c>
      <c r="M1839" s="58" t="s">
        <v>1415</v>
      </c>
      <c r="N1839" s="58" t="s">
        <v>2271</v>
      </c>
      <c r="O1839" s="58" t="s">
        <v>1286</v>
      </c>
      <c r="P1839" s="58" t="str">
        <f t="shared" si="33"/>
        <v>F010</v>
      </c>
      <c r="Q1839" s="58" t="s">
        <v>127</v>
      </c>
      <c r="S1839" s="59">
        <v>20</v>
      </c>
      <c r="T1839" s="58" t="s">
        <v>4130</v>
      </c>
      <c r="U1839" s="58" t="s">
        <v>2023</v>
      </c>
      <c r="V1839" s="58" t="s">
        <v>1805</v>
      </c>
      <c r="Y1839" s="58">
        <v>8587.9</v>
      </c>
      <c r="AB1839" s="58">
        <v>8158.5</v>
      </c>
    </row>
    <row r="1840" spans="2:28" s="58" customFormat="1" x14ac:dyDescent="0.2">
      <c r="B1840" s="56" t="s">
        <v>2294</v>
      </c>
      <c r="C1840" s="57">
        <v>6060</v>
      </c>
      <c r="D1840" s="48">
        <f t="shared" si="34"/>
        <v>6.0600000000000001E-2</v>
      </c>
      <c r="E1840" s="58" t="s">
        <v>1361</v>
      </c>
      <c r="F1840" s="58" t="s">
        <v>4131</v>
      </c>
      <c r="G1840" s="56" t="s">
        <v>4151</v>
      </c>
      <c r="K1840" s="58" t="s">
        <v>4152</v>
      </c>
      <c r="L1840" s="58" t="s">
        <v>1279</v>
      </c>
      <c r="M1840" s="58" t="s">
        <v>1415</v>
      </c>
      <c r="N1840" s="58" t="s">
        <v>2495</v>
      </c>
      <c r="O1840" s="58" t="s">
        <v>1286</v>
      </c>
      <c r="P1840" s="58" t="str">
        <f t="shared" si="33"/>
        <v>F010</v>
      </c>
      <c r="Q1840" s="58" t="s">
        <v>127</v>
      </c>
      <c r="S1840" s="59">
        <v>20</v>
      </c>
      <c r="T1840" s="58" t="s">
        <v>4130</v>
      </c>
      <c r="U1840" s="58" t="s">
        <v>2023</v>
      </c>
      <c r="V1840" s="58" t="s">
        <v>1805</v>
      </c>
      <c r="Y1840" s="58">
        <v>17175.8</v>
      </c>
      <c r="AB1840" s="58">
        <v>16317.01</v>
      </c>
    </row>
    <row r="1841" spans="2:28" s="58" customFormat="1" x14ac:dyDescent="0.2">
      <c r="B1841" s="56" t="s">
        <v>2294</v>
      </c>
      <c r="C1841" s="57">
        <v>6060</v>
      </c>
      <c r="D1841" s="48">
        <f t="shared" si="34"/>
        <v>6.0600000000000001E-2</v>
      </c>
      <c r="E1841" s="58" t="s">
        <v>1362</v>
      </c>
      <c r="F1841" s="58" t="s">
        <v>4131</v>
      </c>
      <c r="G1841" s="56" t="s">
        <v>4151</v>
      </c>
      <c r="K1841" s="58" t="s">
        <v>4152</v>
      </c>
      <c r="L1841" s="58" t="s">
        <v>1279</v>
      </c>
      <c r="M1841" s="58" t="s">
        <v>1415</v>
      </c>
      <c r="N1841" s="58" t="s">
        <v>1715</v>
      </c>
      <c r="O1841" s="58" t="s">
        <v>1286</v>
      </c>
      <c r="P1841" s="58" t="str">
        <f t="shared" si="33"/>
        <v>F010</v>
      </c>
      <c r="Q1841" s="58" t="s">
        <v>127</v>
      </c>
      <c r="S1841" s="59">
        <v>20</v>
      </c>
      <c r="T1841" s="58" t="s">
        <v>4130</v>
      </c>
      <c r="U1841" s="58" t="s">
        <v>2023</v>
      </c>
      <c r="V1841" s="58" t="s">
        <v>1805</v>
      </c>
      <c r="Y1841" s="58">
        <v>17175.8</v>
      </c>
      <c r="AB1841" s="58">
        <v>16317.01</v>
      </c>
    </row>
    <row r="1842" spans="2:28" s="58" customFormat="1" x14ac:dyDescent="0.2">
      <c r="B1842" s="56" t="s">
        <v>2294</v>
      </c>
      <c r="C1842" s="57">
        <v>12130</v>
      </c>
      <c r="D1842" s="48">
        <f t="shared" si="34"/>
        <v>0.12130000000000001</v>
      </c>
      <c r="E1842" s="58" t="s">
        <v>1363</v>
      </c>
      <c r="F1842" s="58" t="s">
        <v>4131</v>
      </c>
      <c r="G1842" s="56" t="s">
        <v>4151</v>
      </c>
      <c r="K1842" s="58" t="s">
        <v>4152</v>
      </c>
      <c r="L1842" s="58" t="s">
        <v>1279</v>
      </c>
      <c r="M1842" s="58" t="s">
        <v>1415</v>
      </c>
      <c r="N1842" s="58" t="s">
        <v>2094</v>
      </c>
      <c r="O1842" s="58" t="s">
        <v>1286</v>
      </c>
      <c r="P1842" s="58" t="str">
        <f t="shared" si="33"/>
        <v>F010</v>
      </c>
      <c r="Q1842" s="58" t="s">
        <v>127</v>
      </c>
      <c r="S1842" s="59">
        <v>20</v>
      </c>
      <c r="T1842" s="58" t="s">
        <v>4130</v>
      </c>
      <c r="U1842" s="58" t="s">
        <v>2023</v>
      </c>
      <c r="V1842" s="58" t="s">
        <v>1805</v>
      </c>
      <c r="Y1842" s="58">
        <v>34379.94</v>
      </c>
      <c r="AB1842" s="58">
        <v>32660.94</v>
      </c>
    </row>
    <row r="1843" spans="2:28" s="58" customFormat="1" x14ac:dyDescent="0.2">
      <c r="B1843" s="56" t="s">
        <v>2294</v>
      </c>
      <c r="C1843" s="57">
        <v>3030</v>
      </c>
      <c r="D1843" s="48">
        <f t="shared" si="34"/>
        <v>3.0300000000000001E-2</v>
      </c>
      <c r="E1843" s="58" t="s">
        <v>1364</v>
      </c>
      <c r="F1843" s="58" t="s">
        <v>4131</v>
      </c>
      <c r="G1843" s="56" t="s">
        <v>4151</v>
      </c>
      <c r="K1843" s="58" t="s">
        <v>4152</v>
      </c>
      <c r="L1843" s="58" t="s">
        <v>1279</v>
      </c>
      <c r="M1843" s="58" t="s">
        <v>1415</v>
      </c>
      <c r="N1843" s="58" t="s">
        <v>1573</v>
      </c>
      <c r="O1843" s="58" t="s">
        <v>1286</v>
      </c>
      <c r="P1843" s="58" t="str">
        <f t="shared" si="33"/>
        <v>F010</v>
      </c>
      <c r="Q1843" s="58" t="s">
        <v>127</v>
      </c>
      <c r="S1843" s="59">
        <v>20</v>
      </c>
      <c r="T1843" s="58" t="s">
        <v>4130</v>
      </c>
      <c r="U1843" s="58" t="s">
        <v>2023</v>
      </c>
      <c r="V1843" s="58" t="s">
        <v>1805</v>
      </c>
      <c r="Y1843" s="58">
        <v>8587.9</v>
      </c>
      <c r="AB1843" s="58">
        <v>8158.5</v>
      </c>
    </row>
    <row r="1844" spans="2:28" s="58" customFormat="1" x14ac:dyDescent="0.2">
      <c r="B1844" s="56" t="s">
        <v>2294</v>
      </c>
      <c r="C1844" s="57">
        <v>6060</v>
      </c>
      <c r="D1844" s="48">
        <f t="shared" si="34"/>
        <v>6.0600000000000001E-2</v>
      </c>
      <c r="E1844" s="58" t="s">
        <v>1365</v>
      </c>
      <c r="F1844" s="58" t="s">
        <v>4131</v>
      </c>
      <c r="G1844" s="56" t="s">
        <v>4151</v>
      </c>
      <c r="K1844" s="58" t="s">
        <v>4152</v>
      </c>
      <c r="L1844" s="58" t="s">
        <v>1279</v>
      </c>
      <c r="M1844" s="58" t="s">
        <v>1415</v>
      </c>
      <c r="N1844" s="58" t="s">
        <v>3615</v>
      </c>
      <c r="O1844" s="58" t="s">
        <v>1286</v>
      </c>
      <c r="P1844" s="58" t="str">
        <f t="shared" si="33"/>
        <v>F010</v>
      </c>
      <c r="Q1844" s="58" t="s">
        <v>127</v>
      </c>
      <c r="S1844" s="59">
        <v>20</v>
      </c>
      <c r="T1844" s="58" t="s">
        <v>4130</v>
      </c>
      <c r="U1844" s="58" t="s">
        <v>2023</v>
      </c>
      <c r="V1844" s="58" t="s">
        <v>1805</v>
      </c>
      <c r="Y1844" s="58">
        <v>17175.8</v>
      </c>
      <c r="AB1844" s="58">
        <v>16317.01</v>
      </c>
    </row>
    <row r="1845" spans="2:28" s="58" customFormat="1" x14ac:dyDescent="0.2">
      <c r="B1845" s="56" t="s">
        <v>2294</v>
      </c>
      <c r="C1845" s="57">
        <v>3030</v>
      </c>
      <c r="D1845" s="48">
        <f t="shared" si="34"/>
        <v>3.0300000000000001E-2</v>
      </c>
      <c r="E1845" s="58" t="s">
        <v>1366</v>
      </c>
      <c r="F1845" s="58" t="s">
        <v>4131</v>
      </c>
      <c r="G1845" s="56" t="s">
        <v>4151</v>
      </c>
      <c r="K1845" s="58" t="s">
        <v>4152</v>
      </c>
      <c r="L1845" s="58" t="s">
        <v>1279</v>
      </c>
      <c r="M1845" s="58" t="s">
        <v>1415</v>
      </c>
      <c r="N1845" s="58" t="s">
        <v>1637</v>
      </c>
      <c r="O1845" s="58" t="s">
        <v>1286</v>
      </c>
      <c r="P1845" s="58" t="str">
        <f t="shared" si="33"/>
        <v>F010</v>
      </c>
      <c r="Q1845" s="58" t="s">
        <v>127</v>
      </c>
      <c r="S1845" s="59">
        <v>20</v>
      </c>
      <c r="T1845" s="58" t="s">
        <v>4130</v>
      </c>
      <c r="U1845" s="58" t="s">
        <v>2023</v>
      </c>
      <c r="V1845" s="58" t="s">
        <v>1805</v>
      </c>
      <c r="Y1845" s="58">
        <v>8587.9</v>
      </c>
      <c r="AB1845" s="58">
        <v>8158.5</v>
      </c>
    </row>
    <row r="1846" spans="2:28" s="58" customFormat="1" x14ac:dyDescent="0.2">
      <c r="B1846" s="56" t="s">
        <v>2294</v>
      </c>
      <c r="C1846" s="57">
        <v>3030</v>
      </c>
      <c r="D1846" s="48">
        <f t="shared" si="34"/>
        <v>3.0300000000000001E-2</v>
      </c>
      <c r="E1846" s="58" t="s">
        <v>1337</v>
      </c>
      <c r="F1846" s="58" t="s">
        <v>4131</v>
      </c>
      <c r="G1846" s="56" t="s">
        <v>4151</v>
      </c>
      <c r="K1846" s="58" t="s">
        <v>4152</v>
      </c>
      <c r="L1846" s="58" t="s">
        <v>1279</v>
      </c>
      <c r="M1846" s="58" t="s">
        <v>1415</v>
      </c>
      <c r="N1846" s="58" t="s">
        <v>1294</v>
      </c>
      <c r="O1846" s="58" t="s">
        <v>1286</v>
      </c>
      <c r="P1846" s="58" t="str">
        <f t="shared" si="33"/>
        <v>F010</v>
      </c>
      <c r="Q1846" s="58" t="s">
        <v>127</v>
      </c>
      <c r="S1846" s="59">
        <v>20</v>
      </c>
      <c r="T1846" s="58" t="s">
        <v>4130</v>
      </c>
      <c r="U1846" s="58" t="s">
        <v>2023</v>
      </c>
      <c r="V1846" s="58" t="s">
        <v>1805</v>
      </c>
      <c r="Y1846" s="58">
        <v>8587.9</v>
      </c>
      <c r="AB1846" s="58">
        <v>8158.5</v>
      </c>
    </row>
    <row r="1847" spans="2:28" s="58" customFormat="1" x14ac:dyDescent="0.2">
      <c r="B1847" s="56" t="s">
        <v>2294</v>
      </c>
      <c r="C1847" s="57">
        <v>3030</v>
      </c>
      <c r="D1847" s="48">
        <f t="shared" si="34"/>
        <v>3.0300000000000001E-2</v>
      </c>
      <c r="E1847" s="58" t="s">
        <v>1348</v>
      </c>
      <c r="F1847" s="58" t="s">
        <v>4131</v>
      </c>
      <c r="G1847" s="56" t="s">
        <v>4151</v>
      </c>
      <c r="K1847" s="58" t="s">
        <v>4152</v>
      </c>
      <c r="L1847" s="58" t="s">
        <v>1279</v>
      </c>
      <c r="M1847" s="58" t="s">
        <v>1415</v>
      </c>
      <c r="N1847" s="58" t="s">
        <v>1788</v>
      </c>
      <c r="O1847" s="58" t="s">
        <v>1286</v>
      </c>
      <c r="P1847" s="58" t="str">
        <f t="shared" si="33"/>
        <v>F010</v>
      </c>
      <c r="Q1847" s="58" t="s">
        <v>127</v>
      </c>
      <c r="S1847" s="59">
        <v>20</v>
      </c>
      <c r="T1847" s="58" t="s">
        <v>4130</v>
      </c>
      <c r="U1847" s="58" t="s">
        <v>2023</v>
      </c>
      <c r="V1847" s="58" t="s">
        <v>1805</v>
      </c>
      <c r="Y1847" s="58">
        <v>8587.9</v>
      </c>
      <c r="AB1847" s="58">
        <v>8158.5</v>
      </c>
    </row>
    <row r="1848" spans="2:28" s="58" customFormat="1" x14ac:dyDescent="0.2">
      <c r="B1848" s="56" t="s">
        <v>2294</v>
      </c>
      <c r="C1848" s="57">
        <v>3030</v>
      </c>
      <c r="D1848" s="48">
        <f t="shared" si="34"/>
        <v>3.0300000000000001E-2</v>
      </c>
      <c r="E1848" s="58" t="s">
        <v>1351</v>
      </c>
      <c r="F1848" s="58" t="s">
        <v>4131</v>
      </c>
      <c r="G1848" s="56" t="s">
        <v>4151</v>
      </c>
      <c r="K1848" s="58" t="s">
        <v>4152</v>
      </c>
      <c r="L1848" s="58" t="s">
        <v>1279</v>
      </c>
      <c r="M1848" s="58" t="s">
        <v>1415</v>
      </c>
      <c r="N1848" s="58" t="s">
        <v>1754</v>
      </c>
      <c r="O1848" s="58" t="s">
        <v>1286</v>
      </c>
      <c r="P1848" s="58" t="str">
        <f t="shared" si="33"/>
        <v>F010</v>
      </c>
      <c r="Q1848" s="58" t="s">
        <v>127</v>
      </c>
      <c r="S1848" s="59">
        <v>20</v>
      </c>
      <c r="T1848" s="58" t="s">
        <v>4130</v>
      </c>
      <c r="U1848" s="58" t="s">
        <v>2023</v>
      </c>
      <c r="V1848" s="58" t="s">
        <v>1805</v>
      </c>
      <c r="Y1848" s="58">
        <v>8587.9</v>
      </c>
      <c r="AB1848" s="58">
        <v>8158.5</v>
      </c>
    </row>
    <row r="1849" spans="2:28" s="58" customFormat="1" x14ac:dyDescent="0.2">
      <c r="B1849" s="56" t="s">
        <v>2294</v>
      </c>
      <c r="C1849" s="57">
        <v>3030</v>
      </c>
      <c r="D1849" s="48">
        <f t="shared" si="34"/>
        <v>3.0300000000000001E-2</v>
      </c>
      <c r="E1849" s="58" t="s">
        <v>1352</v>
      </c>
      <c r="F1849" s="58" t="s">
        <v>4131</v>
      </c>
      <c r="G1849" s="56" t="s">
        <v>4151</v>
      </c>
      <c r="K1849" s="58" t="s">
        <v>4152</v>
      </c>
      <c r="L1849" s="58" t="s">
        <v>1279</v>
      </c>
      <c r="M1849" s="58" t="s">
        <v>1415</v>
      </c>
      <c r="N1849" s="58" t="s">
        <v>2601</v>
      </c>
      <c r="O1849" s="58" t="s">
        <v>1286</v>
      </c>
      <c r="P1849" s="58" t="str">
        <f t="shared" si="33"/>
        <v>F010</v>
      </c>
      <c r="Q1849" s="58" t="s">
        <v>127</v>
      </c>
      <c r="S1849" s="59">
        <v>20</v>
      </c>
      <c r="T1849" s="58" t="s">
        <v>4130</v>
      </c>
      <c r="U1849" s="58" t="s">
        <v>2023</v>
      </c>
      <c r="V1849" s="58" t="s">
        <v>1805</v>
      </c>
      <c r="Y1849" s="58">
        <v>8587.9</v>
      </c>
      <c r="AB1849" s="58">
        <v>8158.5</v>
      </c>
    </row>
    <row r="1850" spans="2:28" s="58" customFormat="1" x14ac:dyDescent="0.2">
      <c r="B1850" s="56" t="s">
        <v>2294</v>
      </c>
      <c r="C1850" s="57">
        <v>12120</v>
      </c>
      <c r="D1850" s="48">
        <f t="shared" si="34"/>
        <v>0.1212</v>
      </c>
      <c r="E1850" s="58" t="s">
        <v>1353</v>
      </c>
      <c r="F1850" s="58" t="s">
        <v>4131</v>
      </c>
      <c r="G1850" s="56" t="s">
        <v>4151</v>
      </c>
      <c r="K1850" s="58" t="s">
        <v>4152</v>
      </c>
      <c r="L1850" s="58" t="s">
        <v>1279</v>
      </c>
      <c r="M1850" s="58" t="s">
        <v>1415</v>
      </c>
      <c r="N1850" s="58" t="s">
        <v>1287</v>
      </c>
      <c r="O1850" s="58" t="s">
        <v>1286</v>
      </c>
      <c r="P1850" s="58" t="str">
        <f t="shared" si="33"/>
        <v>F010</v>
      </c>
      <c r="Q1850" s="58" t="s">
        <v>127</v>
      </c>
      <c r="S1850" s="59">
        <v>20</v>
      </c>
      <c r="T1850" s="58" t="s">
        <v>4130</v>
      </c>
      <c r="U1850" s="58" t="s">
        <v>2023</v>
      </c>
      <c r="V1850" s="58" t="s">
        <v>1805</v>
      </c>
      <c r="Y1850" s="58">
        <v>34351.589999999997</v>
      </c>
      <c r="AB1850" s="58">
        <v>32634.02</v>
      </c>
    </row>
    <row r="1851" spans="2:28" s="58" customFormat="1" x14ac:dyDescent="0.2">
      <c r="B1851" s="56" t="s">
        <v>2294</v>
      </c>
      <c r="C1851" s="57">
        <v>6060</v>
      </c>
      <c r="D1851" s="48">
        <f t="shared" si="34"/>
        <v>6.0600000000000001E-2</v>
      </c>
      <c r="E1851" s="58" t="s">
        <v>1367</v>
      </c>
      <c r="F1851" s="58" t="s">
        <v>4131</v>
      </c>
      <c r="G1851" s="56" t="s">
        <v>4151</v>
      </c>
      <c r="K1851" s="58" t="s">
        <v>4152</v>
      </c>
      <c r="L1851" s="58" t="s">
        <v>1279</v>
      </c>
      <c r="M1851" s="58" t="s">
        <v>1415</v>
      </c>
      <c r="N1851" s="58" t="s">
        <v>1287</v>
      </c>
      <c r="O1851" s="58" t="s">
        <v>1286</v>
      </c>
      <c r="P1851" s="58" t="str">
        <f t="shared" si="33"/>
        <v>F010</v>
      </c>
      <c r="Q1851" s="58" t="s">
        <v>127</v>
      </c>
      <c r="S1851" s="59">
        <v>20</v>
      </c>
      <c r="T1851" s="58" t="s">
        <v>4153</v>
      </c>
      <c r="U1851" s="58" t="s">
        <v>2023</v>
      </c>
      <c r="V1851" s="58" t="s">
        <v>1805</v>
      </c>
      <c r="Y1851" s="58">
        <v>17175.8</v>
      </c>
      <c r="AB1851" s="58">
        <v>16317.01</v>
      </c>
    </row>
    <row r="1852" spans="2:28" s="58" customFormat="1" x14ac:dyDescent="0.2">
      <c r="B1852" s="56" t="s">
        <v>2294</v>
      </c>
      <c r="C1852" s="57">
        <v>12120</v>
      </c>
      <c r="D1852" s="48">
        <f t="shared" si="34"/>
        <v>0.1212</v>
      </c>
      <c r="E1852" s="58" t="s">
        <v>1368</v>
      </c>
      <c r="F1852" s="58" t="s">
        <v>4154</v>
      </c>
      <c r="G1852" s="56" t="s">
        <v>4151</v>
      </c>
      <c r="K1852" s="58" t="s">
        <v>4152</v>
      </c>
      <c r="L1852" s="58" t="s">
        <v>1279</v>
      </c>
      <c r="M1852" s="58" t="s">
        <v>1415</v>
      </c>
      <c r="N1852" s="58" t="s">
        <v>1564</v>
      </c>
      <c r="O1852" s="58" t="s">
        <v>1286</v>
      </c>
      <c r="P1852" s="58" t="str">
        <f t="shared" si="33"/>
        <v>F010</v>
      </c>
      <c r="Q1852" s="58" t="s">
        <v>127</v>
      </c>
      <c r="S1852" s="59">
        <v>20</v>
      </c>
      <c r="T1852" s="58" t="s">
        <v>4153</v>
      </c>
      <c r="U1852" s="58" t="s">
        <v>2023</v>
      </c>
      <c r="V1852" s="58" t="s">
        <v>1805</v>
      </c>
      <c r="Y1852" s="58">
        <v>34351.589999999997</v>
      </c>
      <c r="AB1852" s="58">
        <v>32634.02</v>
      </c>
    </row>
    <row r="1853" spans="2:28" s="58" customFormat="1" x14ac:dyDescent="0.2">
      <c r="B1853" s="56" t="s">
        <v>2294</v>
      </c>
      <c r="C1853" s="57">
        <v>3030</v>
      </c>
      <c r="D1853" s="48">
        <f t="shared" si="34"/>
        <v>3.0300000000000001E-2</v>
      </c>
      <c r="E1853" s="58" t="s">
        <v>1369</v>
      </c>
      <c r="F1853" s="58" t="s">
        <v>4154</v>
      </c>
      <c r="G1853" s="56" t="s">
        <v>4151</v>
      </c>
      <c r="K1853" s="58" t="s">
        <v>4152</v>
      </c>
      <c r="L1853" s="58" t="s">
        <v>1279</v>
      </c>
      <c r="M1853" s="58" t="s">
        <v>1415</v>
      </c>
      <c r="N1853" s="58" t="s">
        <v>1556</v>
      </c>
      <c r="O1853" s="58" t="s">
        <v>1286</v>
      </c>
      <c r="P1853" s="58" t="str">
        <f t="shared" si="33"/>
        <v>F010</v>
      </c>
      <c r="Q1853" s="58" t="s">
        <v>127</v>
      </c>
      <c r="S1853" s="59">
        <v>20</v>
      </c>
      <c r="T1853" s="58" t="s">
        <v>4153</v>
      </c>
      <c r="U1853" s="58" t="s">
        <v>2023</v>
      </c>
      <c r="V1853" s="58" t="s">
        <v>1805</v>
      </c>
      <c r="Y1853" s="58">
        <v>8587.9</v>
      </c>
      <c r="AB1853" s="58">
        <v>8158.5</v>
      </c>
    </row>
    <row r="1854" spans="2:28" x14ac:dyDescent="0.2">
      <c r="B1854" s="30" t="s">
        <v>2294</v>
      </c>
      <c r="C1854" s="36"/>
      <c r="D1854" s="36"/>
      <c r="F1854" s="1" t="s">
        <v>4154</v>
      </c>
      <c r="G1854" s="30" t="s">
        <v>4155</v>
      </c>
      <c r="K1854" s="1" t="s">
        <v>4156</v>
      </c>
      <c r="L1854" s="1" t="s">
        <v>1279</v>
      </c>
      <c r="M1854" s="36" t="s">
        <v>1444</v>
      </c>
      <c r="N1854" s="1" t="s">
        <v>1284</v>
      </c>
      <c r="O1854" s="1" t="s">
        <v>1286</v>
      </c>
      <c r="P1854" s="34" t="str">
        <f t="shared" si="33"/>
        <v>F010</v>
      </c>
      <c r="Q1854" s="1" t="s">
        <v>127</v>
      </c>
      <c r="S1854" s="16">
        <v>20</v>
      </c>
      <c r="T1854" s="1" t="s">
        <v>4153</v>
      </c>
      <c r="U1854" s="1" t="s">
        <v>1467</v>
      </c>
      <c r="V1854" s="1" t="s">
        <v>1468</v>
      </c>
      <c r="Y1854" s="1">
        <v>8162</v>
      </c>
      <c r="AB1854" s="1">
        <v>7753.9</v>
      </c>
    </row>
    <row r="1855" spans="2:28" x14ac:dyDescent="0.2">
      <c r="B1855" s="30" t="s">
        <v>2294</v>
      </c>
      <c r="C1855" s="36"/>
      <c r="D1855" s="36"/>
      <c r="F1855" s="1" t="s">
        <v>4154</v>
      </c>
      <c r="G1855" s="30" t="s">
        <v>4155</v>
      </c>
      <c r="K1855" s="1" t="s">
        <v>4157</v>
      </c>
      <c r="L1855" s="1" t="s">
        <v>1279</v>
      </c>
      <c r="M1855" s="36" t="s">
        <v>1329</v>
      </c>
      <c r="N1855" s="1" t="s">
        <v>2497</v>
      </c>
      <c r="O1855" s="1" t="s">
        <v>1286</v>
      </c>
      <c r="P1855" s="34" t="str">
        <f t="shared" si="33"/>
        <v>F010</v>
      </c>
      <c r="Q1855" s="1" t="s">
        <v>127</v>
      </c>
      <c r="S1855" s="16">
        <v>20</v>
      </c>
      <c r="T1855" s="1" t="s">
        <v>4153</v>
      </c>
      <c r="U1855" s="1" t="s">
        <v>2528</v>
      </c>
      <c r="V1855" s="1" t="s">
        <v>2014</v>
      </c>
      <c r="Y1855" s="1">
        <v>8162</v>
      </c>
      <c r="AB1855" s="1">
        <v>7753.9</v>
      </c>
    </row>
    <row r="1856" spans="2:28" x14ac:dyDescent="0.2">
      <c r="B1856" s="30" t="s">
        <v>2294</v>
      </c>
      <c r="C1856" s="36"/>
      <c r="D1856" s="36"/>
      <c r="F1856" s="36" t="s">
        <v>4158</v>
      </c>
      <c r="G1856" s="30" t="s">
        <v>4155</v>
      </c>
      <c r="K1856" s="1" t="s">
        <v>4159</v>
      </c>
      <c r="L1856" s="1" t="s">
        <v>1279</v>
      </c>
      <c r="M1856" s="60" t="s">
        <v>4160</v>
      </c>
      <c r="N1856" s="1" t="s">
        <v>1287</v>
      </c>
      <c r="O1856" s="1" t="s">
        <v>1286</v>
      </c>
      <c r="P1856" s="34" t="str">
        <f t="shared" si="33"/>
        <v>F010</v>
      </c>
      <c r="Q1856" s="1" t="s">
        <v>127</v>
      </c>
      <c r="S1856" s="16">
        <v>20</v>
      </c>
      <c r="T1856" s="1" t="s">
        <v>4153</v>
      </c>
      <c r="U1856" s="61" t="s">
        <v>4161</v>
      </c>
      <c r="V1856" s="61" t="s">
        <v>4162</v>
      </c>
      <c r="Y1856" s="1">
        <v>16324</v>
      </c>
      <c r="AB1856" s="1">
        <v>15507.8</v>
      </c>
    </row>
    <row r="1857" spans="2:28" x14ac:dyDescent="0.2">
      <c r="B1857" s="30" t="s">
        <v>2294</v>
      </c>
      <c r="C1857" s="36"/>
      <c r="D1857" s="36"/>
      <c r="F1857" s="1" t="s">
        <v>4154</v>
      </c>
      <c r="G1857" s="30" t="s">
        <v>4163</v>
      </c>
      <c r="K1857" s="1" t="s">
        <v>4164</v>
      </c>
      <c r="L1857" s="1" t="s">
        <v>1279</v>
      </c>
      <c r="M1857" s="36" t="s">
        <v>2081</v>
      </c>
      <c r="N1857" s="1" t="s">
        <v>1556</v>
      </c>
      <c r="O1857" s="1" t="s">
        <v>1286</v>
      </c>
      <c r="P1857" s="34" t="str">
        <f t="shared" si="33"/>
        <v>F010</v>
      </c>
      <c r="Q1857" s="1" t="s">
        <v>127</v>
      </c>
      <c r="S1857" s="16">
        <v>20</v>
      </c>
      <c r="T1857" s="1" t="s">
        <v>4153</v>
      </c>
      <c r="U1857" s="1" t="s">
        <v>2343</v>
      </c>
      <c r="V1857" s="1" t="s">
        <v>2502</v>
      </c>
      <c r="Y1857" s="1">
        <v>9495</v>
      </c>
      <c r="AB1857" s="1">
        <v>9020.25</v>
      </c>
    </row>
    <row r="1858" spans="2:28" x14ac:dyDescent="0.2">
      <c r="B1858" s="30" t="s">
        <v>2294</v>
      </c>
      <c r="C1858" s="36"/>
      <c r="D1858" s="36"/>
      <c r="F1858" s="1" t="s">
        <v>4154</v>
      </c>
      <c r="G1858" s="30" t="s">
        <v>4163</v>
      </c>
      <c r="K1858" s="1" t="s">
        <v>4165</v>
      </c>
      <c r="L1858" s="1" t="s">
        <v>1279</v>
      </c>
      <c r="M1858" s="36" t="s">
        <v>3405</v>
      </c>
      <c r="N1858" s="1" t="s">
        <v>4166</v>
      </c>
      <c r="O1858" s="1" t="s">
        <v>1286</v>
      </c>
      <c r="P1858" s="34" t="str">
        <f t="shared" si="33"/>
        <v>F010</v>
      </c>
      <c r="Q1858" s="1" t="s">
        <v>127</v>
      </c>
      <c r="S1858" s="16">
        <v>20</v>
      </c>
      <c r="T1858" s="1" t="s">
        <v>4153</v>
      </c>
      <c r="U1858" s="1" t="s">
        <v>1451</v>
      </c>
      <c r="V1858" s="1" t="s">
        <v>1613</v>
      </c>
      <c r="Y1858" s="1">
        <v>8925</v>
      </c>
      <c r="AB1858" s="1">
        <v>8478.75</v>
      </c>
    </row>
    <row r="1859" spans="2:28" x14ac:dyDescent="0.2">
      <c r="B1859" s="30" t="s">
        <v>2294</v>
      </c>
      <c r="C1859" s="36"/>
      <c r="D1859" s="36"/>
      <c r="F1859" s="1" t="s">
        <v>4154</v>
      </c>
      <c r="G1859" s="30" t="s">
        <v>4163</v>
      </c>
      <c r="K1859" s="1" t="s">
        <v>4167</v>
      </c>
      <c r="L1859" s="1" t="s">
        <v>1279</v>
      </c>
      <c r="M1859" s="36" t="s">
        <v>3405</v>
      </c>
      <c r="N1859" s="1" t="s">
        <v>1833</v>
      </c>
      <c r="O1859" s="1" t="s">
        <v>1286</v>
      </c>
      <c r="P1859" s="34" t="str">
        <f t="shared" si="33"/>
        <v>F010</v>
      </c>
      <c r="Q1859" s="1" t="s">
        <v>127</v>
      </c>
      <c r="S1859" s="16">
        <v>20</v>
      </c>
      <c r="T1859" s="1" t="s">
        <v>4153</v>
      </c>
      <c r="U1859" s="1" t="s">
        <v>1451</v>
      </c>
      <c r="V1859" s="1" t="s">
        <v>1613</v>
      </c>
      <c r="Y1859" s="1">
        <v>8650</v>
      </c>
      <c r="AB1859" s="1">
        <v>8217.5</v>
      </c>
    </row>
    <row r="1860" spans="2:28" x14ac:dyDescent="0.2">
      <c r="B1860" s="30" t="s">
        <v>2294</v>
      </c>
      <c r="C1860" s="36"/>
      <c r="D1860" s="36"/>
      <c r="F1860" s="1" t="s">
        <v>4154</v>
      </c>
      <c r="G1860" s="30" t="s">
        <v>4168</v>
      </c>
      <c r="K1860" s="1" t="s">
        <v>4169</v>
      </c>
      <c r="L1860" s="1" t="s">
        <v>1279</v>
      </c>
      <c r="M1860" s="36" t="s">
        <v>1430</v>
      </c>
      <c r="N1860" s="1" t="s">
        <v>1754</v>
      </c>
      <c r="O1860" s="1" t="s">
        <v>1286</v>
      </c>
      <c r="P1860" s="34" t="str">
        <f t="shared" si="33"/>
        <v>F010</v>
      </c>
      <c r="Q1860" s="1" t="s">
        <v>127</v>
      </c>
      <c r="S1860" s="16">
        <v>20</v>
      </c>
      <c r="T1860" s="1" t="s">
        <v>4153</v>
      </c>
      <c r="U1860" s="1" t="s">
        <v>1654</v>
      </c>
      <c r="V1860" s="1" t="s">
        <v>1701</v>
      </c>
      <c r="Y1860" s="1">
        <v>5931.62</v>
      </c>
      <c r="AB1860" s="1">
        <v>1241.04</v>
      </c>
    </row>
    <row r="1861" spans="2:28" x14ac:dyDescent="0.2">
      <c r="B1861" s="30" t="s">
        <v>2294</v>
      </c>
      <c r="C1861" s="36"/>
      <c r="D1861" s="36"/>
      <c r="F1861" s="1" t="s">
        <v>4154</v>
      </c>
      <c r="G1861" s="30" t="s">
        <v>4168</v>
      </c>
      <c r="K1861" s="1" t="s">
        <v>4170</v>
      </c>
      <c r="L1861" s="1" t="s">
        <v>1279</v>
      </c>
      <c r="M1861" s="36" t="s">
        <v>1430</v>
      </c>
      <c r="N1861" s="1" t="s">
        <v>3769</v>
      </c>
      <c r="O1861" s="1" t="s">
        <v>1286</v>
      </c>
      <c r="P1861" s="34" t="str">
        <f t="shared" si="33"/>
        <v>F010</v>
      </c>
      <c r="Q1861" s="1" t="s">
        <v>138</v>
      </c>
      <c r="S1861" s="16">
        <v>20</v>
      </c>
      <c r="T1861" s="1" t="s">
        <v>4153</v>
      </c>
      <c r="U1861" s="1" t="s">
        <v>1654</v>
      </c>
      <c r="V1861" s="1" t="s">
        <v>1701</v>
      </c>
      <c r="Y1861" s="1">
        <v>5931.63</v>
      </c>
      <c r="AB1861" s="1">
        <v>1241.04</v>
      </c>
    </row>
    <row r="1862" spans="2:28" x14ac:dyDescent="0.2">
      <c r="B1862" s="30" t="s">
        <v>2294</v>
      </c>
      <c r="C1862" s="36"/>
      <c r="D1862" s="36"/>
      <c r="F1862" s="1" t="s">
        <v>4154</v>
      </c>
      <c r="G1862" s="30" t="s">
        <v>4168</v>
      </c>
      <c r="K1862" s="1" t="s">
        <v>4171</v>
      </c>
      <c r="L1862" s="1" t="s">
        <v>1279</v>
      </c>
      <c r="M1862" s="36" t="s">
        <v>1430</v>
      </c>
      <c r="N1862" s="1" t="s">
        <v>1637</v>
      </c>
      <c r="O1862" s="1" t="s">
        <v>1286</v>
      </c>
      <c r="P1862" s="34" t="str">
        <f t="shared" si="33"/>
        <v>F010</v>
      </c>
      <c r="Q1862" s="1" t="s">
        <v>127</v>
      </c>
      <c r="S1862" s="16">
        <v>20</v>
      </c>
      <c r="T1862" s="1" t="s">
        <v>4153</v>
      </c>
      <c r="U1862" s="1" t="s">
        <v>1654</v>
      </c>
      <c r="V1862" s="1" t="s">
        <v>1701</v>
      </c>
      <c r="Y1862" s="1">
        <v>5931.63</v>
      </c>
      <c r="AB1862" s="1">
        <v>1241.04</v>
      </c>
    </row>
    <row r="1863" spans="2:28" x14ac:dyDescent="0.2">
      <c r="B1863" s="30" t="s">
        <v>2294</v>
      </c>
      <c r="C1863" s="36"/>
      <c r="D1863" s="36"/>
      <c r="F1863" s="1" t="s">
        <v>4154</v>
      </c>
      <c r="G1863" s="30" t="s">
        <v>4168</v>
      </c>
      <c r="K1863" s="1" t="s">
        <v>4172</v>
      </c>
      <c r="L1863" s="1" t="s">
        <v>1279</v>
      </c>
      <c r="M1863" s="36" t="s">
        <v>1430</v>
      </c>
      <c r="N1863" s="1" t="s">
        <v>3769</v>
      </c>
      <c r="O1863" s="1" t="s">
        <v>1286</v>
      </c>
      <c r="P1863" s="34" t="str">
        <f t="shared" si="33"/>
        <v>F010</v>
      </c>
      <c r="Q1863" s="1" t="s">
        <v>138</v>
      </c>
      <c r="S1863" s="16">
        <v>20</v>
      </c>
      <c r="T1863" s="1" t="s">
        <v>4153</v>
      </c>
      <c r="U1863" s="1" t="s">
        <v>1654</v>
      </c>
      <c r="V1863" s="1" t="s">
        <v>1701</v>
      </c>
      <c r="Y1863" s="1">
        <v>5931.62</v>
      </c>
      <c r="AB1863" s="1">
        <v>1241.04</v>
      </c>
    </row>
    <row r="1864" spans="2:28" x14ac:dyDescent="0.2">
      <c r="B1864" s="30" t="s">
        <v>2294</v>
      </c>
      <c r="C1864" s="36"/>
      <c r="D1864" s="36"/>
      <c r="F1864" s="1" t="s">
        <v>4154</v>
      </c>
      <c r="G1864" s="30" t="s">
        <v>4168</v>
      </c>
      <c r="K1864" s="1" t="s">
        <v>4173</v>
      </c>
      <c r="L1864" s="1" t="s">
        <v>1279</v>
      </c>
      <c r="M1864" s="36" t="s">
        <v>1430</v>
      </c>
      <c r="N1864" s="1" t="s">
        <v>1564</v>
      </c>
      <c r="O1864" s="1" t="s">
        <v>1286</v>
      </c>
      <c r="P1864" s="34" t="str">
        <f t="shared" si="33"/>
        <v>F010</v>
      </c>
      <c r="Q1864" s="1" t="s">
        <v>127</v>
      </c>
      <c r="S1864" s="16">
        <v>20</v>
      </c>
      <c r="T1864" s="1" t="s">
        <v>4153</v>
      </c>
      <c r="U1864" s="1" t="s">
        <v>1654</v>
      </c>
      <c r="V1864" s="1" t="s">
        <v>1701</v>
      </c>
      <c r="Y1864" s="1">
        <v>5931.62</v>
      </c>
      <c r="AB1864" s="1">
        <v>1241.04</v>
      </c>
    </row>
    <row r="1865" spans="2:28" x14ac:dyDescent="0.2">
      <c r="B1865" s="30" t="s">
        <v>2294</v>
      </c>
      <c r="C1865" s="36"/>
      <c r="D1865" s="36"/>
      <c r="F1865" s="1" t="s">
        <v>4154</v>
      </c>
      <c r="G1865" s="30" t="s">
        <v>4168</v>
      </c>
      <c r="K1865" s="1" t="s">
        <v>4174</v>
      </c>
      <c r="L1865" s="1" t="s">
        <v>1279</v>
      </c>
      <c r="M1865" s="36" t="s">
        <v>1430</v>
      </c>
      <c r="N1865" s="1" t="s">
        <v>1637</v>
      </c>
      <c r="O1865" s="1" t="s">
        <v>1286</v>
      </c>
      <c r="P1865" s="34" t="str">
        <f t="shared" si="33"/>
        <v>F010</v>
      </c>
      <c r="Q1865" s="1" t="s">
        <v>127</v>
      </c>
      <c r="S1865" s="16">
        <v>20</v>
      </c>
      <c r="T1865" s="1" t="s">
        <v>4153</v>
      </c>
      <c r="U1865" s="1" t="s">
        <v>1654</v>
      </c>
      <c r="V1865" s="1" t="s">
        <v>1701</v>
      </c>
      <c r="Y1865" s="1">
        <v>5931.62</v>
      </c>
      <c r="AB1865" s="1">
        <v>1241.04</v>
      </c>
    </row>
    <row r="1866" spans="2:28" x14ac:dyDescent="0.2">
      <c r="B1866" s="30" t="s">
        <v>2294</v>
      </c>
      <c r="C1866" s="36"/>
      <c r="D1866" s="36"/>
      <c r="F1866" s="1" t="s">
        <v>4154</v>
      </c>
      <c r="G1866" s="30" t="s">
        <v>4175</v>
      </c>
      <c r="K1866" s="1" t="s">
        <v>4176</v>
      </c>
      <c r="L1866" s="1" t="s">
        <v>1279</v>
      </c>
      <c r="M1866" s="36" t="s">
        <v>1480</v>
      </c>
      <c r="N1866" s="1" t="s">
        <v>1284</v>
      </c>
      <c r="O1866" s="1" t="s">
        <v>1286</v>
      </c>
      <c r="P1866" s="34" t="str">
        <f t="shared" si="33"/>
        <v>F010</v>
      </c>
      <c r="Q1866" s="1" t="s">
        <v>127</v>
      </c>
      <c r="S1866" s="16">
        <v>20</v>
      </c>
      <c r="T1866" s="1" t="s">
        <v>4153</v>
      </c>
      <c r="U1866" s="1" t="s">
        <v>1503</v>
      </c>
      <c r="V1866" s="1" t="s">
        <v>2095</v>
      </c>
      <c r="Y1866" s="1">
        <v>5854.7</v>
      </c>
      <c r="AB1866" s="1">
        <v>2317.5</v>
      </c>
    </row>
    <row r="1867" spans="2:28" x14ac:dyDescent="0.2">
      <c r="B1867" s="30" t="s">
        <v>2294</v>
      </c>
      <c r="C1867" s="36"/>
      <c r="D1867" s="36"/>
      <c r="F1867" s="1" t="s">
        <v>4154</v>
      </c>
      <c r="G1867" s="30" t="s">
        <v>4175</v>
      </c>
      <c r="K1867" s="1" t="s">
        <v>4177</v>
      </c>
      <c r="L1867" s="1" t="s">
        <v>1279</v>
      </c>
      <c r="M1867" s="36" t="s">
        <v>1480</v>
      </c>
      <c r="N1867" s="1" t="s">
        <v>1287</v>
      </c>
      <c r="O1867" s="1" t="s">
        <v>1286</v>
      </c>
      <c r="P1867" s="34" t="str">
        <f t="shared" si="33"/>
        <v>F010</v>
      </c>
      <c r="Q1867" s="1" t="s">
        <v>138</v>
      </c>
      <c r="S1867" s="16">
        <v>20</v>
      </c>
      <c r="T1867" s="1" t="s">
        <v>4153</v>
      </c>
      <c r="U1867" s="1" t="s">
        <v>1503</v>
      </c>
      <c r="V1867" s="1" t="s">
        <v>2095</v>
      </c>
      <c r="Y1867" s="1">
        <v>5854.7</v>
      </c>
      <c r="AB1867" s="1">
        <v>2317.5</v>
      </c>
    </row>
    <row r="1868" spans="2:28" x14ac:dyDescent="0.2">
      <c r="B1868" s="30" t="s">
        <v>2294</v>
      </c>
      <c r="C1868" s="36"/>
      <c r="D1868" s="36"/>
      <c r="F1868" s="1" t="s">
        <v>4154</v>
      </c>
      <c r="G1868" s="30" t="s">
        <v>4175</v>
      </c>
      <c r="K1868" s="1" t="s">
        <v>4178</v>
      </c>
      <c r="L1868" s="1" t="s">
        <v>1279</v>
      </c>
      <c r="M1868" s="36" t="s">
        <v>1480</v>
      </c>
      <c r="N1868" s="1" t="s">
        <v>1573</v>
      </c>
      <c r="O1868" s="1" t="s">
        <v>1286</v>
      </c>
      <c r="P1868" s="34" t="str">
        <f t="shared" si="33"/>
        <v>F010</v>
      </c>
      <c r="Q1868" s="1" t="s">
        <v>127</v>
      </c>
      <c r="S1868" s="16">
        <v>20</v>
      </c>
      <c r="T1868" s="1" t="s">
        <v>4153</v>
      </c>
      <c r="U1868" s="1" t="s">
        <v>1503</v>
      </c>
      <c r="V1868" s="1" t="s">
        <v>2095</v>
      </c>
      <c r="Y1868" s="1">
        <v>5854.7</v>
      </c>
      <c r="AB1868" s="1">
        <v>2317.5</v>
      </c>
    </row>
    <row r="1869" spans="2:28" x14ac:dyDescent="0.2">
      <c r="B1869" s="30" t="s">
        <v>2294</v>
      </c>
      <c r="C1869" s="36"/>
      <c r="D1869" s="36"/>
      <c r="F1869" s="1" t="s">
        <v>4154</v>
      </c>
      <c r="G1869" s="30" t="s">
        <v>4175</v>
      </c>
      <c r="K1869" s="1" t="s">
        <v>4179</v>
      </c>
      <c r="L1869" s="1" t="s">
        <v>1279</v>
      </c>
      <c r="M1869" s="36" t="s">
        <v>1480</v>
      </c>
      <c r="N1869" s="1" t="s">
        <v>1614</v>
      </c>
      <c r="O1869" s="1" t="s">
        <v>1286</v>
      </c>
      <c r="P1869" s="34" t="str">
        <f t="shared" si="33"/>
        <v>F010</v>
      </c>
      <c r="Q1869" s="1" t="s">
        <v>127</v>
      </c>
      <c r="S1869" s="16">
        <v>20</v>
      </c>
      <c r="T1869" s="1" t="s">
        <v>4153</v>
      </c>
      <c r="U1869" s="1" t="s">
        <v>1503</v>
      </c>
      <c r="V1869" s="1" t="s">
        <v>2095</v>
      </c>
      <c r="Y1869" s="1">
        <v>5854.7</v>
      </c>
      <c r="AB1869" s="1">
        <v>2317.5</v>
      </c>
    </row>
    <row r="1870" spans="2:28" x14ac:dyDescent="0.2">
      <c r="B1870" s="30" t="s">
        <v>2294</v>
      </c>
      <c r="C1870" s="36"/>
      <c r="D1870" s="36"/>
      <c r="F1870" s="1" t="s">
        <v>4154</v>
      </c>
      <c r="G1870" s="30" t="s">
        <v>4175</v>
      </c>
      <c r="K1870" s="1" t="s">
        <v>4180</v>
      </c>
      <c r="L1870" s="1" t="s">
        <v>1279</v>
      </c>
      <c r="M1870" s="36" t="s">
        <v>1480</v>
      </c>
      <c r="N1870" s="1" t="s">
        <v>1833</v>
      </c>
      <c r="O1870" s="1" t="s">
        <v>1286</v>
      </c>
      <c r="P1870" s="34" t="str">
        <f t="shared" si="33"/>
        <v>F010</v>
      </c>
      <c r="Q1870" s="1" t="s">
        <v>127</v>
      </c>
      <c r="S1870" s="16">
        <v>20</v>
      </c>
      <c r="T1870" s="1" t="s">
        <v>4153</v>
      </c>
      <c r="U1870" s="1" t="s">
        <v>1503</v>
      </c>
      <c r="V1870" s="1" t="s">
        <v>2095</v>
      </c>
      <c r="Y1870" s="1">
        <v>5854.7</v>
      </c>
      <c r="AB1870" s="1">
        <v>2317.5</v>
      </c>
    </row>
    <row r="1871" spans="2:28" x14ac:dyDescent="0.2">
      <c r="B1871" s="30" t="s">
        <v>2294</v>
      </c>
      <c r="C1871" s="36"/>
      <c r="D1871" s="36"/>
      <c r="F1871" s="1" t="s">
        <v>4154</v>
      </c>
      <c r="G1871" s="30" t="s">
        <v>4181</v>
      </c>
      <c r="K1871" s="1" t="s">
        <v>4182</v>
      </c>
      <c r="L1871" s="1" t="s">
        <v>1279</v>
      </c>
      <c r="M1871" s="36" t="s">
        <v>1560</v>
      </c>
      <c r="N1871" s="1" t="s">
        <v>1286</v>
      </c>
      <c r="O1871" s="1" t="s">
        <v>1286</v>
      </c>
      <c r="P1871" s="34" t="str">
        <f t="shared" si="33"/>
        <v>F010</v>
      </c>
      <c r="Q1871" s="1" t="s">
        <v>138</v>
      </c>
      <c r="S1871" s="16">
        <v>20</v>
      </c>
      <c r="T1871" s="1" t="s">
        <v>4153</v>
      </c>
      <c r="U1871" s="1" t="s">
        <v>1476</v>
      </c>
      <c r="V1871" s="1" t="s">
        <v>1569</v>
      </c>
      <c r="Y1871" s="1">
        <v>8590</v>
      </c>
      <c r="AB1871" s="1">
        <v>1360.08</v>
      </c>
    </row>
    <row r="1872" spans="2:28" x14ac:dyDescent="0.2">
      <c r="B1872" s="30" t="s">
        <v>2294</v>
      </c>
      <c r="C1872" s="36"/>
      <c r="D1872" s="36"/>
      <c r="F1872" s="1" t="s">
        <v>4154</v>
      </c>
      <c r="G1872" s="30" t="s">
        <v>4183</v>
      </c>
      <c r="K1872" s="1" t="s">
        <v>4184</v>
      </c>
      <c r="L1872" s="1" t="s">
        <v>1279</v>
      </c>
      <c r="M1872" s="36" t="s">
        <v>1463</v>
      </c>
      <c r="N1872" s="1" t="s">
        <v>2233</v>
      </c>
      <c r="O1872" s="1" t="s">
        <v>1286</v>
      </c>
      <c r="P1872" s="34" t="str">
        <f t="shared" si="33"/>
        <v>F010</v>
      </c>
      <c r="Q1872" s="1" t="s">
        <v>127</v>
      </c>
      <c r="S1872" s="16">
        <v>20</v>
      </c>
      <c r="T1872" s="1" t="s">
        <v>4153</v>
      </c>
      <c r="U1872" s="1" t="s">
        <v>1480</v>
      </c>
      <c r="V1872" s="1" t="s">
        <v>1696</v>
      </c>
      <c r="Y1872" s="1">
        <v>11015.39</v>
      </c>
      <c r="AB1872" s="1">
        <v>4650.93</v>
      </c>
    </row>
    <row r="1873" spans="2:28" x14ac:dyDescent="0.2">
      <c r="B1873" s="30" t="s">
        <v>2294</v>
      </c>
      <c r="C1873" s="36"/>
      <c r="D1873" s="36"/>
      <c r="F1873" s="1" t="s">
        <v>4154</v>
      </c>
      <c r="G1873" s="30" t="s">
        <v>4185</v>
      </c>
      <c r="K1873" s="1" t="s">
        <v>4186</v>
      </c>
      <c r="L1873" s="1" t="s">
        <v>1279</v>
      </c>
      <c r="M1873" s="36" t="s">
        <v>1567</v>
      </c>
      <c r="N1873" s="1" t="s">
        <v>2598</v>
      </c>
      <c r="O1873" s="1" t="s">
        <v>1286</v>
      </c>
      <c r="P1873" s="34" t="str">
        <f t="shared" si="33"/>
        <v>F010</v>
      </c>
      <c r="Q1873" s="1" t="s">
        <v>127</v>
      </c>
      <c r="S1873" s="16">
        <v>20</v>
      </c>
      <c r="T1873" s="1" t="s">
        <v>4153</v>
      </c>
      <c r="U1873" s="1" t="s">
        <v>1999</v>
      </c>
      <c r="V1873" s="1" t="s">
        <v>1526</v>
      </c>
      <c r="Y1873" s="1">
        <v>8782</v>
      </c>
      <c r="AB1873" s="1">
        <v>6720.69</v>
      </c>
    </row>
    <row r="1874" spans="2:28" x14ac:dyDescent="0.2">
      <c r="B1874" s="30" t="s">
        <v>2294</v>
      </c>
      <c r="C1874" s="36"/>
      <c r="D1874" s="36"/>
      <c r="F1874" s="1" t="s">
        <v>4154</v>
      </c>
      <c r="G1874" s="30" t="s">
        <v>4185</v>
      </c>
      <c r="K1874" s="1" t="s">
        <v>4187</v>
      </c>
      <c r="L1874" s="1" t="s">
        <v>1279</v>
      </c>
      <c r="M1874" s="36" t="s">
        <v>1567</v>
      </c>
      <c r="N1874" s="1" t="s">
        <v>1614</v>
      </c>
      <c r="O1874" s="1" t="s">
        <v>1286</v>
      </c>
      <c r="P1874" s="34" t="str">
        <f t="shared" si="33"/>
        <v>F010</v>
      </c>
      <c r="Q1874" s="1" t="s">
        <v>127</v>
      </c>
      <c r="S1874" s="16">
        <v>20</v>
      </c>
      <c r="T1874" s="1" t="s">
        <v>4153</v>
      </c>
      <c r="U1874" s="1" t="s">
        <v>1999</v>
      </c>
      <c r="V1874" s="1" t="s">
        <v>1526</v>
      </c>
      <c r="Y1874" s="1">
        <v>8782</v>
      </c>
      <c r="AB1874" s="1">
        <v>6720.69</v>
      </c>
    </row>
    <row r="1875" spans="2:28" x14ac:dyDescent="0.2">
      <c r="B1875" s="30" t="s">
        <v>2294</v>
      </c>
      <c r="C1875" s="36"/>
      <c r="D1875" s="36"/>
      <c r="F1875" s="1" t="s">
        <v>4154</v>
      </c>
      <c r="G1875" s="30" t="s">
        <v>4185</v>
      </c>
      <c r="K1875" s="1" t="s">
        <v>4188</v>
      </c>
      <c r="L1875" s="1" t="s">
        <v>1279</v>
      </c>
      <c r="M1875" s="36" t="s">
        <v>1567</v>
      </c>
      <c r="N1875" s="1" t="s">
        <v>1795</v>
      </c>
      <c r="O1875" s="1" t="s">
        <v>1286</v>
      </c>
      <c r="P1875" s="34" t="str">
        <f t="shared" si="33"/>
        <v>F010</v>
      </c>
      <c r="Q1875" s="1" t="s">
        <v>127</v>
      </c>
      <c r="S1875" s="16">
        <v>20</v>
      </c>
      <c r="T1875" s="1" t="s">
        <v>4153</v>
      </c>
      <c r="U1875" s="1" t="s">
        <v>1999</v>
      </c>
      <c r="V1875" s="1" t="s">
        <v>1526</v>
      </c>
      <c r="Y1875" s="1">
        <v>8782</v>
      </c>
      <c r="AB1875" s="1">
        <v>6720.69</v>
      </c>
    </row>
    <row r="1876" spans="2:28" x14ac:dyDescent="0.2">
      <c r="B1876" s="30" t="s">
        <v>2294</v>
      </c>
      <c r="C1876" s="36"/>
      <c r="D1876" s="36"/>
      <c r="F1876" s="1" t="s">
        <v>4154</v>
      </c>
      <c r="G1876" s="30" t="s">
        <v>4185</v>
      </c>
      <c r="K1876" s="1" t="s">
        <v>4189</v>
      </c>
      <c r="L1876" s="1" t="s">
        <v>1279</v>
      </c>
      <c r="M1876" s="36" t="s">
        <v>1567</v>
      </c>
      <c r="N1876" s="1" t="s">
        <v>1795</v>
      </c>
      <c r="O1876" s="1" t="s">
        <v>1286</v>
      </c>
      <c r="P1876" s="34" t="str">
        <f t="shared" si="33"/>
        <v>F010</v>
      </c>
      <c r="Q1876" s="1" t="s">
        <v>127</v>
      </c>
      <c r="S1876" s="16">
        <v>20</v>
      </c>
      <c r="T1876" s="1" t="s">
        <v>4153</v>
      </c>
      <c r="U1876" s="1" t="s">
        <v>1999</v>
      </c>
      <c r="V1876" s="1" t="s">
        <v>1526</v>
      </c>
      <c r="Y1876" s="1">
        <v>8782</v>
      </c>
      <c r="AB1876" s="1">
        <v>6720.69</v>
      </c>
    </row>
    <row r="1877" spans="2:28" x14ac:dyDescent="0.2">
      <c r="B1877" s="30" t="s">
        <v>2294</v>
      </c>
      <c r="C1877" s="36"/>
      <c r="D1877" s="36"/>
      <c r="F1877" s="1" t="s">
        <v>4154</v>
      </c>
      <c r="G1877" s="30" t="s">
        <v>4185</v>
      </c>
      <c r="K1877" s="1" t="s">
        <v>4190</v>
      </c>
      <c r="L1877" s="1" t="s">
        <v>1279</v>
      </c>
      <c r="M1877" s="36" t="s">
        <v>1567</v>
      </c>
      <c r="N1877" s="1" t="s">
        <v>1795</v>
      </c>
      <c r="O1877" s="1" t="s">
        <v>1286</v>
      </c>
      <c r="P1877" s="34" t="str">
        <f t="shared" si="33"/>
        <v>F010</v>
      </c>
      <c r="Q1877" s="1" t="s">
        <v>127</v>
      </c>
      <c r="S1877" s="16">
        <v>20</v>
      </c>
      <c r="T1877" s="1" t="s">
        <v>4153</v>
      </c>
      <c r="U1877" s="1" t="s">
        <v>1999</v>
      </c>
      <c r="V1877" s="1" t="s">
        <v>1526</v>
      </c>
      <c r="Y1877" s="1">
        <v>8782</v>
      </c>
      <c r="AB1877" s="1">
        <v>6720.69</v>
      </c>
    </row>
    <row r="1878" spans="2:28" x14ac:dyDescent="0.2">
      <c r="B1878" s="30" t="s">
        <v>2294</v>
      </c>
      <c r="C1878" s="36"/>
      <c r="D1878" s="36"/>
      <c r="F1878" s="1" t="s">
        <v>4154</v>
      </c>
      <c r="G1878" s="30" t="s">
        <v>4185</v>
      </c>
      <c r="K1878" s="1" t="s">
        <v>4191</v>
      </c>
      <c r="L1878" s="1" t="s">
        <v>1279</v>
      </c>
      <c r="M1878" s="36" t="s">
        <v>1567</v>
      </c>
      <c r="N1878" s="1" t="s">
        <v>2495</v>
      </c>
      <c r="O1878" s="1" t="s">
        <v>1286</v>
      </c>
      <c r="P1878" s="34" t="str">
        <f t="shared" ref="P1878:P1962" si="35">+LEFT(Q1878,4)</f>
        <v>F010</v>
      </c>
      <c r="Q1878" s="1" t="s">
        <v>127</v>
      </c>
      <c r="S1878" s="16">
        <v>20</v>
      </c>
      <c r="T1878" s="1" t="s">
        <v>4153</v>
      </c>
      <c r="U1878" s="1" t="s">
        <v>1999</v>
      </c>
      <c r="V1878" s="1" t="s">
        <v>1526</v>
      </c>
      <c r="Y1878" s="1">
        <v>8782</v>
      </c>
      <c r="AB1878" s="1">
        <v>6720.69</v>
      </c>
    </row>
    <row r="1879" spans="2:28" x14ac:dyDescent="0.2">
      <c r="B1879" s="30" t="s">
        <v>2294</v>
      </c>
      <c r="C1879" s="36"/>
      <c r="D1879" s="36"/>
      <c r="F1879" s="1" t="s">
        <v>4154</v>
      </c>
      <c r="G1879" s="30" t="s">
        <v>4185</v>
      </c>
      <c r="K1879" s="1" t="s">
        <v>4192</v>
      </c>
      <c r="L1879" s="1" t="s">
        <v>1279</v>
      </c>
      <c r="M1879" s="36" t="s">
        <v>1567</v>
      </c>
      <c r="N1879" s="1" t="s">
        <v>1637</v>
      </c>
      <c r="O1879" s="1" t="s">
        <v>1286</v>
      </c>
      <c r="P1879" s="34" t="str">
        <f t="shared" si="35"/>
        <v>F010</v>
      </c>
      <c r="Q1879" s="1" t="s">
        <v>127</v>
      </c>
      <c r="S1879" s="16">
        <v>20</v>
      </c>
      <c r="T1879" s="1" t="s">
        <v>4193</v>
      </c>
      <c r="U1879" s="1" t="s">
        <v>1999</v>
      </c>
      <c r="V1879" s="1" t="s">
        <v>1526</v>
      </c>
      <c r="Y1879" s="1">
        <v>8782</v>
      </c>
      <c r="AB1879" s="1">
        <v>6720.69</v>
      </c>
    </row>
    <row r="1880" spans="2:28" x14ac:dyDescent="0.2">
      <c r="B1880" s="30" t="s">
        <v>2294</v>
      </c>
      <c r="C1880" s="36"/>
      <c r="D1880" s="36"/>
      <c r="F1880" s="1" t="s">
        <v>4194</v>
      </c>
      <c r="G1880" s="30" t="s">
        <v>4185</v>
      </c>
      <c r="K1880" s="1" t="s">
        <v>4195</v>
      </c>
      <c r="L1880" s="1" t="s">
        <v>1279</v>
      </c>
      <c r="M1880" s="36" t="s">
        <v>1567</v>
      </c>
      <c r="N1880" s="1" t="s">
        <v>1795</v>
      </c>
      <c r="O1880" s="1" t="s">
        <v>1286</v>
      </c>
      <c r="P1880" s="34" t="str">
        <f t="shared" si="35"/>
        <v>F010</v>
      </c>
      <c r="Q1880" s="1" t="s">
        <v>127</v>
      </c>
      <c r="S1880" s="16">
        <v>20</v>
      </c>
      <c r="T1880" s="1" t="s">
        <v>4193</v>
      </c>
      <c r="U1880" s="1" t="s">
        <v>1999</v>
      </c>
      <c r="V1880" s="1" t="s">
        <v>1526</v>
      </c>
      <c r="Y1880" s="1">
        <v>8782</v>
      </c>
      <c r="AB1880" s="1">
        <v>6720.69</v>
      </c>
    </row>
    <row r="1881" spans="2:28" x14ac:dyDescent="0.2">
      <c r="B1881" s="30" t="s">
        <v>2294</v>
      </c>
      <c r="C1881" s="36"/>
      <c r="D1881" s="36"/>
      <c r="F1881" s="1" t="s">
        <v>4194</v>
      </c>
      <c r="G1881" s="30" t="s">
        <v>4185</v>
      </c>
      <c r="K1881" s="1" t="s">
        <v>4196</v>
      </c>
      <c r="L1881" s="1" t="s">
        <v>1279</v>
      </c>
      <c r="M1881" s="36" t="s">
        <v>1567</v>
      </c>
      <c r="N1881" s="1" t="s">
        <v>1287</v>
      </c>
      <c r="O1881" s="1" t="s">
        <v>1286</v>
      </c>
      <c r="P1881" s="34" t="str">
        <f t="shared" si="35"/>
        <v>F010</v>
      </c>
      <c r="Q1881" s="1" t="s">
        <v>127</v>
      </c>
      <c r="S1881" s="16">
        <v>20</v>
      </c>
      <c r="T1881" s="1" t="s">
        <v>4193</v>
      </c>
      <c r="U1881" s="1" t="s">
        <v>1999</v>
      </c>
      <c r="V1881" s="1" t="s">
        <v>1526</v>
      </c>
      <c r="Y1881" s="1">
        <v>8782</v>
      </c>
      <c r="AB1881" s="1">
        <v>6720.69</v>
      </c>
    </row>
    <row r="1882" spans="2:28" x14ac:dyDescent="0.2">
      <c r="B1882" s="30" t="s">
        <v>2294</v>
      </c>
      <c r="C1882" s="36"/>
      <c r="D1882" s="36"/>
      <c r="F1882" s="1" t="s">
        <v>4194</v>
      </c>
      <c r="G1882" s="30" t="s">
        <v>4197</v>
      </c>
      <c r="K1882" s="1" t="s">
        <v>4198</v>
      </c>
      <c r="L1882" s="1" t="s">
        <v>1279</v>
      </c>
      <c r="M1882" s="36" t="s">
        <v>1460</v>
      </c>
      <c r="N1882" s="1" t="s">
        <v>1284</v>
      </c>
      <c r="O1882" s="1" t="s">
        <v>1286</v>
      </c>
      <c r="P1882" s="34" t="str">
        <f t="shared" si="35"/>
        <v>F010</v>
      </c>
      <c r="Q1882" s="1" t="s">
        <v>127</v>
      </c>
      <c r="S1882" s="16">
        <v>20</v>
      </c>
      <c r="T1882" s="1" t="s">
        <v>4193</v>
      </c>
      <c r="U1882" s="1" t="s">
        <v>2014</v>
      </c>
      <c r="V1882" s="1" t="s">
        <v>1500</v>
      </c>
      <c r="Y1882" s="1">
        <v>12888</v>
      </c>
      <c r="AB1882" s="1">
        <v>7822.3</v>
      </c>
    </row>
    <row r="1883" spans="2:28" x14ac:dyDescent="0.2">
      <c r="B1883" s="30" t="s">
        <v>2294</v>
      </c>
      <c r="C1883" s="36"/>
      <c r="D1883" s="36"/>
      <c r="F1883" s="1" t="s">
        <v>4194</v>
      </c>
      <c r="G1883" s="30" t="s">
        <v>4197</v>
      </c>
      <c r="K1883" s="1" t="s">
        <v>4199</v>
      </c>
      <c r="L1883" s="1" t="s">
        <v>1279</v>
      </c>
      <c r="M1883" s="36" t="s">
        <v>1460</v>
      </c>
      <c r="N1883" s="1" t="s">
        <v>1788</v>
      </c>
      <c r="O1883" s="1" t="s">
        <v>1286</v>
      </c>
      <c r="P1883" s="34" t="str">
        <f t="shared" si="35"/>
        <v>F010</v>
      </c>
      <c r="Q1883" s="1" t="s">
        <v>127</v>
      </c>
      <c r="S1883" s="16">
        <v>20</v>
      </c>
      <c r="T1883" s="1" t="s">
        <v>4193</v>
      </c>
      <c r="U1883" s="1" t="s">
        <v>2014</v>
      </c>
      <c r="V1883" s="1" t="s">
        <v>1500</v>
      </c>
      <c r="Y1883" s="1">
        <v>12888</v>
      </c>
      <c r="AB1883" s="1">
        <v>7822.3</v>
      </c>
    </row>
    <row r="1884" spans="2:28" x14ac:dyDescent="0.2">
      <c r="B1884" s="30" t="s">
        <v>2294</v>
      </c>
      <c r="C1884" s="36"/>
      <c r="D1884" s="36"/>
      <c r="F1884" s="1" t="s">
        <v>4194</v>
      </c>
      <c r="G1884" s="30" t="s">
        <v>4200</v>
      </c>
      <c r="K1884" s="1" t="s">
        <v>4201</v>
      </c>
      <c r="L1884" s="1" t="s">
        <v>1279</v>
      </c>
      <c r="M1884" s="36" t="s">
        <v>1371</v>
      </c>
      <c r="N1884" s="1" t="s">
        <v>1284</v>
      </c>
      <c r="O1884" s="1" t="s">
        <v>1286</v>
      </c>
      <c r="P1884" s="34" t="str">
        <f t="shared" si="35"/>
        <v>F010</v>
      </c>
      <c r="Q1884" s="1" t="s">
        <v>127</v>
      </c>
      <c r="S1884" s="16">
        <v>20</v>
      </c>
      <c r="T1884" s="1" t="s">
        <v>4193</v>
      </c>
      <c r="U1884" s="1" t="s">
        <v>1775</v>
      </c>
      <c r="V1884" s="1" t="s">
        <v>1670</v>
      </c>
      <c r="Y1884" s="1">
        <v>19663</v>
      </c>
      <c r="AB1884" s="1">
        <v>18679.849999999999</v>
      </c>
    </row>
    <row r="1885" spans="2:28" x14ac:dyDescent="0.2">
      <c r="B1885" s="30" t="s">
        <v>2294</v>
      </c>
      <c r="C1885" s="36"/>
      <c r="D1885" s="36"/>
      <c r="F1885" s="1" t="s">
        <v>4194</v>
      </c>
      <c r="G1885" s="30" t="s">
        <v>4200</v>
      </c>
      <c r="K1885" s="1" t="s">
        <v>4202</v>
      </c>
      <c r="L1885" s="1" t="s">
        <v>1279</v>
      </c>
      <c r="M1885" s="36" t="s">
        <v>2313</v>
      </c>
      <c r="N1885" s="1" t="s">
        <v>2314</v>
      </c>
      <c r="O1885" s="1" t="s">
        <v>1286</v>
      </c>
      <c r="P1885" s="34" t="str">
        <f t="shared" si="35"/>
        <v>F010</v>
      </c>
      <c r="Q1885" s="1" t="s">
        <v>137</v>
      </c>
      <c r="S1885" s="16">
        <v>20</v>
      </c>
      <c r="T1885" s="1" t="s">
        <v>4193</v>
      </c>
      <c r="U1885" s="1" t="s">
        <v>1325</v>
      </c>
      <c r="V1885" s="1" t="s">
        <v>1994</v>
      </c>
      <c r="Y1885" s="1">
        <v>34709.199999999997</v>
      </c>
      <c r="AB1885" s="1">
        <v>32973.74</v>
      </c>
    </row>
    <row r="1886" spans="2:28" s="58" customFormat="1" x14ac:dyDescent="0.2">
      <c r="B1886" s="56" t="s">
        <v>2294</v>
      </c>
      <c r="C1886" s="57">
        <v>23170</v>
      </c>
      <c r="D1886" s="48">
        <f t="shared" ref="D1886:D1891" si="36">+C1886/100000</f>
        <v>0.23169999999999999</v>
      </c>
      <c r="E1886" s="58" t="s">
        <v>1331</v>
      </c>
      <c r="F1886" s="58" t="s">
        <v>4194</v>
      </c>
      <c r="G1886" s="56" t="s">
        <v>4203</v>
      </c>
      <c r="K1886" s="58" t="s">
        <v>4204</v>
      </c>
      <c r="L1886" s="58" t="s">
        <v>1279</v>
      </c>
      <c r="M1886" s="58" t="s">
        <v>2319</v>
      </c>
      <c r="N1886" s="58" t="s">
        <v>6085</v>
      </c>
      <c r="O1886" s="58" t="s">
        <v>1286</v>
      </c>
      <c r="P1886" s="58" t="str">
        <f t="shared" si="35"/>
        <v>F010</v>
      </c>
      <c r="Q1886" s="58" t="s">
        <v>129</v>
      </c>
      <c r="S1886" s="59">
        <v>20</v>
      </c>
      <c r="T1886" s="58" t="s">
        <v>4193</v>
      </c>
      <c r="U1886" s="58" t="s">
        <v>1356</v>
      </c>
      <c r="V1886" s="58" t="s">
        <v>2140</v>
      </c>
      <c r="Y1886" s="58">
        <v>31905.09</v>
      </c>
      <c r="AB1886" s="58">
        <v>30309.83</v>
      </c>
    </row>
    <row r="1887" spans="2:28" s="58" customFormat="1" x14ac:dyDescent="0.2">
      <c r="B1887" s="56" t="s">
        <v>2294</v>
      </c>
      <c r="C1887" s="57">
        <v>58320</v>
      </c>
      <c r="D1887" s="48">
        <f t="shared" si="36"/>
        <v>0.58320000000000005</v>
      </c>
      <c r="E1887" s="58" t="s">
        <v>1337</v>
      </c>
      <c r="F1887" s="58" t="s">
        <v>4194</v>
      </c>
      <c r="G1887" s="56" t="s">
        <v>4203</v>
      </c>
      <c r="K1887" s="58" t="s">
        <v>4204</v>
      </c>
      <c r="L1887" s="58" t="s">
        <v>1279</v>
      </c>
      <c r="M1887" s="58" t="s">
        <v>2319</v>
      </c>
      <c r="N1887" s="58" t="s">
        <v>2394</v>
      </c>
      <c r="O1887" s="58" t="s">
        <v>1286</v>
      </c>
      <c r="P1887" s="58" t="str">
        <f t="shared" si="35"/>
        <v>F010</v>
      </c>
      <c r="Q1887" s="58" t="s">
        <v>129</v>
      </c>
      <c r="S1887" s="59">
        <v>20</v>
      </c>
      <c r="T1887" s="58" t="s">
        <v>4193</v>
      </c>
      <c r="U1887" s="58" t="s">
        <v>1356</v>
      </c>
      <c r="V1887" s="58" t="s">
        <v>2140</v>
      </c>
      <c r="Y1887" s="58">
        <v>80306.64</v>
      </c>
      <c r="AB1887" s="58">
        <v>76291.31</v>
      </c>
    </row>
    <row r="1888" spans="2:28" s="58" customFormat="1" x14ac:dyDescent="0.2">
      <c r="B1888" s="56" t="s">
        <v>2294</v>
      </c>
      <c r="C1888" s="57">
        <v>4840</v>
      </c>
      <c r="D1888" s="48">
        <f t="shared" si="36"/>
        <v>4.8399999999999999E-2</v>
      </c>
      <c r="E1888" s="58" t="s">
        <v>1348</v>
      </c>
      <c r="F1888" s="58" t="s">
        <v>4194</v>
      </c>
      <c r="G1888" s="56" t="s">
        <v>4203</v>
      </c>
      <c r="K1888" s="58" t="s">
        <v>4204</v>
      </c>
      <c r="L1888" s="58" t="s">
        <v>1279</v>
      </c>
      <c r="M1888" s="58" t="s">
        <v>2319</v>
      </c>
      <c r="N1888" s="58" t="s">
        <v>6086</v>
      </c>
      <c r="O1888" s="58" t="s">
        <v>1286</v>
      </c>
      <c r="P1888" s="58" t="str">
        <f t="shared" si="35"/>
        <v>F010</v>
      </c>
      <c r="Q1888" s="58" t="s">
        <v>129</v>
      </c>
      <c r="S1888" s="59">
        <v>20</v>
      </c>
      <c r="T1888" s="58" t="s">
        <v>4193</v>
      </c>
      <c r="U1888" s="58" t="s">
        <v>1356</v>
      </c>
      <c r="V1888" s="58" t="s">
        <v>2140</v>
      </c>
      <c r="Y1888" s="58">
        <v>6664.68</v>
      </c>
      <c r="AB1888" s="58">
        <v>6331.45</v>
      </c>
    </row>
    <row r="1889" spans="2:28" s="58" customFormat="1" x14ac:dyDescent="0.2">
      <c r="B1889" s="56" t="s">
        <v>2294</v>
      </c>
      <c r="C1889" s="57">
        <v>3550</v>
      </c>
      <c r="D1889" s="48">
        <f t="shared" si="36"/>
        <v>3.5499999999999997E-2</v>
      </c>
      <c r="E1889" s="58" t="s">
        <v>1351</v>
      </c>
      <c r="F1889" s="58" t="s">
        <v>4194</v>
      </c>
      <c r="G1889" s="56" t="s">
        <v>4203</v>
      </c>
      <c r="K1889" s="58" t="s">
        <v>4204</v>
      </c>
      <c r="L1889" s="58" t="s">
        <v>1279</v>
      </c>
      <c r="M1889" s="58" t="s">
        <v>2319</v>
      </c>
      <c r="N1889" s="58" t="s">
        <v>6084</v>
      </c>
      <c r="O1889" s="58" t="s">
        <v>1286</v>
      </c>
      <c r="P1889" s="58" t="str">
        <f t="shared" si="35"/>
        <v>F010</v>
      </c>
      <c r="Q1889" s="58" t="s">
        <v>129</v>
      </c>
      <c r="S1889" s="59">
        <v>20</v>
      </c>
      <c r="T1889" s="58" t="s">
        <v>4193</v>
      </c>
      <c r="U1889" s="58" t="s">
        <v>1356</v>
      </c>
      <c r="V1889" s="58" t="s">
        <v>2140</v>
      </c>
      <c r="Y1889" s="58">
        <v>4888.3500000000004</v>
      </c>
      <c r="AB1889" s="58">
        <v>4643.93</v>
      </c>
    </row>
    <row r="1890" spans="2:28" s="58" customFormat="1" x14ac:dyDescent="0.2">
      <c r="B1890" s="56" t="s">
        <v>2294</v>
      </c>
      <c r="C1890" s="57">
        <v>3920</v>
      </c>
      <c r="D1890" s="48">
        <f t="shared" si="36"/>
        <v>3.9199999999999999E-2</v>
      </c>
      <c r="E1890" s="58" t="s">
        <v>1352</v>
      </c>
      <c r="F1890" s="58" t="s">
        <v>4194</v>
      </c>
      <c r="G1890" s="56" t="s">
        <v>4203</v>
      </c>
      <c r="K1890" s="58" t="s">
        <v>4204</v>
      </c>
      <c r="L1890" s="58" t="s">
        <v>1279</v>
      </c>
      <c r="M1890" s="58" t="s">
        <v>2319</v>
      </c>
      <c r="N1890" s="58" t="s">
        <v>5175</v>
      </c>
      <c r="O1890" s="58" t="s">
        <v>1286</v>
      </c>
      <c r="P1890" s="58" t="str">
        <f t="shared" si="35"/>
        <v>F010</v>
      </c>
      <c r="Q1890" s="58" t="s">
        <v>129</v>
      </c>
      <c r="S1890" s="59">
        <v>20</v>
      </c>
      <c r="T1890" s="58" t="s">
        <v>4193</v>
      </c>
      <c r="U1890" s="58" t="s">
        <v>1356</v>
      </c>
      <c r="V1890" s="58" t="s">
        <v>2140</v>
      </c>
      <c r="Y1890" s="58">
        <v>5397.84</v>
      </c>
      <c r="AB1890" s="58">
        <v>5127.95</v>
      </c>
    </row>
    <row r="1891" spans="2:28" s="58" customFormat="1" x14ac:dyDescent="0.2">
      <c r="B1891" s="56" t="s">
        <v>2294</v>
      </c>
      <c r="C1891" s="57">
        <v>6200</v>
      </c>
      <c r="D1891" s="48">
        <f t="shared" si="36"/>
        <v>6.2E-2</v>
      </c>
      <c r="E1891" s="58" t="s">
        <v>1353</v>
      </c>
      <c r="F1891" s="58" t="s">
        <v>4194</v>
      </c>
      <c r="G1891" s="56" t="s">
        <v>4203</v>
      </c>
      <c r="K1891" s="58" t="s">
        <v>4204</v>
      </c>
      <c r="L1891" s="58" t="s">
        <v>1279</v>
      </c>
      <c r="M1891" s="58" t="s">
        <v>2319</v>
      </c>
      <c r="N1891" s="58" t="s">
        <v>3226</v>
      </c>
      <c r="O1891" s="58" t="s">
        <v>1286</v>
      </c>
      <c r="P1891" s="58" t="str">
        <f t="shared" si="35"/>
        <v>F010</v>
      </c>
      <c r="Q1891" s="58" t="s">
        <v>129</v>
      </c>
      <c r="S1891" s="59">
        <v>20</v>
      </c>
      <c r="T1891" s="58" t="s">
        <v>4193</v>
      </c>
      <c r="U1891" s="58" t="s">
        <v>1356</v>
      </c>
      <c r="V1891" s="58" t="s">
        <v>2140</v>
      </c>
      <c r="Y1891" s="58">
        <v>8537.4</v>
      </c>
      <c r="AB1891" s="58">
        <v>8110.53</v>
      </c>
    </row>
    <row r="1892" spans="2:28" x14ac:dyDescent="0.2">
      <c r="B1892" s="30" t="s">
        <v>2294</v>
      </c>
      <c r="C1892" s="36"/>
      <c r="D1892" s="36"/>
      <c r="F1892" s="1" t="s">
        <v>4194</v>
      </c>
      <c r="G1892" s="30" t="s">
        <v>4205</v>
      </c>
      <c r="K1892" s="1" t="s">
        <v>4206</v>
      </c>
      <c r="L1892" s="1" t="s">
        <v>1279</v>
      </c>
      <c r="M1892" s="36" t="s">
        <v>2014</v>
      </c>
      <c r="N1892" s="1" t="s">
        <v>1286</v>
      </c>
      <c r="O1892" s="1" t="s">
        <v>1286</v>
      </c>
      <c r="P1892" s="34" t="str">
        <f t="shared" si="35"/>
        <v>F010</v>
      </c>
      <c r="Q1892" s="1" t="s">
        <v>138</v>
      </c>
      <c r="S1892" s="16">
        <v>20</v>
      </c>
      <c r="T1892" s="1" t="s">
        <v>4193</v>
      </c>
      <c r="U1892" s="1" t="s">
        <v>1334</v>
      </c>
      <c r="V1892" s="1" t="s">
        <v>1377</v>
      </c>
      <c r="Y1892" s="1">
        <v>19900</v>
      </c>
      <c r="AB1892" s="1">
        <v>11553.08</v>
      </c>
    </row>
    <row r="1893" spans="2:28" x14ac:dyDescent="0.2">
      <c r="B1893" s="30" t="s">
        <v>2294</v>
      </c>
      <c r="C1893" s="36"/>
      <c r="D1893" s="36"/>
      <c r="F1893" s="1" t="s">
        <v>4194</v>
      </c>
      <c r="G1893" s="30" t="s">
        <v>4207</v>
      </c>
      <c r="K1893" s="1" t="s">
        <v>4208</v>
      </c>
      <c r="L1893" s="1" t="s">
        <v>1279</v>
      </c>
      <c r="M1893" s="36" t="s">
        <v>2014</v>
      </c>
      <c r="N1893" s="1" t="s">
        <v>1577</v>
      </c>
      <c r="O1893" s="1" t="s">
        <v>1286</v>
      </c>
      <c r="P1893" s="34" t="str">
        <f t="shared" si="35"/>
        <v>F010</v>
      </c>
      <c r="Q1893" s="1" t="s">
        <v>138</v>
      </c>
      <c r="S1893" s="16">
        <v>20</v>
      </c>
      <c r="T1893" s="1" t="s">
        <v>4193</v>
      </c>
      <c r="U1893" s="1" t="s">
        <v>1334</v>
      </c>
      <c r="V1893" s="1" t="s">
        <v>1377</v>
      </c>
      <c r="Y1893" s="1">
        <v>8482.91</v>
      </c>
      <c r="AB1893" s="1">
        <v>4880.7</v>
      </c>
    </row>
    <row r="1894" spans="2:28" x14ac:dyDescent="0.2">
      <c r="B1894" s="30" t="s">
        <v>2294</v>
      </c>
      <c r="C1894" s="36"/>
      <c r="D1894" s="36"/>
      <c r="F1894" s="1" t="s">
        <v>4194</v>
      </c>
      <c r="G1894" s="30" t="s">
        <v>4209</v>
      </c>
      <c r="K1894" s="1" t="s">
        <v>4210</v>
      </c>
      <c r="L1894" s="1" t="s">
        <v>1279</v>
      </c>
      <c r="M1894" s="36" t="s">
        <v>1473</v>
      </c>
      <c r="N1894" s="1" t="s">
        <v>1287</v>
      </c>
      <c r="O1894" s="1" t="s">
        <v>1286</v>
      </c>
      <c r="P1894" s="34" t="str">
        <f t="shared" si="35"/>
        <v>F010</v>
      </c>
      <c r="Q1894" s="1" t="s">
        <v>138</v>
      </c>
      <c r="S1894" s="16">
        <v>20</v>
      </c>
      <c r="T1894" s="1" t="s">
        <v>4193</v>
      </c>
      <c r="U1894" s="1" t="s">
        <v>3999</v>
      </c>
      <c r="V1894" s="1" t="s">
        <v>2483</v>
      </c>
      <c r="Y1894" s="1">
        <v>152097.5</v>
      </c>
      <c r="AB1894" s="1">
        <v>144492.62</v>
      </c>
    </row>
    <row r="1895" spans="2:28" x14ac:dyDescent="0.2">
      <c r="B1895" s="30" t="s">
        <v>2294</v>
      </c>
      <c r="C1895" s="36"/>
      <c r="D1895" s="36"/>
      <c r="F1895" s="1" t="s">
        <v>4194</v>
      </c>
      <c r="G1895" s="30" t="s">
        <v>4209</v>
      </c>
      <c r="K1895" s="1" t="s">
        <v>4211</v>
      </c>
      <c r="L1895" s="1" t="s">
        <v>1279</v>
      </c>
      <c r="M1895" s="36" t="s">
        <v>1473</v>
      </c>
      <c r="N1895" s="1" t="s">
        <v>1287</v>
      </c>
      <c r="O1895" s="1" t="s">
        <v>1286</v>
      </c>
      <c r="P1895" s="34" t="str">
        <f t="shared" si="35"/>
        <v>F010</v>
      </c>
      <c r="Q1895" s="1" t="s">
        <v>138</v>
      </c>
      <c r="S1895" s="16">
        <v>20</v>
      </c>
      <c r="T1895" s="1" t="s">
        <v>4193</v>
      </c>
      <c r="U1895" s="1" t="s">
        <v>3999</v>
      </c>
      <c r="V1895" s="1" t="s">
        <v>2483</v>
      </c>
      <c r="Y1895" s="1">
        <v>152097.5</v>
      </c>
      <c r="AB1895" s="1">
        <v>144492.62</v>
      </c>
    </row>
    <row r="1896" spans="2:28" x14ac:dyDescent="0.2">
      <c r="B1896" s="30" t="s">
        <v>2294</v>
      </c>
      <c r="C1896" s="36"/>
      <c r="D1896" s="36"/>
      <c r="F1896" s="1" t="s">
        <v>4194</v>
      </c>
      <c r="G1896" s="30" t="s">
        <v>4209</v>
      </c>
      <c r="K1896" s="1" t="s">
        <v>4212</v>
      </c>
      <c r="L1896" s="1" t="s">
        <v>1279</v>
      </c>
      <c r="M1896" s="36" t="s">
        <v>1473</v>
      </c>
      <c r="N1896" s="1" t="s">
        <v>1287</v>
      </c>
      <c r="O1896" s="1" t="s">
        <v>1286</v>
      </c>
      <c r="P1896" s="34" t="str">
        <f t="shared" si="35"/>
        <v>F010</v>
      </c>
      <c r="Q1896" s="1" t="s">
        <v>138</v>
      </c>
      <c r="S1896" s="16">
        <v>20</v>
      </c>
      <c r="T1896" s="1" t="s">
        <v>4193</v>
      </c>
      <c r="U1896" s="1" t="s">
        <v>3999</v>
      </c>
      <c r="V1896" s="1" t="s">
        <v>2483</v>
      </c>
      <c r="Y1896" s="1">
        <v>75409.5</v>
      </c>
      <c r="AB1896" s="1">
        <v>71639.02</v>
      </c>
    </row>
    <row r="1897" spans="2:28" x14ac:dyDescent="0.2">
      <c r="B1897" s="30" t="s">
        <v>2294</v>
      </c>
      <c r="C1897" s="36"/>
      <c r="D1897" s="36"/>
      <c r="F1897" s="1" t="s">
        <v>4194</v>
      </c>
      <c r="G1897" s="30" t="s">
        <v>4209</v>
      </c>
      <c r="K1897" s="1" t="s">
        <v>4213</v>
      </c>
      <c r="L1897" s="1" t="s">
        <v>1279</v>
      </c>
      <c r="M1897" s="36" t="s">
        <v>1473</v>
      </c>
      <c r="N1897" s="1" t="s">
        <v>1287</v>
      </c>
      <c r="O1897" s="1" t="s">
        <v>1286</v>
      </c>
      <c r="P1897" s="34" t="str">
        <f t="shared" si="35"/>
        <v>F010</v>
      </c>
      <c r="Q1897" s="1" t="s">
        <v>138</v>
      </c>
      <c r="S1897" s="16">
        <v>20</v>
      </c>
      <c r="T1897" s="1" t="s">
        <v>4193</v>
      </c>
      <c r="U1897" s="1" t="s">
        <v>3999</v>
      </c>
      <c r="V1897" s="1" t="s">
        <v>2483</v>
      </c>
      <c r="Y1897" s="1">
        <v>75409.5</v>
      </c>
      <c r="AB1897" s="1">
        <v>71639.02</v>
      </c>
    </row>
    <row r="1898" spans="2:28" x14ac:dyDescent="0.2">
      <c r="B1898" s="30" t="s">
        <v>2294</v>
      </c>
      <c r="C1898" s="36"/>
      <c r="D1898" s="36"/>
      <c r="F1898" s="1" t="s">
        <v>4194</v>
      </c>
      <c r="G1898" s="30" t="s">
        <v>4209</v>
      </c>
      <c r="K1898" s="1" t="s">
        <v>4214</v>
      </c>
      <c r="L1898" s="1" t="s">
        <v>1279</v>
      </c>
      <c r="M1898" s="36" t="s">
        <v>1473</v>
      </c>
      <c r="N1898" s="1" t="s">
        <v>1287</v>
      </c>
      <c r="O1898" s="1" t="s">
        <v>1286</v>
      </c>
      <c r="P1898" s="34" t="str">
        <f t="shared" si="35"/>
        <v>F010</v>
      </c>
      <c r="Q1898" s="1" t="s">
        <v>138</v>
      </c>
      <c r="S1898" s="16">
        <v>20</v>
      </c>
      <c r="T1898" s="1" t="s">
        <v>4193</v>
      </c>
      <c r="U1898" s="1" t="s">
        <v>3999</v>
      </c>
      <c r="V1898" s="1" t="s">
        <v>2483</v>
      </c>
      <c r="Y1898" s="1">
        <v>94581.56</v>
      </c>
      <c r="AB1898" s="1">
        <v>89852.479999999996</v>
      </c>
    </row>
    <row r="1899" spans="2:28" x14ac:dyDescent="0.2">
      <c r="B1899" s="30" t="s">
        <v>2294</v>
      </c>
      <c r="C1899" s="36"/>
      <c r="D1899" s="36"/>
      <c r="F1899" s="1" t="s">
        <v>4194</v>
      </c>
      <c r="G1899" s="30" t="s">
        <v>4209</v>
      </c>
      <c r="K1899" s="1" t="s">
        <v>4215</v>
      </c>
      <c r="L1899" s="1" t="s">
        <v>1279</v>
      </c>
      <c r="M1899" s="36" t="s">
        <v>1473</v>
      </c>
      <c r="N1899" s="1" t="s">
        <v>1287</v>
      </c>
      <c r="O1899" s="1" t="s">
        <v>1286</v>
      </c>
      <c r="P1899" s="34" t="str">
        <f t="shared" si="35"/>
        <v>F010</v>
      </c>
      <c r="Q1899" s="1" t="s">
        <v>138</v>
      </c>
      <c r="S1899" s="16">
        <v>20</v>
      </c>
      <c r="T1899" s="1" t="s">
        <v>4193</v>
      </c>
      <c r="U1899" s="1" t="s">
        <v>3999</v>
      </c>
      <c r="V1899" s="1" t="s">
        <v>2483</v>
      </c>
      <c r="Y1899" s="1">
        <v>94581.56</v>
      </c>
      <c r="AB1899" s="1">
        <v>89852.479999999996</v>
      </c>
    </row>
    <row r="1900" spans="2:28" x14ac:dyDescent="0.2">
      <c r="B1900" s="30" t="s">
        <v>2294</v>
      </c>
      <c r="C1900" s="36"/>
      <c r="D1900" s="36"/>
      <c r="F1900" s="1" t="s">
        <v>4194</v>
      </c>
      <c r="G1900" s="30" t="s">
        <v>4209</v>
      </c>
      <c r="K1900" s="1" t="s">
        <v>4216</v>
      </c>
      <c r="L1900" s="1" t="s">
        <v>1279</v>
      </c>
      <c r="M1900" s="36" t="s">
        <v>1473</v>
      </c>
      <c r="N1900" s="1" t="s">
        <v>1287</v>
      </c>
      <c r="O1900" s="1" t="s">
        <v>1286</v>
      </c>
      <c r="P1900" s="34" t="str">
        <f t="shared" si="35"/>
        <v>F010</v>
      </c>
      <c r="Q1900" s="1" t="s">
        <v>138</v>
      </c>
      <c r="S1900" s="16">
        <v>20</v>
      </c>
      <c r="T1900" s="1" t="s">
        <v>4193</v>
      </c>
      <c r="U1900" s="1" t="s">
        <v>3999</v>
      </c>
      <c r="V1900" s="1" t="s">
        <v>2483</v>
      </c>
      <c r="Y1900" s="1">
        <v>94581.56</v>
      </c>
      <c r="AB1900" s="1">
        <v>89852.479999999996</v>
      </c>
    </row>
    <row r="1901" spans="2:28" x14ac:dyDescent="0.2">
      <c r="B1901" s="30" t="s">
        <v>2294</v>
      </c>
      <c r="C1901" s="36"/>
      <c r="D1901" s="36"/>
      <c r="F1901" s="1" t="s">
        <v>4194</v>
      </c>
      <c r="G1901" s="30" t="s">
        <v>4209</v>
      </c>
      <c r="K1901" s="1" t="s">
        <v>4217</v>
      </c>
      <c r="L1901" s="1" t="s">
        <v>1279</v>
      </c>
      <c r="M1901" s="36" t="s">
        <v>1473</v>
      </c>
      <c r="N1901" s="1" t="s">
        <v>1287</v>
      </c>
      <c r="O1901" s="1" t="s">
        <v>1286</v>
      </c>
      <c r="P1901" s="34" t="str">
        <f t="shared" si="35"/>
        <v>F010</v>
      </c>
      <c r="Q1901" s="1" t="s">
        <v>138</v>
      </c>
      <c r="S1901" s="16">
        <v>20</v>
      </c>
      <c r="T1901" s="1" t="s">
        <v>4193</v>
      </c>
      <c r="U1901" s="1" t="s">
        <v>3999</v>
      </c>
      <c r="V1901" s="1" t="s">
        <v>2483</v>
      </c>
      <c r="Y1901" s="1">
        <v>94581.56</v>
      </c>
      <c r="AB1901" s="1">
        <v>89852.479999999996</v>
      </c>
    </row>
    <row r="1902" spans="2:28" x14ac:dyDescent="0.2">
      <c r="B1902" s="30" t="s">
        <v>2294</v>
      </c>
      <c r="C1902" s="36"/>
      <c r="D1902" s="36"/>
      <c r="F1902" s="1" t="s">
        <v>4194</v>
      </c>
      <c r="G1902" s="30" t="s">
        <v>4209</v>
      </c>
      <c r="K1902" s="1" t="s">
        <v>4218</v>
      </c>
      <c r="L1902" s="1" t="s">
        <v>1279</v>
      </c>
      <c r="M1902" s="36" t="s">
        <v>1473</v>
      </c>
      <c r="N1902" s="1" t="s">
        <v>1287</v>
      </c>
      <c r="O1902" s="1" t="s">
        <v>1286</v>
      </c>
      <c r="P1902" s="34" t="str">
        <f t="shared" si="35"/>
        <v>F010</v>
      </c>
      <c r="Q1902" s="1" t="s">
        <v>138</v>
      </c>
      <c r="S1902" s="16">
        <v>20</v>
      </c>
      <c r="T1902" s="1" t="s">
        <v>4193</v>
      </c>
      <c r="U1902" s="1" t="s">
        <v>3999</v>
      </c>
      <c r="V1902" s="1" t="s">
        <v>2483</v>
      </c>
      <c r="Y1902" s="1">
        <v>94581.56</v>
      </c>
      <c r="AB1902" s="1">
        <v>89852.479999999996</v>
      </c>
    </row>
    <row r="1903" spans="2:28" x14ac:dyDescent="0.2">
      <c r="B1903" s="30" t="s">
        <v>2294</v>
      </c>
      <c r="C1903" s="36"/>
      <c r="D1903" s="36"/>
      <c r="F1903" s="1" t="s">
        <v>4194</v>
      </c>
      <c r="G1903" s="30" t="s">
        <v>4209</v>
      </c>
      <c r="K1903" s="1" t="s">
        <v>4219</v>
      </c>
      <c r="L1903" s="1" t="s">
        <v>1279</v>
      </c>
      <c r="M1903" s="36" t="s">
        <v>1473</v>
      </c>
      <c r="N1903" s="1" t="s">
        <v>1287</v>
      </c>
      <c r="O1903" s="1" t="s">
        <v>1286</v>
      </c>
      <c r="P1903" s="34" t="str">
        <f t="shared" si="35"/>
        <v>F010</v>
      </c>
      <c r="Q1903" s="1" t="s">
        <v>138</v>
      </c>
      <c r="S1903" s="16">
        <v>20</v>
      </c>
      <c r="T1903" s="1" t="s">
        <v>4193</v>
      </c>
      <c r="U1903" s="1" t="s">
        <v>3999</v>
      </c>
      <c r="V1903" s="1" t="s">
        <v>2483</v>
      </c>
      <c r="Y1903" s="1">
        <v>94581.56</v>
      </c>
      <c r="AB1903" s="1">
        <v>89852.479999999996</v>
      </c>
    </row>
    <row r="1904" spans="2:28" x14ac:dyDescent="0.2">
      <c r="B1904" s="30" t="s">
        <v>2294</v>
      </c>
      <c r="C1904" s="36"/>
      <c r="D1904" s="36"/>
      <c r="F1904" s="1" t="s">
        <v>4194</v>
      </c>
      <c r="G1904" s="30" t="s">
        <v>4209</v>
      </c>
      <c r="K1904" s="1" t="s">
        <v>4220</v>
      </c>
      <c r="L1904" s="1" t="s">
        <v>1279</v>
      </c>
      <c r="M1904" s="36" t="s">
        <v>1473</v>
      </c>
      <c r="N1904" s="1" t="s">
        <v>1287</v>
      </c>
      <c r="O1904" s="1" t="s">
        <v>1286</v>
      </c>
      <c r="P1904" s="34" t="str">
        <f t="shared" si="35"/>
        <v>F010</v>
      </c>
      <c r="Q1904" s="1" t="s">
        <v>138</v>
      </c>
      <c r="S1904" s="16">
        <v>20</v>
      </c>
      <c r="T1904" s="1" t="s">
        <v>4193</v>
      </c>
      <c r="U1904" s="1" t="s">
        <v>3999</v>
      </c>
      <c r="V1904" s="1" t="s">
        <v>2483</v>
      </c>
      <c r="Y1904" s="1">
        <v>94581.56</v>
      </c>
      <c r="AB1904" s="1">
        <v>89852.479999999996</v>
      </c>
    </row>
    <row r="1905" spans="2:28" x14ac:dyDescent="0.2">
      <c r="B1905" s="30" t="s">
        <v>2294</v>
      </c>
      <c r="C1905" s="36"/>
      <c r="D1905" s="36"/>
      <c r="F1905" s="1" t="s">
        <v>4194</v>
      </c>
      <c r="G1905" s="30" t="s">
        <v>4221</v>
      </c>
      <c r="K1905" s="1" t="s">
        <v>4222</v>
      </c>
      <c r="L1905" s="1" t="s">
        <v>1279</v>
      </c>
      <c r="M1905" s="36" t="s">
        <v>1990</v>
      </c>
      <c r="N1905" s="1" t="s">
        <v>1637</v>
      </c>
      <c r="O1905" s="1" t="s">
        <v>1286</v>
      </c>
      <c r="P1905" s="34" t="str">
        <f t="shared" si="35"/>
        <v>F010</v>
      </c>
      <c r="Q1905" s="1" t="s">
        <v>127</v>
      </c>
      <c r="S1905" s="16">
        <v>20</v>
      </c>
      <c r="T1905" s="1" t="s">
        <v>4193</v>
      </c>
      <c r="U1905" s="1" t="s">
        <v>2368</v>
      </c>
      <c r="V1905" s="1" t="s">
        <v>2369</v>
      </c>
      <c r="Y1905" s="1">
        <v>3299</v>
      </c>
      <c r="AB1905" s="1">
        <v>174.12</v>
      </c>
    </row>
    <row r="1906" spans="2:28" x14ac:dyDescent="0.2">
      <c r="B1906" s="30" t="s">
        <v>2294</v>
      </c>
      <c r="C1906" s="36"/>
      <c r="D1906" s="36"/>
      <c r="F1906" s="1" t="s">
        <v>4194</v>
      </c>
      <c r="G1906" s="30" t="s">
        <v>4223</v>
      </c>
      <c r="K1906" s="1" t="s">
        <v>4224</v>
      </c>
      <c r="L1906" s="1" t="s">
        <v>1279</v>
      </c>
      <c r="M1906" s="36" t="s">
        <v>1503</v>
      </c>
      <c r="N1906" s="1" t="s">
        <v>1286</v>
      </c>
      <c r="O1906" s="1" t="s">
        <v>1286</v>
      </c>
      <c r="P1906" s="34" t="str">
        <f t="shared" si="35"/>
        <v>F010</v>
      </c>
      <c r="Q1906" s="1" t="s">
        <v>138</v>
      </c>
      <c r="S1906" s="16">
        <v>20</v>
      </c>
      <c r="T1906" s="1" t="s">
        <v>4193</v>
      </c>
      <c r="U1906" s="1" t="s">
        <v>2072</v>
      </c>
      <c r="V1906" s="1" t="s">
        <v>4225</v>
      </c>
      <c r="Y1906" s="1">
        <v>2246.2199999999998</v>
      </c>
      <c r="AB1906" s="1">
        <v>822.44</v>
      </c>
    </row>
    <row r="1907" spans="2:28" x14ac:dyDescent="0.2">
      <c r="B1907" s="30" t="s">
        <v>2294</v>
      </c>
      <c r="C1907" s="36"/>
      <c r="D1907" s="36"/>
      <c r="F1907" s="1" t="s">
        <v>4194</v>
      </c>
      <c r="G1907" s="30" t="s">
        <v>4226</v>
      </c>
      <c r="K1907" s="1" t="s">
        <v>4227</v>
      </c>
      <c r="L1907" s="1" t="s">
        <v>1279</v>
      </c>
      <c r="M1907" s="36" t="s">
        <v>1990</v>
      </c>
      <c r="N1907" s="1" t="s">
        <v>2925</v>
      </c>
      <c r="O1907" s="1" t="s">
        <v>1286</v>
      </c>
      <c r="P1907" s="34" t="str">
        <f t="shared" si="35"/>
        <v>F010</v>
      </c>
      <c r="Q1907" s="1" t="s">
        <v>137</v>
      </c>
      <c r="S1907" s="16">
        <v>20</v>
      </c>
      <c r="T1907" s="1" t="s">
        <v>4228</v>
      </c>
      <c r="U1907" s="1" t="s">
        <v>2368</v>
      </c>
      <c r="V1907" s="1" t="s">
        <v>2369</v>
      </c>
      <c r="Y1907" s="1">
        <v>7870.87</v>
      </c>
      <c r="AB1907" s="1">
        <v>427.86</v>
      </c>
    </row>
    <row r="1908" spans="2:28" x14ac:dyDescent="0.2">
      <c r="B1908" s="30" t="s">
        <v>2294</v>
      </c>
      <c r="C1908" s="36"/>
      <c r="D1908" s="36"/>
      <c r="F1908" s="1" t="s">
        <v>4229</v>
      </c>
      <c r="G1908" s="30" t="s">
        <v>4226</v>
      </c>
      <c r="K1908" s="1" t="s">
        <v>4230</v>
      </c>
      <c r="L1908" s="1" t="s">
        <v>1279</v>
      </c>
      <c r="M1908" s="36" t="s">
        <v>1990</v>
      </c>
      <c r="N1908" s="1" t="s">
        <v>1283</v>
      </c>
      <c r="O1908" s="1" t="s">
        <v>1286</v>
      </c>
      <c r="P1908" s="34" t="str">
        <f t="shared" si="35"/>
        <v>F010</v>
      </c>
      <c r="Q1908" s="1" t="s">
        <v>137</v>
      </c>
      <c r="S1908" s="16">
        <v>20</v>
      </c>
      <c r="T1908" s="1" t="s">
        <v>4228</v>
      </c>
      <c r="U1908" s="1" t="s">
        <v>2368</v>
      </c>
      <c r="V1908" s="1" t="s">
        <v>2369</v>
      </c>
      <c r="Y1908" s="1">
        <v>7870.86</v>
      </c>
      <c r="AB1908" s="1">
        <v>427.86</v>
      </c>
    </row>
    <row r="1909" spans="2:28" x14ac:dyDescent="0.2">
      <c r="B1909" s="30" t="s">
        <v>2294</v>
      </c>
      <c r="C1909" s="36"/>
      <c r="D1909" s="36"/>
      <c r="F1909" s="1" t="s">
        <v>4229</v>
      </c>
      <c r="G1909" s="30" t="s">
        <v>4226</v>
      </c>
      <c r="K1909" s="1" t="s">
        <v>4231</v>
      </c>
      <c r="L1909" s="1" t="s">
        <v>1279</v>
      </c>
      <c r="M1909" s="36" t="s">
        <v>2368</v>
      </c>
      <c r="N1909" s="1" t="s">
        <v>4232</v>
      </c>
      <c r="O1909" s="1" t="s">
        <v>1286</v>
      </c>
      <c r="P1909" s="34" t="str">
        <f t="shared" si="35"/>
        <v>F010</v>
      </c>
      <c r="Q1909" s="1" t="s">
        <v>132</v>
      </c>
      <c r="S1909" s="16">
        <v>20</v>
      </c>
      <c r="T1909" s="1" t="s">
        <v>4228</v>
      </c>
      <c r="U1909" s="1" t="s">
        <v>2386</v>
      </c>
      <c r="V1909" s="1" t="s">
        <v>2127</v>
      </c>
      <c r="Y1909" s="1">
        <v>4480</v>
      </c>
      <c r="AB1909" s="1">
        <v>118.22</v>
      </c>
    </row>
    <row r="1910" spans="2:28" x14ac:dyDescent="0.2">
      <c r="B1910" s="30" t="s">
        <v>2294</v>
      </c>
      <c r="C1910" s="36"/>
      <c r="D1910" s="36"/>
      <c r="F1910" s="1" t="s">
        <v>4229</v>
      </c>
      <c r="G1910" s="30" t="s">
        <v>4226</v>
      </c>
      <c r="K1910" s="1" t="s">
        <v>4233</v>
      </c>
      <c r="L1910" s="1" t="s">
        <v>1279</v>
      </c>
      <c r="M1910" s="36" t="s">
        <v>2368</v>
      </c>
      <c r="N1910" s="1" t="s">
        <v>1290</v>
      </c>
      <c r="O1910" s="1" t="s">
        <v>1286</v>
      </c>
      <c r="P1910" s="34" t="str">
        <f t="shared" si="35"/>
        <v>F010</v>
      </c>
      <c r="Q1910" s="1" t="s">
        <v>1136</v>
      </c>
      <c r="S1910" s="16">
        <v>20</v>
      </c>
      <c r="T1910" s="1" t="s">
        <v>4228</v>
      </c>
      <c r="U1910" s="1" t="s">
        <v>2386</v>
      </c>
      <c r="V1910" s="1" t="s">
        <v>2127</v>
      </c>
      <c r="Y1910" s="1">
        <v>4480</v>
      </c>
      <c r="AB1910" s="1">
        <v>118.22</v>
      </c>
    </row>
    <row r="1911" spans="2:28" x14ac:dyDescent="0.2">
      <c r="B1911" s="30" t="s">
        <v>2294</v>
      </c>
      <c r="C1911" s="36"/>
      <c r="D1911" s="36"/>
      <c r="F1911" s="1" t="s">
        <v>4229</v>
      </c>
      <c r="G1911" s="30" t="s">
        <v>4226</v>
      </c>
      <c r="K1911" s="1" t="s">
        <v>4234</v>
      </c>
      <c r="L1911" s="1" t="s">
        <v>1279</v>
      </c>
      <c r="M1911" s="36" t="s">
        <v>2368</v>
      </c>
      <c r="N1911" s="1" t="s">
        <v>4235</v>
      </c>
      <c r="O1911" s="1" t="s">
        <v>1286</v>
      </c>
      <c r="P1911" s="34" t="str">
        <f t="shared" si="35"/>
        <v>F010</v>
      </c>
      <c r="Q1911" s="1" t="s">
        <v>130</v>
      </c>
      <c r="S1911" s="16">
        <v>20</v>
      </c>
      <c r="T1911" s="1" t="s">
        <v>4228</v>
      </c>
      <c r="U1911" s="1" t="s">
        <v>2386</v>
      </c>
      <c r="V1911" s="1" t="s">
        <v>2127</v>
      </c>
      <c r="Y1911" s="1">
        <v>4480</v>
      </c>
      <c r="AB1911" s="1">
        <v>118.22</v>
      </c>
    </row>
    <row r="1912" spans="2:28" x14ac:dyDescent="0.2">
      <c r="B1912" s="30" t="s">
        <v>2294</v>
      </c>
      <c r="C1912" s="36"/>
      <c r="D1912" s="36"/>
      <c r="F1912" s="1" t="s">
        <v>4229</v>
      </c>
      <c r="G1912" s="30" t="s">
        <v>4226</v>
      </c>
      <c r="K1912" s="1" t="s">
        <v>4236</v>
      </c>
      <c r="L1912" s="1" t="s">
        <v>1279</v>
      </c>
      <c r="M1912" s="36" t="s">
        <v>2368</v>
      </c>
      <c r="N1912" s="1" t="s">
        <v>1295</v>
      </c>
      <c r="O1912" s="1" t="s">
        <v>1286</v>
      </c>
      <c r="P1912" s="34" t="str">
        <f t="shared" si="35"/>
        <v>F010</v>
      </c>
      <c r="Q1912" s="1" t="s">
        <v>136</v>
      </c>
      <c r="S1912" s="16">
        <v>20</v>
      </c>
      <c r="T1912" s="1" t="s">
        <v>4228</v>
      </c>
      <c r="U1912" s="1" t="s">
        <v>2386</v>
      </c>
      <c r="V1912" s="1" t="s">
        <v>2127</v>
      </c>
      <c r="Y1912" s="1">
        <v>4480</v>
      </c>
      <c r="AB1912" s="1">
        <v>118.22</v>
      </c>
    </row>
    <row r="1913" spans="2:28" x14ac:dyDescent="0.2">
      <c r="B1913" s="30" t="s">
        <v>2294</v>
      </c>
      <c r="C1913" s="36"/>
      <c r="D1913" s="36"/>
      <c r="F1913" s="1" t="s">
        <v>4229</v>
      </c>
      <c r="G1913" s="30" t="s">
        <v>4226</v>
      </c>
      <c r="K1913" s="1" t="s">
        <v>4237</v>
      </c>
      <c r="L1913" s="1" t="s">
        <v>1279</v>
      </c>
      <c r="M1913" s="36" t="s">
        <v>2368</v>
      </c>
      <c r="N1913" s="1" t="s">
        <v>1288</v>
      </c>
      <c r="O1913" s="1" t="s">
        <v>1286</v>
      </c>
      <c r="P1913" s="34" t="str">
        <f t="shared" si="35"/>
        <v>F010</v>
      </c>
      <c r="Q1913" s="1" t="s">
        <v>129</v>
      </c>
      <c r="S1913" s="16">
        <v>20</v>
      </c>
      <c r="T1913" s="1" t="s">
        <v>4228</v>
      </c>
      <c r="U1913" s="1" t="s">
        <v>2386</v>
      </c>
      <c r="V1913" s="1" t="s">
        <v>2127</v>
      </c>
      <c r="Y1913" s="1">
        <v>4480</v>
      </c>
      <c r="AB1913" s="1">
        <v>118.22</v>
      </c>
    </row>
    <row r="1914" spans="2:28" x14ac:dyDescent="0.2">
      <c r="B1914" s="30" t="s">
        <v>2294</v>
      </c>
      <c r="C1914" s="36"/>
      <c r="D1914" s="36"/>
      <c r="F1914" s="1" t="s">
        <v>4229</v>
      </c>
      <c r="G1914" s="30" t="s">
        <v>4226</v>
      </c>
      <c r="K1914" s="1" t="s">
        <v>4238</v>
      </c>
      <c r="L1914" s="1" t="s">
        <v>1279</v>
      </c>
      <c r="M1914" s="36" t="s">
        <v>2368</v>
      </c>
      <c r="N1914" s="1" t="s">
        <v>1289</v>
      </c>
      <c r="O1914" s="1" t="s">
        <v>1286</v>
      </c>
      <c r="P1914" s="34" t="str">
        <f t="shared" si="35"/>
        <v>F010</v>
      </c>
      <c r="Q1914" s="1" t="s">
        <v>131</v>
      </c>
      <c r="S1914" s="16">
        <v>20</v>
      </c>
      <c r="T1914" s="1" t="s">
        <v>4228</v>
      </c>
      <c r="U1914" s="1" t="s">
        <v>2386</v>
      </c>
      <c r="V1914" s="1" t="s">
        <v>2127</v>
      </c>
      <c r="Y1914" s="1">
        <v>4480</v>
      </c>
      <c r="AB1914" s="1">
        <v>118.22</v>
      </c>
    </row>
    <row r="1915" spans="2:28" x14ac:dyDescent="0.2">
      <c r="B1915" s="30" t="s">
        <v>2294</v>
      </c>
      <c r="C1915" s="36"/>
      <c r="D1915" s="36"/>
      <c r="F1915" s="1" t="s">
        <v>4229</v>
      </c>
      <c r="G1915" s="30" t="s">
        <v>4226</v>
      </c>
      <c r="K1915" s="1" t="s">
        <v>4239</v>
      </c>
      <c r="L1915" s="1" t="s">
        <v>1279</v>
      </c>
      <c r="M1915" s="36" t="s">
        <v>2368</v>
      </c>
      <c r="N1915" s="1" t="s">
        <v>1293</v>
      </c>
      <c r="O1915" s="1" t="s">
        <v>1286</v>
      </c>
      <c r="P1915" s="34" t="str">
        <f t="shared" si="35"/>
        <v>F010</v>
      </c>
      <c r="Q1915" s="1" t="s">
        <v>134</v>
      </c>
      <c r="S1915" s="16">
        <v>20</v>
      </c>
      <c r="T1915" s="1" t="s">
        <v>4228</v>
      </c>
      <c r="U1915" s="1" t="s">
        <v>2386</v>
      </c>
      <c r="V1915" s="1" t="s">
        <v>2127</v>
      </c>
      <c r="Y1915" s="1">
        <v>4480</v>
      </c>
      <c r="AB1915" s="1">
        <v>118.22</v>
      </c>
    </row>
    <row r="1916" spans="2:28" s="58" customFormat="1" x14ac:dyDescent="0.2">
      <c r="B1916" s="56" t="s">
        <v>2294</v>
      </c>
      <c r="C1916" s="57">
        <v>13120</v>
      </c>
      <c r="D1916" s="48">
        <f t="shared" ref="D1916:D1979" si="37">+C1916/100000</f>
        <v>0.13120000000000001</v>
      </c>
      <c r="E1916" s="58" t="s">
        <v>1331</v>
      </c>
      <c r="F1916" s="58" t="s">
        <v>4229</v>
      </c>
      <c r="G1916" s="56" t="s">
        <v>4240</v>
      </c>
      <c r="K1916" s="58" t="s">
        <v>4241</v>
      </c>
      <c r="L1916" s="58" t="s">
        <v>1279</v>
      </c>
      <c r="M1916" s="58" t="s">
        <v>1415</v>
      </c>
      <c r="N1916" s="58" t="s">
        <v>1837</v>
      </c>
      <c r="O1916" s="58" t="s">
        <v>1286</v>
      </c>
      <c r="P1916" s="58" t="str">
        <f t="shared" si="35"/>
        <v>F010</v>
      </c>
      <c r="Q1916" s="58" t="s">
        <v>127</v>
      </c>
      <c r="S1916" s="59">
        <v>20</v>
      </c>
      <c r="T1916" s="58" t="s">
        <v>4228</v>
      </c>
      <c r="U1916" s="58" t="s">
        <v>2023</v>
      </c>
      <c r="V1916" s="58" t="s">
        <v>1805</v>
      </c>
      <c r="Y1916" s="58">
        <v>123389.66</v>
      </c>
      <c r="AB1916" s="58">
        <v>117220.23</v>
      </c>
    </row>
    <row r="1917" spans="2:28" s="58" customFormat="1" x14ac:dyDescent="0.2">
      <c r="B1917" s="56" t="s">
        <v>2294</v>
      </c>
      <c r="C1917" s="57">
        <v>350</v>
      </c>
      <c r="D1917" s="48">
        <f t="shared" si="37"/>
        <v>3.5000000000000001E-3</v>
      </c>
      <c r="E1917" s="58" t="s">
        <v>1357</v>
      </c>
      <c r="F1917" s="58" t="s">
        <v>4229</v>
      </c>
      <c r="G1917" s="56" t="s">
        <v>4240</v>
      </c>
      <c r="K1917" s="58" t="s">
        <v>4241</v>
      </c>
      <c r="L1917" s="58" t="s">
        <v>1279</v>
      </c>
      <c r="M1917" s="58" t="s">
        <v>1415</v>
      </c>
      <c r="N1917" s="58" t="s">
        <v>1564</v>
      </c>
      <c r="O1917" s="58" t="s">
        <v>1286</v>
      </c>
      <c r="P1917" s="58" t="str">
        <f t="shared" si="35"/>
        <v>F010</v>
      </c>
      <c r="Q1917" s="58" t="s">
        <v>127</v>
      </c>
      <c r="S1917" s="59">
        <v>20</v>
      </c>
      <c r="T1917" s="58" t="s">
        <v>4228</v>
      </c>
      <c r="U1917" s="58" t="s">
        <v>2023</v>
      </c>
      <c r="V1917" s="58" t="s">
        <v>1805</v>
      </c>
      <c r="Y1917" s="58">
        <v>3291.65</v>
      </c>
      <c r="AB1917" s="58">
        <v>3127.06</v>
      </c>
    </row>
    <row r="1918" spans="2:28" s="58" customFormat="1" x14ac:dyDescent="0.2">
      <c r="B1918" s="56" t="s">
        <v>2294</v>
      </c>
      <c r="C1918" s="57">
        <v>710</v>
      </c>
      <c r="D1918" s="48">
        <f t="shared" si="37"/>
        <v>7.1000000000000004E-3</v>
      </c>
      <c r="E1918" s="58" t="s">
        <v>1358</v>
      </c>
      <c r="F1918" s="58" t="s">
        <v>4229</v>
      </c>
      <c r="G1918" s="56" t="s">
        <v>4240</v>
      </c>
      <c r="K1918" s="58" t="s">
        <v>4241</v>
      </c>
      <c r="L1918" s="58" t="s">
        <v>1279</v>
      </c>
      <c r="M1918" s="58" t="s">
        <v>1415</v>
      </c>
      <c r="N1918" s="58" t="s">
        <v>2601</v>
      </c>
      <c r="O1918" s="58" t="s">
        <v>1286</v>
      </c>
      <c r="P1918" s="58" t="str">
        <f t="shared" si="35"/>
        <v>F010</v>
      </c>
      <c r="Q1918" s="58" t="s">
        <v>127</v>
      </c>
      <c r="S1918" s="59">
        <v>20</v>
      </c>
      <c r="T1918" s="58" t="s">
        <v>4228</v>
      </c>
      <c r="U1918" s="58" t="s">
        <v>2023</v>
      </c>
      <c r="V1918" s="58" t="s">
        <v>1805</v>
      </c>
      <c r="Y1918" s="58">
        <v>6677.34</v>
      </c>
      <c r="AB1918" s="58">
        <v>6343.47</v>
      </c>
    </row>
    <row r="1919" spans="2:28" s="58" customFormat="1" x14ac:dyDescent="0.2">
      <c r="B1919" s="56" t="s">
        <v>2294</v>
      </c>
      <c r="C1919" s="57">
        <v>1060</v>
      </c>
      <c r="D1919" s="48">
        <f t="shared" si="37"/>
        <v>1.06E-2</v>
      </c>
      <c r="E1919" s="58" t="s">
        <v>1361</v>
      </c>
      <c r="F1919" s="58" t="s">
        <v>4229</v>
      </c>
      <c r="G1919" s="56" t="s">
        <v>4240</v>
      </c>
      <c r="K1919" s="58" t="s">
        <v>4241</v>
      </c>
      <c r="L1919" s="58" t="s">
        <v>1279</v>
      </c>
      <c r="M1919" s="58" t="s">
        <v>1415</v>
      </c>
      <c r="N1919" s="58" t="s">
        <v>2866</v>
      </c>
      <c r="O1919" s="58" t="s">
        <v>1286</v>
      </c>
      <c r="P1919" s="58" t="str">
        <f t="shared" si="35"/>
        <v>F010</v>
      </c>
      <c r="Q1919" s="58" t="s">
        <v>127</v>
      </c>
      <c r="S1919" s="59">
        <v>20</v>
      </c>
      <c r="T1919" s="58" t="s">
        <v>4228</v>
      </c>
      <c r="U1919" s="58" t="s">
        <v>2023</v>
      </c>
      <c r="V1919" s="58" t="s">
        <v>1805</v>
      </c>
      <c r="Y1919" s="58">
        <v>9968.98</v>
      </c>
      <c r="AB1919" s="58">
        <v>9470.5300000000007</v>
      </c>
    </row>
    <row r="1920" spans="2:28" s="58" customFormat="1" x14ac:dyDescent="0.2">
      <c r="B1920" s="56" t="s">
        <v>2294</v>
      </c>
      <c r="C1920" s="57">
        <v>1060</v>
      </c>
      <c r="D1920" s="48">
        <f t="shared" si="37"/>
        <v>1.06E-2</v>
      </c>
      <c r="E1920" s="58" t="s">
        <v>1362</v>
      </c>
      <c r="F1920" s="58" t="s">
        <v>4229</v>
      </c>
      <c r="G1920" s="56" t="s">
        <v>4240</v>
      </c>
      <c r="K1920" s="58" t="s">
        <v>4241</v>
      </c>
      <c r="L1920" s="58" t="s">
        <v>1279</v>
      </c>
      <c r="M1920" s="58" t="s">
        <v>1415</v>
      </c>
      <c r="N1920" s="58" t="s">
        <v>1556</v>
      </c>
      <c r="O1920" s="58" t="s">
        <v>1286</v>
      </c>
      <c r="P1920" s="58" t="str">
        <f t="shared" si="35"/>
        <v>F010</v>
      </c>
      <c r="Q1920" s="58" t="s">
        <v>127</v>
      </c>
      <c r="S1920" s="59">
        <v>20</v>
      </c>
      <c r="T1920" s="58" t="s">
        <v>4228</v>
      </c>
      <c r="U1920" s="58" t="s">
        <v>2023</v>
      </c>
      <c r="V1920" s="58" t="s">
        <v>1805</v>
      </c>
      <c r="Y1920" s="58">
        <v>9968.98</v>
      </c>
      <c r="AB1920" s="58">
        <v>9470.5300000000007</v>
      </c>
    </row>
    <row r="1921" spans="2:28" s="58" customFormat="1" x14ac:dyDescent="0.2">
      <c r="B1921" s="56" t="s">
        <v>2294</v>
      </c>
      <c r="C1921" s="57">
        <v>3550</v>
      </c>
      <c r="D1921" s="48">
        <f t="shared" si="37"/>
        <v>3.5499999999999997E-2</v>
      </c>
      <c r="E1921" s="58" t="s">
        <v>1363</v>
      </c>
      <c r="F1921" s="58" t="s">
        <v>4229</v>
      </c>
      <c r="G1921" s="56" t="s">
        <v>4240</v>
      </c>
      <c r="K1921" s="58" t="s">
        <v>4241</v>
      </c>
      <c r="L1921" s="58" t="s">
        <v>1279</v>
      </c>
      <c r="M1921" s="58" t="s">
        <v>1415</v>
      </c>
      <c r="N1921" s="58" t="s">
        <v>1614</v>
      </c>
      <c r="O1921" s="58" t="s">
        <v>1286</v>
      </c>
      <c r="P1921" s="58" t="str">
        <f t="shared" si="35"/>
        <v>F010</v>
      </c>
      <c r="Q1921" s="58" t="s">
        <v>127</v>
      </c>
      <c r="S1921" s="59">
        <v>20</v>
      </c>
      <c r="T1921" s="58" t="s">
        <v>4228</v>
      </c>
      <c r="U1921" s="58" t="s">
        <v>2023</v>
      </c>
      <c r="V1921" s="58" t="s">
        <v>1805</v>
      </c>
      <c r="Y1921" s="58">
        <v>33386.69</v>
      </c>
      <c r="AB1921" s="58">
        <v>31717.35</v>
      </c>
    </row>
    <row r="1922" spans="2:28" s="58" customFormat="1" x14ac:dyDescent="0.2">
      <c r="B1922" s="56" t="s">
        <v>2294</v>
      </c>
      <c r="C1922" s="57">
        <v>1420</v>
      </c>
      <c r="D1922" s="48">
        <f t="shared" si="37"/>
        <v>1.4200000000000001E-2</v>
      </c>
      <c r="E1922" s="58" t="s">
        <v>1364</v>
      </c>
      <c r="F1922" s="58" t="s">
        <v>4229</v>
      </c>
      <c r="G1922" s="56" t="s">
        <v>4240</v>
      </c>
      <c r="K1922" s="58" t="s">
        <v>4241</v>
      </c>
      <c r="L1922" s="58" t="s">
        <v>1279</v>
      </c>
      <c r="M1922" s="58" t="s">
        <v>1415</v>
      </c>
      <c r="N1922" s="58" t="s">
        <v>1637</v>
      </c>
      <c r="O1922" s="58" t="s">
        <v>1286</v>
      </c>
      <c r="P1922" s="58" t="str">
        <f t="shared" si="35"/>
        <v>F010</v>
      </c>
      <c r="Q1922" s="58" t="s">
        <v>127</v>
      </c>
      <c r="S1922" s="59">
        <v>20</v>
      </c>
      <c r="T1922" s="58" t="s">
        <v>4228</v>
      </c>
      <c r="U1922" s="58" t="s">
        <v>2023</v>
      </c>
      <c r="V1922" s="58" t="s">
        <v>1805</v>
      </c>
      <c r="Y1922" s="58">
        <v>13354.67</v>
      </c>
      <c r="AB1922" s="58">
        <v>12686.94</v>
      </c>
    </row>
    <row r="1923" spans="2:28" s="58" customFormat="1" x14ac:dyDescent="0.2">
      <c r="B1923" s="56" t="s">
        <v>2294</v>
      </c>
      <c r="C1923" s="57">
        <v>1060</v>
      </c>
      <c r="D1923" s="48">
        <f t="shared" si="37"/>
        <v>1.06E-2</v>
      </c>
      <c r="E1923" s="58" t="s">
        <v>1365</v>
      </c>
      <c r="F1923" s="58" t="s">
        <v>4229</v>
      </c>
      <c r="G1923" s="56" t="s">
        <v>4240</v>
      </c>
      <c r="K1923" s="58" t="s">
        <v>4241</v>
      </c>
      <c r="L1923" s="58" t="s">
        <v>1279</v>
      </c>
      <c r="M1923" s="58" t="s">
        <v>1415</v>
      </c>
      <c r="N1923" s="58" t="s">
        <v>1642</v>
      </c>
      <c r="O1923" s="58" t="s">
        <v>1286</v>
      </c>
      <c r="P1923" s="58" t="str">
        <f t="shared" si="35"/>
        <v>F010</v>
      </c>
      <c r="Q1923" s="58" t="s">
        <v>127</v>
      </c>
      <c r="S1923" s="59">
        <v>20</v>
      </c>
      <c r="T1923" s="58" t="s">
        <v>4228</v>
      </c>
      <c r="U1923" s="58" t="s">
        <v>2023</v>
      </c>
      <c r="V1923" s="58" t="s">
        <v>1805</v>
      </c>
      <c r="Y1923" s="58">
        <v>9968.98</v>
      </c>
      <c r="AB1923" s="58">
        <v>9470.5300000000007</v>
      </c>
    </row>
    <row r="1924" spans="2:28" s="58" customFormat="1" x14ac:dyDescent="0.2">
      <c r="B1924" s="56" t="s">
        <v>2294</v>
      </c>
      <c r="C1924" s="57">
        <v>720</v>
      </c>
      <c r="D1924" s="48">
        <f t="shared" si="37"/>
        <v>7.1999999999999998E-3</v>
      </c>
      <c r="E1924" s="58" t="s">
        <v>1366</v>
      </c>
      <c r="F1924" s="58" t="s">
        <v>4229</v>
      </c>
      <c r="G1924" s="56" t="s">
        <v>4240</v>
      </c>
      <c r="K1924" s="58" t="s">
        <v>4241</v>
      </c>
      <c r="L1924" s="58" t="s">
        <v>1279</v>
      </c>
      <c r="M1924" s="58" t="s">
        <v>1415</v>
      </c>
      <c r="N1924" s="58" t="s">
        <v>2271</v>
      </c>
      <c r="O1924" s="58" t="s">
        <v>1286</v>
      </c>
      <c r="P1924" s="58" t="str">
        <f t="shared" si="35"/>
        <v>F010</v>
      </c>
      <c r="Q1924" s="58" t="s">
        <v>127</v>
      </c>
      <c r="S1924" s="59">
        <v>20</v>
      </c>
      <c r="T1924" s="58" t="s">
        <v>4228</v>
      </c>
      <c r="U1924" s="58" t="s">
        <v>2023</v>
      </c>
      <c r="V1924" s="58" t="s">
        <v>1805</v>
      </c>
      <c r="Y1924" s="58">
        <v>6771.38</v>
      </c>
      <c r="AB1924" s="58">
        <v>6432.81</v>
      </c>
    </row>
    <row r="1925" spans="2:28" s="58" customFormat="1" x14ac:dyDescent="0.2">
      <c r="B1925" s="56" t="s">
        <v>2294</v>
      </c>
      <c r="C1925" s="57">
        <v>7090</v>
      </c>
      <c r="D1925" s="48">
        <f t="shared" si="37"/>
        <v>7.0900000000000005E-2</v>
      </c>
      <c r="E1925" s="58" t="s">
        <v>1386</v>
      </c>
      <c r="F1925" s="58" t="s">
        <v>4229</v>
      </c>
      <c r="G1925" s="56" t="s">
        <v>4240</v>
      </c>
      <c r="K1925" s="58" t="s">
        <v>4241</v>
      </c>
      <c r="L1925" s="58" t="s">
        <v>1279</v>
      </c>
      <c r="M1925" s="58" t="s">
        <v>1415</v>
      </c>
      <c r="N1925" s="58" t="s">
        <v>1715</v>
      </c>
      <c r="O1925" s="58" t="s">
        <v>1286</v>
      </c>
      <c r="P1925" s="58" t="str">
        <f t="shared" si="35"/>
        <v>F010</v>
      </c>
      <c r="Q1925" s="58" t="s">
        <v>127</v>
      </c>
      <c r="S1925" s="59">
        <v>20</v>
      </c>
      <c r="T1925" s="58" t="s">
        <v>4228</v>
      </c>
      <c r="U1925" s="58" t="s">
        <v>2023</v>
      </c>
      <c r="V1925" s="58" t="s">
        <v>1805</v>
      </c>
      <c r="Y1925" s="58">
        <v>66679.320000000007</v>
      </c>
      <c r="AB1925" s="58">
        <v>63345.36</v>
      </c>
    </row>
    <row r="1926" spans="2:28" s="58" customFormat="1" x14ac:dyDescent="0.2">
      <c r="B1926" s="56" t="s">
        <v>2294</v>
      </c>
      <c r="C1926" s="57">
        <v>2480</v>
      </c>
      <c r="D1926" s="48">
        <f t="shared" si="37"/>
        <v>2.4799999999999999E-2</v>
      </c>
      <c r="E1926" s="58" t="s">
        <v>1387</v>
      </c>
      <c r="F1926" s="58" t="s">
        <v>4229</v>
      </c>
      <c r="G1926" s="56" t="s">
        <v>4240</v>
      </c>
      <c r="K1926" s="58" t="s">
        <v>4241</v>
      </c>
      <c r="L1926" s="58" t="s">
        <v>1279</v>
      </c>
      <c r="M1926" s="58" t="s">
        <v>1415</v>
      </c>
      <c r="N1926" s="58" t="s">
        <v>1833</v>
      </c>
      <c r="O1926" s="58" t="s">
        <v>1286</v>
      </c>
      <c r="P1926" s="58" t="str">
        <f t="shared" si="35"/>
        <v>F010</v>
      </c>
      <c r="Q1926" s="58" t="s">
        <v>127</v>
      </c>
      <c r="S1926" s="59">
        <v>20</v>
      </c>
      <c r="T1926" s="58" t="s">
        <v>4228</v>
      </c>
      <c r="U1926" s="58" t="s">
        <v>2023</v>
      </c>
      <c r="V1926" s="58" t="s">
        <v>1805</v>
      </c>
      <c r="Y1926" s="58">
        <v>23323.66</v>
      </c>
      <c r="AB1926" s="58">
        <v>22157.47</v>
      </c>
    </row>
    <row r="1927" spans="2:28" s="58" customFormat="1" x14ac:dyDescent="0.2">
      <c r="B1927" s="56" t="s">
        <v>2294</v>
      </c>
      <c r="C1927" s="57">
        <v>7450</v>
      </c>
      <c r="D1927" s="48">
        <f t="shared" si="37"/>
        <v>7.4499999999999997E-2</v>
      </c>
      <c r="E1927" s="58" t="s">
        <v>1337</v>
      </c>
      <c r="F1927" s="58" t="s">
        <v>4229</v>
      </c>
      <c r="G1927" s="56" t="s">
        <v>4240</v>
      </c>
      <c r="K1927" s="58" t="s">
        <v>4241</v>
      </c>
      <c r="L1927" s="58" t="s">
        <v>1279</v>
      </c>
      <c r="M1927" s="58" t="s">
        <v>1415</v>
      </c>
      <c r="N1927" s="58" t="s">
        <v>1708</v>
      </c>
      <c r="O1927" s="58" t="s">
        <v>1286</v>
      </c>
      <c r="P1927" s="58" t="str">
        <f t="shared" si="35"/>
        <v>F010</v>
      </c>
      <c r="Q1927" s="58" t="s">
        <v>127</v>
      </c>
      <c r="S1927" s="59">
        <v>20</v>
      </c>
      <c r="T1927" s="58" t="s">
        <v>4228</v>
      </c>
      <c r="U1927" s="58" t="s">
        <v>2023</v>
      </c>
      <c r="V1927" s="58" t="s">
        <v>1805</v>
      </c>
      <c r="Y1927" s="58">
        <v>70065.02</v>
      </c>
      <c r="AB1927" s="58">
        <v>66561.759999999995</v>
      </c>
    </row>
    <row r="1928" spans="2:28" s="58" customFormat="1" x14ac:dyDescent="0.2">
      <c r="B1928" s="56" t="s">
        <v>2294</v>
      </c>
      <c r="C1928" s="57">
        <v>710</v>
      </c>
      <c r="D1928" s="48">
        <f t="shared" si="37"/>
        <v>7.1000000000000004E-3</v>
      </c>
      <c r="E1928" s="58" t="s">
        <v>1388</v>
      </c>
      <c r="F1928" s="58" t="s">
        <v>4229</v>
      </c>
      <c r="G1928" s="56" t="s">
        <v>4240</v>
      </c>
      <c r="K1928" s="58" t="s">
        <v>4241</v>
      </c>
      <c r="L1928" s="58" t="s">
        <v>1279</v>
      </c>
      <c r="M1928" s="58" t="s">
        <v>1415</v>
      </c>
      <c r="N1928" s="58" t="s">
        <v>2497</v>
      </c>
      <c r="O1928" s="58" t="s">
        <v>1286</v>
      </c>
      <c r="P1928" s="58" t="str">
        <f t="shared" si="35"/>
        <v>F010</v>
      </c>
      <c r="Q1928" s="58" t="s">
        <v>127</v>
      </c>
      <c r="S1928" s="59">
        <v>20</v>
      </c>
      <c r="T1928" s="58" t="s">
        <v>4228</v>
      </c>
      <c r="U1928" s="58" t="s">
        <v>2023</v>
      </c>
      <c r="V1928" s="58" t="s">
        <v>1805</v>
      </c>
      <c r="Y1928" s="58">
        <v>6677.34</v>
      </c>
      <c r="AB1928" s="58">
        <v>6343.47</v>
      </c>
    </row>
    <row r="1929" spans="2:28" s="58" customFormat="1" x14ac:dyDescent="0.2">
      <c r="B1929" s="56" t="s">
        <v>2294</v>
      </c>
      <c r="C1929" s="57">
        <v>4610</v>
      </c>
      <c r="D1929" s="48">
        <f t="shared" si="37"/>
        <v>4.6100000000000002E-2</v>
      </c>
      <c r="E1929" s="58" t="s">
        <v>1389</v>
      </c>
      <c r="F1929" s="58" t="s">
        <v>4229</v>
      </c>
      <c r="G1929" s="56" t="s">
        <v>4240</v>
      </c>
      <c r="K1929" s="58" t="s">
        <v>4241</v>
      </c>
      <c r="L1929" s="58" t="s">
        <v>1279</v>
      </c>
      <c r="M1929" s="58" t="s">
        <v>1415</v>
      </c>
      <c r="N1929" s="58" t="s">
        <v>1573</v>
      </c>
      <c r="O1929" s="58" t="s">
        <v>1286</v>
      </c>
      <c r="P1929" s="58" t="str">
        <f t="shared" si="35"/>
        <v>F010</v>
      </c>
      <c r="Q1929" s="58" t="s">
        <v>127</v>
      </c>
      <c r="S1929" s="59">
        <v>20</v>
      </c>
      <c r="T1929" s="58" t="s">
        <v>4228</v>
      </c>
      <c r="U1929" s="58" t="s">
        <v>2023</v>
      </c>
      <c r="V1929" s="58" t="s">
        <v>1805</v>
      </c>
      <c r="Y1929" s="58">
        <v>43355.67</v>
      </c>
      <c r="AB1929" s="58">
        <v>41187.879999999997</v>
      </c>
    </row>
    <row r="1930" spans="2:28" s="58" customFormat="1" x14ac:dyDescent="0.2">
      <c r="B1930" s="56" t="s">
        <v>2294</v>
      </c>
      <c r="C1930" s="57">
        <v>1770</v>
      </c>
      <c r="D1930" s="48">
        <f t="shared" si="37"/>
        <v>1.77E-2</v>
      </c>
      <c r="E1930" s="58" t="s">
        <v>1390</v>
      </c>
      <c r="F1930" s="58" t="s">
        <v>4229</v>
      </c>
      <c r="G1930" s="56" t="s">
        <v>4240</v>
      </c>
      <c r="K1930" s="58" t="s">
        <v>4241</v>
      </c>
      <c r="L1930" s="58" t="s">
        <v>1279</v>
      </c>
      <c r="M1930" s="58" t="s">
        <v>1415</v>
      </c>
      <c r="N1930" s="58" t="s">
        <v>3615</v>
      </c>
      <c r="O1930" s="58" t="s">
        <v>1286</v>
      </c>
      <c r="P1930" s="58" t="str">
        <f t="shared" si="35"/>
        <v>F010</v>
      </c>
      <c r="Q1930" s="58" t="s">
        <v>127</v>
      </c>
      <c r="S1930" s="59">
        <v>20</v>
      </c>
      <c r="T1930" s="58" t="s">
        <v>4228</v>
      </c>
      <c r="U1930" s="58" t="s">
        <v>2023</v>
      </c>
      <c r="V1930" s="58" t="s">
        <v>1805</v>
      </c>
      <c r="Y1930" s="58">
        <v>16646.32</v>
      </c>
      <c r="AB1930" s="58">
        <v>15814</v>
      </c>
    </row>
    <row r="1931" spans="2:28" s="58" customFormat="1" x14ac:dyDescent="0.2">
      <c r="B1931" s="56" t="s">
        <v>2294</v>
      </c>
      <c r="C1931" s="57">
        <v>720</v>
      </c>
      <c r="D1931" s="48">
        <f t="shared" si="37"/>
        <v>7.1999999999999998E-3</v>
      </c>
      <c r="E1931" s="58" t="s">
        <v>1391</v>
      </c>
      <c r="F1931" s="58" t="s">
        <v>4229</v>
      </c>
      <c r="G1931" s="56" t="s">
        <v>4240</v>
      </c>
      <c r="K1931" s="58" t="s">
        <v>4241</v>
      </c>
      <c r="L1931" s="58" t="s">
        <v>1279</v>
      </c>
      <c r="M1931" s="58" t="s">
        <v>1415</v>
      </c>
      <c r="N1931" s="58" t="s">
        <v>2486</v>
      </c>
      <c r="O1931" s="58" t="s">
        <v>1286</v>
      </c>
      <c r="P1931" s="58" t="str">
        <f t="shared" si="35"/>
        <v>F010</v>
      </c>
      <c r="Q1931" s="58" t="s">
        <v>127</v>
      </c>
      <c r="S1931" s="59">
        <v>20</v>
      </c>
      <c r="T1931" s="58" t="s">
        <v>4228</v>
      </c>
      <c r="U1931" s="58" t="s">
        <v>2023</v>
      </c>
      <c r="V1931" s="58" t="s">
        <v>1805</v>
      </c>
      <c r="Y1931" s="58">
        <v>6771.38</v>
      </c>
      <c r="AB1931" s="58">
        <v>6432.81</v>
      </c>
    </row>
    <row r="1932" spans="2:28" s="58" customFormat="1" x14ac:dyDescent="0.2">
      <c r="B1932" s="56" t="s">
        <v>2294</v>
      </c>
      <c r="C1932" s="57">
        <v>1420</v>
      </c>
      <c r="D1932" s="48">
        <f t="shared" si="37"/>
        <v>1.4200000000000001E-2</v>
      </c>
      <c r="E1932" s="58" t="s">
        <v>1392</v>
      </c>
      <c r="F1932" s="58" t="s">
        <v>4229</v>
      </c>
      <c r="G1932" s="56" t="s">
        <v>4240</v>
      </c>
      <c r="K1932" s="58" t="s">
        <v>4241</v>
      </c>
      <c r="L1932" s="58" t="s">
        <v>1279</v>
      </c>
      <c r="M1932" s="58" t="s">
        <v>1415</v>
      </c>
      <c r="N1932" s="58" t="s">
        <v>1630</v>
      </c>
      <c r="O1932" s="58" t="s">
        <v>1286</v>
      </c>
      <c r="P1932" s="58" t="str">
        <f t="shared" si="35"/>
        <v>F010</v>
      </c>
      <c r="Q1932" s="58" t="s">
        <v>127</v>
      </c>
      <c r="S1932" s="59">
        <v>20</v>
      </c>
      <c r="T1932" s="58" t="s">
        <v>4228</v>
      </c>
      <c r="U1932" s="58" t="s">
        <v>2023</v>
      </c>
      <c r="V1932" s="58" t="s">
        <v>1805</v>
      </c>
      <c r="Y1932" s="58">
        <v>13354.67</v>
      </c>
      <c r="AB1932" s="58">
        <v>12686.94</v>
      </c>
    </row>
    <row r="1933" spans="2:28" s="58" customFormat="1" x14ac:dyDescent="0.2">
      <c r="B1933" s="56" t="s">
        <v>2294</v>
      </c>
      <c r="C1933" s="57">
        <v>1770</v>
      </c>
      <c r="D1933" s="48">
        <f t="shared" si="37"/>
        <v>1.77E-2</v>
      </c>
      <c r="E1933" s="58" t="s">
        <v>1348</v>
      </c>
      <c r="F1933" s="58" t="s">
        <v>4229</v>
      </c>
      <c r="G1933" s="56" t="s">
        <v>4240</v>
      </c>
      <c r="K1933" s="58" t="s">
        <v>4241</v>
      </c>
      <c r="L1933" s="58" t="s">
        <v>1279</v>
      </c>
      <c r="M1933" s="58" t="s">
        <v>1415</v>
      </c>
      <c r="N1933" s="58" t="s">
        <v>1294</v>
      </c>
      <c r="O1933" s="58" t="s">
        <v>1286</v>
      </c>
      <c r="P1933" s="58" t="str">
        <f t="shared" si="35"/>
        <v>F010</v>
      </c>
      <c r="Q1933" s="58" t="s">
        <v>127</v>
      </c>
      <c r="S1933" s="59">
        <v>20</v>
      </c>
      <c r="T1933" s="58" t="s">
        <v>4228</v>
      </c>
      <c r="U1933" s="58" t="s">
        <v>2023</v>
      </c>
      <c r="V1933" s="58" t="s">
        <v>1805</v>
      </c>
      <c r="Y1933" s="58">
        <v>16646.32</v>
      </c>
      <c r="AB1933" s="58">
        <v>15814</v>
      </c>
    </row>
    <row r="1934" spans="2:28" s="58" customFormat="1" x14ac:dyDescent="0.2">
      <c r="B1934" s="56" t="s">
        <v>2294</v>
      </c>
      <c r="C1934" s="57">
        <v>10640</v>
      </c>
      <c r="D1934" s="48">
        <f t="shared" si="37"/>
        <v>0.10639999999999999</v>
      </c>
      <c r="E1934" s="58" t="s">
        <v>1351</v>
      </c>
      <c r="F1934" s="58" t="s">
        <v>4229</v>
      </c>
      <c r="G1934" s="56" t="s">
        <v>4240</v>
      </c>
      <c r="K1934" s="58" t="s">
        <v>4241</v>
      </c>
      <c r="L1934" s="58" t="s">
        <v>1279</v>
      </c>
      <c r="M1934" s="58" t="s">
        <v>1415</v>
      </c>
      <c r="N1934" s="58" t="s">
        <v>1788</v>
      </c>
      <c r="O1934" s="58" t="s">
        <v>1286</v>
      </c>
      <c r="P1934" s="58" t="str">
        <f t="shared" si="35"/>
        <v>F010</v>
      </c>
      <c r="Q1934" s="58" t="s">
        <v>127</v>
      </c>
      <c r="S1934" s="59">
        <v>20</v>
      </c>
      <c r="T1934" s="58" t="s">
        <v>4228</v>
      </c>
      <c r="U1934" s="58" t="s">
        <v>2023</v>
      </c>
      <c r="V1934" s="58" t="s">
        <v>1805</v>
      </c>
      <c r="Y1934" s="58">
        <v>100066.01</v>
      </c>
      <c r="AB1934" s="58">
        <v>95062.71</v>
      </c>
    </row>
    <row r="1935" spans="2:28" s="58" customFormat="1" x14ac:dyDescent="0.2">
      <c r="B1935" s="56" t="s">
        <v>2294</v>
      </c>
      <c r="C1935" s="57">
        <v>5320</v>
      </c>
      <c r="D1935" s="48">
        <f t="shared" si="37"/>
        <v>5.3199999999999997E-2</v>
      </c>
      <c r="E1935" s="58" t="s">
        <v>1352</v>
      </c>
      <c r="F1935" s="58" t="s">
        <v>4229</v>
      </c>
      <c r="G1935" s="56" t="s">
        <v>4240</v>
      </c>
      <c r="K1935" s="58" t="s">
        <v>4241</v>
      </c>
      <c r="L1935" s="58" t="s">
        <v>1279</v>
      </c>
      <c r="M1935" s="58" t="s">
        <v>1415</v>
      </c>
      <c r="N1935" s="58" t="s">
        <v>1284</v>
      </c>
      <c r="O1935" s="58" t="s">
        <v>1286</v>
      </c>
      <c r="P1935" s="58" t="str">
        <f t="shared" si="35"/>
        <v>F010</v>
      </c>
      <c r="Q1935" s="58" t="s">
        <v>127</v>
      </c>
      <c r="S1935" s="59">
        <v>20</v>
      </c>
      <c r="T1935" s="58" t="s">
        <v>4228</v>
      </c>
      <c r="U1935" s="58" t="s">
        <v>2023</v>
      </c>
      <c r="V1935" s="58" t="s">
        <v>1805</v>
      </c>
      <c r="Y1935" s="58">
        <v>50033</v>
      </c>
      <c r="AB1935" s="58">
        <v>47531.35</v>
      </c>
    </row>
    <row r="1936" spans="2:28" s="58" customFormat="1" x14ac:dyDescent="0.2">
      <c r="B1936" s="56" t="s">
        <v>2294</v>
      </c>
      <c r="C1936" s="57">
        <v>1770</v>
      </c>
      <c r="D1936" s="48">
        <f t="shared" si="37"/>
        <v>1.77E-2</v>
      </c>
      <c r="E1936" s="58" t="s">
        <v>1353</v>
      </c>
      <c r="F1936" s="58" t="s">
        <v>4229</v>
      </c>
      <c r="G1936" s="56" t="s">
        <v>4240</v>
      </c>
      <c r="K1936" s="58" t="s">
        <v>4241</v>
      </c>
      <c r="L1936" s="58" t="s">
        <v>1279</v>
      </c>
      <c r="M1936" s="58" t="s">
        <v>1415</v>
      </c>
      <c r="N1936" s="58" t="s">
        <v>1754</v>
      </c>
      <c r="O1936" s="58" t="s">
        <v>1286</v>
      </c>
      <c r="P1936" s="58" t="str">
        <f t="shared" si="35"/>
        <v>F010</v>
      </c>
      <c r="Q1936" s="58" t="s">
        <v>127</v>
      </c>
      <c r="S1936" s="59">
        <v>20</v>
      </c>
      <c r="T1936" s="58" t="s">
        <v>4228</v>
      </c>
      <c r="U1936" s="58" t="s">
        <v>2023</v>
      </c>
      <c r="V1936" s="58" t="s">
        <v>1805</v>
      </c>
      <c r="Y1936" s="58">
        <v>16646.32</v>
      </c>
      <c r="AB1936" s="58">
        <v>15814</v>
      </c>
    </row>
    <row r="1937" spans="2:28" s="58" customFormat="1" x14ac:dyDescent="0.2">
      <c r="B1937" s="56" t="s">
        <v>2294</v>
      </c>
      <c r="C1937" s="57">
        <v>14890</v>
      </c>
      <c r="D1937" s="48">
        <f t="shared" si="37"/>
        <v>0.1489</v>
      </c>
      <c r="E1937" s="58" t="s">
        <v>1367</v>
      </c>
      <c r="F1937" s="58" t="s">
        <v>4229</v>
      </c>
      <c r="G1937" s="56" t="s">
        <v>4240</v>
      </c>
      <c r="K1937" s="58" t="s">
        <v>4241</v>
      </c>
      <c r="L1937" s="58" t="s">
        <v>1279</v>
      </c>
      <c r="M1937" s="58" t="s">
        <v>1415</v>
      </c>
      <c r="N1937" s="58" t="s">
        <v>1286</v>
      </c>
      <c r="O1937" s="58" t="s">
        <v>1286</v>
      </c>
      <c r="P1937" s="58" t="str">
        <f t="shared" si="35"/>
        <v>F010</v>
      </c>
      <c r="Q1937" s="58" t="s">
        <v>127</v>
      </c>
      <c r="S1937" s="59">
        <v>20</v>
      </c>
      <c r="T1937" s="58" t="s">
        <v>4228</v>
      </c>
      <c r="U1937" s="58" t="s">
        <v>2023</v>
      </c>
      <c r="V1937" s="58" t="s">
        <v>1805</v>
      </c>
      <c r="Y1937" s="58">
        <v>140035.98000000001</v>
      </c>
      <c r="AB1937" s="58">
        <v>133034.18</v>
      </c>
    </row>
    <row r="1938" spans="2:28" s="58" customFormat="1" x14ac:dyDescent="0.2">
      <c r="B1938" s="56" t="s">
        <v>2294</v>
      </c>
      <c r="C1938" s="57">
        <v>15250</v>
      </c>
      <c r="D1938" s="48">
        <f t="shared" si="37"/>
        <v>0.1525</v>
      </c>
      <c r="E1938" s="58" t="s">
        <v>1368</v>
      </c>
      <c r="F1938" s="58" t="s">
        <v>4229</v>
      </c>
      <c r="G1938" s="56" t="s">
        <v>4240</v>
      </c>
      <c r="K1938" s="58" t="s">
        <v>4241</v>
      </c>
      <c r="L1938" s="58" t="s">
        <v>1279</v>
      </c>
      <c r="M1938" s="58" t="s">
        <v>1415</v>
      </c>
      <c r="N1938" s="58" t="s">
        <v>1287</v>
      </c>
      <c r="O1938" s="58" t="s">
        <v>1286</v>
      </c>
      <c r="P1938" s="58" t="str">
        <f t="shared" si="35"/>
        <v>F010</v>
      </c>
      <c r="Q1938" s="58" t="s">
        <v>127</v>
      </c>
      <c r="S1938" s="59">
        <v>20</v>
      </c>
      <c r="T1938" s="58" t="s">
        <v>4228</v>
      </c>
      <c r="U1938" s="58" t="s">
        <v>2023</v>
      </c>
      <c r="V1938" s="58" t="s">
        <v>1805</v>
      </c>
      <c r="Y1938" s="58">
        <v>143421.68</v>
      </c>
      <c r="AB1938" s="58">
        <v>136250.59</v>
      </c>
    </row>
    <row r="1939" spans="2:28" s="58" customFormat="1" x14ac:dyDescent="0.2">
      <c r="B1939" s="56" t="s">
        <v>2294</v>
      </c>
      <c r="C1939" s="57">
        <v>1060</v>
      </c>
      <c r="D1939" s="48">
        <f t="shared" si="37"/>
        <v>1.06E-2</v>
      </c>
      <c r="E1939" s="58" t="s">
        <v>1369</v>
      </c>
      <c r="F1939" s="58" t="s">
        <v>4229</v>
      </c>
      <c r="G1939" s="56" t="s">
        <v>4240</v>
      </c>
      <c r="K1939" s="58" t="s">
        <v>4241</v>
      </c>
      <c r="L1939" s="58" t="s">
        <v>1279</v>
      </c>
      <c r="M1939" s="58" t="s">
        <v>1415</v>
      </c>
      <c r="N1939" s="58" t="s">
        <v>1287</v>
      </c>
      <c r="O1939" s="58" t="s">
        <v>1286</v>
      </c>
      <c r="P1939" s="58" t="str">
        <f t="shared" si="35"/>
        <v>F010</v>
      </c>
      <c r="Q1939" s="58" t="s">
        <v>127</v>
      </c>
      <c r="S1939" s="59">
        <v>20</v>
      </c>
      <c r="T1939" s="58" t="s">
        <v>4228</v>
      </c>
      <c r="U1939" s="58" t="s">
        <v>2023</v>
      </c>
      <c r="V1939" s="58" t="s">
        <v>1805</v>
      </c>
      <c r="Y1939" s="58">
        <v>9968.98</v>
      </c>
      <c r="AB1939" s="58">
        <v>9470.5300000000007</v>
      </c>
    </row>
    <row r="1940" spans="2:28" s="58" customFormat="1" x14ac:dyDescent="0.2">
      <c r="B1940" s="56" t="s">
        <v>2294</v>
      </c>
      <c r="C1940" s="57">
        <v>12000</v>
      </c>
      <c r="D1940" s="48">
        <f t="shared" si="37"/>
        <v>0.12</v>
      </c>
      <c r="E1940" s="58" t="s">
        <v>1331</v>
      </c>
      <c r="F1940" s="58" t="s">
        <v>4229</v>
      </c>
      <c r="G1940" s="56" t="s">
        <v>4242</v>
      </c>
      <c r="K1940" s="58" t="s">
        <v>4243</v>
      </c>
      <c r="L1940" s="58" t="s">
        <v>1279</v>
      </c>
      <c r="M1940" s="58" t="s">
        <v>1375</v>
      </c>
      <c r="N1940" s="58" t="s">
        <v>2546</v>
      </c>
      <c r="O1940" s="58" t="s">
        <v>1286</v>
      </c>
      <c r="P1940" s="58" t="str">
        <f t="shared" si="35"/>
        <v>F010</v>
      </c>
      <c r="Q1940" s="58" t="s">
        <v>137</v>
      </c>
      <c r="S1940" s="59">
        <v>20</v>
      </c>
      <c r="T1940" s="58" t="s">
        <v>4228</v>
      </c>
      <c r="U1940" s="58" t="s">
        <v>3405</v>
      </c>
      <c r="V1940" s="58" t="s">
        <v>4244</v>
      </c>
      <c r="Y1940" s="58">
        <v>15940.56</v>
      </c>
      <c r="AB1940" s="58">
        <v>15143.53</v>
      </c>
    </row>
    <row r="1941" spans="2:28" s="58" customFormat="1" x14ac:dyDescent="0.2">
      <c r="B1941" s="56" t="s">
        <v>2294</v>
      </c>
      <c r="C1941" s="57">
        <v>6000</v>
      </c>
      <c r="D1941" s="48">
        <f t="shared" si="37"/>
        <v>0.06</v>
      </c>
      <c r="E1941" s="58" t="s">
        <v>1357</v>
      </c>
      <c r="F1941" s="58" t="s">
        <v>4229</v>
      </c>
      <c r="G1941" s="56" t="s">
        <v>4242</v>
      </c>
      <c r="K1941" s="58" t="s">
        <v>4243</v>
      </c>
      <c r="L1941" s="58" t="s">
        <v>1279</v>
      </c>
      <c r="M1941" s="58" t="s">
        <v>1375</v>
      </c>
      <c r="N1941" s="58" t="s">
        <v>3226</v>
      </c>
      <c r="O1941" s="58" t="s">
        <v>1286</v>
      </c>
      <c r="P1941" s="58" t="str">
        <f t="shared" si="35"/>
        <v>F010</v>
      </c>
      <c r="Q1941" s="58" t="s">
        <v>137</v>
      </c>
      <c r="S1941" s="59">
        <v>20</v>
      </c>
      <c r="T1941" s="58" t="s">
        <v>4228</v>
      </c>
      <c r="U1941" s="58" t="s">
        <v>3405</v>
      </c>
      <c r="V1941" s="58" t="s">
        <v>4244</v>
      </c>
      <c r="Y1941" s="58">
        <v>7970.28</v>
      </c>
      <c r="AB1941" s="58">
        <v>7571.77</v>
      </c>
    </row>
    <row r="1942" spans="2:28" s="58" customFormat="1" x14ac:dyDescent="0.2">
      <c r="B1942" s="56" t="s">
        <v>2294</v>
      </c>
      <c r="C1942" s="57">
        <v>6000</v>
      </c>
      <c r="D1942" s="48">
        <f t="shared" si="37"/>
        <v>0.06</v>
      </c>
      <c r="E1942" s="58" t="s">
        <v>1358</v>
      </c>
      <c r="F1942" s="58" t="s">
        <v>4229</v>
      </c>
      <c r="G1942" s="56" t="s">
        <v>4242</v>
      </c>
      <c r="K1942" s="58" t="s">
        <v>4243</v>
      </c>
      <c r="L1942" s="58" t="s">
        <v>1279</v>
      </c>
      <c r="M1942" s="58" t="s">
        <v>1375</v>
      </c>
      <c r="N1942" s="58" t="s">
        <v>2394</v>
      </c>
      <c r="O1942" s="58" t="s">
        <v>1286</v>
      </c>
      <c r="P1942" s="58" t="str">
        <f t="shared" si="35"/>
        <v>F010</v>
      </c>
      <c r="Q1942" s="58" t="s">
        <v>137</v>
      </c>
      <c r="S1942" s="59">
        <v>20</v>
      </c>
      <c r="T1942" s="58" t="s">
        <v>4228</v>
      </c>
      <c r="U1942" s="58" t="s">
        <v>3405</v>
      </c>
      <c r="V1942" s="58" t="s">
        <v>4244</v>
      </c>
      <c r="Y1942" s="58">
        <v>7970.28</v>
      </c>
      <c r="AB1942" s="58">
        <v>7571.77</v>
      </c>
    </row>
    <row r="1943" spans="2:28" s="58" customFormat="1" x14ac:dyDescent="0.2">
      <c r="B1943" s="56" t="s">
        <v>2294</v>
      </c>
      <c r="C1943" s="57">
        <v>3000</v>
      </c>
      <c r="D1943" s="48">
        <f t="shared" si="37"/>
        <v>0.03</v>
      </c>
      <c r="E1943" s="58" t="s">
        <v>1361</v>
      </c>
      <c r="F1943" s="58" t="s">
        <v>4229</v>
      </c>
      <c r="G1943" s="56" t="s">
        <v>4242</v>
      </c>
      <c r="K1943" s="58" t="s">
        <v>4243</v>
      </c>
      <c r="L1943" s="58" t="s">
        <v>1279</v>
      </c>
      <c r="M1943" s="58" t="s">
        <v>1375</v>
      </c>
      <c r="N1943" s="58" t="s">
        <v>3083</v>
      </c>
      <c r="O1943" s="58" t="s">
        <v>1286</v>
      </c>
      <c r="P1943" s="58" t="str">
        <f t="shared" si="35"/>
        <v>F010</v>
      </c>
      <c r="Q1943" s="58" t="s">
        <v>137</v>
      </c>
      <c r="S1943" s="59">
        <v>20</v>
      </c>
      <c r="T1943" s="58" t="s">
        <v>4228</v>
      </c>
      <c r="U1943" s="58" t="s">
        <v>3405</v>
      </c>
      <c r="V1943" s="58" t="s">
        <v>4244</v>
      </c>
      <c r="Y1943" s="58">
        <v>3985.14</v>
      </c>
      <c r="AB1943" s="58">
        <v>3785.88</v>
      </c>
    </row>
    <row r="1944" spans="2:28" s="58" customFormat="1" x14ac:dyDescent="0.2">
      <c r="B1944" s="56" t="s">
        <v>2294</v>
      </c>
      <c r="C1944" s="57">
        <v>3000</v>
      </c>
      <c r="D1944" s="48">
        <f t="shared" si="37"/>
        <v>0.03</v>
      </c>
      <c r="E1944" s="58" t="s">
        <v>1362</v>
      </c>
      <c r="F1944" s="58" t="s">
        <v>4229</v>
      </c>
      <c r="G1944" s="56" t="s">
        <v>4242</v>
      </c>
      <c r="K1944" s="58" t="s">
        <v>4243</v>
      </c>
      <c r="L1944" s="58" t="s">
        <v>1279</v>
      </c>
      <c r="M1944" s="58" t="s">
        <v>1375</v>
      </c>
      <c r="N1944" s="58" t="s">
        <v>2988</v>
      </c>
      <c r="O1944" s="58" t="s">
        <v>1286</v>
      </c>
      <c r="P1944" s="58" t="str">
        <f t="shared" si="35"/>
        <v>F010</v>
      </c>
      <c r="Q1944" s="58" t="s">
        <v>137</v>
      </c>
      <c r="S1944" s="59">
        <v>20</v>
      </c>
      <c r="T1944" s="58" t="s">
        <v>4228</v>
      </c>
      <c r="U1944" s="58" t="s">
        <v>3405</v>
      </c>
      <c r="V1944" s="58" t="s">
        <v>4244</v>
      </c>
      <c r="Y1944" s="58">
        <v>3985.14</v>
      </c>
      <c r="AB1944" s="58">
        <v>3785.88</v>
      </c>
    </row>
    <row r="1945" spans="2:28" s="58" customFormat="1" x14ac:dyDescent="0.2">
      <c r="B1945" s="56" t="s">
        <v>2294</v>
      </c>
      <c r="C1945" s="57">
        <v>6000</v>
      </c>
      <c r="D1945" s="48">
        <f t="shared" si="37"/>
        <v>0.06</v>
      </c>
      <c r="E1945" s="58" t="s">
        <v>1337</v>
      </c>
      <c r="F1945" s="58" t="s">
        <v>4229</v>
      </c>
      <c r="G1945" s="56" t="s">
        <v>4242</v>
      </c>
      <c r="K1945" s="58" t="s">
        <v>4243</v>
      </c>
      <c r="L1945" s="58" t="s">
        <v>1279</v>
      </c>
      <c r="M1945" s="58" t="s">
        <v>1375</v>
      </c>
      <c r="N1945" s="58" t="s">
        <v>1281</v>
      </c>
      <c r="O1945" s="58" t="s">
        <v>1286</v>
      </c>
      <c r="P1945" s="58" t="str">
        <f t="shared" si="35"/>
        <v>F010</v>
      </c>
      <c r="Q1945" s="58" t="s">
        <v>137</v>
      </c>
      <c r="S1945" s="59">
        <v>20</v>
      </c>
      <c r="T1945" s="58" t="s">
        <v>4228</v>
      </c>
      <c r="U1945" s="58" t="s">
        <v>3405</v>
      </c>
      <c r="V1945" s="58" t="s">
        <v>4244</v>
      </c>
      <c r="Y1945" s="58">
        <v>7970.28</v>
      </c>
      <c r="AB1945" s="58">
        <v>7571.77</v>
      </c>
    </row>
    <row r="1946" spans="2:28" s="58" customFormat="1" x14ac:dyDescent="0.2">
      <c r="B1946" s="56" t="s">
        <v>2294</v>
      </c>
      <c r="C1946" s="57">
        <v>13000</v>
      </c>
      <c r="D1946" s="48">
        <f t="shared" si="37"/>
        <v>0.13</v>
      </c>
      <c r="E1946" s="58" t="s">
        <v>1348</v>
      </c>
      <c r="F1946" s="58" t="s">
        <v>4229</v>
      </c>
      <c r="G1946" s="56" t="s">
        <v>4242</v>
      </c>
      <c r="K1946" s="58" t="s">
        <v>4243</v>
      </c>
      <c r="L1946" s="58" t="s">
        <v>1279</v>
      </c>
      <c r="M1946" s="58" t="s">
        <v>1375</v>
      </c>
      <c r="N1946" s="58" t="s">
        <v>3072</v>
      </c>
      <c r="O1946" s="58" t="s">
        <v>1286</v>
      </c>
      <c r="P1946" s="58" t="str">
        <f t="shared" si="35"/>
        <v>F010</v>
      </c>
      <c r="Q1946" s="58" t="s">
        <v>137</v>
      </c>
      <c r="S1946" s="59">
        <v>20</v>
      </c>
      <c r="T1946" s="58" t="s">
        <v>4228</v>
      </c>
      <c r="U1946" s="58" t="s">
        <v>3405</v>
      </c>
      <c r="V1946" s="58" t="s">
        <v>4244</v>
      </c>
      <c r="Y1946" s="58">
        <v>17268.939999999999</v>
      </c>
      <c r="AB1946" s="58">
        <v>16405.490000000002</v>
      </c>
    </row>
    <row r="1947" spans="2:28" s="58" customFormat="1" x14ac:dyDescent="0.2">
      <c r="B1947" s="56" t="s">
        <v>2294</v>
      </c>
      <c r="C1947" s="57">
        <v>9000</v>
      </c>
      <c r="D1947" s="48">
        <f t="shared" si="37"/>
        <v>0.09</v>
      </c>
      <c r="E1947" s="58" t="s">
        <v>1351</v>
      </c>
      <c r="F1947" s="58" t="s">
        <v>4229</v>
      </c>
      <c r="G1947" s="56" t="s">
        <v>4242</v>
      </c>
      <c r="K1947" s="58" t="s">
        <v>4243</v>
      </c>
      <c r="L1947" s="58" t="s">
        <v>1279</v>
      </c>
      <c r="M1947" s="58" t="s">
        <v>1375</v>
      </c>
      <c r="N1947" s="58" t="s">
        <v>1944</v>
      </c>
      <c r="O1947" s="58" t="s">
        <v>1286</v>
      </c>
      <c r="P1947" s="58" t="str">
        <f t="shared" si="35"/>
        <v>F010</v>
      </c>
      <c r="Q1947" s="58" t="s">
        <v>137</v>
      </c>
      <c r="S1947" s="59">
        <v>20</v>
      </c>
      <c r="T1947" s="58" t="s">
        <v>4228</v>
      </c>
      <c r="U1947" s="58" t="s">
        <v>3405</v>
      </c>
      <c r="V1947" s="58" t="s">
        <v>4244</v>
      </c>
      <c r="Y1947" s="58">
        <v>11955.42</v>
      </c>
      <c r="AB1947" s="58">
        <v>11357.65</v>
      </c>
    </row>
    <row r="1948" spans="2:28" s="58" customFormat="1" x14ac:dyDescent="0.2">
      <c r="B1948" s="56" t="s">
        <v>2294</v>
      </c>
      <c r="C1948" s="57">
        <v>3000</v>
      </c>
      <c r="D1948" s="48">
        <f t="shared" si="37"/>
        <v>0.03</v>
      </c>
      <c r="E1948" s="58" t="s">
        <v>1352</v>
      </c>
      <c r="F1948" s="58" t="s">
        <v>4229</v>
      </c>
      <c r="G1948" s="56" t="s">
        <v>4242</v>
      </c>
      <c r="K1948" s="58" t="s">
        <v>4243</v>
      </c>
      <c r="L1948" s="58" t="s">
        <v>1279</v>
      </c>
      <c r="M1948" s="58" t="s">
        <v>1375</v>
      </c>
      <c r="N1948" s="58" t="s">
        <v>3222</v>
      </c>
      <c r="O1948" s="58" t="s">
        <v>1286</v>
      </c>
      <c r="P1948" s="58" t="str">
        <f t="shared" si="35"/>
        <v>F010</v>
      </c>
      <c r="Q1948" s="58" t="s">
        <v>137</v>
      </c>
      <c r="S1948" s="59">
        <v>20</v>
      </c>
      <c r="T1948" s="58" t="s">
        <v>4228</v>
      </c>
      <c r="U1948" s="58" t="s">
        <v>3405</v>
      </c>
      <c r="V1948" s="58" t="s">
        <v>4244</v>
      </c>
      <c r="Y1948" s="58">
        <v>3985.14</v>
      </c>
      <c r="AB1948" s="58">
        <v>3785.88</v>
      </c>
    </row>
    <row r="1949" spans="2:28" s="58" customFormat="1" x14ac:dyDescent="0.2">
      <c r="B1949" s="56" t="s">
        <v>2294</v>
      </c>
      <c r="C1949" s="57">
        <v>10000</v>
      </c>
      <c r="D1949" s="48">
        <f t="shared" si="37"/>
        <v>0.1</v>
      </c>
      <c r="E1949" s="58" t="s">
        <v>1353</v>
      </c>
      <c r="F1949" s="58" t="s">
        <v>4229</v>
      </c>
      <c r="G1949" s="56" t="s">
        <v>4242</v>
      </c>
      <c r="K1949" s="58" t="s">
        <v>4243</v>
      </c>
      <c r="L1949" s="58" t="s">
        <v>1279</v>
      </c>
      <c r="M1949" s="58" t="s">
        <v>1375</v>
      </c>
      <c r="N1949" s="58" t="s">
        <v>3092</v>
      </c>
      <c r="O1949" s="58" t="s">
        <v>1286</v>
      </c>
      <c r="P1949" s="58" t="str">
        <f t="shared" si="35"/>
        <v>F010</v>
      </c>
      <c r="Q1949" s="58" t="s">
        <v>137</v>
      </c>
      <c r="S1949" s="59">
        <v>20</v>
      </c>
      <c r="T1949" s="58" t="s">
        <v>4228</v>
      </c>
      <c r="U1949" s="58" t="s">
        <v>3405</v>
      </c>
      <c r="V1949" s="58" t="s">
        <v>4244</v>
      </c>
      <c r="Y1949" s="58">
        <v>13283.8</v>
      </c>
      <c r="AB1949" s="58">
        <v>12619.61</v>
      </c>
    </row>
    <row r="1950" spans="2:28" s="58" customFormat="1" x14ac:dyDescent="0.2">
      <c r="B1950" s="56" t="s">
        <v>2294</v>
      </c>
      <c r="C1950" s="57">
        <v>20000</v>
      </c>
      <c r="D1950" s="48">
        <f t="shared" si="37"/>
        <v>0.2</v>
      </c>
      <c r="E1950" s="58" t="s">
        <v>1367</v>
      </c>
      <c r="F1950" s="58" t="s">
        <v>4229</v>
      </c>
      <c r="G1950" s="56" t="s">
        <v>4242</v>
      </c>
      <c r="K1950" s="58" t="s">
        <v>4243</v>
      </c>
      <c r="L1950" s="58" t="s">
        <v>1279</v>
      </c>
      <c r="M1950" s="58" t="s">
        <v>1375</v>
      </c>
      <c r="N1950" s="58" t="s">
        <v>6082</v>
      </c>
      <c r="O1950" s="58" t="s">
        <v>1286</v>
      </c>
      <c r="P1950" s="58" t="str">
        <f t="shared" si="35"/>
        <v>F010</v>
      </c>
      <c r="Q1950" s="58" t="s">
        <v>137</v>
      </c>
      <c r="S1950" s="59">
        <v>20</v>
      </c>
      <c r="T1950" s="58" t="s">
        <v>4245</v>
      </c>
      <c r="U1950" s="58" t="s">
        <v>3405</v>
      </c>
      <c r="V1950" s="58" t="s">
        <v>4244</v>
      </c>
      <c r="Y1950" s="58">
        <v>26567.599999999999</v>
      </c>
      <c r="AB1950" s="58">
        <v>25239.22</v>
      </c>
    </row>
    <row r="1951" spans="2:28" s="58" customFormat="1" x14ac:dyDescent="0.2">
      <c r="B1951" s="56" t="s">
        <v>2294</v>
      </c>
      <c r="C1951" s="57">
        <v>6000</v>
      </c>
      <c r="D1951" s="48">
        <f t="shared" si="37"/>
        <v>0.06</v>
      </c>
      <c r="E1951" s="58" t="s">
        <v>1368</v>
      </c>
      <c r="F1951" s="58" t="s">
        <v>4246</v>
      </c>
      <c r="G1951" s="56" t="s">
        <v>4242</v>
      </c>
      <c r="K1951" s="58" t="s">
        <v>4243</v>
      </c>
      <c r="L1951" s="58" t="s">
        <v>1279</v>
      </c>
      <c r="M1951" s="58" t="s">
        <v>1375</v>
      </c>
      <c r="N1951" s="58" t="s">
        <v>6083</v>
      </c>
      <c r="O1951" s="58" t="s">
        <v>1286</v>
      </c>
      <c r="P1951" s="58" t="str">
        <f t="shared" si="35"/>
        <v>F010</v>
      </c>
      <c r="Q1951" s="58" t="s">
        <v>137</v>
      </c>
      <c r="S1951" s="59">
        <v>20</v>
      </c>
      <c r="T1951" s="58" t="s">
        <v>4245</v>
      </c>
      <c r="U1951" s="58" t="s">
        <v>3405</v>
      </c>
      <c r="V1951" s="58" t="s">
        <v>4244</v>
      </c>
      <c r="Y1951" s="58">
        <v>7970.28</v>
      </c>
      <c r="AB1951" s="58">
        <v>7571.77</v>
      </c>
    </row>
    <row r="1952" spans="2:28" s="58" customFormat="1" x14ac:dyDescent="0.2">
      <c r="B1952" s="56" t="s">
        <v>2294</v>
      </c>
      <c r="C1952" s="57">
        <v>3000</v>
      </c>
      <c r="D1952" s="48">
        <f t="shared" si="37"/>
        <v>0.03</v>
      </c>
      <c r="E1952" s="58" t="s">
        <v>1369</v>
      </c>
      <c r="F1952" s="58" t="s">
        <v>4246</v>
      </c>
      <c r="G1952" s="56" t="s">
        <v>4242</v>
      </c>
      <c r="K1952" s="58" t="s">
        <v>4243</v>
      </c>
      <c r="L1952" s="58" t="s">
        <v>1279</v>
      </c>
      <c r="M1952" s="58" t="s">
        <v>1375</v>
      </c>
      <c r="N1952" s="58" t="s">
        <v>1687</v>
      </c>
      <c r="O1952" s="58" t="s">
        <v>1286</v>
      </c>
      <c r="P1952" s="58" t="str">
        <f t="shared" si="35"/>
        <v>F010</v>
      </c>
      <c r="Q1952" s="58" t="s">
        <v>137</v>
      </c>
      <c r="S1952" s="59">
        <v>20</v>
      </c>
      <c r="T1952" s="58" t="s">
        <v>4245</v>
      </c>
      <c r="U1952" s="58" t="s">
        <v>3405</v>
      </c>
      <c r="V1952" s="58" t="s">
        <v>4244</v>
      </c>
      <c r="Y1952" s="58">
        <v>3985.14</v>
      </c>
      <c r="AB1952" s="58">
        <v>3785.88</v>
      </c>
    </row>
    <row r="1953" spans="2:28" s="58" customFormat="1" x14ac:dyDescent="0.2">
      <c r="B1953" s="56" t="s">
        <v>2294</v>
      </c>
      <c r="C1953" s="57">
        <v>5000</v>
      </c>
      <c r="D1953" s="48">
        <f t="shared" si="37"/>
        <v>0.05</v>
      </c>
      <c r="E1953" s="58" t="s">
        <v>1331</v>
      </c>
      <c r="F1953" s="58" t="s">
        <v>4246</v>
      </c>
      <c r="G1953" s="56" t="s">
        <v>4242</v>
      </c>
      <c r="K1953" s="58" t="s">
        <v>4247</v>
      </c>
      <c r="L1953" s="58" t="s">
        <v>1279</v>
      </c>
      <c r="M1953" s="58" t="s">
        <v>2054</v>
      </c>
      <c r="N1953" s="58" t="s">
        <v>3072</v>
      </c>
      <c r="O1953" s="58" t="s">
        <v>1286</v>
      </c>
      <c r="P1953" s="58" t="str">
        <f t="shared" si="35"/>
        <v>F010</v>
      </c>
      <c r="Q1953" s="58" t="s">
        <v>137</v>
      </c>
      <c r="S1953" s="59">
        <v>20</v>
      </c>
      <c r="T1953" s="58" t="s">
        <v>4245</v>
      </c>
      <c r="U1953" s="58" t="s">
        <v>1533</v>
      </c>
      <c r="V1953" s="58" t="s">
        <v>1535</v>
      </c>
      <c r="Y1953" s="58">
        <v>18694.900000000001</v>
      </c>
      <c r="AB1953" s="58">
        <v>17760.16</v>
      </c>
    </row>
    <row r="1954" spans="2:28" s="58" customFormat="1" x14ac:dyDescent="0.2">
      <c r="B1954" s="56" t="s">
        <v>2294</v>
      </c>
      <c r="C1954" s="57">
        <v>7000</v>
      </c>
      <c r="D1954" s="48">
        <f t="shared" si="37"/>
        <v>7.0000000000000007E-2</v>
      </c>
      <c r="E1954" s="58" t="s">
        <v>1357</v>
      </c>
      <c r="F1954" s="58" t="s">
        <v>4246</v>
      </c>
      <c r="G1954" s="56" t="s">
        <v>4242</v>
      </c>
      <c r="K1954" s="58" t="s">
        <v>4247</v>
      </c>
      <c r="L1954" s="58" t="s">
        <v>1279</v>
      </c>
      <c r="M1954" s="58" t="s">
        <v>2054</v>
      </c>
      <c r="N1954" s="58" t="s">
        <v>2400</v>
      </c>
      <c r="O1954" s="58" t="s">
        <v>1286</v>
      </c>
      <c r="P1954" s="58" t="str">
        <f t="shared" si="35"/>
        <v>F010</v>
      </c>
      <c r="Q1954" s="58" t="s">
        <v>137</v>
      </c>
      <c r="S1954" s="59">
        <v>20</v>
      </c>
      <c r="T1954" s="58" t="s">
        <v>4245</v>
      </c>
      <c r="U1954" s="58" t="s">
        <v>1533</v>
      </c>
      <c r="V1954" s="58" t="s">
        <v>1535</v>
      </c>
      <c r="Y1954" s="58">
        <v>26172.86</v>
      </c>
      <c r="AB1954" s="58">
        <v>24864.22</v>
      </c>
    </row>
    <row r="1955" spans="2:28" s="58" customFormat="1" x14ac:dyDescent="0.2">
      <c r="B1955" s="56" t="s">
        <v>2294</v>
      </c>
      <c r="C1955" s="57">
        <v>5000</v>
      </c>
      <c r="D1955" s="48">
        <f t="shared" si="37"/>
        <v>0.05</v>
      </c>
      <c r="E1955" s="58" t="s">
        <v>1358</v>
      </c>
      <c r="F1955" s="58" t="s">
        <v>4246</v>
      </c>
      <c r="G1955" s="56" t="s">
        <v>4242</v>
      </c>
      <c r="K1955" s="58" t="s">
        <v>4247</v>
      </c>
      <c r="L1955" s="58" t="s">
        <v>1279</v>
      </c>
      <c r="M1955" s="58" t="s">
        <v>2054</v>
      </c>
      <c r="N1955" s="58" t="s">
        <v>6004</v>
      </c>
      <c r="O1955" s="58" t="s">
        <v>1286</v>
      </c>
      <c r="P1955" s="58" t="str">
        <f t="shared" si="35"/>
        <v>F010</v>
      </c>
      <c r="Q1955" s="58" t="s">
        <v>137</v>
      </c>
      <c r="S1955" s="59">
        <v>20</v>
      </c>
      <c r="T1955" s="58" t="s">
        <v>4245</v>
      </c>
      <c r="U1955" s="58" t="s">
        <v>1533</v>
      </c>
      <c r="V1955" s="58" t="s">
        <v>1535</v>
      </c>
      <c r="Y1955" s="58">
        <v>18694.900000000001</v>
      </c>
      <c r="AB1955" s="58">
        <v>17760.16</v>
      </c>
    </row>
    <row r="1956" spans="2:28" s="58" customFormat="1" x14ac:dyDescent="0.2">
      <c r="B1956" s="56" t="s">
        <v>2294</v>
      </c>
      <c r="C1956" s="57">
        <v>3000</v>
      </c>
      <c r="D1956" s="48">
        <f t="shared" si="37"/>
        <v>0.03</v>
      </c>
      <c r="E1956" s="58" t="s">
        <v>1361</v>
      </c>
      <c r="F1956" s="58" t="s">
        <v>4246</v>
      </c>
      <c r="G1956" s="56" t="s">
        <v>4242</v>
      </c>
      <c r="K1956" s="58" t="s">
        <v>4247</v>
      </c>
      <c r="L1956" s="58" t="s">
        <v>1279</v>
      </c>
      <c r="M1956" s="58" t="s">
        <v>2054</v>
      </c>
      <c r="N1956" s="58" t="s">
        <v>2988</v>
      </c>
      <c r="O1956" s="58" t="s">
        <v>1286</v>
      </c>
      <c r="P1956" s="58" t="str">
        <f t="shared" si="35"/>
        <v>F010</v>
      </c>
      <c r="Q1956" s="58" t="s">
        <v>137</v>
      </c>
      <c r="S1956" s="59">
        <v>20</v>
      </c>
      <c r="T1956" s="58" t="s">
        <v>4245</v>
      </c>
      <c r="U1956" s="58" t="s">
        <v>1533</v>
      </c>
      <c r="V1956" s="58" t="s">
        <v>1535</v>
      </c>
      <c r="Y1956" s="58">
        <v>11216.94</v>
      </c>
      <c r="AB1956" s="58">
        <v>10656.09</v>
      </c>
    </row>
    <row r="1957" spans="2:28" s="58" customFormat="1" x14ac:dyDescent="0.2">
      <c r="B1957" s="56" t="s">
        <v>2294</v>
      </c>
      <c r="C1957" s="57">
        <v>1000</v>
      </c>
      <c r="D1957" s="48">
        <f t="shared" si="37"/>
        <v>0.01</v>
      </c>
      <c r="E1957" s="58" t="s">
        <v>1362</v>
      </c>
      <c r="F1957" s="58" t="s">
        <v>4246</v>
      </c>
      <c r="G1957" s="56" t="s">
        <v>4242</v>
      </c>
      <c r="K1957" s="58" t="s">
        <v>4247</v>
      </c>
      <c r="L1957" s="58" t="s">
        <v>1279</v>
      </c>
      <c r="M1957" s="58" t="s">
        <v>2054</v>
      </c>
      <c r="N1957" s="58" t="s">
        <v>2546</v>
      </c>
      <c r="O1957" s="58" t="s">
        <v>1286</v>
      </c>
      <c r="P1957" s="58" t="str">
        <f t="shared" si="35"/>
        <v>F010</v>
      </c>
      <c r="Q1957" s="58" t="s">
        <v>137</v>
      </c>
      <c r="S1957" s="59">
        <v>20</v>
      </c>
      <c r="T1957" s="58" t="s">
        <v>4245</v>
      </c>
      <c r="U1957" s="58" t="s">
        <v>1533</v>
      </c>
      <c r="V1957" s="58" t="s">
        <v>1535</v>
      </c>
      <c r="Y1957" s="58">
        <v>3738.98</v>
      </c>
      <c r="AB1957" s="58">
        <v>3552.03</v>
      </c>
    </row>
    <row r="1958" spans="2:28" s="58" customFormat="1" x14ac:dyDescent="0.2">
      <c r="B1958" s="56" t="s">
        <v>2294</v>
      </c>
      <c r="C1958" s="57">
        <v>3000</v>
      </c>
      <c r="D1958" s="48">
        <f t="shared" si="37"/>
        <v>0.03</v>
      </c>
      <c r="E1958" s="58" t="s">
        <v>1363</v>
      </c>
      <c r="F1958" s="58" t="s">
        <v>4246</v>
      </c>
      <c r="G1958" s="56" t="s">
        <v>4242</v>
      </c>
      <c r="K1958" s="58" t="s">
        <v>4247</v>
      </c>
      <c r="L1958" s="58" t="s">
        <v>1279</v>
      </c>
      <c r="M1958" s="58" t="s">
        <v>2054</v>
      </c>
      <c r="N1958" s="58" t="s">
        <v>2546</v>
      </c>
      <c r="O1958" s="58" t="s">
        <v>1286</v>
      </c>
      <c r="P1958" s="58" t="str">
        <f t="shared" si="35"/>
        <v>F010</v>
      </c>
      <c r="Q1958" s="58" t="s">
        <v>137</v>
      </c>
      <c r="S1958" s="59">
        <v>20</v>
      </c>
      <c r="T1958" s="58" t="s">
        <v>4245</v>
      </c>
      <c r="U1958" s="58" t="s">
        <v>1533</v>
      </c>
      <c r="V1958" s="58" t="s">
        <v>1535</v>
      </c>
      <c r="Y1958" s="58">
        <v>11216.94</v>
      </c>
      <c r="AB1958" s="58">
        <v>10656.09</v>
      </c>
    </row>
    <row r="1959" spans="2:28" s="58" customFormat="1" x14ac:dyDescent="0.2">
      <c r="B1959" s="56" t="s">
        <v>2294</v>
      </c>
      <c r="C1959" s="57">
        <v>1000</v>
      </c>
      <c r="D1959" s="48">
        <f t="shared" si="37"/>
        <v>0.01</v>
      </c>
      <c r="E1959" s="58" t="s">
        <v>1364</v>
      </c>
      <c r="F1959" s="58" t="s">
        <v>4246</v>
      </c>
      <c r="G1959" s="56" t="s">
        <v>4242</v>
      </c>
      <c r="K1959" s="58" t="s">
        <v>4247</v>
      </c>
      <c r="L1959" s="58" t="s">
        <v>1279</v>
      </c>
      <c r="M1959" s="58" t="s">
        <v>2054</v>
      </c>
      <c r="N1959" s="58" t="s">
        <v>1282</v>
      </c>
      <c r="O1959" s="58" t="s">
        <v>1286</v>
      </c>
      <c r="P1959" s="58" t="str">
        <f t="shared" si="35"/>
        <v>F010</v>
      </c>
      <c r="Q1959" s="58" t="s">
        <v>137</v>
      </c>
      <c r="S1959" s="59">
        <v>20</v>
      </c>
      <c r="T1959" s="58" t="s">
        <v>4245</v>
      </c>
      <c r="U1959" s="58" t="s">
        <v>1533</v>
      </c>
      <c r="V1959" s="58" t="s">
        <v>1535</v>
      </c>
      <c r="Y1959" s="58">
        <v>3738.98</v>
      </c>
      <c r="AB1959" s="58">
        <v>3552.03</v>
      </c>
    </row>
    <row r="1960" spans="2:28" s="58" customFormat="1" x14ac:dyDescent="0.2">
      <c r="B1960" s="56" t="s">
        <v>2294</v>
      </c>
      <c r="C1960" s="57">
        <v>3000</v>
      </c>
      <c r="D1960" s="48">
        <f t="shared" si="37"/>
        <v>0.03</v>
      </c>
      <c r="E1960" s="58" t="s">
        <v>1365</v>
      </c>
      <c r="F1960" s="58" t="s">
        <v>4246</v>
      </c>
      <c r="G1960" s="56" t="s">
        <v>4242</v>
      </c>
      <c r="K1960" s="58" t="s">
        <v>4247</v>
      </c>
      <c r="L1960" s="58" t="s">
        <v>1279</v>
      </c>
      <c r="M1960" s="58" t="s">
        <v>2054</v>
      </c>
      <c r="N1960" s="58" t="s">
        <v>2543</v>
      </c>
      <c r="O1960" s="58" t="s">
        <v>1286</v>
      </c>
      <c r="P1960" s="58" t="str">
        <f t="shared" si="35"/>
        <v>F010</v>
      </c>
      <c r="Q1960" s="58" t="s">
        <v>137</v>
      </c>
      <c r="S1960" s="59">
        <v>20</v>
      </c>
      <c r="T1960" s="58" t="s">
        <v>4245</v>
      </c>
      <c r="U1960" s="58" t="s">
        <v>1533</v>
      </c>
      <c r="V1960" s="58" t="s">
        <v>1535</v>
      </c>
      <c r="Y1960" s="58">
        <v>11216.94</v>
      </c>
      <c r="AB1960" s="58">
        <v>10656.09</v>
      </c>
    </row>
    <row r="1961" spans="2:28" s="58" customFormat="1" x14ac:dyDescent="0.2">
      <c r="B1961" s="56" t="s">
        <v>2294</v>
      </c>
      <c r="C1961" s="57">
        <v>1000</v>
      </c>
      <c r="D1961" s="48">
        <f t="shared" si="37"/>
        <v>0.01</v>
      </c>
      <c r="E1961" s="58" t="s">
        <v>1366</v>
      </c>
      <c r="F1961" s="58" t="s">
        <v>4246</v>
      </c>
      <c r="G1961" s="56" t="s">
        <v>4242</v>
      </c>
      <c r="K1961" s="58" t="s">
        <v>4247</v>
      </c>
      <c r="L1961" s="58" t="s">
        <v>1279</v>
      </c>
      <c r="M1961" s="58" t="s">
        <v>2054</v>
      </c>
      <c r="N1961" s="58" t="s">
        <v>6082</v>
      </c>
      <c r="O1961" s="58" t="s">
        <v>1286</v>
      </c>
      <c r="P1961" s="58" t="str">
        <f t="shared" si="35"/>
        <v>F010</v>
      </c>
      <c r="Q1961" s="58" t="s">
        <v>137</v>
      </c>
      <c r="S1961" s="59">
        <v>20</v>
      </c>
      <c r="T1961" s="58" t="s">
        <v>4245</v>
      </c>
      <c r="U1961" s="58" t="s">
        <v>1533</v>
      </c>
      <c r="V1961" s="58" t="s">
        <v>1535</v>
      </c>
      <c r="Y1961" s="58">
        <v>3738.98</v>
      </c>
      <c r="AB1961" s="58">
        <v>3552.03</v>
      </c>
    </row>
    <row r="1962" spans="2:28" s="58" customFormat="1" x14ac:dyDescent="0.2">
      <c r="B1962" s="56" t="s">
        <v>2294</v>
      </c>
      <c r="C1962" s="57">
        <v>10000</v>
      </c>
      <c r="D1962" s="48">
        <f t="shared" si="37"/>
        <v>0.1</v>
      </c>
      <c r="E1962" s="58" t="s">
        <v>1386</v>
      </c>
      <c r="F1962" s="58" t="s">
        <v>4246</v>
      </c>
      <c r="G1962" s="56" t="s">
        <v>4242</v>
      </c>
      <c r="K1962" s="58" t="s">
        <v>4247</v>
      </c>
      <c r="L1962" s="58" t="s">
        <v>1279</v>
      </c>
      <c r="M1962" s="58" t="s">
        <v>2054</v>
      </c>
      <c r="N1962" s="58" t="s">
        <v>3092</v>
      </c>
      <c r="O1962" s="58" t="s">
        <v>1286</v>
      </c>
      <c r="P1962" s="58" t="str">
        <f t="shared" si="35"/>
        <v>F010</v>
      </c>
      <c r="Q1962" s="58" t="s">
        <v>137</v>
      </c>
      <c r="S1962" s="59">
        <v>20</v>
      </c>
      <c r="T1962" s="58" t="s">
        <v>4245</v>
      </c>
      <c r="U1962" s="58" t="s">
        <v>1533</v>
      </c>
      <c r="V1962" s="58" t="s">
        <v>1535</v>
      </c>
      <c r="Y1962" s="58">
        <v>37389.800000000003</v>
      </c>
      <c r="AB1962" s="58">
        <v>35520.31</v>
      </c>
    </row>
    <row r="1963" spans="2:28" s="58" customFormat="1" x14ac:dyDescent="0.2">
      <c r="B1963" s="56" t="s">
        <v>2294</v>
      </c>
      <c r="C1963" s="57">
        <v>6000</v>
      </c>
      <c r="D1963" s="48">
        <f t="shared" si="37"/>
        <v>0.06</v>
      </c>
      <c r="E1963" s="58" t="s">
        <v>1387</v>
      </c>
      <c r="F1963" s="58" t="s">
        <v>4246</v>
      </c>
      <c r="G1963" s="56" t="s">
        <v>4242</v>
      </c>
      <c r="K1963" s="58" t="s">
        <v>4247</v>
      </c>
      <c r="L1963" s="58" t="s">
        <v>1279</v>
      </c>
      <c r="M1963" s="58" t="s">
        <v>2054</v>
      </c>
      <c r="N1963" s="58" t="s">
        <v>6082</v>
      </c>
      <c r="O1963" s="58" t="s">
        <v>1286</v>
      </c>
      <c r="P1963" s="58" t="str">
        <f t="shared" ref="P1963:P2026" si="38">+LEFT(Q1963,4)</f>
        <v>F010</v>
      </c>
      <c r="Q1963" s="58" t="s">
        <v>137</v>
      </c>
      <c r="S1963" s="59">
        <v>20</v>
      </c>
      <c r="T1963" s="58" t="s">
        <v>4248</v>
      </c>
      <c r="U1963" s="58" t="s">
        <v>1533</v>
      </c>
      <c r="V1963" s="58" t="s">
        <v>1535</v>
      </c>
      <c r="Y1963" s="58">
        <v>22433.88</v>
      </c>
      <c r="AB1963" s="58">
        <v>21312.19</v>
      </c>
    </row>
    <row r="1964" spans="2:28" s="58" customFormat="1" x14ac:dyDescent="0.2">
      <c r="B1964" s="56" t="s">
        <v>2294</v>
      </c>
      <c r="C1964" s="57">
        <v>1000</v>
      </c>
      <c r="D1964" s="48">
        <f t="shared" si="37"/>
        <v>0.01</v>
      </c>
      <c r="E1964" s="58" t="s">
        <v>1337</v>
      </c>
      <c r="F1964" s="58" t="s">
        <v>4249</v>
      </c>
      <c r="G1964" s="56" t="s">
        <v>4242</v>
      </c>
      <c r="K1964" s="58" t="s">
        <v>4247</v>
      </c>
      <c r="L1964" s="58" t="s">
        <v>1279</v>
      </c>
      <c r="M1964" s="58" t="s">
        <v>2054</v>
      </c>
      <c r="N1964" s="58" t="s">
        <v>3337</v>
      </c>
      <c r="O1964" s="58" t="s">
        <v>1286</v>
      </c>
      <c r="P1964" s="58" t="str">
        <f t="shared" si="38"/>
        <v>F010</v>
      </c>
      <c r="Q1964" s="58" t="s">
        <v>137</v>
      </c>
      <c r="S1964" s="59">
        <v>20</v>
      </c>
      <c r="T1964" s="58" t="s">
        <v>4248</v>
      </c>
      <c r="U1964" s="58" t="s">
        <v>1533</v>
      </c>
      <c r="V1964" s="58" t="s">
        <v>1535</v>
      </c>
      <c r="Y1964" s="58">
        <v>3738.98</v>
      </c>
      <c r="AB1964" s="58">
        <v>3552.03</v>
      </c>
    </row>
    <row r="1965" spans="2:28" s="58" customFormat="1" x14ac:dyDescent="0.2">
      <c r="B1965" s="56" t="s">
        <v>2294</v>
      </c>
      <c r="C1965" s="57">
        <v>1000</v>
      </c>
      <c r="D1965" s="48">
        <f t="shared" si="37"/>
        <v>0.01</v>
      </c>
      <c r="E1965" s="58" t="s">
        <v>1388</v>
      </c>
      <c r="F1965" s="58" t="s">
        <v>4249</v>
      </c>
      <c r="G1965" s="56" t="s">
        <v>4242</v>
      </c>
      <c r="K1965" s="58" t="s">
        <v>4247</v>
      </c>
      <c r="L1965" s="58" t="s">
        <v>1279</v>
      </c>
      <c r="M1965" s="58" t="s">
        <v>2054</v>
      </c>
      <c r="N1965" s="58" t="s">
        <v>2925</v>
      </c>
      <c r="O1965" s="58" t="s">
        <v>1286</v>
      </c>
      <c r="P1965" s="58" t="str">
        <f t="shared" si="38"/>
        <v>F010</v>
      </c>
      <c r="Q1965" s="58" t="s">
        <v>137</v>
      </c>
      <c r="S1965" s="59">
        <v>20</v>
      </c>
      <c r="T1965" s="58" t="s">
        <v>4248</v>
      </c>
      <c r="U1965" s="58" t="s">
        <v>1533</v>
      </c>
      <c r="V1965" s="58" t="s">
        <v>1535</v>
      </c>
      <c r="Y1965" s="58">
        <v>3738.98</v>
      </c>
      <c r="AB1965" s="58">
        <v>3552.03</v>
      </c>
    </row>
    <row r="1966" spans="2:28" s="58" customFormat="1" x14ac:dyDescent="0.2">
      <c r="B1966" s="56" t="s">
        <v>2294</v>
      </c>
      <c r="C1966" s="57">
        <v>3000</v>
      </c>
      <c r="D1966" s="48">
        <f t="shared" si="37"/>
        <v>0.03</v>
      </c>
      <c r="E1966" s="58" t="s">
        <v>1389</v>
      </c>
      <c r="F1966" s="58" t="s">
        <v>4249</v>
      </c>
      <c r="G1966" s="56" t="s">
        <v>4242</v>
      </c>
      <c r="K1966" s="58" t="s">
        <v>4247</v>
      </c>
      <c r="L1966" s="58" t="s">
        <v>1279</v>
      </c>
      <c r="M1966" s="58" t="s">
        <v>2054</v>
      </c>
      <c r="N1966" s="58" t="s">
        <v>2925</v>
      </c>
      <c r="O1966" s="58" t="s">
        <v>1286</v>
      </c>
      <c r="P1966" s="58" t="str">
        <f t="shared" si="38"/>
        <v>F010</v>
      </c>
      <c r="Q1966" s="58" t="s">
        <v>137</v>
      </c>
      <c r="S1966" s="59">
        <v>20</v>
      </c>
      <c r="T1966" s="58" t="s">
        <v>4248</v>
      </c>
      <c r="U1966" s="58" t="s">
        <v>1533</v>
      </c>
      <c r="V1966" s="58" t="s">
        <v>1535</v>
      </c>
      <c r="Y1966" s="58">
        <v>11216.94</v>
      </c>
      <c r="AB1966" s="58">
        <v>10656.09</v>
      </c>
    </row>
    <row r="1967" spans="2:28" s="58" customFormat="1" x14ac:dyDescent="0.2">
      <c r="B1967" s="56" t="s">
        <v>2294</v>
      </c>
      <c r="C1967" s="57">
        <v>15000</v>
      </c>
      <c r="D1967" s="48">
        <f t="shared" si="37"/>
        <v>0.15</v>
      </c>
      <c r="E1967" s="58" t="s">
        <v>1390</v>
      </c>
      <c r="F1967" s="58" t="s">
        <v>4249</v>
      </c>
      <c r="G1967" s="56" t="s">
        <v>4242</v>
      </c>
      <c r="K1967" s="58" t="s">
        <v>4247</v>
      </c>
      <c r="L1967" s="58" t="s">
        <v>1279</v>
      </c>
      <c r="M1967" s="58" t="s">
        <v>2054</v>
      </c>
      <c r="N1967" s="58" t="s">
        <v>1687</v>
      </c>
      <c r="O1967" s="58" t="s">
        <v>1286</v>
      </c>
      <c r="P1967" s="58" t="str">
        <f t="shared" si="38"/>
        <v>F010</v>
      </c>
      <c r="Q1967" s="58" t="s">
        <v>137</v>
      </c>
      <c r="S1967" s="59">
        <v>20</v>
      </c>
      <c r="T1967" s="58" t="s">
        <v>4248</v>
      </c>
      <c r="U1967" s="58" t="s">
        <v>1533</v>
      </c>
      <c r="V1967" s="58" t="s">
        <v>1535</v>
      </c>
      <c r="Y1967" s="58">
        <v>56084.7</v>
      </c>
      <c r="AB1967" s="58">
        <v>53280.47</v>
      </c>
    </row>
    <row r="1968" spans="2:28" s="58" customFormat="1" x14ac:dyDescent="0.2">
      <c r="B1968" s="56" t="s">
        <v>2294</v>
      </c>
      <c r="C1968" s="57">
        <v>3000</v>
      </c>
      <c r="D1968" s="48">
        <f t="shared" si="37"/>
        <v>0.03</v>
      </c>
      <c r="E1968" s="58" t="s">
        <v>1391</v>
      </c>
      <c r="F1968" s="58" t="s">
        <v>4249</v>
      </c>
      <c r="G1968" s="56" t="s">
        <v>4242</v>
      </c>
      <c r="K1968" s="58" t="s">
        <v>4247</v>
      </c>
      <c r="L1968" s="58" t="s">
        <v>1279</v>
      </c>
      <c r="M1968" s="58" t="s">
        <v>2054</v>
      </c>
      <c r="N1968" s="58" t="s">
        <v>4235</v>
      </c>
      <c r="O1968" s="58" t="s">
        <v>1286</v>
      </c>
      <c r="P1968" s="58" t="str">
        <f t="shared" si="38"/>
        <v>F010</v>
      </c>
      <c r="Q1968" s="58" t="s">
        <v>137</v>
      </c>
      <c r="S1968" s="59">
        <v>20</v>
      </c>
      <c r="T1968" s="58" t="s">
        <v>4248</v>
      </c>
      <c r="U1968" s="58" t="s">
        <v>1533</v>
      </c>
      <c r="V1968" s="58" t="s">
        <v>1535</v>
      </c>
      <c r="Y1968" s="58">
        <v>11216.94</v>
      </c>
      <c r="AB1968" s="58">
        <v>10656.09</v>
      </c>
    </row>
    <row r="1969" spans="2:28" s="58" customFormat="1" x14ac:dyDescent="0.2">
      <c r="B1969" s="56" t="s">
        <v>2294</v>
      </c>
      <c r="C1969" s="57">
        <v>10000</v>
      </c>
      <c r="D1969" s="48">
        <f t="shared" si="37"/>
        <v>0.1</v>
      </c>
      <c r="E1969" s="58" t="s">
        <v>1348</v>
      </c>
      <c r="F1969" s="58" t="s">
        <v>4249</v>
      </c>
      <c r="G1969" s="56" t="s">
        <v>4242</v>
      </c>
      <c r="K1969" s="58" t="s">
        <v>4247</v>
      </c>
      <c r="L1969" s="58" t="s">
        <v>1279</v>
      </c>
      <c r="M1969" s="58" t="s">
        <v>2054</v>
      </c>
      <c r="N1969" s="58" t="s">
        <v>3083</v>
      </c>
      <c r="O1969" s="58" t="s">
        <v>1286</v>
      </c>
      <c r="P1969" s="58" t="str">
        <f t="shared" si="38"/>
        <v>F010</v>
      </c>
      <c r="Q1969" s="58" t="s">
        <v>137</v>
      </c>
      <c r="S1969" s="59">
        <v>20</v>
      </c>
      <c r="T1969" s="58" t="s">
        <v>4248</v>
      </c>
      <c r="U1969" s="58" t="s">
        <v>1533</v>
      </c>
      <c r="V1969" s="58" t="s">
        <v>1535</v>
      </c>
      <c r="Y1969" s="58">
        <v>37389.800000000003</v>
      </c>
      <c r="AB1969" s="58">
        <v>35520.31</v>
      </c>
    </row>
    <row r="1970" spans="2:28" s="58" customFormat="1" x14ac:dyDescent="0.2">
      <c r="B1970" s="56" t="s">
        <v>2294</v>
      </c>
      <c r="C1970" s="57">
        <v>1000</v>
      </c>
      <c r="D1970" s="48">
        <f t="shared" si="37"/>
        <v>0.01</v>
      </c>
      <c r="E1970" s="58" t="s">
        <v>1351</v>
      </c>
      <c r="F1970" s="58" t="s">
        <v>4249</v>
      </c>
      <c r="G1970" s="56" t="s">
        <v>4242</v>
      </c>
      <c r="K1970" s="58" t="s">
        <v>4247</v>
      </c>
      <c r="L1970" s="58" t="s">
        <v>1279</v>
      </c>
      <c r="M1970" s="58" t="s">
        <v>2054</v>
      </c>
      <c r="N1970" s="58" t="s">
        <v>3957</v>
      </c>
      <c r="O1970" s="58" t="s">
        <v>1286</v>
      </c>
      <c r="P1970" s="58" t="str">
        <f t="shared" si="38"/>
        <v>F010</v>
      </c>
      <c r="Q1970" s="58" t="s">
        <v>137</v>
      </c>
      <c r="S1970" s="59">
        <v>20</v>
      </c>
      <c r="T1970" s="58" t="s">
        <v>4248</v>
      </c>
      <c r="U1970" s="58" t="s">
        <v>1533</v>
      </c>
      <c r="V1970" s="58" t="s">
        <v>1535</v>
      </c>
      <c r="Y1970" s="58">
        <v>3738.98</v>
      </c>
      <c r="AB1970" s="58">
        <v>3552.03</v>
      </c>
    </row>
    <row r="1971" spans="2:28" s="58" customFormat="1" x14ac:dyDescent="0.2">
      <c r="B1971" s="56" t="s">
        <v>2294</v>
      </c>
      <c r="C1971" s="57">
        <v>3000</v>
      </c>
      <c r="D1971" s="48">
        <f t="shared" si="37"/>
        <v>0.03</v>
      </c>
      <c r="E1971" s="58" t="s">
        <v>1352</v>
      </c>
      <c r="F1971" s="58" t="s">
        <v>4249</v>
      </c>
      <c r="G1971" s="56" t="s">
        <v>4242</v>
      </c>
      <c r="K1971" s="58" t="s">
        <v>4247</v>
      </c>
      <c r="L1971" s="58" t="s">
        <v>1279</v>
      </c>
      <c r="M1971" s="58" t="s">
        <v>2054</v>
      </c>
      <c r="N1971" s="58" t="s">
        <v>3242</v>
      </c>
      <c r="O1971" s="58" t="s">
        <v>1286</v>
      </c>
      <c r="P1971" s="58" t="str">
        <f t="shared" si="38"/>
        <v>F010</v>
      </c>
      <c r="Q1971" s="58" t="s">
        <v>137</v>
      </c>
      <c r="S1971" s="59">
        <v>20</v>
      </c>
      <c r="T1971" s="58" t="s">
        <v>4248</v>
      </c>
      <c r="U1971" s="58" t="s">
        <v>1533</v>
      </c>
      <c r="V1971" s="58" t="s">
        <v>1535</v>
      </c>
      <c r="Y1971" s="58">
        <v>11216.94</v>
      </c>
      <c r="AB1971" s="58">
        <v>10656.09</v>
      </c>
    </row>
    <row r="1972" spans="2:28" s="58" customFormat="1" x14ac:dyDescent="0.2">
      <c r="B1972" s="56" t="s">
        <v>2294</v>
      </c>
      <c r="C1972" s="57">
        <v>7000</v>
      </c>
      <c r="D1972" s="48">
        <f t="shared" si="37"/>
        <v>7.0000000000000007E-2</v>
      </c>
      <c r="E1972" s="58" t="s">
        <v>1353</v>
      </c>
      <c r="F1972" s="58" t="s">
        <v>4249</v>
      </c>
      <c r="G1972" s="56" t="s">
        <v>4242</v>
      </c>
      <c r="K1972" s="58" t="s">
        <v>4247</v>
      </c>
      <c r="L1972" s="58" t="s">
        <v>1279</v>
      </c>
      <c r="M1972" s="58" t="s">
        <v>2054</v>
      </c>
      <c r="N1972" s="58" t="s">
        <v>3317</v>
      </c>
      <c r="O1972" s="58" t="s">
        <v>1286</v>
      </c>
      <c r="P1972" s="58" t="str">
        <f t="shared" si="38"/>
        <v>F010</v>
      </c>
      <c r="Q1972" s="58" t="s">
        <v>137</v>
      </c>
      <c r="S1972" s="59">
        <v>20</v>
      </c>
      <c r="T1972" s="58" t="s">
        <v>4248</v>
      </c>
      <c r="U1972" s="58" t="s">
        <v>1533</v>
      </c>
      <c r="V1972" s="58" t="s">
        <v>1535</v>
      </c>
      <c r="Y1972" s="58">
        <v>26172.86</v>
      </c>
      <c r="AB1972" s="58">
        <v>24864.22</v>
      </c>
    </row>
    <row r="1973" spans="2:28" s="58" customFormat="1" x14ac:dyDescent="0.2">
      <c r="B1973" s="56" t="s">
        <v>2294</v>
      </c>
      <c r="C1973" s="57">
        <v>3000</v>
      </c>
      <c r="D1973" s="48">
        <f t="shared" si="37"/>
        <v>0.03</v>
      </c>
      <c r="E1973" s="58" t="s">
        <v>1367</v>
      </c>
      <c r="F1973" s="58" t="s">
        <v>4249</v>
      </c>
      <c r="G1973" s="56" t="s">
        <v>4242</v>
      </c>
      <c r="K1973" s="58" t="s">
        <v>4247</v>
      </c>
      <c r="L1973" s="58" t="s">
        <v>1279</v>
      </c>
      <c r="M1973" s="58" t="s">
        <v>2054</v>
      </c>
      <c r="N1973" s="58" t="s">
        <v>3222</v>
      </c>
      <c r="O1973" s="58" t="s">
        <v>1286</v>
      </c>
      <c r="P1973" s="58" t="str">
        <f t="shared" si="38"/>
        <v>F010</v>
      </c>
      <c r="Q1973" s="58" t="s">
        <v>137</v>
      </c>
      <c r="S1973" s="59">
        <v>20</v>
      </c>
      <c r="T1973" s="58" t="s">
        <v>4248</v>
      </c>
      <c r="U1973" s="58" t="s">
        <v>1533</v>
      </c>
      <c r="V1973" s="58" t="s">
        <v>1535</v>
      </c>
      <c r="Y1973" s="58">
        <v>11216.94</v>
      </c>
      <c r="AB1973" s="58">
        <v>10656.09</v>
      </c>
    </row>
    <row r="1974" spans="2:28" s="58" customFormat="1" x14ac:dyDescent="0.2">
      <c r="B1974" s="56" t="s">
        <v>2294</v>
      </c>
      <c r="C1974" s="57">
        <v>6000</v>
      </c>
      <c r="D1974" s="48">
        <f t="shared" si="37"/>
        <v>0.06</v>
      </c>
      <c r="E1974" s="58" t="s">
        <v>1368</v>
      </c>
      <c r="F1974" s="58" t="s">
        <v>4249</v>
      </c>
      <c r="G1974" s="56" t="s">
        <v>4242</v>
      </c>
      <c r="K1974" s="58" t="s">
        <v>4247</v>
      </c>
      <c r="L1974" s="58" t="s">
        <v>1279</v>
      </c>
      <c r="M1974" s="58" t="s">
        <v>2054</v>
      </c>
      <c r="N1974" s="58" t="s">
        <v>1944</v>
      </c>
      <c r="O1974" s="58" t="s">
        <v>1286</v>
      </c>
      <c r="P1974" s="58" t="str">
        <f t="shared" si="38"/>
        <v>F010</v>
      </c>
      <c r="Q1974" s="58" t="s">
        <v>137</v>
      </c>
      <c r="S1974" s="59">
        <v>20</v>
      </c>
      <c r="T1974" s="58" t="s">
        <v>4248</v>
      </c>
      <c r="U1974" s="58" t="s">
        <v>1533</v>
      </c>
      <c r="V1974" s="58" t="s">
        <v>1535</v>
      </c>
      <c r="Y1974" s="58">
        <v>22433.88</v>
      </c>
      <c r="AB1974" s="58">
        <v>21312.19</v>
      </c>
    </row>
    <row r="1975" spans="2:28" s="58" customFormat="1" x14ac:dyDescent="0.2">
      <c r="B1975" s="56" t="s">
        <v>2294</v>
      </c>
      <c r="C1975" s="57">
        <v>2000</v>
      </c>
      <c r="D1975" s="48">
        <f t="shared" si="37"/>
        <v>0.02</v>
      </c>
      <c r="E1975" s="58" t="s">
        <v>1369</v>
      </c>
      <c r="F1975" s="58" t="s">
        <v>4249</v>
      </c>
      <c r="G1975" s="56" t="s">
        <v>4242</v>
      </c>
      <c r="K1975" s="58" t="s">
        <v>4247</v>
      </c>
      <c r="L1975" s="58" t="s">
        <v>1279</v>
      </c>
      <c r="M1975" s="58" t="s">
        <v>2054</v>
      </c>
      <c r="N1975" s="58" t="s">
        <v>2543</v>
      </c>
      <c r="O1975" s="58" t="s">
        <v>1286</v>
      </c>
      <c r="P1975" s="58" t="str">
        <f t="shared" si="38"/>
        <v>F010</v>
      </c>
      <c r="Q1975" s="58" t="s">
        <v>137</v>
      </c>
      <c r="S1975" s="59">
        <v>20</v>
      </c>
      <c r="T1975" s="58" t="s">
        <v>4248</v>
      </c>
      <c r="U1975" s="58" t="s">
        <v>1533</v>
      </c>
      <c r="V1975" s="58" t="s">
        <v>1535</v>
      </c>
      <c r="Y1975" s="58">
        <v>7477.96</v>
      </c>
      <c r="AB1975" s="58">
        <v>7104.06</v>
      </c>
    </row>
    <row r="1976" spans="2:28" s="58" customFormat="1" x14ac:dyDescent="0.2">
      <c r="B1976" s="56" t="s">
        <v>2294</v>
      </c>
      <c r="C1976" s="57">
        <v>1000</v>
      </c>
      <c r="D1976" s="48">
        <f t="shared" si="37"/>
        <v>0.01</v>
      </c>
      <c r="E1976" s="58" t="s">
        <v>1331</v>
      </c>
      <c r="F1976" s="58" t="s">
        <v>4249</v>
      </c>
      <c r="G1976" s="56" t="s">
        <v>4250</v>
      </c>
      <c r="K1976" s="58" t="s">
        <v>4251</v>
      </c>
      <c r="L1976" s="58" t="s">
        <v>1279</v>
      </c>
      <c r="M1976" s="58" t="s">
        <v>1467</v>
      </c>
      <c r="N1976" s="58" t="s">
        <v>1788</v>
      </c>
      <c r="O1976" s="58" t="s">
        <v>1286</v>
      </c>
      <c r="P1976" s="58" t="str">
        <f t="shared" si="38"/>
        <v>F010</v>
      </c>
      <c r="Q1976" s="58" t="s">
        <v>127</v>
      </c>
      <c r="S1976" s="59">
        <v>20</v>
      </c>
      <c r="T1976" s="58" t="s">
        <v>4248</v>
      </c>
      <c r="U1976" s="58" t="s">
        <v>2085</v>
      </c>
      <c r="V1976" s="58" t="s">
        <v>1463</v>
      </c>
      <c r="Y1976" s="58">
        <v>3079.16</v>
      </c>
      <c r="AB1976" s="58">
        <v>2925.22</v>
      </c>
    </row>
    <row r="1977" spans="2:28" s="58" customFormat="1" x14ac:dyDescent="0.2">
      <c r="B1977" s="56" t="s">
        <v>2294</v>
      </c>
      <c r="C1977" s="57">
        <v>1000</v>
      </c>
      <c r="D1977" s="48">
        <f t="shared" si="37"/>
        <v>0.01</v>
      </c>
      <c r="E1977" s="58" t="s">
        <v>1357</v>
      </c>
      <c r="F1977" s="58" t="s">
        <v>4249</v>
      </c>
      <c r="G1977" s="56" t="s">
        <v>4250</v>
      </c>
      <c r="K1977" s="58" t="s">
        <v>4251</v>
      </c>
      <c r="L1977" s="58" t="s">
        <v>1279</v>
      </c>
      <c r="M1977" s="58" t="s">
        <v>1467</v>
      </c>
      <c r="N1977" s="58" t="s">
        <v>2611</v>
      </c>
      <c r="O1977" s="58" t="s">
        <v>1286</v>
      </c>
      <c r="P1977" s="58" t="str">
        <f t="shared" si="38"/>
        <v>F010</v>
      </c>
      <c r="Q1977" s="58" t="s">
        <v>127</v>
      </c>
      <c r="S1977" s="59">
        <v>20</v>
      </c>
      <c r="T1977" s="58" t="s">
        <v>4248</v>
      </c>
      <c r="U1977" s="58" t="s">
        <v>2085</v>
      </c>
      <c r="V1977" s="58" t="s">
        <v>1463</v>
      </c>
      <c r="Y1977" s="58">
        <v>3079.16</v>
      </c>
      <c r="AB1977" s="58">
        <v>2925.2</v>
      </c>
    </row>
    <row r="1978" spans="2:28" s="58" customFormat="1" x14ac:dyDescent="0.2">
      <c r="B1978" s="56" t="s">
        <v>2294</v>
      </c>
      <c r="C1978" s="57">
        <v>1000</v>
      </c>
      <c r="D1978" s="48">
        <f t="shared" si="37"/>
        <v>0.01</v>
      </c>
      <c r="E1978" s="58" t="s">
        <v>1358</v>
      </c>
      <c r="F1978" s="58" t="s">
        <v>4249</v>
      </c>
      <c r="G1978" s="56" t="s">
        <v>4250</v>
      </c>
      <c r="K1978" s="58" t="s">
        <v>4251</v>
      </c>
      <c r="L1978" s="58" t="s">
        <v>1279</v>
      </c>
      <c r="M1978" s="58" t="s">
        <v>1467</v>
      </c>
      <c r="N1978" s="58" t="s">
        <v>1564</v>
      </c>
      <c r="O1978" s="58" t="s">
        <v>1286</v>
      </c>
      <c r="P1978" s="58" t="str">
        <f t="shared" si="38"/>
        <v>F010</v>
      </c>
      <c r="Q1978" s="58" t="s">
        <v>127</v>
      </c>
      <c r="S1978" s="59">
        <v>20</v>
      </c>
      <c r="T1978" s="58" t="s">
        <v>4248</v>
      </c>
      <c r="U1978" s="58" t="s">
        <v>2085</v>
      </c>
      <c r="V1978" s="58" t="s">
        <v>1463</v>
      </c>
      <c r="Y1978" s="58">
        <v>3079.16</v>
      </c>
      <c r="AB1978" s="58">
        <v>2925.2</v>
      </c>
    </row>
    <row r="1979" spans="2:28" s="58" customFormat="1" x14ac:dyDescent="0.2">
      <c r="B1979" s="56" t="s">
        <v>2294</v>
      </c>
      <c r="C1979" s="57">
        <v>3000</v>
      </c>
      <c r="D1979" s="48">
        <f t="shared" si="37"/>
        <v>0.03</v>
      </c>
      <c r="E1979" s="58" t="s">
        <v>1361</v>
      </c>
      <c r="F1979" s="58" t="s">
        <v>4249</v>
      </c>
      <c r="G1979" s="56" t="s">
        <v>4250</v>
      </c>
      <c r="K1979" s="58" t="s">
        <v>4251</v>
      </c>
      <c r="L1979" s="58" t="s">
        <v>1279</v>
      </c>
      <c r="M1979" s="58" t="s">
        <v>1467</v>
      </c>
      <c r="N1979" s="58" t="s">
        <v>2601</v>
      </c>
      <c r="O1979" s="58" t="s">
        <v>1286</v>
      </c>
      <c r="P1979" s="58" t="str">
        <f t="shared" si="38"/>
        <v>F010</v>
      </c>
      <c r="Q1979" s="58" t="s">
        <v>127</v>
      </c>
      <c r="S1979" s="59">
        <v>20</v>
      </c>
      <c r="T1979" s="58" t="s">
        <v>4248</v>
      </c>
      <c r="U1979" s="58" t="s">
        <v>2085</v>
      </c>
      <c r="V1979" s="58" t="s">
        <v>1463</v>
      </c>
      <c r="Y1979" s="58">
        <v>9237.48</v>
      </c>
      <c r="AB1979" s="58">
        <v>8775.61</v>
      </c>
    </row>
    <row r="1980" spans="2:28" s="58" customFormat="1" x14ac:dyDescent="0.2">
      <c r="B1980" s="56" t="s">
        <v>2294</v>
      </c>
      <c r="C1980" s="57">
        <v>3000</v>
      </c>
      <c r="D1980" s="48">
        <f t="shared" ref="D1980:D2001" si="39">+C1980/100000</f>
        <v>0.03</v>
      </c>
      <c r="E1980" s="58" t="s">
        <v>1362</v>
      </c>
      <c r="F1980" s="58" t="s">
        <v>4249</v>
      </c>
      <c r="G1980" s="56" t="s">
        <v>4250</v>
      </c>
      <c r="K1980" s="58" t="s">
        <v>4251</v>
      </c>
      <c r="L1980" s="58" t="s">
        <v>1279</v>
      </c>
      <c r="M1980" s="58" t="s">
        <v>1467</v>
      </c>
      <c r="N1980" s="58" t="s">
        <v>1614</v>
      </c>
      <c r="O1980" s="58" t="s">
        <v>1286</v>
      </c>
      <c r="P1980" s="58" t="str">
        <f t="shared" si="38"/>
        <v>F010</v>
      </c>
      <c r="Q1980" s="58" t="s">
        <v>127</v>
      </c>
      <c r="S1980" s="59">
        <v>20</v>
      </c>
      <c r="T1980" s="58" t="s">
        <v>4248</v>
      </c>
      <c r="U1980" s="58" t="s">
        <v>2085</v>
      </c>
      <c r="V1980" s="58" t="s">
        <v>1463</v>
      </c>
      <c r="Y1980" s="58">
        <v>9237.48</v>
      </c>
      <c r="AB1980" s="58">
        <v>8775.61</v>
      </c>
    </row>
    <row r="1981" spans="2:28" s="58" customFormat="1" x14ac:dyDescent="0.2">
      <c r="B1981" s="56" t="s">
        <v>2294</v>
      </c>
      <c r="C1981" s="57">
        <v>2000</v>
      </c>
      <c r="D1981" s="48">
        <f t="shared" si="39"/>
        <v>0.02</v>
      </c>
      <c r="E1981" s="58" t="s">
        <v>1363</v>
      </c>
      <c r="F1981" s="58" t="s">
        <v>4249</v>
      </c>
      <c r="G1981" s="56" t="s">
        <v>4250</v>
      </c>
      <c r="K1981" s="58" t="s">
        <v>4251</v>
      </c>
      <c r="L1981" s="58" t="s">
        <v>1279</v>
      </c>
      <c r="M1981" s="58" t="s">
        <v>1467</v>
      </c>
      <c r="N1981" s="58" t="s">
        <v>1637</v>
      </c>
      <c r="O1981" s="58" t="s">
        <v>1286</v>
      </c>
      <c r="P1981" s="58" t="str">
        <f t="shared" si="38"/>
        <v>F010</v>
      </c>
      <c r="Q1981" s="58" t="s">
        <v>127</v>
      </c>
      <c r="S1981" s="59">
        <v>20</v>
      </c>
      <c r="T1981" s="58" t="s">
        <v>4248</v>
      </c>
      <c r="U1981" s="58" t="s">
        <v>2085</v>
      </c>
      <c r="V1981" s="58" t="s">
        <v>1463</v>
      </c>
      <c r="Y1981" s="58">
        <v>6158.32</v>
      </c>
      <c r="AB1981" s="58">
        <v>5850.4</v>
      </c>
    </row>
    <row r="1982" spans="2:28" s="58" customFormat="1" x14ac:dyDescent="0.2">
      <c r="B1982" s="56" t="s">
        <v>2294</v>
      </c>
      <c r="C1982" s="57">
        <v>1000</v>
      </c>
      <c r="D1982" s="48">
        <f t="shared" si="39"/>
        <v>0.01</v>
      </c>
      <c r="E1982" s="58" t="s">
        <v>1364</v>
      </c>
      <c r="F1982" s="58" t="s">
        <v>4249</v>
      </c>
      <c r="G1982" s="56" t="s">
        <v>4250</v>
      </c>
      <c r="K1982" s="58" t="s">
        <v>4251</v>
      </c>
      <c r="L1982" s="58" t="s">
        <v>1279</v>
      </c>
      <c r="M1982" s="58" t="s">
        <v>1467</v>
      </c>
      <c r="N1982" s="58" t="s">
        <v>1642</v>
      </c>
      <c r="O1982" s="58" t="s">
        <v>1286</v>
      </c>
      <c r="P1982" s="58" t="str">
        <f t="shared" si="38"/>
        <v>F010</v>
      </c>
      <c r="Q1982" s="58" t="s">
        <v>127</v>
      </c>
      <c r="S1982" s="59">
        <v>20</v>
      </c>
      <c r="T1982" s="58" t="s">
        <v>4248</v>
      </c>
      <c r="U1982" s="58" t="s">
        <v>2085</v>
      </c>
      <c r="V1982" s="58" t="s">
        <v>1463</v>
      </c>
      <c r="Y1982" s="58">
        <v>3079.16</v>
      </c>
      <c r="AB1982" s="58">
        <v>2925.2</v>
      </c>
    </row>
    <row r="1983" spans="2:28" s="58" customFormat="1" x14ac:dyDescent="0.2">
      <c r="B1983" s="56" t="s">
        <v>2294</v>
      </c>
      <c r="C1983" s="57">
        <v>1000</v>
      </c>
      <c r="D1983" s="48">
        <f t="shared" si="39"/>
        <v>0.01</v>
      </c>
      <c r="E1983" s="58" t="s">
        <v>1365</v>
      </c>
      <c r="F1983" s="58" t="s">
        <v>4249</v>
      </c>
      <c r="G1983" s="56" t="s">
        <v>4250</v>
      </c>
      <c r="K1983" s="58" t="s">
        <v>4251</v>
      </c>
      <c r="L1983" s="58" t="s">
        <v>1279</v>
      </c>
      <c r="M1983" s="58" t="s">
        <v>1467</v>
      </c>
      <c r="N1983" s="58" t="s">
        <v>1577</v>
      </c>
      <c r="O1983" s="58" t="s">
        <v>1286</v>
      </c>
      <c r="P1983" s="58" t="str">
        <f t="shared" si="38"/>
        <v>F010</v>
      </c>
      <c r="Q1983" s="58" t="s">
        <v>127</v>
      </c>
      <c r="S1983" s="59">
        <v>20</v>
      </c>
      <c r="T1983" s="58" t="s">
        <v>4248</v>
      </c>
      <c r="U1983" s="58" t="s">
        <v>2085</v>
      </c>
      <c r="V1983" s="58" t="s">
        <v>1463</v>
      </c>
      <c r="Y1983" s="58">
        <v>3079.16</v>
      </c>
      <c r="AB1983" s="58">
        <v>2925.2</v>
      </c>
    </row>
    <row r="1984" spans="2:28" s="58" customFormat="1" x14ac:dyDescent="0.2">
      <c r="B1984" s="56" t="s">
        <v>2294</v>
      </c>
      <c r="C1984" s="57">
        <v>1000</v>
      </c>
      <c r="D1984" s="48">
        <f t="shared" si="39"/>
        <v>0.01</v>
      </c>
      <c r="E1984" s="58" t="s">
        <v>1366</v>
      </c>
      <c r="F1984" s="58" t="s">
        <v>4249</v>
      </c>
      <c r="G1984" s="56" t="s">
        <v>4250</v>
      </c>
      <c r="K1984" s="58" t="s">
        <v>4251</v>
      </c>
      <c r="L1984" s="58" t="s">
        <v>1279</v>
      </c>
      <c r="M1984" s="58" t="s">
        <v>1467</v>
      </c>
      <c r="N1984" s="58" t="s">
        <v>2495</v>
      </c>
      <c r="O1984" s="58" t="s">
        <v>1286</v>
      </c>
      <c r="P1984" s="58" t="str">
        <f t="shared" si="38"/>
        <v>F010</v>
      </c>
      <c r="Q1984" s="58" t="s">
        <v>127</v>
      </c>
      <c r="S1984" s="59">
        <v>20</v>
      </c>
      <c r="T1984" s="58" t="s">
        <v>4248</v>
      </c>
      <c r="U1984" s="58" t="s">
        <v>2085</v>
      </c>
      <c r="V1984" s="58" t="s">
        <v>1463</v>
      </c>
      <c r="Y1984" s="58">
        <v>3079.16</v>
      </c>
      <c r="AB1984" s="58">
        <v>2925.2</v>
      </c>
    </row>
    <row r="1985" spans="2:28" s="58" customFormat="1" x14ac:dyDescent="0.2">
      <c r="B1985" s="56" t="s">
        <v>2294</v>
      </c>
      <c r="C1985" s="57">
        <v>1000</v>
      </c>
      <c r="D1985" s="48">
        <f t="shared" si="39"/>
        <v>0.01</v>
      </c>
      <c r="E1985" s="58" t="s">
        <v>1386</v>
      </c>
      <c r="F1985" s="58" t="s">
        <v>4249</v>
      </c>
      <c r="G1985" s="56" t="s">
        <v>4250</v>
      </c>
      <c r="K1985" s="58" t="s">
        <v>4251</v>
      </c>
      <c r="L1985" s="58" t="s">
        <v>1279</v>
      </c>
      <c r="M1985" s="58" t="s">
        <v>1467</v>
      </c>
      <c r="N1985" s="58" t="s">
        <v>1715</v>
      </c>
      <c r="O1985" s="58" t="s">
        <v>1286</v>
      </c>
      <c r="P1985" s="58" t="str">
        <f t="shared" si="38"/>
        <v>F010</v>
      </c>
      <c r="Q1985" s="58" t="s">
        <v>127</v>
      </c>
      <c r="S1985" s="59">
        <v>20</v>
      </c>
      <c r="T1985" s="58" t="s">
        <v>4248</v>
      </c>
      <c r="U1985" s="58" t="s">
        <v>2085</v>
      </c>
      <c r="V1985" s="58" t="s">
        <v>1463</v>
      </c>
      <c r="Y1985" s="58">
        <v>3079.16</v>
      </c>
      <c r="AB1985" s="58">
        <v>2925.2</v>
      </c>
    </row>
    <row r="1986" spans="2:28" s="58" customFormat="1" x14ac:dyDescent="0.2">
      <c r="B1986" s="56" t="s">
        <v>2294</v>
      </c>
      <c r="C1986" s="57">
        <v>1000</v>
      </c>
      <c r="D1986" s="48">
        <f t="shared" si="39"/>
        <v>0.01</v>
      </c>
      <c r="E1986" s="58" t="s">
        <v>1387</v>
      </c>
      <c r="F1986" s="58" t="s">
        <v>4249</v>
      </c>
      <c r="G1986" s="56" t="s">
        <v>4250</v>
      </c>
      <c r="K1986" s="58" t="s">
        <v>4251</v>
      </c>
      <c r="L1986" s="58" t="s">
        <v>1279</v>
      </c>
      <c r="M1986" s="58" t="s">
        <v>1467</v>
      </c>
      <c r="N1986" s="58" t="s">
        <v>1795</v>
      </c>
      <c r="O1986" s="58" t="s">
        <v>1286</v>
      </c>
      <c r="P1986" s="58" t="str">
        <f t="shared" si="38"/>
        <v>F010</v>
      </c>
      <c r="Q1986" s="58" t="s">
        <v>127</v>
      </c>
      <c r="S1986" s="59">
        <v>20</v>
      </c>
      <c r="T1986" s="58" t="s">
        <v>4248</v>
      </c>
      <c r="U1986" s="58" t="s">
        <v>2085</v>
      </c>
      <c r="V1986" s="58" t="s">
        <v>1463</v>
      </c>
      <c r="Y1986" s="58">
        <v>3079.16</v>
      </c>
      <c r="AB1986" s="58">
        <v>2925.2</v>
      </c>
    </row>
    <row r="1987" spans="2:28" s="58" customFormat="1" x14ac:dyDescent="0.2">
      <c r="B1987" s="56" t="s">
        <v>2294</v>
      </c>
      <c r="C1987" s="57">
        <v>22000</v>
      </c>
      <c r="D1987" s="48">
        <f t="shared" si="39"/>
        <v>0.22</v>
      </c>
      <c r="E1987" s="58" t="s">
        <v>1337</v>
      </c>
      <c r="F1987" s="58" t="s">
        <v>4249</v>
      </c>
      <c r="G1987" s="56" t="s">
        <v>4250</v>
      </c>
      <c r="K1987" s="58" t="s">
        <v>4251</v>
      </c>
      <c r="L1987" s="58" t="s">
        <v>1279</v>
      </c>
      <c r="M1987" s="58" t="s">
        <v>1467</v>
      </c>
      <c r="N1987" s="58" t="s">
        <v>1284</v>
      </c>
      <c r="O1987" s="58" t="s">
        <v>1286</v>
      </c>
      <c r="P1987" s="58" t="str">
        <f t="shared" si="38"/>
        <v>F010</v>
      </c>
      <c r="Q1987" s="58" t="s">
        <v>127</v>
      </c>
      <c r="S1987" s="59">
        <v>20</v>
      </c>
      <c r="T1987" s="58" t="s">
        <v>4248</v>
      </c>
      <c r="U1987" s="58" t="s">
        <v>2085</v>
      </c>
      <c r="V1987" s="58" t="s">
        <v>1463</v>
      </c>
      <c r="Y1987" s="58">
        <v>67741.52</v>
      </c>
      <c r="AB1987" s="58">
        <v>64354.44</v>
      </c>
    </row>
    <row r="1988" spans="2:28" s="58" customFormat="1" x14ac:dyDescent="0.2">
      <c r="B1988" s="56" t="s">
        <v>2294</v>
      </c>
      <c r="C1988" s="57">
        <v>5000</v>
      </c>
      <c r="D1988" s="48">
        <f t="shared" si="39"/>
        <v>0.05</v>
      </c>
      <c r="E1988" s="58" t="s">
        <v>1388</v>
      </c>
      <c r="F1988" s="58" t="s">
        <v>4249</v>
      </c>
      <c r="G1988" s="56" t="s">
        <v>4250</v>
      </c>
      <c r="K1988" s="58" t="s">
        <v>4251</v>
      </c>
      <c r="L1988" s="58" t="s">
        <v>1279</v>
      </c>
      <c r="M1988" s="58" t="s">
        <v>1467</v>
      </c>
      <c r="N1988" s="58" t="s">
        <v>1833</v>
      </c>
      <c r="O1988" s="58" t="s">
        <v>1286</v>
      </c>
      <c r="P1988" s="58" t="str">
        <f t="shared" si="38"/>
        <v>F010</v>
      </c>
      <c r="Q1988" s="58" t="s">
        <v>127</v>
      </c>
      <c r="S1988" s="59">
        <v>20</v>
      </c>
      <c r="T1988" s="58" t="s">
        <v>4248</v>
      </c>
      <c r="U1988" s="58" t="s">
        <v>2085</v>
      </c>
      <c r="V1988" s="58" t="s">
        <v>1463</v>
      </c>
      <c r="Y1988" s="58">
        <v>15395.8</v>
      </c>
      <c r="AB1988" s="58">
        <v>14626.01</v>
      </c>
    </row>
    <row r="1989" spans="2:28" s="58" customFormat="1" x14ac:dyDescent="0.2">
      <c r="B1989" s="56" t="s">
        <v>2294</v>
      </c>
      <c r="C1989" s="57">
        <v>3000</v>
      </c>
      <c r="D1989" s="48">
        <f t="shared" si="39"/>
        <v>0.03</v>
      </c>
      <c r="E1989" s="58" t="s">
        <v>1389</v>
      </c>
      <c r="F1989" s="58" t="s">
        <v>4249</v>
      </c>
      <c r="G1989" s="56" t="s">
        <v>4250</v>
      </c>
      <c r="K1989" s="58" t="s">
        <v>4251</v>
      </c>
      <c r="L1989" s="58" t="s">
        <v>1279</v>
      </c>
      <c r="M1989" s="58" t="s">
        <v>1467</v>
      </c>
      <c r="N1989" s="58" t="s">
        <v>2497</v>
      </c>
      <c r="O1989" s="58" t="s">
        <v>1286</v>
      </c>
      <c r="P1989" s="58" t="str">
        <f t="shared" si="38"/>
        <v>F010</v>
      </c>
      <c r="Q1989" s="58" t="s">
        <v>127</v>
      </c>
      <c r="S1989" s="59">
        <v>20</v>
      </c>
      <c r="T1989" s="58" t="s">
        <v>4248</v>
      </c>
      <c r="U1989" s="58" t="s">
        <v>2085</v>
      </c>
      <c r="V1989" s="58" t="s">
        <v>1463</v>
      </c>
      <c r="Y1989" s="58">
        <v>9237.48</v>
      </c>
      <c r="AB1989" s="58">
        <v>8775.61</v>
      </c>
    </row>
    <row r="1990" spans="2:28" s="58" customFormat="1" x14ac:dyDescent="0.2">
      <c r="B1990" s="56" t="s">
        <v>2294</v>
      </c>
      <c r="C1990" s="57">
        <v>1000</v>
      </c>
      <c r="D1990" s="48">
        <f t="shared" si="39"/>
        <v>0.01</v>
      </c>
      <c r="E1990" s="58" t="s">
        <v>1390</v>
      </c>
      <c r="F1990" s="58" t="s">
        <v>4249</v>
      </c>
      <c r="G1990" s="56" t="s">
        <v>4250</v>
      </c>
      <c r="K1990" s="58" t="s">
        <v>4251</v>
      </c>
      <c r="L1990" s="58" t="s">
        <v>1279</v>
      </c>
      <c r="M1990" s="58" t="s">
        <v>1467</v>
      </c>
      <c r="N1990" s="58" t="s">
        <v>2271</v>
      </c>
      <c r="O1990" s="58" t="s">
        <v>1286</v>
      </c>
      <c r="P1990" s="58" t="str">
        <f t="shared" si="38"/>
        <v>F010</v>
      </c>
      <c r="Q1990" s="58" t="s">
        <v>127</v>
      </c>
      <c r="S1990" s="59">
        <v>20</v>
      </c>
      <c r="T1990" s="58" t="s">
        <v>4248</v>
      </c>
      <c r="U1990" s="58" t="s">
        <v>2085</v>
      </c>
      <c r="V1990" s="58" t="s">
        <v>1463</v>
      </c>
      <c r="Y1990" s="58">
        <v>3079.16</v>
      </c>
      <c r="AB1990" s="58">
        <v>2925.2</v>
      </c>
    </row>
    <row r="1991" spans="2:28" s="58" customFormat="1" x14ac:dyDescent="0.2">
      <c r="B1991" s="56" t="s">
        <v>2294</v>
      </c>
      <c r="C1991" s="57">
        <v>1000</v>
      </c>
      <c r="D1991" s="48">
        <f t="shared" si="39"/>
        <v>0.01</v>
      </c>
      <c r="E1991" s="58" t="s">
        <v>1391</v>
      </c>
      <c r="F1991" s="58" t="s">
        <v>4249</v>
      </c>
      <c r="G1991" s="56" t="s">
        <v>4250</v>
      </c>
      <c r="K1991" s="58" t="s">
        <v>4251</v>
      </c>
      <c r="L1991" s="58" t="s">
        <v>1279</v>
      </c>
      <c r="M1991" s="58" t="s">
        <v>1467</v>
      </c>
      <c r="N1991" s="58" t="s">
        <v>3615</v>
      </c>
      <c r="O1991" s="58" t="s">
        <v>1286</v>
      </c>
      <c r="P1991" s="58" t="str">
        <f t="shared" si="38"/>
        <v>F010</v>
      </c>
      <c r="Q1991" s="58" t="s">
        <v>127</v>
      </c>
      <c r="S1991" s="59">
        <v>20</v>
      </c>
      <c r="T1991" s="58" t="s">
        <v>4248</v>
      </c>
      <c r="U1991" s="58" t="s">
        <v>2085</v>
      </c>
      <c r="V1991" s="58" t="s">
        <v>1463</v>
      </c>
      <c r="Y1991" s="58">
        <v>3079.16</v>
      </c>
      <c r="AB1991" s="58">
        <v>2925.2</v>
      </c>
    </row>
    <row r="1992" spans="2:28" s="58" customFormat="1" x14ac:dyDescent="0.2">
      <c r="B1992" s="56" t="s">
        <v>2294</v>
      </c>
      <c r="C1992" s="57">
        <v>1000</v>
      </c>
      <c r="D1992" s="48">
        <f t="shared" si="39"/>
        <v>0.01</v>
      </c>
      <c r="E1992" s="58" t="s">
        <v>1392</v>
      </c>
      <c r="F1992" s="58" t="s">
        <v>4249</v>
      </c>
      <c r="G1992" s="56" t="s">
        <v>4250</v>
      </c>
      <c r="K1992" s="58" t="s">
        <v>4251</v>
      </c>
      <c r="L1992" s="58" t="s">
        <v>1279</v>
      </c>
      <c r="M1992" s="58" t="s">
        <v>1467</v>
      </c>
      <c r="N1992" s="58" t="s">
        <v>1637</v>
      </c>
      <c r="O1992" s="58" t="s">
        <v>1286</v>
      </c>
      <c r="P1992" s="58" t="str">
        <f t="shared" si="38"/>
        <v>F010</v>
      </c>
      <c r="Q1992" s="58" t="s">
        <v>127</v>
      </c>
      <c r="S1992" s="59">
        <v>20</v>
      </c>
      <c r="T1992" s="58" t="s">
        <v>4248</v>
      </c>
      <c r="U1992" s="58" t="s">
        <v>2085</v>
      </c>
      <c r="V1992" s="58" t="s">
        <v>1463</v>
      </c>
      <c r="Y1992" s="58">
        <v>3079.16</v>
      </c>
      <c r="AB1992" s="58">
        <v>2925.2</v>
      </c>
    </row>
    <row r="1993" spans="2:28" s="58" customFormat="1" x14ac:dyDescent="0.2">
      <c r="B1993" s="56" t="s">
        <v>2294</v>
      </c>
      <c r="C1993" s="57">
        <v>1000</v>
      </c>
      <c r="D1993" s="48">
        <f t="shared" si="39"/>
        <v>0.01</v>
      </c>
      <c r="E1993" s="58" t="s">
        <v>1393</v>
      </c>
      <c r="F1993" s="58" t="s">
        <v>4249</v>
      </c>
      <c r="G1993" s="56" t="s">
        <v>4250</v>
      </c>
      <c r="K1993" s="58" t="s">
        <v>4251</v>
      </c>
      <c r="L1993" s="58" t="s">
        <v>1279</v>
      </c>
      <c r="M1993" s="58" t="s">
        <v>1467</v>
      </c>
      <c r="N1993" s="58" t="s">
        <v>1630</v>
      </c>
      <c r="O1993" s="58" t="s">
        <v>1286</v>
      </c>
      <c r="P1993" s="58" t="str">
        <f t="shared" si="38"/>
        <v>F010</v>
      </c>
      <c r="Q1993" s="58" t="s">
        <v>127</v>
      </c>
      <c r="S1993" s="59">
        <v>20</v>
      </c>
      <c r="T1993" s="58" t="s">
        <v>4248</v>
      </c>
      <c r="U1993" s="58" t="s">
        <v>2085</v>
      </c>
      <c r="V1993" s="58" t="s">
        <v>1463</v>
      </c>
      <c r="Y1993" s="58">
        <v>3079.16</v>
      </c>
      <c r="AB1993" s="58">
        <v>2925.2</v>
      </c>
    </row>
    <row r="1994" spans="2:28" s="58" customFormat="1" x14ac:dyDescent="0.2">
      <c r="B1994" s="56" t="s">
        <v>2294</v>
      </c>
      <c r="C1994" s="57">
        <v>1000</v>
      </c>
      <c r="D1994" s="48">
        <f t="shared" si="39"/>
        <v>0.01</v>
      </c>
      <c r="E1994" s="58" t="s">
        <v>1394</v>
      </c>
      <c r="F1994" s="58" t="s">
        <v>4249</v>
      </c>
      <c r="G1994" s="56" t="s">
        <v>4250</v>
      </c>
      <c r="K1994" s="58" t="s">
        <v>4251</v>
      </c>
      <c r="L1994" s="58" t="s">
        <v>1279</v>
      </c>
      <c r="M1994" s="58" t="s">
        <v>1467</v>
      </c>
      <c r="N1994" s="58" t="s">
        <v>2598</v>
      </c>
      <c r="O1994" s="58" t="s">
        <v>1286</v>
      </c>
      <c r="P1994" s="58" t="str">
        <f t="shared" si="38"/>
        <v>F010</v>
      </c>
      <c r="Q1994" s="58" t="s">
        <v>127</v>
      </c>
      <c r="S1994" s="59">
        <v>20</v>
      </c>
      <c r="T1994" s="58" t="s">
        <v>4248</v>
      </c>
      <c r="U1994" s="58" t="s">
        <v>2085</v>
      </c>
      <c r="V1994" s="58" t="s">
        <v>1463</v>
      </c>
      <c r="Y1994" s="58">
        <v>3079.16</v>
      </c>
      <c r="AB1994" s="58">
        <v>2925.2</v>
      </c>
    </row>
    <row r="1995" spans="2:28" s="58" customFormat="1" x14ac:dyDescent="0.2">
      <c r="B1995" s="56" t="s">
        <v>2294</v>
      </c>
      <c r="C1995" s="57">
        <v>1000</v>
      </c>
      <c r="D1995" s="48">
        <f t="shared" si="39"/>
        <v>0.01</v>
      </c>
      <c r="E1995" s="58" t="s">
        <v>1348</v>
      </c>
      <c r="F1995" s="58" t="s">
        <v>4249</v>
      </c>
      <c r="G1995" s="56" t="s">
        <v>4250</v>
      </c>
      <c r="K1995" s="58" t="s">
        <v>4251</v>
      </c>
      <c r="L1995" s="58" t="s">
        <v>1279</v>
      </c>
      <c r="M1995" s="58" t="s">
        <v>1467</v>
      </c>
      <c r="N1995" s="58" t="s">
        <v>1754</v>
      </c>
      <c r="O1995" s="58" t="s">
        <v>1286</v>
      </c>
      <c r="P1995" s="58" t="str">
        <f t="shared" si="38"/>
        <v>F010</v>
      </c>
      <c r="Q1995" s="58" t="s">
        <v>127</v>
      </c>
      <c r="S1995" s="59">
        <v>20</v>
      </c>
      <c r="T1995" s="58" t="s">
        <v>4248</v>
      </c>
      <c r="U1995" s="58" t="s">
        <v>2085</v>
      </c>
      <c r="V1995" s="58" t="s">
        <v>1463</v>
      </c>
      <c r="Y1995" s="58">
        <v>3079.16</v>
      </c>
      <c r="AB1995" s="58">
        <v>2925.2</v>
      </c>
    </row>
    <row r="1996" spans="2:28" s="58" customFormat="1" x14ac:dyDescent="0.2">
      <c r="B1996" s="56" t="s">
        <v>2294</v>
      </c>
      <c r="C1996" s="57">
        <v>3000</v>
      </c>
      <c r="D1996" s="48">
        <f t="shared" si="39"/>
        <v>0.03</v>
      </c>
      <c r="E1996" s="58" t="s">
        <v>1351</v>
      </c>
      <c r="F1996" s="58" t="s">
        <v>4249</v>
      </c>
      <c r="G1996" s="56" t="s">
        <v>4250</v>
      </c>
      <c r="K1996" s="58" t="s">
        <v>4251</v>
      </c>
      <c r="L1996" s="58" t="s">
        <v>1279</v>
      </c>
      <c r="M1996" s="58" t="s">
        <v>1467</v>
      </c>
      <c r="N1996" s="58" t="s">
        <v>2601</v>
      </c>
      <c r="O1996" s="58" t="s">
        <v>1286</v>
      </c>
      <c r="P1996" s="58" t="str">
        <f t="shared" si="38"/>
        <v>F010</v>
      </c>
      <c r="Q1996" s="58" t="s">
        <v>127</v>
      </c>
      <c r="S1996" s="59">
        <v>20</v>
      </c>
      <c r="T1996" s="58" t="s">
        <v>4248</v>
      </c>
      <c r="U1996" s="58" t="s">
        <v>2085</v>
      </c>
      <c r="V1996" s="58" t="s">
        <v>1463</v>
      </c>
      <c r="Y1996" s="58">
        <v>9237.48</v>
      </c>
      <c r="AB1996" s="58">
        <v>8775.61</v>
      </c>
    </row>
    <row r="1997" spans="2:28" s="58" customFormat="1" x14ac:dyDescent="0.2">
      <c r="B1997" s="56" t="s">
        <v>2294</v>
      </c>
      <c r="C1997" s="57">
        <v>4000</v>
      </c>
      <c r="D1997" s="48">
        <f t="shared" si="39"/>
        <v>0.04</v>
      </c>
      <c r="E1997" s="58" t="s">
        <v>1352</v>
      </c>
      <c r="F1997" s="58" t="s">
        <v>4249</v>
      </c>
      <c r="G1997" s="56" t="s">
        <v>4250</v>
      </c>
      <c r="K1997" s="58" t="s">
        <v>4251</v>
      </c>
      <c r="L1997" s="58" t="s">
        <v>1279</v>
      </c>
      <c r="M1997" s="58" t="s">
        <v>1467</v>
      </c>
      <c r="N1997" s="58" t="s">
        <v>1837</v>
      </c>
      <c r="O1997" s="58" t="s">
        <v>1286</v>
      </c>
      <c r="P1997" s="58" t="str">
        <f t="shared" si="38"/>
        <v>F010</v>
      </c>
      <c r="Q1997" s="58" t="s">
        <v>127</v>
      </c>
      <c r="S1997" s="59">
        <v>20</v>
      </c>
      <c r="T1997" s="58" t="s">
        <v>4248</v>
      </c>
      <c r="U1997" s="58" t="s">
        <v>2085</v>
      </c>
      <c r="V1997" s="58" t="s">
        <v>1463</v>
      </c>
      <c r="Y1997" s="58">
        <v>12316.64</v>
      </c>
      <c r="AB1997" s="58">
        <v>11700.81</v>
      </c>
    </row>
    <row r="1998" spans="2:28" s="58" customFormat="1" x14ac:dyDescent="0.2">
      <c r="B1998" s="56" t="s">
        <v>2294</v>
      </c>
      <c r="C1998" s="57">
        <v>20000</v>
      </c>
      <c r="D1998" s="48">
        <f t="shared" si="39"/>
        <v>0.2</v>
      </c>
      <c r="E1998" s="58" t="s">
        <v>1353</v>
      </c>
      <c r="F1998" s="58" t="s">
        <v>4249</v>
      </c>
      <c r="G1998" s="56" t="s">
        <v>4250</v>
      </c>
      <c r="K1998" s="58" t="s">
        <v>4251</v>
      </c>
      <c r="L1998" s="58" t="s">
        <v>1279</v>
      </c>
      <c r="M1998" s="58" t="s">
        <v>1467</v>
      </c>
      <c r="N1998" s="58" t="s">
        <v>1287</v>
      </c>
      <c r="O1998" s="58" t="s">
        <v>1286</v>
      </c>
      <c r="P1998" s="58" t="str">
        <f t="shared" si="38"/>
        <v>F010</v>
      </c>
      <c r="Q1998" s="58" t="s">
        <v>127</v>
      </c>
      <c r="S1998" s="59">
        <v>20</v>
      </c>
      <c r="T1998" s="58" t="s">
        <v>4248</v>
      </c>
      <c r="U1998" s="58" t="s">
        <v>2085</v>
      </c>
      <c r="V1998" s="58" t="s">
        <v>1463</v>
      </c>
      <c r="Y1998" s="58">
        <v>61583.199999999997</v>
      </c>
      <c r="AB1998" s="58">
        <v>58504.04</v>
      </c>
    </row>
    <row r="1999" spans="2:28" s="58" customFormat="1" x14ac:dyDescent="0.2">
      <c r="B1999" s="56" t="s">
        <v>2294</v>
      </c>
      <c r="C1999" s="57">
        <v>4000</v>
      </c>
      <c r="D1999" s="48">
        <f t="shared" si="39"/>
        <v>0.04</v>
      </c>
      <c r="E1999" s="58" t="s">
        <v>1367</v>
      </c>
      <c r="F1999" s="58" t="s">
        <v>4249</v>
      </c>
      <c r="G1999" s="56" t="s">
        <v>4250</v>
      </c>
      <c r="K1999" s="58" t="s">
        <v>4251</v>
      </c>
      <c r="L1999" s="58" t="s">
        <v>1279</v>
      </c>
      <c r="M1999" s="58" t="s">
        <v>1467</v>
      </c>
      <c r="N1999" s="58" t="s">
        <v>2611</v>
      </c>
      <c r="O1999" s="58" t="s">
        <v>1286</v>
      </c>
      <c r="P1999" s="58" t="str">
        <f t="shared" si="38"/>
        <v>F010</v>
      </c>
      <c r="Q1999" s="58" t="s">
        <v>127</v>
      </c>
      <c r="S1999" s="59">
        <v>20</v>
      </c>
      <c r="T1999" s="58" t="s">
        <v>4248</v>
      </c>
      <c r="U1999" s="58" t="s">
        <v>2085</v>
      </c>
      <c r="V1999" s="58" t="s">
        <v>1463</v>
      </c>
      <c r="Y1999" s="58">
        <v>12316.64</v>
      </c>
      <c r="AB1999" s="58">
        <v>11700.81</v>
      </c>
    </row>
    <row r="2000" spans="2:28" s="58" customFormat="1" x14ac:dyDescent="0.2">
      <c r="B2000" s="56" t="s">
        <v>2294</v>
      </c>
      <c r="C2000" s="57">
        <v>10000</v>
      </c>
      <c r="D2000" s="48">
        <f t="shared" si="39"/>
        <v>0.1</v>
      </c>
      <c r="E2000" s="58" t="s">
        <v>1368</v>
      </c>
      <c r="F2000" s="58" t="s">
        <v>4249</v>
      </c>
      <c r="G2000" s="56" t="s">
        <v>4250</v>
      </c>
      <c r="K2000" s="58" t="s">
        <v>4251</v>
      </c>
      <c r="L2000" s="58" t="s">
        <v>1279</v>
      </c>
      <c r="M2000" s="58" t="s">
        <v>1467</v>
      </c>
      <c r="N2000" s="58" t="s">
        <v>1286</v>
      </c>
      <c r="O2000" s="58" t="s">
        <v>1286</v>
      </c>
      <c r="P2000" s="58" t="str">
        <f t="shared" si="38"/>
        <v>F010</v>
      </c>
      <c r="Q2000" s="58" t="s">
        <v>127</v>
      </c>
      <c r="S2000" s="59">
        <v>20</v>
      </c>
      <c r="T2000" s="58" t="s">
        <v>4248</v>
      </c>
      <c r="U2000" s="58" t="s">
        <v>2085</v>
      </c>
      <c r="V2000" s="58" t="s">
        <v>1463</v>
      </c>
      <c r="Y2000" s="58">
        <v>30791.599999999999</v>
      </c>
      <c r="AB2000" s="58">
        <v>29252.02</v>
      </c>
    </row>
    <row r="2001" spans="2:28" s="58" customFormat="1" x14ac:dyDescent="0.2">
      <c r="B2001" s="56" t="s">
        <v>2294</v>
      </c>
      <c r="C2001" s="57">
        <v>7000</v>
      </c>
      <c r="D2001" s="48">
        <f t="shared" si="39"/>
        <v>7.0000000000000007E-2</v>
      </c>
      <c r="E2001" s="58" t="s">
        <v>1369</v>
      </c>
      <c r="F2001" s="58" t="s">
        <v>4249</v>
      </c>
      <c r="G2001" s="56" t="s">
        <v>4250</v>
      </c>
      <c r="K2001" s="58" t="s">
        <v>4251</v>
      </c>
      <c r="L2001" s="58" t="s">
        <v>1279</v>
      </c>
      <c r="M2001" s="58" t="s">
        <v>1467</v>
      </c>
      <c r="N2001" s="58" t="s">
        <v>1287</v>
      </c>
      <c r="O2001" s="58" t="s">
        <v>1286</v>
      </c>
      <c r="P2001" s="58" t="str">
        <f t="shared" si="38"/>
        <v>F010</v>
      </c>
      <c r="Q2001" s="58" t="s">
        <v>127</v>
      </c>
      <c r="S2001" s="59">
        <v>20</v>
      </c>
      <c r="T2001" s="58" t="s">
        <v>4248</v>
      </c>
      <c r="U2001" s="58" t="s">
        <v>2085</v>
      </c>
      <c r="V2001" s="58" t="s">
        <v>1463</v>
      </c>
      <c r="Y2001" s="58">
        <v>21554.12</v>
      </c>
      <c r="AB2001" s="58">
        <v>20476.41</v>
      </c>
    </row>
    <row r="2002" spans="2:28" x14ac:dyDescent="0.2">
      <c r="B2002" s="30" t="s">
        <v>2294</v>
      </c>
      <c r="C2002" s="36"/>
      <c r="D2002" s="36"/>
      <c r="F2002" s="1" t="s">
        <v>4249</v>
      </c>
      <c r="G2002" s="30" t="s">
        <v>4252</v>
      </c>
      <c r="K2002" s="1" t="s">
        <v>4253</v>
      </c>
      <c r="L2002" s="1" t="s">
        <v>1279</v>
      </c>
      <c r="M2002" s="36" t="s">
        <v>1750</v>
      </c>
      <c r="N2002" s="1" t="s">
        <v>1286</v>
      </c>
      <c r="O2002" s="1" t="s">
        <v>1286</v>
      </c>
      <c r="P2002" s="34" t="str">
        <f t="shared" si="38"/>
        <v>F010</v>
      </c>
      <c r="Q2002" s="1" t="s">
        <v>129</v>
      </c>
      <c r="S2002" s="16">
        <v>20</v>
      </c>
      <c r="T2002" s="1" t="s">
        <v>4248</v>
      </c>
      <c r="U2002" s="1" t="s">
        <v>1889</v>
      </c>
      <c r="V2002" s="1" t="s">
        <v>1890</v>
      </c>
      <c r="Y2002" s="1">
        <v>14500</v>
      </c>
      <c r="AB2002" s="1">
        <v>13775</v>
      </c>
    </row>
    <row r="2003" spans="2:28" x14ac:dyDescent="0.2">
      <c r="B2003" s="30" t="s">
        <v>2294</v>
      </c>
      <c r="C2003" s="36"/>
      <c r="D2003" s="36"/>
      <c r="F2003" s="1" t="s">
        <v>4249</v>
      </c>
      <c r="G2003" s="30" t="s">
        <v>4254</v>
      </c>
      <c r="K2003" s="1" t="s">
        <v>4255</v>
      </c>
      <c r="L2003" s="1" t="s">
        <v>1279</v>
      </c>
      <c r="M2003" s="36" t="s">
        <v>2356</v>
      </c>
      <c r="N2003" s="1" t="s">
        <v>1286</v>
      </c>
      <c r="O2003" s="1" t="s">
        <v>1286</v>
      </c>
      <c r="P2003" s="34" t="str">
        <f t="shared" si="38"/>
        <v>F010</v>
      </c>
      <c r="Q2003" s="1" t="s">
        <v>129</v>
      </c>
      <c r="S2003" s="16">
        <v>20</v>
      </c>
      <c r="T2003" s="1" t="s">
        <v>4248</v>
      </c>
      <c r="U2003" s="1" t="s">
        <v>4256</v>
      </c>
      <c r="V2003" s="1" t="s">
        <v>2833</v>
      </c>
      <c r="Y2003" s="1">
        <v>2000</v>
      </c>
      <c r="AB2003" s="1">
        <v>1900</v>
      </c>
    </row>
    <row r="2004" spans="2:28" s="58" customFormat="1" x14ac:dyDescent="0.2">
      <c r="B2004" s="56" t="s">
        <v>2294</v>
      </c>
      <c r="C2004" s="57">
        <v>34000</v>
      </c>
      <c r="D2004" s="48">
        <f>+C2004/100000</f>
        <v>0.34</v>
      </c>
      <c r="E2004" s="58" t="s">
        <v>1331</v>
      </c>
      <c r="F2004" s="58" t="s">
        <v>4249</v>
      </c>
      <c r="G2004" s="56" t="s">
        <v>4257</v>
      </c>
      <c r="K2004" s="58" t="s">
        <v>4258</v>
      </c>
      <c r="L2004" s="58" t="s">
        <v>1279</v>
      </c>
      <c r="M2004" s="58" t="s">
        <v>2395</v>
      </c>
      <c r="N2004" s="58" t="s">
        <v>1833</v>
      </c>
      <c r="O2004" s="58" t="s">
        <v>1286</v>
      </c>
      <c r="P2004" s="58" t="str">
        <f t="shared" si="38"/>
        <v>F010</v>
      </c>
      <c r="Q2004" s="58" t="s">
        <v>127</v>
      </c>
      <c r="S2004" s="59">
        <v>20</v>
      </c>
      <c r="T2004" s="58" t="s">
        <v>4248</v>
      </c>
      <c r="U2004" s="58" t="s">
        <v>1875</v>
      </c>
      <c r="V2004" s="58" t="s">
        <v>2364</v>
      </c>
      <c r="Y2004" s="58">
        <v>3937.2</v>
      </c>
      <c r="AB2004" s="58">
        <v>3740.34</v>
      </c>
    </row>
    <row r="2005" spans="2:28" s="58" customFormat="1" x14ac:dyDescent="0.2">
      <c r="B2005" s="56" t="s">
        <v>2294</v>
      </c>
      <c r="C2005" s="57">
        <v>33000</v>
      </c>
      <c r="D2005" s="48">
        <f>+C2005/100000</f>
        <v>0.33</v>
      </c>
      <c r="E2005" s="58" t="s">
        <v>1337</v>
      </c>
      <c r="F2005" s="58" t="s">
        <v>4249</v>
      </c>
      <c r="G2005" s="56" t="s">
        <v>4257</v>
      </c>
      <c r="K2005" s="58" t="s">
        <v>4258</v>
      </c>
      <c r="L2005" s="58" t="s">
        <v>1279</v>
      </c>
      <c r="M2005" s="58" t="s">
        <v>2395</v>
      </c>
      <c r="N2005" s="58" t="s">
        <v>2497</v>
      </c>
      <c r="O2005" s="58" t="s">
        <v>1286</v>
      </c>
      <c r="P2005" s="58" t="str">
        <f t="shared" si="38"/>
        <v>F010</v>
      </c>
      <c r="Q2005" s="58" t="s">
        <v>127</v>
      </c>
      <c r="S2005" s="59">
        <v>20</v>
      </c>
      <c r="T2005" s="58" t="s">
        <v>4248</v>
      </c>
      <c r="U2005" s="58" t="s">
        <v>1875</v>
      </c>
      <c r="V2005" s="58" t="s">
        <v>2364</v>
      </c>
      <c r="Y2005" s="58">
        <v>3821.4</v>
      </c>
      <c r="AB2005" s="58">
        <v>3630.33</v>
      </c>
    </row>
    <row r="2006" spans="2:28" s="58" customFormat="1" x14ac:dyDescent="0.2">
      <c r="B2006" s="56" t="s">
        <v>2294</v>
      </c>
      <c r="C2006" s="57">
        <v>33000</v>
      </c>
      <c r="D2006" s="48">
        <f>+C2006/100000</f>
        <v>0.33</v>
      </c>
      <c r="E2006" s="58" t="s">
        <v>1348</v>
      </c>
      <c r="F2006" s="58" t="s">
        <v>4249</v>
      </c>
      <c r="G2006" s="56" t="s">
        <v>4257</v>
      </c>
      <c r="K2006" s="58" t="s">
        <v>4258</v>
      </c>
      <c r="L2006" s="58" t="s">
        <v>1279</v>
      </c>
      <c r="M2006" s="58" t="s">
        <v>2395</v>
      </c>
      <c r="N2006" s="58" t="s">
        <v>1754</v>
      </c>
      <c r="O2006" s="58" t="s">
        <v>1286</v>
      </c>
      <c r="P2006" s="58" t="str">
        <f t="shared" si="38"/>
        <v>F010</v>
      </c>
      <c r="Q2006" s="58" t="s">
        <v>127</v>
      </c>
      <c r="S2006" s="59">
        <v>20</v>
      </c>
      <c r="T2006" s="58" t="s">
        <v>4248</v>
      </c>
      <c r="U2006" s="58" t="s">
        <v>1875</v>
      </c>
      <c r="V2006" s="58" t="s">
        <v>2364</v>
      </c>
      <c r="Y2006" s="58">
        <v>3821.4</v>
      </c>
      <c r="AB2006" s="58">
        <v>3630.33</v>
      </c>
    </row>
    <row r="2007" spans="2:28" x14ac:dyDescent="0.2">
      <c r="B2007" s="30" t="s">
        <v>2294</v>
      </c>
      <c r="C2007" s="36"/>
      <c r="D2007" s="36"/>
      <c r="F2007" s="1" t="s">
        <v>4249</v>
      </c>
      <c r="G2007" s="30" t="s">
        <v>4259</v>
      </c>
      <c r="K2007" s="1" t="s">
        <v>4260</v>
      </c>
      <c r="L2007" s="1" t="s">
        <v>1279</v>
      </c>
      <c r="M2007" s="36" t="s">
        <v>1862</v>
      </c>
      <c r="N2007" s="1" t="s">
        <v>1788</v>
      </c>
      <c r="O2007" s="1" t="s">
        <v>1286</v>
      </c>
      <c r="P2007" s="34" t="str">
        <f t="shared" si="38"/>
        <v>F010</v>
      </c>
      <c r="Q2007" s="1" t="s">
        <v>127</v>
      </c>
      <c r="S2007" s="16">
        <v>20</v>
      </c>
      <c r="T2007" s="1" t="s">
        <v>4248</v>
      </c>
      <c r="U2007" s="1" t="s">
        <v>4146</v>
      </c>
      <c r="V2007" s="1" t="s">
        <v>1345</v>
      </c>
      <c r="Y2007" s="1">
        <v>31000</v>
      </c>
      <c r="AB2007" s="1">
        <v>29450</v>
      </c>
    </row>
    <row r="2008" spans="2:28" x14ac:dyDescent="0.2">
      <c r="B2008" s="30" t="s">
        <v>2294</v>
      </c>
      <c r="C2008" s="36"/>
      <c r="D2008" s="36"/>
      <c r="F2008" s="1" t="s">
        <v>4249</v>
      </c>
      <c r="G2008" s="30" t="s">
        <v>4261</v>
      </c>
      <c r="K2008" s="1" t="s">
        <v>4262</v>
      </c>
      <c r="L2008" s="1" t="s">
        <v>1279</v>
      </c>
      <c r="M2008" s="36" t="s">
        <v>4263</v>
      </c>
      <c r="N2008" s="1" t="s">
        <v>1287</v>
      </c>
      <c r="O2008" s="1" t="s">
        <v>1286</v>
      </c>
      <c r="P2008" s="34" t="str">
        <f t="shared" si="38"/>
        <v>F010</v>
      </c>
      <c r="Q2008" s="1" t="s">
        <v>138</v>
      </c>
      <c r="S2008" s="16">
        <v>20</v>
      </c>
      <c r="T2008" s="1" t="s">
        <v>4248</v>
      </c>
      <c r="U2008" s="1" t="s">
        <v>4264</v>
      </c>
      <c r="V2008" s="1" t="s">
        <v>4265</v>
      </c>
      <c r="Y2008" s="1">
        <v>119122</v>
      </c>
      <c r="AB2008" s="1">
        <v>107209.82</v>
      </c>
    </row>
    <row r="2009" spans="2:28" x14ac:dyDescent="0.2">
      <c r="B2009" s="30" t="s">
        <v>2294</v>
      </c>
      <c r="C2009" s="36"/>
      <c r="D2009" s="36"/>
      <c r="F2009" s="1" t="s">
        <v>4249</v>
      </c>
      <c r="G2009" s="30" t="s">
        <v>4266</v>
      </c>
      <c r="K2009" s="1" t="s">
        <v>4267</v>
      </c>
      <c r="L2009" s="1" t="s">
        <v>1279</v>
      </c>
      <c r="M2009" s="36" t="s">
        <v>1463</v>
      </c>
      <c r="N2009" s="1" t="s">
        <v>1287</v>
      </c>
      <c r="O2009" s="1" t="s">
        <v>1286</v>
      </c>
      <c r="P2009" s="34" t="str">
        <f t="shared" si="38"/>
        <v>F010</v>
      </c>
      <c r="Q2009" s="1" t="s">
        <v>137</v>
      </c>
      <c r="S2009" s="16">
        <v>20</v>
      </c>
      <c r="T2009" s="1" t="s">
        <v>4248</v>
      </c>
      <c r="U2009" s="1" t="s">
        <v>1480</v>
      </c>
      <c r="V2009" s="1" t="s">
        <v>1696</v>
      </c>
      <c r="Y2009" s="1">
        <v>53000</v>
      </c>
      <c r="AB2009" s="1">
        <v>22377.759999999998</v>
      </c>
    </row>
    <row r="2010" spans="2:28" x14ac:dyDescent="0.2">
      <c r="B2010" s="30" t="s">
        <v>2294</v>
      </c>
      <c r="C2010" s="36"/>
      <c r="D2010" s="36"/>
      <c r="F2010" s="1" t="s">
        <v>4249</v>
      </c>
      <c r="G2010" s="30" t="s">
        <v>4266</v>
      </c>
      <c r="K2010" s="1" t="s">
        <v>4268</v>
      </c>
      <c r="L2010" s="1" t="s">
        <v>1279</v>
      </c>
      <c r="M2010" s="36" t="s">
        <v>1463</v>
      </c>
      <c r="N2010" s="1" t="s">
        <v>1287</v>
      </c>
      <c r="O2010" s="1" t="s">
        <v>1286</v>
      </c>
      <c r="P2010" s="34" t="str">
        <f t="shared" si="38"/>
        <v>F010</v>
      </c>
      <c r="Q2010" s="1" t="s">
        <v>137</v>
      </c>
      <c r="S2010" s="16">
        <v>20</v>
      </c>
      <c r="T2010" s="1" t="s">
        <v>4248</v>
      </c>
      <c r="U2010" s="1" t="s">
        <v>1480</v>
      </c>
      <c r="V2010" s="1" t="s">
        <v>1696</v>
      </c>
      <c r="Y2010" s="1">
        <v>53000</v>
      </c>
      <c r="AB2010" s="1">
        <v>22377.759999999998</v>
      </c>
    </row>
    <row r="2011" spans="2:28" x14ac:dyDescent="0.2">
      <c r="B2011" s="30" t="s">
        <v>2294</v>
      </c>
      <c r="C2011" s="36"/>
      <c r="D2011" s="36"/>
      <c r="F2011" s="1" t="s">
        <v>4249</v>
      </c>
      <c r="G2011" s="30" t="s">
        <v>4269</v>
      </c>
      <c r="K2011" s="1" t="s">
        <v>4270</v>
      </c>
      <c r="L2011" s="1" t="s">
        <v>1279</v>
      </c>
      <c r="M2011" s="36" t="s">
        <v>2006</v>
      </c>
      <c r="N2011" s="1" t="s">
        <v>1284</v>
      </c>
      <c r="O2011" s="1" t="s">
        <v>1286</v>
      </c>
      <c r="P2011" s="34" t="str">
        <f t="shared" si="38"/>
        <v>F010</v>
      </c>
      <c r="Q2011" s="1" t="s">
        <v>138</v>
      </c>
      <c r="S2011" s="16">
        <v>20</v>
      </c>
      <c r="T2011" s="1" t="s">
        <v>4248</v>
      </c>
      <c r="U2011" s="1" t="s">
        <v>1857</v>
      </c>
      <c r="V2011" s="1" t="s">
        <v>2198</v>
      </c>
      <c r="Y2011" s="1">
        <v>74500</v>
      </c>
      <c r="AB2011" s="1">
        <v>21432.18</v>
      </c>
    </row>
    <row r="2012" spans="2:28" x14ac:dyDescent="0.2">
      <c r="B2012" s="30" t="s">
        <v>2294</v>
      </c>
      <c r="C2012" s="36"/>
      <c r="D2012" s="36"/>
      <c r="F2012" s="1" t="s">
        <v>4249</v>
      </c>
      <c r="G2012" s="30" t="s">
        <v>4269</v>
      </c>
      <c r="K2012" s="1" t="s">
        <v>4271</v>
      </c>
      <c r="L2012" s="1" t="s">
        <v>1279</v>
      </c>
      <c r="M2012" s="36" t="s">
        <v>2006</v>
      </c>
      <c r="N2012" s="1" t="s">
        <v>1284</v>
      </c>
      <c r="O2012" s="1" t="s">
        <v>1286</v>
      </c>
      <c r="P2012" s="34" t="str">
        <f t="shared" si="38"/>
        <v>F010</v>
      </c>
      <c r="Q2012" s="1" t="s">
        <v>138</v>
      </c>
      <c r="S2012" s="16">
        <v>20</v>
      </c>
      <c r="T2012" s="1" t="s">
        <v>4248</v>
      </c>
      <c r="U2012" s="1" t="s">
        <v>1857</v>
      </c>
      <c r="V2012" s="1" t="s">
        <v>2198</v>
      </c>
      <c r="Y2012" s="1">
        <v>86800</v>
      </c>
      <c r="AB2012" s="1">
        <v>24970.66</v>
      </c>
    </row>
    <row r="2013" spans="2:28" x14ac:dyDescent="0.2">
      <c r="B2013" s="30" t="s">
        <v>2294</v>
      </c>
      <c r="C2013" s="36"/>
      <c r="D2013" s="36"/>
      <c r="F2013" s="1" t="s">
        <v>4249</v>
      </c>
      <c r="G2013" s="30" t="s">
        <v>4272</v>
      </c>
      <c r="K2013" s="1" t="s">
        <v>4273</v>
      </c>
      <c r="L2013" s="1" t="s">
        <v>1279</v>
      </c>
      <c r="M2013" s="36" t="s">
        <v>1560</v>
      </c>
      <c r="N2013" s="1" t="s">
        <v>1284</v>
      </c>
      <c r="O2013" s="1" t="s">
        <v>1286</v>
      </c>
      <c r="P2013" s="34" t="str">
        <f t="shared" si="38"/>
        <v>F010</v>
      </c>
      <c r="Q2013" s="1" t="s">
        <v>127</v>
      </c>
      <c r="S2013" s="16">
        <v>20</v>
      </c>
      <c r="T2013" s="1" t="s">
        <v>4248</v>
      </c>
      <c r="U2013" s="1" t="s">
        <v>1476</v>
      </c>
      <c r="V2013" s="1" t="s">
        <v>1569</v>
      </c>
      <c r="Y2013" s="1">
        <v>8480</v>
      </c>
      <c r="AB2013" s="1">
        <v>1342.68</v>
      </c>
    </row>
    <row r="2014" spans="2:28" x14ac:dyDescent="0.2">
      <c r="B2014" s="30" t="s">
        <v>2294</v>
      </c>
      <c r="C2014" s="36"/>
      <c r="D2014" s="36"/>
      <c r="F2014" s="1" t="s">
        <v>4249</v>
      </c>
      <c r="G2014" s="30" t="s">
        <v>4272</v>
      </c>
      <c r="K2014" s="1" t="s">
        <v>4274</v>
      </c>
      <c r="L2014" s="1" t="s">
        <v>1279</v>
      </c>
      <c r="M2014" s="36" t="s">
        <v>1560</v>
      </c>
      <c r="N2014" s="1" t="s">
        <v>1284</v>
      </c>
      <c r="O2014" s="1" t="s">
        <v>1286</v>
      </c>
      <c r="P2014" s="34" t="str">
        <f t="shared" si="38"/>
        <v>F010</v>
      </c>
      <c r="Q2014" s="1" t="s">
        <v>127</v>
      </c>
      <c r="S2014" s="16">
        <v>20</v>
      </c>
      <c r="T2014" s="1" t="s">
        <v>4248</v>
      </c>
      <c r="U2014" s="1" t="s">
        <v>1476</v>
      </c>
      <c r="V2014" s="1" t="s">
        <v>1569</v>
      </c>
      <c r="Y2014" s="1">
        <v>8480</v>
      </c>
      <c r="AB2014" s="1">
        <v>1342.68</v>
      </c>
    </row>
    <row r="2015" spans="2:28" x14ac:dyDescent="0.2">
      <c r="B2015" s="30" t="s">
        <v>2294</v>
      </c>
      <c r="C2015" s="36"/>
      <c r="D2015" s="36"/>
      <c r="F2015" s="1" t="s">
        <v>4249</v>
      </c>
      <c r="G2015" s="30" t="s">
        <v>4272</v>
      </c>
      <c r="K2015" s="1" t="s">
        <v>4275</v>
      </c>
      <c r="L2015" s="1" t="s">
        <v>1279</v>
      </c>
      <c r="M2015" s="36" t="s">
        <v>1560</v>
      </c>
      <c r="N2015" s="1" t="s">
        <v>1284</v>
      </c>
      <c r="O2015" s="1" t="s">
        <v>1286</v>
      </c>
      <c r="P2015" s="34" t="str">
        <f t="shared" si="38"/>
        <v>F010</v>
      </c>
      <c r="Q2015" s="1" t="s">
        <v>127</v>
      </c>
      <c r="S2015" s="16">
        <v>20</v>
      </c>
      <c r="T2015" s="1" t="s">
        <v>4248</v>
      </c>
      <c r="U2015" s="1" t="s">
        <v>1476</v>
      </c>
      <c r="V2015" s="1" t="s">
        <v>1569</v>
      </c>
      <c r="Y2015" s="1">
        <v>8480</v>
      </c>
      <c r="AB2015" s="1">
        <v>1342.68</v>
      </c>
    </row>
    <row r="2016" spans="2:28" x14ac:dyDescent="0.2">
      <c r="B2016" s="30" t="s">
        <v>2294</v>
      </c>
      <c r="C2016" s="36"/>
      <c r="D2016" s="36"/>
      <c r="F2016" s="1" t="s">
        <v>4249</v>
      </c>
      <c r="G2016" s="30" t="s">
        <v>4276</v>
      </c>
      <c r="K2016" s="1" t="s">
        <v>4277</v>
      </c>
      <c r="L2016" s="1" t="s">
        <v>1279</v>
      </c>
      <c r="M2016" s="36" t="s">
        <v>2313</v>
      </c>
      <c r="N2016" s="1" t="s">
        <v>2314</v>
      </c>
      <c r="O2016" s="1" t="s">
        <v>1286</v>
      </c>
      <c r="P2016" s="34" t="str">
        <f t="shared" si="38"/>
        <v>F010</v>
      </c>
      <c r="Q2016" s="1" t="s">
        <v>137</v>
      </c>
      <c r="S2016" s="16">
        <v>20</v>
      </c>
      <c r="T2016" s="1" t="s">
        <v>4248</v>
      </c>
      <c r="U2016" s="1" t="s">
        <v>1325</v>
      </c>
      <c r="V2016" s="1" t="s">
        <v>1994</v>
      </c>
      <c r="Y2016" s="1">
        <v>25035.59</v>
      </c>
      <c r="AB2016" s="1">
        <v>23783.81</v>
      </c>
    </row>
    <row r="2017" spans="2:28" x14ac:dyDescent="0.2">
      <c r="B2017" s="30" t="s">
        <v>2294</v>
      </c>
      <c r="C2017" s="36"/>
      <c r="D2017" s="36"/>
      <c r="F2017" s="1" t="s">
        <v>4249</v>
      </c>
      <c r="G2017" s="30" t="s">
        <v>4276</v>
      </c>
      <c r="K2017" s="1" t="s">
        <v>4278</v>
      </c>
      <c r="L2017" s="1" t="s">
        <v>1279</v>
      </c>
      <c r="M2017" s="36" t="s">
        <v>1343</v>
      </c>
      <c r="N2017" s="1" t="s">
        <v>1287</v>
      </c>
      <c r="O2017" s="1" t="s">
        <v>1286</v>
      </c>
      <c r="P2017" s="34" t="str">
        <f t="shared" si="38"/>
        <v>F010</v>
      </c>
      <c r="Q2017" s="1" t="s">
        <v>138</v>
      </c>
      <c r="S2017" s="16">
        <v>20</v>
      </c>
      <c r="T2017" s="1" t="s">
        <v>4248</v>
      </c>
      <c r="U2017" s="1" t="s">
        <v>2319</v>
      </c>
      <c r="V2017" s="1" t="s">
        <v>2515</v>
      </c>
      <c r="Y2017" s="1">
        <v>19327.5</v>
      </c>
      <c r="AB2017" s="1">
        <v>18361.12</v>
      </c>
    </row>
    <row r="2018" spans="2:28" x14ac:dyDescent="0.2">
      <c r="B2018" s="30" t="s">
        <v>2294</v>
      </c>
      <c r="C2018" s="36"/>
      <c r="D2018" s="36"/>
      <c r="F2018" s="1" t="s">
        <v>4249</v>
      </c>
      <c r="G2018" s="30" t="s">
        <v>4276</v>
      </c>
      <c r="K2018" s="1" t="s">
        <v>4279</v>
      </c>
      <c r="L2018" s="1" t="s">
        <v>1279</v>
      </c>
      <c r="M2018" s="36" t="s">
        <v>1343</v>
      </c>
      <c r="N2018" s="1" t="s">
        <v>1287</v>
      </c>
      <c r="O2018" s="1" t="s">
        <v>1286</v>
      </c>
      <c r="P2018" s="34" t="str">
        <f t="shared" si="38"/>
        <v>F010</v>
      </c>
      <c r="Q2018" s="1" t="s">
        <v>138</v>
      </c>
      <c r="S2018" s="16">
        <v>20</v>
      </c>
      <c r="T2018" s="1" t="s">
        <v>4248</v>
      </c>
      <c r="U2018" s="1" t="s">
        <v>2319</v>
      </c>
      <c r="V2018" s="1" t="s">
        <v>2515</v>
      </c>
      <c r="Y2018" s="1">
        <v>19327.5</v>
      </c>
      <c r="AB2018" s="1">
        <v>18361.12</v>
      </c>
    </row>
    <row r="2019" spans="2:28" x14ac:dyDescent="0.2">
      <c r="B2019" s="30" t="s">
        <v>2294</v>
      </c>
      <c r="C2019" s="36"/>
      <c r="D2019" s="36"/>
      <c r="F2019" s="1" t="s">
        <v>4249</v>
      </c>
      <c r="G2019" s="30" t="s">
        <v>4276</v>
      </c>
      <c r="K2019" s="1" t="s">
        <v>4280</v>
      </c>
      <c r="L2019" s="1" t="s">
        <v>1279</v>
      </c>
      <c r="M2019" s="36" t="s">
        <v>1343</v>
      </c>
      <c r="N2019" s="1" t="s">
        <v>1287</v>
      </c>
      <c r="O2019" s="1" t="s">
        <v>1286</v>
      </c>
      <c r="P2019" s="34" t="str">
        <f t="shared" si="38"/>
        <v>F010</v>
      </c>
      <c r="Q2019" s="1" t="s">
        <v>138</v>
      </c>
      <c r="S2019" s="16">
        <v>20</v>
      </c>
      <c r="T2019" s="1" t="s">
        <v>4248</v>
      </c>
      <c r="U2019" s="1" t="s">
        <v>2319</v>
      </c>
      <c r="V2019" s="1" t="s">
        <v>2515</v>
      </c>
      <c r="Y2019" s="1">
        <v>19327.5</v>
      </c>
      <c r="AB2019" s="1">
        <v>18361.12</v>
      </c>
    </row>
    <row r="2020" spans="2:28" x14ac:dyDescent="0.2">
      <c r="B2020" s="30" t="s">
        <v>2294</v>
      </c>
      <c r="C2020" s="36"/>
      <c r="D2020" s="36"/>
      <c r="F2020" s="1" t="s">
        <v>4249</v>
      </c>
      <c r="G2020" s="30" t="s">
        <v>4276</v>
      </c>
      <c r="K2020" s="1" t="s">
        <v>4281</v>
      </c>
      <c r="L2020" s="1" t="s">
        <v>1279</v>
      </c>
      <c r="M2020" s="36" t="s">
        <v>1343</v>
      </c>
      <c r="N2020" s="1" t="s">
        <v>1287</v>
      </c>
      <c r="O2020" s="1" t="s">
        <v>1286</v>
      </c>
      <c r="P2020" s="34" t="str">
        <f t="shared" si="38"/>
        <v>F010</v>
      </c>
      <c r="Q2020" s="1" t="s">
        <v>138</v>
      </c>
      <c r="S2020" s="16">
        <v>20</v>
      </c>
      <c r="T2020" s="1" t="s">
        <v>4282</v>
      </c>
      <c r="U2020" s="1" t="s">
        <v>2319</v>
      </c>
      <c r="V2020" s="1" t="s">
        <v>2515</v>
      </c>
      <c r="Y2020" s="1">
        <v>19327.5</v>
      </c>
      <c r="AB2020" s="1">
        <v>18361.12</v>
      </c>
    </row>
    <row r="2021" spans="2:28" x14ac:dyDescent="0.2">
      <c r="B2021" s="30" t="s">
        <v>2294</v>
      </c>
      <c r="C2021" s="36"/>
      <c r="D2021" s="36"/>
      <c r="F2021" s="1" t="s">
        <v>4283</v>
      </c>
      <c r="G2021" s="30" t="s">
        <v>4284</v>
      </c>
      <c r="K2021" s="1" t="s">
        <v>4285</v>
      </c>
      <c r="L2021" s="1" t="s">
        <v>1279</v>
      </c>
      <c r="M2021" s="36" t="s">
        <v>2395</v>
      </c>
      <c r="N2021" s="1" t="s">
        <v>1284</v>
      </c>
      <c r="O2021" s="1" t="s">
        <v>1286</v>
      </c>
      <c r="P2021" s="34" t="str">
        <f t="shared" si="38"/>
        <v>F010</v>
      </c>
      <c r="Q2021" s="1" t="s">
        <v>127</v>
      </c>
      <c r="S2021" s="16">
        <v>20</v>
      </c>
      <c r="T2021" s="1" t="s">
        <v>4282</v>
      </c>
      <c r="U2021" s="1" t="s">
        <v>1875</v>
      </c>
      <c r="V2021" s="1" t="s">
        <v>2364</v>
      </c>
      <c r="Y2021" s="1">
        <v>10050</v>
      </c>
      <c r="AB2021" s="1">
        <v>9547.5</v>
      </c>
    </row>
    <row r="2022" spans="2:28" s="58" customFormat="1" x14ac:dyDescent="0.2">
      <c r="B2022" s="56" t="s">
        <v>2294</v>
      </c>
      <c r="C2022" s="57">
        <v>50000</v>
      </c>
      <c r="D2022" s="48">
        <f t="shared" ref="D2022:D2047" si="40">+C2022/100000</f>
        <v>0.5</v>
      </c>
      <c r="E2022" s="58" t="s">
        <v>1331</v>
      </c>
      <c r="F2022" s="58" t="s">
        <v>4283</v>
      </c>
      <c r="G2022" s="56" t="s">
        <v>4286</v>
      </c>
      <c r="K2022" s="58" t="s">
        <v>4287</v>
      </c>
      <c r="L2022" s="58" t="s">
        <v>1279</v>
      </c>
      <c r="M2022" s="58" t="s">
        <v>4288</v>
      </c>
      <c r="N2022" s="58" t="s">
        <v>2394</v>
      </c>
      <c r="O2022" s="58" t="s">
        <v>1286</v>
      </c>
      <c r="P2022" s="58" t="str">
        <f t="shared" si="38"/>
        <v>F010</v>
      </c>
      <c r="Q2022" s="58" t="s">
        <v>129</v>
      </c>
      <c r="S2022" s="59">
        <v>20</v>
      </c>
      <c r="T2022" s="58" t="s">
        <v>4282</v>
      </c>
      <c r="U2022" s="58" t="s">
        <v>1473</v>
      </c>
      <c r="V2022" s="58" t="s">
        <v>2510</v>
      </c>
      <c r="Y2022" s="58">
        <v>8951.44</v>
      </c>
      <c r="AB2022" s="58">
        <v>8503.8700000000008</v>
      </c>
    </row>
    <row r="2023" spans="2:28" s="58" customFormat="1" x14ac:dyDescent="0.2">
      <c r="B2023" s="56" t="s">
        <v>2294</v>
      </c>
      <c r="C2023" s="57">
        <v>50000</v>
      </c>
      <c r="D2023" s="48">
        <f t="shared" si="40"/>
        <v>0.5</v>
      </c>
      <c r="E2023" s="58" t="s">
        <v>1337</v>
      </c>
      <c r="F2023" s="58" t="s">
        <v>4283</v>
      </c>
      <c r="G2023" s="56" t="s">
        <v>4286</v>
      </c>
      <c r="K2023" s="58" t="s">
        <v>4287</v>
      </c>
      <c r="L2023" s="58" t="s">
        <v>1279</v>
      </c>
      <c r="M2023" s="58" t="s">
        <v>4288</v>
      </c>
      <c r="N2023" s="58" t="s">
        <v>2925</v>
      </c>
      <c r="O2023" s="58" t="s">
        <v>1286</v>
      </c>
      <c r="P2023" s="58" t="str">
        <f t="shared" si="38"/>
        <v>F010</v>
      </c>
      <c r="Q2023" s="58" t="s">
        <v>129</v>
      </c>
      <c r="S2023" s="59">
        <v>20</v>
      </c>
      <c r="T2023" s="58" t="s">
        <v>4282</v>
      </c>
      <c r="U2023" s="58" t="s">
        <v>1473</v>
      </c>
      <c r="V2023" s="58" t="s">
        <v>2510</v>
      </c>
      <c r="Y2023" s="58">
        <v>8951.44</v>
      </c>
      <c r="AB2023" s="58">
        <v>8503.8700000000008</v>
      </c>
    </row>
    <row r="2024" spans="2:28" s="58" customFormat="1" x14ac:dyDescent="0.2">
      <c r="B2024" s="56" t="s">
        <v>2294</v>
      </c>
      <c r="C2024" s="57">
        <v>50000</v>
      </c>
      <c r="D2024" s="48">
        <f t="shared" si="40"/>
        <v>0.5</v>
      </c>
      <c r="E2024" s="58" t="s">
        <v>1331</v>
      </c>
      <c r="F2024" s="58" t="s">
        <v>4283</v>
      </c>
      <c r="G2024" s="56" t="s">
        <v>4286</v>
      </c>
      <c r="K2024" s="58" t="s">
        <v>4289</v>
      </c>
      <c r="L2024" s="58" t="s">
        <v>1279</v>
      </c>
      <c r="M2024" s="58" t="s">
        <v>4288</v>
      </c>
      <c r="N2024" s="58" t="s">
        <v>2925</v>
      </c>
      <c r="O2024" s="58" t="s">
        <v>1286</v>
      </c>
      <c r="P2024" s="58" t="str">
        <f t="shared" si="38"/>
        <v>F010</v>
      </c>
      <c r="Q2024" s="58" t="s">
        <v>129</v>
      </c>
      <c r="S2024" s="59">
        <v>20</v>
      </c>
      <c r="T2024" s="58" t="s">
        <v>4282</v>
      </c>
      <c r="U2024" s="58" t="s">
        <v>1473</v>
      </c>
      <c r="V2024" s="58" t="s">
        <v>2510</v>
      </c>
      <c r="Y2024" s="58">
        <v>8951.44</v>
      </c>
      <c r="AB2024" s="58">
        <v>8503.8700000000008</v>
      </c>
    </row>
    <row r="2025" spans="2:28" s="58" customFormat="1" x14ac:dyDescent="0.2">
      <c r="B2025" s="56" t="s">
        <v>2294</v>
      </c>
      <c r="C2025" s="57">
        <v>50000</v>
      </c>
      <c r="D2025" s="48">
        <f t="shared" si="40"/>
        <v>0.5</v>
      </c>
      <c r="E2025" s="58" t="s">
        <v>1337</v>
      </c>
      <c r="F2025" s="58" t="s">
        <v>4283</v>
      </c>
      <c r="G2025" s="56" t="s">
        <v>4286</v>
      </c>
      <c r="K2025" s="58" t="s">
        <v>4289</v>
      </c>
      <c r="L2025" s="58" t="s">
        <v>1279</v>
      </c>
      <c r="M2025" s="58" t="s">
        <v>4288</v>
      </c>
      <c r="N2025" s="58" t="s">
        <v>2394</v>
      </c>
      <c r="O2025" s="58" t="s">
        <v>1286</v>
      </c>
      <c r="P2025" s="58" t="str">
        <f t="shared" si="38"/>
        <v>F010</v>
      </c>
      <c r="Q2025" s="58" t="s">
        <v>129</v>
      </c>
      <c r="S2025" s="59">
        <v>20</v>
      </c>
      <c r="T2025" s="58" t="s">
        <v>4282</v>
      </c>
      <c r="U2025" s="58" t="s">
        <v>1473</v>
      </c>
      <c r="V2025" s="58" t="s">
        <v>2510</v>
      </c>
      <c r="Y2025" s="58">
        <v>8951.44</v>
      </c>
      <c r="AB2025" s="58">
        <v>8503.8700000000008</v>
      </c>
    </row>
    <row r="2026" spans="2:28" s="58" customFormat="1" x14ac:dyDescent="0.2">
      <c r="B2026" s="56" t="s">
        <v>2294</v>
      </c>
      <c r="C2026" s="57">
        <v>50000</v>
      </c>
      <c r="D2026" s="48">
        <f t="shared" si="40"/>
        <v>0.5</v>
      </c>
      <c r="E2026" s="58" t="s">
        <v>1331</v>
      </c>
      <c r="F2026" s="58" t="s">
        <v>4283</v>
      </c>
      <c r="G2026" s="56" t="s">
        <v>4286</v>
      </c>
      <c r="K2026" s="62" t="s">
        <v>4290</v>
      </c>
      <c r="L2026" s="58" t="s">
        <v>1279</v>
      </c>
      <c r="M2026" s="58" t="s">
        <v>4288</v>
      </c>
      <c r="N2026" s="58" t="s">
        <v>2394</v>
      </c>
      <c r="O2026" s="58" t="s">
        <v>1286</v>
      </c>
      <c r="P2026" s="58" t="str">
        <f t="shared" si="38"/>
        <v>F010</v>
      </c>
      <c r="Q2026" s="58" t="s">
        <v>129</v>
      </c>
      <c r="S2026" s="59">
        <v>20</v>
      </c>
      <c r="T2026" s="58" t="s">
        <v>4282</v>
      </c>
      <c r="U2026" s="58" t="s">
        <v>1473</v>
      </c>
      <c r="V2026" s="58" t="s">
        <v>2510</v>
      </c>
      <c r="Y2026" s="58">
        <f>17902.88/2</f>
        <v>8951.44</v>
      </c>
      <c r="AB2026" s="58">
        <f>17007.74/2</f>
        <v>8503.8700000000008</v>
      </c>
    </row>
    <row r="2027" spans="2:28" s="58" customFormat="1" x14ac:dyDescent="0.2">
      <c r="B2027" s="56" t="s">
        <v>2294</v>
      </c>
      <c r="C2027" s="57">
        <v>50000</v>
      </c>
      <c r="D2027" s="48">
        <f t="shared" si="40"/>
        <v>0.5</v>
      </c>
      <c r="E2027" s="58" t="s">
        <v>1337</v>
      </c>
      <c r="F2027" s="58" t="s">
        <v>4283</v>
      </c>
      <c r="G2027" s="56" t="s">
        <v>4286</v>
      </c>
      <c r="K2027" s="62" t="s">
        <v>4290</v>
      </c>
      <c r="L2027" s="58" t="s">
        <v>1279</v>
      </c>
      <c r="M2027" s="58" t="s">
        <v>4288</v>
      </c>
      <c r="N2027" s="58" t="s">
        <v>2925</v>
      </c>
      <c r="O2027" s="58" t="s">
        <v>1286</v>
      </c>
      <c r="P2027" s="58" t="str">
        <f t="shared" ref="P2027:P2090" si="41">+LEFT(Q2027,4)</f>
        <v>F010</v>
      </c>
      <c r="Q2027" s="58" t="s">
        <v>129</v>
      </c>
      <c r="S2027" s="59">
        <v>20</v>
      </c>
      <c r="T2027" s="58" t="s">
        <v>4282</v>
      </c>
      <c r="U2027" s="58" t="s">
        <v>1473</v>
      </c>
      <c r="V2027" s="58" t="s">
        <v>2510</v>
      </c>
      <c r="Y2027" s="58">
        <v>8951.44</v>
      </c>
      <c r="AB2027" s="58">
        <v>8503.8700000000008</v>
      </c>
    </row>
    <row r="2028" spans="2:28" s="58" customFormat="1" x14ac:dyDescent="0.2">
      <c r="B2028" s="56" t="s">
        <v>2294</v>
      </c>
      <c r="C2028" s="57">
        <v>50000</v>
      </c>
      <c r="D2028" s="48">
        <f t="shared" si="40"/>
        <v>0.5</v>
      </c>
      <c r="E2028" s="58" t="s">
        <v>1331</v>
      </c>
      <c r="F2028" s="58" t="s">
        <v>4283</v>
      </c>
      <c r="G2028" s="56" t="s">
        <v>4286</v>
      </c>
      <c r="K2028" s="62" t="s">
        <v>4291</v>
      </c>
      <c r="L2028" s="58" t="s">
        <v>1279</v>
      </c>
      <c r="M2028" s="58" t="s">
        <v>4288</v>
      </c>
      <c r="N2028" s="58" t="s">
        <v>2394</v>
      </c>
      <c r="O2028" s="58" t="s">
        <v>1286</v>
      </c>
      <c r="P2028" s="58" t="str">
        <f t="shared" si="41"/>
        <v>F010</v>
      </c>
      <c r="Q2028" s="58" t="s">
        <v>129</v>
      </c>
      <c r="S2028" s="59">
        <v>20</v>
      </c>
      <c r="T2028" s="58" t="s">
        <v>4282</v>
      </c>
      <c r="U2028" s="58" t="s">
        <v>1473</v>
      </c>
      <c r="V2028" s="58" t="s">
        <v>2510</v>
      </c>
      <c r="Y2028" s="58">
        <v>8951.44</v>
      </c>
      <c r="AB2028" s="58">
        <v>8503.8700000000008</v>
      </c>
    </row>
    <row r="2029" spans="2:28" s="58" customFormat="1" x14ac:dyDescent="0.2">
      <c r="B2029" s="56" t="s">
        <v>2294</v>
      </c>
      <c r="C2029" s="57">
        <v>50000</v>
      </c>
      <c r="D2029" s="48">
        <f t="shared" si="40"/>
        <v>0.5</v>
      </c>
      <c r="E2029" s="58" t="s">
        <v>1337</v>
      </c>
      <c r="F2029" s="58" t="s">
        <v>4283</v>
      </c>
      <c r="G2029" s="56" t="s">
        <v>4286</v>
      </c>
      <c r="K2029" s="62" t="s">
        <v>4291</v>
      </c>
      <c r="L2029" s="58" t="s">
        <v>1279</v>
      </c>
      <c r="M2029" s="58" t="s">
        <v>4288</v>
      </c>
      <c r="N2029" s="58" t="s">
        <v>2925</v>
      </c>
      <c r="O2029" s="58" t="s">
        <v>1286</v>
      </c>
      <c r="P2029" s="58" t="str">
        <f t="shared" si="41"/>
        <v>F010</v>
      </c>
      <c r="Q2029" s="58" t="s">
        <v>129</v>
      </c>
      <c r="S2029" s="59">
        <v>20</v>
      </c>
      <c r="T2029" s="58" t="s">
        <v>4282</v>
      </c>
      <c r="U2029" s="58" t="s">
        <v>1473</v>
      </c>
      <c r="V2029" s="58" t="s">
        <v>2510</v>
      </c>
      <c r="Y2029" s="58">
        <v>8951.44</v>
      </c>
      <c r="AB2029" s="58">
        <v>8503.8700000000008</v>
      </c>
    </row>
    <row r="2030" spans="2:28" s="58" customFormat="1" x14ac:dyDescent="0.2">
      <c r="B2030" s="56" t="s">
        <v>2294</v>
      </c>
      <c r="C2030" s="57">
        <v>50000</v>
      </c>
      <c r="D2030" s="48">
        <f t="shared" si="40"/>
        <v>0.5</v>
      </c>
      <c r="E2030" s="58" t="s">
        <v>1331</v>
      </c>
      <c r="F2030" s="58" t="s">
        <v>4283</v>
      </c>
      <c r="G2030" s="56" t="s">
        <v>4286</v>
      </c>
      <c r="K2030" s="58" t="s">
        <v>4292</v>
      </c>
      <c r="L2030" s="58" t="s">
        <v>1279</v>
      </c>
      <c r="M2030" s="58" t="s">
        <v>4288</v>
      </c>
      <c r="N2030" s="58" t="s">
        <v>2394</v>
      </c>
      <c r="O2030" s="58" t="s">
        <v>1286</v>
      </c>
      <c r="P2030" s="58" t="str">
        <f t="shared" si="41"/>
        <v>F010</v>
      </c>
      <c r="Q2030" s="58" t="s">
        <v>129</v>
      </c>
      <c r="S2030" s="59">
        <v>20</v>
      </c>
      <c r="T2030" s="58" t="s">
        <v>4282</v>
      </c>
      <c r="U2030" s="58" t="s">
        <v>1473</v>
      </c>
      <c r="V2030" s="58" t="s">
        <v>2510</v>
      </c>
      <c r="Y2030" s="58">
        <v>7251.42</v>
      </c>
      <c r="AB2030" s="58">
        <v>6888.85</v>
      </c>
    </row>
    <row r="2031" spans="2:28" s="58" customFormat="1" x14ac:dyDescent="0.2">
      <c r="B2031" s="56" t="s">
        <v>2294</v>
      </c>
      <c r="C2031" s="57">
        <v>50000</v>
      </c>
      <c r="D2031" s="48">
        <f t="shared" si="40"/>
        <v>0.5</v>
      </c>
      <c r="E2031" s="58" t="s">
        <v>1337</v>
      </c>
      <c r="F2031" s="58" t="s">
        <v>4283</v>
      </c>
      <c r="G2031" s="56" t="s">
        <v>4286</v>
      </c>
      <c r="K2031" s="58" t="s">
        <v>4292</v>
      </c>
      <c r="L2031" s="58" t="s">
        <v>1279</v>
      </c>
      <c r="M2031" s="58" t="s">
        <v>4288</v>
      </c>
      <c r="N2031" s="58" t="s">
        <v>2925</v>
      </c>
      <c r="O2031" s="58" t="s">
        <v>1286</v>
      </c>
      <c r="P2031" s="58" t="str">
        <f t="shared" si="41"/>
        <v>F010</v>
      </c>
      <c r="Q2031" s="58" t="s">
        <v>129</v>
      </c>
      <c r="S2031" s="59">
        <v>20</v>
      </c>
      <c r="T2031" s="58" t="s">
        <v>4282</v>
      </c>
      <c r="U2031" s="58" t="s">
        <v>1473</v>
      </c>
      <c r="V2031" s="58" t="s">
        <v>2510</v>
      </c>
      <c r="Y2031" s="58">
        <v>7251.43</v>
      </c>
      <c r="AB2031" s="58">
        <v>6888.86</v>
      </c>
    </row>
    <row r="2032" spans="2:28" s="58" customFormat="1" x14ac:dyDescent="0.2">
      <c r="B2032" s="56" t="s">
        <v>2294</v>
      </c>
      <c r="C2032" s="57">
        <v>50000</v>
      </c>
      <c r="D2032" s="48">
        <f t="shared" si="40"/>
        <v>0.5</v>
      </c>
      <c r="E2032" s="58" t="s">
        <v>1331</v>
      </c>
      <c r="F2032" s="58" t="s">
        <v>4283</v>
      </c>
      <c r="G2032" s="56" t="s">
        <v>4286</v>
      </c>
      <c r="K2032" s="58" t="s">
        <v>4293</v>
      </c>
      <c r="L2032" s="58" t="s">
        <v>1279</v>
      </c>
      <c r="M2032" s="58" t="s">
        <v>4288</v>
      </c>
      <c r="N2032" s="58" t="s">
        <v>2394</v>
      </c>
      <c r="O2032" s="58" t="s">
        <v>1286</v>
      </c>
      <c r="P2032" s="58" t="str">
        <f t="shared" si="41"/>
        <v>F010</v>
      </c>
      <c r="Q2032" s="58" t="s">
        <v>129</v>
      </c>
      <c r="S2032" s="59">
        <v>20</v>
      </c>
      <c r="T2032" s="58" t="s">
        <v>4282</v>
      </c>
      <c r="U2032" s="58" t="s">
        <v>1473</v>
      </c>
      <c r="V2032" s="58" t="s">
        <v>2510</v>
      </c>
      <c r="Y2032" s="58">
        <v>7251.42</v>
      </c>
      <c r="AB2032" s="58">
        <v>6888.85</v>
      </c>
    </row>
    <row r="2033" spans="2:28" s="58" customFormat="1" x14ac:dyDescent="0.2">
      <c r="B2033" s="56" t="s">
        <v>2294</v>
      </c>
      <c r="C2033" s="57">
        <v>50000</v>
      </c>
      <c r="D2033" s="48">
        <f t="shared" si="40"/>
        <v>0.5</v>
      </c>
      <c r="E2033" s="58" t="s">
        <v>1337</v>
      </c>
      <c r="F2033" s="58" t="s">
        <v>4283</v>
      </c>
      <c r="G2033" s="56" t="s">
        <v>4286</v>
      </c>
      <c r="K2033" s="58" t="s">
        <v>4293</v>
      </c>
      <c r="L2033" s="58" t="s">
        <v>1279</v>
      </c>
      <c r="M2033" s="58" t="s">
        <v>4288</v>
      </c>
      <c r="N2033" s="58" t="s">
        <v>2925</v>
      </c>
      <c r="O2033" s="58" t="s">
        <v>1286</v>
      </c>
      <c r="P2033" s="58" t="str">
        <f t="shared" si="41"/>
        <v>F010</v>
      </c>
      <c r="Q2033" s="58" t="s">
        <v>129</v>
      </c>
      <c r="S2033" s="59">
        <v>20</v>
      </c>
      <c r="T2033" s="58" t="s">
        <v>4282</v>
      </c>
      <c r="U2033" s="58" t="s">
        <v>1473</v>
      </c>
      <c r="V2033" s="58" t="s">
        <v>2510</v>
      </c>
      <c r="Y2033" s="58">
        <v>7251.43</v>
      </c>
      <c r="AB2033" s="58">
        <v>6888.86</v>
      </c>
    </row>
    <row r="2034" spans="2:28" s="58" customFormat="1" x14ac:dyDescent="0.2">
      <c r="B2034" s="56" t="s">
        <v>2294</v>
      </c>
      <c r="C2034" s="57">
        <v>50000</v>
      </c>
      <c r="D2034" s="48">
        <f t="shared" si="40"/>
        <v>0.5</v>
      </c>
      <c r="E2034" s="58" t="s">
        <v>1331</v>
      </c>
      <c r="F2034" s="58" t="s">
        <v>4283</v>
      </c>
      <c r="G2034" s="56" t="s">
        <v>4286</v>
      </c>
      <c r="K2034" s="58" t="s">
        <v>4294</v>
      </c>
      <c r="L2034" s="58" t="s">
        <v>1279</v>
      </c>
      <c r="M2034" s="58" t="s">
        <v>4288</v>
      </c>
      <c r="N2034" s="58" t="s">
        <v>2394</v>
      </c>
      <c r="O2034" s="58" t="s">
        <v>1286</v>
      </c>
      <c r="P2034" s="58" t="str">
        <f t="shared" si="41"/>
        <v>F010</v>
      </c>
      <c r="Q2034" s="58" t="s">
        <v>129</v>
      </c>
      <c r="S2034" s="59">
        <v>20</v>
      </c>
      <c r="T2034" s="58" t="s">
        <v>4282</v>
      </c>
      <c r="U2034" s="58" t="s">
        <v>1473</v>
      </c>
      <c r="V2034" s="58" t="s">
        <v>2510</v>
      </c>
      <c r="Y2034" s="58">
        <v>7251.42</v>
      </c>
      <c r="AB2034" s="58">
        <v>6888.85</v>
      </c>
    </row>
    <row r="2035" spans="2:28" s="58" customFormat="1" x14ac:dyDescent="0.2">
      <c r="B2035" s="56" t="s">
        <v>2294</v>
      </c>
      <c r="C2035" s="57">
        <v>50000</v>
      </c>
      <c r="D2035" s="48">
        <f t="shared" si="40"/>
        <v>0.5</v>
      </c>
      <c r="E2035" s="58" t="s">
        <v>1337</v>
      </c>
      <c r="F2035" s="58" t="s">
        <v>4283</v>
      </c>
      <c r="G2035" s="56" t="s">
        <v>4286</v>
      </c>
      <c r="K2035" s="58" t="s">
        <v>4294</v>
      </c>
      <c r="L2035" s="58" t="s">
        <v>1279</v>
      </c>
      <c r="M2035" s="58" t="s">
        <v>4288</v>
      </c>
      <c r="N2035" s="58" t="s">
        <v>2925</v>
      </c>
      <c r="O2035" s="58" t="s">
        <v>1286</v>
      </c>
      <c r="P2035" s="58" t="str">
        <f t="shared" si="41"/>
        <v>F010</v>
      </c>
      <c r="Q2035" s="58" t="s">
        <v>129</v>
      </c>
      <c r="S2035" s="59">
        <v>20</v>
      </c>
      <c r="T2035" s="58" t="s">
        <v>4282</v>
      </c>
      <c r="U2035" s="58" t="s">
        <v>1473</v>
      </c>
      <c r="V2035" s="58" t="s">
        <v>2510</v>
      </c>
      <c r="Y2035" s="58">
        <v>7251.43</v>
      </c>
      <c r="AB2035" s="58">
        <v>6888.86</v>
      </c>
    </row>
    <row r="2036" spans="2:28" s="58" customFormat="1" x14ac:dyDescent="0.2">
      <c r="B2036" s="56" t="s">
        <v>2294</v>
      </c>
      <c r="C2036" s="57">
        <v>50000</v>
      </c>
      <c r="D2036" s="48">
        <f t="shared" si="40"/>
        <v>0.5</v>
      </c>
      <c r="E2036" s="58" t="s">
        <v>1331</v>
      </c>
      <c r="F2036" s="58" t="s">
        <v>4283</v>
      </c>
      <c r="G2036" s="56" t="s">
        <v>4286</v>
      </c>
      <c r="K2036" s="58" t="s">
        <v>4295</v>
      </c>
      <c r="L2036" s="58" t="s">
        <v>1279</v>
      </c>
      <c r="M2036" s="58" t="s">
        <v>4288</v>
      </c>
      <c r="N2036" s="58" t="s">
        <v>2394</v>
      </c>
      <c r="O2036" s="58" t="s">
        <v>1286</v>
      </c>
      <c r="P2036" s="58" t="str">
        <f t="shared" si="41"/>
        <v>F010</v>
      </c>
      <c r="Q2036" s="58" t="s">
        <v>129</v>
      </c>
      <c r="S2036" s="59">
        <v>20</v>
      </c>
      <c r="T2036" s="58" t="s">
        <v>4282</v>
      </c>
      <c r="U2036" s="58" t="s">
        <v>1473</v>
      </c>
      <c r="V2036" s="58" t="s">
        <v>2510</v>
      </c>
      <c r="Y2036" s="58">
        <v>7251.42</v>
      </c>
      <c r="AB2036" s="58">
        <v>6888.85</v>
      </c>
    </row>
    <row r="2037" spans="2:28" s="58" customFormat="1" x14ac:dyDescent="0.2">
      <c r="B2037" s="56" t="s">
        <v>2294</v>
      </c>
      <c r="C2037" s="57">
        <v>50000</v>
      </c>
      <c r="D2037" s="48">
        <f t="shared" si="40"/>
        <v>0.5</v>
      </c>
      <c r="E2037" s="58" t="s">
        <v>1337</v>
      </c>
      <c r="F2037" s="58" t="s">
        <v>4283</v>
      </c>
      <c r="G2037" s="56" t="s">
        <v>4286</v>
      </c>
      <c r="K2037" s="58" t="s">
        <v>4295</v>
      </c>
      <c r="L2037" s="58" t="s">
        <v>1279</v>
      </c>
      <c r="M2037" s="58" t="s">
        <v>4288</v>
      </c>
      <c r="N2037" s="58" t="s">
        <v>2925</v>
      </c>
      <c r="O2037" s="58" t="s">
        <v>1286</v>
      </c>
      <c r="P2037" s="58" t="str">
        <f t="shared" si="41"/>
        <v>F010</v>
      </c>
      <c r="Q2037" s="58" t="s">
        <v>129</v>
      </c>
      <c r="S2037" s="59">
        <v>20</v>
      </c>
      <c r="T2037" s="58" t="s">
        <v>4282</v>
      </c>
      <c r="U2037" s="58" t="s">
        <v>1473</v>
      </c>
      <c r="V2037" s="58" t="s">
        <v>2510</v>
      </c>
      <c r="Y2037" s="58">
        <v>7251.43</v>
      </c>
      <c r="AB2037" s="58">
        <v>6888.86</v>
      </c>
    </row>
    <row r="2038" spans="2:28" s="58" customFormat="1" x14ac:dyDescent="0.2">
      <c r="B2038" s="56" t="s">
        <v>2294</v>
      </c>
      <c r="C2038" s="57">
        <v>50000</v>
      </c>
      <c r="D2038" s="48">
        <f t="shared" si="40"/>
        <v>0.5</v>
      </c>
      <c r="E2038" s="58" t="s">
        <v>1331</v>
      </c>
      <c r="F2038" s="58" t="s">
        <v>4283</v>
      </c>
      <c r="G2038" s="56" t="s">
        <v>4286</v>
      </c>
      <c r="K2038" s="58" t="s">
        <v>4296</v>
      </c>
      <c r="L2038" s="58" t="s">
        <v>1279</v>
      </c>
      <c r="M2038" s="58" t="s">
        <v>4288</v>
      </c>
      <c r="N2038" s="58" t="s">
        <v>2394</v>
      </c>
      <c r="O2038" s="58" t="s">
        <v>1286</v>
      </c>
      <c r="P2038" s="58" t="str">
        <f t="shared" si="41"/>
        <v>F010</v>
      </c>
      <c r="Q2038" s="58" t="s">
        <v>129</v>
      </c>
      <c r="S2038" s="59">
        <v>20</v>
      </c>
      <c r="T2038" s="58" t="s">
        <v>4282</v>
      </c>
      <c r="U2038" s="58" t="s">
        <v>1473</v>
      </c>
      <c r="V2038" s="58" t="s">
        <v>2510</v>
      </c>
      <c r="Y2038" s="58">
        <v>7251.42</v>
      </c>
      <c r="AB2038" s="58">
        <v>6888.85</v>
      </c>
    </row>
    <row r="2039" spans="2:28" s="58" customFormat="1" x14ac:dyDescent="0.2">
      <c r="B2039" s="56" t="s">
        <v>2294</v>
      </c>
      <c r="C2039" s="57">
        <v>50000</v>
      </c>
      <c r="D2039" s="48">
        <f t="shared" si="40"/>
        <v>0.5</v>
      </c>
      <c r="E2039" s="58" t="s">
        <v>1337</v>
      </c>
      <c r="F2039" s="58" t="s">
        <v>4283</v>
      </c>
      <c r="G2039" s="56" t="s">
        <v>4286</v>
      </c>
      <c r="K2039" s="58" t="s">
        <v>4296</v>
      </c>
      <c r="L2039" s="58" t="s">
        <v>1279</v>
      </c>
      <c r="M2039" s="58" t="s">
        <v>4288</v>
      </c>
      <c r="N2039" s="58" t="s">
        <v>2925</v>
      </c>
      <c r="O2039" s="58" t="s">
        <v>1286</v>
      </c>
      <c r="P2039" s="58" t="str">
        <f t="shared" si="41"/>
        <v>F010</v>
      </c>
      <c r="Q2039" s="58" t="s">
        <v>129</v>
      </c>
      <c r="S2039" s="59">
        <v>20</v>
      </c>
      <c r="T2039" s="58" t="s">
        <v>4282</v>
      </c>
      <c r="U2039" s="58" t="s">
        <v>1473</v>
      </c>
      <c r="V2039" s="58" t="s">
        <v>2510</v>
      </c>
      <c r="Y2039" s="58">
        <v>7251.43</v>
      </c>
      <c r="AB2039" s="58">
        <v>6888.86</v>
      </c>
    </row>
    <row r="2040" spans="2:28" s="58" customFormat="1" x14ac:dyDescent="0.2">
      <c r="B2040" s="56" t="s">
        <v>2294</v>
      </c>
      <c r="C2040" s="57">
        <v>50000</v>
      </c>
      <c r="D2040" s="48">
        <f t="shared" si="40"/>
        <v>0.5</v>
      </c>
      <c r="E2040" s="58" t="s">
        <v>1331</v>
      </c>
      <c r="F2040" s="58" t="s">
        <v>4283</v>
      </c>
      <c r="G2040" s="56" t="s">
        <v>4286</v>
      </c>
      <c r="K2040" s="58" t="s">
        <v>4297</v>
      </c>
      <c r="L2040" s="58" t="s">
        <v>1279</v>
      </c>
      <c r="M2040" s="58" t="s">
        <v>4288</v>
      </c>
      <c r="N2040" s="58" t="s">
        <v>2394</v>
      </c>
      <c r="O2040" s="58" t="s">
        <v>1286</v>
      </c>
      <c r="P2040" s="58" t="str">
        <f t="shared" si="41"/>
        <v>F010</v>
      </c>
      <c r="Q2040" s="58" t="s">
        <v>129</v>
      </c>
      <c r="S2040" s="59">
        <v>20</v>
      </c>
      <c r="T2040" s="58" t="s">
        <v>4282</v>
      </c>
      <c r="U2040" s="58" t="s">
        <v>1473</v>
      </c>
      <c r="V2040" s="58" t="s">
        <v>2510</v>
      </c>
      <c r="Y2040" s="58">
        <v>7251.42</v>
      </c>
      <c r="AB2040" s="58">
        <v>6888.85</v>
      </c>
    </row>
    <row r="2041" spans="2:28" s="58" customFormat="1" x14ac:dyDescent="0.2">
      <c r="B2041" s="56" t="s">
        <v>2294</v>
      </c>
      <c r="C2041" s="57">
        <v>50000</v>
      </c>
      <c r="D2041" s="48">
        <f t="shared" si="40"/>
        <v>0.5</v>
      </c>
      <c r="E2041" s="58" t="s">
        <v>1337</v>
      </c>
      <c r="F2041" s="58" t="s">
        <v>4283</v>
      </c>
      <c r="G2041" s="56" t="s">
        <v>4286</v>
      </c>
      <c r="K2041" s="58" t="s">
        <v>4297</v>
      </c>
      <c r="L2041" s="58" t="s">
        <v>1279</v>
      </c>
      <c r="M2041" s="58" t="s">
        <v>4288</v>
      </c>
      <c r="N2041" s="58" t="s">
        <v>2925</v>
      </c>
      <c r="O2041" s="58" t="s">
        <v>1286</v>
      </c>
      <c r="P2041" s="58" t="str">
        <f t="shared" si="41"/>
        <v>F010</v>
      </c>
      <c r="Q2041" s="58" t="s">
        <v>129</v>
      </c>
      <c r="S2041" s="59">
        <v>20</v>
      </c>
      <c r="T2041" s="58" t="s">
        <v>4282</v>
      </c>
      <c r="U2041" s="58" t="s">
        <v>1473</v>
      </c>
      <c r="V2041" s="58" t="s">
        <v>2510</v>
      </c>
      <c r="Y2041" s="58">
        <v>7251.43</v>
      </c>
      <c r="AB2041" s="58">
        <v>6888.86</v>
      </c>
    </row>
    <row r="2042" spans="2:28" s="58" customFormat="1" x14ac:dyDescent="0.2">
      <c r="B2042" s="56" t="s">
        <v>2294</v>
      </c>
      <c r="C2042" s="57">
        <v>50000</v>
      </c>
      <c r="D2042" s="48">
        <f t="shared" si="40"/>
        <v>0.5</v>
      </c>
      <c r="E2042" s="58" t="s">
        <v>1331</v>
      </c>
      <c r="F2042" s="58" t="s">
        <v>4283</v>
      </c>
      <c r="G2042" s="56" t="s">
        <v>4286</v>
      </c>
      <c r="K2042" s="58" t="s">
        <v>4298</v>
      </c>
      <c r="L2042" s="58" t="s">
        <v>1279</v>
      </c>
      <c r="M2042" s="58" t="s">
        <v>4288</v>
      </c>
      <c r="N2042" s="58" t="s">
        <v>2394</v>
      </c>
      <c r="O2042" s="58" t="s">
        <v>1286</v>
      </c>
      <c r="P2042" s="58" t="str">
        <f t="shared" si="41"/>
        <v>F010</v>
      </c>
      <c r="Q2042" s="58" t="s">
        <v>129</v>
      </c>
      <c r="S2042" s="59">
        <v>20</v>
      </c>
      <c r="T2042" s="58" t="s">
        <v>4282</v>
      </c>
      <c r="U2042" s="58" t="s">
        <v>1473</v>
      </c>
      <c r="V2042" s="58" t="s">
        <v>2510</v>
      </c>
      <c r="Y2042" s="58">
        <v>7251.42</v>
      </c>
      <c r="AB2042" s="58">
        <v>6888.85</v>
      </c>
    </row>
    <row r="2043" spans="2:28" s="58" customFormat="1" x14ac:dyDescent="0.2">
      <c r="B2043" s="56" t="s">
        <v>2294</v>
      </c>
      <c r="C2043" s="57">
        <v>50000</v>
      </c>
      <c r="D2043" s="48">
        <f t="shared" si="40"/>
        <v>0.5</v>
      </c>
      <c r="E2043" s="58" t="s">
        <v>1337</v>
      </c>
      <c r="F2043" s="58" t="s">
        <v>4283</v>
      </c>
      <c r="G2043" s="56" t="s">
        <v>4286</v>
      </c>
      <c r="K2043" s="58" t="s">
        <v>4298</v>
      </c>
      <c r="L2043" s="58" t="s">
        <v>1279</v>
      </c>
      <c r="M2043" s="58" t="s">
        <v>4288</v>
      </c>
      <c r="N2043" s="58" t="s">
        <v>2925</v>
      </c>
      <c r="O2043" s="58" t="s">
        <v>1286</v>
      </c>
      <c r="P2043" s="58" t="str">
        <f t="shared" si="41"/>
        <v>F010</v>
      </c>
      <c r="Q2043" s="58" t="s">
        <v>129</v>
      </c>
      <c r="S2043" s="59">
        <v>20</v>
      </c>
      <c r="T2043" s="58" t="s">
        <v>4282</v>
      </c>
      <c r="U2043" s="58" t="s">
        <v>1473</v>
      </c>
      <c r="V2043" s="58" t="s">
        <v>2510</v>
      </c>
      <c r="Y2043" s="58">
        <v>7251.43</v>
      </c>
      <c r="AB2043" s="58">
        <v>6888.86</v>
      </c>
    </row>
    <row r="2044" spans="2:28" s="58" customFormat="1" x14ac:dyDescent="0.2">
      <c r="B2044" s="56" t="s">
        <v>2294</v>
      </c>
      <c r="C2044" s="57">
        <v>50000</v>
      </c>
      <c r="D2044" s="48">
        <f t="shared" si="40"/>
        <v>0.5</v>
      </c>
      <c r="E2044" s="58" t="s">
        <v>1331</v>
      </c>
      <c r="F2044" s="58" t="s">
        <v>4283</v>
      </c>
      <c r="G2044" s="56" t="s">
        <v>4286</v>
      </c>
      <c r="K2044" s="58" t="s">
        <v>4299</v>
      </c>
      <c r="L2044" s="58" t="s">
        <v>1279</v>
      </c>
      <c r="M2044" s="58" t="s">
        <v>4288</v>
      </c>
      <c r="N2044" s="58" t="s">
        <v>2394</v>
      </c>
      <c r="O2044" s="58" t="s">
        <v>1286</v>
      </c>
      <c r="P2044" s="58" t="str">
        <f t="shared" si="41"/>
        <v>F010</v>
      </c>
      <c r="Q2044" s="58" t="s">
        <v>129</v>
      </c>
      <c r="S2044" s="59">
        <v>20</v>
      </c>
      <c r="T2044" s="58" t="s">
        <v>4282</v>
      </c>
      <c r="U2044" s="58" t="s">
        <v>1473</v>
      </c>
      <c r="V2044" s="58" t="s">
        <v>2510</v>
      </c>
      <c r="Y2044" s="58">
        <v>7251.42</v>
      </c>
      <c r="AB2044" s="58">
        <v>6888.85</v>
      </c>
    </row>
    <row r="2045" spans="2:28" s="58" customFormat="1" x14ac:dyDescent="0.2">
      <c r="B2045" s="56" t="s">
        <v>2294</v>
      </c>
      <c r="C2045" s="57">
        <v>50000</v>
      </c>
      <c r="D2045" s="48">
        <f t="shared" si="40"/>
        <v>0.5</v>
      </c>
      <c r="E2045" s="58" t="s">
        <v>1337</v>
      </c>
      <c r="F2045" s="58" t="s">
        <v>4283</v>
      </c>
      <c r="G2045" s="56" t="s">
        <v>4286</v>
      </c>
      <c r="K2045" s="58" t="s">
        <v>4299</v>
      </c>
      <c r="L2045" s="58" t="s">
        <v>1279</v>
      </c>
      <c r="M2045" s="58" t="s">
        <v>4288</v>
      </c>
      <c r="N2045" s="58" t="s">
        <v>2925</v>
      </c>
      <c r="O2045" s="58" t="s">
        <v>1286</v>
      </c>
      <c r="P2045" s="58" t="str">
        <f t="shared" si="41"/>
        <v>F010</v>
      </c>
      <c r="Q2045" s="58" t="s">
        <v>129</v>
      </c>
      <c r="S2045" s="59">
        <v>20</v>
      </c>
      <c r="T2045" s="58" t="s">
        <v>4282</v>
      </c>
      <c r="U2045" s="58" t="s">
        <v>1473</v>
      </c>
      <c r="V2045" s="58" t="s">
        <v>2510</v>
      </c>
      <c r="Y2045" s="58">
        <v>7251.43</v>
      </c>
      <c r="AB2045" s="58">
        <v>6888.86</v>
      </c>
    </row>
    <row r="2046" spans="2:28" s="58" customFormat="1" x14ac:dyDescent="0.2">
      <c r="B2046" s="56" t="s">
        <v>2294</v>
      </c>
      <c r="C2046" s="57">
        <v>50000</v>
      </c>
      <c r="D2046" s="48">
        <f t="shared" si="40"/>
        <v>0.5</v>
      </c>
      <c r="E2046" s="58" t="s">
        <v>1331</v>
      </c>
      <c r="F2046" s="58" t="s">
        <v>4283</v>
      </c>
      <c r="G2046" s="56" t="s">
        <v>4286</v>
      </c>
      <c r="K2046" s="58" t="s">
        <v>4300</v>
      </c>
      <c r="L2046" s="58" t="s">
        <v>1279</v>
      </c>
      <c r="M2046" s="58" t="s">
        <v>4288</v>
      </c>
      <c r="N2046" s="58" t="s">
        <v>2394</v>
      </c>
      <c r="O2046" s="58" t="s">
        <v>1286</v>
      </c>
      <c r="P2046" s="58" t="str">
        <f t="shared" si="41"/>
        <v>F010</v>
      </c>
      <c r="Q2046" s="58" t="s">
        <v>129</v>
      </c>
      <c r="S2046" s="59">
        <v>20</v>
      </c>
      <c r="T2046" s="58" t="s">
        <v>4282</v>
      </c>
      <c r="U2046" s="58" t="s">
        <v>1473</v>
      </c>
      <c r="V2046" s="58" t="s">
        <v>2510</v>
      </c>
      <c r="Y2046" s="58">
        <v>7251.42</v>
      </c>
      <c r="AB2046" s="58">
        <v>6888.85</v>
      </c>
    </row>
    <row r="2047" spans="2:28" s="58" customFormat="1" x14ac:dyDescent="0.2">
      <c r="B2047" s="56" t="s">
        <v>2294</v>
      </c>
      <c r="C2047" s="57">
        <v>50000</v>
      </c>
      <c r="D2047" s="48">
        <f t="shared" si="40"/>
        <v>0.5</v>
      </c>
      <c r="E2047" s="58" t="s">
        <v>1337</v>
      </c>
      <c r="F2047" s="58" t="s">
        <v>4283</v>
      </c>
      <c r="G2047" s="56" t="s">
        <v>4286</v>
      </c>
      <c r="K2047" s="58" t="s">
        <v>4300</v>
      </c>
      <c r="L2047" s="58" t="s">
        <v>1279</v>
      </c>
      <c r="M2047" s="58" t="s">
        <v>4288</v>
      </c>
      <c r="N2047" s="58" t="s">
        <v>2925</v>
      </c>
      <c r="O2047" s="58" t="s">
        <v>1286</v>
      </c>
      <c r="P2047" s="58" t="str">
        <f t="shared" si="41"/>
        <v>F010</v>
      </c>
      <c r="Q2047" s="58" t="s">
        <v>129</v>
      </c>
      <c r="S2047" s="59">
        <v>20</v>
      </c>
      <c r="T2047" s="58" t="s">
        <v>4282</v>
      </c>
      <c r="U2047" s="58" t="s">
        <v>1473</v>
      </c>
      <c r="V2047" s="58" t="s">
        <v>2510</v>
      </c>
      <c r="Y2047" s="58">
        <v>7251.42</v>
      </c>
      <c r="AB2047" s="58">
        <v>6888.85</v>
      </c>
    </row>
    <row r="2048" spans="2:28" x14ac:dyDescent="0.2">
      <c r="B2048" s="30" t="s">
        <v>2294</v>
      </c>
      <c r="C2048" s="36"/>
      <c r="D2048" s="36"/>
      <c r="F2048" s="1" t="s">
        <v>4283</v>
      </c>
      <c r="G2048" s="30" t="s">
        <v>4301</v>
      </c>
      <c r="K2048" s="1" t="s">
        <v>4302</v>
      </c>
      <c r="L2048" s="1" t="s">
        <v>1279</v>
      </c>
      <c r="M2048" s="36" t="s">
        <v>1751</v>
      </c>
      <c r="N2048" s="1" t="s">
        <v>1287</v>
      </c>
      <c r="O2048" s="1" t="s">
        <v>1286</v>
      </c>
      <c r="P2048" s="34" t="str">
        <f t="shared" si="41"/>
        <v>F010</v>
      </c>
      <c r="Q2048" s="1" t="s">
        <v>138</v>
      </c>
      <c r="S2048" s="16">
        <v>20</v>
      </c>
      <c r="T2048" s="1" t="s">
        <v>4282</v>
      </c>
      <c r="U2048" s="1" t="s">
        <v>1890</v>
      </c>
      <c r="V2048" s="1" t="s">
        <v>2859</v>
      </c>
      <c r="Y2048" s="1">
        <v>71638</v>
      </c>
      <c r="AB2048" s="1">
        <v>68056.100000000006</v>
      </c>
    </row>
    <row r="2049" spans="2:28" x14ac:dyDescent="0.2">
      <c r="B2049" s="30" t="s">
        <v>2294</v>
      </c>
      <c r="C2049" s="36"/>
      <c r="D2049" s="36"/>
      <c r="F2049" s="1" t="s">
        <v>4283</v>
      </c>
      <c r="G2049" s="30" t="s">
        <v>4303</v>
      </c>
      <c r="K2049" s="1" t="s">
        <v>4304</v>
      </c>
      <c r="L2049" s="1" t="s">
        <v>1279</v>
      </c>
      <c r="M2049" s="36" t="s">
        <v>2313</v>
      </c>
      <c r="N2049" s="1" t="s">
        <v>1287</v>
      </c>
      <c r="O2049" s="1" t="s">
        <v>1286</v>
      </c>
      <c r="P2049" s="34" t="str">
        <f t="shared" si="41"/>
        <v>F010</v>
      </c>
      <c r="Q2049" s="1" t="s">
        <v>138</v>
      </c>
      <c r="S2049" s="16">
        <v>20</v>
      </c>
      <c r="T2049" s="1" t="s">
        <v>4282</v>
      </c>
      <c r="U2049" s="1" t="s">
        <v>1325</v>
      </c>
      <c r="V2049" s="1" t="s">
        <v>1994</v>
      </c>
      <c r="Y2049" s="1">
        <v>771828.45</v>
      </c>
      <c r="AB2049" s="1">
        <v>733237.03</v>
      </c>
    </row>
    <row r="2050" spans="2:28" x14ac:dyDescent="0.2">
      <c r="B2050" s="30" t="s">
        <v>2294</v>
      </c>
      <c r="C2050" s="36"/>
      <c r="D2050" s="36"/>
      <c r="F2050" s="1" t="s">
        <v>4283</v>
      </c>
      <c r="G2050" s="30" t="s">
        <v>4303</v>
      </c>
      <c r="K2050" s="1" t="s">
        <v>4305</v>
      </c>
      <c r="L2050" s="1" t="s">
        <v>1279</v>
      </c>
      <c r="M2050" s="36" t="s">
        <v>2313</v>
      </c>
      <c r="N2050" s="1" t="s">
        <v>1287</v>
      </c>
      <c r="O2050" s="1" t="s">
        <v>1286</v>
      </c>
      <c r="P2050" s="34" t="str">
        <f t="shared" si="41"/>
        <v>F010</v>
      </c>
      <c r="Q2050" s="1" t="s">
        <v>138</v>
      </c>
      <c r="S2050" s="16">
        <v>20</v>
      </c>
      <c r="T2050" s="1" t="s">
        <v>4282</v>
      </c>
      <c r="U2050" s="1" t="s">
        <v>1325</v>
      </c>
      <c r="V2050" s="1" t="s">
        <v>1994</v>
      </c>
      <c r="Y2050" s="1">
        <v>771828.45</v>
      </c>
      <c r="AB2050" s="1">
        <v>733237.03</v>
      </c>
    </row>
    <row r="2051" spans="2:28" x14ac:dyDescent="0.2">
      <c r="B2051" s="30" t="s">
        <v>2294</v>
      </c>
      <c r="C2051" s="36"/>
      <c r="D2051" s="36"/>
      <c r="F2051" s="1" t="s">
        <v>4283</v>
      </c>
      <c r="G2051" s="30" t="s">
        <v>4303</v>
      </c>
      <c r="K2051" s="1" t="s">
        <v>4306</v>
      </c>
      <c r="L2051" s="1" t="s">
        <v>1279</v>
      </c>
      <c r="M2051" s="36" t="s">
        <v>2313</v>
      </c>
      <c r="N2051" s="1" t="s">
        <v>1287</v>
      </c>
      <c r="O2051" s="1" t="s">
        <v>1286</v>
      </c>
      <c r="P2051" s="34" t="str">
        <f t="shared" si="41"/>
        <v>F010</v>
      </c>
      <c r="Q2051" s="1" t="s">
        <v>138</v>
      </c>
      <c r="S2051" s="16">
        <v>20</v>
      </c>
      <c r="T2051" s="1" t="s">
        <v>4282</v>
      </c>
      <c r="U2051" s="1" t="s">
        <v>1325</v>
      </c>
      <c r="V2051" s="1" t="s">
        <v>1994</v>
      </c>
      <c r="Y2051" s="1">
        <v>62613.49</v>
      </c>
      <c r="AB2051" s="1">
        <v>59482.82</v>
      </c>
    </row>
    <row r="2052" spans="2:28" x14ac:dyDescent="0.2">
      <c r="B2052" s="30" t="s">
        <v>2294</v>
      </c>
      <c r="C2052" s="36"/>
      <c r="D2052" s="36"/>
      <c r="F2052" s="1" t="s">
        <v>4283</v>
      </c>
      <c r="G2052" s="30" t="s">
        <v>4303</v>
      </c>
      <c r="K2052" s="1" t="s">
        <v>4307</v>
      </c>
      <c r="L2052" s="1" t="s">
        <v>1279</v>
      </c>
      <c r="M2052" s="36" t="s">
        <v>2313</v>
      </c>
      <c r="N2052" s="1" t="s">
        <v>1287</v>
      </c>
      <c r="O2052" s="1" t="s">
        <v>1286</v>
      </c>
      <c r="P2052" s="34" t="str">
        <f t="shared" si="41"/>
        <v>F010</v>
      </c>
      <c r="Q2052" s="1" t="s">
        <v>138</v>
      </c>
      <c r="S2052" s="16">
        <v>20</v>
      </c>
      <c r="T2052" s="1" t="s">
        <v>4282</v>
      </c>
      <c r="U2052" s="1" t="s">
        <v>1325</v>
      </c>
      <c r="V2052" s="1" t="s">
        <v>1994</v>
      </c>
      <c r="Y2052" s="1">
        <v>62613.49</v>
      </c>
      <c r="AB2052" s="1">
        <v>59482.82</v>
      </c>
    </row>
    <row r="2053" spans="2:28" x14ac:dyDescent="0.2">
      <c r="B2053" s="30" t="s">
        <v>2294</v>
      </c>
      <c r="C2053" s="36"/>
      <c r="D2053" s="36"/>
      <c r="F2053" s="1" t="s">
        <v>4283</v>
      </c>
      <c r="G2053" s="30" t="s">
        <v>4303</v>
      </c>
      <c r="K2053" s="1" t="s">
        <v>4308</v>
      </c>
      <c r="L2053" s="1" t="s">
        <v>1279</v>
      </c>
      <c r="M2053" s="36" t="s">
        <v>2313</v>
      </c>
      <c r="N2053" s="1" t="s">
        <v>1287</v>
      </c>
      <c r="O2053" s="1" t="s">
        <v>1286</v>
      </c>
      <c r="P2053" s="34" t="str">
        <f t="shared" si="41"/>
        <v>F010</v>
      </c>
      <c r="Q2053" s="1" t="s">
        <v>138</v>
      </c>
      <c r="S2053" s="16">
        <v>20</v>
      </c>
      <c r="T2053" s="1" t="s">
        <v>4282</v>
      </c>
      <c r="U2053" s="1" t="s">
        <v>1325</v>
      </c>
      <c r="V2053" s="1" t="s">
        <v>1994</v>
      </c>
      <c r="Y2053" s="1">
        <v>62613.49</v>
      </c>
      <c r="AB2053" s="1">
        <v>59482.82</v>
      </c>
    </row>
    <row r="2054" spans="2:28" x14ac:dyDescent="0.2">
      <c r="B2054" s="30" t="s">
        <v>2294</v>
      </c>
      <c r="C2054" s="36"/>
      <c r="D2054" s="36"/>
      <c r="F2054" s="1" t="s">
        <v>4283</v>
      </c>
      <c r="G2054" s="30" t="s">
        <v>4303</v>
      </c>
      <c r="K2054" s="1" t="s">
        <v>4309</v>
      </c>
      <c r="L2054" s="1" t="s">
        <v>1279</v>
      </c>
      <c r="M2054" s="36" t="s">
        <v>2313</v>
      </c>
      <c r="N2054" s="1" t="s">
        <v>1287</v>
      </c>
      <c r="O2054" s="1" t="s">
        <v>1286</v>
      </c>
      <c r="P2054" s="34" t="str">
        <f t="shared" si="41"/>
        <v>F010</v>
      </c>
      <c r="Q2054" s="1" t="s">
        <v>138</v>
      </c>
      <c r="S2054" s="16">
        <v>20</v>
      </c>
      <c r="T2054" s="1" t="s">
        <v>4282</v>
      </c>
      <c r="U2054" s="1" t="s">
        <v>1325</v>
      </c>
      <c r="V2054" s="1" t="s">
        <v>1994</v>
      </c>
      <c r="Y2054" s="1">
        <v>62613.49</v>
      </c>
      <c r="AB2054" s="1">
        <v>59482.82</v>
      </c>
    </row>
    <row r="2055" spans="2:28" x14ac:dyDescent="0.2">
      <c r="B2055" s="30" t="s">
        <v>2294</v>
      </c>
      <c r="C2055" s="36"/>
      <c r="D2055" s="36"/>
      <c r="F2055" s="1" t="s">
        <v>4283</v>
      </c>
      <c r="G2055" s="30" t="s">
        <v>4303</v>
      </c>
      <c r="K2055" s="1" t="s">
        <v>4310</v>
      </c>
      <c r="L2055" s="1" t="s">
        <v>1279</v>
      </c>
      <c r="M2055" s="36" t="s">
        <v>2313</v>
      </c>
      <c r="N2055" s="1" t="s">
        <v>1287</v>
      </c>
      <c r="O2055" s="1" t="s">
        <v>1286</v>
      </c>
      <c r="P2055" s="34" t="str">
        <f t="shared" si="41"/>
        <v>F010</v>
      </c>
      <c r="Q2055" s="1" t="s">
        <v>138</v>
      </c>
      <c r="S2055" s="16">
        <v>20</v>
      </c>
      <c r="T2055" s="1" t="s">
        <v>4282</v>
      </c>
      <c r="U2055" s="1" t="s">
        <v>1325</v>
      </c>
      <c r="V2055" s="1" t="s">
        <v>1994</v>
      </c>
      <c r="Y2055" s="1">
        <v>72565.38</v>
      </c>
      <c r="AB2055" s="1">
        <v>68937.11</v>
      </c>
    </row>
    <row r="2056" spans="2:28" x14ac:dyDescent="0.2">
      <c r="B2056" s="30" t="s">
        <v>2294</v>
      </c>
      <c r="C2056" s="36"/>
      <c r="D2056" s="36"/>
      <c r="F2056" s="1" t="s">
        <v>4283</v>
      </c>
      <c r="G2056" s="30" t="s">
        <v>4303</v>
      </c>
      <c r="K2056" s="1" t="s">
        <v>4311</v>
      </c>
      <c r="L2056" s="1" t="s">
        <v>1279</v>
      </c>
      <c r="M2056" s="36" t="s">
        <v>2313</v>
      </c>
      <c r="N2056" s="1" t="s">
        <v>1287</v>
      </c>
      <c r="O2056" s="1" t="s">
        <v>1286</v>
      </c>
      <c r="P2056" s="34" t="str">
        <f t="shared" si="41"/>
        <v>F010</v>
      </c>
      <c r="Q2056" s="1" t="s">
        <v>138</v>
      </c>
      <c r="S2056" s="16">
        <v>20</v>
      </c>
      <c r="T2056" s="1" t="s">
        <v>4282</v>
      </c>
      <c r="U2056" s="1" t="s">
        <v>1325</v>
      </c>
      <c r="V2056" s="1" t="s">
        <v>1994</v>
      </c>
      <c r="Y2056" s="1">
        <v>72565.38</v>
      </c>
      <c r="AB2056" s="1">
        <v>68937.11</v>
      </c>
    </row>
    <row r="2057" spans="2:28" x14ac:dyDescent="0.2">
      <c r="B2057" s="30" t="s">
        <v>2294</v>
      </c>
      <c r="C2057" s="36"/>
      <c r="D2057" s="36"/>
      <c r="F2057" s="1" t="s">
        <v>4283</v>
      </c>
      <c r="G2057" s="30" t="s">
        <v>4303</v>
      </c>
      <c r="K2057" s="1" t="s">
        <v>4312</v>
      </c>
      <c r="L2057" s="1" t="s">
        <v>1279</v>
      </c>
      <c r="M2057" s="36" t="s">
        <v>2313</v>
      </c>
      <c r="N2057" s="1" t="s">
        <v>1287</v>
      </c>
      <c r="O2057" s="1" t="s">
        <v>1286</v>
      </c>
      <c r="P2057" s="34" t="str">
        <f t="shared" si="41"/>
        <v>F010</v>
      </c>
      <c r="Q2057" s="1" t="s">
        <v>138</v>
      </c>
      <c r="S2057" s="16">
        <v>20</v>
      </c>
      <c r="T2057" s="1" t="s">
        <v>4282</v>
      </c>
      <c r="U2057" s="1" t="s">
        <v>1325</v>
      </c>
      <c r="V2057" s="1" t="s">
        <v>1994</v>
      </c>
      <c r="Y2057" s="1">
        <v>63854.11</v>
      </c>
      <c r="AB2057" s="1">
        <v>60661.4</v>
      </c>
    </row>
    <row r="2058" spans="2:28" x14ac:dyDescent="0.2">
      <c r="B2058" s="30" t="s">
        <v>2294</v>
      </c>
      <c r="C2058" s="36"/>
      <c r="D2058" s="36"/>
      <c r="F2058" s="1" t="s">
        <v>4283</v>
      </c>
      <c r="G2058" s="30" t="s">
        <v>4303</v>
      </c>
      <c r="K2058" s="1" t="s">
        <v>4313</v>
      </c>
      <c r="L2058" s="1" t="s">
        <v>1279</v>
      </c>
      <c r="M2058" s="36" t="s">
        <v>2313</v>
      </c>
      <c r="N2058" s="1" t="s">
        <v>1287</v>
      </c>
      <c r="O2058" s="1" t="s">
        <v>1286</v>
      </c>
      <c r="P2058" s="34" t="str">
        <f t="shared" si="41"/>
        <v>F010</v>
      </c>
      <c r="Q2058" s="1" t="s">
        <v>138</v>
      </c>
      <c r="S2058" s="16">
        <v>20</v>
      </c>
      <c r="T2058" s="1" t="s">
        <v>4282</v>
      </c>
      <c r="U2058" s="1" t="s">
        <v>1325</v>
      </c>
      <c r="V2058" s="1" t="s">
        <v>1994</v>
      </c>
      <c r="Y2058" s="1">
        <v>63854.11</v>
      </c>
      <c r="AB2058" s="1">
        <v>60661.4</v>
      </c>
    </row>
    <row r="2059" spans="2:28" s="58" customFormat="1" x14ac:dyDescent="0.2">
      <c r="B2059" s="56" t="s">
        <v>2294</v>
      </c>
      <c r="C2059" s="57">
        <v>33000</v>
      </c>
      <c r="D2059" s="48">
        <f t="shared" ref="D2059:D2068" si="42">+C2059/100000</f>
        <v>0.33</v>
      </c>
      <c r="E2059" s="58" t="s">
        <v>1331</v>
      </c>
      <c r="F2059" s="58" t="s">
        <v>4283</v>
      </c>
      <c r="G2059" s="56" t="s">
        <v>4303</v>
      </c>
      <c r="K2059" s="58" t="s">
        <v>4314</v>
      </c>
      <c r="L2059" s="58" t="s">
        <v>1279</v>
      </c>
      <c r="M2059" s="58" t="s">
        <v>1356</v>
      </c>
      <c r="N2059" s="58" t="s">
        <v>2394</v>
      </c>
      <c r="O2059" s="58" t="s">
        <v>1286</v>
      </c>
      <c r="P2059" s="58" t="str">
        <f t="shared" si="41"/>
        <v>F010</v>
      </c>
      <c r="Q2059" s="58" t="s">
        <v>129</v>
      </c>
      <c r="S2059" s="59">
        <v>20</v>
      </c>
      <c r="T2059" s="58" t="s">
        <v>2299</v>
      </c>
      <c r="U2059" s="58" t="s">
        <v>2442</v>
      </c>
      <c r="V2059" s="58" t="s">
        <v>2102</v>
      </c>
      <c r="Y2059" s="58">
        <v>17828.07</v>
      </c>
      <c r="AB2059" s="58">
        <v>16936.669999999998</v>
      </c>
    </row>
    <row r="2060" spans="2:28" s="58" customFormat="1" x14ac:dyDescent="0.2">
      <c r="B2060" s="56" t="s">
        <v>2294</v>
      </c>
      <c r="C2060" s="57">
        <v>4000</v>
      </c>
      <c r="D2060" s="48">
        <f t="shared" si="42"/>
        <v>0.04</v>
      </c>
      <c r="E2060" s="58" t="s">
        <v>1337</v>
      </c>
      <c r="F2060" s="58" t="s">
        <v>1322</v>
      </c>
      <c r="G2060" s="56" t="s">
        <v>4303</v>
      </c>
      <c r="K2060" s="58" t="s">
        <v>4314</v>
      </c>
      <c r="L2060" s="58" t="s">
        <v>1279</v>
      </c>
      <c r="M2060" s="58" t="s">
        <v>1356</v>
      </c>
      <c r="N2060" s="58" t="s">
        <v>1573</v>
      </c>
      <c r="O2060" s="58" t="s">
        <v>1286</v>
      </c>
      <c r="P2060" s="58" t="str">
        <f t="shared" si="41"/>
        <v>F010</v>
      </c>
      <c r="Q2060" s="58" t="s">
        <v>129</v>
      </c>
      <c r="S2060" s="59">
        <v>20</v>
      </c>
      <c r="T2060" s="58" t="s">
        <v>4315</v>
      </c>
      <c r="U2060" s="58" t="s">
        <v>2442</v>
      </c>
      <c r="V2060" s="58" t="s">
        <v>2102</v>
      </c>
      <c r="Y2060" s="58">
        <v>2160.98</v>
      </c>
      <c r="AB2060" s="58">
        <v>2052.9299999999998</v>
      </c>
    </row>
    <row r="2061" spans="2:28" s="58" customFormat="1" x14ac:dyDescent="0.2">
      <c r="B2061" s="56" t="s">
        <v>2294</v>
      </c>
      <c r="C2061" s="57">
        <v>13000</v>
      </c>
      <c r="D2061" s="48">
        <f t="shared" si="42"/>
        <v>0.13</v>
      </c>
      <c r="E2061" s="58" t="s">
        <v>1348</v>
      </c>
      <c r="F2061" s="58" t="s">
        <v>4316</v>
      </c>
      <c r="G2061" s="56" t="s">
        <v>4303</v>
      </c>
      <c r="K2061" s="58" t="s">
        <v>4314</v>
      </c>
      <c r="L2061" s="58" t="s">
        <v>1279</v>
      </c>
      <c r="M2061" s="58" t="s">
        <v>1356</v>
      </c>
      <c r="N2061" s="58" t="s">
        <v>1837</v>
      </c>
      <c r="O2061" s="58" t="s">
        <v>1286</v>
      </c>
      <c r="P2061" s="58" t="str">
        <f t="shared" si="41"/>
        <v>F010</v>
      </c>
      <c r="Q2061" s="58" t="s">
        <v>129</v>
      </c>
      <c r="S2061" s="59">
        <v>20</v>
      </c>
      <c r="T2061" s="58" t="s">
        <v>4317</v>
      </c>
      <c r="U2061" s="58" t="s">
        <v>2442</v>
      </c>
      <c r="V2061" s="58" t="s">
        <v>2102</v>
      </c>
      <c r="Y2061" s="58">
        <v>7023.19</v>
      </c>
      <c r="AB2061" s="58">
        <v>6672.03</v>
      </c>
    </row>
    <row r="2062" spans="2:28" s="58" customFormat="1" x14ac:dyDescent="0.2">
      <c r="B2062" s="56" t="s">
        <v>2294</v>
      </c>
      <c r="C2062" s="57">
        <v>3000</v>
      </c>
      <c r="D2062" s="48">
        <f t="shared" si="42"/>
        <v>0.03</v>
      </c>
      <c r="E2062" s="58" t="s">
        <v>1351</v>
      </c>
      <c r="F2062" s="58" t="s">
        <v>4318</v>
      </c>
      <c r="G2062" s="56" t="s">
        <v>4303</v>
      </c>
      <c r="K2062" s="58" t="s">
        <v>4314</v>
      </c>
      <c r="L2062" s="58" t="s">
        <v>1279</v>
      </c>
      <c r="M2062" s="58" t="s">
        <v>1356</v>
      </c>
      <c r="N2062" s="58" t="s">
        <v>1833</v>
      </c>
      <c r="O2062" s="58" t="s">
        <v>1286</v>
      </c>
      <c r="P2062" s="58" t="str">
        <f t="shared" si="41"/>
        <v>F010</v>
      </c>
      <c r="Q2062" s="58" t="s">
        <v>129</v>
      </c>
      <c r="S2062" s="59">
        <v>20</v>
      </c>
      <c r="T2062" s="58" t="s">
        <v>3537</v>
      </c>
      <c r="U2062" s="58" t="s">
        <v>2442</v>
      </c>
      <c r="V2062" s="58" t="s">
        <v>2102</v>
      </c>
      <c r="Y2062" s="58">
        <v>1620.74</v>
      </c>
      <c r="AB2062" s="58">
        <v>1539.7</v>
      </c>
    </row>
    <row r="2063" spans="2:28" s="58" customFormat="1" x14ac:dyDescent="0.2">
      <c r="B2063" s="56" t="s">
        <v>2294</v>
      </c>
      <c r="C2063" s="57">
        <v>47000</v>
      </c>
      <c r="D2063" s="48">
        <f t="shared" si="42"/>
        <v>0.47</v>
      </c>
      <c r="E2063" s="58" t="s">
        <v>1352</v>
      </c>
      <c r="F2063" s="58" t="s">
        <v>3538</v>
      </c>
      <c r="G2063" s="56" t="s">
        <v>4303</v>
      </c>
      <c r="K2063" s="58" t="s">
        <v>4314</v>
      </c>
      <c r="L2063" s="58" t="s">
        <v>1279</v>
      </c>
      <c r="M2063" s="58" t="s">
        <v>1356</v>
      </c>
      <c r="N2063" s="58" t="s">
        <v>1687</v>
      </c>
      <c r="O2063" s="58" t="s">
        <v>1286</v>
      </c>
      <c r="P2063" s="58" t="str">
        <f t="shared" si="41"/>
        <v>F010</v>
      </c>
      <c r="Q2063" s="58" t="s">
        <v>129</v>
      </c>
      <c r="S2063" s="59">
        <v>20</v>
      </c>
      <c r="T2063" s="58" t="s">
        <v>4319</v>
      </c>
      <c r="U2063" s="58" t="s">
        <v>2442</v>
      </c>
      <c r="V2063" s="58" t="s">
        <v>2102</v>
      </c>
      <c r="Y2063" s="58">
        <v>25391.52</v>
      </c>
      <c r="AB2063" s="58">
        <v>24121.94</v>
      </c>
    </row>
    <row r="2064" spans="2:28" s="58" customFormat="1" x14ac:dyDescent="0.2">
      <c r="B2064" s="56" t="s">
        <v>2294</v>
      </c>
      <c r="C2064" s="57">
        <v>33000</v>
      </c>
      <c r="D2064" s="48">
        <f t="shared" si="42"/>
        <v>0.33</v>
      </c>
      <c r="E2064" s="58" t="s">
        <v>1331</v>
      </c>
      <c r="F2064" s="58" t="s">
        <v>4320</v>
      </c>
      <c r="G2064" s="56" t="s">
        <v>4303</v>
      </c>
      <c r="K2064" s="58" t="s">
        <v>4321</v>
      </c>
      <c r="L2064" s="58" t="s">
        <v>1279</v>
      </c>
      <c r="M2064" s="58" t="s">
        <v>1356</v>
      </c>
      <c r="N2064" s="58" t="s">
        <v>2394</v>
      </c>
      <c r="O2064" s="58" t="s">
        <v>1286</v>
      </c>
      <c r="P2064" s="58" t="str">
        <f t="shared" si="41"/>
        <v>F010</v>
      </c>
      <c r="Q2064" s="58" t="s">
        <v>129</v>
      </c>
      <c r="S2064" s="59">
        <v>20</v>
      </c>
      <c r="T2064" s="58" t="s">
        <v>4322</v>
      </c>
      <c r="U2064" s="58" t="s">
        <v>2442</v>
      </c>
      <c r="V2064" s="58" t="s">
        <v>2102</v>
      </c>
      <c r="Y2064" s="58">
        <v>17828.07</v>
      </c>
      <c r="AB2064" s="58">
        <v>16936.669999999998</v>
      </c>
    </row>
    <row r="2065" spans="2:28" s="58" customFormat="1" x14ac:dyDescent="0.2">
      <c r="B2065" s="56" t="s">
        <v>2294</v>
      </c>
      <c r="C2065" s="57">
        <v>4000</v>
      </c>
      <c r="D2065" s="48">
        <f t="shared" si="42"/>
        <v>0.04</v>
      </c>
      <c r="E2065" s="58" t="s">
        <v>1337</v>
      </c>
      <c r="F2065" s="58" t="s">
        <v>4323</v>
      </c>
      <c r="G2065" s="56" t="s">
        <v>4303</v>
      </c>
      <c r="K2065" s="58" t="s">
        <v>4321</v>
      </c>
      <c r="L2065" s="58" t="s">
        <v>1279</v>
      </c>
      <c r="M2065" s="58" t="s">
        <v>1356</v>
      </c>
      <c r="N2065" s="58" t="s">
        <v>1573</v>
      </c>
      <c r="O2065" s="58" t="s">
        <v>1286</v>
      </c>
      <c r="P2065" s="58" t="str">
        <f t="shared" si="41"/>
        <v>F010</v>
      </c>
      <c r="Q2065" s="58" t="s">
        <v>129</v>
      </c>
      <c r="S2065" s="59">
        <v>20</v>
      </c>
      <c r="T2065" s="58" t="s">
        <v>4315</v>
      </c>
      <c r="U2065" s="58" t="s">
        <v>2442</v>
      </c>
      <c r="V2065" s="58" t="s">
        <v>2102</v>
      </c>
      <c r="Y2065" s="58">
        <v>2160.98</v>
      </c>
      <c r="AB2065" s="58">
        <v>2052.9299999999998</v>
      </c>
    </row>
    <row r="2066" spans="2:28" s="58" customFormat="1" x14ac:dyDescent="0.2">
      <c r="B2066" s="56" t="s">
        <v>2294</v>
      </c>
      <c r="C2066" s="57">
        <v>13000</v>
      </c>
      <c r="D2066" s="48">
        <f t="shared" si="42"/>
        <v>0.13</v>
      </c>
      <c r="E2066" s="58" t="s">
        <v>1348</v>
      </c>
      <c r="F2066" s="58" t="s">
        <v>4316</v>
      </c>
      <c r="G2066" s="56" t="s">
        <v>4303</v>
      </c>
      <c r="K2066" s="58" t="s">
        <v>4321</v>
      </c>
      <c r="L2066" s="58" t="s">
        <v>1279</v>
      </c>
      <c r="M2066" s="58" t="s">
        <v>1356</v>
      </c>
      <c r="N2066" s="58" t="s">
        <v>1837</v>
      </c>
      <c r="O2066" s="58" t="s">
        <v>1286</v>
      </c>
      <c r="P2066" s="58" t="str">
        <f t="shared" si="41"/>
        <v>F010</v>
      </c>
      <c r="Q2066" s="58" t="s">
        <v>129</v>
      </c>
      <c r="S2066" s="59">
        <v>20</v>
      </c>
      <c r="T2066" s="58" t="s">
        <v>3413</v>
      </c>
      <c r="U2066" s="58" t="s">
        <v>2442</v>
      </c>
      <c r="V2066" s="58" t="s">
        <v>2102</v>
      </c>
      <c r="Y2066" s="58">
        <v>7023.19</v>
      </c>
      <c r="AB2066" s="58">
        <v>6672.03</v>
      </c>
    </row>
    <row r="2067" spans="2:28" s="58" customFormat="1" x14ac:dyDescent="0.2">
      <c r="B2067" s="56" t="s">
        <v>2294</v>
      </c>
      <c r="C2067" s="57">
        <v>3000</v>
      </c>
      <c r="D2067" s="48">
        <f t="shared" si="42"/>
        <v>0.03</v>
      </c>
      <c r="E2067" s="58" t="s">
        <v>1351</v>
      </c>
      <c r="F2067" s="58" t="s">
        <v>3414</v>
      </c>
      <c r="G2067" s="56" t="s">
        <v>4303</v>
      </c>
      <c r="K2067" s="58" t="s">
        <v>4321</v>
      </c>
      <c r="L2067" s="58" t="s">
        <v>1279</v>
      </c>
      <c r="M2067" s="58" t="s">
        <v>1356</v>
      </c>
      <c r="N2067" s="58" t="s">
        <v>1833</v>
      </c>
      <c r="O2067" s="58" t="s">
        <v>1286</v>
      </c>
      <c r="P2067" s="58" t="str">
        <f t="shared" si="41"/>
        <v>F010</v>
      </c>
      <c r="Q2067" s="58" t="s">
        <v>129</v>
      </c>
      <c r="S2067" s="59">
        <v>20</v>
      </c>
      <c r="T2067" s="58" t="s">
        <v>4315</v>
      </c>
      <c r="U2067" s="58" t="s">
        <v>2442</v>
      </c>
      <c r="V2067" s="58" t="s">
        <v>2102</v>
      </c>
      <c r="Y2067" s="58">
        <v>1620.74</v>
      </c>
      <c r="AB2067" s="58">
        <v>1539.7</v>
      </c>
    </row>
    <row r="2068" spans="2:28" s="58" customFormat="1" x14ac:dyDescent="0.2">
      <c r="B2068" s="56" t="s">
        <v>2294</v>
      </c>
      <c r="C2068" s="57">
        <v>47000</v>
      </c>
      <c r="D2068" s="48">
        <f t="shared" si="42"/>
        <v>0.47</v>
      </c>
      <c r="E2068" s="58" t="s">
        <v>1352</v>
      </c>
      <c r="F2068" s="58" t="s">
        <v>4316</v>
      </c>
      <c r="G2068" s="56" t="s">
        <v>4303</v>
      </c>
      <c r="K2068" s="58" t="s">
        <v>4321</v>
      </c>
      <c r="L2068" s="58" t="s">
        <v>1279</v>
      </c>
      <c r="M2068" s="58" t="s">
        <v>1356</v>
      </c>
      <c r="N2068" s="58" t="s">
        <v>1687</v>
      </c>
      <c r="O2068" s="58" t="s">
        <v>1286</v>
      </c>
      <c r="P2068" s="58" t="str">
        <f t="shared" si="41"/>
        <v>F010</v>
      </c>
      <c r="Q2068" s="58" t="s">
        <v>129</v>
      </c>
      <c r="S2068" s="59">
        <v>20</v>
      </c>
      <c r="T2068" s="58" t="s">
        <v>4315</v>
      </c>
      <c r="U2068" s="58" t="s">
        <v>2442</v>
      </c>
      <c r="V2068" s="58" t="s">
        <v>2102</v>
      </c>
      <c r="Y2068" s="58">
        <v>25391.52</v>
      </c>
      <c r="AB2068" s="58">
        <v>24121.94</v>
      </c>
    </row>
    <row r="2069" spans="2:28" x14ac:dyDescent="0.2">
      <c r="B2069" s="30" t="s">
        <v>2294</v>
      </c>
      <c r="C2069" s="36"/>
      <c r="D2069" s="36"/>
      <c r="F2069" s="1" t="s">
        <v>4316</v>
      </c>
      <c r="G2069" s="30" t="s">
        <v>4324</v>
      </c>
      <c r="K2069" s="1" t="s">
        <v>4325</v>
      </c>
      <c r="L2069" s="1" t="s">
        <v>1279</v>
      </c>
      <c r="M2069" s="36" t="s">
        <v>1821</v>
      </c>
      <c r="N2069" s="1" t="s">
        <v>4326</v>
      </c>
      <c r="O2069" s="1" t="s">
        <v>1286</v>
      </c>
      <c r="P2069" s="34" t="str">
        <f t="shared" si="41"/>
        <v>F010</v>
      </c>
      <c r="Q2069" s="1" t="s">
        <v>130</v>
      </c>
      <c r="S2069" s="16">
        <v>20</v>
      </c>
      <c r="T2069" s="1" t="s">
        <v>3333</v>
      </c>
      <c r="U2069" s="1" t="s">
        <v>1408</v>
      </c>
      <c r="V2069" s="1" t="s">
        <v>2022</v>
      </c>
      <c r="Y2069" s="1">
        <v>21250</v>
      </c>
      <c r="AB2069" s="1">
        <v>20187.5</v>
      </c>
    </row>
    <row r="2070" spans="2:28" x14ac:dyDescent="0.2">
      <c r="B2070" s="30" t="s">
        <v>2294</v>
      </c>
      <c r="C2070" s="36"/>
      <c r="D2070" s="36"/>
      <c r="F2070" s="1" t="s">
        <v>3334</v>
      </c>
      <c r="G2070" s="30" t="s">
        <v>4324</v>
      </c>
      <c r="K2070" s="1" t="s">
        <v>4327</v>
      </c>
      <c r="L2070" s="1" t="s">
        <v>1279</v>
      </c>
      <c r="M2070" s="36" t="s">
        <v>1821</v>
      </c>
      <c r="N2070" s="1" t="s">
        <v>4326</v>
      </c>
      <c r="O2070" s="1" t="s">
        <v>1286</v>
      </c>
      <c r="P2070" s="34" t="str">
        <f t="shared" si="41"/>
        <v>F010</v>
      </c>
      <c r="Q2070" s="1" t="s">
        <v>130</v>
      </c>
      <c r="S2070" s="16">
        <v>20</v>
      </c>
      <c r="T2070" s="1" t="s">
        <v>4315</v>
      </c>
      <c r="U2070" s="1" t="s">
        <v>1408</v>
      </c>
      <c r="V2070" s="1" t="s">
        <v>2022</v>
      </c>
      <c r="Y2070" s="1">
        <v>21250</v>
      </c>
      <c r="AB2070" s="1">
        <v>20187.5</v>
      </c>
    </row>
    <row r="2071" spans="2:28" x14ac:dyDescent="0.2">
      <c r="B2071" s="30" t="s">
        <v>2294</v>
      </c>
      <c r="C2071" s="36"/>
      <c r="D2071" s="36"/>
      <c r="F2071" s="1" t="s">
        <v>4316</v>
      </c>
      <c r="G2071" s="30" t="s">
        <v>4324</v>
      </c>
      <c r="K2071" s="1" t="s">
        <v>4328</v>
      </c>
      <c r="L2071" s="1" t="s">
        <v>1279</v>
      </c>
      <c r="M2071" s="36" t="s">
        <v>1821</v>
      </c>
      <c r="N2071" s="1" t="s">
        <v>1289</v>
      </c>
      <c r="O2071" s="1" t="s">
        <v>1286</v>
      </c>
      <c r="P2071" s="34" t="str">
        <f t="shared" si="41"/>
        <v>F010</v>
      </c>
      <c r="Q2071" s="1" t="s">
        <v>1297</v>
      </c>
      <c r="S2071" s="16">
        <v>20</v>
      </c>
      <c r="T2071" s="1" t="s">
        <v>3333</v>
      </c>
      <c r="U2071" s="1" t="s">
        <v>1408</v>
      </c>
      <c r="V2071" s="1" t="s">
        <v>2022</v>
      </c>
      <c r="Y2071" s="1">
        <v>21250</v>
      </c>
      <c r="AB2071" s="1">
        <v>20187.5</v>
      </c>
    </row>
    <row r="2072" spans="2:28" x14ac:dyDescent="0.2">
      <c r="B2072" s="30" t="s">
        <v>2294</v>
      </c>
      <c r="C2072" s="36"/>
      <c r="D2072" s="36"/>
      <c r="F2072" s="1" t="s">
        <v>3334</v>
      </c>
      <c r="G2072" s="30" t="s">
        <v>4324</v>
      </c>
      <c r="K2072" s="1" t="s">
        <v>4329</v>
      </c>
      <c r="L2072" s="1" t="s">
        <v>1279</v>
      </c>
      <c r="M2072" s="36" t="s">
        <v>1821</v>
      </c>
      <c r="N2072" s="1" t="s">
        <v>1291</v>
      </c>
      <c r="O2072" s="1" t="s">
        <v>1286</v>
      </c>
      <c r="P2072" s="34" t="str">
        <f t="shared" si="41"/>
        <v>F010</v>
      </c>
      <c r="Q2072" s="1" t="s">
        <v>4330</v>
      </c>
      <c r="S2072" s="16">
        <v>20</v>
      </c>
      <c r="T2072" s="1" t="s">
        <v>4315</v>
      </c>
      <c r="U2072" s="1" t="s">
        <v>1408</v>
      </c>
      <c r="V2072" s="1" t="s">
        <v>2022</v>
      </c>
      <c r="Y2072" s="1">
        <v>21250</v>
      </c>
      <c r="AB2072" s="1">
        <v>20187.5</v>
      </c>
    </row>
    <row r="2073" spans="2:28" x14ac:dyDescent="0.2">
      <c r="B2073" s="30" t="s">
        <v>2294</v>
      </c>
      <c r="C2073" s="36"/>
      <c r="D2073" s="36"/>
      <c r="F2073" s="1" t="s">
        <v>4316</v>
      </c>
      <c r="G2073" s="30" t="s">
        <v>4324</v>
      </c>
      <c r="K2073" s="1" t="s">
        <v>4331</v>
      </c>
      <c r="L2073" s="1" t="s">
        <v>1279</v>
      </c>
      <c r="M2073" s="36" t="s">
        <v>1821</v>
      </c>
      <c r="N2073" s="1" t="s">
        <v>1291</v>
      </c>
      <c r="O2073" s="1" t="s">
        <v>1286</v>
      </c>
      <c r="P2073" s="34" t="str">
        <f t="shared" si="41"/>
        <v>F010</v>
      </c>
      <c r="Q2073" s="1" t="s">
        <v>4330</v>
      </c>
      <c r="S2073" s="16">
        <v>20</v>
      </c>
      <c r="T2073" s="1" t="s">
        <v>4332</v>
      </c>
      <c r="U2073" s="1" t="s">
        <v>1408</v>
      </c>
      <c r="V2073" s="1" t="s">
        <v>2022</v>
      </c>
      <c r="Y2073" s="1">
        <v>21270.5</v>
      </c>
      <c r="AB2073" s="1">
        <v>20206.97</v>
      </c>
    </row>
    <row r="2074" spans="2:28" x14ac:dyDescent="0.2">
      <c r="B2074" s="30" t="s">
        <v>2294</v>
      </c>
      <c r="C2074" s="36"/>
      <c r="D2074" s="36"/>
      <c r="F2074" s="1" t="s">
        <v>4333</v>
      </c>
      <c r="G2074" s="30" t="s">
        <v>4324</v>
      </c>
      <c r="K2074" s="1" t="s">
        <v>4334</v>
      </c>
      <c r="L2074" s="1" t="s">
        <v>1279</v>
      </c>
      <c r="M2074" s="36" t="s">
        <v>1821</v>
      </c>
      <c r="N2074" s="1" t="s">
        <v>1291</v>
      </c>
      <c r="O2074" s="1" t="s">
        <v>1286</v>
      </c>
      <c r="P2074" s="34" t="str">
        <f t="shared" si="41"/>
        <v>F010</v>
      </c>
      <c r="Q2074" s="1" t="s">
        <v>4330</v>
      </c>
      <c r="S2074" s="16">
        <v>20</v>
      </c>
      <c r="T2074" s="1" t="s">
        <v>4315</v>
      </c>
      <c r="U2074" s="1" t="s">
        <v>1408</v>
      </c>
      <c r="V2074" s="1" t="s">
        <v>2022</v>
      </c>
      <c r="Y2074" s="1">
        <v>21270.5</v>
      </c>
      <c r="AB2074" s="1">
        <v>20206.97</v>
      </c>
    </row>
    <row r="2075" spans="2:28" x14ac:dyDescent="0.2">
      <c r="B2075" s="30" t="s">
        <v>2294</v>
      </c>
      <c r="C2075" s="36"/>
      <c r="D2075" s="36"/>
      <c r="F2075" s="1" t="s">
        <v>4316</v>
      </c>
      <c r="G2075" s="30" t="s">
        <v>4335</v>
      </c>
      <c r="K2075" s="1" t="s">
        <v>4336</v>
      </c>
      <c r="L2075" s="1" t="s">
        <v>1279</v>
      </c>
      <c r="M2075" s="36" t="s">
        <v>4288</v>
      </c>
      <c r="N2075" s="1" t="s">
        <v>1754</v>
      </c>
      <c r="O2075" s="1" t="s">
        <v>1286</v>
      </c>
      <c r="P2075" s="34" t="str">
        <f t="shared" si="41"/>
        <v>F010</v>
      </c>
      <c r="Q2075" s="1" t="s">
        <v>127</v>
      </c>
      <c r="S2075" s="16">
        <v>20</v>
      </c>
      <c r="T2075" s="1" t="s">
        <v>4337</v>
      </c>
      <c r="U2075" s="1" t="s">
        <v>1473</v>
      </c>
      <c r="V2075" s="1" t="s">
        <v>2510</v>
      </c>
      <c r="Y2075" s="1">
        <v>12000</v>
      </c>
      <c r="AB2075" s="1">
        <v>11400</v>
      </c>
    </row>
    <row r="2076" spans="2:28" x14ac:dyDescent="0.2">
      <c r="B2076" s="30" t="s">
        <v>2294</v>
      </c>
      <c r="C2076" s="36"/>
      <c r="D2076" s="36"/>
      <c r="F2076" s="1" t="s">
        <v>4338</v>
      </c>
      <c r="G2076" s="30" t="s">
        <v>4339</v>
      </c>
      <c r="K2076" s="1" t="s">
        <v>4340</v>
      </c>
      <c r="L2076" s="1" t="s">
        <v>1279</v>
      </c>
      <c r="M2076" s="36" t="s">
        <v>1325</v>
      </c>
      <c r="N2076" s="1" t="s">
        <v>2314</v>
      </c>
      <c r="O2076" s="1" t="s">
        <v>1286</v>
      </c>
      <c r="P2076" s="34" t="str">
        <f t="shared" si="41"/>
        <v>F010</v>
      </c>
      <c r="Q2076" s="1" t="s">
        <v>137</v>
      </c>
      <c r="S2076" s="16">
        <v>20</v>
      </c>
      <c r="T2076" s="1" t="s">
        <v>4341</v>
      </c>
      <c r="U2076" s="1" t="s">
        <v>4288</v>
      </c>
      <c r="V2076" s="1" t="s">
        <v>1691</v>
      </c>
      <c r="Y2076" s="1">
        <v>21785.87</v>
      </c>
      <c r="AB2076" s="1">
        <v>20696.580000000002</v>
      </c>
    </row>
    <row r="2077" spans="2:28" x14ac:dyDescent="0.2">
      <c r="B2077" s="30" t="s">
        <v>2294</v>
      </c>
      <c r="C2077" s="36"/>
      <c r="D2077" s="36"/>
      <c r="F2077" s="1" t="s">
        <v>4342</v>
      </c>
      <c r="G2077" s="30" t="s">
        <v>4339</v>
      </c>
      <c r="K2077" s="1" t="s">
        <v>4343</v>
      </c>
      <c r="L2077" s="1" t="s">
        <v>1279</v>
      </c>
      <c r="M2077" s="36" t="s">
        <v>1325</v>
      </c>
      <c r="N2077" s="1" t="s">
        <v>2314</v>
      </c>
      <c r="O2077" s="1" t="s">
        <v>1286</v>
      </c>
      <c r="P2077" s="34" t="str">
        <f t="shared" si="41"/>
        <v>F010</v>
      </c>
      <c r="Q2077" s="1" t="s">
        <v>137</v>
      </c>
      <c r="S2077" s="16">
        <v>20</v>
      </c>
      <c r="T2077" s="1" t="s">
        <v>3084</v>
      </c>
      <c r="U2077" s="1" t="s">
        <v>4288</v>
      </c>
      <c r="V2077" s="1" t="s">
        <v>1691</v>
      </c>
      <c r="Y2077" s="1">
        <v>21785.87</v>
      </c>
      <c r="AB2077" s="1">
        <v>20696.580000000002</v>
      </c>
    </row>
    <row r="2078" spans="2:28" x14ac:dyDescent="0.2">
      <c r="B2078" s="30" t="s">
        <v>2294</v>
      </c>
      <c r="C2078" s="36"/>
      <c r="D2078" s="36"/>
      <c r="F2078" s="1" t="s">
        <v>3085</v>
      </c>
      <c r="G2078" s="30" t="s">
        <v>4344</v>
      </c>
      <c r="K2078" s="1" t="s">
        <v>4345</v>
      </c>
      <c r="L2078" s="1" t="s">
        <v>1279</v>
      </c>
      <c r="M2078" s="36" t="s">
        <v>1439</v>
      </c>
      <c r="N2078" s="1" t="s">
        <v>1292</v>
      </c>
      <c r="O2078" s="1" t="s">
        <v>1286</v>
      </c>
      <c r="P2078" s="34" t="str">
        <f t="shared" si="41"/>
        <v>F010</v>
      </c>
      <c r="Q2078" s="1" t="s">
        <v>133</v>
      </c>
      <c r="S2078" s="16">
        <v>20</v>
      </c>
      <c r="T2078" s="1" t="s">
        <v>4315</v>
      </c>
      <c r="U2078" s="1" t="s">
        <v>1821</v>
      </c>
      <c r="V2078" s="1" t="s">
        <v>2244</v>
      </c>
      <c r="Y2078" s="1">
        <v>27342.400000000001</v>
      </c>
      <c r="AB2078" s="1">
        <v>25975.279999999999</v>
      </c>
    </row>
    <row r="2079" spans="2:28" x14ac:dyDescent="0.2">
      <c r="B2079" s="30" t="s">
        <v>2294</v>
      </c>
      <c r="C2079" s="36"/>
      <c r="D2079" s="36"/>
      <c r="F2079" s="1" t="s">
        <v>4316</v>
      </c>
      <c r="G2079" s="30" t="s">
        <v>4344</v>
      </c>
      <c r="K2079" s="1" t="s">
        <v>4346</v>
      </c>
      <c r="L2079" s="1" t="s">
        <v>1279</v>
      </c>
      <c r="M2079" s="36" t="s">
        <v>1439</v>
      </c>
      <c r="N2079" s="1" t="s">
        <v>4232</v>
      </c>
      <c r="O2079" s="1" t="s">
        <v>1286</v>
      </c>
      <c r="P2079" s="34" t="str">
        <f t="shared" si="41"/>
        <v>F010</v>
      </c>
      <c r="Q2079" s="1" t="s">
        <v>135</v>
      </c>
      <c r="S2079" s="16">
        <v>20</v>
      </c>
      <c r="T2079" s="1" t="s">
        <v>3152</v>
      </c>
      <c r="U2079" s="1" t="s">
        <v>1821</v>
      </c>
      <c r="V2079" s="1" t="s">
        <v>2244</v>
      </c>
      <c r="Y2079" s="1">
        <v>27342.400000000001</v>
      </c>
      <c r="AB2079" s="1">
        <v>25975.279999999999</v>
      </c>
    </row>
    <row r="2080" spans="2:28" x14ac:dyDescent="0.2">
      <c r="B2080" s="30" t="s">
        <v>2294</v>
      </c>
      <c r="C2080" s="36"/>
      <c r="D2080" s="36"/>
      <c r="F2080" s="1" t="s">
        <v>3153</v>
      </c>
      <c r="G2080" s="30" t="s">
        <v>4344</v>
      </c>
      <c r="K2080" s="1" t="s">
        <v>4347</v>
      </c>
      <c r="L2080" s="1" t="s">
        <v>1279</v>
      </c>
      <c r="M2080" s="36" t="s">
        <v>1439</v>
      </c>
      <c r="N2080" s="1" t="s">
        <v>2394</v>
      </c>
      <c r="O2080" s="1" t="s">
        <v>1286</v>
      </c>
      <c r="P2080" s="34" t="str">
        <f t="shared" si="41"/>
        <v>F010</v>
      </c>
      <c r="Q2080" s="1" t="s">
        <v>129</v>
      </c>
      <c r="S2080" s="16">
        <v>20</v>
      </c>
      <c r="T2080" s="1" t="s">
        <v>4315</v>
      </c>
      <c r="U2080" s="1" t="s">
        <v>1821</v>
      </c>
      <c r="V2080" s="1" t="s">
        <v>2244</v>
      </c>
      <c r="Y2080" s="1">
        <v>27342.400000000001</v>
      </c>
      <c r="AB2080" s="1">
        <v>25975.279999999999</v>
      </c>
    </row>
    <row r="2081" spans="2:28" x14ac:dyDescent="0.2">
      <c r="B2081" s="30" t="s">
        <v>2294</v>
      </c>
      <c r="C2081" s="36"/>
      <c r="D2081" s="36"/>
      <c r="F2081" s="1" t="s">
        <v>4316</v>
      </c>
      <c r="G2081" s="30" t="s">
        <v>4348</v>
      </c>
      <c r="K2081" s="1" t="s">
        <v>4349</v>
      </c>
      <c r="L2081" s="1" t="s">
        <v>1279</v>
      </c>
      <c r="M2081" s="36" t="s">
        <v>1894</v>
      </c>
      <c r="N2081" s="1" t="s">
        <v>1282</v>
      </c>
      <c r="O2081" s="1" t="s">
        <v>1286</v>
      </c>
      <c r="P2081" s="34" t="str">
        <f t="shared" si="41"/>
        <v>F010</v>
      </c>
      <c r="Q2081" s="1" t="s">
        <v>132</v>
      </c>
      <c r="S2081" s="16">
        <v>20</v>
      </c>
      <c r="T2081" s="1" t="s">
        <v>4337</v>
      </c>
      <c r="U2081" s="1" t="s">
        <v>1371</v>
      </c>
      <c r="V2081" s="1" t="s">
        <v>2057</v>
      </c>
      <c r="Y2081" s="1">
        <v>21640</v>
      </c>
      <c r="AB2081" s="1">
        <v>20558</v>
      </c>
    </row>
    <row r="2082" spans="2:28" x14ac:dyDescent="0.2">
      <c r="B2082" s="30" t="s">
        <v>2294</v>
      </c>
      <c r="C2082" s="36"/>
      <c r="D2082" s="36"/>
      <c r="F2082" s="1" t="s">
        <v>4338</v>
      </c>
      <c r="G2082" s="30" t="s">
        <v>4348</v>
      </c>
      <c r="K2082" s="1" t="s">
        <v>4350</v>
      </c>
      <c r="L2082" s="1" t="s">
        <v>1279</v>
      </c>
      <c r="M2082" s="36" t="s">
        <v>1894</v>
      </c>
      <c r="N2082" s="1" t="s">
        <v>4351</v>
      </c>
      <c r="O2082" s="1" t="s">
        <v>1286</v>
      </c>
      <c r="P2082" s="34" t="str">
        <f t="shared" si="41"/>
        <v>F010</v>
      </c>
      <c r="Q2082" s="1" t="s">
        <v>131</v>
      </c>
      <c r="S2082" s="16">
        <v>20</v>
      </c>
      <c r="T2082" s="1" t="s">
        <v>4315</v>
      </c>
      <c r="U2082" s="1" t="s">
        <v>1371</v>
      </c>
      <c r="V2082" s="1" t="s">
        <v>2057</v>
      </c>
      <c r="Y2082" s="1">
        <v>21640</v>
      </c>
      <c r="AB2082" s="1">
        <v>20558</v>
      </c>
    </row>
    <row r="2083" spans="2:28" x14ac:dyDescent="0.2">
      <c r="B2083" s="30" t="s">
        <v>2294</v>
      </c>
      <c r="C2083" s="36"/>
      <c r="D2083" s="36"/>
      <c r="F2083" s="1" t="s">
        <v>4316</v>
      </c>
      <c r="G2083" s="30" t="s">
        <v>4348</v>
      </c>
      <c r="K2083" s="1" t="s">
        <v>4352</v>
      </c>
      <c r="L2083" s="1" t="s">
        <v>1279</v>
      </c>
      <c r="M2083" s="36" t="s">
        <v>1894</v>
      </c>
      <c r="N2083" s="1" t="s">
        <v>1290</v>
      </c>
      <c r="O2083" s="1" t="s">
        <v>1286</v>
      </c>
      <c r="P2083" s="34" t="str">
        <f t="shared" si="41"/>
        <v>F010</v>
      </c>
      <c r="Q2083" s="1" t="s">
        <v>1297</v>
      </c>
      <c r="S2083" s="16">
        <v>20</v>
      </c>
      <c r="T2083" s="1" t="s">
        <v>3430</v>
      </c>
      <c r="U2083" s="1" t="s">
        <v>1371</v>
      </c>
      <c r="V2083" s="1" t="s">
        <v>2057</v>
      </c>
      <c r="Y2083" s="1">
        <v>21640</v>
      </c>
      <c r="AB2083" s="1">
        <v>20558</v>
      </c>
    </row>
    <row r="2084" spans="2:28" x14ac:dyDescent="0.2">
      <c r="B2084" s="30" t="s">
        <v>2294</v>
      </c>
      <c r="C2084" s="36"/>
      <c r="D2084" s="36"/>
      <c r="F2084" s="1" t="s">
        <v>3431</v>
      </c>
      <c r="G2084" s="30" t="s">
        <v>4348</v>
      </c>
      <c r="K2084" s="1" t="s">
        <v>4353</v>
      </c>
      <c r="L2084" s="1" t="s">
        <v>1279</v>
      </c>
      <c r="M2084" s="36" t="s">
        <v>1894</v>
      </c>
      <c r="N2084" s="1" t="s">
        <v>4235</v>
      </c>
      <c r="O2084" s="1" t="s">
        <v>1286</v>
      </c>
      <c r="P2084" s="34" t="str">
        <f t="shared" si="41"/>
        <v>F010</v>
      </c>
      <c r="Q2084" s="1" t="s">
        <v>134</v>
      </c>
      <c r="S2084" s="16">
        <v>20</v>
      </c>
      <c r="T2084" s="1" t="s">
        <v>4315</v>
      </c>
      <c r="U2084" s="1" t="s">
        <v>1371</v>
      </c>
      <c r="V2084" s="1" t="s">
        <v>2057</v>
      </c>
      <c r="Y2084" s="1">
        <v>21640</v>
      </c>
      <c r="AB2084" s="1">
        <v>20558</v>
      </c>
    </row>
    <row r="2085" spans="2:28" x14ac:dyDescent="0.2">
      <c r="B2085" s="30" t="s">
        <v>2294</v>
      </c>
      <c r="C2085" s="36"/>
      <c r="D2085" s="36"/>
      <c r="F2085" s="1" t="s">
        <v>4316</v>
      </c>
      <c r="G2085" s="30" t="s">
        <v>4354</v>
      </c>
      <c r="K2085" s="1" t="s">
        <v>4355</v>
      </c>
      <c r="L2085" s="1" t="s">
        <v>1279</v>
      </c>
      <c r="M2085" s="36" t="s">
        <v>1451</v>
      </c>
      <c r="N2085" s="1" t="s">
        <v>1287</v>
      </c>
      <c r="O2085" s="1" t="s">
        <v>1286</v>
      </c>
      <c r="P2085" s="34" t="str">
        <f t="shared" si="41"/>
        <v>F010</v>
      </c>
      <c r="Q2085" s="1" t="s">
        <v>138</v>
      </c>
      <c r="S2085" s="16">
        <v>20</v>
      </c>
      <c r="T2085" s="1" t="s">
        <v>3620</v>
      </c>
      <c r="U2085" s="1" t="s">
        <v>1345</v>
      </c>
      <c r="V2085" s="1" t="s">
        <v>1699</v>
      </c>
      <c r="Y2085" s="1">
        <v>272000</v>
      </c>
      <c r="AB2085" s="1">
        <v>258400</v>
      </c>
    </row>
    <row r="2086" spans="2:28" x14ac:dyDescent="0.2">
      <c r="B2086" s="30" t="s">
        <v>2294</v>
      </c>
      <c r="C2086" s="36"/>
      <c r="D2086" s="36"/>
      <c r="F2086" s="1" t="s">
        <v>3621</v>
      </c>
      <c r="G2086" s="30" t="s">
        <v>4356</v>
      </c>
      <c r="K2086" s="1" t="s">
        <v>4357</v>
      </c>
      <c r="L2086" s="1" t="s">
        <v>1279</v>
      </c>
      <c r="M2086" s="36" t="s">
        <v>1334</v>
      </c>
      <c r="N2086" s="1" t="s">
        <v>1287</v>
      </c>
      <c r="O2086" s="1" t="s">
        <v>1286</v>
      </c>
      <c r="P2086" s="34" t="str">
        <f t="shared" si="41"/>
        <v>F010</v>
      </c>
      <c r="Q2086" s="1" t="s">
        <v>127</v>
      </c>
      <c r="S2086" s="16">
        <v>20</v>
      </c>
      <c r="T2086" s="1" t="s">
        <v>4315</v>
      </c>
      <c r="U2086" s="1" t="s">
        <v>1535</v>
      </c>
      <c r="V2086" s="1" t="s">
        <v>2553</v>
      </c>
      <c r="Y2086" s="1">
        <v>80514</v>
      </c>
      <c r="AB2086" s="1">
        <v>44618.18</v>
      </c>
    </row>
    <row r="2087" spans="2:28" x14ac:dyDescent="0.2">
      <c r="B2087" s="30" t="s">
        <v>2294</v>
      </c>
      <c r="C2087" s="36"/>
      <c r="D2087" s="36"/>
      <c r="F2087" s="1" t="s">
        <v>4316</v>
      </c>
      <c r="G2087" s="30" t="s">
        <v>4358</v>
      </c>
      <c r="K2087" s="1" t="s">
        <v>4359</v>
      </c>
      <c r="L2087" s="1" t="s">
        <v>1279</v>
      </c>
      <c r="M2087" s="36" t="s">
        <v>1334</v>
      </c>
      <c r="N2087" s="1" t="s">
        <v>1287</v>
      </c>
      <c r="O2087" s="1" t="s">
        <v>1286</v>
      </c>
      <c r="P2087" s="34" t="str">
        <f t="shared" si="41"/>
        <v>F010</v>
      </c>
      <c r="Q2087" s="1" t="s">
        <v>127</v>
      </c>
      <c r="S2087" s="16">
        <v>20</v>
      </c>
      <c r="T2087" s="1" t="s">
        <v>3333</v>
      </c>
      <c r="U2087" s="1" t="s">
        <v>1535</v>
      </c>
      <c r="V2087" s="1" t="s">
        <v>2553</v>
      </c>
      <c r="Y2087" s="1">
        <v>80514</v>
      </c>
      <c r="AB2087" s="1">
        <v>44618.18</v>
      </c>
    </row>
    <row r="2088" spans="2:28" x14ac:dyDescent="0.2">
      <c r="B2088" s="30" t="s">
        <v>2294</v>
      </c>
      <c r="C2088" s="36"/>
      <c r="D2088" s="36"/>
      <c r="F2088" s="1" t="s">
        <v>3334</v>
      </c>
      <c r="G2088" s="30" t="s">
        <v>4360</v>
      </c>
      <c r="K2088" s="1" t="s">
        <v>4361</v>
      </c>
      <c r="L2088" s="1" t="s">
        <v>1279</v>
      </c>
      <c r="M2088" s="36" t="s">
        <v>1334</v>
      </c>
      <c r="N2088" s="1" t="s">
        <v>1287</v>
      </c>
      <c r="O2088" s="1" t="s">
        <v>1286</v>
      </c>
      <c r="P2088" s="34" t="str">
        <f t="shared" si="41"/>
        <v>F010</v>
      </c>
      <c r="Q2088" s="1" t="s">
        <v>127</v>
      </c>
      <c r="S2088" s="16">
        <v>20</v>
      </c>
      <c r="T2088" s="1" t="s">
        <v>4315</v>
      </c>
      <c r="U2088" s="1" t="s">
        <v>1535</v>
      </c>
      <c r="V2088" s="1" t="s">
        <v>2553</v>
      </c>
      <c r="Y2088" s="1">
        <v>80514</v>
      </c>
      <c r="AB2088" s="1">
        <v>44618.18</v>
      </c>
    </row>
    <row r="2089" spans="2:28" x14ac:dyDescent="0.2">
      <c r="B2089" s="30" t="s">
        <v>2294</v>
      </c>
      <c r="C2089" s="36"/>
      <c r="D2089" s="36"/>
      <c r="F2089" s="1" t="s">
        <v>4316</v>
      </c>
      <c r="G2089" s="30" t="s">
        <v>4362</v>
      </c>
      <c r="K2089" s="1" t="s">
        <v>4363</v>
      </c>
      <c r="L2089" s="1" t="s">
        <v>1279</v>
      </c>
      <c r="M2089" s="36" t="s">
        <v>1334</v>
      </c>
      <c r="N2089" s="1" t="s">
        <v>1287</v>
      </c>
      <c r="O2089" s="1" t="s">
        <v>1286</v>
      </c>
      <c r="P2089" s="34" t="str">
        <f t="shared" si="41"/>
        <v>F010</v>
      </c>
      <c r="Q2089" s="1" t="s">
        <v>127</v>
      </c>
      <c r="S2089" s="16">
        <v>20</v>
      </c>
      <c r="T2089" s="1" t="s">
        <v>3448</v>
      </c>
      <c r="U2089" s="1" t="s">
        <v>1535</v>
      </c>
      <c r="V2089" s="1" t="s">
        <v>2553</v>
      </c>
      <c r="Y2089" s="1">
        <v>80514</v>
      </c>
      <c r="AB2089" s="1">
        <v>44618.18</v>
      </c>
    </row>
    <row r="2090" spans="2:28" x14ac:dyDescent="0.2">
      <c r="B2090" s="30" t="s">
        <v>2294</v>
      </c>
      <c r="C2090" s="36"/>
      <c r="D2090" s="36"/>
      <c r="F2090" s="1" t="s">
        <v>3449</v>
      </c>
      <c r="G2090" s="30" t="s">
        <v>4364</v>
      </c>
      <c r="K2090" s="1" t="s">
        <v>4365</v>
      </c>
      <c r="L2090" s="1" t="s">
        <v>1279</v>
      </c>
      <c r="M2090" s="36" t="s">
        <v>1334</v>
      </c>
      <c r="N2090" s="1" t="s">
        <v>1287</v>
      </c>
      <c r="O2090" s="1" t="s">
        <v>1286</v>
      </c>
      <c r="P2090" s="34" t="str">
        <f t="shared" si="41"/>
        <v>F010</v>
      </c>
      <c r="Q2090" s="1" t="s">
        <v>127</v>
      </c>
      <c r="S2090" s="16">
        <v>20</v>
      </c>
      <c r="T2090" s="1" t="s">
        <v>4315</v>
      </c>
      <c r="U2090" s="1" t="s">
        <v>1535</v>
      </c>
      <c r="V2090" s="1" t="s">
        <v>2553</v>
      </c>
      <c r="Y2090" s="1">
        <v>80514</v>
      </c>
      <c r="AB2090" s="1">
        <v>44618.18</v>
      </c>
    </row>
    <row r="2091" spans="2:28" x14ac:dyDescent="0.2">
      <c r="B2091" s="30" t="s">
        <v>2294</v>
      </c>
      <c r="C2091" s="36"/>
      <c r="D2091" s="36"/>
      <c r="F2091" s="1" t="s">
        <v>4316</v>
      </c>
      <c r="G2091" s="30" t="s">
        <v>4366</v>
      </c>
      <c r="K2091" s="1" t="s">
        <v>4367</v>
      </c>
      <c r="L2091" s="1" t="s">
        <v>1279</v>
      </c>
      <c r="M2091" s="36" t="s">
        <v>1334</v>
      </c>
      <c r="N2091" s="1" t="s">
        <v>1287</v>
      </c>
      <c r="O2091" s="1" t="s">
        <v>1286</v>
      </c>
      <c r="P2091" s="34" t="str">
        <f t="shared" ref="P2091:P2154" si="43">+LEFT(Q2091,4)</f>
        <v>F010</v>
      </c>
      <c r="Q2091" s="1" t="s">
        <v>127</v>
      </c>
      <c r="S2091" s="16">
        <v>20</v>
      </c>
      <c r="T2091" s="1" t="s">
        <v>3093</v>
      </c>
      <c r="U2091" s="1" t="s">
        <v>1535</v>
      </c>
      <c r="V2091" s="1" t="s">
        <v>2553</v>
      </c>
      <c r="Y2091" s="1">
        <v>80514</v>
      </c>
      <c r="AB2091" s="1">
        <v>44618.18</v>
      </c>
    </row>
    <row r="2092" spans="2:28" x14ac:dyDescent="0.2">
      <c r="B2092" s="30" t="s">
        <v>2294</v>
      </c>
      <c r="C2092" s="36"/>
      <c r="D2092" s="36"/>
      <c r="F2092" s="1" t="s">
        <v>3094</v>
      </c>
      <c r="G2092" s="30" t="s">
        <v>4368</v>
      </c>
      <c r="K2092" s="1" t="s">
        <v>4369</v>
      </c>
      <c r="L2092" s="1" t="s">
        <v>1279</v>
      </c>
      <c r="M2092" s="36" t="s">
        <v>1334</v>
      </c>
      <c r="N2092" s="1" t="s">
        <v>1287</v>
      </c>
      <c r="O2092" s="1" t="s">
        <v>1286</v>
      </c>
      <c r="P2092" s="34" t="str">
        <f t="shared" si="43"/>
        <v>F010</v>
      </c>
      <c r="Q2092" s="1" t="s">
        <v>138</v>
      </c>
      <c r="S2092" s="16">
        <v>20</v>
      </c>
      <c r="T2092" s="1" t="s">
        <v>4315</v>
      </c>
      <c r="U2092" s="1" t="s">
        <v>1535</v>
      </c>
      <c r="V2092" s="1" t="s">
        <v>2553</v>
      </c>
      <c r="Y2092" s="1">
        <v>80514</v>
      </c>
      <c r="AB2092" s="1">
        <v>44618.18</v>
      </c>
    </row>
    <row r="2093" spans="2:28" x14ac:dyDescent="0.2">
      <c r="B2093" s="30" t="s">
        <v>2294</v>
      </c>
      <c r="C2093" s="36"/>
      <c r="D2093" s="36"/>
      <c r="F2093" s="1" t="s">
        <v>4316</v>
      </c>
      <c r="G2093" s="30" t="s">
        <v>4370</v>
      </c>
      <c r="K2093" s="1" t="s">
        <v>4371</v>
      </c>
      <c r="L2093" s="1" t="s">
        <v>1279</v>
      </c>
      <c r="M2093" s="36" t="s">
        <v>2360</v>
      </c>
      <c r="N2093" s="1" t="s">
        <v>3072</v>
      </c>
      <c r="O2093" s="1" t="s">
        <v>1286</v>
      </c>
      <c r="P2093" s="34" t="str">
        <f t="shared" si="43"/>
        <v>F010</v>
      </c>
      <c r="Q2093" s="1" t="s">
        <v>127</v>
      </c>
      <c r="S2093" s="16">
        <v>20</v>
      </c>
      <c r="T2093" s="1" t="s">
        <v>3620</v>
      </c>
      <c r="U2093" s="1" t="s">
        <v>2313</v>
      </c>
      <c r="V2093" s="1" t="s">
        <v>2361</v>
      </c>
      <c r="Y2093" s="1">
        <v>13944</v>
      </c>
      <c r="AB2093" s="1">
        <v>13246.8</v>
      </c>
    </row>
    <row r="2094" spans="2:28" x14ac:dyDescent="0.2">
      <c r="B2094" s="30" t="s">
        <v>2294</v>
      </c>
      <c r="C2094" s="36"/>
      <c r="D2094" s="36"/>
      <c r="F2094" s="1" t="s">
        <v>3621</v>
      </c>
      <c r="G2094" s="30" t="s">
        <v>4372</v>
      </c>
      <c r="K2094" s="1" t="s">
        <v>4373</v>
      </c>
      <c r="L2094" s="1" t="s">
        <v>1279</v>
      </c>
      <c r="M2094" s="36" t="s">
        <v>1325</v>
      </c>
      <c r="N2094" s="1" t="s">
        <v>3083</v>
      </c>
      <c r="O2094" s="1" t="s">
        <v>1286</v>
      </c>
      <c r="P2094" s="34" t="str">
        <f t="shared" si="43"/>
        <v>F010</v>
      </c>
      <c r="Q2094" s="1" t="s">
        <v>137</v>
      </c>
      <c r="S2094" s="16">
        <v>20</v>
      </c>
      <c r="T2094" s="1" t="s">
        <v>4315</v>
      </c>
      <c r="U2094" s="1" t="s">
        <v>4288</v>
      </c>
      <c r="V2094" s="1" t="s">
        <v>1691</v>
      </c>
      <c r="Y2094" s="1">
        <v>11500</v>
      </c>
      <c r="AB2094" s="1">
        <v>10925</v>
      </c>
    </row>
    <row r="2095" spans="2:28" x14ac:dyDescent="0.2">
      <c r="B2095" s="30" t="s">
        <v>2294</v>
      </c>
      <c r="C2095" s="36"/>
      <c r="D2095" s="36"/>
      <c r="F2095" s="1" t="s">
        <v>4316</v>
      </c>
      <c r="G2095" s="30" t="s">
        <v>4374</v>
      </c>
      <c r="K2095" s="1" t="s">
        <v>4375</v>
      </c>
      <c r="L2095" s="1" t="s">
        <v>1279</v>
      </c>
      <c r="M2095" s="36" t="s">
        <v>1371</v>
      </c>
      <c r="N2095" s="1" t="s">
        <v>3083</v>
      </c>
      <c r="O2095" s="1" t="s">
        <v>1286</v>
      </c>
      <c r="P2095" s="34" t="str">
        <f t="shared" si="43"/>
        <v>F010</v>
      </c>
      <c r="Q2095" s="1" t="s">
        <v>137</v>
      </c>
      <c r="S2095" s="16">
        <v>20</v>
      </c>
      <c r="T2095" s="1" t="s">
        <v>3543</v>
      </c>
      <c r="U2095" s="1" t="s">
        <v>1775</v>
      </c>
      <c r="V2095" s="1" t="s">
        <v>1670</v>
      </c>
      <c r="Y2095" s="1">
        <v>86000</v>
      </c>
      <c r="AB2095" s="1">
        <v>81700</v>
      </c>
    </row>
    <row r="2096" spans="2:28" x14ac:dyDescent="0.2">
      <c r="B2096" s="30" t="s">
        <v>2294</v>
      </c>
      <c r="C2096" s="36"/>
      <c r="D2096" s="36"/>
      <c r="F2096" s="1" t="s">
        <v>3544</v>
      </c>
      <c r="G2096" s="30" t="s">
        <v>4374</v>
      </c>
      <c r="K2096" s="1" t="s">
        <v>4376</v>
      </c>
      <c r="L2096" s="1" t="s">
        <v>1279</v>
      </c>
      <c r="M2096" s="36" t="s">
        <v>1371</v>
      </c>
      <c r="N2096" s="1" t="s">
        <v>3083</v>
      </c>
      <c r="O2096" s="1" t="s">
        <v>1286</v>
      </c>
      <c r="P2096" s="34" t="str">
        <f t="shared" si="43"/>
        <v>F010</v>
      </c>
      <c r="Q2096" s="1" t="s">
        <v>137</v>
      </c>
      <c r="S2096" s="16">
        <v>20</v>
      </c>
      <c r="T2096" s="1" t="s">
        <v>4315</v>
      </c>
      <c r="U2096" s="1" t="s">
        <v>1775</v>
      </c>
      <c r="V2096" s="1" t="s">
        <v>1670</v>
      </c>
      <c r="Y2096" s="1">
        <v>86000</v>
      </c>
      <c r="AB2096" s="1">
        <v>81700</v>
      </c>
    </row>
    <row r="2097" spans="2:28" x14ac:dyDescent="0.2">
      <c r="B2097" s="30" t="s">
        <v>2294</v>
      </c>
      <c r="C2097" s="36"/>
      <c r="D2097" s="36"/>
      <c r="F2097" s="1" t="s">
        <v>4316</v>
      </c>
      <c r="G2097" s="30" t="s">
        <v>4377</v>
      </c>
      <c r="K2097" s="1" t="s">
        <v>4378</v>
      </c>
      <c r="L2097" s="1" t="s">
        <v>1279</v>
      </c>
      <c r="M2097" s="36" t="s">
        <v>1879</v>
      </c>
      <c r="N2097" s="1" t="s">
        <v>3083</v>
      </c>
      <c r="O2097" s="1" t="s">
        <v>1286</v>
      </c>
      <c r="P2097" s="34" t="str">
        <f t="shared" si="43"/>
        <v>F010</v>
      </c>
      <c r="Q2097" s="1" t="s">
        <v>137</v>
      </c>
      <c r="S2097" s="16">
        <v>20</v>
      </c>
      <c r="T2097" s="1" t="s">
        <v>3093</v>
      </c>
      <c r="U2097" s="1" t="s">
        <v>1343</v>
      </c>
      <c r="V2097" s="1" t="s">
        <v>2255</v>
      </c>
      <c r="Y2097" s="1">
        <v>47500</v>
      </c>
      <c r="AB2097" s="1">
        <v>45125</v>
      </c>
    </row>
    <row r="2098" spans="2:28" x14ac:dyDescent="0.2">
      <c r="B2098" s="30" t="s">
        <v>2294</v>
      </c>
      <c r="C2098" s="36"/>
      <c r="D2098" s="36"/>
      <c r="F2098" s="1" t="s">
        <v>3094</v>
      </c>
      <c r="G2098" s="30" t="s">
        <v>4377</v>
      </c>
      <c r="K2098" s="1" t="s">
        <v>4379</v>
      </c>
      <c r="L2098" s="1" t="s">
        <v>1279</v>
      </c>
      <c r="M2098" s="36" t="s">
        <v>1879</v>
      </c>
      <c r="N2098" s="1" t="s">
        <v>2546</v>
      </c>
      <c r="O2098" s="1" t="s">
        <v>1286</v>
      </c>
      <c r="P2098" s="34" t="str">
        <f t="shared" si="43"/>
        <v>F010</v>
      </c>
      <c r="Q2098" s="1" t="s">
        <v>127</v>
      </c>
      <c r="S2098" s="16">
        <v>20</v>
      </c>
      <c r="T2098" s="1" t="s">
        <v>4315</v>
      </c>
      <c r="U2098" s="1" t="s">
        <v>1343</v>
      </c>
      <c r="V2098" s="1" t="s">
        <v>2255</v>
      </c>
      <c r="Y2098" s="1">
        <v>47500</v>
      </c>
      <c r="AB2098" s="1">
        <v>45125</v>
      </c>
    </row>
    <row r="2099" spans="2:28" x14ac:dyDescent="0.2">
      <c r="B2099" s="30" t="s">
        <v>2294</v>
      </c>
      <c r="C2099" s="36"/>
      <c r="D2099" s="36"/>
      <c r="F2099" s="1" t="s">
        <v>4316</v>
      </c>
      <c r="G2099" s="30" t="s">
        <v>4377</v>
      </c>
      <c r="K2099" s="1" t="s">
        <v>4380</v>
      </c>
      <c r="L2099" s="1" t="s">
        <v>1279</v>
      </c>
      <c r="M2099" s="36" t="s">
        <v>2393</v>
      </c>
      <c r="N2099" s="1" t="s">
        <v>1687</v>
      </c>
      <c r="O2099" s="1" t="s">
        <v>1286</v>
      </c>
      <c r="P2099" s="34" t="str">
        <f t="shared" si="43"/>
        <v>F010</v>
      </c>
      <c r="Q2099" s="1" t="s">
        <v>129</v>
      </c>
      <c r="S2099" s="16">
        <v>20</v>
      </c>
      <c r="T2099" s="1" t="s">
        <v>3430</v>
      </c>
      <c r="U2099" s="1" t="s">
        <v>2395</v>
      </c>
      <c r="V2099" s="1" t="s">
        <v>2208</v>
      </c>
      <c r="Y2099" s="1">
        <v>47500</v>
      </c>
      <c r="AB2099" s="1">
        <v>45125</v>
      </c>
    </row>
    <row r="2100" spans="2:28" x14ac:dyDescent="0.2">
      <c r="B2100" s="30" t="s">
        <v>2294</v>
      </c>
      <c r="C2100" s="36"/>
      <c r="D2100" s="36"/>
      <c r="F2100" s="1" t="s">
        <v>3431</v>
      </c>
      <c r="G2100" s="30" t="s">
        <v>4377</v>
      </c>
      <c r="K2100" s="1" t="s">
        <v>4381</v>
      </c>
      <c r="L2100" s="1" t="s">
        <v>1279</v>
      </c>
      <c r="M2100" s="36" t="s">
        <v>2393</v>
      </c>
      <c r="N2100" s="1" t="s">
        <v>1687</v>
      </c>
      <c r="O2100" s="1" t="s">
        <v>1286</v>
      </c>
      <c r="P2100" s="34" t="str">
        <f t="shared" si="43"/>
        <v>F010</v>
      </c>
      <c r="Q2100" s="1" t="s">
        <v>129</v>
      </c>
      <c r="S2100" s="16">
        <v>20</v>
      </c>
      <c r="T2100" s="1" t="s">
        <v>4315</v>
      </c>
      <c r="U2100" s="1" t="s">
        <v>2395</v>
      </c>
      <c r="V2100" s="1" t="s">
        <v>2208</v>
      </c>
      <c r="Y2100" s="1">
        <v>47500</v>
      </c>
      <c r="AB2100" s="1">
        <v>45125</v>
      </c>
    </row>
    <row r="2101" spans="2:28" x14ac:dyDescent="0.2">
      <c r="B2101" s="30" t="s">
        <v>2294</v>
      </c>
      <c r="C2101" s="36"/>
      <c r="D2101" s="36"/>
      <c r="F2101" s="1" t="s">
        <v>4316</v>
      </c>
      <c r="G2101" s="30" t="s">
        <v>4382</v>
      </c>
      <c r="K2101" s="1" t="s">
        <v>4383</v>
      </c>
      <c r="L2101" s="1" t="s">
        <v>1279</v>
      </c>
      <c r="M2101" s="36" t="s">
        <v>2393</v>
      </c>
      <c r="N2101" s="1" t="s">
        <v>1288</v>
      </c>
      <c r="O2101" s="1" t="s">
        <v>1286</v>
      </c>
      <c r="P2101" s="34" t="str">
        <f t="shared" si="43"/>
        <v>F010</v>
      </c>
      <c r="Q2101" s="1" t="s">
        <v>1296</v>
      </c>
      <c r="S2101" s="16">
        <v>20</v>
      </c>
      <c r="T2101" s="1" t="s">
        <v>3111</v>
      </c>
      <c r="U2101" s="1" t="s">
        <v>2395</v>
      </c>
      <c r="V2101" s="1" t="s">
        <v>2208</v>
      </c>
      <c r="Y2101" s="1">
        <v>11500</v>
      </c>
      <c r="AB2101" s="1">
        <v>10925</v>
      </c>
    </row>
    <row r="2102" spans="2:28" x14ac:dyDescent="0.2">
      <c r="B2102" s="30" t="s">
        <v>2294</v>
      </c>
      <c r="C2102" s="36"/>
      <c r="D2102" s="36"/>
      <c r="F2102" s="1" t="s">
        <v>3112</v>
      </c>
      <c r="G2102" s="30" t="s">
        <v>4382</v>
      </c>
      <c r="K2102" s="1" t="s">
        <v>4384</v>
      </c>
      <c r="L2102" s="1" t="s">
        <v>1279</v>
      </c>
      <c r="M2102" s="36" t="s">
        <v>2393</v>
      </c>
      <c r="N2102" s="1" t="s">
        <v>2400</v>
      </c>
      <c r="O2102" s="1" t="s">
        <v>1286</v>
      </c>
      <c r="P2102" s="34" t="str">
        <f t="shared" si="43"/>
        <v>F010</v>
      </c>
      <c r="Q2102" s="1" t="s">
        <v>137</v>
      </c>
      <c r="S2102" s="16">
        <v>20</v>
      </c>
      <c r="T2102" s="1" t="s">
        <v>4315</v>
      </c>
      <c r="U2102" s="1" t="s">
        <v>2395</v>
      </c>
      <c r="V2102" s="1" t="s">
        <v>2208</v>
      </c>
      <c r="Y2102" s="1">
        <v>11500</v>
      </c>
      <c r="AB2102" s="1">
        <v>10925</v>
      </c>
    </row>
    <row r="2103" spans="2:28" x14ac:dyDescent="0.2">
      <c r="B2103" s="30" t="s">
        <v>2294</v>
      </c>
      <c r="C2103" s="36"/>
      <c r="D2103" s="36"/>
      <c r="F2103" s="1" t="s">
        <v>4316</v>
      </c>
      <c r="G2103" s="30" t="s">
        <v>4385</v>
      </c>
      <c r="K2103" s="1" t="s">
        <v>4386</v>
      </c>
      <c r="L2103" s="1" t="s">
        <v>1279</v>
      </c>
      <c r="M2103" s="36" t="s">
        <v>1439</v>
      </c>
      <c r="N2103" s="1" t="s">
        <v>1287</v>
      </c>
      <c r="O2103" s="1" t="s">
        <v>1286</v>
      </c>
      <c r="P2103" s="34" t="str">
        <f t="shared" si="43"/>
        <v>F010</v>
      </c>
      <c r="Q2103" s="1" t="s">
        <v>138</v>
      </c>
      <c r="S2103" s="16">
        <v>20</v>
      </c>
      <c r="T2103" s="1" t="s">
        <v>4387</v>
      </c>
      <c r="U2103" s="1" t="s">
        <v>1821</v>
      </c>
      <c r="V2103" s="1" t="s">
        <v>2244</v>
      </c>
      <c r="Y2103" s="1">
        <v>50451.57</v>
      </c>
      <c r="AB2103" s="1">
        <v>47928.99</v>
      </c>
    </row>
    <row r="2104" spans="2:28" x14ac:dyDescent="0.2">
      <c r="B2104" s="30" t="s">
        <v>2294</v>
      </c>
      <c r="C2104" s="36"/>
      <c r="D2104" s="36"/>
      <c r="F2104" s="1" t="s">
        <v>4388</v>
      </c>
      <c r="G2104" s="30" t="s">
        <v>4385</v>
      </c>
      <c r="K2104" s="1" t="s">
        <v>4389</v>
      </c>
      <c r="L2104" s="1" t="s">
        <v>1279</v>
      </c>
      <c r="M2104" s="36" t="s">
        <v>2360</v>
      </c>
      <c r="N2104" s="1" t="s">
        <v>1287</v>
      </c>
      <c r="O2104" s="1" t="s">
        <v>1286</v>
      </c>
      <c r="P2104" s="34" t="str">
        <f t="shared" si="43"/>
        <v>F010</v>
      </c>
      <c r="Q2104" s="1" t="s">
        <v>138</v>
      </c>
      <c r="S2104" s="16">
        <v>20</v>
      </c>
      <c r="T2104" s="1" t="s">
        <v>4387</v>
      </c>
      <c r="U2104" s="1" t="s">
        <v>2313</v>
      </c>
      <c r="V2104" s="1" t="s">
        <v>2361</v>
      </c>
      <c r="Y2104" s="1">
        <v>195200.36</v>
      </c>
      <c r="AB2104" s="1">
        <v>185440.34</v>
      </c>
    </row>
    <row r="2105" spans="2:28" x14ac:dyDescent="0.2">
      <c r="B2105" s="30" t="s">
        <v>2294</v>
      </c>
      <c r="C2105" s="36"/>
      <c r="D2105" s="36"/>
      <c r="F2105" s="1" t="s">
        <v>4388</v>
      </c>
      <c r="G2105" s="30" t="s">
        <v>4385</v>
      </c>
      <c r="K2105" s="1" t="s">
        <v>4390</v>
      </c>
      <c r="L2105" s="1" t="s">
        <v>1279</v>
      </c>
      <c r="M2105" s="36" t="s">
        <v>2313</v>
      </c>
      <c r="N2105" s="1" t="s">
        <v>1287</v>
      </c>
      <c r="O2105" s="1" t="s">
        <v>1286</v>
      </c>
      <c r="P2105" s="34" t="str">
        <f t="shared" si="43"/>
        <v>F010</v>
      </c>
      <c r="Q2105" s="1" t="s">
        <v>138</v>
      </c>
      <c r="S2105" s="16">
        <v>20</v>
      </c>
      <c r="T2105" s="1" t="s">
        <v>3101</v>
      </c>
      <c r="U2105" s="1" t="s">
        <v>1325</v>
      </c>
      <c r="V2105" s="1" t="s">
        <v>1994</v>
      </c>
      <c r="Y2105" s="1">
        <v>201725</v>
      </c>
      <c r="AB2105" s="1">
        <v>191638.75</v>
      </c>
    </row>
    <row r="2106" spans="2:28" x14ac:dyDescent="0.2">
      <c r="B2106" s="30" t="s">
        <v>2294</v>
      </c>
      <c r="C2106" s="36"/>
      <c r="D2106" s="36"/>
      <c r="F2106" s="1" t="s">
        <v>3102</v>
      </c>
      <c r="G2106" s="30" t="s">
        <v>4385</v>
      </c>
      <c r="K2106" s="1" t="s">
        <v>4391</v>
      </c>
      <c r="L2106" s="1" t="s">
        <v>1279</v>
      </c>
      <c r="M2106" s="36" t="s">
        <v>2528</v>
      </c>
      <c r="N2106" s="1" t="s">
        <v>1287</v>
      </c>
      <c r="O2106" s="1" t="s">
        <v>1286</v>
      </c>
      <c r="P2106" s="34" t="str">
        <f t="shared" si="43"/>
        <v>F010</v>
      </c>
      <c r="Q2106" s="1" t="s">
        <v>138</v>
      </c>
      <c r="S2106" s="16">
        <v>20</v>
      </c>
      <c r="T2106" s="1" t="s">
        <v>4392</v>
      </c>
      <c r="U2106" s="1" t="s">
        <v>2054</v>
      </c>
      <c r="V2106" s="1" t="s">
        <v>1334</v>
      </c>
      <c r="Y2106" s="1">
        <v>36395</v>
      </c>
      <c r="AB2106" s="1">
        <v>34575.25</v>
      </c>
    </row>
    <row r="2107" spans="2:28" x14ac:dyDescent="0.2">
      <c r="B2107" s="30" t="s">
        <v>2294</v>
      </c>
      <c r="C2107" s="36"/>
      <c r="D2107" s="36"/>
      <c r="F2107" s="1" t="s">
        <v>4393</v>
      </c>
      <c r="G2107" s="30" t="s">
        <v>4385</v>
      </c>
      <c r="K2107" s="1" t="s">
        <v>4394</v>
      </c>
      <c r="L2107" s="1" t="s">
        <v>1279</v>
      </c>
      <c r="M2107" s="36" t="s">
        <v>2528</v>
      </c>
      <c r="N2107" s="1" t="s">
        <v>1287</v>
      </c>
      <c r="O2107" s="1" t="s">
        <v>1286</v>
      </c>
      <c r="P2107" s="34" t="str">
        <f t="shared" si="43"/>
        <v>F010</v>
      </c>
      <c r="Q2107" s="1" t="s">
        <v>138</v>
      </c>
      <c r="S2107" s="16">
        <v>20</v>
      </c>
      <c r="T2107" s="1" t="s">
        <v>4387</v>
      </c>
      <c r="U2107" s="1" t="s">
        <v>2054</v>
      </c>
      <c r="V2107" s="1" t="s">
        <v>1334</v>
      </c>
      <c r="Y2107" s="1">
        <v>36395</v>
      </c>
      <c r="AB2107" s="1">
        <v>34575.25</v>
      </c>
    </row>
    <row r="2108" spans="2:28" x14ac:dyDescent="0.2">
      <c r="B2108" s="30" t="s">
        <v>2294</v>
      </c>
      <c r="C2108" s="36"/>
      <c r="D2108" s="36"/>
      <c r="F2108" s="1" t="s">
        <v>4388</v>
      </c>
      <c r="G2108" s="30" t="s">
        <v>4385</v>
      </c>
      <c r="K2108" s="1" t="s">
        <v>4395</v>
      </c>
      <c r="L2108" s="1" t="s">
        <v>1279</v>
      </c>
      <c r="M2108" s="36" t="s">
        <v>2528</v>
      </c>
      <c r="N2108" s="1" t="s">
        <v>1287</v>
      </c>
      <c r="O2108" s="1" t="s">
        <v>1286</v>
      </c>
      <c r="P2108" s="34" t="str">
        <f t="shared" si="43"/>
        <v>F010</v>
      </c>
      <c r="Q2108" s="1" t="s">
        <v>138</v>
      </c>
      <c r="S2108" s="16">
        <v>20</v>
      </c>
      <c r="T2108" s="1" t="s">
        <v>4387</v>
      </c>
      <c r="U2108" s="1" t="s">
        <v>2054</v>
      </c>
      <c r="V2108" s="1" t="s">
        <v>1334</v>
      </c>
      <c r="Y2108" s="1">
        <v>13355</v>
      </c>
      <c r="AB2108" s="1">
        <v>12687.25</v>
      </c>
    </row>
    <row r="2109" spans="2:28" x14ac:dyDescent="0.2">
      <c r="B2109" s="30" t="s">
        <v>2294</v>
      </c>
      <c r="C2109" s="36"/>
      <c r="D2109" s="36"/>
      <c r="F2109" s="1" t="s">
        <v>4388</v>
      </c>
      <c r="G2109" s="30" t="s">
        <v>4385</v>
      </c>
      <c r="K2109" s="1" t="s">
        <v>4396</v>
      </c>
      <c r="L2109" s="1" t="s">
        <v>1279</v>
      </c>
      <c r="M2109" s="36" t="s">
        <v>2528</v>
      </c>
      <c r="N2109" s="1" t="s">
        <v>1287</v>
      </c>
      <c r="O2109" s="1" t="s">
        <v>1286</v>
      </c>
      <c r="P2109" s="34" t="str">
        <f t="shared" si="43"/>
        <v>F010</v>
      </c>
      <c r="Q2109" s="1" t="s">
        <v>138</v>
      </c>
      <c r="S2109" s="16">
        <v>20</v>
      </c>
      <c r="T2109" s="1" t="s">
        <v>3413</v>
      </c>
      <c r="U2109" s="1" t="s">
        <v>2054</v>
      </c>
      <c r="V2109" s="1" t="s">
        <v>1334</v>
      </c>
      <c r="Y2109" s="1">
        <v>13355</v>
      </c>
      <c r="AB2109" s="1">
        <v>12687.25</v>
      </c>
    </row>
    <row r="2110" spans="2:28" x14ac:dyDescent="0.2">
      <c r="B2110" s="30" t="s">
        <v>2294</v>
      </c>
      <c r="C2110" s="36"/>
      <c r="D2110" s="36"/>
      <c r="F2110" s="1" t="s">
        <v>3414</v>
      </c>
      <c r="G2110" s="30" t="s">
        <v>4385</v>
      </c>
      <c r="K2110" s="1" t="s">
        <v>4397</v>
      </c>
      <c r="L2110" s="1" t="s">
        <v>1279</v>
      </c>
      <c r="M2110" s="36" t="s">
        <v>2528</v>
      </c>
      <c r="N2110" s="1" t="s">
        <v>1284</v>
      </c>
      <c r="O2110" s="1" t="s">
        <v>1286</v>
      </c>
      <c r="P2110" s="34" t="str">
        <f t="shared" si="43"/>
        <v>F010</v>
      </c>
      <c r="Q2110" s="1" t="s">
        <v>138</v>
      </c>
      <c r="S2110" s="16">
        <v>20</v>
      </c>
      <c r="T2110" s="1" t="s">
        <v>2299</v>
      </c>
      <c r="U2110" s="1" t="s">
        <v>2054</v>
      </c>
      <c r="V2110" s="1" t="s">
        <v>1334</v>
      </c>
      <c r="Y2110" s="1">
        <v>8250</v>
      </c>
      <c r="AB2110" s="1">
        <v>7837.5</v>
      </c>
    </row>
    <row r="2111" spans="2:28" x14ac:dyDescent="0.2">
      <c r="B2111" s="30" t="s">
        <v>2294</v>
      </c>
      <c r="C2111" s="36"/>
      <c r="D2111" s="36"/>
      <c r="F2111" s="1" t="s">
        <v>1322</v>
      </c>
      <c r="G2111" s="30" t="s">
        <v>4385</v>
      </c>
      <c r="K2111" s="1" t="s">
        <v>4398</v>
      </c>
      <c r="L2111" s="1" t="s">
        <v>1279</v>
      </c>
      <c r="M2111" s="36" t="s">
        <v>2528</v>
      </c>
      <c r="N2111" s="1" t="s">
        <v>1284</v>
      </c>
      <c r="O2111" s="1" t="s">
        <v>1286</v>
      </c>
      <c r="P2111" s="34" t="str">
        <f t="shared" si="43"/>
        <v>F010</v>
      </c>
      <c r="Q2111" s="1" t="s">
        <v>138</v>
      </c>
      <c r="S2111" s="16">
        <v>20</v>
      </c>
      <c r="T2111" s="1" t="s">
        <v>4387</v>
      </c>
      <c r="U2111" s="1" t="s">
        <v>2054</v>
      </c>
      <c r="V2111" s="1" t="s">
        <v>1334</v>
      </c>
      <c r="Y2111" s="1">
        <v>8250</v>
      </c>
      <c r="AB2111" s="1">
        <v>7837.5</v>
      </c>
    </row>
    <row r="2112" spans="2:28" x14ac:dyDescent="0.2">
      <c r="B2112" s="30" t="s">
        <v>2294</v>
      </c>
      <c r="C2112" s="36"/>
      <c r="D2112" s="36"/>
      <c r="F2112" s="1" t="s">
        <v>4388</v>
      </c>
      <c r="G2112" s="30" t="s">
        <v>4385</v>
      </c>
      <c r="K2112" s="1" t="s">
        <v>4399</v>
      </c>
      <c r="L2112" s="1" t="s">
        <v>1279</v>
      </c>
      <c r="M2112" s="36" t="s">
        <v>2528</v>
      </c>
      <c r="N2112" s="1" t="s">
        <v>1284</v>
      </c>
      <c r="O2112" s="1" t="s">
        <v>1286</v>
      </c>
      <c r="P2112" s="34" t="str">
        <f t="shared" si="43"/>
        <v>F010</v>
      </c>
      <c r="Q2112" s="1" t="s">
        <v>138</v>
      </c>
      <c r="S2112" s="16">
        <v>20</v>
      </c>
      <c r="T2112" s="1" t="s">
        <v>4387</v>
      </c>
      <c r="U2112" s="1" t="s">
        <v>2054</v>
      </c>
      <c r="V2112" s="1" t="s">
        <v>1334</v>
      </c>
      <c r="Y2112" s="1">
        <v>8250</v>
      </c>
      <c r="AB2112" s="1">
        <v>7837.5</v>
      </c>
    </row>
    <row r="2113" spans="2:28" x14ac:dyDescent="0.2">
      <c r="B2113" s="30" t="s">
        <v>2294</v>
      </c>
      <c r="C2113" s="36"/>
      <c r="D2113" s="36"/>
      <c r="F2113" s="1" t="s">
        <v>4388</v>
      </c>
      <c r="G2113" s="30" t="s">
        <v>4385</v>
      </c>
      <c r="K2113" s="1" t="s">
        <v>4400</v>
      </c>
      <c r="L2113" s="1" t="s">
        <v>1279</v>
      </c>
      <c r="M2113" s="36" t="s">
        <v>2528</v>
      </c>
      <c r="N2113" s="1" t="s">
        <v>1284</v>
      </c>
      <c r="O2113" s="1" t="s">
        <v>1286</v>
      </c>
      <c r="P2113" s="34" t="str">
        <f t="shared" si="43"/>
        <v>F010</v>
      </c>
      <c r="Q2113" s="1" t="s">
        <v>138</v>
      </c>
      <c r="S2113" s="16">
        <v>20</v>
      </c>
      <c r="T2113" s="1" t="s">
        <v>3551</v>
      </c>
      <c r="U2113" s="1" t="s">
        <v>2054</v>
      </c>
      <c r="V2113" s="1" t="s">
        <v>1334</v>
      </c>
      <c r="Y2113" s="1">
        <v>8250</v>
      </c>
      <c r="AB2113" s="1">
        <v>7837.5</v>
      </c>
    </row>
    <row r="2114" spans="2:28" x14ac:dyDescent="0.2">
      <c r="B2114" s="30" t="s">
        <v>2294</v>
      </c>
      <c r="C2114" s="36"/>
      <c r="D2114" s="36"/>
      <c r="F2114" s="1" t="s">
        <v>3552</v>
      </c>
      <c r="G2114" s="30" t="s">
        <v>4385</v>
      </c>
      <c r="K2114" s="1" t="s">
        <v>4401</v>
      </c>
      <c r="L2114" s="1" t="s">
        <v>1279</v>
      </c>
      <c r="M2114" s="36" t="s">
        <v>2528</v>
      </c>
      <c r="N2114" s="1" t="s">
        <v>1284</v>
      </c>
      <c r="O2114" s="1" t="s">
        <v>1286</v>
      </c>
      <c r="P2114" s="34" t="str">
        <f t="shared" si="43"/>
        <v>F010</v>
      </c>
      <c r="Q2114" s="1" t="s">
        <v>138</v>
      </c>
      <c r="S2114" s="16">
        <v>20</v>
      </c>
      <c r="T2114" s="1" t="s">
        <v>2299</v>
      </c>
      <c r="U2114" s="1" t="s">
        <v>2054</v>
      </c>
      <c r="V2114" s="1" t="s">
        <v>1334</v>
      </c>
      <c r="Y2114" s="1">
        <v>8000</v>
      </c>
      <c r="AB2114" s="1">
        <v>7600</v>
      </c>
    </row>
    <row r="2115" spans="2:28" x14ac:dyDescent="0.2">
      <c r="B2115" s="30" t="s">
        <v>2294</v>
      </c>
      <c r="C2115" s="36"/>
      <c r="D2115" s="36"/>
      <c r="F2115" s="1" t="s">
        <v>1322</v>
      </c>
      <c r="G2115" s="30" t="s">
        <v>4402</v>
      </c>
      <c r="K2115" s="1" t="s">
        <v>4403</v>
      </c>
      <c r="L2115" s="1" t="s">
        <v>1279</v>
      </c>
      <c r="M2115" s="36" t="s">
        <v>1510</v>
      </c>
      <c r="N2115" s="1" t="s">
        <v>1287</v>
      </c>
      <c r="O2115" s="1" t="s">
        <v>1286</v>
      </c>
      <c r="P2115" s="34" t="str">
        <f t="shared" si="43"/>
        <v>F010</v>
      </c>
      <c r="Q2115" s="1" t="s">
        <v>138</v>
      </c>
      <c r="S2115" s="16">
        <v>20</v>
      </c>
      <c r="T2115" s="1" t="s">
        <v>4387</v>
      </c>
      <c r="U2115" s="1" t="s">
        <v>1413</v>
      </c>
      <c r="V2115" s="1" t="s">
        <v>1560</v>
      </c>
      <c r="Y2115" s="1">
        <v>66519.88</v>
      </c>
      <c r="AB2115" s="1">
        <v>63193.89</v>
      </c>
    </row>
    <row r="2116" spans="2:28" x14ac:dyDescent="0.2">
      <c r="B2116" s="30" t="s">
        <v>2294</v>
      </c>
      <c r="C2116" s="36"/>
      <c r="D2116" s="36"/>
      <c r="F2116" s="1" t="s">
        <v>4388</v>
      </c>
      <c r="G2116" s="30" t="s">
        <v>4404</v>
      </c>
      <c r="K2116" s="1" t="s">
        <v>4405</v>
      </c>
      <c r="L2116" s="1" t="s">
        <v>1279</v>
      </c>
      <c r="M2116" s="36" t="s">
        <v>1510</v>
      </c>
      <c r="N2116" s="1" t="s">
        <v>1287</v>
      </c>
      <c r="O2116" s="1" t="s">
        <v>1286</v>
      </c>
      <c r="P2116" s="34" t="str">
        <f t="shared" si="43"/>
        <v>F010</v>
      </c>
      <c r="Q2116" s="1" t="s">
        <v>138</v>
      </c>
      <c r="S2116" s="16">
        <v>20</v>
      </c>
      <c r="T2116" s="1" t="s">
        <v>4387</v>
      </c>
      <c r="U2116" s="1" t="s">
        <v>1413</v>
      </c>
      <c r="V2116" s="1" t="s">
        <v>1560</v>
      </c>
      <c r="Y2116" s="1">
        <v>72519.89</v>
      </c>
      <c r="AB2116" s="1">
        <v>68893.89</v>
      </c>
    </row>
    <row r="2117" spans="2:28" x14ac:dyDescent="0.2">
      <c r="B2117" s="30" t="s">
        <v>2294</v>
      </c>
      <c r="C2117" s="36"/>
      <c r="D2117" s="36"/>
      <c r="F2117" s="1" t="s">
        <v>4388</v>
      </c>
      <c r="G2117" s="30" t="s">
        <v>4406</v>
      </c>
      <c r="K2117" s="1" t="s">
        <v>4407</v>
      </c>
      <c r="L2117" s="1" t="s">
        <v>1279</v>
      </c>
      <c r="M2117" s="36" t="s">
        <v>4408</v>
      </c>
      <c r="N2117" s="1" t="s">
        <v>1287</v>
      </c>
      <c r="O2117" s="1" t="s">
        <v>1286</v>
      </c>
      <c r="P2117" s="34" t="str">
        <f t="shared" si="43"/>
        <v>F010</v>
      </c>
      <c r="Q2117" s="1" t="s">
        <v>138</v>
      </c>
      <c r="S2117" s="16">
        <v>20</v>
      </c>
      <c r="T2117" s="1" t="s">
        <v>3244</v>
      </c>
      <c r="U2117" s="1" t="s">
        <v>4409</v>
      </c>
      <c r="V2117" s="1" t="s">
        <v>4410</v>
      </c>
      <c r="Y2117" s="1">
        <v>23403.27</v>
      </c>
      <c r="AB2117" s="1">
        <v>22233.11</v>
      </c>
    </row>
    <row r="2118" spans="2:28" x14ac:dyDescent="0.2">
      <c r="B2118" s="30" t="s">
        <v>2294</v>
      </c>
      <c r="C2118" s="36"/>
      <c r="D2118" s="36"/>
      <c r="F2118" s="1" t="s">
        <v>3245</v>
      </c>
      <c r="G2118" s="30" t="s">
        <v>4411</v>
      </c>
      <c r="K2118" s="1" t="s">
        <v>4412</v>
      </c>
      <c r="L2118" s="1" t="s">
        <v>1279</v>
      </c>
      <c r="M2118" s="36" t="s">
        <v>1510</v>
      </c>
      <c r="N2118" s="1" t="s">
        <v>1287</v>
      </c>
      <c r="O2118" s="1" t="s">
        <v>1286</v>
      </c>
      <c r="P2118" s="34" t="str">
        <f t="shared" si="43"/>
        <v>F010</v>
      </c>
      <c r="Q2118" s="1" t="s">
        <v>138</v>
      </c>
      <c r="S2118" s="16">
        <v>20</v>
      </c>
      <c r="T2118" s="1" t="s">
        <v>2299</v>
      </c>
      <c r="U2118" s="1" t="s">
        <v>1413</v>
      </c>
      <c r="V2118" s="1" t="s">
        <v>1560</v>
      </c>
      <c r="Y2118" s="1">
        <v>76419.88</v>
      </c>
      <c r="AB2118" s="1">
        <v>72598.89</v>
      </c>
    </row>
    <row r="2119" spans="2:28" x14ac:dyDescent="0.2">
      <c r="B2119" s="30" t="s">
        <v>2294</v>
      </c>
      <c r="C2119" s="36"/>
      <c r="D2119" s="36"/>
      <c r="F2119" s="1" t="s">
        <v>1322</v>
      </c>
      <c r="G2119" s="30" t="s">
        <v>4413</v>
      </c>
      <c r="K2119" s="1" t="s">
        <v>4414</v>
      </c>
      <c r="L2119" s="1" t="s">
        <v>1279</v>
      </c>
      <c r="M2119" s="36" t="s">
        <v>1977</v>
      </c>
      <c r="N2119" s="1" t="s">
        <v>1287</v>
      </c>
      <c r="O2119" s="1" t="s">
        <v>1286</v>
      </c>
      <c r="P2119" s="34" t="str">
        <f t="shared" si="43"/>
        <v>F010</v>
      </c>
      <c r="Q2119" s="1" t="s">
        <v>138</v>
      </c>
      <c r="S2119" s="16">
        <v>20</v>
      </c>
      <c r="T2119" s="1" t="s">
        <v>4387</v>
      </c>
      <c r="U2119" s="1" t="s">
        <v>4415</v>
      </c>
      <c r="V2119" s="1" t="s">
        <v>1963</v>
      </c>
      <c r="Y2119" s="1">
        <v>49140</v>
      </c>
      <c r="AB2119" s="1">
        <v>46683</v>
      </c>
    </row>
    <row r="2120" spans="2:28" x14ac:dyDescent="0.2">
      <c r="B2120" s="30" t="s">
        <v>2294</v>
      </c>
      <c r="C2120" s="36"/>
      <c r="D2120" s="36"/>
      <c r="F2120" s="1" t="s">
        <v>4388</v>
      </c>
      <c r="G2120" s="30" t="s">
        <v>4416</v>
      </c>
      <c r="K2120" s="1" t="s">
        <v>4417</v>
      </c>
      <c r="L2120" s="1" t="s">
        <v>1279</v>
      </c>
      <c r="M2120" s="36" t="s">
        <v>1510</v>
      </c>
      <c r="N2120" s="1" t="s">
        <v>1287</v>
      </c>
      <c r="O2120" s="1" t="s">
        <v>1286</v>
      </c>
      <c r="P2120" s="34" t="str">
        <f t="shared" si="43"/>
        <v>F010</v>
      </c>
      <c r="Q2120" s="1" t="s">
        <v>138</v>
      </c>
      <c r="S2120" s="16">
        <v>20</v>
      </c>
      <c r="T2120" s="1" t="s">
        <v>4315</v>
      </c>
      <c r="U2120" s="1" t="s">
        <v>1413</v>
      </c>
      <c r="V2120" s="1" t="s">
        <v>1560</v>
      </c>
      <c r="Y2120" s="1">
        <v>128719.88</v>
      </c>
      <c r="AB2120" s="1">
        <v>122283.89</v>
      </c>
    </row>
    <row r="2121" spans="2:28" x14ac:dyDescent="0.2">
      <c r="B2121" s="30" t="s">
        <v>2294</v>
      </c>
      <c r="C2121" s="36"/>
      <c r="D2121" s="36"/>
      <c r="F2121" s="1" t="s">
        <v>4316</v>
      </c>
      <c r="G2121" s="30" t="s">
        <v>4418</v>
      </c>
      <c r="K2121" s="1" t="s">
        <v>4419</v>
      </c>
      <c r="L2121" s="1" t="s">
        <v>1279</v>
      </c>
      <c r="M2121" s="36" t="s">
        <v>3938</v>
      </c>
      <c r="N2121" s="1" t="s">
        <v>1287</v>
      </c>
      <c r="O2121" s="1" t="s">
        <v>1286</v>
      </c>
      <c r="P2121" s="34" t="str">
        <f t="shared" si="43"/>
        <v>F010</v>
      </c>
      <c r="Q2121" s="1" t="s">
        <v>138</v>
      </c>
      <c r="S2121" s="16">
        <v>20</v>
      </c>
      <c r="T2121" s="1" t="s">
        <v>4315</v>
      </c>
      <c r="U2121" s="1" t="s">
        <v>1508</v>
      </c>
      <c r="V2121" s="1" t="s">
        <v>1883</v>
      </c>
      <c r="Y2121" s="1">
        <v>111969</v>
      </c>
      <c r="AB2121" s="1">
        <v>106370.55</v>
      </c>
    </row>
    <row r="2122" spans="2:28" x14ac:dyDescent="0.2">
      <c r="B2122" s="30" t="s">
        <v>2294</v>
      </c>
      <c r="C2122" s="36"/>
      <c r="D2122" s="36"/>
      <c r="F2122" s="1" t="s">
        <v>4316</v>
      </c>
      <c r="G2122" s="30" t="s">
        <v>4420</v>
      </c>
      <c r="K2122" s="1" t="s">
        <v>4421</v>
      </c>
      <c r="L2122" s="1" t="s">
        <v>1279</v>
      </c>
      <c r="M2122" s="36" t="s">
        <v>4422</v>
      </c>
      <c r="N2122" s="1" t="s">
        <v>1287</v>
      </c>
      <c r="O2122" s="1" t="s">
        <v>1286</v>
      </c>
      <c r="P2122" s="34" t="str">
        <f t="shared" si="43"/>
        <v>F010</v>
      </c>
      <c r="Q2122" s="1" t="s">
        <v>138</v>
      </c>
      <c r="S2122" s="16">
        <v>20</v>
      </c>
      <c r="T2122" s="1" t="s">
        <v>4315</v>
      </c>
      <c r="U2122" s="1" t="s">
        <v>2317</v>
      </c>
      <c r="V2122" s="1" t="s">
        <v>1343</v>
      </c>
      <c r="Y2122" s="1">
        <v>33222.15</v>
      </c>
      <c r="AB2122" s="1">
        <v>31561.040000000001</v>
      </c>
    </row>
    <row r="2123" spans="2:28" x14ac:dyDescent="0.2">
      <c r="B2123" s="30" t="s">
        <v>2294</v>
      </c>
      <c r="C2123" s="36"/>
      <c r="D2123" s="36"/>
      <c r="F2123" s="1" t="s">
        <v>4316</v>
      </c>
      <c r="G2123" s="30" t="s">
        <v>4423</v>
      </c>
      <c r="K2123" s="1" t="s">
        <v>4424</v>
      </c>
      <c r="L2123" s="1" t="s">
        <v>1279</v>
      </c>
      <c r="M2123" s="36" t="s">
        <v>1528</v>
      </c>
      <c r="N2123" s="1" t="s">
        <v>1287</v>
      </c>
      <c r="O2123" s="1" t="s">
        <v>1286</v>
      </c>
      <c r="P2123" s="34" t="str">
        <f t="shared" si="43"/>
        <v>F010</v>
      </c>
      <c r="Q2123" s="1" t="s">
        <v>138</v>
      </c>
      <c r="S2123" s="16">
        <v>20</v>
      </c>
      <c r="T2123" s="1" t="s">
        <v>4315</v>
      </c>
      <c r="U2123" s="1" t="s">
        <v>1900</v>
      </c>
      <c r="V2123" s="1" t="s">
        <v>2343</v>
      </c>
      <c r="Y2123" s="1">
        <v>144604</v>
      </c>
      <c r="AB2123" s="1">
        <v>137373.79999999999</v>
      </c>
    </row>
    <row r="2124" spans="2:28" x14ac:dyDescent="0.2">
      <c r="B2124" s="30" t="s">
        <v>2294</v>
      </c>
      <c r="C2124" s="36"/>
      <c r="D2124" s="36"/>
      <c r="F2124" s="1" t="s">
        <v>4316</v>
      </c>
      <c r="G2124" s="30" t="s">
        <v>4425</v>
      </c>
      <c r="K2124" s="1" t="s">
        <v>4426</v>
      </c>
      <c r="L2124" s="1" t="s">
        <v>1279</v>
      </c>
      <c r="M2124" s="36" t="s">
        <v>1528</v>
      </c>
      <c r="N2124" s="1" t="s">
        <v>1287</v>
      </c>
      <c r="O2124" s="1" t="s">
        <v>1286</v>
      </c>
      <c r="P2124" s="34" t="str">
        <f t="shared" si="43"/>
        <v>F010</v>
      </c>
      <c r="Q2124" s="1" t="s">
        <v>138</v>
      </c>
      <c r="S2124" s="16">
        <v>20</v>
      </c>
      <c r="T2124" s="1" t="s">
        <v>4315</v>
      </c>
      <c r="U2124" s="1" t="s">
        <v>1900</v>
      </c>
      <c r="V2124" s="1" t="s">
        <v>2343</v>
      </c>
      <c r="Y2124" s="1">
        <v>137154</v>
      </c>
      <c r="AB2124" s="1">
        <v>130296.3</v>
      </c>
    </row>
    <row r="2125" spans="2:28" x14ac:dyDescent="0.2">
      <c r="B2125" s="30" t="s">
        <v>2294</v>
      </c>
      <c r="C2125" s="36"/>
      <c r="D2125" s="36"/>
      <c r="F2125" s="1" t="s">
        <v>4316</v>
      </c>
      <c r="G2125" s="30" t="s">
        <v>4425</v>
      </c>
      <c r="K2125" s="1" t="s">
        <v>4427</v>
      </c>
      <c r="L2125" s="1" t="s">
        <v>1279</v>
      </c>
      <c r="M2125" s="36" t="s">
        <v>1528</v>
      </c>
      <c r="N2125" s="1" t="s">
        <v>1287</v>
      </c>
      <c r="O2125" s="1" t="s">
        <v>1286</v>
      </c>
      <c r="P2125" s="34" t="str">
        <f t="shared" si="43"/>
        <v>F010</v>
      </c>
      <c r="Q2125" s="1" t="s">
        <v>138</v>
      </c>
      <c r="S2125" s="16">
        <v>20</v>
      </c>
      <c r="T2125" s="1" t="s">
        <v>4315</v>
      </c>
      <c r="U2125" s="1" t="s">
        <v>1900</v>
      </c>
      <c r="V2125" s="1" t="s">
        <v>2343</v>
      </c>
      <c r="Y2125" s="1">
        <v>61814</v>
      </c>
      <c r="AB2125" s="1">
        <v>58723.3</v>
      </c>
    </row>
    <row r="2126" spans="2:28" x14ac:dyDescent="0.2">
      <c r="B2126" s="30" t="s">
        <v>2294</v>
      </c>
      <c r="C2126" s="36"/>
      <c r="D2126" s="36"/>
      <c r="F2126" s="1" t="s">
        <v>4316</v>
      </c>
      <c r="G2126" s="30" t="s">
        <v>4425</v>
      </c>
      <c r="K2126" s="1" t="s">
        <v>4428</v>
      </c>
      <c r="L2126" s="1" t="s">
        <v>1279</v>
      </c>
      <c r="M2126" s="36" t="s">
        <v>1528</v>
      </c>
      <c r="N2126" s="1" t="s">
        <v>1287</v>
      </c>
      <c r="O2126" s="1" t="s">
        <v>1286</v>
      </c>
      <c r="P2126" s="34" t="str">
        <f t="shared" si="43"/>
        <v>F010</v>
      </c>
      <c r="Q2126" s="1" t="s">
        <v>138</v>
      </c>
      <c r="S2126" s="16">
        <v>20</v>
      </c>
      <c r="T2126" s="1" t="s">
        <v>4315</v>
      </c>
      <c r="U2126" s="1" t="s">
        <v>1900</v>
      </c>
      <c r="V2126" s="1" t="s">
        <v>2343</v>
      </c>
      <c r="Y2126" s="1">
        <v>61814</v>
      </c>
      <c r="AB2126" s="1">
        <v>58723.3</v>
      </c>
    </row>
    <row r="2127" spans="2:28" x14ac:dyDescent="0.2">
      <c r="B2127" s="30" t="s">
        <v>2294</v>
      </c>
      <c r="C2127" s="36"/>
      <c r="D2127" s="36"/>
      <c r="F2127" s="1" t="s">
        <v>4316</v>
      </c>
      <c r="G2127" s="30" t="s">
        <v>4425</v>
      </c>
      <c r="K2127" s="1" t="s">
        <v>4429</v>
      </c>
      <c r="L2127" s="1" t="s">
        <v>1279</v>
      </c>
      <c r="M2127" s="36" t="s">
        <v>1528</v>
      </c>
      <c r="N2127" s="1" t="s">
        <v>1287</v>
      </c>
      <c r="O2127" s="1" t="s">
        <v>1286</v>
      </c>
      <c r="P2127" s="34" t="str">
        <f t="shared" si="43"/>
        <v>F010</v>
      </c>
      <c r="Q2127" s="1" t="s">
        <v>138</v>
      </c>
      <c r="S2127" s="16">
        <v>20</v>
      </c>
      <c r="T2127" s="1" t="s">
        <v>4315</v>
      </c>
      <c r="U2127" s="1" t="s">
        <v>1900</v>
      </c>
      <c r="V2127" s="1" t="s">
        <v>2343</v>
      </c>
      <c r="Y2127" s="1">
        <v>54965</v>
      </c>
      <c r="AB2127" s="1">
        <v>52216.75</v>
      </c>
    </row>
    <row r="2128" spans="2:28" x14ac:dyDescent="0.2">
      <c r="B2128" s="30" t="s">
        <v>2294</v>
      </c>
      <c r="C2128" s="36"/>
      <c r="D2128" s="36"/>
      <c r="F2128" s="1" t="s">
        <v>4316</v>
      </c>
      <c r="G2128" s="30" t="s">
        <v>4425</v>
      </c>
      <c r="K2128" s="1" t="s">
        <v>4430</v>
      </c>
      <c r="L2128" s="1" t="s">
        <v>1279</v>
      </c>
      <c r="M2128" s="36" t="s">
        <v>1528</v>
      </c>
      <c r="N2128" s="1" t="s">
        <v>1287</v>
      </c>
      <c r="O2128" s="1" t="s">
        <v>1286</v>
      </c>
      <c r="P2128" s="34" t="str">
        <f t="shared" si="43"/>
        <v>F010</v>
      </c>
      <c r="Q2128" s="1" t="s">
        <v>138</v>
      </c>
      <c r="S2128" s="16">
        <v>20</v>
      </c>
      <c r="T2128" s="1" t="s">
        <v>4315</v>
      </c>
      <c r="U2128" s="1" t="s">
        <v>1900</v>
      </c>
      <c r="V2128" s="1" t="s">
        <v>2343</v>
      </c>
      <c r="Y2128" s="1">
        <v>54965</v>
      </c>
      <c r="AB2128" s="1">
        <v>52216.75</v>
      </c>
    </row>
    <row r="2129" spans="2:28" x14ac:dyDescent="0.2">
      <c r="B2129" s="30" t="s">
        <v>2294</v>
      </c>
      <c r="C2129" s="36"/>
      <c r="D2129" s="36"/>
      <c r="F2129" s="1" t="s">
        <v>4316</v>
      </c>
      <c r="G2129" s="30" t="s">
        <v>4425</v>
      </c>
      <c r="K2129" s="1" t="s">
        <v>4431</v>
      </c>
      <c r="L2129" s="1" t="s">
        <v>1279</v>
      </c>
      <c r="M2129" s="36" t="s">
        <v>1528</v>
      </c>
      <c r="N2129" s="1" t="s">
        <v>1287</v>
      </c>
      <c r="O2129" s="1" t="s">
        <v>1286</v>
      </c>
      <c r="P2129" s="34" t="str">
        <f t="shared" si="43"/>
        <v>F010</v>
      </c>
      <c r="Q2129" s="1" t="s">
        <v>138</v>
      </c>
      <c r="S2129" s="16">
        <v>20</v>
      </c>
      <c r="T2129" s="1" t="s">
        <v>4315</v>
      </c>
      <c r="U2129" s="1" t="s">
        <v>1900</v>
      </c>
      <c r="V2129" s="1" t="s">
        <v>2343</v>
      </c>
      <c r="Y2129" s="1">
        <v>54965</v>
      </c>
      <c r="AB2129" s="1">
        <v>52216.75</v>
      </c>
    </row>
    <row r="2130" spans="2:28" x14ac:dyDescent="0.2">
      <c r="B2130" s="30" t="s">
        <v>2294</v>
      </c>
      <c r="C2130" s="36"/>
      <c r="D2130" s="36"/>
      <c r="F2130" s="1" t="s">
        <v>4316</v>
      </c>
      <c r="G2130" s="30" t="s">
        <v>4425</v>
      </c>
      <c r="K2130" s="1" t="s">
        <v>4432</v>
      </c>
      <c r="L2130" s="1" t="s">
        <v>1279</v>
      </c>
      <c r="M2130" s="36" t="s">
        <v>1528</v>
      </c>
      <c r="N2130" s="1" t="s">
        <v>1287</v>
      </c>
      <c r="O2130" s="1" t="s">
        <v>1286</v>
      </c>
      <c r="P2130" s="34" t="str">
        <f t="shared" si="43"/>
        <v>F010</v>
      </c>
      <c r="Q2130" s="1" t="s">
        <v>138</v>
      </c>
      <c r="S2130" s="16">
        <v>20</v>
      </c>
      <c r="T2130" s="1" t="s">
        <v>4315</v>
      </c>
      <c r="U2130" s="1" t="s">
        <v>1900</v>
      </c>
      <c r="V2130" s="1" t="s">
        <v>2343</v>
      </c>
      <c r="Y2130" s="1">
        <v>54965</v>
      </c>
      <c r="AB2130" s="1">
        <v>52216.75</v>
      </c>
    </row>
    <row r="2131" spans="2:28" x14ac:dyDescent="0.2">
      <c r="B2131" s="30" t="s">
        <v>2294</v>
      </c>
      <c r="C2131" s="36"/>
      <c r="D2131" s="36"/>
      <c r="F2131" s="1" t="s">
        <v>4316</v>
      </c>
      <c r="G2131" s="30" t="s">
        <v>4433</v>
      </c>
      <c r="K2131" s="1" t="s">
        <v>4434</v>
      </c>
      <c r="L2131" s="1" t="s">
        <v>1279</v>
      </c>
      <c r="M2131" s="36" t="s">
        <v>1977</v>
      </c>
      <c r="N2131" s="1" t="s">
        <v>1287</v>
      </c>
      <c r="O2131" s="1" t="s">
        <v>1286</v>
      </c>
      <c r="P2131" s="34" t="str">
        <f t="shared" si="43"/>
        <v>F010</v>
      </c>
      <c r="Q2131" s="1" t="s">
        <v>138</v>
      </c>
      <c r="S2131" s="16">
        <v>20</v>
      </c>
      <c r="T2131" s="1" t="s">
        <v>4315</v>
      </c>
      <c r="U2131" s="1" t="s">
        <v>4415</v>
      </c>
      <c r="V2131" s="1" t="s">
        <v>1963</v>
      </c>
      <c r="Y2131" s="1">
        <v>104000</v>
      </c>
      <c r="AB2131" s="1">
        <v>98800</v>
      </c>
    </row>
    <row r="2132" spans="2:28" x14ac:dyDescent="0.2">
      <c r="B2132" s="30" t="s">
        <v>2294</v>
      </c>
      <c r="C2132" s="36"/>
      <c r="D2132" s="36"/>
      <c r="F2132" s="1" t="s">
        <v>4316</v>
      </c>
      <c r="G2132" s="30" t="s">
        <v>4435</v>
      </c>
      <c r="K2132" s="1" t="s">
        <v>4436</v>
      </c>
      <c r="L2132" s="1" t="s">
        <v>1279</v>
      </c>
      <c r="M2132" s="36" t="s">
        <v>1894</v>
      </c>
      <c r="N2132" s="1" t="s">
        <v>1287</v>
      </c>
      <c r="O2132" s="1" t="s">
        <v>1286</v>
      </c>
      <c r="P2132" s="34" t="str">
        <f t="shared" si="43"/>
        <v>F010</v>
      </c>
      <c r="Q2132" s="1" t="s">
        <v>138</v>
      </c>
      <c r="S2132" s="16">
        <v>20</v>
      </c>
      <c r="T2132" s="1" t="s">
        <v>4315</v>
      </c>
      <c r="U2132" s="1" t="s">
        <v>1371</v>
      </c>
      <c r="V2132" s="1" t="s">
        <v>2057</v>
      </c>
      <c r="Y2132" s="1">
        <v>32350.5</v>
      </c>
      <c r="AB2132" s="1">
        <v>30732.97</v>
      </c>
    </row>
    <row r="2133" spans="2:28" x14ac:dyDescent="0.2">
      <c r="B2133" s="30" t="s">
        <v>2294</v>
      </c>
      <c r="C2133" s="36"/>
      <c r="D2133" s="36"/>
      <c r="F2133" s="1" t="s">
        <v>4316</v>
      </c>
      <c r="G2133" s="30" t="s">
        <v>4435</v>
      </c>
      <c r="K2133" s="1" t="s">
        <v>4437</v>
      </c>
      <c r="L2133" s="1" t="s">
        <v>1279</v>
      </c>
      <c r="M2133" s="36" t="s">
        <v>1894</v>
      </c>
      <c r="N2133" s="1" t="s">
        <v>1287</v>
      </c>
      <c r="O2133" s="1" t="s">
        <v>1286</v>
      </c>
      <c r="P2133" s="34" t="str">
        <f t="shared" si="43"/>
        <v>F010</v>
      </c>
      <c r="Q2133" s="1" t="s">
        <v>138</v>
      </c>
      <c r="S2133" s="16">
        <v>20</v>
      </c>
      <c r="T2133" s="1" t="s">
        <v>4315</v>
      </c>
      <c r="U2133" s="1" t="s">
        <v>1371</v>
      </c>
      <c r="V2133" s="1" t="s">
        <v>2057</v>
      </c>
      <c r="Y2133" s="1">
        <v>32350.5</v>
      </c>
      <c r="AB2133" s="1">
        <v>30732.97</v>
      </c>
    </row>
    <row r="2134" spans="2:28" x14ac:dyDescent="0.2">
      <c r="B2134" s="30" t="s">
        <v>2294</v>
      </c>
      <c r="C2134" s="36"/>
      <c r="D2134" s="36"/>
      <c r="F2134" s="1" t="s">
        <v>4316</v>
      </c>
      <c r="G2134" s="30" t="s">
        <v>4435</v>
      </c>
      <c r="K2134" s="1" t="s">
        <v>4438</v>
      </c>
      <c r="L2134" s="1" t="s">
        <v>1279</v>
      </c>
      <c r="M2134" s="36" t="s">
        <v>1894</v>
      </c>
      <c r="N2134" s="1" t="s">
        <v>1287</v>
      </c>
      <c r="O2134" s="1" t="s">
        <v>1286</v>
      </c>
      <c r="P2134" s="34" t="str">
        <f t="shared" si="43"/>
        <v>F010</v>
      </c>
      <c r="Q2134" s="1" t="s">
        <v>138</v>
      </c>
      <c r="S2134" s="16">
        <v>20</v>
      </c>
      <c r="T2134" s="1" t="s">
        <v>4315</v>
      </c>
      <c r="U2134" s="1" t="s">
        <v>1371</v>
      </c>
      <c r="V2134" s="1" t="s">
        <v>2057</v>
      </c>
      <c r="Y2134" s="1">
        <v>32350.5</v>
      </c>
      <c r="AB2134" s="1">
        <v>30732.97</v>
      </c>
    </row>
    <row r="2135" spans="2:28" x14ac:dyDescent="0.2">
      <c r="B2135" s="30" t="s">
        <v>2294</v>
      </c>
      <c r="C2135" s="36"/>
      <c r="D2135" s="36"/>
      <c r="F2135" s="1" t="s">
        <v>4316</v>
      </c>
      <c r="G2135" s="30" t="s">
        <v>4439</v>
      </c>
      <c r="K2135" s="1" t="s">
        <v>4440</v>
      </c>
      <c r="L2135" s="1" t="s">
        <v>1279</v>
      </c>
      <c r="M2135" s="36" t="s">
        <v>1540</v>
      </c>
      <c r="N2135" s="1" t="s">
        <v>1287</v>
      </c>
      <c r="O2135" s="1" t="s">
        <v>1286</v>
      </c>
      <c r="P2135" s="34" t="str">
        <f t="shared" si="43"/>
        <v>F010</v>
      </c>
      <c r="Q2135" s="1" t="s">
        <v>138</v>
      </c>
      <c r="S2135" s="16">
        <v>20</v>
      </c>
      <c r="T2135" s="1" t="s">
        <v>4315</v>
      </c>
      <c r="U2135" s="1" t="s">
        <v>2441</v>
      </c>
      <c r="V2135" s="1" t="s">
        <v>2442</v>
      </c>
      <c r="Y2135" s="1">
        <v>26434.959999999999</v>
      </c>
      <c r="AB2135" s="1">
        <v>25113.21</v>
      </c>
    </row>
    <row r="2136" spans="2:28" x14ac:dyDescent="0.2">
      <c r="B2136" s="30" t="s">
        <v>2294</v>
      </c>
      <c r="C2136" s="36"/>
      <c r="D2136" s="36"/>
      <c r="F2136" s="1" t="s">
        <v>4316</v>
      </c>
      <c r="G2136" s="30" t="s">
        <v>4441</v>
      </c>
      <c r="K2136" s="1" t="s">
        <v>4442</v>
      </c>
      <c r="L2136" s="1" t="s">
        <v>1279</v>
      </c>
      <c r="M2136" s="36" t="s">
        <v>1356</v>
      </c>
      <c r="N2136" s="1" t="s">
        <v>1284</v>
      </c>
      <c r="O2136" s="1" t="s">
        <v>1286</v>
      </c>
      <c r="P2136" s="34" t="str">
        <f t="shared" si="43"/>
        <v>F010</v>
      </c>
      <c r="Q2136" s="1" t="s">
        <v>127</v>
      </c>
      <c r="S2136" s="16">
        <v>20</v>
      </c>
      <c r="T2136" s="1" t="s">
        <v>4315</v>
      </c>
      <c r="U2136" s="1" t="s">
        <v>2442</v>
      </c>
      <c r="V2136" s="1" t="s">
        <v>2102</v>
      </c>
      <c r="Y2136" s="1">
        <v>41944.5</v>
      </c>
      <c r="AB2136" s="1">
        <v>39847.269999999997</v>
      </c>
    </row>
    <row r="2137" spans="2:28" x14ac:dyDescent="0.2">
      <c r="B2137" s="30" t="s">
        <v>2294</v>
      </c>
      <c r="C2137" s="36"/>
      <c r="D2137" s="36"/>
      <c r="F2137" s="1" t="s">
        <v>4316</v>
      </c>
      <c r="G2137" s="30" t="s">
        <v>4443</v>
      </c>
      <c r="K2137" s="1" t="s">
        <v>4444</v>
      </c>
      <c r="L2137" s="1" t="s">
        <v>1279</v>
      </c>
      <c r="M2137" s="36" t="s">
        <v>2528</v>
      </c>
      <c r="N2137" s="1" t="s">
        <v>1534</v>
      </c>
      <c r="O2137" s="1" t="s">
        <v>1286</v>
      </c>
      <c r="P2137" s="34" t="str">
        <f t="shared" si="43"/>
        <v>F010</v>
      </c>
      <c r="Q2137" s="1" t="s">
        <v>127</v>
      </c>
      <c r="S2137" s="16">
        <v>20</v>
      </c>
      <c r="T2137" s="1" t="s">
        <v>4315</v>
      </c>
      <c r="U2137" s="1" t="s">
        <v>2054</v>
      </c>
      <c r="V2137" s="1" t="s">
        <v>1334</v>
      </c>
      <c r="Y2137" s="1">
        <v>8083.8</v>
      </c>
      <c r="AB2137" s="1">
        <v>7679.61</v>
      </c>
    </row>
    <row r="2138" spans="2:28" x14ac:dyDescent="0.2">
      <c r="B2138" s="30" t="s">
        <v>2294</v>
      </c>
      <c r="C2138" s="36"/>
      <c r="D2138" s="36"/>
      <c r="F2138" s="1" t="s">
        <v>4316</v>
      </c>
      <c r="G2138" s="30" t="s">
        <v>4443</v>
      </c>
      <c r="K2138" s="1" t="s">
        <v>4445</v>
      </c>
      <c r="L2138" s="1" t="s">
        <v>1279</v>
      </c>
      <c r="M2138" s="36" t="s">
        <v>2528</v>
      </c>
      <c r="N2138" s="1" t="s">
        <v>1795</v>
      </c>
      <c r="O2138" s="1" t="s">
        <v>1286</v>
      </c>
      <c r="P2138" s="34" t="str">
        <f t="shared" si="43"/>
        <v>F010</v>
      </c>
      <c r="Q2138" s="1" t="s">
        <v>127</v>
      </c>
      <c r="S2138" s="16">
        <v>20</v>
      </c>
      <c r="T2138" s="1" t="s">
        <v>4315</v>
      </c>
      <c r="U2138" s="1" t="s">
        <v>2054</v>
      </c>
      <c r="V2138" s="1" t="s">
        <v>1334</v>
      </c>
      <c r="Y2138" s="1">
        <v>8083.8</v>
      </c>
      <c r="AB2138" s="1">
        <v>7679.61</v>
      </c>
    </row>
    <row r="2139" spans="2:28" x14ac:dyDescent="0.2">
      <c r="B2139" s="30" t="s">
        <v>2294</v>
      </c>
      <c r="C2139" s="36"/>
      <c r="D2139" s="36"/>
      <c r="F2139" s="1" t="s">
        <v>4316</v>
      </c>
      <c r="G2139" s="30" t="s">
        <v>4443</v>
      </c>
      <c r="K2139" s="1" t="s">
        <v>4446</v>
      </c>
      <c r="L2139" s="1" t="s">
        <v>1279</v>
      </c>
      <c r="M2139" s="36" t="s">
        <v>2528</v>
      </c>
      <c r="N2139" s="1" t="s">
        <v>2601</v>
      </c>
      <c r="O2139" s="1" t="s">
        <v>1286</v>
      </c>
      <c r="P2139" s="34" t="str">
        <f t="shared" si="43"/>
        <v>F010</v>
      </c>
      <c r="Q2139" s="1" t="s">
        <v>127</v>
      </c>
      <c r="S2139" s="16">
        <v>20</v>
      </c>
      <c r="T2139" s="1" t="s">
        <v>4315</v>
      </c>
      <c r="U2139" s="1" t="s">
        <v>2054</v>
      </c>
      <c r="V2139" s="1" t="s">
        <v>1334</v>
      </c>
      <c r="Y2139" s="1">
        <v>8083.8</v>
      </c>
      <c r="AB2139" s="1">
        <v>7679.61</v>
      </c>
    </row>
    <row r="2140" spans="2:28" x14ac:dyDescent="0.2">
      <c r="B2140" s="30" t="s">
        <v>2294</v>
      </c>
      <c r="C2140" s="36"/>
      <c r="D2140" s="36"/>
      <c r="F2140" s="1" t="s">
        <v>4316</v>
      </c>
      <c r="G2140" s="30" t="s">
        <v>4447</v>
      </c>
      <c r="K2140" s="1" t="s">
        <v>4448</v>
      </c>
      <c r="L2140" s="1" t="s">
        <v>1279</v>
      </c>
      <c r="M2140" s="36" t="s">
        <v>2084</v>
      </c>
      <c r="N2140" s="1" t="s">
        <v>2150</v>
      </c>
      <c r="O2140" s="1" t="s">
        <v>1286</v>
      </c>
      <c r="P2140" s="34" t="str">
        <f t="shared" si="43"/>
        <v>F010</v>
      </c>
      <c r="Q2140" s="1" t="s">
        <v>138</v>
      </c>
      <c r="S2140" s="16">
        <v>20</v>
      </c>
      <c r="T2140" s="1" t="s">
        <v>4315</v>
      </c>
      <c r="U2140" s="1" t="s">
        <v>2208</v>
      </c>
      <c r="V2140" s="1" t="s">
        <v>1441</v>
      </c>
      <c r="Y2140" s="1">
        <v>529800</v>
      </c>
      <c r="AB2140" s="1">
        <v>503310</v>
      </c>
    </row>
    <row r="2141" spans="2:28" x14ac:dyDescent="0.2">
      <c r="B2141" s="30" t="s">
        <v>2294</v>
      </c>
      <c r="C2141" s="36"/>
      <c r="D2141" s="36"/>
      <c r="F2141" s="1" t="s">
        <v>4316</v>
      </c>
      <c r="G2141" s="30" t="s">
        <v>4449</v>
      </c>
      <c r="K2141" s="1" t="s">
        <v>4450</v>
      </c>
      <c r="L2141" s="1" t="s">
        <v>1279</v>
      </c>
      <c r="M2141" s="36" t="s">
        <v>1826</v>
      </c>
      <c r="N2141" s="1" t="s">
        <v>2925</v>
      </c>
      <c r="O2141" s="1" t="s">
        <v>1286</v>
      </c>
      <c r="P2141" s="34" t="str">
        <f t="shared" si="43"/>
        <v>F010</v>
      </c>
      <c r="Q2141" s="1" t="s">
        <v>129</v>
      </c>
      <c r="S2141" s="16">
        <v>20</v>
      </c>
      <c r="T2141" s="1" t="s">
        <v>4315</v>
      </c>
      <c r="U2141" s="1" t="s">
        <v>4451</v>
      </c>
      <c r="V2141" s="1" t="s">
        <v>2859</v>
      </c>
      <c r="Y2141" s="1">
        <v>27650</v>
      </c>
      <c r="AB2141" s="1">
        <v>26267.5</v>
      </c>
    </row>
    <row r="2142" spans="2:28" x14ac:dyDescent="0.2">
      <c r="B2142" s="30" t="s">
        <v>2294</v>
      </c>
      <c r="C2142" s="36"/>
      <c r="D2142" s="36"/>
      <c r="F2142" s="1" t="s">
        <v>4316</v>
      </c>
      <c r="G2142" s="30" t="s">
        <v>4452</v>
      </c>
      <c r="K2142" s="1" t="s">
        <v>4453</v>
      </c>
      <c r="L2142" s="1" t="s">
        <v>1279</v>
      </c>
      <c r="M2142" s="36" t="s">
        <v>2313</v>
      </c>
      <c r="N2142" s="1" t="s">
        <v>1287</v>
      </c>
      <c r="O2142" s="1" t="s">
        <v>1286</v>
      </c>
      <c r="P2142" s="34" t="str">
        <f t="shared" si="43"/>
        <v>F010</v>
      </c>
      <c r="Q2142" s="1" t="s">
        <v>138</v>
      </c>
      <c r="S2142" s="16">
        <v>20</v>
      </c>
      <c r="T2142" s="1" t="s">
        <v>4315</v>
      </c>
      <c r="U2142" s="1" t="s">
        <v>1325</v>
      </c>
      <c r="V2142" s="1" t="s">
        <v>1994</v>
      </c>
      <c r="Y2142" s="1">
        <v>32282.6</v>
      </c>
      <c r="AB2142" s="1">
        <v>30668.47</v>
      </c>
    </row>
    <row r="2143" spans="2:28" x14ac:dyDescent="0.2">
      <c r="B2143" s="30" t="s">
        <v>2294</v>
      </c>
      <c r="C2143" s="36"/>
      <c r="D2143" s="36"/>
      <c r="F2143" s="1" t="s">
        <v>4316</v>
      </c>
      <c r="G2143" s="30" t="s">
        <v>4452</v>
      </c>
      <c r="K2143" s="1" t="s">
        <v>4454</v>
      </c>
      <c r="L2143" s="1" t="s">
        <v>1279</v>
      </c>
      <c r="M2143" s="36" t="s">
        <v>2313</v>
      </c>
      <c r="N2143" s="1" t="s">
        <v>1287</v>
      </c>
      <c r="O2143" s="1" t="s">
        <v>1286</v>
      </c>
      <c r="P2143" s="34" t="str">
        <f t="shared" si="43"/>
        <v>F010</v>
      </c>
      <c r="Q2143" s="1" t="s">
        <v>138</v>
      </c>
      <c r="S2143" s="16">
        <v>20</v>
      </c>
      <c r="T2143" s="1" t="s">
        <v>4455</v>
      </c>
      <c r="U2143" s="1" t="s">
        <v>1325</v>
      </c>
      <c r="V2143" s="1" t="s">
        <v>1994</v>
      </c>
      <c r="Y2143" s="1">
        <v>32282.6</v>
      </c>
      <c r="AB2143" s="1">
        <v>30668.47</v>
      </c>
    </row>
    <row r="2144" spans="2:28" x14ac:dyDescent="0.2">
      <c r="B2144" s="30" t="s">
        <v>2294</v>
      </c>
      <c r="C2144" s="36"/>
      <c r="D2144" s="36"/>
      <c r="F2144" s="1" t="s">
        <v>4456</v>
      </c>
      <c r="G2144" s="30" t="s">
        <v>4452</v>
      </c>
      <c r="K2144" s="1" t="s">
        <v>4457</v>
      </c>
      <c r="L2144" s="1" t="s">
        <v>1279</v>
      </c>
      <c r="M2144" s="36" t="s">
        <v>2313</v>
      </c>
      <c r="N2144" s="1" t="s">
        <v>1287</v>
      </c>
      <c r="O2144" s="1" t="s">
        <v>1286</v>
      </c>
      <c r="P2144" s="34" t="str">
        <f t="shared" si="43"/>
        <v>F010</v>
      </c>
      <c r="Q2144" s="1" t="s">
        <v>138</v>
      </c>
      <c r="S2144" s="16">
        <v>20</v>
      </c>
      <c r="T2144" s="1" t="s">
        <v>2299</v>
      </c>
      <c r="U2144" s="1" t="s">
        <v>1325</v>
      </c>
      <c r="V2144" s="1" t="s">
        <v>1994</v>
      </c>
      <c r="Y2144" s="1">
        <v>32282.6</v>
      </c>
      <c r="AB2144" s="1">
        <v>30668.47</v>
      </c>
    </row>
    <row r="2145" spans="2:28" x14ac:dyDescent="0.2">
      <c r="B2145" s="30" t="s">
        <v>2294</v>
      </c>
      <c r="C2145" s="36"/>
      <c r="D2145" s="36"/>
      <c r="F2145" s="1" t="s">
        <v>1322</v>
      </c>
      <c r="G2145" s="30" t="s">
        <v>4452</v>
      </c>
      <c r="K2145" s="1" t="s">
        <v>4458</v>
      </c>
      <c r="L2145" s="1" t="s">
        <v>1279</v>
      </c>
      <c r="M2145" s="36" t="s">
        <v>2313</v>
      </c>
      <c r="N2145" s="1" t="s">
        <v>1287</v>
      </c>
      <c r="O2145" s="1" t="s">
        <v>1286</v>
      </c>
      <c r="P2145" s="34" t="str">
        <f t="shared" si="43"/>
        <v>F010</v>
      </c>
      <c r="Q2145" s="1" t="s">
        <v>138</v>
      </c>
      <c r="S2145" s="16">
        <v>20</v>
      </c>
      <c r="T2145" s="1" t="s">
        <v>2427</v>
      </c>
      <c r="U2145" s="1" t="s">
        <v>1325</v>
      </c>
      <c r="V2145" s="1" t="s">
        <v>1994</v>
      </c>
      <c r="Y2145" s="1">
        <v>32282.6</v>
      </c>
      <c r="AB2145" s="1">
        <v>30668.47</v>
      </c>
    </row>
    <row r="2146" spans="2:28" x14ac:dyDescent="0.2">
      <c r="B2146" s="30" t="s">
        <v>2294</v>
      </c>
      <c r="C2146" s="36"/>
      <c r="D2146" s="36"/>
      <c r="F2146" s="1" t="s">
        <v>1895</v>
      </c>
      <c r="G2146" s="30" t="s">
        <v>4452</v>
      </c>
      <c r="K2146" s="1" t="s">
        <v>4459</v>
      </c>
      <c r="L2146" s="1" t="s">
        <v>1279</v>
      </c>
      <c r="M2146" s="36" t="s">
        <v>2313</v>
      </c>
      <c r="N2146" s="1" t="s">
        <v>1287</v>
      </c>
      <c r="O2146" s="1" t="s">
        <v>1286</v>
      </c>
      <c r="P2146" s="34" t="str">
        <f t="shared" si="43"/>
        <v>F010</v>
      </c>
      <c r="Q2146" s="1" t="s">
        <v>138</v>
      </c>
      <c r="S2146" s="16">
        <v>20</v>
      </c>
      <c r="T2146" s="1" t="s">
        <v>2427</v>
      </c>
      <c r="U2146" s="1" t="s">
        <v>1325</v>
      </c>
      <c r="V2146" s="1" t="s">
        <v>1994</v>
      </c>
      <c r="Y2146" s="1">
        <v>32282.6</v>
      </c>
      <c r="AB2146" s="1">
        <v>30668.47</v>
      </c>
    </row>
    <row r="2147" spans="2:28" x14ac:dyDescent="0.2">
      <c r="B2147" s="30" t="s">
        <v>2294</v>
      </c>
      <c r="C2147" s="36"/>
      <c r="D2147" s="36"/>
      <c r="F2147" s="1" t="s">
        <v>1895</v>
      </c>
      <c r="G2147" s="30" t="s">
        <v>4452</v>
      </c>
      <c r="K2147" s="1" t="s">
        <v>4460</v>
      </c>
      <c r="L2147" s="1" t="s">
        <v>1279</v>
      </c>
      <c r="M2147" s="36" t="s">
        <v>2313</v>
      </c>
      <c r="N2147" s="1" t="s">
        <v>1287</v>
      </c>
      <c r="O2147" s="1" t="s">
        <v>1286</v>
      </c>
      <c r="P2147" s="34" t="str">
        <f t="shared" si="43"/>
        <v>F010</v>
      </c>
      <c r="Q2147" s="1" t="s">
        <v>138</v>
      </c>
      <c r="S2147" s="16">
        <v>20</v>
      </c>
      <c r="T2147" s="1" t="s">
        <v>2427</v>
      </c>
      <c r="U2147" s="1" t="s">
        <v>1325</v>
      </c>
      <c r="V2147" s="1" t="s">
        <v>1994</v>
      </c>
      <c r="Y2147" s="1">
        <v>32281.69</v>
      </c>
      <c r="AB2147" s="1">
        <v>30667.61</v>
      </c>
    </row>
    <row r="2148" spans="2:28" x14ac:dyDescent="0.2">
      <c r="B2148" s="30" t="s">
        <v>2294</v>
      </c>
      <c r="C2148" s="36"/>
      <c r="D2148" s="36"/>
      <c r="F2148" s="1" t="s">
        <v>1895</v>
      </c>
      <c r="G2148" s="30" t="s">
        <v>4452</v>
      </c>
      <c r="K2148" s="1" t="s">
        <v>4461</v>
      </c>
      <c r="L2148" s="1" t="s">
        <v>1279</v>
      </c>
      <c r="M2148" s="36" t="s">
        <v>2313</v>
      </c>
      <c r="N2148" s="1" t="s">
        <v>1287</v>
      </c>
      <c r="O2148" s="1" t="s">
        <v>1286</v>
      </c>
      <c r="P2148" s="34" t="str">
        <f t="shared" si="43"/>
        <v>F010</v>
      </c>
      <c r="Q2148" s="1" t="s">
        <v>138</v>
      </c>
      <c r="S2148" s="16">
        <v>20</v>
      </c>
      <c r="T2148" s="1" t="s">
        <v>2427</v>
      </c>
      <c r="U2148" s="1" t="s">
        <v>1325</v>
      </c>
      <c r="V2148" s="1" t="s">
        <v>1994</v>
      </c>
      <c r="Y2148" s="1">
        <v>32281.69</v>
      </c>
      <c r="AB2148" s="1">
        <v>30667.61</v>
      </c>
    </row>
    <row r="2149" spans="2:28" x14ac:dyDescent="0.2">
      <c r="B2149" s="30" t="s">
        <v>2294</v>
      </c>
      <c r="C2149" s="36"/>
      <c r="D2149" s="36"/>
      <c r="F2149" s="1" t="s">
        <v>1895</v>
      </c>
      <c r="G2149" s="30" t="s">
        <v>4452</v>
      </c>
      <c r="K2149" s="1" t="s">
        <v>4462</v>
      </c>
      <c r="L2149" s="1" t="s">
        <v>1279</v>
      </c>
      <c r="M2149" s="36" t="s">
        <v>2313</v>
      </c>
      <c r="N2149" s="1" t="s">
        <v>1287</v>
      </c>
      <c r="O2149" s="1" t="s">
        <v>1286</v>
      </c>
      <c r="P2149" s="34" t="str">
        <f t="shared" si="43"/>
        <v>F010</v>
      </c>
      <c r="Q2149" s="1" t="s">
        <v>138</v>
      </c>
      <c r="S2149" s="16">
        <v>20</v>
      </c>
      <c r="T2149" s="1" t="s">
        <v>2427</v>
      </c>
      <c r="U2149" s="1" t="s">
        <v>1325</v>
      </c>
      <c r="V2149" s="1" t="s">
        <v>1994</v>
      </c>
      <c r="Y2149" s="1">
        <v>32281.69</v>
      </c>
      <c r="AB2149" s="1">
        <v>30667.61</v>
      </c>
    </row>
    <row r="2150" spans="2:28" x14ac:dyDescent="0.2">
      <c r="B2150" s="30" t="s">
        <v>2294</v>
      </c>
      <c r="C2150" s="36"/>
      <c r="D2150" s="36"/>
      <c r="F2150" s="1" t="s">
        <v>1895</v>
      </c>
      <c r="G2150" s="30" t="s">
        <v>4452</v>
      </c>
      <c r="K2150" s="1" t="s">
        <v>4463</v>
      </c>
      <c r="L2150" s="1" t="s">
        <v>1279</v>
      </c>
      <c r="M2150" s="36" t="s">
        <v>2313</v>
      </c>
      <c r="N2150" s="1" t="s">
        <v>1287</v>
      </c>
      <c r="O2150" s="1" t="s">
        <v>1286</v>
      </c>
      <c r="P2150" s="34" t="str">
        <f t="shared" si="43"/>
        <v>F010</v>
      </c>
      <c r="Q2150" s="1" t="s">
        <v>138</v>
      </c>
      <c r="S2150" s="16">
        <v>20</v>
      </c>
      <c r="T2150" s="1" t="s">
        <v>2427</v>
      </c>
      <c r="U2150" s="1" t="s">
        <v>1325</v>
      </c>
      <c r="V2150" s="1" t="s">
        <v>1994</v>
      </c>
      <c r="Y2150" s="1">
        <v>32281.69</v>
      </c>
      <c r="AB2150" s="1">
        <v>30667.61</v>
      </c>
    </row>
    <row r="2151" spans="2:28" x14ac:dyDescent="0.2">
      <c r="B2151" s="30" t="s">
        <v>2294</v>
      </c>
      <c r="C2151" s="36"/>
      <c r="D2151" s="36"/>
      <c r="F2151" s="1" t="s">
        <v>1895</v>
      </c>
      <c r="G2151" s="30" t="s">
        <v>4452</v>
      </c>
      <c r="K2151" s="1" t="s">
        <v>4464</v>
      </c>
      <c r="L2151" s="1" t="s">
        <v>1279</v>
      </c>
      <c r="M2151" s="36" t="s">
        <v>2313</v>
      </c>
      <c r="N2151" s="1" t="s">
        <v>1287</v>
      </c>
      <c r="O2151" s="1" t="s">
        <v>1286</v>
      </c>
      <c r="P2151" s="34" t="str">
        <f t="shared" si="43"/>
        <v>F010</v>
      </c>
      <c r="Q2151" s="1" t="s">
        <v>138</v>
      </c>
      <c r="S2151" s="16">
        <v>20</v>
      </c>
      <c r="T2151" s="1" t="s">
        <v>2299</v>
      </c>
      <c r="U2151" s="1" t="s">
        <v>1325</v>
      </c>
      <c r="V2151" s="1" t="s">
        <v>1994</v>
      </c>
      <c r="Y2151" s="1">
        <v>32281.69</v>
      </c>
      <c r="AB2151" s="1">
        <v>30667.61</v>
      </c>
    </row>
    <row r="2152" spans="2:28" x14ac:dyDescent="0.2">
      <c r="B2152" s="30" t="s">
        <v>2294</v>
      </c>
      <c r="C2152" s="36"/>
      <c r="D2152" s="36"/>
      <c r="F2152" s="1" t="s">
        <v>1322</v>
      </c>
      <c r="G2152" s="30" t="s">
        <v>4452</v>
      </c>
      <c r="K2152" s="1" t="s">
        <v>4465</v>
      </c>
      <c r="L2152" s="1" t="s">
        <v>1279</v>
      </c>
      <c r="M2152" s="36" t="s">
        <v>2313</v>
      </c>
      <c r="N2152" s="1" t="s">
        <v>1287</v>
      </c>
      <c r="O2152" s="1" t="s">
        <v>1286</v>
      </c>
      <c r="P2152" s="34" t="str">
        <f t="shared" si="43"/>
        <v>F010</v>
      </c>
      <c r="Q2152" s="1" t="s">
        <v>138</v>
      </c>
      <c r="S2152" s="16">
        <v>20</v>
      </c>
      <c r="T2152" s="1" t="s">
        <v>2427</v>
      </c>
      <c r="U2152" s="1" t="s">
        <v>1325</v>
      </c>
      <c r="V2152" s="1" t="s">
        <v>1994</v>
      </c>
      <c r="Y2152" s="1">
        <v>32281.69</v>
      </c>
      <c r="AB2152" s="1">
        <v>30667.61</v>
      </c>
    </row>
    <row r="2153" spans="2:28" x14ac:dyDescent="0.2">
      <c r="B2153" s="30" t="s">
        <v>2294</v>
      </c>
      <c r="C2153" s="36"/>
      <c r="D2153" s="36"/>
      <c r="F2153" s="1" t="s">
        <v>1895</v>
      </c>
      <c r="G2153" s="30" t="s">
        <v>4452</v>
      </c>
      <c r="K2153" s="1" t="s">
        <v>4466</v>
      </c>
      <c r="L2153" s="1" t="s">
        <v>1279</v>
      </c>
      <c r="M2153" s="36" t="s">
        <v>2313</v>
      </c>
      <c r="N2153" s="1" t="s">
        <v>1287</v>
      </c>
      <c r="O2153" s="1" t="s">
        <v>1286</v>
      </c>
      <c r="P2153" s="34" t="str">
        <f t="shared" si="43"/>
        <v>F010</v>
      </c>
      <c r="Q2153" s="1" t="s">
        <v>138</v>
      </c>
      <c r="S2153" s="16">
        <v>20</v>
      </c>
      <c r="T2153" s="1" t="s">
        <v>2299</v>
      </c>
      <c r="U2153" s="1" t="s">
        <v>1325</v>
      </c>
      <c r="V2153" s="1" t="s">
        <v>1994</v>
      </c>
      <c r="Y2153" s="1">
        <v>32281.69</v>
      </c>
      <c r="AB2153" s="1">
        <v>30667.61</v>
      </c>
    </row>
    <row r="2154" spans="2:28" x14ac:dyDescent="0.2">
      <c r="B2154" s="30" t="s">
        <v>2294</v>
      </c>
      <c r="C2154" s="36"/>
      <c r="D2154" s="36"/>
      <c r="F2154" s="1" t="s">
        <v>1322</v>
      </c>
      <c r="G2154" s="30" t="s">
        <v>4452</v>
      </c>
      <c r="K2154" s="1" t="s">
        <v>4467</v>
      </c>
      <c r="L2154" s="1" t="s">
        <v>1279</v>
      </c>
      <c r="M2154" s="36" t="s">
        <v>2313</v>
      </c>
      <c r="N2154" s="1" t="s">
        <v>1287</v>
      </c>
      <c r="O2154" s="1" t="s">
        <v>1286</v>
      </c>
      <c r="P2154" s="34" t="str">
        <f t="shared" si="43"/>
        <v>F010</v>
      </c>
      <c r="Q2154" s="1" t="s">
        <v>138</v>
      </c>
      <c r="S2154" s="16">
        <v>20</v>
      </c>
      <c r="T2154" s="1" t="s">
        <v>2299</v>
      </c>
      <c r="U2154" s="1" t="s">
        <v>1325</v>
      </c>
      <c r="V2154" s="1" t="s">
        <v>1994</v>
      </c>
      <c r="Y2154" s="1">
        <v>32281.69</v>
      </c>
      <c r="AB2154" s="1">
        <v>30667.61</v>
      </c>
    </row>
    <row r="2155" spans="2:28" x14ac:dyDescent="0.2">
      <c r="B2155" s="30" t="s">
        <v>2294</v>
      </c>
      <c r="C2155" s="36"/>
      <c r="D2155" s="36"/>
      <c r="F2155" s="1" t="s">
        <v>1322</v>
      </c>
      <c r="G2155" s="30" t="s">
        <v>4452</v>
      </c>
      <c r="K2155" s="1" t="s">
        <v>4468</v>
      </c>
      <c r="L2155" s="1" t="s">
        <v>1279</v>
      </c>
      <c r="M2155" s="36" t="s">
        <v>2313</v>
      </c>
      <c r="N2155" s="1" t="s">
        <v>1287</v>
      </c>
      <c r="O2155" s="1" t="s">
        <v>1286</v>
      </c>
      <c r="P2155" s="34" t="str">
        <f t="shared" ref="P2155:P2221" si="44">+LEFT(Q2155,4)</f>
        <v>F010</v>
      </c>
      <c r="Q2155" s="1" t="s">
        <v>138</v>
      </c>
      <c r="S2155" s="16">
        <v>20</v>
      </c>
      <c r="T2155" s="1" t="s">
        <v>2427</v>
      </c>
      <c r="U2155" s="1" t="s">
        <v>1325</v>
      </c>
      <c r="V2155" s="1" t="s">
        <v>1994</v>
      </c>
      <c r="Y2155" s="1">
        <v>32281.69</v>
      </c>
      <c r="AB2155" s="1">
        <v>30667.61</v>
      </c>
    </row>
    <row r="2156" spans="2:28" x14ac:dyDescent="0.2">
      <c r="B2156" s="30" t="s">
        <v>2294</v>
      </c>
      <c r="C2156" s="36"/>
      <c r="D2156" s="36"/>
      <c r="F2156" s="1" t="s">
        <v>1895</v>
      </c>
      <c r="G2156" s="30" t="s">
        <v>4452</v>
      </c>
      <c r="K2156" s="1" t="s">
        <v>4469</v>
      </c>
      <c r="L2156" s="1" t="s">
        <v>1279</v>
      </c>
      <c r="M2156" s="36" t="s">
        <v>2313</v>
      </c>
      <c r="N2156" s="1" t="s">
        <v>1287</v>
      </c>
      <c r="O2156" s="1" t="s">
        <v>1286</v>
      </c>
      <c r="P2156" s="34" t="str">
        <f t="shared" si="44"/>
        <v>F010</v>
      </c>
      <c r="Q2156" s="1" t="s">
        <v>138</v>
      </c>
      <c r="S2156" s="16">
        <v>20</v>
      </c>
      <c r="T2156" s="1" t="s">
        <v>2427</v>
      </c>
      <c r="U2156" s="1" t="s">
        <v>1325</v>
      </c>
      <c r="V2156" s="1" t="s">
        <v>1994</v>
      </c>
      <c r="Y2156" s="1">
        <v>32281.69</v>
      </c>
      <c r="AB2156" s="1">
        <v>30667.61</v>
      </c>
    </row>
    <row r="2157" spans="2:28" x14ac:dyDescent="0.2">
      <c r="B2157" s="30" t="s">
        <v>2294</v>
      </c>
      <c r="C2157" s="36"/>
      <c r="D2157" s="36"/>
      <c r="F2157" s="1" t="s">
        <v>1895</v>
      </c>
      <c r="G2157" s="30" t="s">
        <v>4452</v>
      </c>
      <c r="K2157" s="1" t="s">
        <v>4470</v>
      </c>
      <c r="L2157" s="1" t="s">
        <v>1279</v>
      </c>
      <c r="M2157" s="36" t="s">
        <v>2313</v>
      </c>
      <c r="N2157" s="1" t="s">
        <v>1287</v>
      </c>
      <c r="O2157" s="1" t="s">
        <v>1286</v>
      </c>
      <c r="P2157" s="34" t="str">
        <f t="shared" si="44"/>
        <v>F010</v>
      </c>
      <c r="Q2157" s="1" t="s">
        <v>138</v>
      </c>
      <c r="S2157" s="16">
        <v>20</v>
      </c>
      <c r="T2157" s="1" t="s">
        <v>2427</v>
      </c>
      <c r="U2157" s="1" t="s">
        <v>1325</v>
      </c>
      <c r="V2157" s="1" t="s">
        <v>1994</v>
      </c>
      <c r="Y2157" s="1">
        <v>32281.69</v>
      </c>
      <c r="AB2157" s="1">
        <v>30667.61</v>
      </c>
    </row>
    <row r="2158" spans="2:28" x14ac:dyDescent="0.2">
      <c r="B2158" s="30" t="s">
        <v>2294</v>
      </c>
      <c r="C2158" s="36"/>
      <c r="D2158" s="36"/>
      <c r="F2158" s="1" t="s">
        <v>1895</v>
      </c>
      <c r="G2158" s="30" t="s">
        <v>4452</v>
      </c>
      <c r="K2158" s="1" t="s">
        <v>4471</v>
      </c>
      <c r="L2158" s="1" t="s">
        <v>1279</v>
      </c>
      <c r="M2158" s="36" t="s">
        <v>2313</v>
      </c>
      <c r="N2158" s="1" t="s">
        <v>1287</v>
      </c>
      <c r="O2158" s="1" t="s">
        <v>1286</v>
      </c>
      <c r="P2158" s="34" t="str">
        <f t="shared" si="44"/>
        <v>F010</v>
      </c>
      <c r="Q2158" s="1" t="s">
        <v>138</v>
      </c>
      <c r="S2158" s="16">
        <v>20</v>
      </c>
      <c r="T2158" s="1" t="s">
        <v>2427</v>
      </c>
      <c r="U2158" s="1" t="s">
        <v>1325</v>
      </c>
      <c r="V2158" s="1" t="s">
        <v>1994</v>
      </c>
      <c r="Y2158" s="1">
        <v>32281.69</v>
      </c>
      <c r="AB2158" s="1">
        <v>30667.61</v>
      </c>
    </row>
    <row r="2159" spans="2:28" x14ac:dyDescent="0.2">
      <c r="B2159" s="30" t="s">
        <v>2294</v>
      </c>
      <c r="C2159" s="36"/>
      <c r="D2159" s="36"/>
      <c r="F2159" s="1" t="s">
        <v>1895</v>
      </c>
      <c r="G2159" s="30" t="s">
        <v>4452</v>
      </c>
      <c r="K2159" s="1" t="s">
        <v>4472</v>
      </c>
      <c r="L2159" s="1" t="s">
        <v>1279</v>
      </c>
      <c r="M2159" s="36" t="s">
        <v>2313</v>
      </c>
      <c r="N2159" s="1" t="s">
        <v>1287</v>
      </c>
      <c r="O2159" s="1" t="s">
        <v>1286</v>
      </c>
      <c r="P2159" s="34" t="str">
        <f t="shared" si="44"/>
        <v>F010</v>
      </c>
      <c r="Q2159" s="1" t="s">
        <v>138</v>
      </c>
      <c r="S2159" s="16">
        <v>20</v>
      </c>
      <c r="T2159" s="1" t="s">
        <v>2427</v>
      </c>
      <c r="U2159" s="1" t="s">
        <v>1325</v>
      </c>
      <c r="V2159" s="1" t="s">
        <v>1994</v>
      </c>
      <c r="Y2159" s="1">
        <v>32281.69</v>
      </c>
      <c r="AB2159" s="1">
        <v>30667.61</v>
      </c>
    </row>
    <row r="2160" spans="2:28" x14ac:dyDescent="0.2">
      <c r="B2160" s="30" t="s">
        <v>2294</v>
      </c>
      <c r="C2160" s="36"/>
      <c r="D2160" s="36"/>
      <c r="F2160" s="1" t="s">
        <v>1895</v>
      </c>
      <c r="G2160" s="30" t="s">
        <v>4452</v>
      </c>
      <c r="K2160" s="1" t="s">
        <v>4473</v>
      </c>
      <c r="L2160" s="1" t="s">
        <v>1279</v>
      </c>
      <c r="M2160" s="36" t="s">
        <v>2313</v>
      </c>
      <c r="N2160" s="1" t="s">
        <v>1287</v>
      </c>
      <c r="O2160" s="1" t="s">
        <v>1286</v>
      </c>
      <c r="P2160" s="34" t="str">
        <f t="shared" si="44"/>
        <v>F010</v>
      </c>
      <c r="Q2160" s="1" t="s">
        <v>138</v>
      </c>
      <c r="S2160" s="16">
        <v>20</v>
      </c>
      <c r="T2160" s="1" t="s">
        <v>2427</v>
      </c>
      <c r="U2160" s="1" t="s">
        <v>1325</v>
      </c>
      <c r="V2160" s="1" t="s">
        <v>1994</v>
      </c>
      <c r="Y2160" s="1">
        <v>32281.69</v>
      </c>
      <c r="AB2160" s="1">
        <v>30667.61</v>
      </c>
    </row>
    <row r="2161" spans="2:28" x14ac:dyDescent="0.2">
      <c r="B2161" s="30" t="s">
        <v>2294</v>
      </c>
      <c r="C2161" s="36"/>
      <c r="D2161" s="36"/>
      <c r="F2161" s="1" t="s">
        <v>1895</v>
      </c>
      <c r="G2161" s="30" t="s">
        <v>4452</v>
      </c>
      <c r="K2161" s="1" t="s">
        <v>4474</v>
      </c>
      <c r="L2161" s="1" t="s">
        <v>1279</v>
      </c>
      <c r="M2161" s="36" t="s">
        <v>2313</v>
      </c>
      <c r="N2161" s="1" t="s">
        <v>1287</v>
      </c>
      <c r="O2161" s="1" t="s">
        <v>1286</v>
      </c>
      <c r="P2161" s="34" t="str">
        <f t="shared" si="44"/>
        <v>F010</v>
      </c>
      <c r="Q2161" s="1" t="s">
        <v>138</v>
      </c>
      <c r="S2161" s="16">
        <v>20</v>
      </c>
      <c r="T2161" s="1" t="s">
        <v>2299</v>
      </c>
      <c r="U2161" s="1" t="s">
        <v>1325</v>
      </c>
      <c r="V2161" s="1" t="s">
        <v>1994</v>
      </c>
      <c r="Y2161" s="1">
        <v>32281.69</v>
      </c>
      <c r="AB2161" s="1">
        <v>30667.61</v>
      </c>
    </row>
    <row r="2162" spans="2:28" x14ac:dyDescent="0.2">
      <c r="B2162" s="30" t="s">
        <v>2294</v>
      </c>
      <c r="C2162" s="36"/>
      <c r="D2162" s="36"/>
      <c r="F2162" s="1" t="s">
        <v>1322</v>
      </c>
      <c r="G2162" s="30" t="s">
        <v>4452</v>
      </c>
      <c r="K2162" s="1" t="s">
        <v>4475</v>
      </c>
      <c r="L2162" s="1" t="s">
        <v>1279</v>
      </c>
      <c r="M2162" s="36" t="s">
        <v>2313</v>
      </c>
      <c r="N2162" s="1" t="s">
        <v>1287</v>
      </c>
      <c r="O2162" s="1" t="s">
        <v>1286</v>
      </c>
      <c r="P2162" s="34" t="str">
        <f t="shared" si="44"/>
        <v>F010</v>
      </c>
      <c r="Q2162" s="1" t="s">
        <v>138</v>
      </c>
      <c r="S2162" s="16">
        <v>20</v>
      </c>
      <c r="T2162" s="1" t="s">
        <v>2427</v>
      </c>
      <c r="U2162" s="1" t="s">
        <v>1325</v>
      </c>
      <c r="V2162" s="1" t="s">
        <v>1994</v>
      </c>
      <c r="Y2162" s="1">
        <v>32281.69</v>
      </c>
      <c r="AB2162" s="1">
        <v>30667.61</v>
      </c>
    </row>
    <row r="2163" spans="2:28" x14ac:dyDescent="0.2">
      <c r="B2163" s="30" t="s">
        <v>2294</v>
      </c>
      <c r="C2163" s="36"/>
      <c r="D2163" s="36"/>
      <c r="F2163" s="1" t="s">
        <v>1895</v>
      </c>
      <c r="G2163" s="30" t="s">
        <v>4452</v>
      </c>
      <c r="K2163" s="1" t="s">
        <v>4476</v>
      </c>
      <c r="L2163" s="1" t="s">
        <v>1279</v>
      </c>
      <c r="M2163" s="36" t="s">
        <v>2313</v>
      </c>
      <c r="N2163" s="1" t="s">
        <v>1287</v>
      </c>
      <c r="O2163" s="1" t="s">
        <v>1286</v>
      </c>
      <c r="P2163" s="34" t="str">
        <f t="shared" si="44"/>
        <v>F010</v>
      </c>
      <c r="Q2163" s="1" t="s">
        <v>138</v>
      </c>
      <c r="S2163" s="16">
        <v>20</v>
      </c>
      <c r="T2163" s="1" t="s">
        <v>2299</v>
      </c>
      <c r="U2163" s="1" t="s">
        <v>1325</v>
      </c>
      <c r="V2163" s="1" t="s">
        <v>1994</v>
      </c>
      <c r="Y2163" s="1">
        <v>32281.69</v>
      </c>
      <c r="AB2163" s="1">
        <v>30667.61</v>
      </c>
    </row>
    <row r="2164" spans="2:28" x14ac:dyDescent="0.2">
      <c r="B2164" s="30" t="s">
        <v>2294</v>
      </c>
      <c r="C2164" s="36"/>
      <c r="D2164" s="36"/>
      <c r="F2164" s="1" t="s">
        <v>1322</v>
      </c>
      <c r="G2164" s="30" t="s">
        <v>4452</v>
      </c>
      <c r="K2164" s="1" t="s">
        <v>4477</v>
      </c>
      <c r="L2164" s="1" t="s">
        <v>1279</v>
      </c>
      <c r="M2164" s="36" t="s">
        <v>2313</v>
      </c>
      <c r="N2164" s="1" t="s">
        <v>1287</v>
      </c>
      <c r="O2164" s="1" t="s">
        <v>1286</v>
      </c>
      <c r="P2164" s="34" t="str">
        <f t="shared" si="44"/>
        <v>F010</v>
      </c>
      <c r="Q2164" s="1" t="s">
        <v>138</v>
      </c>
      <c r="S2164" s="16">
        <v>20</v>
      </c>
      <c r="T2164" s="1" t="s">
        <v>2299</v>
      </c>
      <c r="U2164" s="1" t="s">
        <v>1325</v>
      </c>
      <c r="V2164" s="1" t="s">
        <v>1994</v>
      </c>
      <c r="Y2164" s="1">
        <v>32281.69</v>
      </c>
      <c r="AB2164" s="1">
        <v>30667.61</v>
      </c>
    </row>
    <row r="2165" spans="2:28" x14ac:dyDescent="0.2">
      <c r="B2165" s="30" t="s">
        <v>2294</v>
      </c>
      <c r="C2165" s="36"/>
      <c r="D2165" s="36"/>
      <c r="F2165" s="1" t="s">
        <v>1322</v>
      </c>
      <c r="G2165" s="30" t="s">
        <v>4452</v>
      </c>
      <c r="K2165" s="1" t="s">
        <v>4478</v>
      </c>
      <c r="L2165" s="1" t="s">
        <v>1279</v>
      </c>
      <c r="M2165" s="36" t="s">
        <v>2313</v>
      </c>
      <c r="N2165" s="1" t="s">
        <v>1287</v>
      </c>
      <c r="O2165" s="1" t="s">
        <v>1286</v>
      </c>
      <c r="P2165" s="34" t="str">
        <f t="shared" si="44"/>
        <v>F010</v>
      </c>
      <c r="Q2165" s="1" t="s">
        <v>138</v>
      </c>
      <c r="S2165" s="16">
        <v>20</v>
      </c>
      <c r="T2165" s="1" t="s">
        <v>2427</v>
      </c>
      <c r="U2165" s="1" t="s">
        <v>1325</v>
      </c>
      <c r="V2165" s="1" t="s">
        <v>1994</v>
      </c>
      <c r="Y2165" s="1">
        <v>32281.69</v>
      </c>
      <c r="AB2165" s="1">
        <v>30667.61</v>
      </c>
    </row>
    <row r="2166" spans="2:28" x14ac:dyDescent="0.2">
      <c r="B2166" s="30" t="s">
        <v>2294</v>
      </c>
      <c r="C2166" s="36"/>
      <c r="D2166" s="36"/>
      <c r="F2166" s="1" t="s">
        <v>1895</v>
      </c>
      <c r="G2166" s="30" t="s">
        <v>4452</v>
      </c>
      <c r="K2166" s="1" t="s">
        <v>4479</v>
      </c>
      <c r="L2166" s="1" t="s">
        <v>1279</v>
      </c>
      <c r="M2166" s="36" t="s">
        <v>2313</v>
      </c>
      <c r="N2166" s="1" t="s">
        <v>1287</v>
      </c>
      <c r="O2166" s="1" t="s">
        <v>1286</v>
      </c>
      <c r="P2166" s="34" t="str">
        <f t="shared" si="44"/>
        <v>F010</v>
      </c>
      <c r="Q2166" s="1" t="s">
        <v>138</v>
      </c>
      <c r="S2166" s="16">
        <v>20</v>
      </c>
      <c r="T2166" s="1" t="s">
        <v>2427</v>
      </c>
      <c r="U2166" s="1" t="s">
        <v>1325</v>
      </c>
      <c r="V2166" s="1" t="s">
        <v>1994</v>
      </c>
      <c r="Y2166" s="1">
        <v>32281.69</v>
      </c>
      <c r="AB2166" s="1">
        <v>30667.61</v>
      </c>
    </row>
    <row r="2167" spans="2:28" x14ac:dyDescent="0.2">
      <c r="B2167" s="30" t="s">
        <v>2294</v>
      </c>
      <c r="C2167" s="36"/>
      <c r="D2167" s="36"/>
      <c r="F2167" s="1" t="s">
        <v>1895</v>
      </c>
      <c r="G2167" s="30" t="s">
        <v>4452</v>
      </c>
      <c r="K2167" s="1" t="s">
        <v>4480</v>
      </c>
      <c r="L2167" s="1" t="s">
        <v>1279</v>
      </c>
      <c r="M2167" s="36" t="s">
        <v>2313</v>
      </c>
      <c r="N2167" s="1" t="s">
        <v>1287</v>
      </c>
      <c r="O2167" s="1" t="s">
        <v>1286</v>
      </c>
      <c r="P2167" s="34" t="str">
        <f t="shared" si="44"/>
        <v>F010</v>
      </c>
      <c r="Q2167" s="1" t="s">
        <v>138</v>
      </c>
      <c r="S2167" s="16">
        <v>20</v>
      </c>
      <c r="T2167" s="1" t="s">
        <v>2427</v>
      </c>
      <c r="U2167" s="1" t="s">
        <v>1325</v>
      </c>
      <c r="V2167" s="1" t="s">
        <v>1994</v>
      </c>
      <c r="Y2167" s="1">
        <v>32281.69</v>
      </c>
      <c r="AB2167" s="1">
        <v>30667.61</v>
      </c>
    </row>
    <row r="2168" spans="2:28" x14ac:dyDescent="0.2">
      <c r="B2168" s="30" t="s">
        <v>2294</v>
      </c>
      <c r="C2168" s="36"/>
      <c r="D2168" s="36"/>
      <c r="F2168" s="1" t="s">
        <v>1895</v>
      </c>
      <c r="G2168" s="30" t="s">
        <v>4452</v>
      </c>
      <c r="K2168" s="1" t="s">
        <v>4481</v>
      </c>
      <c r="L2168" s="1" t="s">
        <v>1279</v>
      </c>
      <c r="M2168" s="36" t="s">
        <v>2313</v>
      </c>
      <c r="N2168" s="1" t="s">
        <v>1287</v>
      </c>
      <c r="O2168" s="1" t="s">
        <v>1286</v>
      </c>
      <c r="P2168" s="34" t="str">
        <f t="shared" si="44"/>
        <v>F010</v>
      </c>
      <c r="Q2168" s="1" t="s">
        <v>138</v>
      </c>
      <c r="S2168" s="16">
        <v>20</v>
      </c>
      <c r="T2168" s="1" t="s">
        <v>2427</v>
      </c>
      <c r="U2168" s="1" t="s">
        <v>1325</v>
      </c>
      <c r="V2168" s="1" t="s">
        <v>1994</v>
      </c>
      <c r="Y2168" s="1">
        <v>32281.69</v>
      </c>
      <c r="AB2168" s="1">
        <v>30667.61</v>
      </c>
    </row>
    <row r="2169" spans="2:28" x14ac:dyDescent="0.2">
      <c r="B2169" s="30" t="s">
        <v>2294</v>
      </c>
      <c r="C2169" s="36"/>
      <c r="D2169" s="36"/>
      <c r="F2169" s="1" t="s">
        <v>1895</v>
      </c>
      <c r="G2169" s="30" t="s">
        <v>4452</v>
      </c>
      <c r="K2169" s="1" t="s">
        <v>4482</v>
      </c>
      <c r="L2169" s="1" t="s">
        <v>1279</v>
      </c>
      <c r="M2169" s="36" t="s">
        <v>2313</v>
      </c>
      <c r="N2169" s="1" t="s">
        <v>1287</v>
      </c>
      <c r="O2169" s="1" t="s">
        <v>1286</v>
      </c>
      <c r="P2169" s="34" t="str">
        <f t="shared" si="44"/>
        <v>F010</v>
      </c>
      <c r="Q2169" s="1" t="s">
        <v>138</v>
      </c>
      <c r="S2169" s="16">
        <v>20</v>
      </c>
      <c r="T2169" s="1" t="s">
        <v>2427</v>
      </c>
      <c r="U2169" s="1" t="s">
        <v>1325</v>
      </c>
      <c r="V2169" s="1" t="s">
        <v>1994</v>
      </c>
      <c r="Y2169" s="1">
        <v>32281.69</v>
      </c>
      <c r="AB2169" s="1">
        <v>30667.61</v>
      </c>
    </row>
    <row r="2170" spans="2:28" x14ac:dyDescent="0.2">
      <c r="B2170" s="30" t="s">
        <v>2294</v>
      </c>
      <c r="C2170" s="36"/>
      <c r="D2170" s="36"/>
      <c r="F2170" s="1" t="s">
        <v>1895</v>
      </c>
      <c r="G2170" s="30" t="s">
        <v>4452</v>
      </c>
      <c r="K2170" s="1" t="s">
        <v>4483</v>
      </c>
      <c r="L2170" s="1" t="s">
        <v>1279</v>
      </c>
      <c r="M2170" s="36" t="s">
        <v>2313</v>
      </c>
      <c r="N2170" s="1" t="s">
        <v>1287</v>
      </c>
      <c r="O2170" s="1" t="s">
        <v>1286</v>
      </c>
      <c r="P2170" s="34" t="str">
        <f t="shared" si="44"/>
        <v>F010</v>
      </c>
      <c r="Q2170" s="1" t="s">
        <v>138</v>
      </c>
      <c r="S2170" s="16">
        <v>20</v>
      </c>
      <c r="T2170" s="1" t="s">
        <v>2427</v>
      </c>
      <c r="U2170" s="1" t="s">
        <v>1325</v>
      </c>
      <c r="V2170" s="1" t="s">
        <v>1994</v>
      </c>
      <c r="Y2170" s="1">
        <v>32281.69</v>
      </c>
      <c r="AB2170" s="1">
        <v>30667.61</v>
      </c>
    </row>
    <row r="2171" spans="2:28" x14ac:dyDescent="0.2">
      <c r="B2171" s="30" t="s">
        <v>2294</v>
      </c>
      <c r="C2171" s="36"/>
      <c r="D2171" s="36"/>
      <c r="F2171" s="1" t="s">
        <v>1895</v>
      </c>
      <c r="G2171" s="30" t="s">
        <v>4452</v>
      </c>
      <c r="K2171" s="1" t="s">
        <v>4484</v>
      </c>
      <c r="L2171" s="1" t="s">
        <v>1279</v>
      </c>
      <c r="M2171" s="36" t="s">
        <v>2313</v>
      </c>
      <c r="N2171" s="1" t="s">
        <v>1287</v>
      </c>
      <c r="O2171" s="1" t="s">
        <v>1286</v>
      </c>
      <c r="P2171" s="34" t="str">
        <f t="shared" si="44"/>
        <v>F010</v>
      </c>
      <c r="Q2171" s="1" t="s">
        <v>138</v>
      </c>
      <c r="S2171" s="16">
        <v>20</v>
      </c>
      <c r="T2171" s="1" t="s">
        <v>2299</v>
      </c>
      <c r="U2171" s="1" t="s">
        <v>1325</v>
      </c>
      <c r="V2171" s="1" t="s">
        <v>1994</v>
      </c>
      <c r="Y2171" s="1">
        <v>32281.69</v>
      </c>
      <c r="AB2171" s="1">
        <v>30667.61</v>
      </c>
    </row>
    <row r="2172" spans="2:28" x14ac:dyDescent="0.2">
      <c r="B2172" s="30" t="s">
        <v>2294</v>
      </c>
      <c r="C2172" s="36"/>
      <c r="D2172" s="36"/>
      <c r="F2172" s="1" t="s">
        <v>1322</v>
      </c>
      <c r="G2172" s="30" t="s">
        <v>4452</v>
      </c>
      <c r="K2172" s="1" t="s">
        <v>4485</v>
      </c>
      <c r="L2172" s="1" t="s">
        <v>1279</v>
      </c>
      <c r="M2172" s="36" t="s">
        <v>2313</v>
      </c>
      <c r="N2172" s="1" t="s">
        <v>1287</v>
      </c>
      <c r="O2172" s="1" t="s">
        <v>1286</v>
      </c>
      <c r="P2172" s="34" t="str">
        <f t="shared" si="44"/>
        <v>F010</v>
      </c>
      <c r="Q2172" s="1" t="s">
        <v>138</v>
      </c>
      <c r="S2172" s="16">
        <v>20</v>
      </c>
      <c r="T2172" s="1" t="s">
        <v>2427</v>
      </c>
      <c r="U2172" s="1" t="s">
        <v>1325</v>
      </c>
      <c r="V2172" s="1" t="s">
        <v>1994</v>
      </c>
      <c r="Y2172" s="1">
        <v>32281.69</v>
      </c>
      <c r="AB2172" s="1">
        <v>30667.61</v>
      </c>
    </row>
    <row r="2173" spans="2:28" x14ac:dyDescent="0.2">
      <c r="B2173" s="30" t="s">
        <v>2294</v>
      </c>
      <c r="C2173" s="36"/>
      <c r="D2173" s="36"/>
      <c r="F2173" s="1" t="s">
        <v>1895</v>
      </c>
      <c r="G2173" s="30" t="s">
        <v>4452</v>
      </c>
      <c r="K2173" s="1" t="s">
        <v>4486</v>
      </c>
      <c r="L2173" s="1" t="s">
        <v>1279</v>
      </c>
      <c r="M2173" s="36" t="s">
        <v>2313</v>
      </c>
      <c r="N2173" s="1" t="s">
        <v>1287</v>
      </c>
      <c r="O2173" s="1" t="s">
        <v>1286</v>
      </c>
      <c r="P2173" s="34" t="str">
        <f t="shared" si="44"/>
        <v>F010</v>
      </c>
      <c r="Q2173" s="1" t="s">
        <v>138</v>
      </c>
      <c r="S2173" s="16">
        <v>20</v>
      </c>
      <c r="T2173" s="1" t="s">
        <v>2299</v>
      </c>
      <c r="U2173" s="1" t="s">
        <v>1325</v>
      </c>
      <c r="V2173" s="1" t="s">
        <v>1994</v>
      </c>
      <c r="Y2173" s="1">
        <v>32281.69</v>
      </c>
      <c r="AB2173" s="1">
        <v>30667.61</v>
      </c>
    </row>
    <row r="2174" spans="2:28" x14ac:dyDescent="0.2">
      <c r="B2174" s="30" t="s">
        <v>2294</v>
      </c>
      <c r="C2174" s="36"/>
      <c r="D2174" s="36"/>
      <c r="F2174" s="1" t="s">
        <v>1322</v>
      </c>
      <c r="G2174" s="30" t="s">
        <v>4452</v>
      </c>
      <c r="K2174" s="1" t="s">
        <v>4487</v>
      </c>
      <c r="L2174" s="1" t="s">
        <v>1279</v>
      </c>
      <c r="M2174" s="36" t="s">
        <v>2313</v>
      </c>
      <c r="N2174" s="1" t="s">
        <v>1287</v>
      </c>
      <c r="O2174" s="1" t="s">
        <v>1286</v>
      </c>
      <c r="P2174" s="34" t="str">
        <f t="shared" si="44"/>
        <v>F010</v>
      </c>
      <c r="Q2174" s="1" t="s">
        <v>138</v>
      </c>
      <c r="S2174" s="16">
        <v>20</v>
      </c>
      <c r="T2174" s="1" t="s">
        <v>2299</v>
      </c>
      <c r="U2174" s="1" t="s">
        <v>1325</v>
      </c>
      <c r="V2174" s="1" t="s">
        <v>1994</v>
      </c>
      <c r="Y2174" s="1">
        <v>32281.69</v>
      </c>
      <c r="AB2174" s="1">
        <v>30667.61</v>
      </c>
    </row>
    <row r="2175" spans="2:28" x14ac:dyDescent="0.2">
      <c r="B2175" s="30" t="s">
        <v>2294</v>
      </c>
      <c r="C2175" s="36"/>
      <c r="D2175" s="36"/>
      <c r="F2175" s="1" t="s">
        <v>1322</v>
      </c>
      <c r="G2175" s="30" t="s">
        <v>4452</v>
      </c>
      <c r="K2175" s="1" t="s">
        <v>4488</v>
      </c>
      <c r="L2175" s="1" t="s">
        <v>1279</v>
      </c>
      <c r="M2175" s="36" t="s">
        <v>2313</v>
      </c>
      <c r="N2175" s="1" t="s">
        <v>1287</v>
      </c>
      <c r="O2175" s="1" t="s">
        <v>1286</v>
      </c>
      <c r="P2175" s="34" t="str">
        <f t="shared" si="44"/>
        <v>F010</v>
      </c>
      <c r="Q2175" s="1" t="s">
        <v>138</v>
      </c>
      <c r="S2175" s="16">
        <v>20</v>
      </c>
      <c r="T2175" s="1" t="s">
        <v>2427</v>
      </c>
      <c r="U2175" s="1" t="s">
        <v>1325</v>
      </c>
      <c r="V2175" s="1" t="s">
        <v>1994</v>
      </c>
      <c r="Y2175" s="1">
        <v>16570.990000000002</v>
      </c>
      <c r="AB2175" s="1">
        <v>15742.44</v>
      </c>
    </row>
    <row r="2176" spans="2:28" x14ac:dyDescent="0.2">
      <c r="B2176" s="30" t="s">
        <v>2294</v>
      </c>
      <c r="C2176" s="36"/>
      <c r="D2176" s="36"/>
      <c r="F2176" s="1" t="s">
        <v>1895</v>
      </c>
      <c r="G2176" s="30" t="s">
        <v>4452</v>
      </c>
      <c r="K2176" s="1" t="s">
        <v>4489</v>
      </c>
      <c r="L2176" s="1" t="s">
        <v>1279</v>
      </c>
      <c r="M2176" s="36" t="s">
        <v>2313</v>
      </c>
      <c r="N2176" s="1" t="s">
        <v>1287</v>
      </c>
      <c r="O2176" s="1" t="s">
        <v>1286</v>
      </c>
      <c r="P2176" s="34" t="str">
        <f t="shared" si="44"/>
        <v>F010</v>
      </c>
      <c r="Q2176" s="1" t="s">
        <v>138</v>
      </c>
      <c r="S2176" s="16">
        <v>20</v>
      </c>
      <c r="T2176" s="1" t="s">
        <v>2427</v>
      </c>
      <c r="U2176" s="1" t="s">
        <v>1325</v>
      </c>
      <c r="V2176" s="1" t="s">
        <v>1994</v>
      </c>
      <c r="Y2176" s="1">
        <v>16570.990000000002</v>
      </c>
      <c r="AB2176" s="1">
        <v>15742.44</v>
      </c>
    </row>
    <row r="2177" spans="2:28" x14ac:dyDescent="0.2">
      <c r="B2177" s="30" t="s">
        <v>2294</v>
      </c>
      <c r="C2177" s="36"/>
      <c r="D2177" s="36"/>
      <c r="F2177" s="1" t="s">
        <v>1895</v>
      </c>
      <c r="G2177" s="30" t="s">
        <v>4452</v>
      </c>
      <c r="K2177" s="1" t="s">
        <v>4490</v>
      </c>
      <c r="L2177" s="1" t="s">
        <v>1279</v>
      </c>
      <c r="M2177" s="36" t="s">
        <v>2313</v>
      </c>
      <c r="N2177" s="1" t="s">
        <v>1287</v>
      </c>
      <c r="O2177" s="1" t="s">
        <v>1286</v>
      </c>
      <c r="P2177" s="34" t="str">
        <f t="shared" si="44"/>
        <v>F010</v>
      </c>
      <c r="Q2177" s="1" t="s">
        <v>138</v>
      </c>
      <c r="S2177" s="16">
        <v>20</v>
      </c>
      <c r="T2177" s="1" t="s">
        <v>2427</v>
      </c>
      <c r="U2177" s="1" t="s">
        <v>1325</v>
      </c>
      <c r="V2177" s="1" t="s">
        <v>1994</v>
      </c>
      <c r="Y2177" s="1">
        <v>16570.990000000002</v>
      </c>
      <c r="AB2177" s="1">
        <v>15742.44</v>
      </c>
    </row>
    <row r="2178" spans="2:28" x14ac:dyDescent="0.2">
      <c r="B2178" s="30" t="s">
        <v>2294</v>
      </c>
      <c r="C2178" s="36"/>
      <c r="D2178" s="36"/>
      <c r="F2178" s="1" t="s">
        <v>1895</v>
      </c>
      <c r="G2178" s="30" t="s">
        <v>4452</v>
      </c>
      <c r="K2178" s="1" t="s">
        <v>4491</v>
      </c>
      <c r="L2178" s="1" t="s">
        <v>1279</v>
      </c>
      <c r="M2178" s="36" t="s">
        <v>1725</v>
      </c>
      <c r="N2178" s="1" t="s">
        <v>1287</v>
      </c>
      <c r="O2178" s="1" t="s">
        <v>1286</v>
      </c>
      <c r="P2178" s="34" t="str">
        <f t="shared" si="44"/>
        <v>F010</v>
      </c>
      <c r="Q2178" s="1" t="s">
        <v>138</v>
      </c>
      <c r="S2178" s="16">
        <v>20</v>
      </c>
      <c r="T2178" s="1" t="s">
        <v>2427</v>
      </c>
      <c r="U2178" s="1" t="s">
        <v>1411</v>
      </c>
      <c r="V2178" s="1" t="s">
        <v>1861</v>
      </c>
      <c r="Y2178" s="1">
        <v>25300</v>
      </c>
      <c r="AB2178" s="1">
        <v>24035</v>
      </c>
    </row>
    <row r="2179" spans="2:28" x14ac:dyDescent="0.2">
      <c r="B2179" s="30" t="s">
        <v>2294</v>
      </c>
      <c r="C2179" s="36"/>
      <c r="D2179" s="36"/>
      <c r="F2179" s="1" t="s">
        <v>1895</v>
      </c>
      <c r="G2179" s="30" t="s">
        <v>4452</v>
      </c>
      <c r="K2179" s="1" t="s">
        <v>4492</v>
      </c>
      <c r="L2179" s="1" t="s">
        <v>1279</v>
      </c>
      <c r="M2179" s="36" t="s">
        <v>1725</v>
      </c>
      <c r="N2179" s="1" t="s">
        <v>1287</v>
      </c>
      <c r="O2179" s="1" t="s">
        <v>1286</v>
      </c>
      <c r="P2179" s="34" t="str">
        <f t="shared" si="44"/>
        <v>F010</v>
      </c>
      <c r="Q2179" s="1" t="s">
        <v>138</v>
      </c>
      <c r="S2179" s="16">
        <v>20</v>
      </c>
      <c r="T2179" s="1" t="s">
        <v>2427</v>
      </c>
      <c r="U2179" s="1" t="s">
        <v>1411</v>
      </c>
      <c r="V2179" s="1" t="s">
        <v>1861</v>
      </c>
      <c r="Y2179" s="1">
        <v>25300</v>
      </c>
      <c r="AB2179" s="1">
        <v>24035</v>
      </c>
    </row>
    <row r="2180" spans="2:28" x14ac:dyDescent="0.2">
      <c r="B2180" s="30" t="s">
        <v>2294</v>
      </c>
      <c r="C2180" s="36"/>
      <c r="D2180" s="36"/>
      <c r="F2180" s="1" t="s">
        <v>1895</v>
      </c>
      <c r="G2180" s="30" t="s">
        <v>4452</v>
      </c>
      <c r="K2180" s="1" t="s">
        <v>4493</v>
      </c>
      <c r="L2180" s="1" t="s">
        <v>1279</v>
      </c>
      <c r="M2180" s="36" t="s">
        <v>1725</v>
      </c>
      <c r="N2180" s="1" t="s">
        <v>1287</v>
      </c>
      <c r="O2180" s="1" t="s">
        <v>1286</v>
      </c>
      <c r="P2180" s="34" t="str">
        <f t="shared" si="44"/>
        <v>F010</v>
      </c>
      <c r="Q2180" s="1" t="s">
        <v>138</v>
      </c>
      <c r="S2180" s="16">
        <v>20</v>
      </c>
      <c r="T2180" s="1" t="s">
        <v>2427</v>
      </c>
      <c r="U2180" s="1" t="s">
        <v>1411</v>
      </c>
      <c r="V2180" s="1" t="s">
        <v>1861</v>
      </c>
      <c r="Y2180" s="1">
        <v>23200</v>
      </c>
      <c r="AB2180" s="1">
        <v>22040</v>
      </c>
    </row>
    <row r="2181" spans="2:28" x14ac:dyDescent="0.2">
      <c r="B2181" s="30" t="s">
        <v>2294</v>
      </c>
      <c r="C2181" s="36"/>
      <c r="D2181" s="36"/>
      <c r="F2181" s="1" t="s">
        <v>1895</v>
      </c>
      <c r="G2181" s="30" t="s">
        <v>4452</v>
      </c>
      <c r="K2181" s="1" t="s">
        <v>4494</v>
      </c>
      <c r="L2181" s="1" t="s">
        <v>1279</v>
      </c>
      <c r="M2181" s="36" t="s">
        <v>2313</v>
      </c>
      <c r="N2181" s="1" t="s">
        <v>1291</v>
      </c>
      <c r="O2181" s="1" t="s">
        <v>1286</v>
      </c>
      <c r="P2181" s="34" t="str">
        <f t="shared" si="44"/>
        <v>F010</v>
      </c>
      <c r="Q2181" s="1" t="s">
        <v>4330</v>
      </c>
      <c r="S2181" s="16">
        <v>20</v>
      </c>
      <c r="T2181" s="1" t="s">
        <v>2299</v>
      </c>
      <c r="U2181" s="1" t="s">
        <v>1325</v>
      </c>
      <c r="V2181" s="1" t="s">
        <v>1994</v>
      </c>
      <c r="Y2181" s="1">
        <v>18500</v>
      </c>
      <c r="AB2181" s="1">
        <v>17575</v>
      </c>
    </row>
    <row r="2182" spans="2:28" x14ac:dyDescent="0.2">
      <c r="B2182" s="30" t="s">
        <v>2294</v>
      </c>
      <c r="C2182" s="36"/>
      <c r="D2182" s="36"/>
      <c r="F2182" s="1" t="s">
        <v>1322</v>
      </c>
      <c r="G2182" s="30" t="s">
        <v>4452</v>
      </c>
      <c r="K2182" s="1" t="s">
        <v>4495</v>
      </c>
      <c r="L2182" s="1" t="s">
        <v>1279</v>
      </c>
      <c r="M2182" s="36" t="s">
        <v>2313</v>
      </c>
      <c r="N2182" s="1" t="s">
        <v>1291</v>
      </c>
      <c r="O2182" s="1" t="s">
        <v>1286</v>
      </c>
      <c r="P2182" s="34" t="str">
        <f t="shared" si="44"/>
        <v>F010</v>
      </c>
      <c r="Q2182" s="1" t="s">
        <v>4330</v>
      </c>
      <c r="S2182" s="16">
        <v>20</v>
      </c>
      <c r="T2182" s="1" t="s">
        <v>2427</v>
      </c>
      <c r="U2182" s="1" t="s">
        <v>1325</v>
      </c>
      <c r="V2182" s="1" t="s">
        <v>1994</v>
      </c>
      <c r="Y2182" s="1">
        <v>18500</v>
      </c>
      <c r="AB2182" s="1">
        <v>17575</v>
      </c>
    </row>
    <row r="2183" spans="2:28" x14ac:dyDescent="0.2">
      <c r="B2183" s="30" t="s">
        <v>2294</v>
      </c>
      <c r="C2183" s="36"/>
      <c r="D2183" s="36"/>
      <c r="F2183" s="1" t="s">
        <v>1895</v>
      </c>
      <c r="G2183" s="30" t="s">
        <v>4452</v>
      </c>
      <c r="K2183" s="1" t="s">
        <v>4496</v>
      </c>
      <c r="L2183" s="1" t="s">
        <v>1279</v>
      </c>
      <c r="M2183" s="36" t="s">
        <v>1356</v>
      </c>
      <c r="N2183" s="1" t="s">
        <v>3317</v>
      </c>
      <c r="O2183" s="1" t="s">
        <v>1286</v>
      </c>
      <c r="P2183" s="34" t="str">
        <f t="shared" si="44"/>
        <v>F010</v>
      </c>
      <c r="Q2183" s="1" t="s">
        <v>129</v>
      </c>
      <c r="S2183" s="16">
        <v>20</v>
      </c>
      <c r="T2183" s="1" t="s">
        <v>2299</v>
      </c>
      <c r="U2183" s="1" t="s">
        <v>2442</v>
      </c>
      <c r="V2183" s="1" t="s">
        <v>2102</v>
      </c>
      <c r="Y2183" s="1">
        <v>30242.25</v>
      </c>
      <c r="AB2183" s="1">
        <v>28730.14</v>
      </c>
    </row>
    <row r="2184" spans="2:28" x14ac:dyDescent="0.2">
      <c r="B2184" s="30" t="s">
        <v>2294</v>
      </c>
      <c r="C2184" s="36"/>
      <c r="D2184" s="36"/>
      <c r="F2184" s="1" t="s">
        <v>1322</v>
      </c>
      <c r="G2184" s="30" t="s">
        <v>4452</v>
      </c>
      <c r="K2184" s="1" t="s">
        <v>4497</v>
      </c>
      <c r="L2184" s="1" t="s">
        <v>1279</v>
      </c>
      <c r="M2184" s="36" t="s">
        <v>1356</v>
      </c>
      <c r="N2184" s="1" t="s">
        <v>3317</v>
      </c>
      <c r="O2184" s="1" t="s">
        <v>1286</v>
      </c>
      <c r="P2184" s="34" t="str">
        <f t="shared" si="44"/>
        <v>F010</v>
      </c>
      <c r="Q2184" s="1" t="s">
        <v>129</v>
      </c>
      <c r="S2184" s="16">
        <v>20</v>
      </c>
      <c r="T2184" s="1" t="s">
        <v>2299</v>
      </c>
      <c r="U2184" s="1" t="s">
        <v>2442</v>
      </c>
      <c r="V2184" s="1" t="s">
        <v>2102</v>
      </c>
      <c r="Y2184" s="1">
        <v>30242.25</v>
      </c>
      <c r="AB2184" s="1">
        <v>28730.14</v>
      </c>
    </row>
    <row r="2185" spans="2:28" x14ac:dyDescent="0.2">
      <c r="B2185" s="30" t="s">
        <v>2294</v>
      </c>
      <c r="C2185" s="36"/>
      <c r="D2185" s="36"/>
      <c r="F2185" s="1" t="s">
        <v>1322</v>
      </c>
      <c r="G2185" s="30" t="s">
        <v>4452</v>
      </c>
      <c r="K2185" s="1" t="s">
        <v>4498</v>
      </c>
      <c r="L2185" s="1" t="s">
        <v>1279</v>
      </c>
      <c r="M2185" s="36" t="s">
        <v>1356</v>
      </c>
      <c r="N2185" s="1" t="s">
        <v>2394</v>
      </c>
      <c r="O2185" s="1" t="s">
        <v>1286</v>
      </c>
      <c r="P2185" s="34" t="str">
        <f t="shared" si="44"/>
        <v>F010</v>
      </c>
      <c r="Q2185" s="1" t="s">
        <v>129</v>
      </c>
      <c r="S2185" s="16">
        <v>20</v>
      </c>
      <c r="T2185" s="1" t="s">
        <v>2427</v>
      </c>
      <c r="U2185" s="1" t="s">
        <v>2442</v>
      </c>
      <c r="V2185" s="1" t="s">
        <v>2102</v>
      </c>
      <c r="Y2185" s="1">
        <v>30242.25</v>
      </c>
      <c r="AB2185" s="1">
        <v>28730.14</v>
      </c>
    </row>
    <row r="2186" spans="2:28" x14ac:dyDescent="0.2">
      <c r="B2186" s="30" t="s">
        <v>2294</v>
      </c>
      <c r="C2186" s="36"/>
      <c r="D2186" s="36"/>
      <c r="F2186" s="1" t="s">
        <v>1895</v>
      </c>
      <c r="G2186" s="30" t="s">
        <v>4452</v>
      </c>
      <c r="K2186" s="1" t="s">
        <v>4499</v>
      </c>
      <c r="L2186" s="1" t="s">
        <v>1279</v>
      </c>
      <c r="M2186" s="36" t="s">
        <v>1356</v>
      </c>
      <c r="N2186" s="1" t="s">
        <v>2394</v>
      </c>
      <c r="O2186" s="1" t="s">
        <v>1286</v>
      </c>
      <c r="P2186" s="34" t="str">
        <f t="shared" si="44"/>
        <v>F010</v>
      </c>
      <c r="Q2186" s="1" t="s">
        <v>129</v>
      </c>
      <c r="S2186" s="16">
        <v>20</v>
      </c>
      <c r="T2186" s="1" t="s">
        <v>2427</v>
      </c>
      <c r="U2186" s="1" t="s">
        <v>2442</v>
      </c>
      <c r="V2186" s="1" t="s">
        <v>2102</v>
      </c>
      <c r="Y2186" s="1">
        <v>30242.25</v>
      </c>
      <c r="AB2186" s="1">
        <v>28730.14</v>
      </c>
    </row>
    <row r="2187" spans="2:28" s="58" customFormat="1" x14ac:dyDescent="0.2">
      <c r="B2187" s="56" t="s">
        <v>2294</v>
      </c>
      <c r="C2187" s="57">
        <v>33000</v>
      </c>
      <c r="D2187" s="48">
        <f t="shared" ref="D2187:D2196" si="45">+C2187/100000</f>
        <v>0.33</v>
      </c>
      <c r="E2187" s="58" t="s">
        <v>1331</v>
      </c>
      <c r="F2187" s="58" t="s">
        <v>1895</v>
      </c>
      <c r="G2187" s="56" t="s">
        <v>4452</v>
      </c>
      <c r="K2187" s="58" t="s">
        <v>4500</v>
      </c>
      <c r="L2187" s="58" t="s">
        <v>1279</v>
      </c>
      <c r="M2187" s="58" t="s">
        <v>1356</v>
      </c>
      <c r="N2187" s="58" t="s">
        <v>2394</v>
      </c>
      <c r="O2187" s="58" t="s">
        <v>1286</v>
      </c>
      <c r="P2187" s="58" t="str">
        <f t="shared" si="44"/>
        <v>F010</v>
      </c>
      <c r="Q2187" s="58" t="s">
        <v>129</v>
      </c>
      <c r="S2187" s="59">
        <v>20</v>
      </c>
      <c r="T2187" s="58" t="s">
        <v>2427</v>
      </c>
      <c r="U2187" s="58" t="s">
        <v>2442</v>
      </c>
      <c r="V2187" s="58" t="s">
        <v>2102</v>
      </c>
      <c r="Y2187" s="58">
        <v>103287.03</v>
      </c>
      <c r="AB2187" s="58">
        <v>98122.68</v>
      </c>
    </row>
    <row r="2188" spans="2:28" s="58" customFormat="1" x14ac:dyDescent="0.2">
      <c r="B2188" s="56" t="s">
        <v>2294</v>
      </c>
      <c r="C2188" s="57">
        <v>4000</v>
      </c>
      <c r="D2188" s="48">
        <f t="shared" si="45"/>
        <v>0.04</v>
      </c>
      <c r="E2188" s="58" t="s">
        <v>1337</v>
      </c>
      <c r="F2188" s="58" t="s">
        <v>1895</v>
      </c>
      <c r="G2188" s="56" t="s">
        <v>4452</v>
      </c>
      <c r="K2188" s="58" t="s">
        <v>4500</v>
      </c>
      <c r="L2188" s="58" t="s">
        <v>1279</v>
      </c>
      <c r="M2188" s="58" t="s">
        <v>1356</v>
      </c>
      <c r="N2188" s="58" t="s">
        <v>1573</v>
      </c>
      <c r="O2188" s="58" t="s">
        <v>1286</v>
      </c>
      <c r="P2188" s="58" t="str">
        <f t="shared" si="44"/>
        <v>F010</v>
      </c>
      <c r="Q2188" s="58" t="s">
        <v>129</v>
      </c>
      <c r="S2188" s="59">
        <v>20</v>
      </c>
      <c r="T2188" s="58" t="s">
        <v>2427</v>
      </c>
      <c r="U2188" s="58" t="s">
        <v>2442</v>
      </c>
      <c r="V2188" s="58" t="s">
        <v>2102</v>
      </c>
      <c r="Y2188" s="58">
        <v>12519.64</v>
      </c>
      <c r="AB2188" s="58">
        <v>11893.66</v>
      </c>
    </row>
    <row r="2189" spans="2:28" s="58" customFormat="1" x14ac:dyDescent="0.2">
      <c r="B2189" s="56" t="s">
        <v>2294</v>
      </c>
      <c r="C2189" s="57">
        <v>13000</v>
      </c>
      <c r="D2189" s="48">
        <f t="shared" si="45"/>
        <v>0.13</v>
      </c>
      <c r="E2189" s="58" t="s">
        <v>1348</v>
      </c>
      <c r="F2189" s="58" t="s">
        <v>1895</v>
      </c>
      <c r="G2189" s="56" t="s">
        <v>4452</v>
      </c>
      <c r="K2189" s="58" t="s">
        <v>4500</v>
      </c>
      <c r="L2189" s="58" t="s">
        <v>1279</v>
      </c>
      <c r="M2189" s="58" t="s">
        <v>1356</v>
      </c>
      <c r="N2189" s="58" t="s">
        <v>1837</v>
      </c>
      <c r="O2189" s="58" t="s">
        <v>1286</v>
      </c>
      <c r="P2189" s="58" t="str">
        <f t="shared" si="44"/>
        <v>F010</v>
      </c>
      <c r="Q2189" s="58" t="s">
        <v>129</v>
      </c>
      <c r="S2189" s="59">
        <v>20</v>
      </c>
      <c r="T2189" s="58" t="s">
        <v>2427</v>
      </c>
      <c r="U2189" s="58" t="s">
        <v>2442</v>
      </c>
      <c r="V2189" s="58" t="s">
        <v>2102</v>
      </c>
      <c r="Y2189" s="58">
        <v>40688.83</v>
      </c>
      <c r="AB2189" s="58">
        <v>38654.39</v>
      </c>
    </row>
    <row r="2190" spans="2:28" s="58" customFormat="1" x14ac:dyDescent="0.2">
      <c r="B2190" s="56" t="s">
        <v>2294</v>
      </c>
      <c r="C2190" s="57">
        <v>3000</v>
      </c>
      <c r="D2190" s="48">
        <f t="shared" si="45"/>
        <v>0.03</v>
      </c>
      <c r="E2190" s="58" t="s">
        <v>1351</v>
      </c>
      <c r="F2190" s="58" t="s">
        <v>1895</v>
      </c>
      <c r="G2190" s="56" t="s">
        <v>4452</v>
      </c>
      <c r="K2190" s="58" t="s">
        <v>4500</v>
      </c>
      <c r="L2190" s="58" t="s">
        <v>1279</v>
      </c>
      <c r="M2190" s="58" t="s">
        <v>1356</v>
      </c>
      <c r="N2190" s="58" t="s">
        <v>1833</v>
      </c>
      <c r="O2190" s="58" t="s">
        <v>1286</v>
      </c>
      <c r="P2190" s="58" t="str">
        <f t="shared" si="44"/>
        <v>F010</v>
      </c>
      <c r="Q2190" s="58" t="s">
        <v>129</v>
      </c>
      <c r="S2190" s="59">
        <v>20</v>
      </c>
      <c r="T2190" s="58" t="s">
        <v>2427</v>
      </c>
      <c r="U2190" s="58" t="s">
        <v>2442</v>
      </c>
      <c r="V2190" s="58" t="s">
        <v>2102</v>
      </c>
      <c r="Y2190" s="58">
        <v>9389.73</v>
      </c>
      <c r="AB2190" s="58">
        <v>8920.24</v>
      </c>
    </row>
    <row r="2191" spans="2:28" s="58" customFormat="1" x14ac:dyDescent="0.2">
      <c r="B2191" s="56" t="s">
        <v>2294</v>
      </c>
      <c r="C2191" s="57">
        <v>47000</v>
      </c>
      <c r="D2191" s="48">
        <f t="shared" si="45"/>
        <v>0.47</v>
      </c>
      <c r="E2191" s="58" t="s">
        <v>1352</v>
      </c>
      <c r="F2191" s="58" t="s">
        <v>1895</v>
      </c>
      <c r="G2191" s="56" t="s">
        <v>4452</v>
      </c>
      <c r="K2191" s="58" t="s">
        <v>4500</v>
      </c>
      <c r="L2191" s="58" t="s">
        <v>1279</v>
      </c>
      <c r="M2191" s="58" t="s">
        <v>1356</v>
      </c>
      <c r="N2191" s="58" t="s">
        <v>1687</v>
      </c>
      <c r="O2191" s="58" t="s">
        <v>1286</v>
      </c>
      <c r="P2191" s="58" t="str">
        <f t="shared" si="44"/>
        <v>F010</v>
      </c>
      <c r="Q2191" s="58" t="s">
        <v>129</v>
      </c>
      <c r="S2191" s="59">
        <v>20</v>
      </c>
      <c r="T2191" s="58" t="s">
        <v>2299</v>
      </c>
      <c r="U2191" s="58" t="s">
        <v>2442</v>
      </c>
      <c r="V2191" s="58" t="s">
        <v>2102</v>
      </c>
      <c r="Y2191" s="58">
        <v>147105.76999999999</v>
      </c>
      <c r="AB2191" s="58">
        <v>139750.48000000001</v>
      </c>
    </row>
    <row r="2192" spans="2:28" s="58" customFormat="1" x14ac:dyDescent="0.2">
      <c r="B2192" s="56" t="s">
        <v>2294</v>
      </c>
      <c r="C2192" s="57">
        <v>33000</v>
      </c>
      <c r="D2192" s="48">
        <f t="shared" si="45"/>
        <v>0.33</v>
      </c>
      <c r="E2192" s="58" t="s">
        <v>1331</v>
      </c>
      <c r="F2192" s="58" t="s">
        <v>1322</v>
      </c>
      <c r="G2192" s="56" t="s">
        <v>4452</v>
      </c>
      <c r="K2192" s="58" t="s">
        <v>4501</v>
      </c>
      <c r="L2192" s="58" t="s">
        <v>1279</v>
      </c>
      <c r="M2192" s="58" t="s">
        <v>1356</v>
      </c>
      <c r="N2192" s="58" t="s">
        <v>2394</v>
      </c>
      <c r="O2192" s="58" t="s">
        <v>1286</v>
      </c>
      <c r="P2192" s="58" t="str">
        <f t="shared" si="44"/>
        <v>F010</v>
      </c>
      <c r="Q2192" s="58" t="s">
        <v>129</v>
      </c>
      <c r="S2192" s="59">
        <v>20</v>
      </c>
      <c r="T2192" s="58" t="s">
        <v>2427</v>
      </c>
      <c r="U2192" s="58" t="s">
        <v>2442</v>
      </c>
      <c r="V2192" s="58" t="s">
        <v>2102</v>
      </c>
      <c r="Y2192" s="58">
        <v>103287.03</v>
      </c>
      <c r="AB2192" s="58">
        <v>98122.68</v>
      </c>
    </row>
    <row r="2193" spans="2:28" s="58" customFormat="1" x14ac:dyDescent="0.2">
      <c r="B2193" s="56" t="s">
        <v>2294</v>
      </c>
      <c r="C2193" s="57">
        <v>4000</v>
      </c>
      <c r="D2193" s="48">
        <f t="shared" si="45"/>
        <v>0.04</v>
      </c>
      <c r="E2193" s="58" t="s">
        <v>1337</v>
      </c>
      <c r="F2193" s="58" t="s">
        <v>1895</v>
      </c>
      <c r="G2193" s="56" t="s">
        <v>4452</v>
      </c>
      <c r="K2193" s="58" t="s">
        <v>4501</v>
      </c>
      <c r="L2193" s="58" t="s">
        <v>1279</v>
      </c>
      <c r="M2193" s="58" t="s">
        <v>1356</v>
      </c>
      <c r="N2193" s="58" t="s">
        <v>1573</v>
      </c>
      <c r="O2193" s="58" t="s">
        <v>1286</v>
      </c>
      <c r="P2193" s="58" t="str">
        <f t="shared" si="44"/>
        <v>F010</v>
      </c>
      <c r="Q2193" s="58" t="s">
        <v>129</v>
      </c>
      <c r="S2193" s="59">
        <v>20</v>
      </c>
      <c r="T2193" s="58" t="s">
        <v>2299</v>
      </c>
      <c r="U2193" s="58" t="s">
        <v>2442</v>
      </c>
      <c r="V2193" s="58" t="s">
        <v>2102</v>
      </c>
      <c r="Y2193" s="58">
        <v>12519.64</v>
      </c>
      <c r="AB2193" s="58">
        <v>11893.66</v>
      </c>
    </row>
    <row r="2194" spans="2:28" s="58" customFormat="1" x14ac:dyDescent="0.2">
      <c r="B2194" s="56" t="s">
        <v>2294</v>
      </c>
      <c r="C2194" s="57">
        <v>13000</v>
      </c>
      <c r="D2194" s="48">
        <f t="shared" si="45"/>
        <v>0.13</v>
      </c>
      <c r="E2194" s="58" t="s">
        <v>1348</v>
      </c>
      <c r="F2194" s="58" t="s">
        <v>1322</v>
      </c>
      <c r="G2194" s="56" t="s">
        <v>4452</v>
      </c>
      <c r="K2194" s="58" t="s">
        <v>4501</v>
      </c>
      <c r="L2194" s="58" t="s">
        <v>1279</v>
      </c>
      <c r="M2194" s="58" t="s">
        <v>1356</v>
      </c>
      <c r="N2194" s="58" t="s">
        <v>1837</v>
      </c>
      <c r="O2194" s="58" t="s">
        <v>1286</v>
      </c>
      <c r="P2194" s="58" t="str">
        <f t="shared" si="44"/>
        <v>F010</v>
      </c>
      <c r="Q2194" s="58" t="s">
        <v>129</v>
      </c>
      <c r="S2194" s="59">
        <v>20</v>
      </c>
      <c r="T2194" s="58" t="s">
        <v>2299</v>
      </c>
      <c r="U2194" s="58" t="s">
        <v>2442</v>
      </c>
      <c r="V2194" s="58" t="s">
        <v>2102</v>
      </c>
      <c r="Y2194" s="58">
        <v>40688.83</v>
      </c>
      <c r="AB2194" s="58">
        <v>38654.39</v>
      </c>
    </row>
    <row r="2195" spans="2:28" s="58" customFormat="1" x14ac:dyDescent="0.2">
      <c r="B2195" s="56" t="s">
        <v>2294</v>
      </c>
      <c r="C2195" s="57">
        <v>3000</v>
      </c>
      <c r="D2195" s="48">
        <f t="shared" si="45"/>
        <v>0.03</v>
      </c>
      <c r="E2195" s="58" t="s">
        <v>1351</v>
      </c>
      <c r="F2195" s="58" t="s">
        <v>1322</v>
      </c>
      <c r="G2195" s="56" t="s">
        <v>4452</v>
      </c>
      <c r="K2195" s="58" t="s">
        <v>4501</v>
      </c>
      <c r="L2195" s="58" t="s">
        <v>1279</v>
      </c>
      <c r="M2195" s="58" t="s">
        <v>1356</v>
      </c>
      <c r="N2195" s="58" t="s">
        <v>1833</v>
      </c>
      <c r="O2195" s="58" t="s">
        <v>1286</v>
      </c>
      <c r="P2195" s="58" t="str">
        <f t="shared" si="44"/>
        <v>F010</v>
      </c>
      <c r="Q2195" s="58" t="s">
        <v>129</v>
      </c>
      <c r="S2195" s="59">
        <v>20</v>
      </c>
      <c r="T2195" s="58" t="s">
        <v>2427</v>
      </c>
      <c r="U2195" s="58" t="s">
        <v>2442</v>
      </c>
      <c r="V2195" s="58" t="s">
        <v>2102</v>
      </c>
      <c r="Y2195" s="58">
        <v>9389.73</v>
      </c>
      <c r="AB2195" s="58">
        <v>8920.24</v>
      </c>
    </row>
    <row r="2196" spans="2:28" s="58" customFormat="1" x14ac:dyDescent="0.2">
      <c r="B2196" s="56" t="s">
        <v>2294</v>
      </c>
      <c r="C2196" s="57">
        <v>47000</v>
      </c>
      <c r="D2196" s="48">
        <f t="shared" si="45"/>
        <v>0.47</v>
      </c>
      <c r="E2196" s="58" t="s">
        <v>1352</v>
      </c>
      <c r="F2196" s="58" t="s">
        <v>1895</v>
      </c>
      <c r="G2196" s="56" t="s">
        <v>4452</v>
      </c>
      <c r="K2196" s="58" t="s">
        <v>4501</v>
      </c>
      <c r="L2196" s="58" t="s">
        <v>1279</v>
      </c>
      <c r="M2196" s="58" t="s">
        <v>1356</v>
      </c>
      <c r="N2196" s="58" t="s">
        <v>1687</v>
      </c>
      <c r="O2196" s="58" t="s">
        <v>1286</v>
      </c>
      <c r="P2196" s="58" t="str">
        <f t="shared" si="44"/>
        <v>F010</v>
      </c>
      <c r="Q2196" s="58" t="s">
        <v>129</v>
      </c>
      <c r="S2196" s="59">
        <v>20</v>
      </c>
      <c r="T2196" s="58" t="s">
        <v>2427</v>
      </c>
      <c r="U2196" s="58" t="s">
        <v>2442</v>
      </c>
      <c r="V2196" s="58" t="s">
        <v>2102</v>
      </c>
      <c r="Y2196" s="58">
        <v>147105.76999999999</v>
      </c>
      <c r="AB2196" s="58">
        <v>139750.48000000001</v>
      </c>
    </row>
    <row r="2197" spans="2:28" x14ac:dyDescent="0.2">
      <c r="B2197" s="30" t="s">
        <v>2294</v>
      </c>
      <c r="C2197" s="36"/>
      <c r="D2197" s="36"/>
      <c r="F2197" s="1" t="s">
        <v>1895</v>
      </c>
      <c r="G2197" s="30" t="s">
        <v>4452</v>
      </c>
      <c r="K2197" s="1" t="s">
        <v>4502</v>
      </c>
      <c r="L2197" s="1" t="s">
        <v>1279</v>
      </c>
      <c r="M2197" s="36" t="s">
        <v>1875</v>
      </c>
      <c r="N2197" s="1" t="s">
        <v>1287</v>
      </c>
      <c r="O2197" s="1" t="s">
        <v>1286</v>
      </c>
      <c r="P2197" s="34" t="str">
        <f t="shared" si="44"/>
        <v>F010</v>
      </c>
      <c r="Q2197" s="1" t="s">
        <v>138</v>
      </c>
      <c r="S2197" s="16">
        <v>20</v>
      </c>
      <c r="T2197" s="1" t="s">
        <v>2427</v>
      </c>
      <c r="U2197" s="1" t="s">
        <v>1762</v>
      </c>
      <c r="V2197" s="1" t="s">
        <v>1555</v>
      </c>
      <c r="Y2197" s="1">
        <v>156233.43</v>
      </c>
      <c r="AB2197" s="1">
        <v>148421.76000000001</v>
      </c>
    </row>
    <row r="2198" spans="2:28" x14ac:dyDescent="0.2">
      <c r="B2198" s="30" t="s">
        <v>2294</v>
      </c>
      <c r="C2198" s="36"/>
      <c r="D2198" s="36"/>
      <c r="F2198" s="1" t="s">
        <v>1895</v>
      </c>
      <c r="G2198" s="30" t="s">
        <v>4452</v>
      </c>
      <c r="K2198" s="1" t="s">
        <v>4503</v>
      </c>
      <c r="L2198" s="1" t="s">
        <v>1279</v>
      </c>
      <c r="M2198" s="36" t="s">
        <v>1343</v>
      </c>
      <c r="N2198" s="1" t="s">
        <v>1287</v>
      </c>
      <c r="O2198" s="1" t="s">
        <v>1286</v>
      </c>
      <c r="P2198" s="34" t="str">
        <f t="shared" si="44"/>
        <v>F010</v>
      </c>
      <c r="Q2198" s="1" t="s">
        <v>138</v>
      </c>
      <c r="S2198" s="16">
        <v>20</v>
      </c>
      <c r="T2198" s="1" t="s">
        <v>2427</v>
      </c>
      <c r="U2198" s="1" t="s">
        <v>2319</v>
      </c>
      <c r="V2198" s="1" t="s">
        <v>2515</v>
      </c>
      <c r="Y2198" s="1">
        <v>408902</v>
      </c>
      <c r="AB2198" s="1">
        <v>388456.9</v>
      </c>
    </row>
    <row r="2199" spans="2:28" x14ac:dyDescent="0.2">
      <c r="B2199" s="30" t="s">
        <v>2294</v>
      </c>
      <c r="C2199" s="36"/>
      <c r="D2199" s="36"/>
      <c r="F2199" s="1" t="s">
        <v>1895</v>
      </c>
      <c r="G2199" s="30" t="s">
        <v>4452</v>
      </c>
      <c r="K2199" s="1" t="s">
        <v>4504</v>
      </c>
      <c r="L2199" s="1" t="s">
        <v>1279</v>
      </c>
      <c r="M2199" s="36" t="s">
        <v>1343</v>
      </c>
      <c r="N2199" s="1" t="s">
        <v>1287</v>
      </c>
      <c r="O2199" s="1" t="s">
        <v>1286</v>
      </c>
      <c r="P2199" s="34" t="str">
        <f t="shared" si="44"/>
        <v>F010</v>
      </c>
      <c r="Q2199" s="1" t="s">
        <v>138</v>
      </c>
      <c r="S2199" s="16">
        <v>20</v>
      </c>
      <c r="T2199" s="1" t="s">
        <v>2427</v>
      </c>
      <c r="U2199" s="1" t="s">
        <v>2319</v>
      </c>
      <c r="V2199" s="1" t="s">
        <v>2515</v>
      </c>
      <c r="Y2199" s="1">
        <v>408902</v>
      </c>
      <c r="AB2199" s="1">
        <v>388456.9</v>
      </c>
    </row>
    <row r="2200" spans="2:28" x14ac:dyDescent="0.2">
      <c r="B2200" s="30" t="s">
        <v>2294</v>
      </c>
      <c r="C2200" s="36"/>
      <c r="D2200" s="36"/>
      <c r="F2200" s="1" t="s">
        <v>1895</v>
      </c>
      <c r="G2200" s="30" t="s">
        <v>4505</v>
      </c>
      <c r="K2200" s="1" t="s">
        <v>4506</v>
      </c>
      <c r="L2200" s="1" t="s">
        <v>1279</v>
      </c>
      <c r="M2200" s="36" t="s">
        <v>4507</v>
      </c>
      <c r="N2200" s="1" t="s">
        <v>1944</v>
      </c>
      <c r="O2200" s="1" t="s">
        <v>1286</v>
      </c>
      <c r="P2200" s="34" t="str">
        <f t="shared" si="44"/>
        <v>F010</v>
      </c>
      <c r="Q2200" s="1" t="s">
        <v>127</v>
      </c>
      <c r="S2200" s="16">
        <v>20</v>
      </c>
      <c r="T2200" s="1" t="s">
        <v>2427</v>
      </c>
      <c r="U2200" s="1" t="s">
        <v>1471</v>
      </c>
      <c r="V2200" s="1" t="s">
        <v>1473</v>
      </c>
      <c r="Y2200" s="1">
        <v>8160</v>
      </c>
      <c r="AB2200" s="1">
        <v>7752</v>
      </c>
    </row>
    <row r="2201" spans="2:28" x14ac:dyDescent="0.2">
      <c r="B2201" s="30" t="s">
        <v>2294</v>
      </c>
      <c r="C2201" s="36"/>
      <c r="D2201" s="36"/>
      <c r="F2201" s="1" t="s">
        <v>1895</v>
      </c>
      <c r="G2201" s="30" t="s">
        <v>4505</v>
      </c>
      <c r="K2201" s="1" t="s">
        <v>4508</v>
      </c>
      <c r="L2201" s="1" t="s">
        <v>1279</v>
      </c>
      <c r="M2201" s="36" t="s">
        <v>4422</v>
      </c>
      <c r="N2201" s="1" t="s">
        <v>1837</v>
      </c>
      <c r="O2201" s="1" t="s">
        <v>1286</v>
      </c>
      <c r="P2201" s="34" t="str">
        <f t="shared" si="44"/>
        <v>F010</v>
      </c>
      <c r="Q2201" s="1" t="s">
        <v>129</v>
      </c>
      <c r="S2201" s="16">
        <v>20</v>
      </c>
      <c r="T2201" s="1" t="s">
        <v>2299</v>
      </c>
      <c r="U2201" s="1" t="s">
        <v>2317</v>
      </c>
      <c r="V2201" s="1" t="s">
        <v>1343</v>
      </c>
      <c r="Y2201" s="1">
        <v>8400</v>
      </c>
      <c r="AB2201" s="1">
        <v>7980</v>
      </c>
    </row>
    <row r="2202" spans="2:28" x14ac:dyDescent="0.2">
      <c r="B2202" s="30" t="s">
        <v>2294</v>
      </c>
      <c r="C2202" s="36"/>
      <c r="D2202" s="36"/>
      <c r="F2202" s="1" t="s">
        <v>1322</v>
      </c>
      <c r="G2202" s="30" t="s">
        <v>4509</v>
      </c>
      <c r="K2202" s="1" t="s">
        <v>4510</v>
      </c>
      <c r="L2202" s="1" t="s">
        <v>1279</v>
      </c>
      <c r="M2202" s="36" t="s">
        <v>1325</v>
      </c>
      <c r="N2202" s="1" t="s">
        <v>2314</v>
      </c>
      <c r="O2202" s="1" t="s">
        <v>1286</v>
      </c>
      <c r="P2202" s="34" t="str">
        <f t="shared" si="44"/>
        <v>F010</v>
      </c>
      <c r="Q2202" s="1" t="s">
        <v>137</v>
      </c>
      <c r="S2202" s="16">
        <v>20</v>
      </c>
      <c r="T2202" s="1" t="s">
        <v>2427</v>
      </c>
      <c r="U2202" s="1" t="s">
        <v>4288</v>
      </c>
      <c r="V2202" s="1" t="s">
        <v>1691</v>
      </c>
      <c r="Y2202" s="1">
        <v>8830.26</v>
      </c>
      <c r="AB2202" s="1">
        <v>8388.75</v>
      </c>
    </row>
    <row r="2203" spans="2:28" x14ac:dyDescent="0.2">
      <c r="B2203" s="30" t="s">
        <v>2294</v>
      </c>
      <c r="C2203" s="36"/>
      <c r="D2203" s="36"/>
      <c r="F2203" s="1" t="s">
        <v>1895</v>
      </c>
      <c r="G2203" s="30" t="s">
        <v>4511</v>
      </c>
      <c r="K2203" s="1" t="s">
        <v>4512</v>
      </c>
      <c r="L2203" s="1" t="s">
        <v>1279</v>
      </c>
      <c r="M2203" s="36" t="s">
        <v>1821</v>
      </c>
      <c r="N2203" s="1" t="s">
        <v>1291</v>
      </c>
      <c r="O2203" s="1" t="s">
        <v>1286</v>
      </c>
      <c r="P2203" s="34" t="str">
        <f t="shared" si="44"/>
        <v>F010</v>
      </c>
      <c r="Q2203" s="1" t="s">
        <v>4330</v>
      </c>
      <c r="S2203" s="16">
        <v>20</v>
      </c>
      <c r="T2203" s="1" t="s">
        <v>2299</v>
      </c>
      <c r="U2203" s="1" t="s">
        <v>1408</v>
      </c>
      <c r="V2203" s="1" t="s">
        <v>2022</v>
      </c>
      <c r="Y2203" s="1">
        <v>17459</v>
      </c>
      <c r="AB2203" s="1">
        <v>16586.05</v>
      </c>
    </row>
    <row r="2204" spans="2:28" s="58" customFormat="1" x14ac:dyDescent="0.2">
      <c r="B2204" s="56" t="s">
        <v>2294</v>
      </c>
      <c r="C2204" s="57">
        <v>80000</v>
      </c>
      <c r="D2204" s="48">
        <f t="shared" ref="D2204:D2225" si="46">+C2204/100000</f>
        <v>0.8</v>
      </c>
      <c r="E2204" s="58" t="s">
        <v>1331</v>
      </c>
      <c r="F2204" s="58" t="s">
        <v>1322</v>
      </c>
      <c r="G2204" s="56" t="s">
        <v>4513</v>
      </c>
      <c r="K2204" s="58" t="s">
        <v>4514</v>
      </c>
      <c r="L2204" s="58" t="s">
        <v>1279</v>
      </c>
      <c r="M2204" s="58" t="s">
        <v>1434</v>
      </c>
      <c r="N2204" s="58" t="s">
        <v>1286</v>
      </c>
      <c r="O2204" s="58" t="s">
        <v>1286</v>
      </c>
      <c r="P2204" s="58" t="str">
        <f t="shared" si="44"/>
        <v>F010</v>
      </c>
      <c r="Q2204" s="58" t="s">
        <v>138</v>
      </c>
      <c r="S2204" s="59">
        <v>20</v>
      </c>
      <c r="T2204" s="58" t="s">
        <v>2299</v>
      </c>
      <c r="U2204" s="58" t="s">
        <v>1457</v>
      </c>
      <c r="V2204" s="58" t="s">
        <v>2037</v>
      </c>
      <c r="Y2204" s="58">
        <v>27217.919999999998</v>
      </c>
      <c r="AB2204" s="58">
        <v>25857.02</v>
      </c>
    </row>
    <row r="2205" spans="2:28" s="58" customFormat="1" x14ac:dyDescent="0.2">
      <c r="B2205" s="56" t="s">
        <v>2294</v>
      </c>
      <c r="C2205" s="57">
        <v>20000</v>
      </c>
      <c r="D2205" s="48">
        <f t="shared" si="46"/>
        <v>0.2</v>
      </c>
      <c r="E2205" s="58" t="s">
        <v>1337</v>
      </c>
      <c r="F2205" s="58" t="s">
        <v>1322</v>
      </c>
      <c r="G2205" s="56" t="s">
        <v>4513</v>
      </c>
      <c r="K2205" s="58" t="s">
        <v>4514</v>
      </c>
      <c r="L2205" s="58" t="s">
        <v>1279</v>
      </c>
      <c r="M2205" s="58" t="s">
        <v>1434</v>
      </c>
      <c r="N2205" s="58" t="s">
        <v>1287</v>
      </c>
      <c r="O2205" s="58" t="s">
        <v>1286</v>
      </c>
      <c r="P2205" s="58" t="str">
        <f t="shared" si="44"/>
        <v>F010</v>
      </c>
      <c r="Q2205" s="58" t="s">
        <v>138</v>
      </c>
      <c r="S2205" s="59">
        <v>20</v>
      </c>
      <c r="T2205" s="58" t="s">
        <v>2427</v>
      </c>
      <c r="U2205" s="58" t="s">
        <v>1457</v>
      </c>
      <c r="V2205" s="58" t="s">
        <v>2037</v>
      </c>
      <c r="Y2205" s="58">
        <v>6804.48</v>
      </c>
      <c r="AB2205" s="58">
        <v>6464.26</v>
      </c>
    </row>
    <row r="2206" spans="2:28" s="58" customFormat="1" x14ac:dyDescent="0.2">
      <c r="B2206" s="56" t="s">
        <v>2294</v>
      </c>
      <c r="C2206" s="63">
        <v>80000</v>
      </c>
      <c r="D2206" s="48">
        <f t="shared" si="46"/>
        <v>0.8</v>
      </c>
      <c r="E2206" s="63" t="s">
        <v>1331</v>
      </c>
      <c r="F2206" s="58" t="s">
        <v>1895</v>
      </c>
      <c r="G2206" s="56" t="s">
        <v>4513</v>
      </c>
      <c r="K2206" s="58" t="s">
        <v>4515</v>
      </c>
      <c r="L2206" s="58" t="s">
        <v>1279</v>
      </c>
      <c r="M2206" s="58" t="s">
        <v>1434</v>
      </c>
      <c r="N2206" s="58" t="s">
        <v>1286</v>
      </c>
      <c r="O2206" s="58" t="s">
        <v>1286</v>
      </c>
      <c r="P2206" s="58" t="str">
        <f t="shared" si="44"/>
        <v>F010</v>
      </c>
      <c r="Q2206" s="58" t="s">
        <v>138</v>
      </c>
      <c r="S2206" s="59">
        <v>20</v>
      </c>
      <c r="T2206" s="58" t="s">
        <v>2427</v>
      </c>
      <c r="U2206" s="58" t="s">
        <v>1457</v>
      </c>
      <c r="V2206" s="58" t="s">
        <v>2037</v>
      </c>
      <c r="Y2206" s="58">
        <v>27217.919999999998</v>
      </c>
      <c r="AB2206" s="58">
        <v>25857.02</v>
      </c>
    </row>
    <row r="2207" spans="2:28" s="58" customFormat="1" x14ac:dyDescent="0.2">
      <c r="B2207" s="56" t="s">
        <v>2294</v>
      </c>
      <c r="C2207" s="63">
        <v>20000</v>
      </c>
      <c r="D2207" s="48">
        <f t="shared" si="46"/>
        <v>0.2</v>
      </c>
      <c r="E2207" s="63" t="s">
        <v>1337</v>
      </c>
      <c r="F2207" s="58" t="s">
        <v>1895</v>
      </c>
      <c r="G2207" s="56" t="s">
        <v>4513</v>
      </c>
      <c r="K2207" s="58" t="s">
        <v>4515</v>
      </c>
      <c r="L2207" s="58" t="s">
        <v>1279</v>
      </c>
      <c r="M2207" s="58" t="s">
        <v>1434</v>
      </c>
      <c r="N2207" s="58" t="s">
        <v>1287</v>
      </c>
      <c r="O2207" s="58" t="s">
        <v>1286</v>
      </c>
      <c r="P2207" s="58" t="str">
        <f t="shared" si="44"/>
        <v>F010</v>
      </c>
      <c r="Q2207" s="58" t="s">
        <v>138</v>
      </c>
      <c r="S2207" s="59">
        <v>20</v>
      </c>
      <c r="T2207" s="58" t="s">
        <v>2427</v>
      </c>
      <c r="U2207" s="58" t="s">
        <v>1457</v>
      </c>
      <c r="V2207" s="58" t="s">
        <v>2037</v>
      </c>
      <c r="Y2207" s="58">
        <v>6804.48</v>
      </c>
      <c r="AB2207" s="58">
        <v>6464.26</v>
      </c>
    </row>
    <row r="2208" spans="2:28" s="58" customFormat="1" x14ac:dyDescent="0.2">
      <c r="B2208" s="56" t="s">
        <v>2294</v>
      </c>
      <c r="C2208" s="57">
        <v>80000</v>
      </c>
      <c r="D2208" s="48">
        <f t="shared" si="46"/>
        <v>0.8</v>
      </c>
      <c r="E2208" s="58" t="s">
        <v>1331</v>
      </c>
      <c r="F2208" s="58" t="s">
        <v>1895</v>
      </c>
      <c r="G2208" s="56" t="s">
        <v>4513</v>
      </c>
      <c r="K2208" s="58" t="s">
        <v>4516</v>
      </c>
      <c r="L2208" s="58" t="s">
        <v>1279</v>
      </c>
      <c r="M2208" s="58" t="s">
        <v>1434</v>
      </c>
      <c r="N2208" s="58" t="s">
        <v>1286</v>
      </c>
      <c r="O2208" s="58" t="s">
        <v>1286</v>
      </c>
      <c r="P2208" s="58" t="str">
        <f t="shared" si="44"/>
        <v>F010</v>
      </c>
      <c r="Q2208" s="58" t="s">
        <v>138</v>
      </c>
      <c r="S2208" s="59">
        <v>20</v>
      </c>
      <c r="T2208" s="58" t="s">
        <v>2427</v>
      </c>
      <c r="U2208" s="58" t="s">
        <v>1457</v>
      </c>
      <c r="V2208" s="58" t="s">
        <v>2037</v>
      </c>
      <c r="Y2208" s="58">
        <v>27217.919999999998</v>
      </c>
      <c r="AB2208" s="58">
        <v>25857.02</v>
      </c>
    </row>
    <row r="2209" spans="2:29" s="58" customFormat="1" x14ac:dyDescent="0.2">
      <c r="B2209" s="56" t="s">
        <v>2294</v>
      </c>
      <c r="C2209" s="57">
        <v>20000</v>
      </c>
      <c r="D2209" s="48">
        <f t="shared" si="46"/>
        <v>0.2</v>
      </c>
      <c r="E2209" s="58" t="s">
        <v>1337</v>
      </c>
      <c r="F2209" s="58" t="s">
        <v>1895</v>
      </c>
      <c r="G2209" s="56" t="s">
        <v>4513</v>
      </c>
      <c r="K2209" s="58" t="s">
        <v>4516</v>
      </c>
      <c r="L2209" s="58" t="s">
        <v>1279</v>
      </c>
      <c r="M2209" s="58" t="s">
        <v>1434</v>
      </c>
      <c r="N2209" s="58" t="s">
        <v>1287</v>
      </c>
      <c r="O2209" s="58" t="s">
        <v>1286</v>
      </c>
      <c r="P2209" s="58" t="str">
        <f t="shared" si="44"/>
        <v>F010</v>
      </c>
      <c r="Q2209" s="58" t="s">
        <v>138</v>
      </c>
      <c r="S2209" s="59">
        <v>20</v>
      </c>
      <c r="T2209" s="58" t="s">
        <v>2427</v>
      </c>
      <c r="U2209" s="58" t="s">
        <v>1457</v>
      </c>
      <c r="V2209" s="58" t="s">
        <v>2037</v>
      </c>
      <c r="Y2209" s="58">
        <v>6804.48</v>
      </c>
      <c r="AB2209" s="58">
        <v>6464.26</v>
      </c>
    </row>
    <row r="2210" spans="2:29" s="58" customFormat="1" x14ac:dyDescent="0.2">
      <c r="B2210" s="56" t="s">
        <v>2294</v>
      </c>
      <c r="C2210" s="57">
        <v>80000</v>
      </c>
      <c r="D2210" s="48">
        <f t="shared" si="46"/>
        <v>0.8</v>
      </c>
      <c r="E2210" s="58" t="s">
        <v>1331</v>
      </c>
      <c r="F2210" s="58" t="s">
        <v>1895</v>
      </c>
      <c r="G2210" s="56" t="s">
        <v>4513</v>
      </c>
      <c r="K2210" s="58" t="s">
        <v>4517</v>
      </c>
      <c r="L2210" s="58" t="s">
        <v>1279</v>
      </c>
      <c r="M2210" s="58" t="s">
        <v>1434</v>
      </c>
      <c r="N2210" s="58" t="s">
        <v>1286</v>
      </c>
      <c r="O2210" s="58" t="s">
        <v>1286</v>
      </c>
      <c r="P2210" s="58" t="str">
        <f t="shared" si="44"/>
        <v>F010</v>
      </c>
      <c r="Q2210" s="58" t="s">
        <v>138</v>
      </c>
      <c r="S2210" s="59">
        <v>20</v>
      </c>
      <c r="T2210" s="58" t="s">
        <v>2427</v>
      </c>
      <c r="U2210" s="58" t="s">
        <v>1457</v>
      </c>
      <c r="V2210" s="58" t="s">
        <v>2037</v>
      </c>
      <c r="Y2210" s="58">
        <v>29313.119999999999</v>
      </c>
      <c r="AB2210" s="58">
        <v>27847.46</v>
      </c>
    </row>
    <row r="2211" spans="2:29" s="58" customFormat="1" x14ac:dyDescent="0.2">
      <c r="B2211" s="56" t="s">
        <v>2294</v>
      </c>
      <c r="C2211" s="57">
        <v>20000</v>
      </c>
      <c r="D2211" s="48">
        <f t="shared" si="46"/>
        <v>0.2</v>
      </c>
      <c r="E2211" s="58" t="s">
        <v>1337</v>
      </c>
      <c r="F2211" s="58" t="s">
        <v>1895</v>
      </c>
      <c r="G2211" s="56" t="s">
        <v>4513</v>
      </c>
      <c r="K2211" s="58" t="s">
        <v>4517</v>
      </c>
      <c r="L2211" s="58" t="s">
        <v>1279</v>
      </c>
      <c r="M2211" s="58" t="s">
        <v>1434</v>
      </c>
      <c r="N2211" s="58" t="s">
        <v>1287</v>
      </c>
      <c r="O2211" s="58" t="s">
        <v>1286</v>
      </c>
      <c r="P2211" s="58" t="str">
        <f t="shared" si="44"/>
        <v>F010</v>
      </c>
      <c r="Q2211" s="58" t="s">
        <v>138</v>
      </c>
      <c r="S2211" s="59">
        <v>20</v>
      </c>
      <c r="T2211" s="58" t="s">
        <v>2299</v>
      </c>
      <c r="U2211" s="58" t="s">
        <v>1457</v>
      </c>
      <c r="V2211" s="58" t="s">
        <v>2037</v>
      </c>
      <c r="Y2211" s="58">
        <v>7328.28</v>
      </c>
      <c r="AB2211" s="58">
        <v>6961.87</v>
      </c>
    </row>
    <row r="2212" spans="2:29" s="58" customFormat="1" x14ac:dyDescent="0.2">
      <c r="B2212" s="56" t="s">
        <v>2294</v>
      </c>
      <c r="C2212" s="57">
        <v>80000</v>
      </c>
      <c r="D2212" s="48">
        <f t="shared" si="46"/>
        <v>0.8</v>
      </c>
      <c r="E2212" s="63" t="s">
        <v>1331</v>
      </c>
      <c r="F2212" s="58" t="s">
        <v>1322</v>
      </c>
      <c r="G2212" s="56" t="s">
        <v>4513</v>
      </c>
      <c r="K2212" s="58" t="s">
        <v>4518</v>
      </c>
      <c r="L2212" s="58" t="s">
        <v>1279</v>
      </c>
      <c r="M2212" s="58" t="s">
        <v>1434</v>
      </c>
      <c r="N2212" s="58" t="s">
        <v>1286</v>
      </c>
      <c r="O2212" s="58" t="s">
        <v>1286</v>
      </c>
      <c r="P2212" s="58" t="str">
        <f t="shared" si="44"/>
        <v>F010</v>
      </c>
      <c r="Q2212" s="58" t="s">
        <v>138</v>
      </c>
      <c r="S2212" s="59">
        <v>20</v>
      </c>
      <c r="T2212" s="58" t="s">
        <v>2427</v>
      </c>
      <c r="U2212" s="58" t="s">
        <v>1457</v>
      </c>
      <c r="V2212" s="58" t="s">
        <v>2037</v>
      </c>
      <c r="Y2212" s="58">
        <v>29313.119999999999</v>
      </c>
      <c r="AB2212" s="58">
        <v>27847.46</v>
      </c>
    </row>
    <row r="2213" spans="2:29" s="58" customFormat="1" x14ac:dyDescent="0.2">
      <c r="B2213" s="56" t="s">
        <v>2294</v>
      </c>
      <c r="C2213" s="57">
        <v>20000</v>
      </c>
      <c r="D2213" s="48">
        <f t="shared" si="46"/>
        <v>0.2</v>
      </c>
      <c r="E2213" s="63" t="s">
        <v>1337</v>
      </c>
      <c r="F2213" s="58" t="s">
        <v>1895</v>
      </c>
      <c r="G2213" s="56" t="s">
        <v>4513</v>
      </c>
      <c r="K2213" s="58" t="s">
        <v>4518</v>
      </c>
      <c r="L2213" s="58" t="s">
        <v>1279</v>
      </c>
      <c r="M2213" s="58" t="s">
        <v>1434</v>
      </c>
      <c r="N2213" s="58" t="s">
        <v>1287</v>
      </c>
      <c r="O2213" s="58" t="s">
        <v>1286</v>
      </c>
      <c r="P2213" s="58" t="str">
        <f t="shared" si="44"/>
        <v>F010</v>
      </c>
      <c r="Q2213" s="58" t="s">
        <v>138</v>
      </c>
      <c r="S2213" s="59">
        <v>20</v>
      </c>
      <c r="T2213" s="58" t="s">
        <v>2299</v>
      </c>
      <c r="U2213" s="58" t="s">
        <v>1457</v>
      </c>
      <c r="V2213" s="58" t="s">
        <v>2037</v>
      </c>
      <c r="Y2213" s="58">
        <v>7328.28</v>
      </c>
      <c r="AB2213" s="58">
        <v>6961.87</v>
      </c>
    </row>
    <row r="2214" spans="2:29" s="58" customFormat="1" x14ac:dyDescent="0.2">
      <c r="B2214" s="56" t="s">
        <v>2294</v>
      </c>
      <c r="C2214" s="57">
        <v>56000</v>
      </c>
      <c r="D2214" s="48">
        <f t="shared" si="46"/>
        <v>0.56000000000000005</v>
      </c>
      <c r="E2214" s="63" t="s">
        <v>1331</v>
      </c>
      <c r="F2214" s="58" t="s">
        <v>1322</v>
      </c>
      <c r="G2214" s="56" t="s">
        <v>4519</v>
      </c>
      <c r="K2214" s="58" t="s">
        <v>4520</v>
      </c>
      <c r="L2214" s="58" t="s">
        <v>1279</v>
      </c>
      <c r="M2214" s="58" t="s">
        <v>1762</v>
      </c>
      <c r="N2214" s="58" t="s">
        <v>3092</v>
      </c>
      <c r="O2214" s="58" t="s">
        <v>1286</v>
      </c>
      <c r="P2214" s="58" t="str">
        <f t="shared" si="44"/>
        <v>F010</v>
      </c>
      <c r="Q2214" s="58" t="s">
        <v>129</v>
      </c>
      <c r="S2214" s="59">
        <v>20</v>
      </c>
      <c r="T2214" s="58" t="s">
        <v>2299</v>
      </c>
      <c r="U2214" s="58" t="s">
        <v>1879</v>
      </c>
      <c r="V2214" s="58" t="s">
        <v>1459</v>
      </c>
      <c r="Y2214" s="58">
        <v>15639.52</v>
      </c>
      <c r="AB2214" s="58">
        <v>14857.54</v>
      </c>
    </row>
    <row r="2215" spans="2:29" s="58" customFormat="1" x14ac:dyDescent="0.2">
      <c r="B2215" s="56" t="s">
        <v>2294</v>
      </c>
      <c r="C2215" s="57">
        <v>44000</v>
      </c>
      <c r="D2215" s="48">
        <f t="shared" si="46"/>
        <v>0.44</v>
      </c>
      <c r="E2215" s="63" t="s">
        <v>1337</v>
      </c>
      <c r="F2215" s="58" t="s">
        <v>1322</v>
      </c>
      <c r="G2215" s="56" t="s">
        <v>4519</v>
      </c>
      <c r="K2215" s="58" t="s">
        <v>4520</v>
      </c>
      <c r="L2215" s="58" t="s">
        <v>1279</v>
      </c>
      <c r="M2215" s="58" t="s">
        <v>1762</v>
      </c>
      <c r="N2215" s="58" t="s">
        <v>6083</v>
      </c>
      <c r="O2215" s="58" t="s">
        <v>1286</v>
      </c>
      <c r="P2215" s="58" t="str">
        <f t="shared" si="44"/>
        <v>F010</v>
      </c>
      <c r="Q2215" s="58" t="s">
        <v>129</v>
      </c>
      <c r="S2215" s="59">
        <v>20</v>
      </c>
      <c r="T2215" s="58" t="s">
        <v>2427</v>
      </c>
      <c r="U2215" s="58" t="s">
        <v>1879</v>
      </c>
      <c r="V2215" s="58" t="s">
        <v>1459</v>
      </c>
      <c r="Y2215" s="58">
        <v>12288.19</v>
      </c>
      <c r="AB2215" s="58">
        <v>11673.78</v>
      </c>
    </row>
    <row r="2216" spans="2:29" s="58" customFormat="1" x14ac:dyDescent="0.2">
      <c r="B2216" s="56" t="s">
        <v>2294</v>
      </c>
      <c r="C2216" s="57">
        <v>56000</v>
      </c>
      <c r="D2216" s="64">
        <f t="shared" si="46"/>
        <v>0.56000000000000005</v>
      </c>
      <c r="E2216" s="65" t="s">
        <v>1331</v>
      </c>
      <c r="F2216" s="58" t="s">
        <v>1895</v>
      </c>
      <c r="G2216" s="56" t="s">
        <v>4521</v>
      </c>
      <c r="K2216" s="62" t="s">
        <v>4522</v>
      </c>
      <c r="L2216" s="58" t="s">
        <v>1279</v>
      </c>
      <c r="M2216" s="58" t="s">
        <v>1762</v>
      </c>
      <c r="N2216" s="58" t="s">
        <v>1837</v>
      </c>
      <c r="O2216" s="58" t="s">
        <v>1286</v>
      </c>
      <c r="P2216" s="58" t="str">
        <f t="shared" si="44"/>
        <v>F010</v>
      </c>
      <c r="Q2216" s="58" t="s">
        <v>129</v>
      </c>
      <c r="S2216" s="59">
        <v>20</v>
      </c>
      <c r="T2216" s="58" t="s">
        <v>2427</v>
      </c>
      <c r="U2216" s="58" t="s">
        <v>1879</v>
      </c>
      <c r="V2216" s="58" t="s">
        <v>1459</v>
      </c>
      <c r="Y2216" s="62">
        <v>22926.28</v>
      </c>
      <c r="Z2216" s="62"/>
      <c r="AA2216" s="62"/>
      <c r="AB2216" s="62">
        <v>21779.96</v>
      </c>
      <c r="AC2216" s="62"/>
    </row>
    <row r="2217" spans="2:29" s="58" customFormat="1" x14ac:dyDescent="0.2">
      <c r="B2217" s="56" t="s">
        <v>2294</v>
      </c>
      <c r="C2217" s="57">
        <v>44000</v>
      </c>
      <c r="D2217" s="64">
        <f t="shared" si="46"/>
        <v>0.44</v>
      </c>
      <c r="E2217" s="65" t="s">
        <v>1337</v>
      </c>
      <c r="F2217" s="58" t="s">
        <v>1895</v>
      </c>
      <c r="G2217" s="56" t="s">
        <v>4521</v>
      </c>
      <c r="K2217" s="62" t="s">
        <v>4522</v>
      </c>
      <c r="L2217" s="58" t="s">
        <v>1279</v>
      </c>
      <c r="M2217" s="58" t="s">
        <v>1762</v>
      </c>
      <c r="N2217" s="58" t="s">
        <v>1837</v>
      </c>
      <c r="O2217" s="58" t="s">
        <v>1286</v>
      </c>
      <c r="P2217" s="58" t="str">
        <f t="shared" si="44"/>
        <v>F010</v>
      </c>
      <c r="Q2217" s="58" t="s">
        <v>129</v>
      </c>
      <c r="S2217" s="59">
        <v>20</v>
      </c>
      <c r="T2217" s="58" t="s">
        <v>2427</v>
      </c>
      <c r="U2217" s="58" t="s">
        <v>1879</v>
      </c>
      <c r="V2217" s="58" t="s">
        <v>1459</v>
      </c>
      <c r="Y2217" s="62">
        <v>18013.5</v>
      </c>
      <c r="Z2217" s="62"/>
      <c r="AA2217" s="62"/>
      <c r="AB2217" s="62">
        <v>17112.830000000002</v>
      </c>
      <c r="AC2217" s="62"/>
    </row>
    <row r="2218" spans="2:29" s="58" customFormat="1" x14ac:dyDescent="0.2">
      <c r="B2218" s="56" t="s">
        <v>2294</v>
      </c>
      <c r="C2218" s="57"/>
      <c r="D2218" s="64"/>
      <c r="E2218" s="65"/>
      <c r="F2218" s="58" t="s">
        <v>1895</v>
      </c>
      <c r="G2218" s="56" t="s">
        <v>4521</v>
      </c>
      <c r="K2218" s="62" t="s">
        <v>4523</v>
      </c>
      <c r="L2218" s="58" t="s">
        <v>1279</v>
      </c>
      <c r="M2218" s="58" t="s">
        <v>1762</v>
      </c>
      <c r="N2218" s="58" t="s">
        <v>1837</v>
      </c>
      <c r="O2218" s="58" t="s">
        <v>1286</v>
      </c>
      <c r="P2218" s="58" t="str">
        <f t="shared" si="44"/>
        <v>F010</v>
      </c>
      <c r="Q2218" s="58" t="s">
        <v>129</v>
      </c>
      <c r="S2218" s="59">
        <v>20</v>
      </c>
      <c r="T2218" s="58" t="s">
        <v>2427</v>
      </c>
      <c r="U2218" s="58" t="s">
        <v>1879</v>
      </c>
      <c r="V2218" s="58" t="s">
        <v>1459</v>
      </c>
      <c r="Y2218" s="62">
        <v>40939.78</v>
      </c>
      <c r="Z2218" s="62"/>
      <c r="AA2218" s="62"/>
      <c r="AB2218" s="62">
        <v>38892.79</v>
      </c>
      <c r="AC2218" s="62"/>
    </row>
    <row r="2219" spans="2:29" s="58" customFormat="1" x14ac:dyDescent="0.2">
      <c r="B2219" s="56" t="s">
        <v>2294</v>
      </c>
      <c r="C2219" s="57"/>
      <c r="D2219" s="64"/>
      <c r="E2219" s="65"/>
      <c r="F2219" s="58" t="s">
        <v>1895</v>
      </c>
      <c r="G2219" s="56" t="s">
        <v>4521</v>
      </c>
      <c r="K2219" s="62" t="s">
        <v>4524</v>
      </c>
      <c r="L2219" s="58" t="s">
        <v>1279</v>
      </c>
      <c r="M2219" s="58" t="s">
        <v>1762</v>
      </c>
      <c r="N2219" s="58" t="s">
        <v>1837</v>
      </c>
      <c r="O2219" s="58" t="s">
        <v>1286</v>
      </c>
      <c r="P2219" s="58" t="str">
        <f t="shared" si="44"/>
        <v>F010</v>
      </c>
      <c r="Q2219" s="58" t="s">
        <v>129</v>
      </c>
      <c r="S2219" s="59">
        <v>20</v>
      </c>
      <c r="T2219" s="58" t="s">
        <v>2427</v>
      </c>
      <c r="U2219" s="58" t="s">
        <v>1879</v>
      </c>
      <c r="V2219" s="58" t="s">
        <v>1459</v>
      </c>
      <c r="Y2219" s="62">
        <v>27927.71</v>
      </c>
      <c r="Z2219" s="62"/>
      <c r="AA2219" s="62"/>
      <c r="AB2219" s="62">
        <v>26531.32</v>
      </c>
      <c r="AC2219" s="62"/>
    </row>
    <row r="2220" spans="2:29" s="58" customFormat="1" x14ac:dyDescent="0.2">
      <c r="B2220" s="56" t="s">
        <v>2294</v>
      </c>
      <c r="C2220" s="57">
        <v>67000</v>
      </c>
      <c r="D2220" s="48">
        <f t="shared" si="46"/>
        <v>0.67</v>
      </c>
      <c r="E2220" s="63" t="s">
        <v>1331</v>
      </c>
      <c r="F2220" s="58" t="s">
        <v>1895</v>
      </c>
      <c r="G2220" s="56" t="s">
        <v>4521</v>
      </c>
      <c r="K2220" s="58" t="s">
        <v>4525</v>
      </c>
      <c r="L2220" s="58" t="s">
        <v>1279</v>
      </c>
      <c r="M2220" s="58" t="s">
        <v>1762</v>
      </c>
      <c r="N2220" s="58" t="s">
        <v>1573</v>
      </c>
      <c r="O2220" s="58" t="s">
        <v>1286</v>
      </c>
      <c r="P2220" s="58" t="str">
        <f t="shared" si="44"/>
        <v>F010</v>
      </c>
      <c r="Q2220" s="58" t="s">
        <v>129</v>
      </c>
      <c r="S2220" s="59">
        <v>20</v>
      </c>
      <c r="T2220" s="58" t="s">
        <v>2427</v>
      </c>
      <c r="U2220" s="58" t="s">
        <v>1879</v>
      </c>
      <c r="V2220" s="58" t="s">
        <v>1459</v>
      </c>
      <c r="Y2220" s="58">
        <v>27429.65</v>
      </c>
      <c r="AB2220" s="58">
        <v>26058.17</v>
      </c>
    </row>
    <row r="2221" spans="2:29" s="58" customFormat="1" x14ac:dyDescent="0.2">
      <c r="B2221" s="56" t="s">
        <v>2294</v>
      </c>
      <c r="C2221" s="57">
        <v>33000</v>
      </c>
      <c r="D2221" s="48">
        <f t="shared" si="46"/>
        <v>0.33</v>
      </c>
      <c r="E2221" s="63" t="s">
        <v>1337</v>
      </c>
      <c r="F2221" s="58" t="s">
        <v>1895</v>
      </c>
      <c r="G2221" s="56" t="s">
        <v>4521</v>
      </c>
      <c r="K2221" s="58" t="s">
        <v>4525</v>
      </c>
      <c r="L2221" s="58" t="s">
        <v>1279</v>
      </c>
      <c r="M2221" s="58" t="s">
        <v>1762</v>
      </c>
      <c r="N2221" s="58" t="s">
        <v>3242</v>
      </c>
      <c r="O2221" s="58" t="s">
        <v>1286</v>
      </c>
      <c r="P2221" s="58" t="str">
        <f t="shared" si="44"/>
        <v>F010</v>
      </c>
      <c r="Q2221" s="58" t="s">
        <v>129</v>
      </c>
      <c r="S2221" s="59">
        <v>20</v>
      </c>
      <c r="T2221" s="58" t="s">
        <v>2299</v>
      </c>
      <c r="U2221" s="58" t="s">
        <v>1879</v>
      </c>
      <c r="V2221" s="58" t="s">
        <v>1459</v>
      </c>
      <c r="Y2221" s="58">
        <v>13510.13</v>
      </c>
      <c r="AB2221" s="58">
        <v>12834.62</v>
      </c>
    </row>
    <row r="2222" spans="2:29" s="58" customFormat="1" x14ac:dyDescent="0.2">
      <c r="B2222" s="56" t="s">
        <v>2294</v>
      </c>
      <c r="C2222" s="57">
        <v>80000</v>
      </c>
      <c r="D2222" s="48">
        <f t="shared" si="46"/>
        <v>0.8</v>
      </c>
      <c r="E2222" s="63" t="s">
        <v>1331</v>
      </c>
      <c r="F2222" s="58" t="s">
        <v>1322</v>
      </c>
      <c r="G2222" s="56" t="s">
        <v>4526</v>
      </c>
      <c r="K2222" s="58" t="s">
        <v>4527</v>
      </c>
      <c r="L2222" s="58" t="s">
        <v>1279</v>
      </c>
      <c r="M2222" s="58" t="s">
        <v>1434</v>
      </c>
      <c r="N2222" s="58" t="s">
        <v>1286</v>
      </c>
      <c r="O2222" s="58" t="s">
        <v>1286</v>
      </c>
      <c r="P2222" s="58" t="str">
        <f t="shared" ref="P2222:P2285" si="47">+LEFT(Q2222,4)</f>
        <v>F010</v>
      </c>
      <c r="Q2222" s="58" t="s">
        <v>138</v>
      </c>
      <c r="S2222" s="59">
        <v>20</v>
      </c>
      <c r="T2222" s="58" t="s">
        <v>2427</v>
      </c>
      <c r="U2222" s="58" t="s">
        <v>1457</v>
      </c>
      <c r="V2222" s="58" t="s">
        <v>2037</v>
      </c>
      <c r="Y2222" s="58">
        <v>44792.4</v>
      </c>
      <c r="AB2222" s="58">
        <v>42552.78</v>
      </c>
    </row>
    <row r="2223" spans="2:29" s="58" customFormat="1" x14ac:dyDescent="0.2">
      <c r="B2223" s="56" t="s">
        <v>2294</v>
      </c>
      <c r="C2223" s="57">
        <v>20000</v>
      </c>
      <c r="D2223" s="48">
        <f t="shared" si="46"/>
        <v>0.2</v>
      </c>
      <c r="E2223" s="63" t="s">
        <v>1337</v>
      </c>
      <c r="F2223" s="58" t="s">
        <v>1895</v>
      </c>
      <c r="G2223" s="56" t="s">
        <v>4526</v>
      </c>
      <c r="K2223" s="58" t="s">
        <v>4527</v>
      </c>
      <c r="L2223" s="58" t="s">
        <v>1279</v>
      </c>
      <c r="M2223" s="58" t="s">
        <v>1434</v>
      </c>
      <c r="N2223" s="58" t="s">
        <v>1287</v>
      </c>
      <c r="O2223" s="58" t="s">
        <v>1286</v>
      </c>
      <c r="P2223" s="58" t="str">
        <f t="shared" si="47"/>
        <v>F010</v>
      </c>
      <c r="Q2223" s="58" t="s">
        <v>138</v>
      </c>
      <c r="S2223" s="59">
        <v>20</v>
      </c>
      <c r="T2223" s="58" t="s">
        <v>2299</v>
      </c>
      <c r="U2223" s="58" t="s">
        <v>1457</v>
      </c>
      <c r="V2223" s="58" t="s">
        <v>2037</v>
      </c>
      <c r="Y2223" s="58">
        <v>11198.1</v>
      </c>
      <c r="AB2223" s="58">
        <v>10638.19</v>
      </c>
    </row>
    <row r="2224" spans="2:29" s="58" customFormat="1" x14ac:dyDescent="0.2">
      <c r="B2224" s="56" t="s">
        <v>2294</v>
      </c>
      <c r="C2224" s="57">
        <v>80000</v>
      </c>
      <c r="D2224" s="48">
        <f t="shared" si="46"/>
        <v>0.8</v>
      </c>
      <c r="E2224" s="63" t="s">
        <v>1331</v>
      </c>
      <c r="F2224" s="58" t="s">
        <v>1322</v>
      </c>
      <c r="G2224" s="56" t="s">
        <v>4526</v>
      </c>
      <c r="K2224" s="58" t="s">
        <v>4528</v>
      </c>
      <c r="L2224" s="58" t="s">
        <v>1279</v>
      </c>
      <c r="M2224" s="58" t="s">
        <v>1434</v>
      </c>
      <c r="N2224" s="58" t="s">
        <v>1286</v>
      </c>
      <c r="O2224" s="58" t="s">
        <v>1286</v>
      </c>
      <c r="P2224" s="58" t="str">
        <f t="shared" si="47"/>
        <v>F010</v>
      </c>
      <c r="Q2224" s="58" t="s">
        <v>138</v>
      </c>
      <c r="S2224" s="59">
        <v>20</v>
      </c>
      <c r="T2224" s="58" t="s">
        <v>2299</v>
      </c>
      <c r="U2224" s="58" t="s">
        <v>1457</v>
      </c>
      <c r="V2224" s="58" t="s">
        <v>2037</v>
      </c>
      <c r="Y2224" s="58">
        <v>44792.4</v>
      </c>
      <c r="AB2224" s="58">
        <v>42552.78</v>
      </c>
    </row>
    <row r="2225" spans="2:28" s="58" customFormat="1" x14ac:dyDescent="0.2">
      <c r="B2225" s="56" t="s">
        <v>2294</v>
      </c>
      <c r="C2225" s="57">
        <v>20000</v>
      </c>
      <c r="D2225" s="48">
        <f t="shared" si="46"/>
        <v>0.2</v>
      </c>
      <c r="E2225" s="63" t="s">
        <v>1337</v>
      </c>
      <c r="F2225" s="58" t="s">
        <v>1322</v>
      </c>
      <c r="G2225" s="56" t="s">
        <v>4526</v>
      </c>
      <c r="K2225" s="58" t="s">
        <v>4528</v>
      </c>
      <c r="L2225" s="58" t="s">
        <v>1279</v>
      </c>
      <c r="M2225" s="58" t="s">
        <v>1434</v>
      </c>
      <c r="N2225" s="58" t="s">
        <v>1287</v>
      </c>
      <c r="O2225" s="58" t="s">
        <v>1286</v>
      </c>
      <c r="P2225" s="58" t="str">
        <f t="shared" si="47"/>
        <v>F010</v>
      </c>
      <c r="Q2225" s="58" t="s">
        <v>138</v>
      </c>
      <c r="S2225" s="59">
        <v>20</v>
      </c>
      <c r="T2225" s="58" t="s">
        <v>2427</v>
      </c>
      <c r="U2225" s="58" t="s">
        <v>1457</v>
      </c>
      <c r="V2225" s="58" t="s">
        <v>2037</v>
      </c>
      <c r="Y2225" s="58">
        <v>11198.1</v>
      </c>
      <c r="AB2225" s="58">
        <v>10638.19</v>
      </c>
    </row>
    <row r="2226" spans="2:28" x14ac:dyDescent="0.2">
      <c r="B2226" s="30" t="s">
        <v>2294</v>
      </c>
      <c r="C2226" s="36"/>
      <c r="D2226" s="36"/>
      <c r="F2226" s="1" t="s">
        <v>1895</v>
      </c>
      <c r="G2226" s="30" t="s">
        <v>4529</v>
      </c>
      <c r="K2226" s="1" t="s">
        <v>4530</v>
      </c>
      <c r="L2226" s="1" t="s">
        <v>1279</v>
      </c>
      <c r="M2226" s="36" t="s">
        <v>2072</v>
      </c>
      <c r="N2226" s="1" t="s">
        <v>1287</v>
      </c>
      <c r="O2226" s="1" t="s">
        <v>1286</v>
      </c>
      <c r="P2226" s="34" t="str">
        <f t="shared" si="47"/>
        <v>F010</v>
      </c>
      <c r="Q2226" s="1" t="s">
        <v>138</v>
      </c>
      <c r="S2226" s="16">
        <v>20</v>
      </c>
      <c r="T2226" s="1" t="s">
        <v>2427</v>
      </c>
      <c r="U2226" s="1" t="s">
        <v>1686</v>
      </c>
      <c r="V2226" s="1" t="s">
        <v>1574</v>
      </c>
      <c r="Y2226" s="1">
        <v>110000</v>
      </c>
      <c r="AB2226" s="1">
        <v>37736.14</v>
      </c>
    </row>
    <row r="2227" spans="2:28" x14ac:dyDescent="0.2">
      <c r="B2227" s="30" t="s">
        <v>2294</v>
      </c>
      <c r="C2227" s="36"/>
      <c r="D2227" s="36"/>
      <c r="F2227" s="1" t="s">
        <v>1895</v>
      </c>
      <c r="G2227" s="30" t="s">
        <v>4531</v>
      </c>
      <c r="K2227" s="1" t="s">
        <v>4532</v>
      </c>
      <c r="L2227" s="1" t="s">
        <v>1279</v>
      </c>
      <c r="M2227" s="36" t="s">
        <v>2446</v>
      </c>
      <c r="N2227" s="1" t="s">
        <v>1284</v>
      </c>
      <c r="O2227" s="1" t="s">
        <v>1286</v>
      </c>
      <c r="P2227" s="34" t="str">
        <f t="shared" si="47"/>
        <v>F010</v>
      </c>
      <c r="Q2227" s="1" t="s">
        <v>127</v>
      </c>
      <c r="S2227" s="16">
        <v>20</v>
      </c>
      <c r="T2227" s="1" t="s">
        <v>2427</v>
      </c>
      <c r="U2227" s="1" t="s">
        <v>3938</v>
      </c>
      <c r="V2227" s="1" t="s">
        <v>4533</v>
      </c>
      <c r="Y2227" s="1">
        <v>33111</v>
      </c>
      <c r="AB2227" s="1">
        <v>31455.45</v>
      </c>
    </row>
    <row r="2228" spans="2:28" x14ac:dyDescent="0.2">
      <c r="B2228" s="30" t="s">
        <v>2294</v>
      </c>
      <c r="C2228" s="36"/>
      <c r="D2228" s="36"/>
      <c r="F2228" s="1" t="s">
        <v>1895</v>
      </c>
      <c r="G2228" s="30" t="s">
        <v>4534</v>
      </c>
      <c r="K2228" s="1" t="s">
        <v>4535</v>
      </c>
      <c r="L2228" s="1" t="s">
        <v>1279</v>
      </c>
      <c r="M2228" s="36" t="s">
        <v>1879</v>
      </c>
      <c r="N2228" s="1" t="s">
        <v>1287</v>
      </c>
      <c r="O2228" s="1" t="s">
        <v>1286</v>
      </c>
      <c r="P2228" s="34" t="str">
        <f t="shared" si="47"/>
        <v>F010</v>
      </c>
      <c r="Q2228" s="1" t="s">
        <v>138</v>
      </c>
      <c r="S2228" s="16">
        <v>20</v>
      </c>
      <c r="T2228" s="1" t="s">
        <v>2427</v>
      </c>
      <c r="U2228" s="1" t="s">
        <v>1343</v>
      </c>
      <c r="V2228" s="1" t="s">
        <v>2255</v>
      </c>
      <c r="Y2228" s="1">
        <v>119300</v>
      </c>
      <c r="AB2228" s="1">
        <v>113335</v>
      </c>
    </row>
    <row r="2229" spans="2:28" x14ac:dyDescent="0.2">
      <c r="B2229" s="30" t="s">
        <v>2294</v>
      </c>
      <c r="C2229" s="36"/>
      <c r="D2229" s="36"/>
      <c r="F2229" s="1" t="s">
        <v>1895</v>
      </c>
      <c r="G2229" s="30" t="s">
        <v>4536</v>
      </c>
      <c r="K2229" s="1" t="s">
        <v>4537</v>
      </c>
      <c r="L2229" s="1" t="s">
        <v>1279</v>
      </c>
      <c r="M2229" s="36" t="s">
        <v>1594</v>
      </c>
      <c r="N2229" s="1" t="s">
        <v>1944</v>
      </c>
      <c r="O2229" s="1" t="s">
        <v>1286</v>
      </c>
      <c r="P2229" s="34" t="str">
        <f t="shared" si="47"/>
        <v>F010</v>
      </c>
      <c r="Q2229" s="1" t="s">
        <v>137</v>
      </c>
      <c r="S2229" s="16">
        <v>20</v>
      </c>
      <c r="T2229" s="1" t="s">
        <v>2427</v>
      </c>
      <c r="U2229" s="1" t="s">
        <v>1582</v>
      </c>
      <c r="V2229" s="1" t="s">
        <v>1567</v>
      </c>
      <c r="Y2229" s="1">
        <v>9023</v>
      </c>
      <c r="AB2229" s="1">
        <v>8571.85</v>
      </c>
    </row>
    <row r="2230" spans="2:28" x14ac:dyDescent="0.2">
      <c r="B2230" s="30" t="s">
        <v>2294</v>
      </c>
      <c r="C2230" s="36"/>
      <c r="D2230" s="36"/>
      <c r="F2230" s="1" t="s">
        <v>1895</v>
      </c>
      <c r="G2230" s="30" t="s">
        <v>4536</v>
      </c>
      <c r="K2230" s="1" t="s">
        <v>4538</v>
      </c>
      <c r="L2230" s="1" t="s">
        <v>1279</v>
      </c>
      <c r="M2230" s="36" t="s">
        <v>1594</v>
      </c>
      <c r="N2230" s="1" t="s">
        <v>2400</v>
      </c>
      <c r="O2230" s="1" t="s">
        <v>1286</v>
      </c>
      <c r="P2230" s="34" t="str">
        <f t="shared" si="47"/>
        <v>F010</v>
      </c>
      <c r="Q2230" s="1" t="s">
        <v>137</v>
      </c>
      <c r="S2230" s="16">
        <v>20</v>
      </c>
      <c r="T2230" s="1" t="s">
        <v>2427</v>
      </c>
      <c r="U2230" s="1" t="s">
        <v>1582</v>
      </c>
      <c r="V2230" s="1" t="s">
        <v>1567</v>
      </c>
      <c r="Y2230" s="1">
        <v>9023</v>
      </c>
      <c r="AB2230" s="1">
        <v>8571.85</v>
      </c>
    </row>
    <row r="2231" spans="2:28" x14ac:dyDescent="0.2">
      <c r="B2231" s="30" t="s">
        <v>2294</v>
      </c>
      <c r="C2231" s="36"/>
      <c r="D2231" s="36"/>
      <c r="F2231" s="1" t="s">
        <v>1895</v>
      </c>
      <c r="G2231" s="30" t="s">
        <v>4536</v>
      </c>
      <c r="K2231" s="1" t="s">
        <v>4539</v>
      </c>
      <c r="L2231" s="1" t="s">
        <v>1279</v>
      </c>
      <c r="M2231" s="36" t="s">
        <v>1594</v>
      </c>
      <c r="N2231" s="1" t="s">
        <v>3289</v>
      </c>
      <c r="O2231" s="1" t="s">
        <v>1286</v>
      </c>
      <c r="P2231" s="34" t="str">
        <f t="shared" si="47"/>
        <v>F010</v>
      </c>
      <c r="Q2231" s="1" t="s">
        <v>137</v>
      </c>
      <c r="S2231" s="16">
        <v>20</v>
      </c>
      <c r="T2231" s="1" t="s">
        <v>2299</v>
      </c>
      <c r="U2231" s="1" t="s">
        <v>1582</v>
      </c>
      <c r="V2231" s="1" t="s">
        <v>1567</v>
      </c>
      <c r="Y2231" s="1">
        <v>9023</v>
      </c>
      <c r="AB2231" s="1">
        <v>8571.85</v>
      </c>
    </row>
    <row r="2232" spans="2:28" x14ac:dyDescent="0.2">
      <c r="B2232" s="30" t="s">
        <v>2294</v>
      </c>
      <c r="C2232" s="36"/>
      <c r="D2232" s="36"/>
      <c r="F2232" s="1" t="s">
        <v>1322</v>
      </c>
      <c r="G2232" s="30" t="s">
        <v>4536</v>
      </c>
      <c r="K2232" s="1" t="s">
        <v>4540</v>
      </c>
      <c r="L2232" s="1" t="s">
        <v>1279</v>
      </c>
      <c r="M2232" s="36" t="s">
        <v>1594</v>
      </c>
      <c r="N2232" s="1" t="s">
        <v>2546</v>
      </c>
      <c r="O2232" s="1" t="s">
        <v>1286</v>
      </c>
      <c r="P2232" s="34" t="str">
        <f t="shared" si="47"/>
        <v>F010</v>
      </c>
      <c r="Q2232" s="1" t="s">
        <v>137</v>
      </c>
      <c r="S2232" s="16">
        <v>20</v>
      </c>
      <c r="T2232" s="1" t="s">
        <v>2427</v>
      </c>
      <c r="U2232" s="1" t="s">
        <v>1582</v>
      </c>
      <c r="V2232" s="1" t="s">
        <v>1567</v>
      </c>
      <c r="Y2232" s="1">
        <v>9023</v>
      </c>
      <c r="AB2232" s="1">
        <v>8571.85</v>
      </c>
    </row>
    <row r="2233" spans="2:28" x14ac:dyDescent="0.2">
      <c r="B2233" s="30" t="s">
        <v>2294</v>
      </c>
      <c r="C2233" s="36"/>
      <c r="D2233" s="36"/>
      <c r="F2233" s="1" t="s">
        <v>1895</v>
      </c>
      <c r="G2233" s="30" t="s">
        <v>4541</v>
      </c>
      <c r="K2233" s="1" t="s">
        <v>4542</v>
      </c>
      <c r="L2233" s="1" t="s">
        <v>1279</v>
      </c>
      <c r="M2233" s="36" t="s">
        <v>2120</v>
      </c>
      <c r="N2233" s="1" t="s">
        <v>1944</v>
      </c>
      <c r="O2233" s="1" t="s">
        <v>1286</v>
      </c>
      <c r="P2233" s="34" t="str">
        <f t="shared" si="47"/>
        <v>F010</v>
      </c>
      <c r="Q2233" s="1" t="s">
        <v>137</v>
      </c>
      <c r="S2233" s="16">
        <v>20</v>
      </c>
      <c r="T2233" s="1" t="s">
        <v>2299</v>
      </c>
      <c r="U2233" s="1" t="s">
        <v>1572</v>
      </c>
      <c r="V2233" s="1" t="s">
        <v>2368</v>
      </c>
      <c r="Y2233" s="1">
        <v>8756</v>
      </c>
      <c r="AB2233" s="1">
        <v>8318.2000000000007</v>
      </c>
    </row>
    <row r="2234" spans="2:28" x14ac:dyDescent="0.2">
      <c r="B2234" s="30" t="s">
        <v>2294</v>
      </c>
      <c r="C2234" s="36"/>
      <c r="D2234" s="36"/>
      <c r="F2234" s="1" t="s">
        <v>1322</v>
      </c>
      <c r="G2234" s="30" t="s">
        <v>4543</v>
      </c>
      <c r="K2234" s="1" t="s">
        <v>4544</v>
      </c>
      <c r="L2234" s="1" t="s">
        <v>1279</v>
      </c>
      <c r="M2234" s="36" t="s">
        <v>1645</v>
      </c>
      <c r="N2234" s="1" t="s">
        <v>1687</v>
      </c>
      <c r="O2234" s="1" t="s">
        <v>1286</v>
      </c>
      <c r="P2234" s="34" t="str">
        <f t="shared" si="47"/>
        <v>F010</v>
      </c>
      <c r="Q2234" s="1" t="s">
        <v>137</v>
      </c>
      <c r="S2234" s="16">
        <v>20</v>
      </c>
      <c r="T2234" s="1" t="s">
        <v>2299</v>
      </c>
      <c r="U2234" s="1" t="s">
        <v>1415</v>
      </c>
      <c r="V2234" s="1" t="s">
        <v>2544</v>
      </c>
      <c r="Y2234" s="1">
        <v>9023</v>
      </c>
      <c r="AB2234" s="1">
        <v>8571.85</v>
      </c>
    </row>
    <row r="2235" spans="2:28" x14ac:dyDescent="0.2">
      <c r="B2235" s="30" t="s">
        <v>2294</v>
      </c>
      <c r="C2235" s="36"/>
      <c r="D2235" s="36"/>
      <c r="F2235" s="1" t="s">
        <v>1322</v>
      </c>
      <c r="G2235" s="30" t="s">
        <v>4543</v>
      </c>
      <c r="K2235" s="1" t="s">
        <v>4545</v>
      </c>
      <c r="L2235" s="1" t="s">
        <v>1279</v>
      </c>
      <c r="M2235" s="36" t="s">
        <v>1645</v>
      </c>
      <c r="N2235" s="1" t="s">
        <v>1687</v>
      </c>
      <c r="O2235" s="1" t="s">
        <v>1286</v>
      </c>
      <c r="P2235" s="34" t="str">
        <f t="shared" si="47"/>
        <v>F010</v>
      </c>
      <c r="Q2235" s="1" t="s">
        <v>137</v>
      </c>
      <c r="S2235" s="16">
        <v>20</v>
      </c>
      <c r="T2235" s="1" t="s">
        <v>2427</v>
      </c>
      <c r="U2235" s="1" t="s">
        <v>1415</v>
      </c>
      <c r="V2235" s="1" t="s">
        <v>2544</v>
      </c>
      <c r="Y2235" s="1">
        <v>9023</v>
      </c>
      <c r="AB2235" s="1">
        <v>8571.85</v>
      </c>
    </row>
    <row r="2236" spans="2:28" x14ac:dyDescent="0.2">
      <c r="B2236" s="30" t="s">
        <v>2294</v>
      </c>
      <c r="C2236" s="36"/>
      <c r="D2236" s="36"/>
      <c r="F2236" s="1" t="s">
        <v>1895</v>
      </c>
      <c r="G2236" s="30" t="s">
        <v>4543</v>
      </c>
      <c r="K2236" s="1" t="s">
        <v>4546</v>
      </c>
      <c r="L2236" s="1" t="s">
        <v>1279</v>
      </c>
      <c r="M2236" s="36" t="s">
        <v>1645</v>
      </c>
      <c r="N2236" s="1" t="s">
        <v>2400</v>
      </c>
      <c r="O2236" s="1" t="s">
        <v>1286</v>
      </c>
      <c r="P2236" s="34" t="str">
        <f t="shared" si="47"/>
        <v>F010</v>
      </c>
      <c r="Q2236" s="1" t="s">
        <v>137</v>
      </c>
      <c r="S2236" s="16">
        <v>20</v>
      </c>
      <c r="T2236" s="1" t="s">
        <v>2427</v>
      </c>
      <c r="U2236" s="1" t="s">
        <v>1415</v>
      </c>
      <c r="V2236" s="1" t="s">
        <v>2544</v>
      </c>
      <c r="Y2236" s="1">
        <v>8162</v>
      </c>
      <c r="AB2236" s="1">
        <v>7753.9</v>
      </c>
    </row>
    <row r="2237" spans="2:28" x14ac:dyDescent="0.2">
      <c r="B2237" s="30" t="s">
        <v>2294</v>
      </c>
      <c r="C2237" s="36"/>
      <c r="D2237" s="36"/>
      <c r="F2237" s="1" t="s">
        <v>1895</v>
      </c>
      <c r="G2237" s="30" t="s">
        <v>4543</v>
      </c>
      <c r="K2237" s="1" t="s">
        <v>4547</v>
      </c>
      <c r="L2237" s="1" t="s">
        <v>1279</v>
      </c>
      <c r="M2237" s="36" t="s">
        <v>1645</v>
      </c>
      <c r="N2237" s="1" t="s">
        <v>3242</v>
      </c>
      <c r="O2237" s="1" t="s">
        <v>1286</v>
      </c>
      <c r="P2237" s="34" t="str">
        <f t="shared" si="47"/>
        <v>F010</v>
      </c>
      <c r="Q2237" s="1" t="s">
        <v>137</v>
      </c>
      <c r="S2237" s="16">
        <v>20</v>
      </c>
      <c r="T2237" s="1" t="s">
        <v>2299</v>
      </c>
      <c r="U2237" s="1" t="s">
        <v>1415</v>
      </c>
      <c r="V2237" s="1" t="s">
        <v>2544</v>
      </c>
      <c r="Y2237" s="1">
        <v>8162</v>
      </c>
      <c r="AB2237" s="1">
        <v>7753.9</v>
      </c>
    </row>
    <row r="2238" spans="2:28" x14ac:dyDescent="0.2">
      <c r="B2238" s="30" t="s">
        <v>2294</v>
      </c>
      <c r="C2238" s="36"/>
      <c r="D2238" s="36"/>
      <c r="F2238" s="1" t="s">
        <v>1322</v>
      </c>
      <c r="G2238" s="30" t="s">
        <v>4548</v>
      </c>
      <c r="K2238" s="1" t="s">
        <v>4549</v>
      </c>
      <c r="L2238" s="1" t="s">
        <v>1279</v>
      </c>
      <c r="M2238" s="36" t="s">
        <v>1699</v>
      </c>
      <c r="N2238" s="1" t="s">
        <v>2546</v>
      </c>
      <c r="O2238" s="1" t="s">
        <v>1286</v>
      </c>
      <c r="P2238" s="34" t="str">
        <f t="shared" si="47"/>
        <v>F010</v>
      </c>
      <c r="Q2238" s="1" t="s">
        <v>137</v>
      </c>
      <c r="S2238" s="16">
        <v>20</v>
      </c>
      <c r="T2238" s="1" t="s">
        <v>2427</v>
      </c>
      <c r="U2238" s="1" t="s">
        <v>1541</v>
      </c>
      <c r="V2238" s="1" t="s">
        <v>2711</v>
      </c>
      <c r="Y2238" s="1">
        <v>8516</v>
      </c>
      <c r="AB2238" s="1">
        <v>6966.58</v>
      </c>
    </row>
    <row r="2239" spans="2:28" x14ac:dyDescent="0.2">
      <c r="B2239" s="30" t="s">
        <v>2294</v>
      </c>
      <c r="C2239" s="36"/>
      <c r="D2239" s="36"/>
      <c r="F2239" s="1" t="s">
        <v>1895</v>
      </c>
      <c r="G2239" s="30" t="s">
        <v>4548</v>
      </c>
      <c r="K2239" s="1" t="s">
        <v>4550</v>
      </c>
      <c r="L2239" s="1" t="s">
        <v>1279</v>
      </c>
      <c r="M2239" s="36" t="s">
        <v>1699</v>
      </c>
      <c r="N2239" s="1" t="s">
        <v>1944</v>
      </c>
      <c r="O2239" s="1" t="s">
        <v>1286</v>
      </c>
      <c r="P2239" s="34" t="str">
        <f t="shared" si="47"/>
        <v>F010</v>
      </c>
      <c r="Q2239" s="1" t="s">
        <v>137</v>
      </c>
      <c r="S2239" s="16">
        <v>20</v>
      </c>
      <c r="T2239" s="1" t="s">
        <v>2427</v>
      </c>
      <c r="U2239" s="1" t="s">
        <v>1541</v>
      </c>
      <c r="V2239" s="1" t="s">
        <v>2711</v>
      </c>
      <c r="Y2239" s="1">
        <v>8516</v>
      </c>
      <c r="AB2239" s="1">
        <v>6966.58</v>
      </c>
    </row>
    <row r="2240" spans="2:28" x14ac:dyDescent="0.2">
      <c r="B2240" s="30" t="s">
        <v>2294</v>
      </c>
      <c r="C2240" s="36"/>
      <c r="D2240" s="36"/>
      <c r="F2240" s="1" t="s">
        <v>1895</v>
      </c>
      <c r="G2240" s="30" t="s">
        <v>4551</v>
      </c>
      <c r="K2240" s="1" t="s">
        <v>4552</v>
      </c>
      <c r="L2240" s="1" t="s">
        <v>1279</v>
      </c>
      <c r="M2240" s="36" t="s">
        <v>1699</v>
      </c>
      <c r="N2240" s="1" t="s">
        <v>1283</v>
      </c>
      <c r="O2240" s="1" t="s">
        <v>1286</v>
      </c>
      <c r="P2240" s="34" t="str">
        <f t="shared" si="47"/>
        <v>F010</v>
      </c>
      <c r="Q2240" s="1" t="s">
        <v>137</v>
      </c>
      <c r="S2240" s="16">
        <v>20</v>
      </c>
      <c r="T2240" s="1" t="s">
        <v>2427</v>
      </c>
      <c r="U2240" s="1" t="s">
        <v>1541</v>
      </c>
      <c r="V2240" s="1" t="s">
        <v>2711</v>
      </c>
      <c r="Y2240" s="1">
        <v>8516</v>
      </c>
      <c r="AB2240" s="1">
        <v>6966.58</v>
      </c>
    </row>
    <row r="2241" spans="2:28" x14ac:dyDescent="0.2">
      <c r="B2241" s="30" t="s">
        <v>2294</v>
      </c>
      <c r="C2241" s="36"/>
      <c r="D2241" s="36"/>
      <c r="F2241" s="1" t="s">
        <v>1895</v>
      </c>
      <c r="G2241" s="30" t="s">
        <v>4551</v>
      </c>
      <c r="K2241" s="1" t="s">
        <v>4553</v>
      </c>
      <c r="L2241" s="1" t="s">
        <v>1279</v>
      </c>
      <c r="M2241" s="36" t="s">
        <v>1699</v>
      </c>
      <c r="N2241" s="1" t="s">
        <v>1283</v>
      </c>
      <c r="O2241" s="1" t="s">
        <v>1286</v>
      </c>
      <c r="P2241" s="34" t="str">
        <f t="shared" si="47"/>
        <v>F010</v>
      </c>
      <c r="Q2241" s="1" t="s">
        <v>137</v>
      </c>
      <c r="S2241" s="16">
        <v>20</v>
      </c>
      <c r="T2241" s="1" t="s">
        <v>2427</v>
      </c>
      <c r="U2241" s="1" t="s">
        <v>1541</v>
      </c>
      <c r="V2241" s="1" t="s">
        <v>2711</v>
      </c>
      <c r="Y2241" s="1">
        <v>8516</v>
      </c>
      <c r="AB2241" s="1">
        <v>6966.58</v>
      </c>
    </row>
    <row r="2242" spans="2:28" x14ac:dyDescent="0.2">
      <c r="B2242" s="30" t="s">
        <v>2294</v>
      </c>
      <c r="C2242" s="36"/>
      <c r="D2242" s="36"/>
      <c r="F2242" s="1" t="s">
        <v>1895</v>
      </c>
      <c r="G2242" s="30" t="s">
        <v>4551</v>
      </c>
      <c r="K2242" s="1" t="s">
        <v>4554</v>
      </c>
      <c r="L2242" s="1" t="s">
        <v>1279</v>
      </c>
      <c r="M2242" s="36" t="s">
        <v>1699</v>
      </c>
      <c r="N2242" s="1" t="s">
        <v>3289</v>
      </c>
      <c r="O2242" s="1" t="s">
        <v>1286</v>
      </c>
      <c r="P2242" s="34" t="str">
        <f t="shared" si="47"/>
        <v>F010</v>
      </c>
      <c r="Q2242" s="1" t="s">
        <v>137</v>
      </c>
      <c r="S2242" s="16">
        <v>20</v>
      </c>
      <c r="T2242" s="1" t="s">
        <v>2427</v>
      </c>
      <c r="U2242" s="1" t="s">
        <v>1541</v>
      </c>
      <c r="V2242" s="1" t="s">
        <v>2711</v>
      </c>
      <c r="Y2242" s="1">
        <v>8516</v>
      </c>
      <c r="AB2242" s="1">
        <v>6966.58</v>
      </c>
    </row>
    <row r="2243" spans="2:28" x14ac:dyDescent="0.2">
      <c r="B2243" s="30" t="s">
        <v>2294</v>
      </c>
      <c r="C2243" s="36"/>
      <c r="D2243" s="36"/>
      <c r="F2243" s="1" t="s">
        <v>1895</v>
      </c>
      <c r="G2243" s="30" t="s">
        <v>4551</v>
      </c>
      <c r="K2243" s="1" t="s">
        <v>4555</v>
      </c>
      <c r="L2243" s="1" t="s">
        <v>1279</v>
      </c>
      <c r="M2243" s="36" t="s">
        <v>1699</v>
      </c>
      <c r="N2243" s="1" t="s">
        <v>3083</v>
      </c>
      <c r="O2243" s="1" t="s">
        <v>1286</v>
      </c>
      <c r="P2243" s="34" t="str">
        <f t="shared" si="47"/>
        <v>F010</v>
      </c>
      <c r="Q2243" s="1" t="s">
        <v>137</v>
      </c>
      <c r="S2243" s="16">
        <v>20</v>
      </c>
      <c r="T2243" s="1" t="s">
        <v>2299</v>
      </c>
      <c r="U2243" s="1" t="s">
        <v>1541</v>
      </c>
      <c r="V2243" s="1" t="s">
        <v>2711</v>
      </c>
      <c r="Y2243" s="1">
        <v>8516</v>
      </c>
      <c r="AB2243" s="1">
        <v>6966.58</v>
      </c>
    </row>
    <row r="2244" spans="2:28" x14ac:dyDescent="0.2">
      <c r="B2244" s="30" t="s">
        <v>2294</v>
      </c>
      <c r="C2244" s="36"/>
      <c r="D2244" s="36"/>
      <c r="F2244" s="1" t="s">
        <v>1322</v>
      </c>
      <c r="G2244" s="30" t="s">
        <v>4556</v>
      </c>
      <c r="K2244" s="1" t="s">
        <v>4557</v>
      </c>
      <c r="L2244" s="1" t="s">
        <v>1279</v>
      </c>
      <c r="M2244" s="36" t="s">
        <v>3405</v>
      </c>
      <c r="N2244" s="1" t="s">
        <v>3072</v>
      </c>
      <c r="O2244" s="1" t="s">
        <v>1286</v>
      </c>
      <c r="P2244" s="34" t="str">
        <f t="shared" si="47"/>
        <v>F010</v>
      </c>
      <c r="Q2244" s="1" t="s">
        <v>127</v>
      </c>
      <c r="S2244" s="16">
        <v>20</v>
      </c>
      <c r="T2244" s="1" t="s">
        <v>2427</v>
      </c>
      <c r="U2244" s="1" t="s">
        <v>1451</v>
      </c>
      <c r="V2244" s="1" t="s">
        <v>1613</v>
      </c>
      <c r="Y2244" s="1">
        <v>14000</v>
      </c>
      <c r="AB2244" s="1">
        <v>13300</v>
      </c>
    </row>
    <row r="2245" spans="2:28" x14ac:dyDescent="0.2">
      <c r="B2245" s="30" t="s">
        <v>2294</v>
      </c>
      <c r="C2245" s="36"/>
      <c r="D2245" s="36"/>
      <c r="F2245" s="1" t="s">
        <v>1895</v>
      </c>
      <c r="G2245" s="30" t="s">
        <v>4558</v>
      </c>
      <c r="K2245" s="1" t="s">
        <v>4559</v>
      </c>
      <c r="L2245" s="1" t="s">
        <v>1279</v>
      </c>
      <c r="M2245" s="36" t="s">
        <v>2343</v>
      </c>
      <c r="N2245" s="1" t="s">
        <v>1614</v>
      </c>
      <c r="O2245" s="1" t="s">
        <v>1286</v>
      </c>
      <c r="P2245" s="34" t="str">
        <f t="shared" si="47"/>
        <v>F010</v>
      </c>
      <c r="Q2245" s="1" t="s">
        <v>127</v>
      </c>
      <c r="S2245" s="16">
        <v>20</v>
      </c>
      <c r="T2245" s="1" t="s">
        <v>2299</v>
      </c>
      <c r="U2245" s="1" t="s">
        <v>1375</v>
      </c>
      <c r="V2245" s="1" t="s">
        <v>2197</v>
      </c>
      <c r="Y2245" s="1">
        <v>8925</v>
      </c>
      <c r="AB2245" s="1">
        <v>8478.75</v>
      </c>
    </row>
    <row r="2246" spans="2:28" x14ac:dyDescent="0.2">
      <c r="B2246" s="30" t="s">
        <v>2294</v>
      </c>
      <c r="C2246" s="36"/>
      <c r="D2246" s="36"/>
      <c r="F2246" s="1" t="s">
        <v>1322</v>
      </c>
      <c r="G2246" s="30" t="s">
        <v>4558</v>
      </c>
      <c r="K2246" s="1" t="s">
        <v>4560</v>
      </c>
      <c r="L2246" s="1" t="s">
        <v>1279</v>
      </c>
      <c r="M2246" s="36" t="s">
        <v>2343</v>
      </c>
      <c r="N2246" s="1" t="s">
        <v>2271</v>
      </c>
      <c r="O2246" s="1" t="s">
        <v>1286</v>
      </c>
      <c r="P2246" s="34" t="str">
        <f t="shared" si="47"/>
        <v>F010</v>
      </c>
      <c r="Q2246" s="1" t="s">
        <v>127</v>
      </c>
      <c r="S2246" s="16">
        <v>20</v>
      </c>
      <c r="T2246" s="1" t="s">
        <v>2427</v>
      </c>
      <c r="U2246" s="1" t="s">
        <v>1375</v>
      </c>
      <c r="V2246" s="1" t="s">
        <v>2197</v>
      </c>
      <c r="Y2246" s="1">
        <v>8925</v>
      </c>
      <c r="AB2246" s="1">
        <v>8478.75</v>
      </c>
    </row>
    <row r="2247" spans="2:28" x14ac:dyDescent="0.2">
      <c r="B2247" s="30" t="s">
        <v>2294</v>
      </c>
      <c r="C2247" s="36"/>
      <c r="D2247" s="36"/>
      <c r="F2247" s="1" t="s">
        <v>1895</v>
      </c>
      <c r="G2247" s="30" t="s">
        <v>4558</v>
      </c>
      <c r="K2247" s="1" t="s">
        <v>4561</v>
      </c>
      <c r="L2247" s="1" t="s">
        <v>1279</v>
      </c>
      <c r="M2247" s="36" t="s">
        <v>2343</v>
      </c>
      <c r="N2247" s="1" t="s">
        <v>4562</v>
      </c>
      <c r="O2247" s="1" t="s">
        <v>1286</v>
      </c>
      <c r="P2247" s="34" t="str">
        <f t="shared" si="47"/>
        <v>F010</v>
      </c>
      <c r="Q2247" s="1" t="s">
        <v>127</v>
      </c>
      <c r="S2247" s="16">
        <v>20</v>
      </c>
      <c r="T2247" s="1" t="s">
        <v>2299</v>
      </c>
      <c r="U2247" s="1" t="s">
        <v>1375</v>
      </c>
      <c r="V2247" s="1" t="s">
        <v>2197</v>
      </c>
      <c r="Y2247" s="1">
        <v>8925</v>
      </c>
      <c r="AB2247" s="1">
        <v>8478.75</v>
      </c>
    </row>
    <row r="2248" spans="2:28" x14ac:dyDescent="0.2">
      <c r="B2248" s="30" t="s">
        <v>2294</v>
      </c>
      <c r="C2248" s="36"/>
      <c r="D2248" s="36"/>
      <c r="F2248" s="1" t="s">
        <v>1322</v>
      </c>
      <c r="G2248" s="30" t="s">
        <v>4563</v>
      </c>
      <c r="K2248" s="1" t="s">
        <v>4564</v>
      </c>
      <c r="L2248" s="1" t="s">
        <v>1279</v>
      </c>
      <c r="M2248" s="36" t="s">
        <v>2360</v>
      </c>
      <c r="N2248" s="1" t="s">
        <v>1287</v>
      </c>
      <c r="O2248" s="1" t="s">
        <v>1286</v>
      </c>
      <c r="P2248" s="34" t="str">
        <f t="shared" si="47"/>
        <v>F010</v>
      </c>
      <c r="Q2248" s="1" t="s">
        <v>138</v>
      </c>
      <c r="S2248" s="16">
        <v>20</v>
      </c>
      <c r="T2248" s="1" t="s">
        <v>2427</v>
      </c>
      <c r="U2248" s="1" t="s">
        <v>2313</v>
      </c>
      <c r="V2248" s="1" t="s">
        <v>2361</v>
      </c>
      <c r="Y2248" s="1">
        <v>10010419.1</v>
      </c>
      <c r="AB2248" s="1">
        <v>9509898.1400000006</v>
      </c>
    </row>
    <row r="2249" spans="2:28" x14ac:dyDescent="0.2">
      <c r="B2249" s="30" t="s">
        <v>2294</v>
      </c>
      <c r="C2249" s="36"/>
      <c r="D2249" s="36"/>
      <c r="F2249" s="1" t="s">
        <v>1895</v>
      </c>
      <c r="G2249" s="30" t="s">
        <v>4565</v>
      </c>
      <c r="K2249" s="1" t="s">
        <v>4566</v>
      </c>
      <c r="L2249" s="1" t="s">
        <v>1279</v>
      </c>
      <c r="M2249" s="36" t="s">
        <v>1751</v>
      </c>
      <c r="N2249" s="1" t="s">
        <v>1687</v>
      </c>
      <c r="O2249" s="1" t="s">
        <v>1286</v>
      </c>
      <c r="P2249" s="34" t="str">
        <f t="shared" si="47"/>
        <v>F010</v>
      </c>
      <c r="Q2249" s="1" t="s">
        <v>129</v>
      </c>
      <c r="S2249" s="16">
        <v>20</v>
      </c>
      <c r="T2249" s="1" t="s">
        <v>2299</v>
      </c>
      <c r="U2249" s="1" t="s">
        <v>1890</v>
      </c>
      <c r="V2249" s="1" t="s">
        <v>2833</v>
      </c>
      <c r="Y2249" s="1">
        <v>355356</v>
      </c>
      <c r="AB2249" s="1">
        <v>337588.2</v>
      </c>
    </row>
    <row r="2250" spans="2:28" x14ac:dyDescent="0.2">
      <c r="B2250" s="30" t="s">
        <v>2294</v>
      </c>
      <c r="C2250" s="36"/>
      <c r="D2250" s="36"/>
      <c r="F2250" s="1" t="s">
        <v>1322</v>
      </c>
      <c r="G2250" s="30" t="s">
        <v>4565</v>
      </c>
      <c r="K2250" s="1" t="s">
        <v>4567</v>
      </c>
      <c r="L2250" s="1" t="s">
        <v>1279</v>
      </c>
      <c r="M2250" s="36" t="s">
        <v>1371</v>
      </c>
      <c r="N2250" s="1" t="s">
        <v>1284</v>
      </c>
      <c r="O2250" s="1" t="s">
        <v>1286</v>
      </c>
      <c r="P2250" s="34" t="str">
        <f t="shared" si="47"/>
        <v>F010</v>
      </c>
      <c r="Q2250" s="1" t="s">
        <v>127</v>
      </c>
      <c r="S2250" s="16">
        <v>20</v>
      </c>
      <c r="T2250" s="1" t="s">
        <v>2427</v>
      </c>
      <c r="U2250" s="1" t="s">
        <v>1775</v>
      </c>
      <c r="V2250" s="1" t="s">
        <v>1670</v>
      </c>
      <c r="Y2250" s="1">
        <v>30980</v>
      </c>
      <c r="AB2250" s="1">
        <v>29431</v>
      </c>
    </row>
    <row r="2251" spans="2:28" x14ac:dyDescent="0.2">
      <c r="B2251" s="30" t="s">
        <v>2294</v>
      </c>
      <c r="C2251" s="36"/>
      <c r="D2251" s="36"/>
      <c r="F2251" s="1" t="s">
        <v>1895</v>
      </c>
      <c r="G2251" s="30" t="s">
        <v>4565</v>
      </c>
      <c r="K2251" s="1" t="s">
        <v>4568</v>
      </c>
      <c r="L2251" s="1" t="s">
        <v>1279</v>
      </c>
      <c r="M2251" s="36" t="s">
        <v>1913</v>
      </c>
      <c r="N2251" s="1" t="s">
        <v>1837</v>
      </c>
      <c r="O2251" s="1" t="s">
        <v>1286</v>
      </c>
      <c r="P2251" s="34" t="str">
        <f t="shared" si="47"/>
        <v>F010</v>
      </c>
      <c r="Q2251" s="1" t="s">
        <v>129</v>
      </c>
      <c r="S2251" s="16">
        <v>20</v>
      </c>
      <c r="T2251" s="1" t="s">
        <v>2299</v>
      </c>
      <c r="U2251" s="1" t="s">
        <v>1894</v>
      </c>
      <c r="V2251" s="1" t="s">
        <v>4146</v>
      </c>
      <c r="Y2251" s="1">
        <v>49306.26</v>
      </c>
      <c r="AB2251" s="1">
        <v>46840.95</v>
      </c>
    </row>
    <row r="2252" spans="2:28" x14ac:dyDescent="0.2">
      <c r="B2252" s="30" t="s">
        <v>2294</v>
      </c>
      <c r="C2252" s="36"/>
      <c r="D2252" s="36"/>
      <c r="F2252" s="1" t="s">
        <v>1322</v>
      </c>
      <c r="G2252" s="30" t="s">
        <v>4565</v>
      </c>
      <c r="K2252" s="1" t="s">
        <v>4569</v>
      </c>
      <c r="L2252" s="1" t="s">
        <v>1279</v>
      </c>
      <c r="M2252" s="36" t="s">
        <v>1540</v>
      </c>
      <c r="N2252" s="1" t="s">
        <v>1291</v>
      </c>
      <c r="O2252" s="1" t="s">
        <v>1286</v>
      </c>
      <c r="P2252" s="34" t="str">
        <f t="shared" si="47"/>
        <v>F010</v>
      </c>
      <c r="Q2252" s="1" t="s">
        <v>4330</v>
      </c>
      <c r="S2252" s="16">
        <v>20</v>
      </c>
      <c r="T2252" s="1" t="s">
        <v>2427</v>
      </c>
      <c r="U2252" s="1" t="s">
        <v>2441</v>
      </c>
      <c r="V2252" s="1" t="s">
        <v>2442</v>
      </c>
      <c r="Y2252" s="1">
        <v>19600</v>
      </c>
      <c r="AB2252" s="1">
        <v>18620</v>
      </c>
    </row>
    <row r="2253" spans="2:28" x14ac:dyDescent="0.2">
      <c r="B2253" s="30" t="s">
        <v>2294</v>
      </c>
      <c r="C2253" s="36"/>
      <c r="D2253" s="36"/>
      <c r="F2253" s="1" t="s">
        <v>1895</v>
      </c>
      <c r="G2253" s="30" t="s">
        <v>4565</v>
      </c>
      <c r="K2253" s="1" t="s">
        <v>4570</v>
      </c>
      <c r="L2253" s="1" t="s">
        <v>1279</v>
      </c>
      <c r="M2253" s="36" t="s">
        <v>2313</v>
      </c>
      <c r="N2253" s="1" t="s">
        <v>2314</v>
      </c>
      <c r="O2253" s="1" t="s">
        <v>1286</v>
      </c>
      <c r="P2253" s="34" t="str">
        <f t="shared" si="47"/>
        <v>F010</v>
      </c>
      <c r="Q2253" s="1" t="s">
        <v>137</v>
      </c>
      <c r="S2253" s="16">
        <v>20</v>
      </c>
      <c r="T2253" s="1" t="s">
        <v>2299</v>
      </c>
      <c r="U2253" s="1" t="s">
        <v>1325</v>
      </c>
      <c r="V2253" s="1" t="s">
        <v>1994</v>
      </c>
      <c r="Y2253" s="1">
        <v>19919.689999999999</v>
      </c>
      <c r="AB2253" s="1">
        <v>18923.71</v>
      </c>
    </row>
    <row r="2254" spans="2:28" x14ac:dyDescent="0.2">
      <c r="B2254" s="30" t="s">
        <v>2294</v>
      </c>
      <c r="C2254" s="36"/>
      <c r="D2254" s="36"/>
      <c r="F2254" s="1" t="s">
        <v>1322</v>
      </c>
      <c r="G2254" s="30" t="s">
        <v>4565</v>
      </c>
      <c r="K2254" s="1" t="s">
        <v>4571</v>
      </c>
      <c r="L2254" s="1" t="s">
        <v>1279</v>
      </c>
      <c r="M2254" s="36" t="s">
        <v>1356</v>
      </c>
      <c r="N2254" s="1" t="s">
        <v>1287</v>
      </c>
      <c r="O2254" s="1" t="s">
        <v>1286</v>
      </c>
      <c r="P2254" s="34" t="str">
        <f t="shared" si="47"/>
        <v>F010</v>
      </c>
      <c r="Q2254" s="1" t="s">
        <v>1138</v>
      </c>
      <c r="S2254" s="16">
        <v>20</v>
      </c>
      <c r="T2254" s="1" t="s">
        <v>2427</v>
      </c>
      <c r="U2254" s="1" t="s">
        <v>2442</v>
      </c>
      <c r="V2254" s="1" t="s">
        <v>2102</v>
      </c>
      <c r="Y2254" s="1">
        <v>25585.88</v>
      </c>
      <c r="AB2254" s="1">
        <v>24306.59</v>
      </c>
    </row>
    <row r="2255" spans="2:28" x14ac:dyDescent="0.2">
      <c r="B2255" s="30" t="s">
        <v>2294</v>
      </c>
      <c r="C2255" s="36"/>
      <c r="D2255" s="36"/>
      <c r="F2255" s="1" t="s">
        <v>1895</v>
      </c>
      <c r="G2255" s="30" t="s">
        <v>4565</v>
      </c>
      <c r="K2255" s="1" t="s">
        <v>4572</v>
      </c>
      <c r="L2255" s="1" t="s">
        <v>1279</v>
      </c>
      <c r="M2255" s="36" t="s">
        <v>1356</v>
      </c>
      <c r="N2255" s="1" t="s">
        <v>1287</v>
      </c>
      <c r="O2255" s="1" t="s">
        <v>1286</v>
      </c>
      <c r="P2255" s="34" t="str">
        <f t="shared" si="47"/>
        <v>F010</v>
      </c>
      <c r="Q2255" s="1" t="s">
        <v>1136</v>
      </c>
      <c r="S2255" s="16">
        <v>20</v>
      </c>
      <c r="T2255" s="1" t="s">
        <v>2427</v>
      </c>
      <c r="U2255" s="1" t="s">
        <v>2442</v>
      </c>
      <c r="V2255" s="1" t="s">
        <v>2102</v>
      </c>
      <c r="Y2255" s="1">
        <v>16800</v>
      </c>
      <c r="AB2255" s="1">
        <v>15960</v>
      </c>
    </row>
    <row r="2256" spans="2:28" x14ac:dyDescent="0.2">
      <c r="B2256" s="30" t="s">
        <v>2294</v>
      </c>
      <c r="C2256" s="36"/>
      <c r="D2256" s="36"/>
      <c r="F2256" s="1" t="s">
        <v>1895</v>
      </c>
      <c r="G2256" s="30" t="s">
        <v>4565</v>
      </c>
      <c r="K2256" s="1" t="s">
        <v>4573</v>
      </c>
      <c r="L2256" s="1" t="s">
        <v>1279</v>
      </c>
      <c r="M2256" s="36" t="s">
        <v>1356</v>
      </c>
      <c r="N2256" s="1" t="s">
        <v>1287</v>
      </c>
      <c r="O2256" s="1" t="s">
        <v>1286</v>
      </c>
      <c r="P2256" s="34" t="str">
        <f t="shared" si="47"/>
        <v>F010</v>
      </c>
      <c r="Q2256" s="1" t="s">
        <v>1136</v>
      </c>
      <c r="S2256" s="16">
        <v>20</v>
      </c>
      <c r="T2256" s="1" t="s">
        <v>2427</v>
      </c>
      <c r="U2256" s="1" t="s">
        <v>2442</v>
      </c>
      <c r="V2256" s="1" t="s">
        <v>2102</v>
      </c>
      <c r="Y2256" s="1">
        <v>79500</v>
      </c>
      <c r="AB2256" s="1">
        <v>75525</v>
      </c>
    </row>
    <row r="2257" spans="2:28" x14ac:dyDescent="0.2">
      <c r="B2257" s="30" t="s">
        <v>2294</v>
      </c>
      <c r="C2257" s="36"/>
      <c r="D2257" s="36"/>
      <c r="F2257" s="1" t="s">
        <v>1895</v>
      </c>
      <c r="G2257" s="30" t="s">
        <v>4574</v>
      </c>
      <c r="K2257" s="1" t="s">
        <v>4575</v>
      </c>
      <c r="L2257" s="1" t="s">
        <v>1279</v>
      </c>
      <c r="M2257" s="36" t="s">
        <v>1821</v>
      </c>
      <c r="N2257" s="1" t="s">
        <v>1291</v>
      </c>
      <c r="O2257" s="1" t="s">
        <v>1286</v>
      </c>
      <c r="P2257" s="34" t="str">
        <f t="shared" si="47"/>
        <v>F010</v>
      </c>
      <c r="Q2257" s="1" t="s">
        <v>4330</v>
      </c>
      <c r="S2257" s="16">
        <v>20</v>
      </c>
      <c r="T2257" s="1" t="s">
        <v>2427</v>
      </c>
      <c r="U2257" s="1" t="s">
        <v>1408</v>
      </c>
      <c r="V2257" s="1" t="s">
        <v>2022</v>
      </c>
      <c r="Y2257" s="1">
        <v>16500</v>
      </c>
      <c r="AB2257" s="1">
        <v>15675</v>
      </c>
    </row>
    <row r="2258" spans="2:28" x14ac:dyDescent="0.2">
      <c r="B2258" s="30" t="s">
        <v>2294</v>
      </c>
      <c r="C2258" s="36"/>
      <c r="D2258" s="36"/>
      <c r="F2258" s="1" t="s">
        <v>1895</v>
      </c>
      <c r="G2258" s="30" t="s">
        <v>4576</v>
      </c>
      <c r="K2258" s="1" t="s">
        <v>4577</v>
      </c>
      <c r="L2258" s="1" t="s">
        <v>1279</v>
      </c>
      <c r="M2258" s="36" t="s">
        <v>2437</v>
      </c>
      <c r="N2258" s="1" t="s">
        <v>2925</v>
      </c>
      <c r="O2258" s="1" t="s">
        <v>1286</v>
      </c>
      <c r="P2258" s="34" t="str">
        <f t="shared" si="47"/>
        <v>F010</v>
      </c>
      <c r="Q2258" s="1" t="s">
        <v>129</v>
      </c>
      <c r="S2258" s="16">
        <v>20</v>
      </c>
      <c r="T2258" s="1" t="s">
        <v>2427</v>
      </c>
      <c r="U2258" s="1" t="s">
        <v>2438</v>
      </c>
      <c r="V2258" s="1" t="s">
        <v>2360</v>
      </c>
      <c r="Y2258" s="1">
        <v>4550</v>
      </c>
      <c r="AB2258" s="1">
        <v>4322.5</v>
      </c>
    </row>
    <row r="2259" spans="2:28" x14ac:dyDescent="0.2">
      <c r="B2259" s="30" t="s">
        <v>2294</v>
      </c>
      <c r="C2259" s="36"/>
      <c r="D2259" s="36"/>
      <c r="F2259" s="1" t="s">
        <v>1895</v>
      </c>
      <c r="G2259" s="30" t="s">
        <v>4576</v>
      </c>
      <c r="K2259" s="1" t="s">
        <v>4578</v>
      </c>
      <c r="L2259" s="1" t="s">
        <v>1279</v>
      </c>
      <c r="M2259" s="36" t="s">
        <v>2437</v>
      </c>
      <c r="N2259" s="1" t="s">
        <v>4351</v>
      </c>
      <c r="O2259" s="1" t="s">
        <v>1286</v>
      </c>
      <c r="P2259" s="34" t="str">
        <f t="shared" si="47"/>
        <v>F010</v>
      </c>
      <c r="Q2259" s="1" t="s">
        <v>131</v>
      </c>
      <c r="S2259" s="16">
        <v>20</v>
      </c>
      <c r="T2259" s="1" t="s">
        <v>2427</v>
      </c>
      <c r="U2259" s="1" t="s">
        <v>2438</v>
      </c>
      <c r="V2259" s="1" t="s">
        <v>2360</v>
      </c>
      <c r="Y2259" s="1">
        <v>4550</v>
      </c>
      <c r="AB2259" s="1">
        <v>4322.5</v>
      </c>
    </row>
    <row r="2260" spans="2:28" x14ac:dyDescent="0.2">
      <c r="B2260" s="30" t="s">
        <v>2294</v>
      </c>
      <c r="C2260" s="36"/>
      <c r="D2260" s="36"/>
      <c r="F2260" s="1" t="s">
        <v>1895</v>
      </c>
      <c r="G2260" s="30" t="s">
        <v>4576</v>
      </c>
      <c r="K2260" s="1" t="s">
        <v>4579</v>
      </c>
      <c r="L2260" s="1" t="s">
        <v>1279</v>
      </c>
      <c r="M2260" s="36" t="s">
        <v>2437</v>
      </c>
      <c r="N2260" s="1" t="s">
        <v>1291</v>
      </c>
      <c r="O2260" s="1" t="s">
        <v>1286</v>
      </c>
      <c r="P2260" s="34" t="str">
        <f t="shared" si="47"/>
        <v>F010</v>
      </c>
      <c r="Q2260" s="1" t="s">
        <v>4330</v>
      </c>
      <c r="S2260" s="16">
        <v>20</v>
      </c>
      <c r="T2260" s="1" t="s">
        <v>2427</v>
      </c>
      <c r="U2260" s="1" t="s">
        <v>2438</v>
      </c>
      <c r="V2260" s="1" t="s">
        <v>2360</v>
      </c>
      <c r="Y2260" s="1">
        <v>4550</v>
      </c>
      <c r="AB2260" s="1">
        <v>4322.5</v>
      </c>
    </row>
    <row r="2261" spans="2:28" x14ac:dyDescent="0.2">
      <c r="B2261" s="30" t="s">
        <v>2294</v>
      </c>
      <c r="C2261" s="36"/>
      <c r="D2261" s="36"/>
      <c r="F2261" s="1" t="s">
        <v>1895</v>
      </c>
      <c r="G2261" s="30" t="s">
        <v>4576</v>
      </c>
      <c r="K2261" s="1" t="s">
        <v>4580</v>
      </c>
      <c r="L2261" s="1" t="s">
        <v>1279</v>
      </c>
      <c r="M2261" s="36" t="s">
        <v>2437</v>
      </c>
      <c r="N2261" s="1" t="s">
        <v>2925</v>
      </c>
      <c r="O2261" s="1" t="s">
        <v>1286</v>
      </c>
      <c r="P2261" s="34" t="str">
        <f t="shared" si="47"/>
        <v>F010</v>
      </c>
      <c r="Q2261" s="1" t="s">
        <v>129</v>
      </c>
      <c r="S2261" s="16">
        <v>20</v>
      </c>
      <c r="T2261" s="1" t="s">
        <v>2427</v>
      </c>
      <c r="U2261" s="1" t="s">
        <v>2438</v>
      </c>
      <c r="V2261" s="1" t="s">
        <v>2360</v>
      </c>
      <c r="Y2261" s="1">
        <v>4550</v>
      </c>
      <c r="AB2261" s="1">
        <v>4322.5</v>
      </c>
    </row>
    <row r="2262" spans="2:28" x14ac:dyDescent="0.2">
      <c r="B2262" s="30" t="s">
        <v>2294</v>
      </c>
      <c r="C2262" s="36"/>
      <c r="D2262" s="36"/>
      <c r="F2262" s="1" t="s">
        <v>1895</v>
      </c>
      <c r="G2262" s="30" t="s">
        <v>4576</v>
      </c>
      <c r="K2262" s="1" t="s">
        <v>4581</v>
      </c>
      <c r="L2262" s="1" t="s">
        <v>1279</v>
      </c>
      <c r="M2262" s="36" t="s">
        <v>2437</v>
      </c>
      <c r="N2262" s="1" t="s">
        <v>4235</v>
      </c>
      <c r="O2262" s="1" t="s">
        <v>1286</v>
      </c>
      <c r="P2262" s="34" t="str">
        <f t="shared" si="47"/>
        <v>F010</v>
      </c>
      <c r="Q2262" s="1" t="s">
        <v>134</v>
      </c>
      <c r="S2262" s="16">
        <v>20</v>
      </c>
      <c r="T2262" s="1" t="s">
        <v>2427</v>
      </c>
      <c r="U2262" s="1" t="s">
        <v>2438</v>
      </c>
      <c r="V2262" s="1" t="s">
        <v>2360</v>
      </c>
      <c r="Y2262" s="1">
        <v>4550</v>
      </c>
      <c r="AB2262" s="1">
        <v>4322.5</v>
      </c>
    </row>
    <row r="2263" spans="2:28" x14ac:dyDescent="0.2">
      <c r="B2263" s="30" t="s">
        <v>2294</v>
      </c>
      <c r="C2263" s="36"/>
      <c r="D2263" s="36"/>
      <c r="F2263" s="1" t="s">
        <v>1895</v>
      </c>
      <c r="G2263" s="30" t="s">
        <v>4576</v>
      </c>
      <c r="K2263" s="1" t="s">
        <v>4582</v>
      </c>
      <c r="L2263" s="1" t="s">
        <v>1279</v>
      </c>
      <c r="M2263" s="36" t="s">
        <v>2437</v>
      </c>
      <c r="N2263" s="1" t="s">
        <v>1289</v>
      </c>
      <c r="O2263" s="1" t="s">
        <v>1286</v>
      </c>
      <c r="P2263" s="34" t="str">
        <f t="shared" si="47"/>
        <v>F010</v>
      </c>
      <c r="Q2263" s="1" t="s">
        <v>1297</v>
      </c>
      <c r="S2263" s="16">
        <v>20</v>
      </c>
      <c r="T2263" s="1" t="s">
        <v>2427</v>
      </c>
      <c r="U2263" s="1" t="s">
        <v>2438</v>
      </c>
      <c r="V2263" s="1" t="s">
        <v>2360</v>
      </c>
      <c r="Y2263" s="1">
        <v>4550</v>
      </c>
      <c r="AB2263" s="1">
        <v>4322.5</v>
      </c>
    </row>
    <row r="2264" spans="2:28" x14ac:dyDescent="0.2">
      <c r="B2264" s="30" t="s">
        <v>2294</v>
      </c>
      <c r="C2264" s="36"/>
      <c r="D2264" s="36"/>
      <c r="F2264" s="1" t="s">
        <v>1895</v>
      </c>
      <c r="G2264" s="30" t="s">
        <v>4576</v>
      </c>
      <c r="K2264" s="1" t="s">
        <v>4583</v>
      </c>
      <c r="L2264" s="1" t="s">
        <v>1279</v>
      </c>
      <c r="M2264" s="36" t="s">
        <v>2437</v>
      </c>
      <c r="N2264" s="1" t="s">
        <v>4232</v>
      </c>
      <c r="O2264" s="1" t="s">
        <v>1286</v>
      </c>
      <c r="P2264" s="34" t="str">
        <f t="shared" si="47"/>
        <v>F010</v>
      </c>
      <c r="Q2264" s="1" t="s">
        <v>135</v>
      </c>
      <c r="S2264" s="16">
        <v>20</v>
      </c>
      <c r="T2264" s="1" t="s">
        <v>2427</v>
      </c>
      <c r="U2264" s="1" t="s">
        <v>2438</v>
      </c>
      <c r="V2264" s="1" t="s">
        <v>2360</v>
      </c>
      <c r="Y2264" s="1">
        <v>4550</v>
      </c>
      <c r="AB2264" s="1">
        <v>4322.5</v>
      </c>
    </row>
    <row r="2265" spans="2:28" x14ac:dyDescent="0.2">
      <c r="B2265" s="30" t="s">
        <v>2294</v>
      </c>
      <c r="C2265" s="36"/>
      <c r="D2265" s="36"/>
      <c r="F2265" s="1" t="s">
        <v>1895</v>
      </c>
      <c r="G2265" s="30" t="s">
        <v>4576</v>
      </c>
      <c r="K2265" s="1" t="s">
        <v>4584</v>
      </c>
      <c r="L2265" s="1" t="s">
        <v>1279</v>
      </c>
      <c r="M2265" s="36" t="s">
        <v>2437</v>
      </c>
      <c r="N2265" s="1" t="s">
        <v>4585</v>
      </c>
      <c r="O2265" s="1" t="s">
        <v>1286</v>
      </c>
      <c r="P2265" s="34" t="str">
        <f t="shared" si="47"/>
        <v>F010</v>
      </c>
      <c r="Q2265" s="1" t="s">
        <v>4586</v>
      </c>
      <c r="S2265" s="16">
        <v>20</v>
      </c>
      <c r="T2265" s="1" t="s">
        <v>2427</v>
      </c>
      <c r="U2265" s="1" t="s">
        <v>2438</v>
      </c>
      <c r="V2265" s="1" t="s">
        <v>2360</v>
      </c>
      <c r="Y2265" s="1">
        <v>4550</v>
      </c>
      <c r="AB2265" s="1">
        <v>4322.5</v>
      </c>
    </row>
    <row r="2266" spans="2:28" x14ac:dyDescent="0.2">
      <c r="B2266" s="30" t="s">
        <v>2294</v>
      </c>
      <c r="C2266" s="36"/>
      <c r="D2266" s="36"/>
      <c r="F2266" s="1" t="s">
        <v>1895</v>
      </c>
      <c r="G2266" s="30" t="s">
        <v>4576</v>
      </c>
      <c r="K2266" s="1" t="s">
        <v>4587</v>
      </c>
      <c r="L2266" s="1" t="s">
        <v>1279</v>
      </c>
      <c r="M2266" s="36" t="s">
        <v>2437</v>
      </c>
      <c r="N2266" s="1" t="s">
        <v>1292</v>
      </c>
      <c r="O2266" s="1" t="s">
        <v>1286</v>
      </c>
      <c r="P2266" s="34" t="str">
        <f t="shared" si="47"/>
        <v>F010</v>
      </c>
      <c r="Q2266" s="1" t="s">
        <v>133</v>
      </c>
      <c r="S2266" s="16">
        <v>20</v>
      </c>
      <c r="T2266" s="1" t="s">
        <v>2427</v>
      </c>
      <c r="U2266" s="1" t="s">
        <v>2438</v>
      </c>
      <c r="V2266" s="1" t="s">
        <v>2360</v>
      </c>
      <c r="Y2266" s="1">
        <v>4550</v>
      </c>
      <c r="AB2266" s="1">
        <v>4322.5</v>
      </c>
    </row>
    <row r="2267" spans="2:28" x14ac:dyDescent="0.2">
      <c r="B2267" s="30" t="s">
        <v>2294</v>
      </c>
      <c r="C2267" s="36"/>
      <c r="D2267" s="36"/>
      <c r="F2267" s="1" t="s">
        <v>1895</v>
      </c>
      <c r="G2267" s="30" t="s">
        <v>4588</v>
      </c>
      <c r="K2267" s="1" t="s">
        <v>4589</v>
      </c>
      <c r="L2267" s="1" t="s">
        <v>1279</v>
      </c>
      <c r="M2267" s="36" t="s">
        <v>2323</v>
      </c>
      <c r="N2267" s="1" t="s">
        <v>2394</v>
      </c>
      <c r="O2267" s="1" t="s">
        <v>1286</v>
      </c>
      <c r="P2267" s="34" t="str">
        <f t="shared" si="47"/>
        <v>F010</v>
      </c>
      <c r="Q2267" s="1" t="s">
        <v>129</v>
      </c>
      <c r="S2267" s="16">
        <v>20</v>
      </c>
      <c r="T2267" s="1" t="s">
        <v>2427</v>
      </c>
      <c r="U2267" s="1" t="s">
        <v>1724</v>
      </c>
      <c r="V2267" s="1" t="s">
        <v>3936</v>
      </c>
      <c r="Y2267" s="1">
        <v>4280</v>
      </c>
      <c r="AB2267" s="1">
        <v>3880</v>
      </c>
    </row>
    <row r="2268" spans="2:28" x14ac:dyDescent="0.2">
      <c r="B2268" s="30" t="s">
        <v>2294</v>
      </c>
      <c r="C2268" s="36"/>
      <c r="D2268" s="36"/>
      <c r="F2268" s="1" t="s">
        <v>1895</v>
      </c>
      <c r="G2268" s="30" t="s">
        <v>4588</v>
      </c>
      <c r="K2268" s="1" t="s">
        <v>4590</v>
      </c>
      <c r="L2268" s="1" t="s">
        <v>1279</v>
      </c>
      <c r="M2268" s="36" t="s">
        <v>2323</v>
      </c>
      <c r="N2268" s="1" t="s">
        <v>2394</v>
      </c>
      <c r="O2268" s="1" t="s">
        <v>1286</v>
      </c>
      <c r="P2268" s="34" t="str">
        <f t="shared" si="47"/>
        <v>F010</v>
      </c>
      <c r="Q2268" s="1" t="s">
        <v>129</v>
      </c>
      <c r="S2268" s="16">
        <v>20</v>
      </c>
      <c r="T2268" s="1" t="s">
        <v>2427</v>
      </c>
      <c r="U2268" s="1" t="s">
        <v>1724</v>
      </c>
      <c r="V2268" s="1" t="s">
        <v>3936</v>
      </c>
      <c r="Y2268" s="1">
        <v>4280</v>
      </c>
      <c r="AB2268" s="1">
        <v>3880</v>
      </c>
    </row>
    <row r="2269" spans="2:28" x14ac:dyDescent="0.2">
      <c r="B2269" s="30" t="s">
        <v>2294</v>
      </c>
      <c r="C2269" s="36"/>
      <c r="D2269" s="36"/>
      <c r="F2269" s="1" t="s">
        <v>1895</v>
      </c>
      <c r="G2269" s="30" t="s">
        <v>4591</v>
      </c>
      <c r="K2269" s="1" t="s">
        <v>4592</v>
      </c>
      <c r="L2269" s="1" t="s">
        <v>1279</v>
      </c>
      <c r="M2269" s="36" t="s">
        <v>1476</v>
      </c>
      <c r="N2269" s="1" t="s">
        <v>1335</v>
      </c>
      <c r="O2269" s="1" t="s">
        <v>1286</v>
      </c>
      <c r="P2269" s="34" t="str">
        <f t="shared" si="47"/>
        <v>F010</v>
      </c>
      <c r="Q2269" s="1" t="s">
        <v>1138</v>
      </c>
      <c r="S2269" s="16">
        <v>20</v>
      </c>
      <c r="T2269" s="1" t="s">
        <v>2299</v>
      </c>
      <c r="U2269" s="1" t="s">
        <v>1330</v>
      </c>
      <c r="V2269" s="1" t="s">
        <v>1716</v>
      </c>
      <c r="Y2269" s="1">
        <v>9800</v>
      </c>
      <c r="AB2269" s="1">
        <v>1293.05</v>
      </c>
    </row>
    <row r="2270" spans="2:28" x14ac:dyDescent="0.2">
      <c r="B2270" s="30" t="s">
        <v>2294</v>
      </c>
      <c r="C2270" s="36"/>
      <c r="D2270" s="36"/>
      <c r="F2270" s="1" t="s">
        <v>1322</v>
      </c>
      <c r="G2270" s="30" t="s">
        <v>4593</v>
      </c>
      <c r="K2270" s="1" t="s">
        <v>4594</v>
      </c>
      <c r="L2270" s="1" t="s">
        <v>1279</v>
      </c>
      <c r="M2270" s="36" t="s">
        <v>1990</v>
      </c>
      <c r="N2270" s="1" t="s">
        <v>1637</v>
      </c>
      <c r="O2270" s="1" t="s">
        <v>1286</v>
      </c>
      <c r="P2270" s="34" t="str">
        <f t="shared" si="47"/>
        <v>F010</v>
      </c>
      <c r="Q2270" s="1" t="s">
        <v>127</v>
      </c>
      <c r="S2270" s="16">
        <v>20</v>
      </c>
      <c r="T2270" s="1" t="s">
        <v>2427</v>
      </c>
      <c r="U2270" s="1" t="s">
        <v>2368</v>
      </c>
      <c r="V2270" s="1" t="s">
        <v>2369</v>
      </c>
      <c r="Y2270" s="1">
        <v>3198</v>
      </c>
      <c r="AB2270" s="1">
        <v>168.78</v>
      </c>
    </row>
    <row r="2271" spans="2:28" x14ac:dyDescent="0.2">
      <c r="B2271" s="30" t="s">
        <v>2294</v>
      </c>
      <c r="C2271" s="36"/>
      <c r="D2271" s="36"/>
      <c r="F2271" s="1" t="s">
        <v>1895</v>
      </c>
      <c r="G2271" s="30" t="s">
        <v>4595</v>
      </c>
      <c r="K2271" s="1" t="s">
        <v>4596</v>
      </c>
      <c r="L2271" s="1" t="s">
        <v>1279</v>
      </c>
      <c r="M2271" s="36" t="s">
        <v>1503</v>
      </c>
      <c r="N2271" s="1" t="s">
        <v>1286</v>
      </c>
      <c r="O2271" s="1" t="s">
        <v>1286</v>
      </c>
      <c r="P2271" s="34" t="str">
        <f t="shared" si="47"/>
        <v>F010</v>
      </c>
      <c r="Q2271" s="1" t="s">
        <v>138</v>
      </c>
      <c r="S2271" s="16">
        <v>20</v>
      </c>
      <c r="T2271" s="1" t="s">
        <v>2427</v>
      </c>
      <c r="U2271" s="1" t="s">
        <v>2072</v>
      </c>
      <c r="V2271" s="1" t="s">
        <v>4225</v>
      </c>
      <c r="Y2271" s="1">
        <v>2245.23</v>
      </c>
      <c r="AB2271" s="1">
        <v>822.08</v>
      </c>
    </row>
    <row r="2272" spans="2:28" x14ac:dyDescent="0.2">
      <c r="B2272" s="30" t="s">
        <v>2294</v>
      </c>
      <c r="C2272" s="36"/>
      <c r="D2272" s="36"/>
      <c r="F2272" s="1" t="s">
        <v>1895</v>
      </c>
      <c r="G2272" s="30" t="s">
        <v>4595</v>
      </c>
      <c r="K2272" s="1" t="s">
        <v>4597</v>
      </c>
      <c r="L2272" s="1" t="s">
        <v>1279</v>
      </c>
      <c r="M2272" s="36" t="s">
        <v>1503</v>
      </c>
      <c r="N2272" s="1" t="s">
        <v>1637</v>
      </c>
      <c r="O2272" s="1" t="s">
        <v>1286</v>
      </c>
      <c r="P2272" s="34" t="str">
        <f t="shared" si="47"/>
        <v>F010</v>
      </c>
      <c r="Q2272" s="1" t="s">
        <v>127</v>
      </c>
      <c r="S2272" s="16">
        <v>20</v>
      </c>
      <c r="T2272" s="1" t="s">
        <v>2427</v>
      </c>
      <c r="U2272" s="1" t="s">
        <v>2072</v>
      </c>
      <c r="V2272" s="1" t="s">
        <v>4225</v>
      </c>
      <c r="Y2272" s="1">
        <v>2449</v>
      </c>
      <c r="AB2272" s="1">
        <v>897.96</v>
      </c>
    </row>
    <row r="2273" spans="2:28" x14ac:dyDescent="0.2">
      <c r="B2273" s="30" t="s">
        <v>2294</v>
      </c>
      <c r="C2273" s="36"/>
      <c r="D2273" s="36"/>
      <c r="F2273" s="1" t="s">
        <v>1895</v>
      </c>
      <c r="G2273" s="30" t="s">
        <v>4598</v>
      </c>
      <c r="K2273" s="1" t="s">
        <v>4599</v>
      </c>
      <c r="L2273" s="1" t="s">
        <v>1279</v>
      </c>
      <c r="M2273" s="36" t="s">
        <v>2323</v>
      </c>
      <c r="N2273" s="1" t="s">
        <v>1287</v>
      </c>
      <c r="O2273" s="1" t="s">
        <v>1286</v>
      </c>
      <c r="P2273" s="34" t="str">
        <f t="shared" si="47"/>
        <v>F010</v>
      </c>
      <c r="Q2273" s="1" t="s">
        <v>138</v>
      </c>
      <c r="S2273" s="16">
        <v>20</v>
      </c>
      <c r="T2273" s="1" t="s">
        <v>2427</v>
      </c>
      <c r="U2273" s="1" t="s">
        <v>1724</v>
      </c>
      <c r="V2273" s="1" t="s">
        <v>1725</v>
      </c>
      <c r="Y2273" s="1">
        <v>7537.42</v>
      </c>
      <c r="AB2273" s="1">
        <v>5824.38</v>
      </c>
    </row>
    <row r="2274" spans="2:28" x14ac:dyDescent="0.2">
      <c r="B2274" s="30" t="s">
        <v>2294</v>
      </c>
      <c r="C2274" s="36"/>
      <c r="D2274" s="36"/>
      <c r="F2274" s="1" t="s">
        <v>1895</v>
      </c>
      <c r="G2274" s="30" t="s">
        <v>4600</v>
      </c>
      <c r="K2274" s="1" t="s">
        <v>4601</v>
      </c>
      <c r="L2274" s="1" t="s">
        <v>1279</v>
      </c>
      <c r="M2274" s="36" t="s">
        <v>1480</v>
      </c>
      <c r="N2274" s="1" t="s">
        <v>1287</v>
      </c>
      <c r="O2274" s="1" t="s">
        <v>1286</v>
      </c>
      <c r="P2274" s="34" t="str">
        <f t="shared" si="47"/>
        <v>F010</v>
      </c>
      <c r="Q2274" s="1" t="s">
        <v>137</v>
      </c>
      <c r="S2274" s="16">
        <v>20</v>
      </c>
      <c r="T2274" s="1" t="s">
        <v>2427</v>
      </c>
      <c r="U2274" s="1" t="s">
        <v>1503</v>
      </c>
      <c r="V2274" s="1" t="s">
        <v>2095</v>
      </c>
      <c r="Y2274" s="1">
        <v>34100.85</v>
      </c>
      <c r="AB2274" s="1">
        <v>13498.24</v>
      </c>
    </row>
    <row r="2275" spans="2:28" x14ac:dyDescent="0.2">
      <c r="B2275" s="30" t="s">
        <v>2294</v>
      </c>
      <c r="C2275" s="36"/>
      <c r="D2275" s="36"/>
      <c r="F2275" s="1" t="s">
        <v>1895</v>
      </c>
      <c r="G2275" s="30" t="s">
        <v>4602</v>
      </c>
      <c r="K2275" s="1" t="s">
        <v>4603</v>
      </c>
      <c r="L2275" s="1" t="s">
        <v>1279</v>
      </c>
      <c r="M2275" s="36" t="s">
        <v>2014</v>
      </c>
      <c r="N2275" s="1" t="s">
        <v>1286</v>
      </c>
      <c r="O2275" s="1" t="s">
        <v>1286</v>
      </c>
      <c r="P2275" s="34" t="str">
        <f t="shared" si="47"/>
        <v>F010</v>
      </c>
      <c r="Q2275" s="1" t="s">
        <v>138</v>
      </c>
      <c r="S2275" s="16">
        <v>20</v>
      </c>
      <c r="T2275" s="1" t="s">
        <v>2299</v>
      </c>
      <c r="U2275" s="1" t="s">
        <v>1334</v>
      </c>
      <c r="V2275" s="1" t="s">
        <v>1377</v>
      </c>
      <c r="Y2275" s="1">
        <v>9262</v>
      </c>
      <c r="AB2275" s="1">
        <v>5377.1</v>
      </c>
    </row>
    <row r="2276" spans="2:28" x14ac:dyDescent="0.2">
      <c r="B2276" s="30" t="s">
        <v>2294</v>
      </c>
      <c r="C2276" s="36"/>
      <c r="D2276" s="36"/>
      <c r="F2276" s="1" t="s">
        <v>1322</v>
      </c>
      <c r="G2276" s="30" t="s">
        <v>4604</v>
      </c>
      <c r="K2276" s="1" t="s">
        <v>4605</v>
      </c>
      <c r="L2276" s="1" t="s">
        <v>1279</v>
      </c>
      <c r="M2276" s="36" t="s">
        <v>1476</v>
      </c>
      <c r="N2276" s="1" t="s">
        <v>1637</v>
      </c>
      <c r="O2276" s="1" t="s">
        <v>1286</v>
      </c>
      <c r="P2276" s="34" t="str">
        <f t="shared" si="47"/>
        <v>F010</v>
      </c>
      <c r="Q2276" s="1" t="s">
        <v>127</v>
      </c>
      <c r="S2276" s="16">
        <v>20</v>
      </c>
      <c r="T2276" s="1" t="s">
        <v>2427</v>
      </c>
      <c r="U2276" s="1" t="s">
        <v>1330</v>
      </c>
      <c r="V2276" s="1" t="s">
        <v>1716</v>
      </c>
      <c r="Y2276" s="1">
        <v>22334</v>
      </c>
      <c r="AB2276" s="1">
        <v>2946.85</v>
      </c>
    </row>
    <row r="2277" spans="2:28" x14ac:dyDescent="0.2">
      <c r="B2277" s="30" t="s">
        <v>2294</v>
      </c>
      <c r="C2277" s="36"/>
      <c r="D2277" s="36"/>
      <c r="F2277" s="1" t="s">
        <v>1895</v>
      </c>
      <c r="G2277" s="30" t="s">
        <v>4606</v>
      </c>
      <c r="K2277" s="1" t="s">
        <v>4607</v>
      </c>
      <c r="L2277" s="1" t="s">
        <v>1279</v>
      </c>
      <c r="M2277" s="36" t="s">
        <v>1511</v>
      </c>
      <c r="N2277" s="1" t="s">
        <v>1944</v>
      </c>
      <c r="O2277" s="1" t="s">
        <v>1286</v>
      </c>
      <c r="P2277" s="34" t="str">
        <f t="shared" si="47"/>
        <v>F010</v>
      </c>
      <c r="Q2277" s="1" t="s">
        <v>137</v>
      </c>
      <c r="S2277" s="16">
        <v>20</v>
      </c>
      <c r="T2277" s="1" t="s">
        <v>2427</v>
      </c>
      <c r="U2277" s="1" t="s">
        <v>1468</v>
      </c>
      <c r="V2277" s="1" t="s">
        <v>1634</v>
      </c>
      <c r="Y2277" s="1">
        <v>2715</v>
      </c>
      <c r="AB2277" s="1">
        <v>1289.6500000000001</v>
      </c>
    </row>
    <row r="2278" spans="2:28" x14ac:dyDescent="0.2">
      <c r="B2278" s="30" t="s">
        <v>2294</v>
      </c>
      <c r="C2278" s="36"/>
      <c r="D2278" s="36"/>
      <c r="F2278" s="1" t="s">
        <v>1895</v>
      </c>
      <c r="G2278" s="30" t="s">
        <v>4606</v>
      </c>
      <c r="K2278" s="1" t="s">
        <v>4608</v>
      </c>
      <c r="L2278" s="1" t="s">
        <v>1279</v>
      </c>
      <c r="M2278" s="36" t="s">
        <v>1511</v>
      </c>
      <c r="N2278" s="1" t="s">
        <v>1687</v>
      </c>
      <c r="O2278" s="1" t="s">
        <v>1286</v>
      </c>
      <c r="P2278" s="34" t="str">
        <f t="shared" si="47"/>
        <v>F010</v>
      </c>
      <c r="Q2278" s="1" t="s">
        <v>137</v>
      </c>
      <c r="S2278" s="16">
        <v>20</v>
      </c>
      <c r="T2278" s="1" t="s">
        <v>2427</v>
      </c>
      <c r="U2278" s="1" t="s">
        <v>1468</v>
      </c>
      <c r="V2278" s="1" t="s">
        <v>1634</v>
      </c>
      <c r="Y2278" s="1">
        <v>2715</v>
      </c>
      <c r="AB2278" s="1">
        <v>1289.6500000000001</v>
      </c>
    </row>
    <row r="2279" spans="2:28" x14ac:dyDescent="0.2">
      <c r="B2279" s="30" t="s">
        <v>2294</v>
      </c>
      <c r="C2279" s="36"/>
      <c r="D2279" s="36"/>
      <c r="F2279" s="1" t="s">
        <v>1895</v>
      </c>
      <c r="G2279" s="30" t="s">
        <v>4606</v>
      </c>
      <c r="K2279" s="1" t="s">
        <v>4609</v>
      </c>
      <c r="L2279" s="1" t="s">
        <v>1279</v>
      </c>
      <c r="M2279" s="36" t="s">
        <v>1511</v>
      </c>
      <c r="N2279" s="1" t="s">
        <v>1687</v>
      </c>
      <c r="O2279" s="1" t="s">
        <v>1286</v>
      </c>
      <c r="P2279" s="34" t="str">
        <f t="shared" si="47"/>
        <v>F010</v>
      </c>
      <c r="Q2279" s="1" t="s">
        <v>137</v>
      </c>
      <c r="S2279" s="16">
        <v>20</v>
      </c>
      <c r="T2279" s="1" t="s">
        <v>2299</v>
      </c>
      <c r="U2279" s="1" t="s">
        <v>1468</v>
      </c>
      <c r="V2279" s="1" t="s">
        <v>1634</v>
      </c>
      <c r="Y2279" s="1">
        <v>2715</v>
      </c>
      <c r="AB2279" s="1">
        <v>1289.6500000000001</v>
      </c>
    </row>
    <row r="2280" spans="2:28" x14ac:dyDescent="0.2">
      <c r="B2280" s="30" t="s">
        <v>2294</v>
      </c>
      <c r="C2280" s="36"/>
      <c r="D2280" s="36"/>
      <c r="F2280" s="1" t="s">
        <v>1322</v>
      </c>
      <c r="G2280" s="30" t="s">
        <v>4606</v>
      </c>
      <c r="K2280" s="1" t="s">
        <v>4610</v>
      </c>
      <c r="L2280" s="1" t="s">
        <v>1279</v>
      </c>
      <c r="M2280" s="36" t="s">
        <v>1511</v>
      </c>
      <c r="N2280" s="1" t="s">
        <v>1687</v>
      </c>
      <c r="O2280" s="1" t="s">
        <v>1286</v>
      </c>
      <c r="P2280" s="34" t="str">
        <f t="shared" si="47"/>
        <v>F010</v>
      </c>
      <c r="Q2280" s="1" t="s">
        <v>137</v>
      </c>
      <c r="S2280" s="16">
        <v>20</v>
      </c>
      <c r="T2280" s="1" t="s">
        <v>2427</v>
      </c>
      <c r="U2280" s="1" t="s">
        <v>1468</v>
      </c>
      <c r="V2280" s="1" t="s">
        <v>1634</v>
      </c>
      <c r="Y2280" s="1">
        <v>2715</v>
      </c>
      <c r="AB2280" s="1">
        <v>1289.6500000000001</v>
      </c>
    </row>
    <row r="2281" spans="2:28" x14ac:dyDescent="0.2">
      <c r="B2281" s="30" t="s">
        <v>2294</v>
      </c>
      <c r="C2281" s="36"/>
      <c r="D2281" s="36"/>
      <c r="F2281" s="1" t="s">
        <v>1895</v>
      </c>
      <c r="G2281" s="30" t="s">
        <v>4606</v>
      </c>
      <c r="K2281" s="1" t="s">
        <v>4611</v>
      </c>
      <c r="L2281" s="1" t="s">
        <v>1279</v>
      </c>
      <c r="M2281" s="36" t="s">
        <v>1511</v>
      </c>
      <c r="N2281" s="1" t="s">
        <v>1687</v>
      </c>
      <c r="O2281" s="1" t="s">
        <v>1286</v>
      </c>
      <c r="P2281" s="34" t="str">
        <f t="shared" si="47"/>
        <v>F010</v>
      </c>
      <c r="Q2281" s="1" t="s">
        <v>137</v>
      </c>
      <c r="S2281" s="16">
        <v>20</v>
      </c>
      <c r="T2281" s="1" t="s">
        <v>2427</v>
      </c>
      <c r="U2281" s="1" t="s">
        <v>1468</v>
      </c>
      <c r="V2281" s="1" t="s">
        <v>1634</v>
      </c>
      <c r="Y2281" s="1">
        <v>2715</v>
      </c>
      <c r="AB2281" s="1">
        <v>1289.6500000000001</v>
      </c>
    </row>
    <row r="2282" spans="2:28" x14ac:dyDescent="0.2">
      <c r="B2282" s="30" t="s">
        <v>2294</v>
      </c>
      <c r="C2282" s="36"/>
      <c r="D2282" s="36"/>
      <c r="F2282" s="1" t="s">
        <v>1895</v>
      </c>
      <c r="G2282" s="30" t="s">
        <v>4606</v>
      </c>
      <c r="K2282" s="1" t="s">
        <v>4612</v>
      </c>
      <c r="L2282" s="1" t="s">
        <v>1279</v>
      </c>
      <c r="M2282" s="36" t="s">
        <v>1511</v>
      </c>
      <c r="N2282" s="1" t="s">
        <v>1944</v>
      </c>
      <c r="O2282" s="1" t="s">
        <v>1286</v>
      </c>
      <c r="P2282" s="34" t="str">
        <f t="shared" si="47"/>
        <v>F010</v>
      </c>
      <c r="Q2282" s="1" t="s">
        <v>137</v>
      </c>
      <c r="S2282" s="16">
        <v>20</v>
      </c>
      <c r="T2282" s="1" t="s">
        <v>2299</v>
      </c>
      <c r="U2282" s="1" t="s">
        <v>1468</v>
      </c>
      <c r="V2282" s="1" t="s">
        <v>1634</v>
      </c>
      <c r="Y2282" s="1">
        <v>2715</v>
      </c>
      <c r="AB2282" s="1">
        <v>1289.6500000000001</v>
      </c>
    </row>
    <row r="2283" spans="2:28" x14ac:dyDescent="0.2">
      <c r="B2283" s="30" t="s">
        <v>2294</v>
      </c>
      <c r="C2283" s="36"/>
      <c r="D2283" s="36"/>
      <c r="F2283" s="1" t="s">
        <v>1322</v>
      </c>
      <c r="G2283" s="30" t="s">
        <v>4613</v>
      </c>
      <c r="K2283" s="1" t="s">
        <v>4614</v>
      </c>
      <c r="L2283" s="1" t="s">
        <v>1279</v>
      </c>
      <c r="M2283" s="36" t="s">
        <v>1430</v>
      </c>
      <c r="N2283" s="1" t="s">
        <v>3317</v>
      </c>
      <c r="O2283" s="1" t="s">
        <v>1286</v>
      </c>
      <c r="P2283" s="34" t="str">
        <f t="shared" si="47"/>
        <v>F010</v>
      </c>
      <c r="Q2283" s="1" t="s">
        <v>137</v>
      </c>
      <c r="S2283" s="16">
        <v>20</v>
      </c>
      <c r="T2283" s="1" t="s">
        <v>2427</v>
      </c>
      <c r="U2283" s="1" t="s">
        <v>1654</v>
      </c>
      <c r="V2283" s="1" t="s">
        <v>1701</v>
      </c>
      <c r="Y2283" s="1">
        <v>2527</v>
      </c>
      <c r="AB2283" s="1">
        <v>533.48</v>
      </c>
    </row>
    <row r="2284" spans="2:28" x14ac:dyDescent="0.2">
      <c r="B2284" s="30" t="s">
        <v>2294</v>
      </c>
      <c r="C2284" s="36"/>
      <c r="D2284" s="36"/>
      <c r="F2284" s="1" t="s">
        <v>1895</v>
      </c>
      <c r="G2284" s="30" t="s">
        <v>4613</v>
      </c>
      <c r="K2284" s="1" t="s">
        <v>4615</v>
      </c>
      <c r="L2284" s="1" t="s">
        <v>1279</v>
      </c>
      <c r="M2284" s="36" t="s">
        <v>1430</v>
      </c>
      <c r="N2284" s="1" t="s">
        <v>3317</v>
      </c>
      <c r="O2284" s="1" t="s">
        <v>1286</v>
      </c>
      <c r="P2284" s="34" t="str">
        <f t="shared" si="47"/>
        <v>F010</v>
      </c>
      <c r="Q2284" s="1" t="s">
        <v>137</v>
      </c>
      <c r="S2284" s="16">
        <v>20</v>
      </c>
      <c r="T2284" s="1" t="s">
        <v>2427</v>
      </c>
      <c r="U2284" s="1" t="s">
        <v>1654</v>
      </c>
      <c r="V2284" s="1" t="s">
        <v>1701</v>
      </c>
      <c r="Y2284" s="1">
        <v>2527</v>
      </c>
      <c r="AB2284" s="1">
        <v>533.48</v>
      </c>
    </row>
    <row r="2285" spans="2:28" x14ac:dyDescent="0.2">
      <c r="B2285" s="30" t="s">
        <v>2294</v>
      </c>
      <c r="C2285" s="36"/>
      <c r="D2285" s="36"/>
      <c r="F2285" s="1" t="s">
        <v>1895</v>
      </c>
      <c r="G2285" s="30" t="s">
        <v>4613</v>
      </c>
      <c r="K2285" s="1" t="s">
        <v>4616</v>
      </c>
      <c r="L2285" s="1" t="s">
        <v>1279</v>
      </c>
      <c r="M2285" s="36" t="s">
        <v>1430</v>
      </c>
      <c r="N2285" s="1" t="s">
        <v>3317</v>
      </c>
      <c r="O2285" s="1" t="s">
        <v>1286</v>
      </c>
      <c r="P2285" s="34" t="str">
        <f t="shared" si="47"/>
        <v>F010</v>
      </c>
      <c r="Q2285" s="1" t="s">
        <v>137</v>
      </c>
      <c r="S2285" s="16">
        <v>20</v>
      </c>
      <c r="T2285" s="1" t="s">
        <v>2299</v>
      </c>
      <c r="U2285" s="1" t="s">
        <v>1654</v>
      </c>
      <c r="V2285" s="1" t="s">
        <v>1701</v>
      </c>
      <c r="Y2285" s="1">
        <v>2527</v>
      </c>
      <c r="AB2285" s="1">
        <v>533.48</v>
      </c>
    </row>
    <row r="2286" spans="2:28" x14ac:dyDescent="0.2">
      <c r="B2286" s="30" t="s">
        <v>2294</v>
      </c>
      <c r="C2286" s="36"/>
      <c r="D2286" s="36"/>
      <c r="F2286" s="1" t="s">
        <v>1322</v>
      </c>
      <c r="G2286" s="30" t="s">
        <v>4613</v>
      </c>
      <c r="K2286" s="1" t="s">
        <v>4617</v>
      </c>
      <c r="L2286" s="1" t="s">
        <v>1279</v>
      </c>
      <c r="M2286" s="36" t="s">
        <v>1430</v>
      </c>
      <c r="N2286" s="1" t="s">
        <v>3317</v>
      </c>
      <c r="O2286" s="1" t="s">
        <v>1286</v>
      </c>
      <c r="P2286" s="34" t="str">
        <f t="shared" ref="P2286:P2349" si="48">+LEFT(Q2286,4)</f>
        <v>F010</v>
      </c>
      <c r="Q2286" s="1" t="s">
        <v>137</v>
      </c>
      <c r="S2286" s="16">
        <v>20</v>
      </c>
      <c r="T2286" s="1" t="s">
        <v>2427</v>
      </c>
      <c r="U2286" s="1" t="s">
        <v>1654</v>
      </c>
      <c r="V2286" s="1" t="s">
        <v>1701</v>
      </c>
      <c r="Y2286" s="1">
        <v>2527</v>
      </c>
      <c r="AB2286" s="1">
        <v>533.48</v>
      </c>
    </row>
    <row r="2287" spans="2:28" x14ac:dyDescent="0.2">
      <c r="B2287" s="30" t="s">
        <v>2294</v>
      </c>
      <c r="C2287" s="36"/>
      <c r="D2287" s="36"/>
      <c r="F2287" s="1" t="s">
        <v>1895</v>
      </c>
      <c r="G2287" s="30" t="s">
        <v>4613</v>
      </c>
      <c r="K2287" s="1" t="s">
        <v>4618</v>
      </c>
      <c r="L2287" s="1" t="s">
        <v>1279</v>
      </c>
      <c r="M2287" s="36" t="s">
        <v>1430</v>
      </c>
      <c r="N2287" s="1" t="s">
        <v>3317</v>
      </c>
      <c r="O2287" s="1" t="s">
        <v>1286</v>
      </c>
      <c r="P2287" s="34" t="str">
        <f t="shared" si="48"/>
        <v>F010</v>
      </c>
      <c r="Q2287" s="1" t="s">
        <v>137</v>
      </c>
      <c r="S2287" s="16">
        <v>20</v>
      </c>
      <c r="T2287" s="1" t="s">
        <v>2299</v>
      </c>
      <c r="U2287" s="1" t="s">
        <v>1654</v>
      </c>
      <c r="V2287" s="1" t="s">
        <v>1701</v>
      </c>
      <c r="Y2287" s="1">
        <v>2527</v>
      </c>
      <c r="AB2287" s="1">
        <v>533.48</v>
      </c>
    </row>
    <row r="2288" spans="2:28" x14ac:dyDescent="0.2">
      <c r="B2288" s="30" t="s">
        <v>2294</v>
      </c>
      <c r="C2288" s="36"/>
      <c r="D2288" s="36"/>
      <c r="F2288" s="1" t="s">
        <v>1322</v>
      </c>
      <c r="G2288" s="30" t="s">
        <v>4613</v>
      </c>
      <c r="K2288" s="1" t="s">
        <v>4619</v>
      </c>
      <c r="L2288" s="1" t="s">
        <v>1279</v>
      </c>
      <c r="M2288" s="36" t="s">
        <v>1430</v>
      </c>
      <c r="N2288" s="1" t="s">
        <v>3317</v>
      </c>
      <c r="O2288" s="1" t="s">
        <v>1286</v>
      </c>
      <c r="P2288" s="34" t="str">
        <f t="shared" si="48"/>
        <v>F010</v>
      </c>
      <c r="Q2288" s="1" t="s">
        <v>137</v>
      </c>
      <c r="S2288" s="16">
        <v>20</v>
      </c>
      <c r="T2288" s="1" t="s">
        <v>2427</v>
      </c>
      <c r="U2288" s="1" t="s">
        <v>1654</v>
      </c>
      <c r="V2288" s="1" t="s">
        <v>1701</v>
      </c>
      <c r="Y2288" s="1">
        <v>2527</v>
      </c>
      <c r="AB2288" s="1">
        <v>533.48</v>
      </c>
    </row>
    <row r="2289" spans="2:28" x14ac:dyDescent="0.2">
      <c r="B2289" s="30" t="s">
        <v>2294</v>
      </c>
      <c r="C2289" s="36"/>
      <c r="D2289" s="36"/>
      <c r="F2289" s="1" t="s">
        <v>1895</v>
      </c>
      <c r="G2289" s="30" t="s">
        <v>4613</v>
      </c>
      <c r="K2289" s="1" t="s">
        <v>4620</v>
      </c>
      <c r="L2289" s="1" t="s">
        <v>1279</v>
      </c>
      <c r="M2289" s="36" t="s">
        <v>1430</v>
      </c>
      <c r="N2289" s="1" t="s">
        <v>3317</v>
      </c>
      <c r="O2289" s="1" t="s">
        <v>1286</v>
      </c>
      <c r="P2289" s="34" t="str">
        <f t="shared" si="48"/>
        <v>F010</v>
      </c>
      <c r="Q2289" s="1" t="s">
        <v>137</v>
      </c>
      <c r="S2289" s="16">
        <v>20</v>
      </c>
      <c r="T2289" s="1" t="s">
        <v>2299</v>
      </c>
      <c r="U2289" s="1" t="s">
        <v>1654</v>
      </c>
      <c r="V2289" s="1" t="s">
        <v>1701</v>
      </c>
      <c r="Y2289" s="1">
        <v>2527</v>
      </c>
      <c r="AB2289" s="1">
        <v>533.48</v>
      </c>
    </row>
    <row r="2290" spans="2:28" x14ac:dyDescent="0.2">
      <c r="B2290" s="30" t="s">
        <v>2294</v>
      </c>
      <c r="C2290" s="36"/>
      <c r="D2290" s="36"/>
      <c r="F2290" s="1" t="s">
        <v>1322</v>
      </c>
      <c r="G2290" s="30" t="s">
        <v>4613</v>
      </c>
      <c r="K2290" s="1" t="s">
        <v>4621</v>
      </c>
      <c r="L2290" s="1" t="s">
        <v>1279</v>
      </c>
      <c r="M2290" s="36" t="s">
        <v>1430</v>
      </c>
      <c r="N2290" s="1" t="s">
        <v>3317</v>
      </c>
      <c r="O2290" s="1" t="s">
        <v>1286</v>
      </c>
      <c r="P2290" s="34" t="str">
        <f t="shared" si="48"/>
        <v>F010</v>
      </c>
      <c r="Q2290" s="1" t="s">
        <v>137</v>
      </c>
      <c r="S2290" s="16">
        <v>20</v>
      </c>
      <c r="T2290" s="1" t="s">
        <v>2427</v>
      </c>
      <c r="U2290" s="1" t="s">
        <v>1654</v>
      </c>
      <c r="V2290" s="1" t="s">
        <v>1701</v>
      </c>
      <c r="Y2290" s="1">
        <v>2527</v>
      </c>
      <c r="AB2290" s="1">
        <v>533.48</v>
      </c>
    </row>
    <row r="2291" spans="2:28" x14ac:dyDescent="0.2">
      <c r="B2291" s="30" t="s">
        <v>2294</v>
      </c>
      <c r="C2291" s="36"/>
      <c r="D2291" s="36"/>
      <c r="F2291" s="1" t="s">
        <v>1895</v>
      </c>
      <c r="G2291" s="30" t="s">
        <v>4613</v>
      </c>
      <c r="K2291" s="1" t="s">
        <v>4622</v>
      </c>
      <c r="L2291" s="1" t="s">
        <v>1279</v>
      </c>
      <c r="M2291" s="36" t="s">
        <v>1430</v>
      </c>
      <c r="N2291" s="1" t="s">
        <v>3317</v>
      </c>
      <c r="O2291" s="1" t="s">
        <v>1286</v>
      </c>
      <c r="P2291" s="34" t="str">
        <f t="shared" si="48"/>
        <v>F010</v>
      </c>
      <c r="Q2291" s="1" t="s">
        <v>137</v>
      </c>
      <c r="S2291" s="16">
        <v>20</v>
      </c>
      <c r="T2291" s="1" t="s">
        <v>2299</v>
      </c>
      <c r="U2291" s="1" t="s">
        <v>1654</v>
      </c>
      <c r="V2291" s="1" t="s">
        <v>1701</v>
      </c>
      <c r="Y2291" s="1">
        <v>2527</v>
      </c>
      <c r="AB2291" s="1">
        <v>533.48</v>
      </c>
    </row>
    <row r="2292" spans="2:28" x14ac:dyDescent="0.2">
      <c r="B2292" s="30" t="s">
        <v>2294</v>
      </c>
      <c r="C2292" s="36"/>
      <c r="D2292" s="36"/>
      <c r="F2292" s="1" t="s">
        <v>1322</v>
      </c>
      <c r="G2292" s="30" t="s">
        <v>4613</v>
      </c>
      <c r="K2292" s="1" t="s">
        <v>4623</v>
      </c>
      <c r="L2292" s="1" t="s">
        <v>1279</v>
      </c>
      <c r="M2292" s="36" t="s">
        <v>1430</v>
      </c>
      <c r="N2292" s="1" t="s">
        <v>3317</v>
      </c>
      <c r="O2292" s="1" t="s">
        <v>1286</v>
      </c>
      <c r="P2292" s="34" t="str">
        <f t="shared" si="48"/>
        <v>F010</v>
      </c>
      <c r="Q2292" s="1" t="s">
        <v>137</v>
      </c>
      <c r="S2292" s="16">
        <v>20</v>
      </c>
      <c r="T2292" s="1" t="s">
        <v>2299</v>
      </c>
      <c r="U2292" s="1" t="s">
        <v>1654</v>
      </c>
      <c r="V2292" s="1" t="s">
        <v>1701</v>
      </c>
      <c r="Y2292" s="1">
        <v>2527</v>
      </c>
      <c r="AB2292" s="1">
        <v>533.48</v>
      </c>
    </row>
    <row r="2293" spans="2:28" x14ac:dyDescent="0.2">
      <c r="B2293" s="30" t="s">
        <v>2294</v>
      </c>
      <c r="C2293" s="36"/>
      <c r="D2293" s="36"/>
      <c r="F2293" s="1" t="s">
        <v>1322</v>
      </c>
      <c r="G2293" s="30" t="s">
        <v>4613</v>
      </c>
      <c r="K2293" s="1" t="s">
        <v>4624</v>
      </c>
      <c r="L2293" s="1" t="s">
        <v>1279</v>
      </c>
      <c r="M2293" s="36" t="s">
        <v>1430</v>
      </c>
      <c r="N2293" s="1" t="s">
        <v>3317</v>
      </c>
      <c r="O2293" s="1" t="s">
        <v>1286</v>
      </c>
      <c r="P2293" s="34" t="str">
        <f t="shared" si="48"/>
        <v>F010</v>
      </c>
      <c r="Q2293" s="1" t="s">
        <v>137</v>
      </c>
      <c r="S2293" s="16">
        <v>20</v>
      </c>
      <c r="T2293" s="1" t="s">
        <v>2427</v>
      </c>
      <c r="U2293" s="1" t="s">
        <v>1654</v>
      </c>
      <c r="V2293" s="1" t="s">
        <v>1701</v>
      </c>
      <c r="Y2293" s="1">
        <v>2527</v>
      </c>
      <c r="AB2293" s="1">
        <v>533.48</v>
      </c>
    </row>
    <row r="2294" spans="2:28" x14ac:dyDescent="0.2">
      <c r="B2294" s="30" t="s">
        <v>2294</v>
      </c>
      <c r="C2294" s="36"/>
      <c r="D2294" s="36"/>
      <c r="F2294" s="1" t="s">
        <v>1895</v>
      </c>
      <c r="G2294" s="30" t="s">
        <v>4613</v>
      </c>
      <c r="K2294" s="1" t="s">
        <v>4625</v>
      </c>
      <c r="L2294" s="1" t="s">
        <v>1279</v>
      </c>
      <c r="M2294" s="36" t="s">
        <v>1430</v>
      </c>
      <c r="N2294" s="1" t="s">
        <v>3317</v>
      </c>
      <c r="O2294" s="1" t="s">
        <v>1286</v>
      </c>
      <c r="P2294" s="34" t="str">
        <f t="shared" si="48"/>
        <v>F010</v>
      </c>
      <c r="Q2294" s="1" t="s">
        <v>137</v>
      </c>
      <c r="S2294" s="16">
        <v>20</v>
      </c>
      <c r="T2294" s="1" t="s">
        <v>2299</v>
      </c>
      <c r="U2294" s="1" t="s">
        <v>1654</v>
      </c>
      <c r="V2294" s="1" t="s">
        <v>1701</v>
      </c>
      <c r="Y2294" s="1">
        <v>2527</v>
      </c>
      <c r="AB2294" s="1">
        <v>533.48</v>
      </c>
    </row>
    <row r="2295" spans="2:28" x14ac:dyDescent="0.2">
      <c r="B2295" s="30" t="s">
        <v>2294</v>
      </c>
      <c r="C2295" s="36"/>
      <c r="D2295" s="36"/>
      <c r="F2295" s="1" t="s">
        <v>1322</v>
      </c>
      <c r="G2295" s="30" t="s">
        <v>4613</v>
      </c>
      <c r="K2295" s="1" t="s">
        <v>4626</v>
      </c>
      <c r="L2295" s="1" t="s">
        <v>1279</v>
      </c>
      <c r="M2295" s="36" t="s">
        <v>1430</v>
      </c>
      <c r="N2295" s="1" t="s">
        <v>3317</v>
      </c>
      <c r="O2295" s="1" t="s">
        <v>1286</v>
      </c>
      <c r="P2295" s="34" t="str">
        <f t="shared" si="48"/>
        <v>F010</v>
      </c>
      <c r="Q2295" s="1" t="s">
        <v>137</v>
      </c>
      <c r="S2295" s="16">
        <v>20</v>
      </c>
      <c r="T2295" s="1" t="s">
        <v>2427</v>
      </c>
      <c r="U2295" s="1" t="s">
        <v>1654</v>
      </c>
      <c r="V2295" s="1" t="s">
        <v>1701</v>
      </c>
      <c r="Y2295" s="1">
        <v>2527</v>
      </c>
      <c r="AB2295" s="1">
        <v>533.48</v>
      </c>
    </row>
    <row r="2296" spans="2:28" x14ac:dyDescent="0.2">
      <c r="B2296" s="30" t="s">
        <v>2294</v>
      </c>
      <c r="C2296" s="36"/>
      <c r="D2296" s="36"/>
      <c r="F2296" s="1" t="s">
        <v>1895</v>
      </c>
      <c r="G2296" s="30" t="s">
        <v>4613</v>
      </c>
      <c r="K2296" s="1" t="s">
        <v>4627</v>
      </c>
      <c r="L2296" s="1" t="s">
        <v>1279</v>
      </c>
      <c r="M2296" s="36" t="s">
        <v>1430</v>
      </c>
      <c r="N2296" s="1" t="s">
        <v>3317</v>
      </c>
      <c r="O2296" s="1" t="s">
        <v>1286</v>
      </c>
      <c r="P2296" s="34" t="str">
        <f t="shared" si="48"/>
        <v>F010</v>
      </c>
      <c r="Q2296" s="1" t="s">
        <v>137</v>
      </c>
      <c r="S2296" s="16">
        <v>20</v>
      </c>
      <c r="T2296" s="1" t="s">
        <v>2427</v>
      </c>
      <c r="U2296" s="1" t="s">
        <v>1654</v>
      </c>
      <c r="V2296" s="1" t="s">
        <v>1701</v>
      </c>
      <c r="Y2296" s="1">
        <v>2527</v>
      </c>
      <c r="AB2296" s="1">
        <v>533.48</v>
      </c>
    </row>
    <row r="2297" spans="2:28" x14ac:dyDescent="0.2">
      <c r="B2297" s="30" t="s">
        <v>2294</v>
      </c>
      <c r="C2297" s="36"/>
      <c r="D2297" s="36"/>
      <c r="F2297" s="1" t="s">
        <v>1895</v>
      </c>
      <c r="G2297" s="30" t="s">
        <v>4613</v>
      </c>
      <c r="K2297" s="1" t="s">
        <v>4628</v>
      </c>
      <c r="L2297" s="1" t="s">
        <v>1279</v>
      </c>
      <c r="M2297" s="36" t="s">
        <v>1430</v>
      </c>
      <c r="N2297" s="1" t="s">
        <v>3317</v>
      </c>
      <c r="O2297" s="1" t="s">
        <v>1286</v>
      </c>
      <c r="P2297" s="34" t="str">
        <f t="shared" si="48"/>
        <v>F010</v>
      </c>
      <c r="Q2297" s="1" t="s">
        <v>137</v>
      </c>
      <c r="S2297" s="16">
        <v>20</v>
      </c>
      <c r="T2297" s="1" t="s">
        <v>2427</v>
      </c>
      <c r="U2297" s="1" t="s">
        <v>1654</v>
      </c>
      <c r="V2297" s="1" t="s">
        <v>1701</v>
      </c>
      <c r="Y2297" s="1">
        <v>2527</v>
      </c>
      <c r="AB2297" s="1">
        <v>533.48</v>
      </c>
    </row>
    <row r="2298" spans="2:28" x14ac:dyDescent="0.2">
      <c r="B2298" s="30" t="s">
        <v>2294</v>
      </c>
      <c r="C2298" s="36"/>
      <c r="D2298" s="36"/>
      <c r="F2298" s="1" t="s">
        <v>1895</v>
      </c>
      <c r="G2298" s="30" t="s">
        <v>4613</v>
      </c>
      <c r="K2298" s="1" t="s">
        <v>4629</v>
      </c>
      <c r="L2298" s="1" t="s">
        <v>1279</v>
      </c>
      <c r="M2298" s="36" t="s">
        <v>1430</v>
      </c>
      <c r="N2298" s="1" t="s">
        <v>3317</v>
      </c>
      <c r="O2298" s="1" t="s">
        <v>1286</v>
      </c>
      <c r="P2298" s="34" t="str">
        <f t="shared" si="48"/>
        <v>F010</v>
      </c>
      <c r="Q2298" s="1" t="s">
        <v>137</v>
      </c>
      <c r="S2298" s="16">
        <v>20</v>
      </c>
      <c r="T2298" s="1" t="s">
        <v>2427</v>
      </c>
      <c r="U2298" s="1" t="s">
        <v>1654</v>
      </c>
      <c r="V2298" s="1" t="s">
        <v>1701</v>
      </c>
      <c r="Y2298" s="1">
        <v>2527</v>
      </c>
      <c r="AB2298" s="1">
        <v>533.48</v>
      </c>
    </row>
    <row r="2299" spans="2:28" x14ac:dyDescent="0.2">
      <c r="B2299" s="30" t="s">
        <v>2294</v>
      </c>
      <c r="C2299" s="36"/>
      <c r="D2299" s="36"/>
      <c r="F2299" s="1" t="s">
        <v>1895</v>
      </c>
      <c r="G2299" s="30" t="s">
        <v>4613</v>
      </c>
      <c r="K2299" s="1" t="s">
        <v>4630</v>
      </c>
      <c r="L2299" s="1" t="s">
        <v>1279</v>
      </c>
      <c r="M2299" s="36" t="s">
        <v>1430</v>
      </c>
      <c r="N2299" s="1" t="s">
        <v>3317</v>
      </c>
      <c r="O2299" s="1" t="s">
        <v>1286</v>
      </c>
      <c r="P2299" s="34" t="str">
        <f t="shared" si="48"/>
        <v>F010</v>
      </c>
      <c r="Q2299" s="1" t="s">
        <v>137</v>
      </c>
      <c r="S2299" s="16">
        <v>20</v>
      </c>
      <c r="T2299" s="1" t="s">
        <v>2427</v>
      </c>
      <c r="U2299" s="1" t="s">
        <v>1654</v>
      </c>
      <c r="V2299" s="1" t="s">
        <v>1701</v>
      </c>
      <c r="Y2299" s="1">
        <v>2527</v>
      </c>
      <c r="AB2299" s="1">
        <v>533.48</v>
      </c>
    </row>
    <row r="2300" spans="2:28" x14ac:dyDescent="0.2">
      <c r="B2300" s="30" t="s">
        <v>2294</v>
      </c>
      <c r="C2300" s="36"/>
      <c r="D2300" s="36"/>
      <c r="F2300" s="1" t="s">
        <v>1895</v>
      </c>
      <c r="G2300" s="30" t="s">
        <v>4613</v>
      </c>
      <c r="K2300" s="1" t="s">
        <v>4631</v>
      </c>
      <c r="L2300" s="1" t="s">
        <v>1279</v>
      </c>
      <c r="M2300" s="36" t="s">
        <v>1430</v>
      </c>
      <c r="N2300" s="1" t="s">
        <v>3317</v>
      </c>
      <c r="O2300" s="1" t="s">
        <v>1286</v>
      </c>
      <c r="P2300" s="34" t="str">
        <f t="shared" si="48"/>
        <v>F010</v>
      </c>
      <c r="Q2300" s="1" t="s">
        <v>137</v>
      </c>
      <c r="S2300" s="16">
        <v>20</v>
      </c>
      <c r="T2300" s="1" t="s">
        <v>2427</v>
      </c>
      <c r="U2300" s="1" t="s">
        <v>1654</v>
      </c>
      <c r="V2300" s="1" t="s">
        <v>1701</v>
      </c>
      <c r="Y2300" s="1">
        <v>2527</v>
      </c>
      <c r="AB2300" s="1">
        <v>533.48</v>
      </c>
    </row>
    <row r="2301" spans="2:28" x14ac:dyDescent="0.2">
      <c r="B2301" s="30" t="s">
        <v>2294</v>
      </c>
      <c r="C2301" s="36"/>
      <c r="D2301" s="36"/>
      <c r="F2301" s="1" t="s">
        <v>1895</v>
      </c>
      <c r="G2301" s="30" t="s">
        <v>4613</v>
      </c>
      <c r="K2301" s="1" t="s">
        <v>4632</v>
      </c>
      <c r="L2301" s="1" t="s">
        <v>1279</v>
      </c>
      <c r="M2301" s="36" t="s">
        <v>1430</v>
      </c>
      <c r="N2301" s="1" t="s">
        <v>3317</v>
      </c>
      <c r="O2301" s="1" t="s">
        <v>1286</v>
      </c>
      <c r="P2301" s="34" t="str">
        <f t="shared" si="48"/>
        <v>F010</v>
      </c>
      <c r="Q2301" s="1" t="s">
        <v>137</v>
      </c>
      <c r="S2301" s="16">
        <v>20</v>
      </c>
      <c r="T2301" s="1" t="s">
        <v>2427</v>
      </c>
      <c r="U2301" s="1" t="s">
        <v>1654</v>
      </c>
      <c r="V2301" s="1" t="s">
        <v>1701</v>
      </c>
      <c r="Y2301" s="1">
        <v>2527</v>
      </c>
      <c r="AB2301" s="1">
        <v>533.48</v>
      </c>
    </row>
    <row r="2302" spans="2:28" x14ac:dyDescent="0.2">
      <c r="B2302" s="30" t="s">
        <v>2294</v>
      </c>
      <c r="C2302" s="36"/>
      <c r="D2302" s="36"/>
      <c r="F2302" s="1" t="s">
        <v>1895</v>
      </c>
      <c r="G2302" s="30" t="s">
        <v>4613</v>
      </c>
      <c r="K2302" s="1" t="s">
        <v>4633</v>
      </c>
      <c r="L2302" s="1" t="s">
        <v>1279</v>
      </c>
      <c r="M2302" s="36" t="s">
        <v>1430</v>
      </c>
      <c r="N2302" s="1" t="s">
        <v>3317</v>
      </c>
      <c r="O2302" s="1" t="s">
        <v>1286</v>
      </c>
      <c r="P2302" s="34" t="str">
        <f t="shared" si="48"/>
        <v>F010</v>
      </c>
      <c r="Q2302" s="1" t="s">
        <v>137</v>
      </c>
      <c r="S2302" s="16">
        <v>20</v>
      </c>
      <c r="T2302" s="1" t="s">
        <v>2299</v>
      </c>
      <c r="U2302" s="1" t="s">
        <v>1654</v>
      </c>
      <c r="V2302" s="1" t="s">
        <v>1701</v>
      </c>
      <c r="Y2302" s="1">
        <v>2527</v>
      </c>
      <c r="AB2302" s="1">
        <v>533.48</v>
      </c>
    </row>
    <row r="2303" spans="2:28" x14ac:dyDescent="0.2">
      <c r="B2303" s="30" t="s">
        <v>2294</v>
      </c>
      <c r="C2303" s="36"/>
      <c r="D2303" s="36"/>
      <c r="F2303" s="1" t="s">
        <v>1322</v>
      </c>
      <c r="G2303" s="30" t="s">
        <v>4634</v>
      </c>
      <c r="K2303" s="1" t="s">
        <v>4635</v>
      </c>
      <c r="L2303" s="1" t="s">
        <v>1279</v>
      </c>
      <c r="M2303" s="36" t="s">
        <v>2014</v>
      </c>
      <c r="N2303" s="1" t="s">
        <v>1577</v>
      </c>
      <c r="O2303" s="1" t="s">
        <v>1286</v>
      </c>
      <c r="P2303" s="34" t="str">
        <f t="shared" si="48"/>
        <v>F010</v>
      </c>
      <c r="Q2303" s="1" t="s">
        <v>138</v>
      </c>
      <c r="S2303" s="16">
        <v>20</v>
      </c>
      <c r="T2303" s="1" t="s">
        <v>2299</v>
      </c>
      <c r="U2303" s="1" t="s">
        <v>1334</v>
      </c>
      <c r="V2303" s="1" t="s">
        <v>1377</v>
      </c>
      <c r="Y2303" s="1">
        <v>3185</v>
      </c>
      <c r="AB2303" s="1">
        <v>1849.1</v>
      </c>
    </row>
    <row r="2304" spans="2:28" x14ac:dyDescent="0.2">
      <c r="B2304" s="30" t="s">
        <v>2294</v>
      </c>
      <c r="C2304" s="36"/>
      <c r="D2304" s="36"/>
      <c r="F2304" s="1" t="s">
        <v>1322</v>
      </c>
      <c r="G2304" s="30" t="s">
        <v>4634</v>
      </c>
      <c r="K2304" s="1" t="s">
        <v>4636</v>
      </c>
      <c r="L2304" s="1" t="s">
        <v>1279</v>
      </c>
      <c r="M2304" s="36" t="s">
        <v>2014</v>
      </c>
      <c r="N2304" s="1" t="s">
        <v>1577</v>
      </c>
      <c r="O2304" s="1" t="s">
        <v>1286</v>
      </c>
      <c r="P2304" s="34" t="str">
        <f t="shared" si="48"/>
        <v>F010</v>
      </c>
      <c r="Q2304" s="1" t="s">
        <v>138</v>
      </c>
      <c r="S2304" s="16">
        <v>20</v>
      </c>
      <c r="T2304" s="1" t="s">
        <v>4637</v>
      </c>
      <c r="U2304" s="1" t="s">
        <v>1334</v>
      </c>
      <c r="V2304" s="1" t="s">
        <v>1377</v>
      </c>
      <c r="Y2304" s="1">
        <v>3185</v>
      </c>
      <c r="AB2304" s="1">
        <v>1849.1</v>
      </c>
    </row>
    <row r="2305" spans="2:28" x14ac:dyDescent="0.2">
      <c r="B2305" s="30" t="s">
        <v>2294</v>
      </c>
      <c r="C2305" s="36"/>
      <c r="D2305" s="36"/>
      <c r="F2305" s="1" t="s">
        <v>4638</v>
      </c>
      <c r="G2305" s="30" t="s">
        <v>4634</v>
      </c>
      <c r="K2305" s="1" t="s">
        <v>4639</v>
      </c>
      <c r="L2305" s="1" t="s">
        <v>1279</v>
      </c>
      <c r="M2305" s="36" t="s">
        <v>2014</v>
      </c>
      <c r="N2305" s="1" t="s">
        <v>1577</v>
      </c>
      <c r="O2305" s="1" t="s">
        <v>1286</v>
      </c>
      <c r="P2305" s="34" t="str">
        <f t="shared" si="48"/>
        <v>F010</v>
      </c>
      <c r="Q2305" s="1" t="s">
        <v>138</v>
      </c>
      <c r="S2305" s="16">
        <v>20</v>
      </c>
      <c r="T2305" s="1" t="s">
        <v>4637</v>
      </c>
      <c r="U2305" s="1" t="s">
        <v>1334</v>
      </c>
      <c r="V2305" s="1" t="s">
        <v>1377</v>
      </c>
      <c r="Y2305" s="1">
        <v>3185</v>
      </c>
      <c r="AB2305" s="1">
        <v>1849.1</v>
      </c>
    </row>
    <row r="2306" spans="2:28" x14ac:dyDescent="0.2">
      <c r="B2306" s="30" t="s">
        <v>2294</v>
      </c>
      <c r="C2306" s="36"/>
      <c r="D2306" s="36"/>
      <c r="F2306" s="1" t="s">
        <v>4638</v>
      </c>
      <c r="G2306" s="30" t="s">
        <v>4640</v>
      </c>
      <c r="K2306" s="1" t="s">
        <v>4641</v>
      </c>
      <c r="L2306" s="1" t="s">
        <v>1279</v>
      </c>
      <c r="M2306" s="36" t="s">
        <v>1430</v>
      </c>
      <c r="N2306" s="1" t="s">
        <v>1614</v>
      </c>
      <c r="O2306" s="1" t="s">
        <v>1286</v>
      </c>
      <c r="P2306" s="34" t="str">
        <f t="shared" si="48"/>
        <v>F010</v>
      </c>
      <c r="Q2306" s="1" t="s">
        <v>127</v>
      </c>
      <c r="S2306" s="16">
        <v>20</v>
      </c>
      <c r="T2306" s="1" t="s">
        <v>4637</v>
      </c>
      <c r="U2306" s="1" t="s">
        <v>1654</v>
      </c>
      <c r="V2306" s="1" t="s">
        <v>1701</v>
      </c>
      <c r="Y2306" s="1">
        <v>3580</v>
      </c>
      <c r="AB2306" s="1">
        <v>755.76</v>
      </c>
    </row>
    <row r="2307" spans="2:28" x14ac:dyDescent="0.2">
      <c r="B2307" s="30" t="s">
        <v>2294</v>
      </c>
      <c r="C2307" s="36"/>
      <c r="D2307" s="36"/>
      <c r="F2307" s="1" t="s">
        <v>4638</v>
      </c>
      <c r="G2307" s="30" t="s">
        <v>4640</v>
      </c>
      <c r="K2307" s="1" t="s">
        <v>4642</v>
      </c>
      <c r="L2307" s="1" t="s">
        <v>1279</v>
      </c>
      <c r="M2307" s="36" t="s">
        <v>1430</v>
      </c>
      <c r="N2307" s="1" t="s">
        <v>1614</v>
      </c>
      <c r="O2307" s="1" t="s">
        <v>1286</v>
      </c>
      <c r="P2307" s="34" t="str">
        <f t="shared" si="48"/>
        <v>F010</v>
      </c>
      <c r="Q2307" s="1" t="s">
        <v>127</v>
      </c>
      <c r="S2307" s="16">
        <v>20</v>
      </c>
      <c r="T2307" s="1" t="s">
        <v>4637</v>
      </c>
      <c r="U2307" s="1" t="s">
        <v>1654</v>
      </c>
      <c r="V2307" s="1" t="s">
        <v>1701</v>
      </c>
      <c r="Y2307" s="1">
        <v>3580</v>
      </c>
      <c r="AB2307" s="1">
        <v>755.76</v>
      </c>
    </row>
    <row r="2308" spans="2:28" x14ac:dyDescent="0.2">
      <c r="B2308" s="30" t="s">
        <v>2294</v>
      </c>
      <c r="C2308" s="36"/>
      <c r="D2308" s="36"/>
      <c r="F2308" s="1" t="s">
        <v>4638</v>
      </c>
      <c r="G2308" s="30" t="s">
        <v>4640</v>
      </c>
      <c r="K2308" s="1" t="s">
        <v>4643</v>
      </c>
      <c r="L2308" s="1" t="s">
        <v>1279</v>
      </c>
      <c r="M2308" s="36" t="s">
        <v>1654</v>
      </c>
      <c r="N2308" s="1" t="s">
        <v>1577</v>
      </c>
      <c r="O2308" s="1" t="s">
        <v>1286</v>
      </c>
      <c r="P2308" s="34" t="str">
        <f t="shared" si="48"/>
        <v>F010</v>
      </c>
      <c r="Q2308" s="1" t="s">
        <v>138</v>
      </c>
      <c r="S2308" s="16">
        <v>20</v>
      </c>
      <c r="T2308" s="1" t="s">
        <v>4637</v>
      </c>
      <c r="U2308" s="1" t="s">
        <v>1560</v>
      </c>
      <c r="V2308" s="1" t="s">
        <v>1578</v>
      </c>
      <c r="Y2308" s="1">
        <v>3580</v>
      </c>
      <c r="AB2308" s="1">
        <v>661.29</v>
      </c>
    </row>
    <row r="2309" spans="2:28" x14ac:dyDescent="0.2">
      <c r="B2309" s="30" t="s">
        <v>2294</v>
      </c>
      <c r="C2309" s="36"/>
      <c r="D2309" s="36"/>
      <c r="F2309" s="1" t="s">
        <v>4638</v>
      </c>
      <c r="G2309" s="30" t="s">
        <v>4644</v>
      </c>
      <c r="K2309" s="1" t="s">
        <v>4645</v>
      </c>
      <c r="L2309" s="1" t="s">
        <v>1279</v>
      </c>
      <c r="M2309" s="36" t="s">
        <v>1560</v>
      </c>
      <c r="N2309" s="1" t="s">
        <v>1837</v>
      </c>
      <c r="O2309" s="1" t="s">
        <v>1286</v>
      </c>
      <c r="P2309" s="34" t="str">
        <f t="shared" si="48"/>
        <v>F010</v>
      </c>
      <c r="Q2309" s="1" t="s">
        <v>137</v>
      </c>
      <c r="S2309" s="16">
        <v>20</v>
      </c>
      <c r="T2309" s="1" t="s">
        <v>2427</v>
      </c>
      <c r="U2309" s="1" t="s">
        <v>1476</v>
      </c>
      <c r="V2309" s="1" t="s">
        <v>1569</v>
      </c>
      <c r="Y2309" s="1">
        <v>3297</v>
      </c>
      <c r="AB2309" s="1">
        <v>522.02</v>
      </c>
    </row>
    <row r="2310" spans="2:28" x14ac:dyDescent="0.2">
      <c r="B2310" s="30" t="s">
        <v>2294</v>
      </c>
      <c r="C2310" s="36"/>
      <c r="D2310" s="36"/>
      <c r="F2310" s="1" t="s">
        <v>1895</v>
      </c>
      <c r="G2310" s="30" t="s">
        <v>4644</v>
      </c>
      <c r="K2310" s="1" t="s">
        <v>4646</v>
      </c>
      <c r="L2310" s="1" t="s">
        <v>1279</v>
      </c>
      <c r="M2310" s="36" t="s">
        <v>1560</v>
      </c>
      <c r="N2310" s="1" t="s">
        <v>1837</v>
      </c>
      <c r="O2310" s="1" t="s">
        <v>1286</v>
      </c>
      <c r="P2310" s="34" t="str">
        <f t="shared" si="48"/>
        <v>F010</v>
      </c>
      <c r="Q2310" s="1" t="s">
        <v>137</v>
      </c>
      <c r="S2310" s="16">
        <v>20</v>
      </c>
      <c r="T2310" s="1" t="s">
        <v>2299</v>
      </c>
      <c r="U2310" s="1" t="s">
        <v>1476</v>
      </c>
      <c r="V2310" s="1" t="s">
        <v>1569</v>
      </c>
      <c r="Y2310" s="1">
        <v>3297</v>
      </c>
      <c r="AB2310" s="1">
        <v>522.02</v>
      </c>
    </row>
    <row r="2311" spans="2:28" x14ac:dyDescent="0.2">
      <c r="B2311" s="30" t="s">
        <v>2294</v>
      </c>
      <c r="C2311" s="36"/>
      <c r="D2311" s="36"/>
      <c r="F2311" s="1" t="s">
        <v>1322</v>
      </c>
      <c r="G2311" s="30" t="s">
        <v>4647</v>
      </c>
      <c r="K2311" s="1" t="s">
        <v>4648</v>
      </c>
      <c r="L2311" s="1" t="s">
        <v>1279</v>
      </c>
      <c r="M2311" s="36" t="s">
        <v>1857</v>
      </c>
      <c r="N2311" s="1" t="s">
        <v>1837</v>
      </c>
      <c r="O2311" s="1" t="s">
        <v>1286</v>
      </c>
      <c r="P2311" s="34" t="str">
        <f t="shared" si="48"/>
        <v>F010</v>
      </c>
      <c r="Q2311" s="1" t="s">
        <v>127</v>
      </c>
      <c r="S2311" s="16">
        <v>20</v>
      </c>
      <c r="T2311" s="1" t="s">
        <v>2427</v>
      </c>
      <c r="U2311" s="1" t="s">
        <v>1840</v>
      </c>
      <c r="V2311" s="1" t="s">
        <v>4649</v>
      </c>
      <c r="Y2311" s="1">
        <v>2171.79</v>
      </c>
      <c r="AB2311" s="1">
        <v>568</v>
      </c>
    </row>
    <row r="2312" spans="2:28" x14ac:dyDescent="0.2">
      <c r="B2312" s="30" t="s">
        <v>2294</v>
      </c>
      <c r="C2312" s="36"/>
      <c r="D2312" s="36"/>
      <c r="F2312" s="1" t="s">
        <v>1895</v>
      </c>
      <c r="G2312" s="30" t="s">
        <v>4650</v>
      </c>
      <c r="K2312" s="1" t="s">
        <v>4651</v>
      </c>
      <c r="L2312" s="1" t="s">
        <v>1279</v>
      </c>
      <c r="M2312" s="36" t="s">
        <v>2014</v>
      </c>
      <c r="N2312" s="1" t="s">
        <v>1577</v>
      </c>
      <c r="O2312" s="1" t="s">
        <v>1286</v>
      </c>
      <c r="P2312" s="34" t="str">
        <f t="shared" si="48"/>
        <v>F010</v>
      </c>
      <c r="Q2312" s="1" t="s">
        <v>138</v>
      </c>
      <c r="S2312" s="16">
        <v>20</v>
      </c>
      <c r="T2312" s="1" t="s">
        <v>2299</v>
      </c>
      <c r="U2312" s="1" t="s">
        <v>1334</v>
      </c>
      <c r="V2312" s="1" t="s">
        <v>1377</v>
      </c>
      <c r="Y2312" s="1">
        <v>4877</v>
      </c>
      <c r="AB2312" s="1">
        <v>2831.4</v>
      </c>
    </row>
    <row r="2313" spans="2:28" x14ac:dyDescent="0.2">
      <c r="B2313" s="30" t="s">
        <v>2294</v>
      </c>
      <c r="C2313" s="36"/>
      <c r="D2313" s="36"/>
      <c r="F2313" s="1" t="s">
        <v>1322</v>
      </c>
      <c r="G2313" s="30" t="s">
        <v>4650</v>
      </c>
      <c r="K2313" s="1" t="s">
        <v>4652</v>
      </c>
      <c r="L2313" s="1" t="s">
        <v>1279</v>
      </c>
      <c r="M2313" s="36" t="s">
        <v>2014</v>
      </c>
      <c r="N2313" s="1" t="s">
        <v>1577</v>
      </c>
      <c r="O2313" s="1" t="s">
        <v>1286</v>
      </c>
      <c r="P2313" s="34" t="str">
        <f t="shared" si="48"/>
        <v>F010</v>
      </c>
      <c r="Q2313" s="1" t="s">
        <v>138</v>
      </c>
      <c r="S2313" s="16">
        <v>20</v>
      </c>
      <c r="T2313" s="1" t="s">
        <v>2427</v>
      </c>
      <c r="U2313" s="1" t="s">
        <v>1334</v>
      </c>
      <c r="V2313" s="1" t="s">
        <v>1377</v>
      </c>
      <c r="Y2313" s="1">
        <v>4877</v>
      </c>
      <c r="AB2313" s="1">
        <v>2831.4</v>
      </c>
    </row>
    <row r="2314" spans="2:28" x14ac:dyDescent="0.2">
      <c r="B2314" s="30" t="s">
        <v>2294</v>
      </c>
      <c r="C2314" s="36"/>
      <c r="D2314" s="36"/>
      <c r="F2314" s="1" t="s">
        <v>1895</v>
      </c>
      <c r="G2314" s="30" t="s">
        <v>4653</v>
      </c>
      <c r="K2314" s="1" t="s">
        <v>4654</v>
      </c>
      <c r="L2314" s="1" t="s">
        <v>1279</v>
      </c>
      <c r="M2314" s="36" t="s">
        <v>2014</v>
      </c>
      <c r="N2314" s="1" t="s">
        <v>1286</v>
      </c>
      <c r="O2314" s="1" t="s">
        <v>1286</v>
      </c>
      <c r="P2314" s="34" t="str">
        <f t="shared" si="48"/>
        <v>F010</v>
      </c>
      <c r="Q2314" s="1" t="s">
        <v>138</v>
      </c>
      <c r="S2314" s="16">
        <v>20</v>
      </c>
      <c r="T2314" s="1" t="s">
        <v>2299</v>
      </c>
      <c r="U2314" s="1" t="s">
        <v>1334</v>
      </c>
      <c r="V2314" s="1" t="s">
        <v>1377</v>
      </c>
      <c r="Y2314" s="1">
        <v>4877</v>
      </c>
      <c r="AB2314" s="1">
        <v>2831.4</v>
      </c>
    </row>
    <row r="2315" spans="2:28" x14ac:dyDescent="0.2">
      <c r="B2315" s="30" t="s">
        <v>2294</v>
      </c>
      <c r="C2315" s="36"/>
      <c r="D2315" s="36"/>
      <c r="F2315" s="1" t="s">
        <v>1322</v>
      </c>
      <c r="G2315" s="30" t="s">
        <v>4653</v>
      </c>
      <c r="K2315" s="1" t="s">
        <v>4655</v>
      </c>
      <c r="L2315" s="1" t="s">
        <v>1279</v>
      </c>
      <c r="M2315" s="36" t="s">
        <v>2014</v>
      </c>
      <c r="N2315" s="1" t="s">
        <v>1286</v>
      </c>
      <c r="O2315" s="1" t="s">
        <v>1286</v>
      </c>
      <c r="P2315" s="34" t="str">
        <f t="shared" si="48"/>
        <v>F010</v>
      </c>
      <c r="Q2315" s="1" t="s">
        <v>138</v>
      </c>
      <c r="S2315" s="16">
        <v>20</v>
      </c>
      <c r="T2315" s="1" t="s">
        <v>2427</v>
      </c>
      <c r="U2315" s="1" t="s">
        <v>1334</v>
      </c>
      <c r="V2315" s="1" t="s">
        <v>1377</v>
      </c>
      <c r="Y2315" s="1">
        <v>4877</v>
      </c>
      <c r="AB2315" s="1">
        <v>2831.4</v>
      </c>
    </row>
    <row r="2316" spans="2:28" x14ac:dyDescent="0.2">
      <c r="B2316" s="30" t="s">
        <v>2294</v>
      </c>
      <c r="C2316" s="36"/>
      <c r="D2316" s="36"/>
      <c r="F2316" s="1" t="s">
        <v>1895</v>
      </c>
      <c r="G2316" s="30" t="s">
        <v>4653</v>
      </c>
      <c r="K2316" s="1" t="s">
        <v>4656</v>
      </c>
      <c r="L2316" s="1" t="s">
        <v>1279</v>
      </c>
      <c r="M2316" s="36" t="s">
        <v>2014</v>
      </c>
      <c r="N2316" s="1" t="s">
        <v>1286</v>
      </c>
      <c r="O2316" s="1" t="s">
        <v>1286</v>
      </c>
      <c r="P2316" s="34" t="str">
        <f t="shared" si="48"/>
        <v>F010</v>
      </c>
      <c r="Q2316" s="1" t="s">
        <v>138</v>
      </c>
      <c r="S2316" s="16">
        <v>20</v>
      </c>
      <c r="T2316" s="1" t="s">
        <v>2299</v>
      </c>
      <c r="U2316" s="1" t="s">
        <v>1334</v>
      </c>
      <c r="V2316" s="1" t="s">
        <v>1377</v>
      </c>
      <c r="Y2316" s="1">
        <v>4877</v>
      </c>
      <c r="AB2316" s="1">
        <v>2831.4</v>
      </c>
    </row>
    <row r="2317" spans="2:28" x14ac:dyDescent="0.2">
      <c r="B2317" s="30" t="s">
        <v>2294</v>
      </c>
      <c r="C2317" s="36"/>
      <c r="D2317" s="36"/>
      <c r="F2317" s="1" t="s">
        <v>1322</v>
      </c>
      <c r="G2317" s="30" t="s">
        <v>4653</v>
      </c>
      <c r="K2317" s="1" t="s">
        <v>4657</v>
      </c>
      <c r="L2317" s="1" t="s">
        <v>1279</v>
      </c>
      <c r="M2317" s="36" t="s">
        <v>2014</v>
      </c>
      <c r="N2317" s="1" t="s">
        <v>1286</v>
      </c>
      <c r="O2317" s="1" t="s">
        <v>1286</v>
      </c>
      <c r="P2317" s="34" t="str">
        <f t="shared" si="48"/>
        <v>F010</v>
      </c>
      <c r="Q2317" s="1" t="s">
        <v>138</v>
      </c>
      <c r="S2317" s="16">
        <v>20</v>
      </c>
      <c r="T2317" s="1" t="s">
        <v>2427</v>
      </c>
      <c r="U2317" s="1" t="s">
        <v>1334</v>
      </c>
      <c r="V2317" s="1" t="s">
        <v>1377</v>
      </c>
      <c r="Y2317" s="1">
        <v>3373</v>
      </c>
      <c r="AB2317" s="1">
        <v>1958.22</v>
      </c>
    </row>
    <row r="2318" spans="2:28" x14ac:dyDescent="0.2">
      <c r="B2318" s="30" t="s">
        <v>2294</v>
      </c>
      <c r="C2318" s="36"/>
      <c r="D2318" s="36"/>
      <c r="F2318" s="1" t="s">
        <v>1895</v>
      </c>
      <c r="G2318" s="30" t="s">
        <v>4653</v>
      </c>
      <c r="K2318" s="1" t="s">
        <v>4658</v>
      </c>
      <c r="L2318" s="1" t="s">
        <v>1279</v>
      </c>
      <c r="M2318" s="36" t="s">
        <v>2014</v>
      </c>
      <c r="N2318" s="1" t="s">
        <v>1286</v>
      </c>
      <c r="O2318" s="1" t="s">
        <v>1286</v>
      </c>
      <c r="P2318" s="34" t="str">
        <f t="shared" si="48"/>
        <v>F010</v>
      </c>
      <c r="Q2318" s="1" t="s">
        <v>138</v>
      </c>
      <c r="S2318" s="16">
        <v>20</v>
      </c>
      <c r="T2318" s="1" t="s">
        <v>2299</v>
      </c>
      <c r="U2318" s="1" t="s">
        <v>1334</v>
      </c>
      <c r="V2318" s="1" t="s">
        <v>1377</v>
      </c>
      <c r="Y2318" s="1">
        <v>4877</v>
      </c>
      <c r="AB2318" s="1">
        <v>2831.4</v>
      </c>
    </row>
    <row r="2319" spans="2:28" x14ac:dyDescent="0.2">
      <c r="B2319" s="30" t="s">
        <v>2294</v>
      </c>
      <c r="C2319" s="36"/>
      <c r="D2319" s="36"/>
      <c r="F2319" s="1" t="s">
        <v>1322</v>
      </c>
      <c r="G2319" s="30" t="s">
        <v>4653</v>
      </c>
      <c r="K2319" s="1" t="s">
        <v>4659</v>
      </c>
      <c r="L2319" s="1" t="s">
        <v>1279</v>
      </c>
      <c r="M2319" s="36" t="s">
        <v>2014</v>
      </c>
      <c r="N2319" s="1" t="s">
        <v>1286</v>
      </c>
      <c r="O2319" s="1" t="s">
        <v>1286</v>
      </c>
      <c r="P2319" s="34" t="str">
        <f t="shared" si="48"/>
        <v>F010</v>
      </c>
      <c r="Q2319" s="1" t="s">
        <v>138</v>
      </c>
      <c r="S2319" s="16">
        <v>20</v>
      </c>
      <c r="T2319" s="1" t="s">
        <v>2427</v>
      </c>
      <c r="U2319" s="1" t="s">
        <v>1334</v>
      </c>
      <c r="V2319" s="1" t="s">
        <v>1377</v>
      </c>
      <c r="Y2319" s="1">
        <v>4877</v>
      </c>
      <c r="AB2319" s="1">
        <v>2831.4</v>
      </c>
    </row>
    <row r="2320" spans="2:28" x14ac:dyDescent="0.2">
      <c r="B2320" s="30" t="s">
        <v>2294</v>
      </c>
      <c r="C2320" s="36"/>
      <c r="D2320" s="36"/>
      <c r="F2320" s="1" t="s">
        <v>1895</v>
      </c>
      <c r="G2320" s="30" t="s">
        <v>4660</v>
      </c>
      <c r="K2320" s="1" t="s">
        <v>4661</v>
      </c>
      <c r="L2320" s="1" t="s">
        <v>1279</v>
      </c>
      <c r="M2320" s="36" t="s">
        <v>2014</v>
      </c>
      <c r="N2320" s="1" t="s">
        <v>1806</v>
      </c>
      <c r="O2320" s="1" t="s">
        <v>1286</v>
      </c>
      <c r="P2320" s="34" t="str">
        <f t="shared" si="48"/>
        <v>F010</v>
      </c>
      <c r="Q2320" s="1" t="s">
        <v>127</v>
      </c>
      <c r="S2320" s="16">
        <v>20</v>
      </c>
      <c r="T2320" s="1" t="s">
        <v>2427</v>
      </c>
      <c r="U2320" s="1" t="s">
        <v>1334</v>
      </c>
      <c r="V2320" s="1" t="s">
        <v>1377</v>
      </c>
      <c r="Y2320" s="1">
        <v>3605.96</v>
      </c>
      <c r="AB2320" s="1">
        <v>2074.75</v>
      </c>
    </row>
    <row r="2321" spans="2:28" x14ac:dyDescent="0.2">
      <c r="B2321" s="30" t="s">
        <v>2294</v>
      </c>
      <c r="C2321" s="36"/>
      <c r="D2321" s="36"/>
      <c r="F2321" s="1" t="s">
        <v>1895</v>
      </c>
      <c r="G2321" s="30" t="s">
        <v>4660</v>
      </c>
      <c r="K2321" s="1" t="s">
        <v>4662</v>
      </c>
      <c r="L2321" s="1" t="s">
        <v>1279</v>
      </c>
      <c r="M2321" s="36" t="s">
        <v>2014</v>
      </c>
      <c r="N2321" s="1" t="s">
        <v>1286</v>
      </c>
      <c r="O2321" s="1" t="s">
        <v>1286</v>
      </c>
      <c r="P2321" s="34" t="str">
        <f t="shared" si="48"/>
        <v>F010</v>
      </c>
      <c r="Q2321" s="1" t="s">
        <v>138</v>
      </c>
      <c r="S2321" s="16">
        <v>20</v>
      </c>
      <c r="T2321" s="1" t="s">
        <v>2427</v>
      </c>
      <c r="U2321" s="1" t="s">
        <v>1334</v>
      </c>
      <c r="V2321" s="1" t="s">
        <v>1377</v>
      </c>
      <c r="Y2321" s="1">
        <v>4825</v>
      </c>
      <c r="AB2321" s="1">
        <v>2801.21</v>
      </c>
    </row>
    <row r="2322" spans="2:28" x14ac:dyDescent="0.2">
      <c r="B2322" s="30" t="s">
        <v>2294</v>
      </c>
      <c r="C2322" s="36"/>
      <c r="D2322" s="36"/>
      <c r="F2322" s="1" t="s">
        <v>1895</v>
      </c>
      <c r="G2322" s="30" t="s">
        <v>4663</v>
      </c>
      <c r="K2322" s="1" t="s">
        <v>4664</v>
      </c>
      <c r="L2322" s="1" t="s">
        <v>1279</v>
      </c>
      <c r="M2322" s="36" t="s">
        <v>1999</v>
      </c>
      <c r="N2322" s="1" t="s">
        <v>2400</v>
      </c>
      <c r="O2322" s="1" t="s">
        <v>1286</v>
      </c>
      <c r="P2322" s="34" t="str">
        <f t="shared" si="48"/>
        <v>F010</v>
      </c>
      <c r="Q2322" s="1" t="s">
        <v>137</v>
      </c>
      <c r="S2322" s="16">
        <v>20</v>
      </c>
      <c r="T2322" s="1" t="s">
        <v>2427</v>
      </c>
      <c r="U2322" s="1" t="s">
        <v>2544</v>
      </c>
      <c r="V2322" s="1" t="s">
        <v>4107</v>
      </c>
      <c r="Y2322" s="1">
        <v>4822</v>
      </c>
      <c r="AB2322" s="1">
        <v>3562.94</v>
      </c>
    </row>
    <row r="2323" spans="2:28" x14ac:dyDescent="0.2">
      <c r="B2323" s="30" t="s">
        <v>2294</v>
      </c>
      <c r="C2323" s="36"/>
      <c r="D2323" s="36"/>
      <c r="F2323" s="1" t="s">
        <v>1895</v>
      </c>
      <c r="G2323" s="30" t="s">
        <v>4663</v>
      </c>
      <c r="K2323" s="1" t="s">
        <v>4665</v>
      </c>
      <c r="L2323" s="1" t="s">
        <v>1279</v>
      </c>
      <c r="M2323" s="36" t="s">
        <v>1999</v>
      </c>
      <c r="N2323" s="1" t="s">
        <v>2988</v>
      </c>
      <c r="O2323" s="1" t="s">
        <v>1286</v>
      </c>
      <c r="P2323" s="34" t="str">
        <f t="shared" si="48"/>
        <v>F010</v>
      </c>
      <c r="Q2323" s="1" t="s">
        <v>137</v>
      </c>
      <c r="S2323" s="16">
        <v>20</v>
      </c>
      <c r="T2323" s="1" t="s">
        <v>2427</v>
      </c>
      <c r="U2323" s="1" t="s">
        <v>2544</v>
      </c>
      <c r="V2323" s="1" t="s">
        <v>4107</v>
      </c>
      <c r="Y2323" s="1">
        <v>4822</v>
      </c>
      <c r="AB2323" s="1">
        <v>3562.94</v>
      </c>
    </row>
    <row r="2324" spans="2:28" x14ac:dyDescent="0.2">
      <c r="B2324" s="30" t="s">
        <v>2294</v>
      </c>
      <c r="C2324" s="36"/>
      <c r="D2324" s="36"/>
      <c r="F2324" s="1" t="s">
        <v>1895</v>
      </c>
      <c r="G2324" s="30" t="s">
        <v>4666</v>
      </c>
      <c r="K2324" s="1" t="s">
        <v>4667</v>
      </c>
      <c r="L2324" s="1" t="s">
        <v>1279</v>
      </c>
      <c r="M2324" s="36" t="s">
        <v>1699</v>
      </c>
      <c r="N2324" s="1" t="s">
        <v>2988</v>
      </c>
      <c r="O2324" s="1" t="s">
        <v>1286</v>
      </c>
      <c r="P2324" s="34" t="str">
        <f t="shared" si="48"/>
        <v>F010</v>
      </c>
      <c r="Q2324" s="1" t="s">
        <v>137</v>
      </c>
      <c r="S2324" s="16">
        <v>20</v>
      </c>
      <c r="T2324" s="1" t="s">
        <v>2427</v>
      </c>
      <c r="U2324" s="1" t="s">
        <v>1541</v>
      </c>
      <c r="V2324" s="1" t="s">
        <v>2711</v>
      </c>
      <c r="Y2324" s="1">
        <v>4825</v>
      </c>
      <c r="AB2324" s="1">
        <v>3947.13</v>
      </c>
    </row>
    <row r="2325" spans="2:28" x14ac:dyDescent="0.2">
      <c r="B2325" s="30" t="s">
        <v>2294</v>
      </c>
      <c r="C2325" s="36"/>
      <c r="D2325" s="36"/>
      <c r="F2325" s="1" t="s">
        <v>1895</v>
      </c>
      <c r="G2325" s="30" t="s">
        <v>4666</v>
      </c>
      <c r="K2325" s="1" t="s">
        <v>4668</v>
      </c>
      <c r="L2325" s="1" t="s">
        <v>1279</v>
      </c>
      <c r="M2325" s="36" t="s">
        <v>1699</v>
      </c>
      <c r="N2325" s="1" t="s">
        <v>3083</v>
      </c>
      <c r="O2325" s="1" t="s">
        <v>1286</v>
      </c>
      <c r="P2325" s="34" t="str">
        <f t="shared" si="48"/>
        <v>F010</v>
      </c>
      <c r="Q2325" s="1" t="s">
        <v>137</v>
      </c>
      <c r="S2325" s="16">
        <v>20</v>
      </c>
      <c r="T2325" s="1" t="s">
        <v>2427</v>
      </c>
      <c r="U2325" s="1" t="s">
        <v>1541</v>
      </c>
      <c r="V2325" s="1" t="s">
        <v>2711</v>
      </c>
      <c r="Y2325" s="1">
        <v>4825</v>
      </c>
      <c r="AB2325" s="1">
        <v>3947.13</v>
      </c>
    </row>
    <row r="2326" spans="2:28" x14ac:dyDescent="0.2">
      <c r="B2326" s="30" t="s">
        <v>2294</v>
      </c>
      <c r="C2326" s="36"/>
      <c r="D2326" s="36"/>
      <c r="F2326" s="1" t="s">
        <v>1895</v>
      </c>
      <c r="G2326" s="30" t="s">
        <v>4669</v>
      </c>
      <c r="K2326" s="1" t="s">
        <v>4670</v>
      </c>
      <c r="L2326" s="1" t="s">
        <v>1279</v>
      </c>
      <c r="M2326" s="36" t="s">
        <v>2236</v>
      </c>
      <c r="N2326" s="1" t="s">
        <v>3226</v>
      </c>
      <c r="O2326" s="1" t="s">
        <v>1286</v>
      </c>
      <c r="P2326" s="34" t="str">
        <f t="shared" si="48"/>
        <v>F010</v>
      </c>
      <c r="Q2326" s="1" t="s">
        <v>137</v>
      </c>
      <c r="S2326" s="16">
        <v>20</v>
      </c>
      <c r="T2326" s="1" t="s">
        <v>2427</v>
      </c>
      <c r="U2326" s="1" t="s">
        <v>2141</v>
      </c>
      <c r="V2326" s="1" t="s">
        <v>1840</v>
      </c>
      <c r="Y2326" s="1">
        <v>3327.87</v>
      </c>
      <c r="AB2326" s="1">
        <v>3161.48</v>
      </c>
    </row>
    <row r="2327" spans="2:28" x14ac:dyDescent="0.2">
      <c r="B2327" s="30" t="s">
        <v>2294</v>
      </c>
      <c r="C2327" s="36"/>
      <c r="D2327" s="36"/>
      <c r="F2327" s="1" t="s">
        <v>1895</v>
      </c>
      <c r="G2327" s="30" t="s">
        <v>4669</v>
      </c>
      <c r="K2327" s="1" t="s">
        <v>4671</v>
      </c>
      <c r="L2327" s="1" t="s">
        <v>1279</v>
      </c>
      <c r="M2327" s="36" t="s">
        <v>2236</v>
      </c>
      <c r="N2327" s="1" t="s">
        <v>3226</v>
      </c>
      <c r="O2327" s="1" t="s">
        <v>1286</v>
      </c>
      <c r="P2327" s="34" t="str">
        <f t="shared" si="48"/>
        <v>F010</v>
      </c>
      <c r="Q2327" s="1" t="s">
        <v>137</v>
      </c>
      <c r="S2327" s="16">
        <v>20</v>
      </c>
      <c r="T2327" s="1" t="s">
        <v>2299</v>
      </c>
      <c r="U2327" s="1" t="s">
        <v>2141</v>
      </c>
      <c r="V2327" s="1" t="s">
        <v>1840</v>
      </c>
      <c r="Y2327" s="1">
        <v>3327.87</v>
      </c>
      <c r="AB2327" s="1">
        <v>3161.48</v>
      </c>
    </row>
    <row r="2328" spans="2:28" x14ac:dyDescent="0.2">
      <c r="B2328" s="30" t="s">
        <v>2294</v>
      </c>
      <c r="C2328" s="36"/>
      <c r="D2328" s="36"/>
      <c r="F2328" s="1" t="s">
        <v>1322</v>
      </c>
      <c r="G2328" s="30" t="s">
        <v>4669</v>
      </c>
      <c r="K2328" s="1" t="s">
        <v>4672</v>
      </c>
      <c r="L2328" s="1" t="s">
        <v>1279</v>
      </c>
      <c r="M2328" s="36" t="s">
        <v>2236</v>
      </c>
      <c r="N2328" s="1" t="s">
        <v>3226</v>
      </c>
      <c r="O2328" s="1" t="s">
        <v>1286</v>
      </c>
      <c r="P2328" s="34" t="str">
        <f t="shared" si="48"/>
        <v>F010</v>
      </c>
      <c r="Q2328" s="1" t="s">
        <v>137</v>
      </c>
      <c r="S2328" s="16">
        <v>20</v>
      </c>
      <c r="T2328" s="1" t="s">
        <v>2427</v>
      </c>
      <c r="U2328" s="1" t="s">
        <v>2141</v>
      </c>
      <c r="V2328" s="1" t="s">
        <v>1840</v>
      </c>
      <c r="Y2328" s="1">
        <v>3327.87</v>
      </c>
      <c r="AB2328" s="1">
        <v>3161.48</v>
      </c>
    </row>
    <row r="2329" spans="2:28" x14ac:dyDescent="0.2">
      <c r="B2329" s="30" t="s">
        <v>2294</v>
      </c>
      <c r="C2329" s="36"/>
      <c r="D2329" s="36"/>
      <c r="F2329" s="1" t="s">
        <v>1895</v>
      </c>
      <c r="G2329" s="30" t="s">
        <v>4669</v>
      </c>
      <c r="K2329" s="1" t="s">
        <v>4673</v>
      </c>
      <c r="L2329" s="1" t="s">
        <v>1279</v>
      </c>
      <c r="M2329" s="36" t="s">
        <v>2236</v>
      </c>
      <c r="N2329" s="1" t="s">
        <v>3226</v>
      </c>
      <c r="O2329" s="1" t="s">
        <v>1286</v>
      </c>
      <c r="P2329" s="34" t="str">
        <f t="shared" si="48"/>
        <v>F010</v>
      </c>
      <c r="Q2329" s="1" t="s">
        <v>137</v>
      </c>
      <c r="S2329" s="16">
        <v>20</v>
      </c>
      <c r="T2329" s="1" t="s">
        <v>2427</v>
      </c>
      <c r="U2329" s="1" t="s">
        <v>2141</v>
      </c>
      <c r="V2329" s="1" t="s">
        <v>1840</v>
      </c>
      <c r="Y2329" s="1">
        <v>3327.87</v>
      </c>
      <c r="AB2329" s="1">
        <v>3161.48</v>
      </c>
    </row>
    <row r="2330" spans="2:28" x14ac:dyDescent="0.2">
      <c r="B2330" s="30" t="s">
        <v>2294</v>
      </c>
      <c r="C2330" s="36"/>
      <c r="D2330" s="36"/>
      <c r="F2330" s="1" t="s">
        <v>1895</v>
      </c>
      <c r="G2330" s="30" t="s">
        <v>4669</v>
      </c>
      <c r="K2330" s="1" t="s">
        <v>4674</v>
      </c>
      <c r="L2330" s="1" t="s">
        <v>1279</v>
      </c>
      <c r="M2330" s="36" t="s">
        <v>2236</v>
      </c>
      <c r="N2330" s="1" t="s">
        <v>3226</v>
      </c>
      <c r="O2330" s="1" t="s">
        <v>1286</v>
      </c>
      <c r="P2330" s="34" t="str">
        <f t="shared" si="48"/>
        <v>F010</v>
      </c>
      <c r="Q2330" s="1" t="s">
        <v>137</v>
      </c>
      <c r="S2330" s="16">
        <v>20</v>
      </c>
      <c r="T2330" s="1" t="s">
        <v>2299</v>
      </c>
      <c r="U2330" s="1" t="s">
        <v>2141</v>
      </c>
      <c r="V2330" s="1" t="s">
        <v>1840</v>
      </c>
      <c r="Y2330" s="1">
        <v>3327.87</v>
      </c>
      <c r="AB2330" s="1">
        <v>3161.48</v>
      </c>
    </row>
    <row r="2331" spans="2:28" x14ac:dyDescent="0.2">
      <c r="B2331" s="30" t="s">
        <v>2294</v>
      </c>
      <c r="C2331" s="36"/>
      <c r="D2331" s="36"/>
      <c r="F2331" s="1" t="s">
        <v>1322</v>
      </c>
      <c r="G2331" s="30" t="s">
        <v>4669</v>
      </c>
      <c r="K2331" s="1" t="s">
        <v>4675</v>
      </c>
      <c r="L2331" s="1" t="s">
        <v>1279</v>
      </c>
      <c r="M2331" s="36" t="s">
        <v>2236</v>
      </c>
      <c r="N2331" s="1" t="s">
        <v>3226</v>
      </c>
      <c r="O2331" s="1" t="s">
        <v>1286</v>
      </c>
      <c r="P2331" s="34" t="str">
        <f t="shared" si="48"/>
        <v>F010</v>
      </c>
      <c r="Q2331" s="1" t="s">
        <v>137</v>
      </c>
      <c r="S2331" s="16">
        <v>20</v>
      </c>
      <c r="T2331" s="1" t="s">
        <v>2427</v>
      </c>
      <c r="U2331" s="1" t="s">
        <v>2141</v>
      </c>
      <c r="V2331" s="1" t="s">
        <v>1840</v>
      </c>
      <c r="Y2331" s="1">
        <v>3327.87</v>
      </c>
      <c r="AB2331" s="1">
        <v>3161.48</v>
      </c>
    </row>
    <row r="2332" spans="2:28" x14ac:dyDescent="0.2">
      <c r="B2332" s="30" t="s">
        <v>2294</v>
      </c>
      <c r="C2332" s="36"/>
      <c r="D2332" s="36"/>
      <c r="F2332" s="1" t="s">
        <v>1895</v>
      </c>
      <c r="G2332" s="30" t="s">
        <v>4669</v>
      </c>
      <c r="K2332" s="1" t="s">
        <v>4676</v>
      </c>
      <c r="L2332" s="1" t="s">
        <v>1279</v>
      </c>
      <c r="M2332" s="36" t="s">
        <v>2236</v>
      </c>
      <c r="N2332" s="1" t="s">
        <v>3226</v>
      </c>
      <c r="O2332" s="1" t="s">
        <v>1286</v>
      </c>
      <c r="P2332" s="34" t="str">
        <f t="shared" si="48"/>
        <v>F010</v>
      </c>
      <c r="Q2332" s="1" t="s">
        <v>137</v>
      </c>
      <c r="S2332" s="16">
        <v>20</v>
      </c>
      <c r="T2332" s="1" t="s">
        <v>2427</v>
      </c>
      <c r="U2332" s="1" t="s">
        <v>2141</v>
      </c>
      <c r="V2332" s="1" t="s">
        <v>1840</v>
      </c>
      <c r="Y2332" s="1">
        <v>3327.87</v>
      </c>
      <c r="AB2332" s="1">
        <v>3161.48</v>
      </c>
    </row>
    <row r="2333" spans="2:28" x14ac:dyDescent="0.2">
      <c r="B2333" s="30" t="s">
        <v>2294</v>
      </c>
      <c r="C2333" s="36"/>
      <c r="D2333" s="36"/>
      <c r="F2333" s="1" t="s">
        <v>1895</v>
      </c>
      <c r="G2333" s="30" t="s">
        <v>4669</v>
      </c>
      <c r="K2333" s="1" t="s">
        <v>4677</v>
      </c>
      <c r="L2333" s="1" t="s">
        <v>1279</v>
      </c>
      <c r="M2333" s="36" t="s">
        <v>2236</v>
      </c>
      <c r="N2333" s="1" t="s">
        <v>3226</v>
      </c>
      <c r="O2333" s="1" t="s">
        <v>1286</v>
      </c>
      <c r="P2333" s="34" t="str">
        <f t="shared" si="48"/>
        <v>F010</v>
      </c>
      <c r="Q2333" s="1" t="s">
        <v>137</v>
      </c>
      <c r="S2333" s="16">
        <v>20</v>
      </c>
      <c r="T2333" s="1" t="s">
        <v>2299</v>
      </c>
      <c r="U2333" s="1" t="s">
        <v>2141</v>
      </c>
      <c r="V2333" s="1" t="s">
        <v>1840</v>
      </c>
      <c r="Y2333" s="1">
        <v>3327.87</v>
      </c>
      <c r="AB2333" s="1">
        <v>3161.48</v>
      </c>
    </row>
    <row r="2334" spans="2:28" x14ac:dyDescent="0.2">
      <c r="B2334" s="30" t="s">
        <v>2294</v>
      </c>
      <c r="C2334" s="36"/>
      <c r="D2334" s="36"/>
      <c r="F2334" s="1" t="s">
        <v>1322</v>
      </c>
      <c r="G2334" s="30" t="s">
        <v>4669</v>
      </c>
      <c r="K2334" s="1" t="s">
        <v>4678</v>
      </c>
      <c r="L2334" s="1" t="s">
        <v>1279</v>
      </c>
      <c r="M2334" s="36" t="s">
        <v>2236</v>
      </c>
      <c r="N2334" s="1" t="s">
        <v>3226</v>
      </c>
      <c r="O2334" s="1" t="s">
        <v>1286</v>
      </c>
      <c r="P2334" s="34" t="str">
        <f t="shared" si="48"/>
        <v>F010</v>
      </c>
      <c r="Q2334" s="1" t="s">
        <v>137</v>
      </c>
      <c r="S2334" s="16">
        <v>20</v>
      </c>
      <c r="T2334" s="1" t="s">
        <v>2427</v>
      </c>
      <c r="U2334" s="1" t="s">
        <v>2141</v>
      </c>
      <c r="V2334" s="1" t="s">
        <v>1840</v>
      </c>
      <c r="Y2334" s="1">
        <v>3327.87</v>
      </c>
      <c r="AB2334" s="1">
        <v>3161.48</v>
      </c>
    </row>
    <row r="2335" spans="2:28" x14ac:dyDescent="0.2">
      <c r="B2335" s="30" t="s">
        <v>2294</v>
      </c>
      <c r="C2335" s="36"/>
      <c r="D2335" s="36"/>
      <c r="F2335" s="1" t="s">
        <v>1895</v>
      </c>
      <c r="G2335" s="30" t="s">
        <v>4669</v>
      </c>
      <c r="K2335" s="1" t="s">
        <v>4679</v>
      </c>
      <c r="L2335" s="1" t="s">
        <v>1279</v>
      </c>
      <c r="M2335" s="36" t="s">
        <v>2236</v>
      </c>
      <c r="N2335" s="1" t="s">
        <v>3226</v>
      </c>
      <c r="O2335" s="1" t="s">
        <v>1286</v>
      </c>
      <c r="P2335" s="34" t="str">
        <f t="shared" si="48"/>
        <v>F010</v>
      </c>
      <c r="Q2335" s="1" t="s">
        <v>137</v>
      </c>
      <c r="S2335" s="16">
        <v>20</v>
      </c>
      <c r="T2335" s="1" t="s">
        <v>2299</v>
      </c>
      <c r="U2335" s="1" t="s">
        <v>2141</v>
      </c>
      <c r="V2335" s="1" t="s">
        <v>1840</v>
      </c>
      <c r="Y2335" s="1">
        <v>3327.87</v>
      </c>
      <c r="AB2335" s="1">
        <v>3161.48</v>
      </c>
    </row>
    <row r="2336" spans="2:28" x14ac:dyDescent="0.2">
      <c r="B2336" s="30" t="s">
        <v>2294</v>
      </c>
      <c r="C2336" s="36"/>
      <c r="D2336" s="36"/>
      <c r="F2336" s="1" t="s">
        <v>1322</v>
      </c>
      <c r="G2336" s="30" t="s">
        <v>4669</v>
      </c>
      <c r="K2336" s="1" t="s">
        <v>4680</v>
      </c>
      <c r="L2336" s="1" t="s">
        <v>1279</v>
      </c>
      <c r="M2336" s="36" t="s">
        <v>2236</v>
      </c>
      <c r="N2336" s="1" t="s">
        <v>3226</v>
      </c>
      <c r="O2336" s="1" t="s">
        <v>1286</v>
      </c>
      <c r="P2336" s="34" t="str">
        <f t="shared" si="48"/>
        <v>F010</v>
      </c>
      <c r="Q2336" s="1" t="s">
        <v>137</v>
      </c>
      <c r="S2336" s="16">
        <v>20</v>
      </c>
      <c r="T2336" s="1" t="s">
        <v>2299</v>
      </c>
      <c r="U2336" s="1" t="s">
        <v>2141</v>
      </c>
      <c r="V2336" s="1" t="s">
        <v>1840</v>
      </c>
      <c r="Y2336" s="1">
        <v>3327.87</v>
      </c>
      <c r="AB2336" s="1">
        <v>3161.48</v>
      </c>
    </row>
    <row r="2337" spans="2:28" x14ac:dyDescent="0.2">
      <c r="B2337" s="30" t="s">
        <v>2294</v>
      </c>
      <c r="C2337" s="36"/>
      <c r="D2337" s="36"/>
      <c r="F2337" s="1" t="s">
        <v>1322</v>
      </c>
      <c r="G2337" s="30" t="s">
        <v>4669</v>
      </c>
      <c r="K2337" s="1" t="s">
        <v>4681</v>
      </c>
      <c r="L2337" s="1" t="s">
        <v>1279</v>
      </c>
      <c r="M2337" s="36" t="s">
        <v>2236</v>
      </c>
      <c r="N2337" s="1" t="s">
        <v>3226</v>
      </c>
      <c r="O2337" s="1" t="s">
        <v>1286</v>
      </c>
      <c r="P2337" s="34" t="str">
        <f t="shared" si="48"/>
        <v>F010</v>
      </c>
      <c r="Q2337" s="1" t="s">
        <v>137</v>
      </c>
      <c r="S2337" s="16">
        <v>20</v>
      </c>
      <c r="T2337" s="1" t="s">
        <v>2427</v>
      </c>
      <c r="U2337" s="1" t="s">
        <v>2141</v>
      </c>
      <c r="V2337" s="1" t="s">
        <v>1840</v>
      </c>
      <c r="Y2337" s="1">
        <v>3327.87</v>
      </c>
      <c r="AB2337" s="1">
        <v>3161.48</v>
      </c>
    </row>
    <row r="2338" spans="2:28" x14ac:dyDescent="0.2">
      <c r="B2338" s="30" t="s">
        <v>2294</v>
      </c>
      <c r="C2338" s="36"/>
      <c r="D2338" s="36"/>
      <c r="F2338" s="1" t="s">
        <v>1895</v>
      </c>
      <c r="G2338" s="30" t="s">
        <v>4669</v>
      </c>
      <c r="K2338" s="1" t="s">
        <v>4682</v>
      </c>
      <c r="L2338" s="1" t="s">
        <v>1279</v>
      </c>
      <c r="M2338" s="36" t="s">
        <v>2236</v>
      </c>
      <c r="N2338" s="1" t="s">
        <v>3226</v>
      </c>
      <c r="O2338" s="1" t="s">
        <v>1286</v>
      </c>
      <c r="P2338" s="34" t="str">
        <f t="shared" si="48"/>
        <v>F010</v>
      </c>
      <c r="Q2338" s="1" t="s">
        <v>137</v>
      </c>
      <c r="S2338" s="16">
        <v>20</v>
      </c>
      <c r="T2338" s="1" t="s">
        <v>2299</v>
      </c>
      <c r="U2338" s="1" t="s">
        <v>2141</v>
      </c>
      <c r="V2338" s="1" t="s">
        <v>1840</v>
      </c>
      <c r="Y2338" s="1">
        <v>3327.87</v>
      </c>
      <c r="AB2338" s="1">
        <v>3161.48</v>
      </c>
    </row>
    <row r="2339" spans="2:28" x14ac:dyDescent="0.2">
      <c r="B2339" s="30" t="s">
        <v>2294</v>
      </c>
      <c r="C2339" s="36"/>
      <c r="D2339" s="36"/>
      <c r="F2339" s="1" t="s">
        <v>1322</v>
      </c>
      <c r="G2339" s="30" t="s">
        <v>4669</v>
      </c>
      <c r="K2339" s="1" t="s">
        <v>4683</v>
      </c>
      <c r="L2339" s="1" t="s">
        <v>1279</v>
      </c>
      <c r="M2339" s="36" t="s">
        <v>2236</v>
      </c>
      <c r="N2339" s="1" t="s">
        <v>3226</v>
      </c>
      <c r="O2339" s="1" t="s">
        <v>1286</v>
      </c>
      <c r="P2339" s="34" t="str">
        <f t="shared" si="48"/>
        <v>F010</v>
      </c>
      <c r="Q2339" s="1" t="s">
        <v>137</v>
      </c>
      <c r="S2339" s="16">
        <v>20</v>
      </c>
      <c r="T2339" s="1" t="s">
        <v>2427</v>
      </c>
      <c r="U2339" s="1" t="s">
        <v>2141</v>
      </c>
      <c r="V2339" s="1" t="s">
        <v>1840</v>
      </c>
      <c r="Y2339" s="1">
        <v>3327.87</v>
      </c>
      <c r="AB2339" s="1">
        <v>3161.48</v>
      </c>
    </row>
    <row r="2340" spans="2:28" x14ac:dyDescent="0.2">
      <c r="B2340" s="30" t="s">
        <v>2294</v>
      </c>
      <c r="C2340" s="36"/>
      <c r="D2340" s="36"/>
      <c r="F2340" s="1" t="s">
        <v>1895</v>
      </c>
      <c r="G2340" s="30" t="s">
        <v>4669</v>
      </c>
      <c r="K2340" s="1" t="s">
        <v>4684</v>
      </c>
      <c r="L2340" s="1" t="s">
        <v>1279</v>
      </c>
      <c r="M2340" s="36" t="s">
        <v>2236</v>
      </c>
      <c r="N2340" s="1" t="s">
        <v>3226</v>
      </c>
      <c r="O2340" s="1" t="s">
        <v>1286</v>
      </c>
      <c r="P2340" s="34" t="str">
        <f t="shared" si="48"/>
        <v>F010</v>
      </c>
      <c r="Q2340" s="1" t="s">
        <v>137</v>
      </c>
      <c r="S2340" s="16">
        <v>20</v>
      </c>
      <c r="T2340" s="1" t="s">
        <v>2299</v>
      </c>
      <c r="U2340" s="1" t="s">
        <v>2141</v>
      </c>
      <c r="V2340" s="1" t="s">
        <v>1840</v>
      </c>
      <c r="Y2340" s="1">
        <v>3327.87</v>
      </c>
      <c r="AB2340" s="1">
        <v>3161.48</v>
      </c>
    </row>
    <row r="2341" spans="2:28" x14ac:dyDescent="0.2">
      <c r="B2341" s="30" t="s">
        <v>2294</v>
      </c>
      <c r="C2341" s="36"/>
      <c r="D2341" s="36"/>
      <c r="F2341" s="1" t="s">
        <v>1322</v>
      </c>
      <c r="G2341" s="30" t="s">
        <v>4669</v>
      </c>
      <c r="K2341" s="1" t="s">
        <v>4685</v>
      </c>
      <c r="L2341" s="1" t="s">
        <v>1279</v>
      </c>
      <c r="M2341" s="36" t="s">
        <v>2236</v>
      </c>
      <c r="N2341" s="1" t="s">
        <v>3226</v>
      </c>
      <c r="O2341" s="1" t="s">
        <v>1286</v>
      </c>
      <c r="P2341" s="34" t="str">
        <f t="shared" si="48"/>
        <v>F010</v>
      </c>
      <c r="Q2341" s="1" t="s">
        <v>137</v>
      </c>
      <c r="S2341" s="16">
        <v>20</v>
      </c>
      <c r="T2341" s="1" t="s">
        <v>2427</v>
      </c>
      <c r="U2341" s="1" t="s">
        <v>2141</v>
      </c>
      <c r="V2341" s="1" t="s">
        <v>1840</v>
      </c>
      <c r="Y2341" s="1">
        <v>3327.87</v>
      </c>
      <c r="AB2341" s="1">
        <v>3161.48</v>
      </c>
    </row>
    <row r="2342" spans="2:28" x14ac:dyDescent="0.2">
      <c r="B2342" s="30" t="s">
        <v>2294</v>
      </c>
      <c r="C2342" s="36"/>
      <c r="D2342" s="36"/>
      <c r="F2342" s="1" t="s">
        <v>1895</v>
      </c>
      <c r="G2342" s="30" t="s">
        <v>4669</v>
      </c>
      <c r="K2342" s="1" t="s">
        <v>4686</v>
      </c>
      <c r="L2342" s="1" t="s">
        <v>1279</v>
      </c>
      <c r="M2342" s="36" t="s">
        <v>2236</v>
      </c>
      <c r="N2342" s="1" t="s">
        <v>3226</v>
      </c>
      <c r="O2342" s="1" t="s">
        <v>1286</v>
      </c>
      <c r="P2342" s="34" t="str">
        <f t="shared" si="48"/>
        <v>F010</v>
      </c>
      <c r="Q2342" s="1" t="s">
        <v>137</v>
      </c>
      <c r="S2342" s="16">
        <v>20</v>
      </c>
      <c r="T2342" s="1" t="s">
        <v>2427</v>
      </c>
      <c r="U2342" s="1" t="s">
        <v>2141</v>
      </c>
      <c r="V2342" s="1" t="s">
        <v>1840</v>
      </c>
      <c r="Y2342" s="1">
        <v>3327.87</v>
      </c>
      <c r="AB2342" s="1">
        <v>3161.48</v>
      </c>
    </row>
    <row r="2343" spans="2:28" x14ac:dyDescent="0.2">
      <c r="B2343" s="30" t="s">
        <v>2294</v>
      </c>
      <c r="C2343" s="36"/>
      <c r="D2343" s="36"/>
      <c r="F2343" s="1" t="s">
        <v>1895</v>
      </c>
      <c r="G2343" s="30" t="s">
        <v>4669</v>
      </c>
      <c r="K2343" s="1" t="s">
        <v>4687</v>
      </c>
      <c r="L2343" s="1" t="s">
        <v>1279</v>
      </c>
      <c r="M2343" s="36" t="s">
        <v>2236</v>
      </c>
      <c r="N2343" s="1" t="s">
        <v>3226</v>
      </c>
      <c r="O2343" s="1" t="s">
        <v>1286</v>
      </c>
      <c r="P2343" s="34" t="str">
        <f t="shared" si="48"/>
        <v>F010</v>
      </c>
      <c r="Q2343" s="1" t="s">
        <v>137</v>
      </c>
      <c r="S2343" s="16">
        <v>20</v>
      </c>
      <c r="T2343" s="1" t="s">
        <v>2427</v>
      </c>
      <c r="U2343" s="1" t="s">
        <v>2141</v>
      </c>
      <c r="V2343" s="1" t="s">
        <v>1840</v>
      </c>
      <c r="Y2343" s="1">
        <v>3327.87</v>
      </c>
      <c r="AB2343" s="1">
        <v>3161.48</v>
      </c>
    </row>
    <row r="2344" spans="2:28" x14ac:dyDescent="0.2">
      <c r="B2344" s="30" t="s">
        <v>2294</v>
      </c>
      <c r="C2344" s="36"/>
      <c r="D2344" s="36"/>
      <c r="F2344" s="1" t="s">
        <v>1895</v>
      </c>
      <c r="G2344" s="30" t="s">
        <v>4669</v>
      </c>
      <c r="K2344" s="1" t="s">
        <v>4688</v>
      </c>
      <c r="L2344" s="1" t="s">
        <v>1279</v>
      </c>
      <c r="M2344" s="36" t="s">
        <v>2236</v>
      </c>
      <c r="N2344" s="1" t="s">
        <v>3226</v>
      </c>
      <c r="O2344" s="1" t="s">
        <v>1286</v>
      </c>
      <c r="P2344" s="34" t="str">
        <f t="shared" si="48"/>
        <v>F010</v>
      </c>
      <c r="Q2344" s="1" t="s">
        <v>137</v>
      </c>
      <c r="S2344" s="16">
        <v>20</v>
      </c>
      <c r="T2344" s="1" t="s">
        <v>2427</v>
      </c>
      <c r="U2344" s="1" t="s">
        <v>2141</v>
      </c>
      <c r="V2344" s="1" t="s">
        <v>1840</v>
      </c>
      <c r="Y2344" s="1">
        <v>3327.87</v>
      </c>
      <c r="AB2344" s="1">
        <v>3161.48</v>
      </c>
    </row>
    <row r="2345" spans="2:28" x14ac:dyDescent="0.2">
      <c r="B2345" s="30" t="s">
        <v>2294</v>
      </c>
      <c r="C2345" s="36"/>
      <c r="D2345" s="36"/>
      <c r="F2345" s="1" t="s">
        <v>1895</v>
      </c>
      <c r="G2345" s="30" t="s">
        <v>4669</v>
      </c>
      <c r="K2345" s="1" t="s">
        <v>4689</v>
      </c>
      <c r="L2345" s="1" t="s">
        <v>1279</v>
      </c>
      <c r="M2345" s="36" t="s">
        <v>2236</v>
      </c>
      <c r="N2345" s="1" t="s">
        <v>3226</v>
      </c>
      <c r="O2345" s="1" t="s">
        <v>1286</v>
      </c>
      <c r="P2345" s="34" t="str">
        <f t="shared" si="48"/>
        <v>F010</v>
      </c>
      <c r="Q2345" s="1" t="s">
        <v>137</v>
      </c>
      <c r="S2345" s="16">
        <v>20</v>
      </c>
      <c r="T2345" s="1" t="s">
        <v>2427</v>
      </c>
      <c r="U2345" s="1" t="s">
        <v>2141</v>
      </c>
      <c r="V2345" s="1" t="s">
        <v>1840</v>
      </c>
      <c r="Y2345" s="1">
        <v>3327.87</v>
      </c>
      <c r="AB2345" s="1">
        <v>3161.48</v>
      </c>
    </row>
    <row r="2346" spans="2:28" x14ac:dyDescent="0.2">
      <c r="B2346" s="30" t="s">
        <v>2294</v>
      </c>
      <c r="C2346" s="36"/>
      <c r="D2346" s="36"/>
      <c r="F2346" s="1" t="s">
        <v>1895</v>
      </c>
      <c r="G2346" s="30" t="s">
        <v>4669</v>
      </c>
      <c r="K2346" s="1" t="s">
        <v>4690</v>
      </c>
      <c r="L2346" s="1" t="s">
        <v>1279</v>
      </c>
      <c r="M2346" s="36" t="s">
        <v>2236</v>
      </c>
      <c r="N2346" s="1" t="s">
        <v>3226</v>
      </c>
      <c r="O2346" s="1" t="s">
        <v>1286</v>
      </c>
      <c r="P2346" s="34" t="str">
        <f t="shared" si="48"/>
        <v>F010</v>
      </c>
      <c r="Q2346" s="1" t="s">
        <v>137</v>
      </c>
      <c r="S2346" s="16">
        <v>20</v>
      </c>
      <c r="T2346" s="1" t="s">
        <v>2427</v>
      </c>
      <c r="U2346" s="1" t="s">
        <v>2141</v>
      </c>
      <c r="V2346" s="1" t="s">
        <v>1840</v>
      </c>
      <c r="Y2346" s="1">
        <v>3327.87</v>
      </c>
      <c r="AB2346" s="1">
        <v>3161.48</v>
      </c>
    </row>
    <row r="2347" spans="2:28" x14ac:dyDescent="0.2">
      <c r="B2347" s="30" t="s">
        <v>2294</v>
      </c>
      <c r="C2347" s="36"/>
      <c r="D2347" s="36"/>
      <c r="F2347" s="1" t="s">
        <v>1895</v>
      </c>
      <c r="G2347" s="30" t="s">
        <v>4669</v>
      </c>
      <c r="K2347" s="1" t="s">
        <v>4691</v>
      </c>
      <c r="L2347" s="1" t="s">
        <v>1279</v>
      </c>
      <c r="M2347" s="36" t="s">
        <v>2236</v>
      </c>
      <c r="N2347" s="1" t="s">
        <v>3226</v>
      </c>
      <c r="O2347" s="1" t="s">
        <v>1286</v>
      </c>
      <c r="P2347" s="34" t="str">
        <f t="shared" si="48"/>
        <v>F010</v>
      </c>
      <c r="Q2347" s="1" t="s">
        <v>137</v>
      </c>
      <c r="S2347" s="16">
        <v>20</v>
      </c>
      <c r="T2347" s="1" t="s">
        <v>2299</v>
      </c>
      <c r="U2347" s="1" t="s">
        <v>2141</v>
      </c>
      <c r="V2347" s="1" t="s">
        <v>1840</v>
      </c>
      <c r="Y2347" s="1">
        <v>3327.87</v>
      </c>
      <c r="AB2347" s="1">
        <v>3161.48</v>
      </c>
    </row>
    <row r="2348" spans="2:28" x14ac:dyDescent="0.2">
      <c r="B2348" s="30" t="s">
        <v>2294</v>
      </c>
      <c r="C2348" s="36"/>
      <c r="D2348" s="36"/>
      <c r="F2348" s="1" t="s">
        <v>1322</v>
      </c>
      <c r="G2348" s="30" t="s">
        <v>4669</v>
      </c>
      <c r="K2348" s="1" t="s">
        <v>4692</v>
      </c>
      <c r="L2348" s="1" t="s">
        <v>1279</v>
      </c>
      <c r="M2348" s="36" t="s">
        <v>2236</v>
      </c>
      <c r="N2348" s="1" t="s">
        <v>3226</v>
      </c>
      <c r="O2348" s="1" t="s">
        <v>1286</v>
      </c>
      <c r="P2348" s="34" t="str">
        <f t="shared" si="48"/>
        <v>F010</v>
      </c>
      <c r="Q2348" s="1" t="s">
        <v>137</v>
      </c>
      <c r="S2348" s="16">
        <v>20</v>
      </c>
      <c r="T2348" s="1" t="s">
        <v>2299</v>
      </c>
      <c r="U2348" s="1" t="s">
        <v>2141</v>
      </c>
      <c r="V2348" s="1" t="s">
        <v>1840</v>
      </c>
      <c r="Y2348" s="1">
        <v>3327.87</v>
      </c>
      <c r="AB2348" s="1">
        <v>3161.48</v>
      </c>
    </row>
    <row r="2349" spans="2:28" x14ac:dyDescent="0.2">
      <c r="B2349" s="30" t="s">
        <v>2294</v>
      </c>
      <c r="C2349" s="36"/>
      <c r="D2349" s="36"/>
      <c r="F2349" s="1" t="s">
        <v>1322</v>
      </c>
      <c r="G2349" s="30" t="s">
        <v>4669</v>
      </c>
      <c r="K2349" s="1" t="s">
        <v>4693</v>
      </c>
      <c r="L2349" s="1" t="s">
        <v>1279</v>
      </c>
      <c r="M2349" s="36" t="s">
        <v>2236</v>
      </c>
      <c r="N2349" s="1" t="s">
        <v>3226</v>
      </c>
      <c r="O2349" s="1" t="s">
        <v>1286</v>
      </c>
      <c r="P2349" s="34" t="str">
        <f t="shared" si="48"/>
        <v>F010</v>
      </c>
      <c r="Q2349" s="1" t="s">
        <v>137</v>
      </c>
      <c r="S2349" s="16">
        <v>20</v>
      </c>
      <c r="T2349" s="1" t="s">
        <v>2427</v>
      </c>
      <c r="U2349" s="1" t="s">
        <v>2141</v>
      </c>
      <c r="V2349" s="1" t="s">
        <v>1840</v>
      </c>
      <c r="Y2349" s="1">
        <v>3327.87</v>
      </c>
      <c r="AB2349" s="1">
        <v>3161.48</v>
      </c>
    </row>
    <row r="2350" spans="2:28" x14ac:dyDescent="0.2">
      <c r="B2350" s="30" t="s">
        <v>2294</v>
      </c>
      <c r="C2350" s="36"/>
      <c r="D2350" s="36"/>
      <c r="F2350" s="1" t="s">
        <v>1895</v>
      </c>
      <c r="G2350" s="30" t="s">
        <v>4669</v>
      </c>
      <c r="K2350" s="1" t="s">
        <v>4694</v>
      </c>
      <c r="L2350" s="1" t="s">
        <v>1279</v>
      </c>
      <c r="M2350" s="36" t="s">
        <v>2236</v>
      </c>
      <c r="N2350" s="1" t="s">
        <v>3226</v>
      </c>
      <c r="O2350" s="1" t="s">
        <v>1286</v>
      </c>
      <c r="P2350" s="34" t="str">
        <f t="shared" ref="P2350:P2413" si="49">+LEFT(Q2350,4)</f>
        <v>F010</v>
      </c>
      <c r="Q2350" s="1" t="s">
        <v>137</v>
      </c>
      <c r="S2350" s="16">
        <v>20</v>
      </c>
      <c r="T2350" s="1" t="s">
        <v>2427</v>
      </c>
      <c r="U2350" s="1" t="s">
        <v>2141</v>
      </c>
      <c r="V2350" s="1" t="s">
        <v>1840</v>
      </c>
      <c r="Y2350" s="1">
        <v>3327.87</v>
      </c>
      <c r="AB2350" s="1">
        <v>3161.48</v>
      </c>
    </row>
    <row r="2351" spans="2:28" x14ac:dyDescent="0.2">
      <c r="B2351" s="30" t="s">
        <v>2294</v>
      </c>
      <c r="C2351" s="36"/>
      <c r="D2351" s="36"/>
      <c r="F2351" s="1" t="s">
        <v>1895</v>
      </c>
      <c r="G2351" s="30" t="s">
        <v>4669</v>
      </c>
      <c r="K2351" s="1" t="s">
        <v>4695</v>
      </c>
      <c r="L2351" s="1" t="s">
        <v>1279</v>
      </c>
      <c r="M2351" s="36" t="s">
        <v>2236</v>
      </c>
      <c r="N2351" s="1" t="s">
        <v>3226</v>
      </c>
      <c r="O2351" s="1" t="s">
        <v>1286</v>
      </c>
      <c r="P2351" s="34" t="str">
        <f t="shared" si="49"/>
        <v>F010</v>
      </c>
      <c r="Q2351" s="1" t="s">
        <v>137</v>
      </c>
      <c r="S2351" s="16">
        <v>20</v>
      </c>
      <c r="T2351" s="1" t="s">
        <v>2299</v>
      </c>
      <c r="U2351" s="1" t="s">
        <v>2141</v>
      </c>
      <c r="V2351" s="1" t="s">
        <v>1840</v>
      </c>
      <c r="Y2351" s="1">
        <v>3327.87</v>
      </c>
      <c r="AB2351" s="1">
        <v>3161.48</v>
      </c>
    </row>
    <row r="2352" spans="2:28" x14ac:dyDescent="0.2">
      <c r="B2352" s="30" t="s">
        <v>2294</v>
      </c>
      <c r="C2352" s="36"/>
      <c r="D2352" s="36"/>
      <c r="F2352" s="1" t="s">
        <v>1322</v>
      </c>
      <c r="G2352" s="30" t="s">
        <v>4669</v>
      </c>
      <c r="K2352" s="1" t="s">
        <v>4696</v>
      </c>
      <c r="L2352" s="1" t="s">
        <v>1279</v>
      </c>
      <c r="M2352" s="36" t="s">
        <v>2236</v>
      </c>
      <c r="N2352" s="1" t="s">
        <v>3226</v>
      </c>
      <c r="O2352" s="1" t="s">
        <v>1286</v>
      </c>
      <c r="P2352" s="34" t="str">
        <f t="shared" si="49"/>
        <v>F010</v>
      </c>
      <c r="Q2352" s="1" t="s">
        <v>137</v>
      </c>
      <c r="S2352" s="16">
        <v>20</v>
      </c>
      <c r="T2352" s="1" t="s">
        <v>2299</v>
      </c>
      <c r="U2352" s="1" t="s">
        <v>2141</v>
      </c>
      <c r="V2352" s="1" t="s">
        <v>1840</v>
      </c>
      <c r="Y2352" s="1">
        <v>3327.87</v>
      </c>
      <c r="AB2352" s="1">
        <v>3161.48</v>
      </c>
    </row>
    <row r="2353" spans="2:28" x14ac:dyDescent="0.2">
      <c r="B2353" s="30" t="s">
        <v>2294</v>
      </c>
      <c r="C2353" s="36"/>
      <c r="D2353" s="36"/>
      <c r="F2353" s="1" t="s">
        <v>1322</v>
      </c>
      <c r="G2353" s="30" t="s">
        <v>4669</v>
      </c>
      <c r="K2353" s="1" t="s">
        <v>4697</v>
      </c>
      <c r="L2353" s="1" t="s">
        <v>1279</v>
      </c>
      <c r="M2353" s="36" t="s">
        <v>2236</v>
      </c>
      <c r="N2353" s="1" t="s">
        <v>3226</v>
      </c>
      <c r="O2353" s="1" t="s">
        <v>1286</v>
      </c>
      <c r="P2353" s="34" t="str">
        <f t="shared" si="49"/>
        <v>F010</v>
      </c>
      <c r="Q2353" s="1" t="s">
        <v>137</v>
      </c>
      <c r="S2353" s="16">
        <v>20</v>
      </c>
      <c r="T2353" s="1" t="s">
        <v>2427</v>
      </c>
      <c r="U2353" s="1" t="s">
        <v>2141</v>
      </c>
      <c r="V2353" s="1" t="s">
        <v>1840</v>
      </c>
      <c r="Y2353" s="1">
        <v>3327.87</v>
      </c>
      <c r="AB2353" s="1">
        <v>3161.48</v>
      </c>
    </row>
    <row r="2354" spans="2:28" x14ac:dyDescent="0.2">
      <c r="B2354" s="30" t="s">
        <v>2294</v>
      </c>
      <c r="C2354" s="36"/>
      <c r="D2354" s="36"/>
      <c r="F2354" s="1" t="s">
        <v>1895</v>
      </c>
      <c r="G2354" s="30" t="s">
        <v>4669</v>
      </c>
      <c r="K2354" s="1" t="s">
        <v>4698</v>
      </c>
      <c r="L2354" s="1" t="s">
        <v>1279</v>
      </c>
      <c r="M2354" s="36" t="s">
        <v>2236</v>
      </c>
      <c r="N2354" s="1" t="s">
        <v>3226</v>
      </c>
      <c r="O2354" s="1" t="s">
        <v>1286</v>
      </c>
      <c r="P2354" s="34" t="str">
        <f t="shared" si="49"/>
        <v>F010</v>
      </c>
      <c r="Q2354" s="1" t="s">
        <v>137</v>
      </c>
      <c r="S2354" s="16">
        <v>20</v>
      </c>
      <c r="T2354" s="1" t="s">
        <v>2299</v>
      </c>
      <c r="U2354" s="1" t="s">
        <v>2141</v>
      </c>
      <c r="V2354" s="1" t="s">
        <v>1840</v>
      </c>
      <c r="Y2354" s="1">
        <v>3327.87</v>
      </c>
      <c r="AB2354" s="1">
        <v>3161.48</v>
      </c>
    </row>
    <row r="2355" spans="2:28" x14ac:dyDescent="0.2">
      <c r="B2355" s="30" t="s">
        <v>2294</v>
      </c>
      <c r="C2355" s="36"/>
      <c r="D2355" s="36"/>
      <c r="F2355" s="1" t="s">
        <v>1322</v>
      </c>
      <c r="G2355" s="30" t="s">
        <v>4669</v>
      </c>
      <c r="K2355" s="1" t="s">
        <v>4699</v>
      </c>
      <c r="L2355" s="1" t="s">
        <v>1279</v>
      </c>
      <c r="M2355" s="36" t="s">
        <v>2236</v>
      </c>
      <c r="N2355" s="1" t="s">
        <v>3226</v>
      </c>
      <c r="O2355" s="1" t="s">
        <v>1286</v>
      </c>
      <c r="P2355" s="34" t="str">
        <f t="shared" si="49"/>
        <v>F010</v>
      </c>
      <c r="Q2355" s="1" t="s">
        <v>137</v>
      </c>
      <c r="S2355" s="16">
        <v>20</v>
      </c>
      <c r="T2355" s="1" t="s">
        <v>2427</v>
      </c>
      <c r="U2355" s="1" t="s">
        <v>2141</v>
      </c>
      <c r="V2355" s="1" t="s">
        <v>1840</v>
      </c>
      <c r="Y2355" s="1">
        <v>3327.87</v>
      </c>
      <c r="AB2355" s="1">
        <v>3161.48</v>
      </c>
    </row>
    <row r="2356" spans="2:28" x14ac:dyDescent="0.2">
      <c r="B2356" s="30" t="s">
        <v>2294</v>
      </c>
      <c r="C2356" s="36"/>
      <c r="D2356" s="36"/>
      <c r="F2356" s="1" t="s">
        <v>1895</v>
      </c>
      <c r="G2356" s="30" t="s">
        <v>4669</v>
      </c>
      <c r="K2356" s="1" t="s">
        <v>4700</v>
      </c>
      <c r="L2356" s="1" t="s">
        <v>1279</v>
      </c>
      <c r="M2356" s="36" t="s">
        <v>2236</v>
      </c>
      <c r="N2356" s="1" t="s">
        <v>3226</v>
      </c>
      <c r="O2356" s="1" t="s">
        <v>1286</v>
      </c>
      <c r="P2356" s="34" t="str">
        <f t="shared" si="49"/>
        <v>F010</v>
      </c>
      <c r="Q2356" s="1" t="s">
        <v>137</v>
      </c>
      <c r="S2356" s="16">
        <v>20</v>
      </c>
      <c r="T2356" s="1" t="s">
        <v>2427</v>
      </c>
      <c r="U2356" s="1" t="s">
        <v>2141</v>
      </c>
      <c r="V2356" s="1" t="s">
        <v>1840</v>
      </c>
      <c r="Y2356" s="1">
        <v>3327.87</v>
      </c>
      <c r="AB2356" s="1">
        <v>3161.48</v>
      </c>
    </row>
    <row r="2357" spans="2:28" x14ac:dyDescent="0.2">
      <c r="B2357" s="30" t="s">
        <v>2294</v>
      </c>
      <c r="C2357" s="36"/>
      <c r="D2357" s="36"/>
      <c r="F2357" s="1" t="s">
        <v>1895</v>
      </c>
      <c r="G2357" s="30" t="s">
        <v>4669</v>
      </c>
      <c r="K2357" s="1" t="s">
        <v>4701</v>
      </c>
      <c r="L2357" s="1" t="s">
        <v>1279</v>
      </c>
      <c r="M2357" s="36" t="s">
        <v>2236</v>
      </c>
      <c r="N2357" s="1" t="s">
        <v>3226</v>
      </c>
      <c r="O2357" s="1" t="s">
        <v>1286</v>
      </c>
      <c r="P2357" s="34" t="str">
        <f t="shared" si="49"/>
        <v>F010</v>
      </c>
      <c r="Q2357" s="1" t="s">
        <v>137</v>
      </c>
      <c r="S2357" s="16">
        <v>20</v>
      </c>
      <c r="T2357" s="1" t="s">
        <v>2427</v>
      </c>
      <c r="U2357" s="1" t="s">
        <v>2141</v>
      </c>
      <c r="V2357" s="1" t="s">
        <v>1840</v>
      </c>
      <c r="Y2357" s="1">
        <v>3327.87</v>
      </c>
      <c r="AB2357" s="1">
        <v>3161.48</v>
      </c>
    </row>
    <row r="2358" spans="2:28" x14ac:dyDescent="0.2">
      <c r="B2358" s="30" t="s">
        <v>2294</v>
      </c>
      <c r="C2358" s="36"/>
      <c r="D2358" s="36"/>
      <c r="F2358" s="1" t="s">
        <v>1895</v>
      </c>
      <c r="G2358" s="30" t="s">
        <v>4669</v>
      </c>
      <c r="K2358" s="1" t="s">
        <v>4702</v>
      </c>
      <c r="L2358" s="1" t="s">
        <v>1279</v>
      </c>
      <c r="M2358" s="36" t="s">
        <v>2236</v>
      </c>
      <c r="N2358" s="1" t="s">
        <v>3226</v>
      </c>
      <c r="O2358" s="1" t="s">
        <v>1286</v>
      </c>
      <c r="P2358" s="34" t="str">
        <f t="shared" si="49"/>
        <v>F010</v>
      </c>
      <c r="Q2358" s="1" t="s">
        <v>137</v>
      </c>
      <c r="S2358" s="16">
        <v>20</v>
      </c>
      <c r="T2358" s="1" t="s">
        <v>2299</v>
      </c>
      <c r="U2358" s="1" t="s">
        <v>2141</v>
      </c>
      <c r="V2358" s="1" t="s">
        <v>1840</v>
      </c>
      <c r="Y2358" s="1">
        <v>3327.87</v>
      </c>
      <c r="AB2358" s="1">
        <v>3161.48</v>
      </c>
    </row>
    <row r="2359" spans="2:28" x14ac:dyDescent="0.2">
      <c r="B2359" s="30" t="s">
        <v>2294</v>
      </c>
      <c r="C2359" s="36"/>
      <c r="D2359" s="36"/>
      <c r="F2359" s="1" t="s">
        <v>1322</v>
      </c>
      <c r="G2359" s="30" t="s">
        <v>4669</v>
      </c>
      <c r="K2359" s="1" t="s">
        <v>4703</v>
      </c>
      <c r="L2359" s="1" t="s">
        <v>1279</v>
      </c>
      <c r="M2359" s="36" t="s">
        <v>2236</v>
      </c>
      <c r="N2359" s="1" t="s">
        <v>3226</v>
      </c>
      <c r="O2359" s="1" t="s">
        <v>1286</v>
      </c>
      <c r="P2359" s="34" t="str">
        <f t="shared" si="49"/>
        <v>F010</v>
      </c>
      <c r="Q2359" s="1" t="s">
        <v>137</v>
      </c>
      <c r="S2359" s="16">
        <v>20</v>
      </c>
      <c r="T2359" s="1" t="s">
        <v>2427</v>
      </c>
      <c r="U2359" s="1" t="s">
        <v>2141</v>
      </c>
      <c r="V2359" s="1" t="s">
        <v>1840</v>
      </c>
      <c r="Y2359" s="1">
        <v>3327.87</v>
      </c>
      <c r="AB2359" s="1">
        <v>3161.48</v>
      </c>
    </row>
    <row r="2360" spans="2:28" x14ac:dyDescent="0.2">
      <c r="B2360" s="30" t="s">
        <v>2294</v>
      </c>
      <c r="C2360" s="36"/>
      <c r="D2360" s="36"/>
      <c r="F2360" s="1" t="s">
        <v>1895</v>
      </c>
      <c r="G2360" s="30" t="s">
        <v>4669</v>
      </c>
      <c r="K2360" s="1" t="s">
        <v>4704</v>
      </c>
      <c r="L2360" s="1" t="s">
        <v>1279</v>
      </c>
      <c r="M2360" s="36" t="s">
        <v>2236</v>
      </c>
      <c r="N2360" s="1" t="s">
        <v>3226</v>
      </c>
      <c r="O2360" s="1" t="s">
        <v>1286</v>
      </c>
      <c r="P2360" s="34" t="str">
        <f t="shared" si="49"/>
        <v>F010</v>
      </c>
      <c r="Q2360" s="1" t="s">
        <v>137</v>
      </c>
      <c r="S2360" s="16">
        <v>20</v>
      </c>
      <c r="T2360" s="1" t="s">
        <v>2299</v>
      </c>
      <c r="U2360" s="1" t="s">
        <v>2141</v>
      </c>
      <c r="V2360" s="1" t="s">
        <v>1840</v>
      </c>
      <c r="Y2360" s="1">
        <v>3327.87</v>
      </c>
      <c r="AB2360" s="1">
        <v>3161.48</v>
      </c>
    </row>
    <row r="2361" spans="2:28" x14ac:dyDescent="0.2">
      <c r="B2361" s="30" t="s">
        <v>2294</v>
      </c>
      <c r="C2361" s="36"/>
      <c r="D2361" s="36"/>
      <c r="F2361" s="1" t="s">
        <v>1322</v>
      </c>
      <c r="G2361" s="30" t="s">
        <v>4669</v>
      </c>
      <c r="K2361" s="1" t="s">
        <v>4705</v>
      </c>
      <c r="L2361" s="1" t="s">
        <v>1279</v>
      </c>
      <c r="M2361" s="36" t="s">
        <v>2236</v>
      </c>
      <c r="N2361" s="1" t="s">
        <v>3226</v>
      </c>
      <c r="O2361" s="1" t="s">
        <v>1286</v>
      </c>
      <c r="P2361" s="34" t="str">
        <f t="shared" si="49"/>
        <v>F010</v>
      </c>
      <c r="Q2361" s="1" t="s">
        <v>137</v>
      </c>
      <c r="S2361" s="16">
        <v>20</v>
      </c>
      <c r="T2361" s="1" t="s">
        <v>2427</v>
      </c>
      <c r="U2361" s="1" t="s">
        <v>2141</v>
      </c>
      <c r="V2361" s="1" t="s">
        <v>1840</v>
      </c>
      <c r="Y2361" s="1">
        <v>3327.87</v>
      </c>
      <c r="AB2361" s="1">
        <v>3161.48</v>
      </c>
    </row>
    <row r="2362" spans="2:28" x14ac:dyDescent="0.2">
      <c r="B2362" s="30" t="s">
        <v>2294</v>
      </c>
      <c r="C2362" s="36"/>
      <c r="D2362" s="36"/>
      <c r="F2362" s="1" t="s">
        <v>1895</v>
      </c>
      <c r="G2362" s="30" t="s">
        <v>4669</v>
      </c>
      <c r="K2362" s="1" t="s">
        <v>4706</v>
      </c>
      <c r="L2362" s="1" t="s">
        <v>1279</v>
      </c>
      <c r="M2362" s="36" t="s">
        <v>2236</v>
      </c>
      <c r="N2362" s="1" t="s">
        <v>3226</v>
      </c>
      <c r="O2362" s="1" t="s">
        <v>1286</v>
      </c>
      <c r="P2362" s="34" t="str">
        <f t="shared" si="49"/>
        <v>F010</v>
      </c>
      <c r="Q2362" s="1" t="s">
        <v>137</v>
      </c>
      <c r="S2362" s="16">
        <v>20</v>
      </c>
      <c r="T2362" s="1" t="s">
        <v>2299</v>
      </c>
      <c r="U2362" s="1" t="s">
        <v>2141</v>
      </c>
      <c r="V2362" s="1" t="s">
        <v>1840</v>
      </c>
      <c r="Y2362" s="1">
        <v>3327.87</v>
      </c>
      <c r="AB2362" s="1">
        <v>3161.48</v>
      </c>
    </row>
    <row r="2363" spans="2:28" x14ac:dyDescent="0.2">
      <c r="B2363" s="30" t="s">
        <v>2294</v>
      </c>
      <c r="C2363" s="36"/>
      <c r="D2363" s="36"/>
      <c r="F2363" s="1" t="s">
        <v>1322</v>
      </c>
      <c r="G2363" s="30" t="s">
        <v>4669</v>
      </c>
      <c r="K2363" s="1" t="s">
        <v>4707</v>
      </c>
      <c r="L2363" s="1" t="s">
        <v>1279</v>
      </c>
      <c r="M2363" s="36" t="s">
        <v>2236</v>
      </c>
      <c r="N2363" s="1" t="s">
        <v>3226</v>
      </c>
      <c r="O2363" s="1" t="s">
        <v>1286</v>
      </c>
      <c r="P2363" s="34" t="str">
        <f t="shared" si="49"/>
        <v>F010</v>
      </c>
      <c r="Q2363" s="1" t="s">
        <v>137</v>
      </c>
      <c r="S2363" s="16">
        <v>20</v>
      </c>
      <c r="T2363" s="1" t="s">
        <v>2299</v>
      </c>
      <c r="U2363" s="1" t="s">
        <v>2141</v>
      </c>
      <c r="V2363" s="1" t="s">
        <v>1840</v>
      </c>
      <c r="Y2363" s="1">
        <v>3327.87</v>
      </c>
      <c r="AB2363" s="1">
        <v>3161.48</v>
      </c>
    </row>
    <row r="2364" spans="2:28" x14ac:dyDescent="0.2">
      <c r="B2364" s="30" t="s">
        <v>2294</v>
      </c>
      <c r="C2364" s="36"/>
      <c r="D2364" s="36"/>
      <c r="F2364" s="1" t="s">
        <v>1322</v>
      </c>
      <c r="G2364" s="30" t="s">
        <v>4669</v>
      </c>
      <c r="K2364" s="1" t="s">
        <v>4708</v>
      </c>
      <c r="L2364" s="1" t="s">
        <v>1279</v>
      </c>
      <c r="M2364" s="36" t="s">
        <v>2236</v>
      </c>
      <c r="N2364" s="1" t="s">
        <v>3226</v>
      </c>
      <c r="O2364" s="1" t="s">
        <v>1286</v>
      </c>
      <c r="P2364" s="34" t="str">
        <f t="shared" si="49"/>
        <v>F010</v>
      </c>
      <c r="Q2364" s="1" t="s">
        <v>137</v>
      </c>
      <c r="S2364" s="16">
        <v>20</v>
      </c>
      <c r="T2364" s="1" t="s">
        <v>2427</v>
      </c>
      <c r="U2364" s="1" t="s">
        <v>2141</v>
      </c>
      <c r="V2364" s="1" t="s">
        <v>1840</v>
      </c>
      <c r="Y2364" s="1">
        <v>3327.87</v>
      </c>
      <c r="AB2364" s="1">
        <v>3161.48</v>
      </c>
    </row>
    <row r="2365" spans="2:28" x14ac:dyDescent="0.2">
      <c r="B2365" s="30" t="s">
        <v>2294</v>
      </c>
      <c r="C2365" s="36"/>
      <c r="D2365" s="36"/>
      <c r="F2365" s="1" t="s">
        <v>1895</v>
      </c>
      <c r="G2365" s="30" t="s">
        <v>4669</v>
      </c>
      <c r="K2365" s="1" t="s">
        <v>4709</v>
      </c>
      <c r="L2365" s="1" t="s">
        <v>1279</v>
      </c>
      <c r="M2365" s="36" t="s">
        <v>2236</v>
      </c>
      <c r="N2365" s="1" t="s">
        <v>3226</v>
      </c>
      <c r="O2365" s="1" t="s">
        <v>1286</v>
      </c>
      <c r="P2365" s="34" t="str">
        <f t="shared" si="49"/>
        <v>F010</v>
      </c>
      <c r="Q2365" s="1" t="s">
        <v>137</v>
      </c>
      <c r="S2365" s="16">
        <v>20</v>
      </c>
      <c r="T2365" s="1" t="s">
        <v>2299</v>
      </c>
      <c r="U2365" s="1" t="s">
        <v>2141</v>
      </c>
      <c r="V2365" s="1" t="s">
        <v>1840</v>
      </c>
      <c r="Y2365" s="1">
        <v>3327.87</v>
      </c>
      <c r="AB2365" s="1">
        <v>3161.48</v>
      </c>
    </row>
    <row r="2366" spans="2:28" x14ac:dyDescent="0.2">
      <c r="B2366" s="30" t="s">
        <v>2294</v>
      </c>
      <c r="C2366" s="36"/>
      <c r="D2366" s="36"/>
      <c r="F2366" s="1" t="s">
        <v>1322</v>
      </c>
      <c r="G2366" s="30" t="s">
        <v>4710</v>
      </c>
      <c r="K2366" s="1" t="s">
        <v>4711</v>
      </c>
      <c r="L2366" s="1" t="s">
        <v>1279</v>
      </c>
      <c r="M2366" s="36" t="s">
        <v>2014</v>
      </c>
      <c r="N2366" s="1" t="s">
        <v>1577</v>
      </c>
      <c r="O2366" s="1" t="s">
        <v>1286</v>
      </c>
      <c r="P2366" s="34" t="str">
        <f t="shared" si="49"/>
        <v>F010</v>
      </c>
      <c r="Q2366" s="1" t="s">
        <v>138</v>
      </c>
      <c r="S2366" s="16">
        <v>20</v>
      </c>
      <c r="T2366" s="1" t="s">
        <v>2427</v>
      </c>
      <c r="U2366" s="1" t="s">
        <v>1334</v>
      </c>
      <c r="V2366" s="1" t="s">
        <v>1377</v>
      </c>
      <c r="Y2366" s="1">
        <v>2320.5100000000002</v>
      </c>
      <c r="AB2366" s="1">
        <v>1335.18</v>
      </c>
    </row>
    <row r="2367" spans="2:28" x14ac:dyDescent="0.2">
      <c r="B2367" s="30" t="s">
        <v>2294</v>
      </c>
      <c r="C2367" s="36"/>
      <c r="D2367" s="36"/>
      <c r="F2367" s="1" t="s">
        <v>1895</v>
      </c>
      <c r="G2367" s="30" t="s">
        <v>4712</v>
      </c>
      <c r="K2367" s="1" t="s">
        <v>4713</v>
      </c>
      <c r="L2367" s="1" t="s">
        <v>1279</v>
      </c>
      <c r="M2367" s="36" t="s">
        <v>1699</v>
      </c>
      <c r="N2367" s="1" t="s">
        <v>3289</v>
      </c>
      <c r="O2367" s="1" t="s">
        <v>1286</v>
      </c>
      <c r="P2367" s="34" t="str">
        <f t="shared" si="49"/>
        <v>F010</v>
      </c>
      <c r="Q2367" s="1" t="s">
        <v>137</v>
      </c>
      <c r="S2367" s="16">
        <v>20</v>
      </c>
      <c r="T2367" s="1" t="s">
        <v>2299</v>
      </c>
      <c r="U2367" s="1" t="s">
        <v>1541</v>
      </c>
      <c r="V2367" s="1" t="s">
        <v>2711</v>
      </c>
      <c r="Y2367" s="1">
        <v>3373</v>
      </c>
      <c r="AB2367" s="1">
        <v>2759.31</v>
      </c>
    </row>
    <row r="2368" spans="2:28" x14ac:dyDescent="0.2">
      <c r="B2368" s="30" t="s">
        <v>2294</v>
      </c>
      <c r="C2368" s="36"/>
      <c r="D2368" s="36"/>
      <c r="F2368" s="1" t="s">
        <v>1322</v>
      </c>
      <c r="G2368" s="30" t="s">
        <v>4714</v>
      </c>
      <c r="K2368" s="1" t="s">
        <v>4715</v>
      </c>
      <c r="L2368" s="1" t="s">
        <v>1279</v>
      </c>
      <c r="M2368" s="36" t="s">
        <v>2014</v>
      </c>
      <c r="N2368" s="1" t="s">
        <v>1286</v>
      </c>
      <c r="O2368" s="1" t="s">
        <v>1286</v>
      </c>
      <c r="P2368" s="34" t="str">
        <f t="shared" si="49"/>
        <v>F010</v>
      </c>
      <c r="Q2368" s="1" t="s">
        <v>138</v>
      </c>
      <c r="S2368" s="16">
        <v>20</v>
      </c>
      <c r="T2368" s="1" t="s">
        <v>2299</v>
      </c>
      <c r="U2368" s="1" t="s">
        <v>1334</v>
      </c>
      <c r="V2368" s="1" t="s">
        <v>1377</v>
      </c>
      <c r="Y2368" s="1">
        <v>4219</v>
      </c>
      <c r="AB2368" s="1">
        <v>2449.37</v>
      </c>
    </row>
    <row r="2369" spans="2:28" x14ac:dyDescent="0.2">
      <c r="B2369" s="30" t="s">
        <v>2294</v>
      </c>
      <c r="C2369" s="36"/>
      <c r="D2369" s="36"/>
      <c r="F2369" s="1" t="s">
        <v>1322</v>
      </c>
      <c r="G2369" s="30" t="s">
        <v>4714</v>
      </c>
      <c r="K2369" s="1" t="s">
        <v>4716</v>
      </c>
      <c r="L2369" s="1" t="s">
        <v>1279</v>
      </c>
      <c r="M2369" s="36" t="s">
        <v>2014</v>
      </c>
      <c r="N2369" s="1" t="s">
        <v>1286</v>
      </c>
      <c r="O2369" s="1" t="s">
        <v>1286</v>
      </c>
      <c r="P2369" s="34" t="str">
        <f t="shared" si="49"/>
        <v>F010</v>
      </c>
      <c r="Q2369" s="1" t="s">
        <v>138</v>
      </c>
      <c r="S2369" s="16">
        <v>20</v>
      </c>
      <c r="T2369" s="1" t="s">
        <v>2427</v>
      </c>
      <c r="U2369" s="1" t="s">
        <v>1334</v>
      </c>
      <c r="V2369" s="1" t="s">
        <v>1377</v>
      </c>
      <c r="Y2369" s="1">
        <v>4219</v>
      </c>
      <c r="AB2369" s="1">
        <v>2449.37</v>
      </c>
    </row>
    <row r="2370" spans="2:28" x14ac:dyDescent="0.2">
      <c r="B2370" s="30" t="s">
        <v>2294</v>
      </c>
      <c r="C2370" s="36"/>
      <c r="D2370" s="36"/>
      <c r="F2370" s="1" t="s">
        <v>1895</v>
      </c>
      <c r="G2370" s="30" t="s">
        <v>4717</v>
      </c>
      <c r="K2370" s="1" t="s">
        <v>4718</v>
      </c>
      <c r="L2370" s="1" t="s">
        <v>1279</v>
      </c>
      <c r="M2370" s="36" t="s">
        <v>2068</v>
      </c>
      <c r="N2370" s="1" t="s">
        <v>3289</v>
      </c>
      <c r="O2370" s="1" t="s">
        <v>1286</v>
      </c>
      <c r="P2370" s="34" t="str">
        <f t="shared" si="49"/>
        <v>F010</v>
      </c>
      <c r="Q2370" s="1" t="s">
        <v>137</v>
      </c>
      <c r="S2370" s="16">
        <v>20</v>
      </c>
      <c r="T2370" s="1" t="s">
        <v>2299</v>
      </c>
      <c r="U2370" s="1" t="s">
        <v>1511</v>
      </c>
      <c r="V2370" s="1" t="s">
        <v>4719</v>
      </c>
      <c r="Y2370" s="1">
        <v>2715</v>
      </c>
      <c r="AB2370" s="1">
        <v>1361.29</v>
      </c>
    </row>
    <row r="2371" spans="2:28" x14ac:dyDescent="0.2">
      <c r="B2371" s="30" t="s">
        <v>2294</v>
      </c>
      <c r="C2371" s="36"/>
      <c r="D2371" s="36"/>
      <c r="F2371" s="1" t="s">
        <v>1322</v>
      </c>
      <c r="G2371" s="30" t="s">
        <v>4717</v>
      </c>
      <c r="K2371" s="1" t="s">
        <v>4720</v>
      </c>
      <c r="L2371" s="1" t="s">
        <v>1279</v>
      </c>
      <c r="M2371" s="36" t="s">
        <v>2068</v>
      </c>
      <c r="N2371" s="1" t="s">
        <v>3289</v>
      </c>
      <c r="O2371" s="1" t="s">
        <v>1286</v>
      </c>
      <c r="P2371" s="34" t="str">
        <f t="shared" si="49"/>
        <v>F010</v>
      </c>
      <c r="Q2371" s="1" t="s">
        <v>137</v>
      </c>
      <c r="S2371" s="16">
        <v>20</v>
      </c>
      <c r="T2371" s="1" t="s">
        <v>2427</v>
      </c>
      <c r="U2371" s="1" t="s">
        <v>1511</v>
      </c>
      <c r="V2371" s="1" t="s">
        <v>4719</v>
      </c>
      <c r="Y2371" s="1">
        <v>2715</v>
      </c>
      <c r="AB2371" s="1">
        <v>1361.29</v>
      </c>
    </row>
    <row r="2372" spans="2:28" x14ac:dyDescent="0.2">
      <c r="B2372" s="30" t="s">
        <v>2294</v>
      </c>
      <c r="C2372" s="36"/>
      <c r="D2372" s="36"/>
      <c r="F2372" s="1" t="s">
        <v>1895</v>
      </c>
      <c r="G2372" s="30" t="s">
        <v>4717</v>
      </c>
      <c r="K2372" s="1" t="s">
        <v>4721</v>
      </c>
      <c r="L2372" s="1" t="s">
        <v>1279</v>
      </c>
      <c r="M2372" s="36" t="s">
        <v>2068</v>
      </c>
      <c r="N2372" s="1" t="s">
        <v>3289</v>
      </c>
      <c r="O2372" s="1" t="s">
        <v>1286</v>
      </c>
      <c r="P2372" s="34" t="str">
        <f t="shared" si="49"/>
        <v>F010</v>
      </c>
      <c r="Q2372" s="1" t="s">
        <v>137</v>
      </c>
      <c r="S2372" s="16">
        <v>20</v>
      </c>
      <c r="T2372" s="1" t="s">
        <v>2299</v>
      </c>
      <c r="U2372" s="1" t="s">
        <v>1511</v>
      </c>
      <c r="V2372" s="1" t="s">
        <v>4719</v>
      </c>
      <c r="Y2372" s="1">
        <v>2715</v>
      </c>
      <c r="AB2372" s="1">
        <v>1361.29</v>
      </c>
    </row>
    <row r="2373" spans="2:28" x14ac:dyDescent="0.2">
      <c r="B2373" s="30" t="s">
        <v>2294</v>
      </c>
      <c r="C2373" s="36"/>
      <c r="D2373" s="36"/>
      <c r="F2373" s="1" t="s">
        <v>1322</v>
      </c>
      <c r="G2373" s="30" t="s">
        <v>4717</v>
      </c>
      <c r="K2373" s="1" t="s">
        <v>4722</v>
      </c>
      <c r="L2373" s="1" t="s">
        <v>1279</v>
      </c>
      <c r="M2373" s="36" t="s">
        <v>2068</v>
      </c>
      <c r="N2373" s="1" t="s">
        <v>3289</v>
      </c>
      <c r="O2373" s="1" t="s">
        <v>1286</v>
      </c>
      <c r="P2373" s="34" t="str">
        <f t="shared" si="49"/>
        <v>F010</v>
      </c>
      <c r="Q2373" s="1" t="s">
        <v>137</v>
      </c>
      <c r="S2373" s="16">
        <v>20</v>
      </c>
      <c r="T2373" s="1" t="s">
        <v>2299</v>
      </c>
      <c r="U2373" s="1" t="s">
        <v>1511</v>
      </c>
      <c r="V2373" s="1" t="s">
        <v>4719</v>
      </c>
      <c r="Y2373" s="1">
        <v>2715</v>
      </c>
      <c r="AB2373" s="1">
        <v>1361.29</v>
      </c>
    </row>
    <row r="2374" spans="2:28" x14ac:dyDescent="0.2">
      <c r="B2374" s="30" t="s">
        <v>2294</v>
      </c>
      <c r="C2374" s="36"/>
      <c r="D2374" s="36"/>
      <c r="F2374" s="1" t="s">
        <v>1322</v>
      </c>
      <c r="G2374" s="30" t="s">
        <v>4717</v>
      </c>
      <c r="K2374" s="1" t="s">
        <v>4723</v>
      </c>
      <c r="L2374" s="1" t="s">
        <v>1279</v>
      </c>
      <c r="M2374" s="36" t="s">
        <v>2068</v>
      </c>
      <c r="N2374" s="1" t="s">
        <v>3289</v>
      </c>
      <c r="O2374" s="1" t="s">
        <v>1286</v>
      </c>
      <c r="P2374" s="34" t="str">
        <f t="shared" si="49"/>
        <v>F010</v>
      </c>
      <c r="Q2374" s="1" t="s">
        <v>137</v>
      </c>
      <c r="S2374" s="16">
        <v>20</v>
      </c>
      <c r="T2374" s="1" t="s">
        <v>2427</v>
      </c>
      <c r="U2374" s="1" t="s">
        <v>1511</v>
      </c>
      <c r="V2374" s="1" t="s">
        <v>4719</v>
      </c>
      <c r="Y2374" s="1">
        <v>2715</v>
      </c>
      <c r="AB2374" s="1">
        <v>1361.29</v>
      </c>
    </row>
    <row r="2375" spans="2:28" x14ac:dyDescent="0.2">
      <c r="B2375" s="30" t="s">
        <v>2294</v>
      </c>
      <c r="C2375" s="36"/>
      <c r="D2375" s="36"/>
      <c r="F2375" s="1" t="s">
        <v>1895</v>
      </c>
      <c r="G2375" s="30" t="s">
        <v>4717</v>
      </c>
      <c r="K2375" s="1" t="s">
        <v>4724</v>
      </c>
      <c r="L2375" s="1" t="s">
        <v>1279</v>
      </c>
      <c r="M2375" s="36" t="s">
        <v>2068</v>
      </c>
      <c r="N2375" s="1" t="s">
        <v>3289</v>
      </c>
      <c r="O2375" s="1" t="s">
        <v>1286</v>
      </c>
      <c r="P2375" s="34" t="str">
        <f t="shared" si="49"/>
        <v>F010</v>
      </c>
      <c r="Q2375" s="1" t="s">
        <v>137</v>
      </c>
      <c r="S2375" s="16">
        <v>20</v>
      </c>
      <c r="T2375" s="1" t="s">
        <v>2299</v>
      </c>
      <c r="U2375" s="1" t="s">
        <v>1511</v>
      </c>
      <c r="V2375" s="1" t="s">
        <v>4719</v>
      </c>
      <c r="Y2375" s="1">
        <v>2715</v>
      </c>
      <c r="AB2375" s="1">
        <v>1361.29</v>
      </c>
    </row>
    <row r="2376" spans="2:28" x14ac:dyDescent="0.2">
      <c r="B2376" s="30" t="s">
        <v>2294</v>
      </c>
      <c r="C2376" s="36"/>
      <c r="D2376" s="36"/>
      <c r="F2376" s="1" t="s">
        <v>1322</v>
      </c>
      <c r="G2376" s="30" t="s">
        <v>4717</v>
      </c>
      <c r="K2376" s="1" t="s">
        <v>4725</v>
      </c>
      <c r="L2376" s="1" t="s">
        <v>1279</v>
      </c>
      <c r="M2376" s="36" t="s">
        <v>2068</v>
      </c>
      <c r="N2376" s="1" t="s">
        <v>3289</v>
      </c>
      <c r="O2376" s="1" t="s">
        <v>1286</v>
      </c>
      <c r="P2376" s="34" t="str">
        <f t="shared" si="49"/>
        <v>F010</v>
      </c>
      <c r="Q2376" s="1" t="s">
        <v>137</v>
      </c>
      <c r="S2376" s="16">
        <v>20</v>
      </c>
      <c r="T2376" s="1" t="s">
        <v>2427</v>
      </c>
      <c r="U2376" s="1" t="s">
        <v>1511</v>
      </c>
      <c r="V2376" s="1" t="s">
        <v>4719</v>
      </c>
      <c r="Y2376" s="1">
        <v>2715</v>
      </c>
      <c r="AB2376" s="1">
        <v>1361.29</v>
      </c>
    </row>
    <row r="2377" spans="2:28" x14ac:dyDescent="0.2">
      <c r="B2377" s="30" t="s">
        <v>2294</v>
      </c>
      <c r="C2377" s="36"/>
      <c r="D2377" s="36"/>
      <c r="F2377" s="1" t="s">
        <v>1895</v>
      </c>
      <c r="G2377" s="30" t="s">
        <v>4726</v>
      </c>
      <c r="K2377" s="1" t="s">
        <v>4727</v>
      </c>
      <c r="L2377" s="1" t="s">
        <v>1279</v>
      </c>
      <c r="M2377" s="36" t="s">
        <v>1999</v>
      </c>
      <c r="N2377" s="1" t="s">
        <v>2400</v>
      </c>
      <c r="O2377" s="1" t="s">
        <v>1286</v>
      </c>
      <c r="P2377" s="34" t="str">
        <f t="shared" si="49"/>
        <v>F010</v>
      </c>
      <c r="Q2377" s="1" t="s">
        <v>137</v>
      </c>
      <c r="S2377" s="16">
        <v>20</v>
      </c>
      <c r="T2377" s="1" t="s">
        <v>2299</v>
      </c>
      <c r="U2377" s="1" t="s">
        <v>2544</v>
      </c>
      <c r="V2377" s="1" t="s">
        <v>4107</v>
      </c>
      <c r="Y2377" s="1">
        <v>4217</v>
      </c>
      <c r="AB2377" s="1">
        <v>3115.87</v>
      </c>
    </row>
    <row r="2378" spans="2:28" x14ac:dyDescent="0.2">
      <c r="B2378" s="30" t="s">
        <v>2294</v>
      </c>
      <c r="C2378" s="36"/>
      <c r="D2378" s="36"/>
      <c r="F2378" s="1" t="s">
        <v>1322</v>
      </c>
      <c r="G2378" s="30" t="s">
        <v>4726</v>
      </c>
      <c r="K2378" s="1" t="s">
        <v>4728</v>
      </c>
      <c r="L2378" s="1" t="s">
        <v>1279</v>
      </c>
      <c r="M2378" s="36" t="s">
        <v>1999</v>
      </c>
      <c r="N2378" s="1" t="s">
        <v>2400</v>
      </c>
      <c r="O2378" s="1" t="s">
        <v>1286</v>
      </c>
      <c r="P2378" s="34" t="str">
        <f t="shared" si="49"/>
        <v>F010</v>
      </c>
      <c r="Q2378" s="1" t="s">
        <v>137</v>
      </c>
      <c r="S2378" s="16">
        <v>20</v>
      </c>
      <c r="T2378" s="1" t="s">
        <v>2299</v>
      </c>
      <c r="U2378" s="1" t="s">
        <v>2544</v>
      </c>
      <c r="V2378" s="1" t="s">
        <v>4107</v>
      </c>
      <c r="Y2378" s="1">
        <v>4217</v>
      </c>
      <c r="AB2378" s="1">
        <v>3115.87</v>
      </c>
    </row>
    <row r="2379" spans="2:28" x14ac:dyDescent="0.2">
      <c r="B2379" s="30" t="s">
        <v>2294</v>
      </c>
      <c r="C2379" s="36"/>
      <c r="D2379" s="36"/>
      <c r="F2379" s="1" t="s">
        <v>1322</v>
      </c>
      <c r="G2379" s="30" t="s">
        <v>4726</v>
      </c>
      <c r="K2379" s="1" t="s">
        <v>4729</v>
      </c>
      <c r="L2379" s="1" t="s">
        <v>1279</v>
      </c>
      <c r="M2379" s="36" t="s">
        <v>1999</v>
      </c>
      <c r="N2379" s="1" t="s">
        <v>2400</v>
      </c>
      <c r="O2379" s="1" t="s">
        <v>1286</v>
      </c>
      <c r="P2379" s="34" t="str">
        <f t="shared" si="49"/>
        <v>F010</v>
      </c>
      <c r="Q2379" s="1" t="s">
        <v>137</v>
      </c>
      <c r="S2379" s="16">
        <v>20</v>
      </c>
      <c r="T2379" s="1" t="s">
        <v>2427</v>
      </c>
      <c r="U2379" s="1" t="s">
        <v>2544</v>
      </c>
      <c r="V2379" s="1" t="s">
        <v>4107</v>
      </c>
      <c r="Y2379" s="1">
        <v>4217</v>
      </c>
      <c r="AB2379" s="1">
        <v>3115.87</v>
      </c>
    </row>
    <row r="2380" spans="2:28" x14ac:dyDescent="0.2">
      <c r="B2380" s="30" t="s">
        <v>2294</v>
      </c>
      <c r="C2380" s="36"/>
      <c r="D2380" s="36"/>
      <c r="F2380" s="1" t="s">
        <v>1895</v>
      </c>
      <c r="G2380" s="30" t="s">
        <v>4726</v>
      </c>
      <c r="K2380" s="1" t="s">
        <v>4730</v>
      </c>
      <c r="L2380" s="1" t="s">
        <v>1279</v>
      </c>
      <c r="M2380" s="36" t="s">
        <v>1999</v>
      </c>
      <c r="N2380" s="1" t="s">
        <v>2988</v>
      </c>
      <c r="O2380" s="1" t="s">
        <v>1286</v>
      </c>
      <c r="P2380" s="34" t="str">
        <f t="shared" si="49"/>
        <v>F010</v>
      </c>
      <c r="Q2380" s="1" t="s">
        <v>137</v>
      </c>
      <c r="S2380" s="16">
        <v>20</v>
      </c>
      <c r="T2380" s="1" t="s">
        <v>2299</v>
      </c>
      <c r="U2380" s="1" t="s">
        <v>2544</v>
      </c>
      <c r="V2380" s="1" t="s">
        <v>4107</v>
      </c>
      <c r="Y2380" s="1">
        <v>4217</v>
      </c>
      <c r="AB2380" s="1">
        <v>3115.87</v>
      </c>
    </row>
    <row r="2381" spans="2:28" x14ac:dyDescent="0.2">
      <c r="B2381" s="30" t="s">
        <v>2294</v>
      </c>
      <c r="C2381" s="36"/>
      <c r="D2381" s="36"/>
      <c r="F2381" s="1" t="s">
        <v>1322</v>
      </c>
      <c r="G2381" s="30" t="s">
        <v>4726</v>
      </c>
      <c r="K2381" s="1" t="s">
        <v>4731</v>
      </c>
      <c r="L2381" s="1" t="s">
        <v>1279</v>
      </c>
      <c r="M2381" s="36" t="s">
        <v>1999</v>
      </c>
      <c r="N2381" s="1" t="s">
        <v>2988</v>
      </c>
      <c r="O2381" s="1" t="s">
        <v>1286</v>
      </c>
      <c r="P2381" s="34" t="str">
        <f t="shared" si="49"/>
        <v>F010</v>
      </c>
      <c r="Q2381" s="1" t="s">
        <v>137</v>
      </c>
      <c r="S2381" s="16">
        <v>20</v>
      </c>
      <c r="T2381" s="1" t="s">
        <v>2427</v>
      </c>
      <c r="U2381" s="1" t="s">
        <v>2544</v>
      </c>
      <c r="V2381" s="1" t="s">
        <v>4107</v>
      </c>
      <c r="Y2381" s="1">
        <v>4217</v>
      </c>
      <c r="AB2381" s="1">
        <v>3115.87</v>
      </c>
    </row>
    <row r="2382" spans="2:28" x14ac:dyDescent="0.2">
      <c r="B2382" s="30" t="s">
        <v>2294</v>
      </c>
      <c r="C2382" s="36"/>
      <c r="D2382" s="36"/>
      <c r="F2382" s="1" t="s">
        <v>1895</v>
      </c>
      <c r="G2382" s="30" t="s">
        <v>4726</v>
      </c>
      <c r="K2382" s="1" t="s">
        <v>4732</v>
      </c>
      <c r="L2382" s="1" t="s">
        <v>1279</v>
      </c>
      <c r="M2382" s="36" t="s">
        <v>1999</v>
      </c>
      <c r="N2382" s="1" t="s">
        <v>2988</v>
      </c>
      <c r="O2382" s="1" t="s">
        <v>1286</v>
      </c>
      <c r="P2382" s="34" t="str">
        <f t="shared" si="49"/>
        <v>F010</v>
      </c>
      <c r="Q2382" s="1" t="s">
        <v>137</v>
      </c>
      <c r="S2382" s="16">
        <v>20</v>
      </c>
      <c r="T2382" s="1" t="s">
        <v>2299</v>
      </c>
      <c r="U2382" s="1" t="s">
        <v>2544</v>
      </c>
      <c r="V2382" s="1" t="s">
        <v>4107</v>
      </c>
      <c r="Y2382" s="1">
        <v>4217</v>
      </c>
      <c r="AB2382" s="1">
        <v>3115.87</v>
      </c>
    </row>
    <row r="2383" spans="2:28" x14ac:dyDescent="0.2">
      <c r="B2383" s="30" t="s">
        <v>2294</v>
      </c>
      <c r="C2383" s="36"/>
      <c r="D2383" s="36"/>
      <c r="F2383" s="1" t="s">
        <v>1322</v>
      </c>
      <c r="G2383" s="30" t="s">
        <v>4726</v>
      </c>
      <c r="K2383" s="1" t="s">
        <v>4733</v>
      </c>
      <c r="L2383" s="1" t="s">
        <v>1279</v>
      </c>
      <c r="M2383" s="36" t="s">
        <v>1999</v>
      </c>
      <c r="N2383" s="1" t="s">
        <v>2400</v>
      </c>
      <c r="O2383" s="1" t="s">
        <v>1286</v>
      </c>
      <c r="P2383" s="34" t="str">
        <f t="shared" si="49"/>
        <v>F010</v>
      </c>
      <c r="Q2383" s="1" t="s">
        <v>137</v>
      </c>
      <c r="S2383" s="16">
        <v>20</v>
      </c>
      <c r="T2383" s="1" t="s">
        <v>2427</v>
      </c>
      <c r="U2383" s="1" t="s">
        <v>2544</v>
      </c>
      <c r="V2383" s="1" t="s">
        <v>4107</v>
      </c>
      <c r="Y2383" s="1">
        <v>4217</v>
      </c>
      <c r="AB2383" s="1">
        <v>3115.87</v>
      </c>
    </row>
    <row r="2384" spans="2:28" x14ac:dyDescent="0.2">
      <c r="B2384" s="30" t="s">
        <v>2294</v>
      </c>
      <c r="C2384" s="36"/>
      <c r="D2384" s="36"/>
      <c r="F2384" s="1" t="s">
        <v>1895</v>
      </c>
      <c r="G2384" s="30" t="s">
        <v>4734</v>
      </c>
      <c r="K2384" s="1" t="s">
        <v>4735</v>
      </c>
      <c r="L2384" s="1" t="s">
        <v>1279</v>
      </c>
      <c r="M2384" s="36" t="s">
        <v>1560</v>
      </c>
      <c r="N2384" s="1" t="s">
        <v>1837</v>
      </c>
      <c r="O2384" s="1" t="s">
        <v>1286</v>
      </c>
      <c r="P2384" s="34" t="str">
        <f t="shared" si="49"/>
        <v>F010</v>
      </c>
      <c r="Q2384" s="1" t="s">
        <v>137</v>
      </c>
      <c r="S2384" s="16">
        <v>20</v>
      </c>
      <c r="T2384" s="1" t="s">
        <v>2427</v>
      </c>
      <c r="U2384" s="1" t="s">
        <v>1476</v>
      </c>
      <c r="V2384" s="1" t="s">
        <v>1569</v>
      </c>
      <c r="Y2384" s="1">
        <v>3108</v>
      </c>
      <c r="AB2384" s="1">
        <v>492.12</v>
      </c>
    </row>
    <row r="2385" spans="2:28" x14ac:dyDescent="0.2">
      <c r="B2385" s="30" t="s">
        <v>2294</v>
      </c>
      <c r="C2385" s="36"/>
      <c r="D2385" s="36"/>
      <c r="F2385" s="1" t="s">
        <v>1895</v>
      </c>
      <c r="G2385" s="30" t="s">
        <v>4734</v>
      </c>
      <c r="K2385" s="1" t="s">
        <v>4736</v>
      </c>
      <c r="L2385" s="1" t="s">
        <v>1279</v>
      </c>
      <c r="M2385" s="36" t="s">
        <v>1560</v>
      </c>
      <c r="N2385" s="1" t="s">
        <v>1837</v>
      </c>
      <c r="O2385" s="1" t="s">
        <v>1286</v>
      </c>
      <c r="P2385" s="34" t="str">
        <f t="shared" si="49"/>
        <v>F010</v>
      </c>
      <c r="Q2385" s="1" t="s">
        <v>137</v>
      </c>
      <c r="S2385" s="16">
        <v>20</v>
      </c>
      <c r="T2385" s="1" t="s">
        <v>2427</v>
      </c>
      <c r="U2385" s="1" t="s">
        <v>1476</v>
      </c>
      <c r="V2385" s="1" t="s">
        <v>1569</v>
      </c>
      <c r="Y2385" s="1">
        <v>3108</v>
      </c>
      <c r="AB2385" s="1">
        <v>492.12</v>
      </c>
    </row>
    <row r="2386" spans="2:28" x14ac:dyDescent="0.2">
      <c r="B2386" s="30" t="s">
        <v>2294</v>
      </c>
      <c r="C2386" s="36"/>
      <c r="D2386" s="36"/>
      <c r="F2386" s="1" t="s">
        <v>1895</v>
      </c>
      <c r="G2386" s="30" t="s">
        <v>4737</v>
      </c>
      <c r="K2386" s="1" t="s">
        <v>4738</v>
      </c>
      <c r="L2386" s="1" t="s">
        <v>1279</v>
      </c>
      <c r="M2386" s="36" t="s">
        <v>2072</v>
      </c>
      <c r="N2386" s="1" t="s">
        <v>3390</v>
      </c>
      <c r="O2386" s="1" t="s">
        <v>1286</v>
      </c>
      <c r="P2386" s="34" t="str">
        <f t="shared" si="49"/>
        <v>F010</v>
      </c>
      <c r="Q2386" s="1" t="s">
        <v>138</v>
      </c>
      <c r="S2386" s="16">
        <v>20</v>
      </c>
      <c r="T2386" s="1" t="s">
        <v>2299</v>
      </c>
      <c r="U2386" s="1" t="s">
        <v>1686</v>
      </c>
      <c r="V2386" s="1" t="s">
        <v>1574</v>
      </c>
      <c r="Y2386" s="1">
        <v>2369.23</v>
      </c>
      <c r="AB2386" s="1">
        <v>805.48</v>
      </c>
    </row>
    <row r="2387" spans="2:28" x14ac:dyDescent="0.2">
      <c r="B2387" s="30" t="s">
        <v>2294</v>
      </c>
      <c r="C2387" s="36"/>
      <c r="D2387" s="36"/>
      <c r="F2387" s="1" t="s">
        <v>1322</v>
      </c>
      <c r="G2387" s="30" t="s">
        <v>4739</v>
      </c>
      <c r="K2387" s="1" t="s">
        <v>4740</v>
      </c>
      <c r="L2387" s="1" t="s">
        <v>1279</v>
      </c>
      <c r="M2387" s="36" t="s">
        <v>2072</v>
      </c>
      <c r="N2387" s="1" t="s">
        <v>3390</v>
      </c>
      <c r="O2387" s="1" t="s">
        <v>1286</v>
      </c>
      <c r="P2387" s="34" t="str">
        <f t="shared" si="49"/>
        <v>F010</v>
      </c>
      <c r="Q2387" s="1" t="s">
        <v>138</v>
      </c>
      <c r="S2387" s="16">
        <v>20</v>
      </c>
      <c r="T2387" s="1" t="s">
        <v>2427</v>
      </c>
      <c r="U2387" s="1" t="s">
        <v>1686</v>
      </c>
      <c r="V2387" s="1" t="s">
        <v>1574</v>
      </c>
      <c r="Y2387" s="1">
        <v>2369.23</v>
      </c>
      <c r="AB2387" s="1">
        <v>805.48</v>
      </c>
    </row>
    <row r="2388" spans="2:28" x14ac:dyDescent="0.2">
      <c r="B2388" s="30" t="s">
        <v>2294</v>
      </c>
      <c r="C2388" s="36"/>
      <c r="D2388" s="36"/>
      <c r="F2388" s="1" t="s">
        <v>1895</v>
      </c>
      <c r="G2388" s="30" t="s">
        <v>4741</v>
      </c>
      <c r="K2388" s="1" t="s">
        <v>4742</v>
      </c>
      <c r="L2388" s="1" t="s">
        <v>1279</v>
      </c>
      <c r="M2388" s="36" t="s">
        <v>1613</v>
      </c>
      <c r="N2388" s="1" t="s">
        <v>3289</v>
      </c>
      <c r="O2388" s="1" t="s">
        <v>1286</v>
      </c>
      <c r="P2388" s="34" t="str">
        <f t="shared" si="49"/>
        <v>F010</v>
      </c>
      <c r="Q2388" s="1" t="s">
        <v>137</v>
      </c>
      <c r="S2388" s="16">
        <v>20</v>
      </c>
      <c r="T2388" s="1" t="s">
        <v>2299</v>
      </c>
      <c r="U2388" s="1" t="s">
        <v>1699</v>
      </c>
      <c r="V2388" s="1" t="s">
        <v>1336</v>
      </c>
      <c r="Y2388" s="1">
        <v>2715</v>
      </c>
      <c r="AB2388" s="1">
        <v>2292.67</v>
      </c>
    </row>
    <row r="2389" spans="2:28" x14ac:dyDescent="0.2">
      <c r="B2389" s="30" t="s">
        <v>2294</v>
      </c>
      <c r="C2389" s="36"/>
      <c r="D2389" s="36"/>
      <c r="F2389" s="1" t="s">
        <v>1322</v>
      </c>
      <c r="G2389" s="30" t="s">
        <v>4743</v>
      </c>
      <c r="K2389" s="1" t="s">
        <v>4744</v>
      </c>
      <c r="L2389" s="1" t="s">
        <v>1279</v>
      </c>
      <c r="M2389" s="36" t="s">
        <v>2014</v>
      </c>
      <c r="N2389" s="1" t="s">
        <v>1577</v>
      </c>
      <c r="O2389" s="1" t="s">
        <v>1286</v>
      </c>
      <c r="P2389" s="34" t="str">
        <f t="shared" si="49"/>
        <v>F010</v>
      </c>
      <c r="Q2389" s="1" t="s">
        <v>138</v>
      </c>
      <c r="S2389" s="16">
        <v>20</v>
      </c>
      <c r="T2389" s="1" t="s">
        <v>2427</v>
      </c>
      <c r="U2389" s="1" t="s">
        <v>1334</v>
      </c>
      <c r="V2389" s="1" t="s">
        <v>1377</v>
      </c>
      <c r="Y2389" s="1">
        <v>2320.5100000000002</v>
      </c>
      <c r="AB2389" s="1">
        <v>1335.18</v>
      </c>
    </row>
    <row r="2390" spans="2:28" x14ac:dyDescent="0.2">
      <c r="B2390" s="30" t="s">
        <v>2294</v>
      </c>
      <c r="C2390" s="36"/>
      <c r="D2390" s="36"/>
      <c r="F2390" s="1" t="s">
        <v>1895</v>
      </c>
      <c r="G2390" s="30" t="s">
        <v>4745</v>
      </c>
      <c r="K2390" s="1" t="s">
        <v>4746</v>
      </c>
      <c r="L2390" s="1" t="s">
        <v>1279</v>
      </c>
      <c r="M2390" s="36" t="s">
        <v>2014</v>
      </c>
      <c r="N2390" s="1" t="s">
        <v>1286</v>
      </c>
      <c r="O2390" s="1" t="s">
        <v>1286</v>
      </c>
      <c r="P2390" s="34" t="str">
        <f t="shared" si="49"/>
        <v>F010</v>
      </c>
      <c r="Q2390" s="1" t="s">
        <v>138</v>
      </c>
      <c r="S2390" s="16">
        <v>20</v>
      </c>
      <c r="T2390" s="1" t="s">
        <v>2299</v>
      </c>
      <c r="U2390" s="1" t="s">
        <v>1334</v>
      </c>
      <c r="V2390" s="1" t="s">
        <v>1377</v>
      </c>
      <c r="Y2390" s="1">
        <v>8703</v>
      </c>
      <c r="AB2390" s="1">
        <v>5052.55</v>
      </c>
    </row>
    <row r="2391" spans="2:28" x14ac:dyDescent="0.2">
      <c r="B2391" s="30" t="s">
        <v>2294</v>
      </c>
      <c r="C2391" s="36"/>
      <c r="D2391" s="36"/>
      <c r="F2391" s="1" t="s">
        <v>1322</v>
      </c>
      <c r="G2391" s="30" t="s">
        <v>4745</v>
      </c>
      <c r="K2391" s="1" t="s">
        <v>4747</v>
      </c>
      <c r="L2391" s="1" t="s">
        <v>1279</v>
      </c>
      <c r="M2391" s="36" t="s">
        <v>2014</v>
      </c>
      <c r="N2391" s="1" t="s">
        <v>1286</v>
      </c>
      <c r="O2391" s="1" t="s">
        <v>1286</v>
      </c>
      <c r="P2391" s="34" t="str">
        <f t="shared" si="49"/>
        <v>F010</v>
      </c>
      <c r="Q2391" s="1" t="s">
        <v>138</v>
      </c>
      <c r="S2391" s="16">
        <v>20</v>
      </c>
      <c r="T2391" s="1" t="s">
        <v>2427</v>
      </c>
      <c r="U2391" s="1" t="s">
        <v>1334</v>
      </c>
      <c r="V2391" s="1" t="s">
        <v>1377</v>
      </c>
      <c r="Y2391" s="1">
        <v>8703</v>
      </c>
      <c r="AB2391" s="1">
        <v>5052.55</v>
      </c>
    </row>
    <row r="2392" spans="2:28" x14ac:dyDescent="0.2">
      <c r="B2392" s="30" t="s">
        <v>2294</v>
      </c>
      <c r="C2392" s="36"/>
      <c r="D2392" s="36"/>
      <c r="F2392" s="1" t="s">
        <v>1895</v>
      </c>
      <c r="G2392" s="30" t="s">
        <v>4745</v>
      </c>
      <c r="K2392" s="1" t="s">
        <v>4748</v>
      </c>
      <c r="L2392" s="1" t="s">
        <v>1279</v>
      </c>
      <c r="M2392" s="36" t="s">
        <v>2014</v>
      </c>
      <c r="N2392" s="1" t="s">
        <v>1577</v>
      </c>
      <c r="O2392" s="1" t="s">
        <v>1286</v>
      </c>
      <c r="P2392" s="34" t="str">
        <f t="shared" si="49"/>
        <v>F010</v>
      </c>
      <c r="Q2392" s="1" t="s">
        <v>138</v>
      </c>
      <c r="S2392" s="16">
        <v>20</v>
      </c>
      <c r="T2392" s="1" t="s">
        <v>2299</v>
      </c>
      <c r="U2392" s="1" t="s">
        <v>1334</v>
      </c>
      <c r="V2392" s="1" t="s">
        <v>1377</v>
      </c>
      <c r="Y2392" s="1">
        <v>7764</v>
      </c>
      <c r="AB2392" s="1">
        <v>4507.42</v>
      </c>
    </row>
    <row r="2393" spans="2:28" x14ac:dyDescent="0.2">
      <c r="B2393" s="30" t="s">
        <v>2294</v>
      </c>
      <c r="C2393" s="36"/>
      <c r="D2393" s="36"/>
      <c r="F2393" s="1" t="s">
        <v>1322</v>
      </c>
      <c r="G2393" s="30" t="s">
        <v>4749</v>
      </c>
      <c r="K2393" s="1" t="s">
        <v>4750</v>
      </c>
      <c r="L2393" s="1" t="s">
        <v>1279</v>
      </c>
      <c r="M2393" s="36" t="s">
        <v>1480</v>
      </c>
      <c r="N2393" s="1" t="s">
        <v>1286</v>
      </c>
      <c r="O2393" s="1" t="s">
        <v>1286</v>
      </c>
      <c r="P2393" s="34" t="str">
        <f t="shared" si="49"/>
        <v>F010</v>
      </c>
      <c r="Q2393" s="1" t="s">
        <v>138</v>
      </c>
      <c r="S2393" s="16">
        <v>20</v>
      </c>
      <c r="T2393" s="1" t="s">
        <v>2427</v>
      </c>
      <c r="U2393" s="1" t="s">
        <v>1503</v>
      </c>
      <c r="V2393" s="1" t="s">
        <v>2095</v>
      </c>
      <c r="Y2393" s="1">
        <v>7857</v>
      </c>
      <c r="AB2393" s="1">
        <v>3110.1</v>
      </c>
    </row>
    <row r="2394" spans="2:28" x14ac:dyDescent="0.2">
      <c r="B2394" s="30" t="s">
        <v>2294</v>
      </c>
      <c r="C2394" s="36"/>
      <c r="D2394" s="36"/>
      <c r="F2394" s="1" t="s">
        <v>1895</v>
      </c>
      <c r="G2394" s="30" t="s">
        <v>4751</v>
      </c>
      <c r="K2394" s="1" t="s">
        <v>4752</v>
      </c>
      <c r="L2394" s="1" t="s">
        <v>1279</v>
      </c>
      <c r="M2394" s="36" t="s">
        <v>1990</v>
      </c>
      <c r="N2394" s="1" t="s">
        <v>2960</v>
      </c>
      <c r="O2394" s="1" t="s">
        <v>1286</v>
      </c>
      <c r="P2394" s="34" t="str">
        <f t="shared" si="49"/>
        <v>F010</v>
      </c>
      <c r="Q2394" s="1" t="s">
        <v>127</v>
      </c>
      <c r="S2394" s="16">
        <v>20</v>
      </c>
      <c r="T2394" s="1" t="s">
        <v>2427</v>
      </c>
      <c r="U2394" s="1" t="s">
        <v>2368</v>
      </c>
      <c r="V2394" s="1" t="s">
        <v>2369</v>
      </c>
      <c r="Y2394" s="1">
        <v>9877</v>
      </c>
      <c r="AB2394" s="1">
        <v>521.28</v>
      </c>
    </row>
    <row r="2395" spans="2:28" x14ac:dyDescent="0.2">
      <c r="B2395" s="30" t="s">
        <v>2294</v>
      </c>
      <c r="C2395" s="36"/>
      <c r="D2395" s="36"/>
      <c r="F2395" s="1" t="s">
        <v>1895</v>
      </c>
      <c r="G2395" s="30" t="s">
        <v>4753</v>
      </c>
      <c r="K2395" s="1" t="s">
        <v>4754</v>
      </c>
      <c r="L2395" s="1" t="s">
        <v>1279</v>
      </c>
      <c r="M2395" s="36" t="s">
        <v>1330</v>
      </c>
      <c r="N2395" s="1" t="s">
        <v>1577</v>
      </c>
      <c r="O2395" s="1" t="s">
        <v>1286</v>
      </c>
      <c r="P2395" s="34" t="str">
        <f t="shared" si="49"/>
        <v>F010</v>
      </c>
      <c r="Q2395" s="1" t="s">
        <v>137</v>
      </c>
      <c r="S2395" s="16">
        <v>20</v>
      </c>
      <c r="T2395" s="1" t="s">
        <v>2299</v>
      </c>
      <c r="U2395" s="1" t="s">
        <v>1426</v>
      </c>
      <c r="V2395" s="1" t="s">
        <v>1766</v>
      </c>
      <c r="Y2395" s="1">
        <v>4903</v>
      </c>
      <c r="AB2395" s="1">
        <v>517.54999999999995</v>
      </c>
    </row>
    <row r="2396" spans="2:28" x14ac:dyDescent="0.2">
      <c r="B2396" s="30" t="s">
        <v>2294</v>
      </c>
      <c r="C2396" s="36"/>
      <c r="D2396" s="36"/>
      <c r="F2396" s="1" t="s">
        <v>1322</v>
      </c>
      <c r="G2396" s="30" t="s">
        <v>4755</v>
      </c>
      <c r="K2396" s="1" t="s">
        <v>4756</v>
      </c>
      <c r="L2396" s="1" t="s">
        <v>1279</v>
      </c>
      <c r="M2396" s="36" t="s">
        <v>1990</v>
      </c>
      <c r="N2396" s="1" t="s">
        <v>1286</v>
      </c>
      <c r="O2396" s="1" t="s">
        <v>1286</v>
      </c>
      <c r="P2396" s="34" t="str">
        <f t="shared" si="49"/>
        <v>F010</v>
      </c>
      <c r="Q2396" s="1" t="s">
        <v>138</v>
      </c>
      <c r="S2396" s="16">
        <v>20</v>
      </c>
      <c r="T2396" s="1" t="s">
        <v>2427</v>
      </c>
      <c r="U2396" s="1" t="s">
        <v>2368</v>
      </c>
      <c r="V2396" s="1" t="s">
        <v>2369</v>
      </c>
      <c r="Y2396" s="1">
        <v>7077</v>
      </c>
      <c r="AB2396" s="1">
        <v>373.5</v>
      </c>
    </row>
    <row r="2397" spans="2:28" x14ac:dyDescent="0.2">
      <c r="B2397" s="30" t="s">
        <v>2294</v>
      </c>
      <c r="C2397" s="36"/>
      <c r="D2397" s="36"/>
      <c r="F2397" s="1" t="s">
        <v>1895</v>
      </c>
      <c r="G2397" s="30" t="s">
        <v>4755</v>
      </c>
      <c r="K2397" s="1" t="s">
        <v>4757</v>
      </c>
      <c r="L2397" s="1" t="s">
        <v>1279</v>
      </c>
      <c r="M2397" s="36" t="s">
        <v>1990</v>
      </c>
      <c r="N2397" s="1" t="s">
        <v>1284</v>
      </c>
      <c r="O2397" s="1" t="s">
        <v>1286</v>
      </c>
      <c r="P2397" s="34" t="str">
        <f t="shared" si="49"/>
        <v>F010</v>
      </c>
      <c r="Q2397" s="1" t="s">
        <v>127</v>
      </c>
      <c r="S2397" s="16">
        <v>20</v>
      </c>
      <c r="T2397" s="1" t="s">
        <v>2299</v>
      </c>
      <c r="U2397" s="1" t="s">
        <v>2368</v>
      </c>
      <c r="V2397" s="1" t="s">
        <v>2369</v>
      </c>
      <c r="Y2397" s="1">
        <v>9153</v>
      </c>
      <c r="AB2397" s="1">
        <v>483.08</v>
      </c>
    </row>
    <row r="2398" spans="2:28" x14ac:dyDescent="0.2">
      <c r="B2398" s="30" t="s">
        <v>2294</v>
      </c>
      <c r="C2398" s="36"/>
      <c r="D2398" s="36"/>
      <c r="F2398" s="1" t="s">
        <v>1322</v>
      </c>
      <c r="G2398" s="30" t="s">
        <v>4758</v>
      </c>
      <c r="K2398" s="1" t="s">
        <v>4759</v>
      </c>
      <c r="L2398" s="1" t="s">
        <v>1279</v>
      </c>
      <c r="M2398" s="36" t="s">
        <v>1330</v>
      </c>
      <c r="N2398" s="1" t="s">
        <v>4760</v>
      </c>
      <c r="O2398" s="1" t="s">
        <v>1286</v>
      </c>
      <c r="P2398" s="34" t="str">
        <f t="shared" si="49"/>
        <v>F010</v>
      </c>
      <c r="Q2398" s="1" t="s">
        <v>127</v>
      </c>
      <c r="S2398" s="16">
        <v>20</v>
      </c>
      <c r="T2398" s="1" t="s">
        <v>2427</v>
      </c>
      <c r="U2398" s="1" t="s">
        <v>1426</v>
      </c>
      <c r="V2398" s="1" t="s">
        <v>1766</v>
      </c>
      <c r="Y2398" s="1">
        <v>3297</v>
      </c>
      <c r="AB2398" s="1">
        <v>348.01</v>
      </c>
    </row>
    <row r="2399" spans="2:28" x14ac:dyDescent="0.2">
      <c r="B2399" s="30" t="s">
        <v>2294</v>
      </c>
      <c r="C2399" s="36"/>
      <c r="D2399" s="36"/>
      <c r="F2399" s="1" t="s">
        <v>1895</v>
      </c>
      <c r="G2399" s="30" t="s">
        <v>4758</v>
      </c>
      <c r="K2399" s="1" t="s">
        <v>4761</v>
      </c>
      <c r="L2399" s="1" t="s">
        <v>1279</v>
      </c>
      <c r="M2399" s="36" t="s">
        <v>1330</v>
      </c>
      <c r="N2399" s="1" t="s">
        <v>4760</v>
      </c>
      <c r="O2399" s="1" t="s">
        <v>1286</v>
      </c>
      <c r="P2399" s="34" t="str">
        <f t="shared" si="49"/>
        <v>F010</v>
      </c>
      <c r="Q2399" s="1" t="s">
        <v>127</v>
      </c>
      <c r="S2399" s="16">
        <v>20</v>
      </c>
      <c r="T2399" s="1" t="s">
        <v>2299</v>
      </c>
      <c r="U2399" s="1" t="s">
        <v>1426</v>
      </c>
      <c r="V2399" s="1" t="s">
        <v>1766</v>
      </c>
      <c r="Y2399" s="1">
        <v>3297</v>
      </c>
      <c r="AB2399" s="1">
        <v>348.01</v>
      </c>
    </row>
    <row r="2400" spans="2:28" x14ac:dyDescent="0.2">
      <c r="B2400" s="30" t="s">
        <v>2294</v>
      </c>
      <c r="C2400" s="36"/>
      <c r="D2400" s="36"/>
      <c r="F2400" s="1" t="s">
        <v>1322</v>
      </c>
      <c r="G2400" s="30" t="s">
        <v>4762</v>
      </c>
      <c r="K2400" s="1" t="s">
        <v>4763</v>
      </c>
      <c r="L2400" s="1" t="s">
        <v>1279</v>
      </c>
      <c r="M2400" s="36" t="s">
        <v>2006</v>
      </c>
      <c r="N2400" s="1" t="s">
        <v>1573</v>
      </c>
      <c r="O2400" s="1" t="s">
        <v>1286</v>
      </c>
      <c r="P2400" s="34" t="str">
        <f t="shared" si="49"/>
        <v>F010</v>
      </c>
      <c r="Q2400" s="1" t="s">
        <v>127</v>
      </c>
      <c r="S2400" s="16">
        <v>20</v>
      </c>
      <c r="T2400" s="1" t="s">
        <v>2427</v>
      </c>
      <c r="U2400" s="1" t="s">
        <v>1857</v>
      </c>
      <c r="V2400" s="1" t="s">
        <v>2198</v>
      </c>
      <c r="Y2400" s="1">
        <v>3960.68</v>
      </c>
      <c r="AB2400" s="1">
        <v>1139.3800000000001</v>
      </c>
    </row>
    <row r="2401" spans="2:28" x14ac:dyDescent="0.2">
      <c r="B2401" s="30" t="s">
        <v>2294</v>
      </c>
      <c r="C2401" s="36"/>
      <c r="D2401" s="36"/>
      <c r="F2401" s="1" t="s">
        <v>1895</v>
      </c>
      <c r="G2401" s="30" t="s">
        <v>4762</v>
      </c>
      <c r="K2401" s="1" t="s">
        <v>4764</v>
      </c>
      <c r="L2401" s="1" t="s">
        <v>1279</v>
      </c>
      <c r="M2401" s="36" t="s">
        <v>2006</v>
      </c>
      <c r="N2401" s="1" t="s">
        <v>1788</v>
      </c>
      <c r="O2401" s="1" t="s">
        <v>1286</v>
      </c>
      <c r="P2401" s="34" t="str">
        <f t="shared" si="49"/>
        <v>F010</v>
      </c>
      <c r="Q2401" s="1" t="s">
        <v>127</v>
      </c>
      <c r="S2401" s="16">
        <v>20</v>
      </c>
      <c r="T2401" s="1" t="s">
        <v>2427</v>
      </c>
      <c r="U2401" s="1" t="s">
        <v>1857</v>
      </c>
      <c r="V2401" s="1" t="s">
        <v>2198</v>
      </c>
      <c r="Y2401" s="1">
        <v>3960.69</v>
      </c>
      <c r="AB2401" s="1">
        <v>1139.3800000000001</v>
      </c>
    </row>
    <row r="2402" spans="2:28" x14ac:dyDescent="0.2">
      <c r="B2402" s="30" t="s">
        <v>2294</v>
      </c>
      <c r="C2402" s="36"/>
      <c r="D2402" s="36"/>
      <c r="F2402" s="1" t="s">
        <v>1895</v>
      </c>
      <c r="G2402" s="30" t="s">
        <v>4762</v>
      </c>
      <c r="K2402" s="1" t="s">
        <v>4765</v>
      </c>
      <c r="L2402" s="1" t="s">
        <v>1279</v>
      </c>
      <c r="M2402" s="36" t="s">
        <v>1330</v>
      </c>
      <c r="N2402" s="1" t="s">
        <v>1577</v>
      </c>
      <c r="O2402" s="1" t="s">
        <v>1286</v>
      </c>
      <c r="P2402" s="34" t="str">
        <f t="shared" si="49"/>
        <v>F010</v>
      </c>
      <c r="Q2402" s="1" t="s">
        <v>137</v>
      </c>
      <c r="S2402" s="16">
        <v>20</v>
      </c>
      <c r="T2402" s="1" t="s">
        <v>2299</v>
      </c>
      <c r="U2402" s="1" t="s">
        <v>1426</v>
      </c>
      <c r="V2402" s="1" t="s">
        <v>1766</v>
      </c>
      <c r="Y2402" s="1">
        <v>4336</v>
      </c>
      <c r="AB2402" s="1">
        <v>457.68</v>
      </c>
    </row>
    <row r="2403" spans="2:28" x14ac:dyDescent="0.2">
      <c r="B2403" s="30" t="s">
        <v>2294</v>
      </c>
      <c r="C2403" s="36"/>
      <c r="D2403" s="36"/>
      <c r="F2403" s="1" t="s">
        <v>1322</v>
      </c>
      <c r="G2403" s="30" t="s">
        <v>4766</v>
      </c>
      <c r="K2403" s="1" t="s">
        <v>4767</v>
      </c>
      <c r="L2403" s="1" t="s">
        <v>1279</v>
      </c>
      <c r="M2403" s="36" t="s">
        <v>1840</v>
      </c>
      <c r="N2403" s="1" t="s">
        <v>4768</v>
      </c>
      <c r="O2403" s="1" t="s">
        <v>1286</v>
      </c>
      <c r="P2403" s="34" t="str">
        <f t="shared" si="49"/>
        <v>F010</v>
      </c>
      <c r="Q2403" s="1" t="s">
        <v>127</v>
      </c>
      <c r="S2403" s="16">
        <v>20</v>
      </c>
      <c r="T2403" s="1" t="s">
        <v>2427</v>
      </c>
      <c r="U2403" s="1" t="s">
        <v>1430</v>
      </c>
      <c r="V2403" s="1" t="s">
        <v>1431</v>
      </c>
      <c r="Y2403" s="1">
        <v>3580</v>
      </c>
      <c r="AB2403" s="1">
        <v>850.23</v>
      </c>
    </row>
    <row r="2404" spans="2:28" x14ac:dyDescent="0.2">
      <c r="B2404" s="30" t="s">
        <v>2294</v>
      </c>
      <c r="C2404" s="36"/>
      <c r="D2404" s="36"/>
      <c r="F2404" s="1" t="s">
        <v>1895</v>
      </c>
      <c r="G2404" s="30" t="s">
        <v>4769</v>
      </c>
      <c r="K2404" s="1" t="s">
        <v>4770</v>
      </c>
      <c r="L2404" s="1" t="s">
        <v>1279</v>
      </c>
      <c r="M2404" s="36" t="s">
        <v>1330</v>
      </c>
      <c r="N2404" s="1" t="s">
        <v>1577</v>
      </c>
      <c r="O2404" s="1" t="s">
        <v>1286</v>
      </c>
      <c r="P2404" s="34" t="str">
        <f t="shared" si="49"/>
        <v>F010</v>
      </c>
      <c r="Q2404" s="1" t="s">
        <v>137</v>
      </c>
      <c r="S2404" s="16">
        <v>20</v>
      </c>
      <c r="T2404" s="1" t="s">
        <v>2299</v>
      </c>
      <c r="U2404" s="1" t="s">
        <v>1426</v>
      </c>
      <c r="V2404" s="1" t="s">
        <v>1766</v>
      </c>
      <c r="Y2404" s="1">
        <v>2541</v>
      </c>
      <c r="AB2404" s="1">
        <v>268.20999999999998</v>
      </c>
    </row>
    <row r="2405" spans="2:28" x14ac:dyDescent="0.2">
      <c r="B2405" s="30" t="s">
        <v>2294</v>
      </c>
      <c r="C2405" s="36"/>
      <c r="D2405" s="36"/>
      <c r="F2405" s="1" t="s">
        <v>1322</v>
      </c>
      <c r="G2405" s="30" t="s">
        <v>4771</v>
      </c>
      <c r="K2405" s="1" t="s">
        <v>4772</v>
      </c>
      <c r="L2405" s="1" t="s">
        <v>1279</v>
      </c>
      <c r="M2405" s="36" t="s">
        <v>2014</v>
      </c>
      <c r="N2405" s="1" t="s">
        <v>1286</v>
      </c>
      <c r="O2405" s="1" t="s">
        <v>1286</v>
      </c>
      <c r="P2405" s="34" t="str">
        <f t="shared" si="49"/>
        <v>F010</v>
      </c>
      <c r="Q2405" s="1" t="s">
        <v>138</v>
      </c>
      <c r="S2405" s="16">
        <v>20</v>
      </c>
      <c r="T2405" s="1" t="s">
        <v>2427</v>
      </c>
      <c r="U2405" s="1" t="s">
        <v>1334</v>
      </c>
      <c r="V2405" s="1" t="s">
        <v>1377</v>
      </c>
      <c r="Y2405" s="1">
        <v>4219</v>
      </c>
      <c r="AB2405" s="1">
        <v>2449.37</v>
      </c>
    </row>
    <row r="2406" spans="2:28" x14ac:dyDescent="0.2">
      <c r="B2406" s="30" t="s">
        <v>2294</v>
      </c>
      <c r="C2406" s="36"/>
      <c r="D2406" s="36"/>
      <c r="F2406" s="1" t="s">
        <v>1895</v>
      </c>
      <c r="G2406" s="30" t="s">
        <v>4771</v>
      </c>
      <c r="K2406" s="1" t="s">
        <v>4773</v>
      </c>
      <c r="L2406" s="1" t="s">
        <v>1279</v>
      </c>
      <c r="M2406" s="36" t="s">
        <v>2014</v>
      </c>
      <c r="N2406" s="1" t="s">
        <v>1286</v>
      </c>
      <c r="O2406" s="1" t="s">
        <v>1286</v>
      </c>
      <c r="P2406" s="34" t="str">
        <f t="shared" si="49"/>
        <v>F010</v>
      </c>
      <c r="Q2406" s="1" t="s">
        <v>138</v>
      </c>
      <c r="S2406" s="16">
        <v>20</v>
      </c>
      <c r="T2406" s="1" t="s">
        <v>2427</v>
      </c>
      <c r="U2406" s="1" t="s">
        <v>1334</v>
      </c>
      <c r="V2406" s="1" t="s">
        <v>1377</v>
      </c>
      <c r="Y2406" s="1">
        <v>4219</v>
      </c>
      <c r="AB2406" s="1">
        <v>2449.37</v>
      </c>
    </row>
    <row r="2407" spans="2:28" x14ac:dyDescent="0.2">
      <c r="B2407" s="30" t="s">
        <v>2294</v>
      </c>
      <c r="C2407" s="36"/>
      <c r="D2407" s="36"/>
      <c r="F2407" s="1" t="s">
        <v>1895</v>
      </c>
      <c r="G2407" s="30" t="s">
        <v>4774</v>
      </c>
      <c r="K2407" s="1" t="s">
        <v>4775</v>
      </c>
      <c r="L2407" s="1" t="s">
        <v>1279</v>
      </c>
      <c r="M2407" s="36" t="s">
        <v>2014</v>
      </c>
      <c r="N2407" s="1" t="s">
        <v>1806</v>
      </c>
      <c r="O2407" s="1" t="s">
        <v>1286</v>
      </c>
      <c r="P2407" s="34" t="str">
        <f t="shared" si="49"/>
        <v>F010</v>
      </c>
      <c r="Q2407" s="1" t="s">
        <v>127</v>
      </c>
      <c r="S2407" s="16">
        <v>20</v>
      </c>
      <c r="T2407" s="1" t="s">
        <v>2427</v>
      </c>
      <c r="U2407" s="1" t="s">
        <v>1334</v>
      </c>
      <c r="V2407" s="1" t="s">
        <v>1377</v>
      </c>
      <c r="Y2407" s="1">
        <v>4168.38</v>
      </c>
      <c r="AB2407" s="1">
        <v>2398.33</v>
      </c>
    </row>
    <row r="2408" spans="2:28" x14ac:dyDescent="0.2">
      <c r="B2408" s="30" t="s">
        <v>2294</v>
      </c>
      <c r="C2408" s="36"/>
      <c r="D2408" s="36"/>
      <c r="F2408" s="1" t="s">
        <v>1895</v>
      </c>
      <c r="G2408" s="30" t="s">
        <v>4774</v>
      </c>
      <c r="K2408" s="1" t="s">
        <v>4776</v>
      </c>
      <c r="L2408" s="1" t="s">
        <v>1279</v>
      </c>
      <c r="M2408" s="36" t="s">
        <v>2014</v>
      </c>
      <c r="N2408" s="1" t="s">
        <v>1806</v>
      </c>
      <c r="O2408" s="1" t="s">
        <v>1286</v>
      </c>
      <c r="P2408" s="34" t="str">
        <f t="shared" si="49"/>
        <v>F010</v>
      </c>
      <c r="Q2408" s="1" t="s">
        <v>127</v>
      </c>
      <c r="S2408" s="16">
        <v>20</v>
      </c>
      <c r="T2408" s="1" t="s">
        <v>2427</v>
      </c>
      <c r="U2408" s="1" t="s">
        <v>1334</v>
      </c>
      <c r="V2408" s="1" t="s">
        <v>1377</v>
      </c>
      <c r="Y2408" s="1">
        <v>4168.38</v>
      </c>
      <c r="AB2408" s="1">
        <v>2398.33</v>
      </c>
    </row>
    <row r="2409" spans="2:28" x14ac:dyDescent="0.2">
      <c r="B2409" s="30" t="s">
        <v>2294</v>
      </c>
      <c r="C2409" s="36"/>
      <c r="D2409" s="36"/>
      <c r="F2409" s="1" t="s">
        <v>1895</v>
      </c>
      <c r="G2409" s="30" t="s">
        <v>4777</v>
      </c>
      <c r="K2409" s="1" t="s">
        <v>4778</v>
      </c>
      <c r="L2409" s="1" t="s">
        <v>1279</v>
      </c>
      <c r="M2409" s="36" t="s">
        <v>1840</v>
      </c>
      <c r="N2409" s="1" t="s">
        <v>4768</v>
      </c>
      <c r="O2409" s="1" t="s">
        <v>1286</v>
      </c>
      <c r="P2409" s="34" t="str">
        <f t="shared" si="49"/>
        <v>F010</v>
      </c>
      <c r="Q2409" s="1" t="s">
        <v>127</v>
      </c>
      <c r="S2409" s="16">
        <v>20</v>
      </c>
      <c r="T2409" s="1" t="s">
        <v>2299</v>
      </c>
      <c r="U2409" s="1" t="s">
        <v>1430</v>
      </c>
      <c r="V2409" s="1" t="s">
        <v>1431</v>
      </c>
      <c r="Y2409" s="1">
        <v>3108</v>
      </c>
      <c r="AB2409" s="1">
        <v>738.18</v>
      </c>
    </row>
    <row r="2410" spans="2:28" x14ac:dyDescent="0.2">
      <c r="B2410" s="30" t="s">
        <v>2294</v>
      </c>
      <c r="C2410" s="36"/>
      <c r="D2410" s="36"/>
      <c r="F2410" s="1" t="s">
        <v>1322</v>
      </c>
      <c r="G2410" s="30" t="s">
        <v>4779</v>
      </c>
      <c r="K2410" s="1" t="s">
        <v>4780</v>
      </c>
      <c r="L2410" s="1" t="s">
        <v>1279</v>
      </c>
      <c r="M2410" s="36" t="s">
        <v>1468</v>
      </c>
      <c r="N2410" s="1" t="s">
        <v>1754</v>
      </c>
      <c r="O2410" s="1" t="s">
        <v>1286</v>
      </c>
      <c r="P2410" s="34" t="str">
        <f t="shared" si="49"/>
        <v>F010</v>
      </c>
      <c r="Q2410" s="1" t="s">
        <v>127</v>
      </c>
      <c r="S2410" s="16">
        <v>20</v>
      </c>
      <c r="T2410" s="1" t="s">
        <v>2427</v>
      </c>
      <c r="U2410" s="1" t="s">
        <v>1463</v>
      </c>
      <c r="V2410" s="1" t="s">
        <v>1465</v>
      </c>
      <c r="Y2410" s="1">
        <v>2715</v>
      </c>
      <c r="AB2410" s="1">
        <v>1218.01</v>
      </c>
    </row>
    <row r="2411" spans="2:28" x14ac:dyDescent="0.2">
      <c r="B2411" s="30" t="s">
        <v>2294</v>
      </c>
      <c r="C2411" s="36"/>
      <c r="D2411" s="36"/>
      <c r="F2411" s="1" t="s">
        <v>1895</v>
      </c>
      <c r="G2411" s="30" t="s">
        <v>4779</v>
      </c>
      <c r="K2411" s="1" t="s">
        <v>4781</v>
      </c>
      <c r="L2411" s="1" t="s">
        <v>1279</v>
      </c>
      <c r="M2411" s="36" t="s">
        <v>1468</v>
      </c>
      <c r="N2411" s="1" t="s">
        <v>1754</v>
      </c>
      <c r="O2411" s="1" t="s">
        <v>1286</v>
      </c>
      <c r="P2411" s="34" t="str">
        <f t="shared" si="49"/>
        <v>F010</v>
      </c>
      <c r="Q2411" s="1" t="s">
        <v>127</v>
      </c>
      <c r="S2411" s="16">
        <v>20</v>
      </c>
      <c r="T2411" s="1" t="s">
        <v>2299</v>
      </c>
      <c r="U2411" s="1" t="s">
        <v>1463</v>
      </c>
      <c r="V2411" s="1" t="s">
        <v>1465</v>
      </c>
      <c r="Y2411" s="1">
        <v>2715</v>
      </c>
      <c r="AB2411" s="1">
        <v>1218.01</v>
      </c>
    </row>
    <row r="2412" spans="2:28" x14ac:dyDescent="0.2">
      <c r="B2412" s="30" t="s">
        <v>2294</v>
      </c>
      <c r="C2412" s="36"/>
      <c r="D2412" s="36"/>
      <c r="F2412" s="1" t="s">
        <v>1322</v>
      </c>
      <c r="G2412" s="30" t="s">
        <v>4779</v>
      </c>
      <c r="K2412" s="1" t="s">
        <v>4782</v>
      </c>
      <c r="L2412" s="1" t="s">
        <v>1279</v>
      </c>
      <c r="M2412" s="36" t="s">
        <v>1468</v>
      </c>
      <c r="N2412" s="1" t="s">
        <v>1754</v>
      </c>
      <c r="O2412" s="1" t="s">
        <v>1286</v>
      </c>
      <c r="P2412" s="34" t="str">
        <f t="shared" si="49"/>
        <v>F010</v>
      </c>
      <c r="Q2412" s="1" t="s">
        <v>127</v>
      </c>
      <c r="S2412" s="16">
        <v>20</v>
      </c>
      <c r="T2412" s="1" t="s">
        <v>2427</v>
      </c>
      <c r="U2412" s="1" t="s">
        <v>1463</v>
      </c>
      <c r="V2412" s="1" t="s">
        <v>1465</v>
      </c>
      <c r="Y2412" s="1">
        <v>2715</v>
      </c>
      <c r="AB2412" s="1">
        <v>1218.01</v>
      </c>
    </row>
    <row r="2413" spans="2:28" x14ac:dyDescent="0.2">
      <c r="B2413" s="30" t="s">
        <v>2294</v>
      </c>
      <c r="C2413" s="36"/>
      <c r="D2413" s="36"/>
      <c r="F2413" s="1" t="s">
        <v>1895</v>
      </c>
      <c r="G2413" s="30" t="s">
        <v>4779</v>
      </c>
      <c r="K2413" s="1" t="s">
        <v>4783</v>
      </c>
      <c r="L2413" s="1" t="s">
        <v>1279</v>
      </c>
      <c r="M2413" s="36" t="s">
        <v>1468</v>
      </c>
      <c r="N2413" s="1" t="s">
        <v>1754</v>
      </c>
      <c r="O2413" s="1" t="s">
        <v>1286</v>
      </c>
      <c r="P2413" s="34" t="str">
        <f t="shared" si="49"/>
        <v>F010</v>
      </c>
      <c r="Q2413" s="1" t="s">
        <v>127</v>
      </c>
      <c r="S2413" s="16">
        <v>20</v>
      </c>
      <c r="T2413" s="1" t="s">
        <v>2427</v>
      </c>
      <c r="U2413" s="1" t="s">
        <v>1463</v>
      </c>
      <c r="V2413" s="1" t="s">
        <v>1465</v>
      </c>
      <c r="Y2413" s="1">
        <v>2715</v>
      </c>
      <c r="AB2413" s="1">
        <v>1218.01</v>
      </c>
    </row>
    <row r="2414" spans="2:28" x14ac:dyDescent="0.2">
      <c r="B2414" s="30" t="s">
        <v>2294</v>
      </c>
      <c r="C2414" s="36"/>
      <c r="D2414" s="36"/>
      <c r="F2414" s="1" t="s">
        <v>1895</v>
      </c>
      <c r="G2414" s="30" t="s">
        <v>4779</v>
      </c>
      <c r="K2414" s="1" t="s">
        <v>4784</v>
      </c>
      <c r="L2414" s="1" t="s">
        <v>1279</v>
      </c>
      <c r="M2414" s="36" t="s">
        <v>1468</v>
      </c>
      <c r="N2414" s="1" t="s">
        <v>1754</v>
      </c>
      <c r="O2414" s="1" t="s">
        <v>1286</v>
      </c>
      <c r="P2414" s="34" t="str">
        <f t="shared" ref="P2414:P2477" si="50">+LEFT(Q2414,4)</f>
        <v>F010</v>
      </c>
      <c r="Q2414" s="1" t="s">
        <v>127</v>
      </c>
      <c r="S2414" s="16">
        <v>20</v>
      </c>
      <c r="T2414" s="1" t="s">
        <v>2427</v>
      </c>
      <c r="U2414" s="1" t="s">
        <v>1463</v>
      </c>
      <c r="V2414" s="1" t="s">
        <v>1465</v>
      </c>
      <c r="Y2414" s="1">
        <v>2715</v>
      </c>
      <c r="AB2414" s="1">
        <v>1218.01</v>
      </c>
    </row>
    <row r="2415" spans="2:28" x14ac:dyDescent="0.2">
      <c r="B2415" s="30" t="s">
        <v>2294</v>
      </c>
      <c r="C2415" s="36"/>
      <c r="D2415" s="36"/>
      <c r="F2415" s="1" t="s">
        <v>1895</v>
      </c>
      <c r="G2415" s="30" t="s">
        <v>4779</v>
      </c>
      <c r="K2415" s="1" t="s">
        <v>4785</v>
      </c>
      <c r="L2415" s="1" t="s">
        <v>1279</v>
      </c>
      <c r="M2415" s="36" t="s">
        <v>1468</v>
      </c>
      <c r="N2415" s="1" t="s">
        <v>1754</v>
      </c>
      <c r="O2415" s="1" t="s">
        <v>1286</v>
      </c>
      <c r="P2415" s="34" t="str">
        <f t="shared" si="50"/>
        <v>F010</v>
      </c>
      <c r="Q2415" s="1" t="s">
        <v>127</v>
      </c>
      <c r="S2415" s="16">
        <v>20</v>
      </c>
      <c r="T2415" s="1" t="s">
        <v>2427</v>
      </c>
      <c r="U2415" s="1" t="s">
        <v>1463</v>
      </c>
      <c r="V2415" s="1" t="s">
        <v>1465</v>
      </c>
      <c r="Y2415" s="1">
        <v>2715</v>
      </c>
      <c r="AB2415" s="1">
        <v>1218.01</v>
      </c>
    </row>
    <row r="2416" spans="2:28" x14ac:dyDescent="0.2">
      <c r="B2416" s="30" t="s">
        <v>2294</v>
      </c>
      <c r="C2416" s="36"/>
      <c r="D2416" s="36"/>
      <c r="F2416" s="1" t="s">
        <v>1895</v>
      </c>
      <c r="G2416" s="30" t="s">
        <v>4779</v>
      </c>
      <c r="K2416" s="1" t="s">
        <v>4786</v>
      </c>
      <c r="L2416" s="1" t="s">
        <v>1279</v>
      </c>
      <c r="M2416" s="36" t="s">
        <v>1468</v>
      </c>
      <c r="N2416" s="1" t="s">
        <v>1754</v>
      </c>
      <c r="O2416" s="1" t="s">
        <v>1286</v>
      </c>
      <c r="P2416" s="34" t="str">
        <f t="shared" si="50"/>
        <v>F010</v>
      </c>
      <c r="Q2416" s="1" t="s">
        <v>127</v>
      </c>
      <c r="S2416" s="16">
        <v>20</v>
      </c>
      <c r="T2416" s="1" t="s">
        <v>2427</v>
      </c>
      <c r="U2416" s="1" t="s">
        <v>1463</v>
      </c>
      <c r="V2416" s="1" t="s">
        <v>1465</v>
      </c>
      <c r="Y2416" s="1">
        <v>2715</v>
      </c>
      <c r="AB2416" s="1">
        <v>1218.01</v>
      </c>
    </row>
    <row r="2417" spans="2:28" x14ac:dyDescent="0.2">
      <c r="B2417" s="30" t="s">
        <v>2294</v>
      </c>
      <c r="C2417" s="36"/>
      <c r="D2417" s="36"/>
      <c r="F2417" s="1" t="s">
        <v>1895</v>
      </c>
      <c r="G2417" s="30" t="s">
        <v>4779</v>
      </c>
      <c r="K2417" s="1" t="s">
        <v>4787</v>
      </c>
      <c r="L2417" s="1" t="s">
        <v>1279</v>
      </c>
      <c r="M2417" s="36" t="s">
        <v>1468</v>
      </c>
      <c r="N2417" s="1" t="s">
        <v>1754</v>
      </c>
      <c r="O2417" s="1" t="s">
        <v>1286</v>
      </c>
      <c r="P2417" s="34" t="str">
        <f t="shared" si="50"/>
        <v>F010</v>
      </c>
      <c r="Q2417" s="1" t="s">
        <v>127</v>
      </c>
      <c r="S2417" s="16">
        <v>20</v>
      </c>
      <c r="T2417" s="1" t="s">
        <v>2299</v>
      </c>
      <c r="U2417" s="1" t="s">
        <v>1463</v>
      </c>
      <c r="V2417" s="1" t="s">
        <v>1465</v>
      </c>
      <c r="Y2417" s="1">
        <v>2715</v>
      </c>
      <c r="AB2417" s="1">
        <v>1218.01</v>
      </c>
    </row>
    <row r="2418" spans="2:28" x14ac:dyDescent="0.2">
      <c r="B2418" s="30" t="s">
        <v>2294</v>
      </c>
      <c r="C2418" s="36"/>
      <c r="D2418" s="36"/>
      <c r="F2418" s="1" t="s">
        <v>1322</v>
      </c>
      <c r="G2418" s="30" t="s">
        <v>4779</v>
      </c>
      <c r="K2418" s="1" t="s">
        <v>4788</v>
      </c>
      <c r="L2418" s="1" t="s">
        <v>1279</v>
      </c>
      <c r="M2418" s="36" t="s">
        <v>1468</v>
      </c>
      <c r="N2418" s="1" t="s">
        <v>1754</v>
      </c>
      <c r="O2418" s="1" t="s">
        <v>1286</v>
      </c>
      <c r="P2418" s="34" t="str">
        <f t="shared" si="50"/>
        <v>F010</v>
      </c>
      <c r="Q2418" s="1" t="s">
        <v>127</v>
      </c>
      <c r="S2418" s="16">
        <v>20</v>
      </c>
      <c r="T2418" s="1" t="s">
        <v>2427</v>
      </c>
      <c r="U2418" s="1" t="s">
        <v>1463</v>
      </c>
      <c r="V2418" s="1" t="s">
        <v>1465</v>
      </c>
      <c r="Y2418" s="1">
        <v>2715</v>
      </c>
      <c r="AB2418" s="1">
        <v>1218.01</v>
      </c>
    </row>
    <row r="2419" spans="2:28" x14ac:dyDescent="0.2">
      <c r="B2419" s="30" t="s">
        <v>2294</v>
      </c>
      <c r="C2419" s="36"/>
      <c r="D2419" s="36"/>
      <c r="F2419" s="1" t="s">
        <v>1895</v>
      </c>
      <c r="G2419" s="30" t="s">
        <v>4779</v>
      </c>
      <c r="K2419" s="1" t="s">
        <v>4789</v>
      </c>
      <c r="L2419" s="1" t="s">
        <v>1279</v>
      </c>
      <c r="M2419" s="36" t="s">
        <v>1468</v>
      </c>
      <c r="N2419" s="1" t="s">
        <v>1754</v>
      </c>
      <c r="O2419" s="1" t="s">
        <v>1286</v>
      </c>
      <c r="P2419" s="34" t="str">
        <f t="shared" si="50"/>
        <v>F010</v>
      </c>
      <c r="Q2419" s="1" t="s">
        <v>127</v>
      </c>
      <c r="S2419" s="16">
        <v>20</v>
      </c>
      <c r="T2419" s="1" t="s">
        <v>2299</v>
      </c>
      <c r="U2419" s="1" t="s">
        <v>1463</v>
      </c>
      <c r="V2419" s="1" t="s">
        <v>1465</v>
      </c>
      <c r="Y2419" s="1">
        <v>2715</v>
      </c>
      <c r="AB2419" s="1">
        <v>1218.01</v>
      </c>
    </row>
    <row r="2420" spans="2:28" x14ac:dyDescent="0.2">
      <c r="B2420" s="30" t="s">
        <v>2294</v>
      </c>
      <c r="C2420" s="36"/>
      <c r="D2420" s="36"/>
      <c r="F2420" s="1" t="s">
        <v>1322</v>
      </c>
      <c r="G2420" s="30" t="s">
        <v>4779</v>
      </c>
      <c r="K2420" s="1" t="s">
        <v>4790</v>
      </c>
      <c r="L2420" s="1" t="s">
        <v>1279</v>
      </c>
      <c r="M2420" s="36" t="s">
        <v>1468</v>
      </c>
      <c r="N2420" s="1" t="s">
        <v>1754</v>
      </c>
      <c r="O2420" s="1" t="s">
        <v>1286</v>
      </c>
      <c r="P2420" s="34" t="str">
        <f t="shared" si="50"/>
        <v>F010</v>
      </c>
      <c r="Q2420" s="1" t="s">
        <v>127</v>
      </c>
      <c r="S2420" s="16">
        <v>20</v>
      </c>
      <c r="T2420" s="1" t="s">
        <v>2427</v>
      </c>
      <c r="U2420" s="1" t="s">
        <v>1463</v>
      </c>
      <c r="V2420" s="1" t="s">
        <v>1465</v>
      </c>
      <c r="Y2420" s="1">
        <v>2715</v>
      </c>
      <c r="AB2420" s="1">
        <v>1218.01</v>
      </c>
    </row>
    <row r="2421" spans="2:28" x14ac:dyDescent="0.2">
      <c r="B2421" s="30" t="s">
        <v>2294</v>
      </c>
      <c r="C2421" s="36"/>
      <c r="D2421" s="36"/>
      <c r="F2421" s="1" t="s">
        <v>1895</v>
      </c>
      <c r="G2421" s="30" t="s">
        <v>4779</v>
      </c>
      <c r="K2421" s="1" t="s">
        <v>4791</v>
      </c>
      <c r="L2421" s="1" t="s">
        <v>1279</v>
      </c>
      <c r="M2421" s="36" t="s">
        <v>1468</v>
      </c>
      <c r="N2421" s="1" t="s">
        <v>1754</v>
      </c>
      <c r="O2421" s="1" t="s">
        <v>1286</v>
      </c>
      <c r="P2421" s="34" t="str">
        <f t="shared" si="50"/>
        <v>F010</v>
      </c>
      <c r="Q2421" s="1" t="s">
        <v>127</v>
      </c>
      <c r="S2421" s="16">
        <v>20</v>
      </c>
      <c r="T2421" s="1" t="s">
        <v>2427</v>
      </c>
      <c r="U2421" s="1" t="s">
        <v>1463</v>
      </c>
      <c r="V2421" s="1" t="s">
        <v>1465</v>
      </c>
      <c r="Y2421" s="1">
        <v>2715</v>
      </c>
      <c r="AB2421" s="1">
        <v>1218.01</v>
      </c>
    </row>
    <row r="2422" spans="2:28" x14ac:dyDescent="0.2">
      <c r="B2422" s="30" t="s">
        <v>2294</v>
      </c>
      <c r="C2422" s="36"/>
      <c r="D2422" s="36"/>
      <c r="F2422" s="1" t="s">
        <v>1895</v>
      </c>
      <c r="G2422" s="30" t="s">
        <v>4779</v>
      </c>
      <c r="K2422" s="1" t="s">
        <v>4792</v>
      </c>
      <c r="L2422" s="1" t="s">
        <v>1279</v>
      </c>
      <c r="M2422" s="36" t="s">
        <v>1468</v>
      </c>
      <c r="N2422" s="1" t="s">
        <v>1754</v>
      </c>
      <c r="O2422" s="1" t="s">
        <v>1286</v>
      </c>
      <c r="P2422" s="34" t="str">
        <f t="shared" si="50"/>
        <v>F010</v>
      </c>
      <c r="Q2422" s="1" t="s">
        <v>127</v>
      </c>
      <c r="S2422" s="16">
        <v>20</v>
      </c>
      <c r="T2422" s="1" t="s">
        <v>2427</v>
      </c>
      <c r="U2422" s="1" t="s">
        <v>1463</v>
      </c>
      <c r="V2422" s="1" t="s">
        <v>1465</v>
      </c>
      <c r="Y2422" s="1">
        <v>2715</v>
      </c>
      <c r="AB2422" s="1">
        <v>1218.01</v>
      </c>
    </row>
    <row r="2423" spans="2:28" x14ac:dyDescent="0.2">
      <c r="B2423" s="30" t="s">
        <v>2294</v>
      </c>
      <c r="C2423" s="36"/>
      <c r="D2423" s="36"/>
      <c r="F2423" s="1" t="s">
        <v>1895</v>
      </c>
      <c r="G2423" s="30" t="s">
        <v>4779</v>
      </c>
      <c r="K2423" s="1" t="s">
        <v>4793</v>
      </c>
      <c r="L2423" s="1" t="s">
        <v>1279</v>
      </c>
      <c r="M2423" s="36" t="s">
        <v>1468</v>
      </c>
      <c r="N2423" s="1" t="s">
        <v>1754</v>
      </c>
      <c r="O2423" s="1" t="s">
        <v>1286</v>
      </c>
      <c r="P2423" s="34" t="str">
        <f t="shared" si="50"/>
        <v>F010</v>
      </c>
      <c r="Q2423" s="1" t="s">
        <v>127</v>
      </c>
      <c r="S2423" s="16">
        <v>20</v>
      </c>
      <c r="T2423" s="1" t="s">
        <v>2299</v>
      </c>
      <c r="U2423" s="1" t="s">
        <v>1463</v>
      </c>
      <c r="V2423" s="1" t="s">
        <v>1465</v>
      </c>
      <c r="Y2423" s="1">
        <v>2715</v>
      </c>
      <c r="AB2423" s="1">
        <v>1218.01</v>
      </c>
    </row>
    <row r="2424" spans="2:28" x14ac:dyDescent="0.2">
      <c r="B2424" s="30" t="s">
        <v>2294</v>
      </c>
      <c r="C2424" s="36"/>
      <c r="D2424" s="36"/>
      <c r="F2424" s="1" t="s">
        <v>1322</v>
      </c>
      <c r="G2424" s="30" t="s">
        <v>4779</v>
      </c>
      <c r="K2424" s="1" t="s">
        <v>4794</v>
      </c>
      <c r="L2424" s="1" t="s">
        <v>1279</v>
      </c>
      <c r="M2424" s="36" t="s">
        <v>1468</v>
      </c>
      <c r="N2424" s="1" t="s">
        <v>1754</v>
      </c>
      <c r="O2424" s="1" t="s">
        <v>1286</v>
      </c>
      <c r="P2424" s="34" t="str">
        <f t="shared" si="50"/>
        <v>F010</v>
      </c>
      <c r="Q2424" s="1" t="s">
        <v>127</v>
      </c>
      <c r="S2424" s="16">
        <v>20</v>
      </c>
      <c r="T2424" s="1" t="s">
        <v>2427</v>
      </c>
      <c r="U2424" s="1" t="s">
        <v>1463</v>
      </c>
      <c r="V2424" s="1" t="s">
        <v>1465</v>
      </c>
      <c r="Y2424" s="1">
        <v>2715</v>
      </c>
      <c r="AB2424" s="1">
        <v>1218.01</v>
      </c>
    </row>
    <row r="2425" spans="2:28" x14ac:dyDescent="0.2">
      <c r="B2425" s="30" t="s">
        <v>2294</v>
      </c>
      <c r="C2425" s="36"/>
      <c r="D2425" s="36"/>
      <c r="F2425" s="1" t="s">
        <v>1895</v>
      </c>
      <c r="G2425" s="30" t="s">
        <v>4779</v>
      </c>
      <c r="K2425" s="1" t="s">
        <v>4795</v>
      </c>
      <c r="L2425" s="1" t="s">
        <v>1279</v>
      </c>
      <c r="M2425" s="36" t="s">
        <v>1468</v>
      </c>
      <c r="N2425" s="1" t="s">
        <v>1754</v>
      </c>
      <c r="O2425" s="1" t="s">
        <v>1286</v>
      </c>
      <c r="P2425" s="34" t="str">
        <f t="shared" si="50"/>
        <v>F010</v>
      </c>
      <c r="Q2425" s="1" t="s">
        <v>127</v>
      </c>
      <c r="S2425" s="16">
        <v>20</v>
      </c>
      <c r="T2425" s="1" t="s">
        <v>2427</v>
      </c>
      <c r="U2425" s="1" t="s">
        <v>1463</v>
      </c>
      <c r="V2425" s="1" t="s">
        <v>1465</v>
      </c>
      <c r="Y2425" s="1">
        <v>2715</v>
      </c>
      <c r="AB2425" s="1">
        <v>1218.01</v>
      </c>
    </row>
    <row r="2426" spans="2:28" x14ac:dyDescent="0.2">
      <c r="B2426" s="30" t="s">
        <v>2294</v>
      </c>
      <c r="C2426" s="36"/>
      <c r="D2426" s="36"/>
      <c r="F2426" s="1" t="s">
        <v>1895</v>
      </c>
      <c r="G2426" s="30" t="s">
        <v>4779</v>
      </c>
      <c r="K2426" s="1" t="s">
        <v>4796</v>
      </c>
      <c r="L2426" s="1" t="s">
        <v>1279</v>
      </c>
      <c r="M2426" s="36" t="s">
        <v>1468</v>
      </c>
      <c r="N2426" s="1" t="s">
        <v>1754</v>
      </c>
      <c r="O2426" s="1" t="s">
        <v>1286</v>
      </c>
      <c r="P2426" s="34" t="str">
        <f t="shared" si="50"/>
        <v>F010</v>
      </c>
      <c r="Q2426" s="1" t="s">
        <v>127</v>
      </c>
      <c r="S2426" s="16">
        <v>20</v>
      </c>
      <c r="T2426" s="1" t="s">
        <v>2299</v>
      </c>
      <c r="U2426" s="1" t="s">
        <v>1463</v>
      </c>
      <c r="V2426" s="1" t="s">
        <v>1465</v>
      </c>
      <c r="Y2426" s="1">
        <v>2715</v>
      </c>
      <c r="AB2426" s="1">
        <v>1218.01</v>
      </c>
    </row>
    <row r="2427" spans="2:28" x14ac:dyDescent="0.2">
      <c r="B2427" s="30" t="s">
        <v>2294</v>
      </c>
      <c r="C2427" s="36"/>
      <c r="D2427" s="36"/>
      <c r="F2427" s="1" t="s">
        <v>1322</v>
      </c>
      <c r="G2427" s="30" t="s">
        <v>4779</v>
      </c>
      <c r="K2427" s="1" t="s">
        <v>4797</v>
      </c>
      <c r="L2427" s="1" t="s">
        <v>1279</v>
      </c>
      <c r="M2427" s="36" t="s">
        <v>1468</v>
      </c>
      <c r="N2427" s="1" t="s">
        <v>1754</v>
      </c>
      <c r="O2427" s="1" t="s">
        <v>1286</v>
      </c>
      <c r="P2427" s="34" t="str">
        <f t="shared" si="50"/>
        <v>F010</v>
      </c>
      <c r="Q2427" s="1" t="s">
        <v>127</v>
      </c>
      <c r="S2427" s="16">
        <v>20</v>
      </c>
      <c r="T2427" s="1" t="s">
        <v>2427</v>
      </c>
      <c r="U2427" s="1" t="s">
        <v>1463</v>
      </c>
      <c r="V2427" s="1" t="s">
        <v>1465</v>
      </c>
      <c r="Y2427" s="1">
        <v>2715</v>
      </c>
      <c r="AB2427" s="1">
        <v>1218.01</v>
      </c>
    </row>
    <row r="2428" spans="2:28" x14ac:dyDescent="0.2">
      <c r="B2428" s="30" t="s">
        <v>2294</v>
      </c>
      <c r="C2428" s="36"/>
      <c r="D2428" s="36"/>
      <c r="F2428" s="1" t="s">
        <v>1895</v>
      </c>
      <c r="G2428" s="30" t="s">
        <v>4779</v>
      </c>
      <c r="K2428" s="1" t="s">
        <v>4798</v>
      </c>
      <c r="L2428" s="1" t="s">
        <v>1279</v>
      </c>
      <c r="M2428" s="36" t="s">
        <v>1468</v>
      </c>
      <c r="N2428" s="1" t="s">
        <v>1754</v>
      </c>
      <c r="O2428" s="1" t="s">
        <v>1286</v>
      </c>
      <c r="P2428" s="34" t="str">
        <f t="shared" si="50"/>
        <v>F010</v>
      </c>
      <c r="Q2428" s="1" t="s">
        <v>127</v>
      </c>
      <c r="S2428" s="16">
        <v>20</v>
      </c>
      <c r="T2428" s="1" t="s">
        <v>2427</v>
      </c>
      <c r="U2428" s="1" t="s">
        <v>1463</v>
      </c>
      <c r="V2428" s="1" t="s">
        <v>1465</v>
      </c>
      <c r="Y2428" s="1">
        <v>2715</v>
      </c>
      <c r="AB2428" s="1">
        <v>1218.01</v>
      </c>
    </row>
    <row r="2429" spans="2:28" x14ac:dyDescent="0.2">
      <c r="B2429" s="30" t="s">
        <v>2294</v>
      </c>
      <c r="C2429" s="36"/>
      <c r="D2429" s="36"/>
      <c r="F2429" s="1" t="s">
        <v>1895</v>
      </c>
      <c r="G2429" s="30" t="s">
        <v>4779</v>
      </c>
      <c r="K2429" s="1" t="s">
        <v>4799</v>
      </c>
      <c r="L2429" s="1" t="s">
        <v>1279</v>
      </c>
      <c r="M2429" s="36" t="s">
        <v>1468</v>
      </c>
      <c r="N2429" s="1" t="s">
        <v>1754</v>
      </c>
      <c r="O2429" s="1" t="s">
        <v>1286</v>
      </c>
      <c r="P2429" s="34" t="str">
        <f t="shared" si="50"/>
        <v>F010</v>
      </c>
      <c r="Q2429" s="1" t="s">
        <v>127</v>
      </c>
      <c r="S2429" s="16">
        <v>20</v>
      </c>
      <c r="T2429" s="1" t="s">
        <v>2299</v>
      </c>
      <c r="U2429" s="1" t="s">
        <v>1463</v>
      </c>
      <c r="V2429" s="1" t="s">
        <v>1465</v>
      </c>
      <c r="Y2429" s="1">
        <v>2715</v>
      </c>
      <c r="AB2429" s="1">
        <v>1218.01</v>
      </c>
    </row>
    <row r="2430" spans="2:28" x14ac:dyDescent="0.2">
      <c r="B2430" s="30" t="s">
        <v>2294</v>
      </c>
      <c r="C2430" s="36"/>
      <c r="D2430" s="36"/>
      <c r="F2430" s="1" t="s">
        <v>1322</v>
      </c>
      <c r="G2430" s="30" t="s">
        <v>4779</v>
      </c>
      <c r="K2430" s="1" t="s">
        <v>4800</v>
      </c>
      <c r="L2430" s="1" t="s">
        <v>1279</v>
      </c>
      <c r="M2430" s="36" t="s">
        <v>1468</v>
      </c>
      <c r="N2430" s="1" t="s">
        <v>1754</v>
      </c>
      <c r="O2430" s="1" t="s">
        <v>1286</v>
      </c>
      <c r="P2430" s="34" t="str">
        <f t="shared" si="50"/>
        <v>F010</v>
      </c>
      <c r="Q2430" s="1" t="s">
        <v>127</v>
      </c>
      <c r="S2430" s="16">
        <v>20</v>
      </c>
      <c r="T2430" s="1" t="s">
        <v>2427</v>
      </c>
      <c r="U2430" s="1" t="s">
        <v>1463</v>
      </c>
      <c r="V2430" s="1" t="s">
        <v>1465</v>
      </c>
      <c r="Y2430" s="1">
        <v>2715</v>
      </c>
      <c r="AB2430" s="1">
        <v>1218.01</v>
      </c>
    </row>
    <row r="2431" spans="2:28" x14ac:dyDescent="0.2">
      <c r="B2431" s="30" t="s">
        <v>2294</v>
      </c>
      <c r="C2431" s="36"/>
      <c r="D2431" s="36"/>
      <c r="F2431" s="1" t="s">
        <v>1895</v>
      </c>
      <c r="G2431" s="30" t="s">
        <v>4779</v>
      </c>
      <c r="K2431" s="1" t="s">
        <v>4801</v>
      </c>
      <c r="L2431" s="1" t="s">
        <v>1279</v>
      </c>
      <c r="M2431" s="36" t="s">
        <v>1468</v>
      </c>
      <c r="N2431" s="1" t="s">
        <v>1754</v>
      </c>
      <c r="O2431" s="1" t="s">
        <v>1286</v>
      </c>
      <c r="P2431" s="34" t="str">
        <f t="shared" si="50"/>
        <v>F010</v>
      </c>
      <c r="Q2431" s="1" t="s">
        <v>127</v>
      </c>
      <c r="S2431" s="16">
        <v>20</v>
      </c>
      <c r="T2431" s="1" t="s">
        <v>2299</v>
      </c>
      <c r="U2431" s="1" t="s">
        <v>1463</v>
      </c>
      <c r="V2431" s="1" t="s">
        <v>1465</v>
      </c>
      <c r="Y2431" s="1">
        <v>2715</v>
      </c>
      <c r="AB2431" s="1">
        <v>1218.01</v>
      </c>
    </row>
    <row r="2432" spans="2:28" x14ac:dyDescent="0.2">
      <c r="B2432" s="30" t="s">
        <v>2294</v>
      </c>
      <c r="C2432" s="36"/>
      <c r="D2432" s="36"/>
      <c r="F2432" s="1" t="s">
        <v>1322</v>
      </c>
      <c r="G2432" s="30" t="s">
        <v>4779</v>
      </c>
      <c r="K2432" s="1" t="s">
        <v>4802</v>
      </c>
      <c r="L2432" s="1" t="s">
        <v>1279</v>
      </c>
      <c r="M2432" s="36" t="s">
        <v>1468</v>
      </c>
      <c r="N2432" s="1" t="s">
        <v>1754</v>
      </c>
      <c r="O2432" s="1" t="s">
        <v>1286</v>
      </c>
      <c r="P2432" s="34" t="str">
        <f t="shared" si="50"/>
        <v>F010</v>
      </c>
      <c r="Q2432" s="1" t="s">
        <v>127</v>
      </c>
      <c r="S2432" s="16">
        <v>20</v>
      </c>
      <c r="T2432" s="1" t="s">
        <v>2427</v>
      </c>
      <c r="U2432" s="1" t="s">
        <v>1463</v>
      </c>
      <c r="V2432" s="1" t="s">
        <v>1465</v>
      </c>
      <c r="Y2432" s="1">
        <v>2715</v>
      </c>
      <c r="AB2432" s="1">
        <v>1218.01</v>
      </c>
    </row>
    <row r="2433" spans="2:28" x14ac:dyDescent="0.2">
      <c r="B2433" s="30" t="s">
        <v>2294</v>
      </c>
      <c r="C2433" s="36"/>
      <c r="D2433" s="36"/>
      <c r="F2433" s="1" t="s">
        <v>1895</v>
      </c>
      <c r="G2433" s="30" t="s">
        <v>4779</v>
      </c>
      <c r="K2433" s="1" t="s">
        <v>4803</v>
      </c>
      <c r="L2433" s="1" t="s">
        <v>1279</v>
      </c>
      <c r="M2433" s="36" t="s">
        <v>1468</v>
      </c>
      <c r="N2433" s="1" t="s">
        <v>1754</v>
      </c>
      <c r="O2433" s="1" t="s">
        <v>1286</v>
      </c>
      <c r="P2433" s="34" t="str">
        <f t="shared" si="50"/>
        <v>F010</v>
      </c>
      <c r="Q2433" s="1" t="s">
        <v>127</v>
      </c>
      <c r="S2433" s="16">
        <v>20</v>
      </c>
      <c r="T2433" s="1" t="s">
        <v>2299</v>
      </c>
      <c r="U2433" s="1" t="s">
        <v>1463</v>
      </c>
      <c r="V2433" s="1" t="s">
        <v>1465</v>
      </c>
      <c r="Y2433" s="1">
        <v>2715</v>
      </c>
      <c r="AB2433" s="1">
        <v>1218.01</v>
      </c>
    </row>
    <row r="2434" spans="2:28" x14ac:dyDescent="0.2">
      <c r="B2434" s="30" t="s">
        <v>2294</v>
      </c>
      <c r="C2434" s="36"/>
      <c r="D2434" s="36"/>
      <c r="F2434" s="1" t="s">
        <v>1322</v>
      </c>
      <c r="G2434" s="30" t="s">
        <v>4779</v>
      </c>
      <c r="K2434" s="1" t="s">
        <v>4804</v>
      </c>
      <c r="L2434" s="1" t="s">
        <v>1279</v>
      </c>
      <c r="M2434" s="36" t="s">
        <v>1468</v>
      </c>
      <c r="N2434" s="1" t="s">
        <v>1754</v>
      </c>
      <c r="O2434" s="1" t="s">
        <v>1286</v>
      </c>
      <c r="P2434" s="34" t="str">
        <f t="shared" si="50"/>
        <v>F010</v>
      </c>
      <c r="Q2434" s="1" t="s">
        <v>127</v>
      </c>
      <c r="S2434" s="16">
        <v>20</v>
      </c>
      <c r="T2434" s="1" t="s">
        <v>2427</v>
      </c>
      <c r="U2434" s="1" t="s">
        <v>1463</v>
      </c>
      <c r="V2434" s="1" t="s">
        <v>1465</v>
      </c>
      <c r="Y2434" s="1">
        <v>2715</v>
      </c>
      <c r="AB2434" s="1">
        <v>1218.01</v>
      </c>
    </row>
    <row r="2435" spans="2:28" x14ac:dyDescent="0.2">
      <c r="B2435" s="30" t="s">
        <v>2294</v>
      </c>
      <c r="C2435" s="36"/>
      <c r="D2435" s="36"/>
      <c r="F2435" s="1" t="s">
        <v>1895</v>
      </c>
      <c r="G2435" s="30" t="s">
        <v>4805</v>
      </c>
      <c r="K2435" s="1" t="s">
        <v>4806</v>
      </c>
      <c r="L2435" s="1" t="s">
        <v>1279</v>
      </c>
      <c r="M2435" s="36" t="s">
        <v>1999</v>
      </c>
      <c r="N2435" s="1" t="s">
        <v>1754</v>
      </c>
      <c r="O2435" s="1" t="s">
        <v>1286</v>
      </c>
      <c r="P2435" s="34" t="str">
        <f t="shared" si="50"/>
        <v>F010</v>
      </c>
      <c r="Q2435" s="1" t="s">
        <v>127</v>
      </c>
      <c r="S2435" s="16">
        <v>20</v>
      </c>
      <c r="T2435" s="1" t="s">
        <v>2427</v>
      </c>
      <c r="U2435" s="1" t="s">
        <v>2544</v>
      </c>
      <c r="V2435" s="1" t="s">
        <v>4107</v>
      </c>
      <c r="Y2435" s="1">
        <v>3445</v>
      </c>
      <c r="AB2435" s="1">
        <v>2545.48</v>
      </c>
    </row>
    <row r="2436" spans="2:28" x14ac:dyDescent="0.2">
      <c r="B2436" s="30" t="s">
        <v>2294</v>
      </c>
      <c r="C2436" s="36"/>
      <c r="D2436" s="36"/>
      <c r="F2436" s="1" t="s">
        <v>1895</v>
      </c>
      <c r="G2436" s="30" t="s">
        <v>4805</v>
      </c>
      <c r="K2436" s="1" t="s">
        <v>4807</v>
      </c>
      <c r="L2436" s="1" t="s">
        <v>1279</v>
      </c>
      <c r="M2436" s="36" t="s">
        <v>1999</v>
      </c>
      <c r="N2436" s="1" t="s">
        <v>1754</v>
      </c>
      <c r="O2436" s="1" t="s">
        <v>1286</v>
      </c>
      <c r="P2436" s="34" t="str">
        <f t="shared" si="50"/>
        <v>F010</v>
      </c>
      <c r="Q2436" s="1" t="s">
        <v>127</v>
      </c>
      <c r="S2436" s="16">
        <v>20</v>
      </c>
      <c r="T2436" s="1" t="s">
        <v>2299</v>
      </c>
      <c r="U2436" s="1" t="s">
        <v>2544</v>
      </c>
      <c r="V2436" s="1" t="s">
        <v>4107</v>
      </c>
      <c r="Y2436" s="1">
        <v>3445</v>
      </c>
      <c r="AB2436" s="1">
        <v>2545.48</v>
      </c>
    </row>
    <row r="2437" spans="2:28" x14ac:dyDescent="0.2">
      <c r="B2437" s="30" t="s">
        <v>2294</v>
      </c>
      <c r="C2437" s="36"/>
      <c r="D2437" s="36"/>
      <c r="F2437" s="1" t="s">
        <v>1322</v>
      </c>
      <c r="G2437" s="30" t="s">
        <v>4808</v>
      </c>
      <c r="K2437" s="1" t="s">
        <v>4809</v>
      </c>
      <c r="L2437" s="1" t="s">
        <v>1279</v>
      </c>
      <c r="M2437" s="36" t="s">
        <v>1327</v>
      </c>
      <c r="N2437" s="1" t="s">
        <v>2546</v>
      </c>
      <c r="O2437" s="1" t="s">
        <v>1286</v>
      </c>
      <c r="P2437" s="34" t="str">
        <f t="shared" si="50"/>
        <v>F010</v>
      </c>
      <c r="Q2437" s="1" t="s">
        <v>137</v>
      </c>
      <c r="S2437" s="16">
        <v>20</v>
      </c>
      <c r="T2437" s="1" t="s">
        <v>2427</v>
      </c>
      <c r="U2437" s="1" t="s">
        <v>1444</v>
      </c>
      <c r="V2437" s="1" t="s">
        <v>1511</v>
      </c>
      <c r="Y2437" s="1">
        <v>4407</v>
      </c>
      <c r="AB2437" s="1">
        <v>4186.6499999999996</v>
      </c>
    </row>
    <row r="2438" spans="2:28" x14ac:dyDescent="0.2">
      <c r="B2438" s="30" t="s">
        <v>2294</v>
      </c>
      <c r="C2438" s="36"/>
      <c r="D2438" s="36"/>
      <c r="F2438" s="1" t="s">
        <v>1895</v>
      </c>
      <c r="G2438" s="30" t="s">
        <v>4808</v>
      </c>
      <c r="K2438" s="1" t="s">
        <v>4810</v>
      </c>
      <c r="L2438" s="1" t="s">
        <v>1279</v>
      </c>
      <c r="M2438" s="36" t="s">
        <v>1327</v>
      </c>
      <c r="N2438" s="1" t="s">
        <v>4811</v>
      </c>
      <c r="O2438" s="1" t="s">
        <v>1286</v>
      </c>
      <c r="P2438" s="34" t="str">
        <f t="shared" si="50"/>
        <v>F010</v>
      </c>
      <c r="Q2438" s="1" t="s">
        <v>137</v>
      </c>
      <c r="S2438" s="16">
        <v>20</v>
      </c>
      <c r="T2438" s="1" t="s">
        <v>2427</v>
      </c>
      <c r="U2438" s="1" t="s">
        <v>1444</v>
      </c>
      <c r="V2438" s="1" t="s">
        <v>1511</v>
      </c>
      <c r="Y2438" s="1">
        <v>4407</v>
      </c>
      <c r="AB2438" s="1">
        <v>4186.6499999999996</v>
      </c>
    </row>
    <row r="2439" spans="2:28" x14ac:dyDescent="0.2">
      <c r="B2439" s="30" t="s">
        <v>2294</v>
      </c>
      <c r="C2439" s="36"/>
      <c r="D2439" s="36"/>
      <c r="F2439" s="1" t="s">
        <v>1895</v>
      </c>
      <c r="G2439" s="30" t="s">
        <v>4808</v>
      </c>
      <c r="K2439" s="1" t="s">
        <v>4812</v>
      </c>
      <c r="L2439" s="1" t="s">
        <v>1279</v>
      </c>
      <c r="M2439" s="36" t="s">
        <v>1327</v>
      </c>
      <c r="N2439" s="1" t="s">
        <v>4811</v>
      </c>
      <c r="O2439" s="1" t="s">
        <v>1286</v>
      </c>
      <c r="P2439" s="34" t="str">
        <f t="shared" si="50"/>
        <v>F010</v>
      </c>
      <c r="Q2439" s="1" t="s">
        <v>137</v>
      </c>
      <c r="S2439" s="16">
        <v>20</v>
      </c>
      <c r="T2439" s="1" t="s">
        <v>2299</v>
      </c>
      <c r="U2439" s="1" t="s">
        <v>1444</v>
      </c>
      <c r="V2439" s="1" t="s">
        <v>1511</v>
      </c>
      <c r="Y2439" s="1">
        <v>4407</v>
      </c>
      <c r="AB2439" s="1">
        <v>4186.6499999999996</v>
      </c>
    </row>
    <row r="2440" spans="2:28" x14ac:dyDescent="0.2">
      <c r="B2440" s="30" t="s">
        <v>2294</v>
      </c>
      <c r="C2440" s="36"/>
      <c r="D2440" s="36"/>
      <c r="F2440" s="1" t="s">
        <v>1322</v>
      </c>
      <c r="G2440" s="30" t="s">
        <v>4808</v>
      </c>
      <c r="K2440" s="1" t="s">
        <v>4813</v>
      </c>
      <c r="L2440" s="1" t="s">
        <v>1279</v>
      </c>
      <c r="M2440" s="36" t="s">
        <v>1327</v>
      </c>
      <c r="N2440" s="1" t="s">
        <v>4811</v>
      </c>
      <c r="O2440" s="1" t="s">
        <v>1286</v>
      </c>
      <c r="P2440" s="34" t="str">
        <f t="shared" si="50"/>
        <v>F010</v>
      </c>
      <c r="Q2440" s="1" t="s">
        <v>137</v>
      </c>
      <c r="S2440" s="16">
        <v>20</v>
      </c>
      <c r="T2440" s="1" t="s">
        <v>2427</v>
      </c>
      <c r="U2440" s="1" t="s">
        <v>1444</v>
      </c>
      <c r="V2440" s="1" t="s">
        <v>1511</v>
      </c>
      <c r="Y2440" s="1">
        <v>4407</v>
      </c>
      <c r="AB2440" s="1">
        <v>4186.6499999999996</v>
      </c>
    </row>
    <row r="2441" spans="2:28" x14ac:dyDescent="0.2">
      <c r="B2441" s="30" t="s">
        <v>2294</v>
      </c>
      <c r="C2441" s="36"/>
      <c r="D2441" s="36"/>
      <c r="F2441" s="1" t="s">
        <v>1895</v>
      </c>
      <c r="G2441" s="30" t="s">
        <v>4808</v>
      </c>
      <c r="K2441" s="1" t="s">
        <v>4814</v>
      </c>
      <c r="L2441" s="1" t="s">
        <v>1279</v>
      </c>
      <c r="M2441" s="36" t="s">
        <v>1327</v>
      </c>
      <c r="N2441" s="1" t="s">
        <v>3317</v>
      </c>
      <c r="O2441" s="1" t="s">
        <v>1286</v>
      </c>
      <c r="P2441" s="34" t="str">
        <f t="shared" si="50"/>
        <v>F010</v>
      </c>
      <c r="Q2441" s="1" t="s">
        <v>137</v>
      </c>
      <c r="S2441" s="16">
        <v>20</v>
      </c>
      <c r="T2441" s="1" t="s">
        <v>2299</v>
      </c>
      <c r="U2441" s="1" t="s">
        <v>1444</v>
      </c>
      <c r="V2441" s="1" t="s">
        <v>1511</v>
      </c>
      <c r="Y2441" s="1">
        <v>4407</v>
      </c>
      <c r="AB2441" s="1">
        <v>4186.6499999999996</v>
      </c>
    </row>
    <row r="2442" spans="2:28" x14ac:dyDescent="0.2">
      <c r="B2442" s="30" t="s">
        <v>2294</v>
      </c>
      <c r="C2442" s="36"/>
      <c r="D2442" s="36"/>
      <c r="F2442" s="1" t="s">
        <v>1322</v>
      </c>
      <c r="G2442" s="30" t="s">
        <v>4808</v>
      </c>
      <c r="K2442" s="1" t="s">
        <v>4815</v>
      </c>
      <c r="L2442" s="1" t="s">
        <v>1279</v>
      </c>
      <c r="M2442" s="36" t="s">
        <v>1327</v>
      </c>
      <c r="N2442" s="1" t="s">
        <v>3957</v>
      </c>
      <c r="O2442" s="1" t="s">
        <v>1286</v>
      </c>
      <c r="P2442" s="34" t="str">
        <f t="shared" si="50"/>
        <v>F010</v>
      </c>
      <c r="Q2442" s="1" t="s">
        <v>137</v>
      </c>
      <c r="S2442" s="16">
        <v>20</v>
      </c>
      <c r="T2442" s="1" t="s">
        <v>2427</v>
      </c>
      <c r="U2442" s="1" t="s">
        <v>1444</v>
      </c>
      <c r="V2442" s="1" t="s">
        <v>1511</v>
      </c>
      <c r="Y2442" s="1">
        <v>4407</v>
      </c>
      <c r="AB2442" s="1">
        <v>4186.6499999999996</v>
      </c>
    </row>
    <row r="2443" spans="2:28" x14ac:dyDescent="0.2">
      <c r="B2443" s="30" t="s">
        <v>2294</v>
      </c>
      <c r="C2443" s="36"/>
      <c r="D2443" s="36"/>
      <c r="F2443" s="1" t="s">
        <v>1895</v>
      </c>
      <c r="G2443" s="30" t="s">
        <v>4816</v>
      </c>
      <c r="K2443" s="1" t="s">
        <v>4817</v>
      </c>
      <c r="L2443" s="1" t="s">
        <v>1279</v>
      </c>
      <c r="M2443" s="36" t="s">
        <v>2014</v>
      </c>
      <c r="N2443" s="1" t="s">
        <v>1286</v>
      </c>
      <c r="O2443" s="1" t="s">
        <v>1286</v>
      </c>
      <c r="P2443" s="34" t="str">
        <f t="shared" si="50"/>
        <v>F010</v>
      </c>
      <c r="Q2443" s="1" t="s">
        <v>138</v>
      </c>
      <c r="S2443" s="16">
        <v>20</v>
      </c>
      <c r="T2443" s="1" t="s">
        <v>2299</v>
      </c>
      <c r="U2443" s="1" t="s">
        <v>1334</v>
      </c>
      <c r="V2443" s="1" t="s">
        <v>1377</v>
      </c>
      <c r="Y2443" s="1">
        <v>4877</v>
      </c>
      <c r="AB2443" s="1">
        <v>2831.4</v>
      </c>
    </row>
    <row r="2444" spans="2:28" x14ac:dyDescent="0.2">
      <c r="B2444" s="30" t="s">
        <v>2294</v>
      </c>
      <c r="C2444" s="36"/>
      <c r="D2444" s="36"/>
      <c r="F2444" s="1" t="s">
        <v>1322</v>
      </c>
      <c r="G2444" s="30" t="s">
        <v>4818</v>
      </c>
      <c r="K2444" s="1" t="s">
        <v>4819</v>
      </c>
      <c r="L2444" s="1" t="s">
        <v>1279</v>
      </c>
      <c r="M2444" s="36" t="s">
        <v>1654</v>
      </c>
      <c r="N2444" s="1" t="s">
        <v>1294</v>
      </c>
      <c r="O2444" s="1" t="s">
        <v>1286</v>
      </c>
      <c r="P2444" s="34" t="str">
        <f t="shared" si="50"/>
        <v>F010</v>
      </c>
      <c r="Q2444" s="1" t="s">
        <v>127</v>
      </c>
      <c r="S2444" s="16">
        <v>20</v>
      </c>
      <c r="T2444" s="1" t="s">
        <v>2427</v>
      </c>
      <c r="U2444" s="1" t="s">
        <v>1560</v>
      </c>
      <c r="V2444" s="1" t="s">
        <v>1578</v>
      </c>
      <c r="Y2444" s="1">
        <v>7823.07</v>
      </c>
      <c r="AB2444" s="1">
        <v>1432.18</v>
      </c>
    </row>
    <row r="2445" spans="2:28" x14ac:dyDescent="0.2">
      <c r="B2445" s="30" t="s">
        <v>2294</v>
      </c>
      <c r="C2445" s="36"/>
      <c r="D2445" s="36"/>
      <c r="F2445" s="1" t="s">
        <v>1895</v>
      </c>
      <c r="G2445" s="30" t="s">
        <v>4820</v>
      </c>
      <c r="K2445" s="1" t="s">
        <v>4821</v>
      </c>
      <c r="L2445" s="1" t="s">
        <v>1279</v>
      </c>
      <c r="M2445" s="36" t="s">
        <v>2014</v>
      </c>
      <c r="N2445" s="1" t="s">
        <v>1286</v>
      </c>
      <c r="O2445" s="1" t="s">
        <v>1286</v>
      </c>
      <c r="P2445" s="34" t="str">
        <f t="shared" si="50"/>
        <v>F010</v>
      </c>
      <c r="Q2445" s="1" t="s">
        <v>138</v>
      </c>
      <c r="S2445" s="16">
        <v>20</v>
      </c>
      <c r="T2445" s="1" t="s">
        <v>2299</v>
      </c>
      <c r="U2445" s="1" t="s">
        <v>1334</v>
      </c>
      <c r="V2445" s="1" t="s">
        <v>1377</v>
      </c>
      <c r="Y2445" s="1">
        <v>5784</v>
      </c>
      <c r="AB2445" s="1">
        <v>3357.92</v>
      </c>
    </row>
    <row r="2446" spans="2:28" x14ac:dyDescent="0.2">
      <c r="B2446" s="30" t="s">
        <v>2294</v>
      </c>
      <c r="C2446" s="36"/>
      <c r="D2446" s="36"/>
      <c r="F2446" s="1" t="s">
        <v>1322</v>
      </c>
      <c r="G2446" s="30" t="s">
        <v>4822</v>
      </c>
      <c r="K2446" s="1" t="s">
        <v>4823</v>
      </c>
      <c r="L2446" s="1" t="s">
        <v>1279</v>
      </c>
      <c r="M2446" s="36" t="s">
        <v>1334</v>
      </c>
      <c r="N2446" s="1" t="s">
        <v>1556</v>
      </c>
      <c r="O2446" s="1" t="s">
        <v>1286</v>
      </c>
      <c r="P2446" s="34" t="str">
        <f t="shared" si="50"/>
        <v>F010</v>
      </c>
      <c r="Q2446" s="1" t="s">
        <v>127</v>
      </c>
      <c r="S2446" s="16">
        <v>20</v>
      </c>
      <c r="T2446" s="1" t="s">
        <v>2427</v>
      </c>
      <c r="U2446" s="1" t="s">
        <v>1535</v>
      </c>
      <c r="V2446" s="1" t="s">
        <v>2553</v>
      </c>
      <c r="Y2446" s="1">
        <v>5722.72</v>
      </c>
      <c r="AB2446" s="1">
        <v>3171.36</v>
      </c>
    </row>
    <row r="2447" spans="2:28" x14ac:dyDescent="0.2">
      <c r="B2447" s="30" t="s">
        <v>2294</v>
      </c>
      <c r="C2447" s="36"/>
      <c r="D2447" s="36"/>
      <c r="F2447" s="1" t="s">
        <v>1895</v>
      </c>
      <c r="G2447" s="30" t="s">
        <v>4824</v>
      </c>
      <c r="K2447" s="1" t="s">
        <v>4825</v>
      </c>
      <c r="L2447" s="1" t="s">
        <v>1279</v>
      </c>
      <c r="M2447" s="36" t="s">
        <v>1480</v>
      </c>
      <c r="N2447" s="1" t="s">
        <v>1286</v>
      </c>
      <c r="O2447" s="1" t="s">
        <v>1286</v>
      </c>
      <c r="P2447" s="34" t="str">
        <f t="shared" si="50"/>
        <v>F010</v>
      </c>
      <c r="Q2447" s="1" t="s">
        <v>138</v>
      </c>
      <c r="S2447" s="16">
        <v>20</v>
      </c>
      <c r="T2447" s="1" t="s">
        <v>2299</v>
      </c>
      <c r="U2447" s="1" t="s">
        <v>1503</v>
      </c>
      <c r="V2447" s="1" t="s">
        <v>2095</v>
      </c>
      <c r="Y2447" s="1">
        <v>5972.65</v>
      </c>
      <c r="AB2447" s="1">
        <v>2343</v>
      </c>
    </row>
    <row r="2448" spans="2:28" x14ac:dyDescent="0.2">
      <c r="B2448" s="30" t="s">
        <v>2294</v>
      </c>
      <c r="C2448" s="36"/>
      <c r="D2448" s="36"/>
      <c r="F2448" s="1" t="s">
        <v>1322</v>
      </c>
      <c r="G2448" s="30" t="s">
        <v>4824</v>
      </c>
      <c r="K2448" s="1" t="s">
        <v>4826</v>
      </c>
      <c r="L2448" s="1" t="s">
        <v>1279</v>
      </c>
      <c r="M2448" s="36" t="s">
        <v>1480</v>
      </c>
      <c r="N2448" s="1" t="s">
        <v>1286</v>
      </c>
      <c r="O2448" s="1" t="s">
        <v>1286</v>
      </c>
      <c r="P2448" s="34" t="str">
        <f t="shared" si="50"/>
        <v>F010</v>
      </c>
      <c r="Q2448" s="1" t="s">
        <v>138</v>
      </c>
      <c r="S2448" s="16">
        <v>20</v>
      </c>
      <c r="T2448" s="1" t="s">
        <v>2427</v>
      </c>
      <c r="U2448" s="1" t="s">
        <v>1503</v>
      </c>
      <c r="V2448" s="1" t="s">
        <v>2095</v>
      </c>
      <c r="Y2448" s="1">
        <v>5972.65</v>
      </c>
      <c r="AB2448" s="1">
        <v>2343</v>
      </c>
    </row>
    <row r="2449" spans="2:28" x14ac:dyDescent="0.2">
      <c r="B2449" s="30" t="s">
        <v>2294</v>
      </c>
      <c r="C2449" s="36"/>
      <c r="D2449" s="36"/>
      <c r="F2449" s="1" t="s">
        <v>1895</v>
      </c>
      <c r="G2449" s="30" t="s">
        <v>4827</v>
      </c>
      <c r="K2449" s="1" t="s">
        <v>4828</v>
      </c>
      <c r="L2449" s="1" t="s">
        <v>1279</v>
      </c>
      <c r="M2449" s="36" t="s">
        <v>1990</v>
      </c>
      <c r="N2449" s="1" t="s">
        <v>1284</v>
      </c>
      <c r="O2449" s="1" t="s">
        <v>1286</v>
      </c>
      <c r="P2449" s="34" t="str">
        <f t="shared" si="50"/>
        <v>F010</v>
      </c>
      <c r="Q2449" s="1" t="s">
        <v>127</v>
      </c>
      <c r="S2449" s="16">
        <v>20</v>
      </c>
      <c r="T2449" s="1" t="s">
        <v>2299</v>
      </c>
      <c r="U2449" s="1" t="s">
        <v>2368</v>
      </c>
      <c r="V2449" s="1" t="s">
        <v>2369</v>
      </c>
      <c r="Y2449" s="1">
        <v>6133</v>
      </c>
      <c r="AB2449" s="1">
        <v>323.68</v>
      </c>
    </row>
    <row r="2450" spans="2:28" x14ac:dyDescent="0.2">
      <c r="B2450" s="30" t="s">
        <v>2294</v>
      </c>
      <c r="C2450" s="36"/>
      <c r="D2450" s="36"/>
      <c r="F2450" s="1" t="s">
        <v>1322</v>
      </c>
      <c r="G2450" s="30" t="s">
        <v>4829</v>
      </c>
      <c r="K2450" s="1" t="s">
        <v>4830</v>
      </c>
      <c r="L2450" s="1" t="s">
        <v>1279</v>
      </c>
      <c r="M2450" s="36" t="s">
        <v>1430</v>
      </c>
      <c r="N2450" s="1" t="s">
        <v>1637</v>
      </c>
      <c r="O2450" s="1" t="s">
        <v>1286</v>
      </c>
      <c r="P2450" s="34" t="str">
        <f t="shared" si="50"/>
        <v>F010</v>
      </c>
      <c r="Q2450" s="1" t="s">
        <v>127</v>
      </c>
      <c r="S2450" s="16">
        <v>20</v>
      </c>
      <c r="T2450" s="1" t="s">
        <v>2427</v>
      </c>
      <c r="U2450" s="1" t="s">
        <v>1654</v>
      </c>
      <c r="V2450" s="1" t="s">
        <v>1701</v>
      </c>
      <c r="Y2450" s="1">
        <v>5800</v>
      </c>
      <c r="AB2450" s="1">
        <v>1224.47</v>
      </c>
    </row>
    <row r="2451" spans="2:28" x14ac:dyDescent="0.2">
      <c r="B2451" s="30" t="s">
        <v>2294</v>
      </c>
      <c r="C2451" s="36"/>
      <c r="D2451" s="36"/>
      <c r="F2451" s="1" t="s">
        <v>1895</v>
      </c>
      <c r="G2451" s="30" t="s">
        <v>4831</v>
      </c>
      <c r="K2451" s="1" t="s">
        <v>4832</v>
      </c>
      <c r="L2451" s="1" t="s">
        <v>1279</v>
      </c>
      <c r="M2451" s="36" t="s">
        <v>1430</v>
      </c>
      <c r="N2451" s="1" t="s">
        <v>1637</v>
      </c>
      <c r="O2451" s="1" t="s">
        <v>1286</v>
      </c>
      <c r="P2451" s="34" t="str">
        <f t="shared" si="50"/>
        <v>F010</v>
      </c>
      <c r="Q2451" s="1" t="s">
        <v>127</v>
      </c>
      <c r="S2451" s="16">
        <v>20</v>
      </c>
      <c r="T2451" s="1" t="s">
        <v>2427</v>
      </c>
      <c r="U2451" s="1" t="s">
        <v>1654</v>
      </c>
      <c r="V2451" s="1" t="s">
        <v>1701</v>
      </c>
      <c r="Y2451" s="1">
        <v>6600</v>
      </c>
      <c r="AB2451" s="1">
        <v>1393.36</v>
      </c>
    </row>
    <row r="2452" spans="2:28" x14ac:dyDescent="0.2">
      <c r="B2452" s="30" t="s">
        <v>2294</v>
      </c>
      <c r="C2452" s="36"/>
      <c r="D2452" s="36"/>
      <c r="F2452" s="1" t="s">
        <v>1895</v>
      </c>
      <c r="G2452" s="30" t="s">
        <v>4833</v>
      </c>
      <c r="K2452" s="1" t="s">
        <v>4834</v>
      </c>
      <c r="L2452" s="1" t="s">
        <v>1279</v>
      </c>
      <c r="M2452" s="36" t="s">
        <v>2014</v>
      </c>
      <c r="N2452" s="1" t="s">
        <v>1806</v>
      </c>
      <c r="O2452" s="1" t="s">
        <v>1286</v>
      </c>
      <c r="P2452" s="34" t="str">
        <f t="shared" si="50"/>
        <v>F010</v>
      </c>
      <c r="Q2452" s="1" t="s">
        <v>127</v>
      </c>
      <c r="S2452" s="16">
        <v>20</v>
      </c>
      <c r="T2452" s="1" t="s">
        <v>2427</v>
      </c>
      <c r="U2452" s="1" t="s">
        <v>1334</v>
      </c>
      <c r="V2452" s="1" t="s">
        <v>1377</v>
      </c>
      <c r="Y2452" s="1">
        <v>3284.62</v>
      </c>
      <c r="AB2452" s="1">
        <v>1889.81</v>
      </c>
    </row>
    <row r="2453" spans="2:28" x14ac:dyDescent="0.2">
      <c r="B2453" s="30" t="s">
        <v>2294</v>
      </c>
      <c r="C2453" s="36"/>
      <c r="D2453" s="36"/>
      <c r="F2453" s="1" t="s">
        <v>1895</v>
      </c>
      <c r="G2453" s="30" t="s">
        <v>4835</v>
      </c>
      <c r="K2453" s="1" t="s">
        <v>4836</v>
      </c>
      <c r="L2453" s="1" t="s">
        <v>1279</v>
      </c>
      <c r="M2453" s="36" t="s">
        <v>1330</v>
      </c>
      <c r="N2453" s="1" t="s">
        <v>2960</v>
      </c>
      <c r="O2453" s="1" t="s">
        <v>1286</v>
      </c>
      <c r="P2453" s="34" t="str">
        <f t="shared" si="50"/>
        <v>F010</v>
      </c>
      <c r="Q2453" s="1" t="s">
        <v>127</v>
      </c>
      <c r="S2453" s="16">
        <v>20</v>
      </c>
      <c r="T2453" s="1" t="s">
        <v>2427</v>
      </c>
      <c r="U2453" s="1" t="s">
        <v>1426</v>
      </c>
      <c r="V2453" s="1" t="s">
        <v>1766</v>
      </c>
      <c r="Y2453" s="1">
        <v>9688</v>
      </c>
      <c r="AB2453" s="1">
        <v>1022.64</v>
      </c>
    </row>
    <row r="2454" spans="2:28" x14ac:dyDescent="0.2">
      <c r="B2454" s="30" t="s">
        <v>2294</v>
      </c>
      <c r="C2454" s="36"/>
      <c r="D2454" s="36"/>
      <c r="F2454" s="1" t="s">
        <v>1895</v>
      </c>
      <c r="G2454" s="30" t="s">
        <v>4835</v>
      </c>
      <c r="K2454" s="1" t="s">
        <v>4837</v>
      </c>
      <c r="L2454" s="1" t="s">
        <v>1279</v>
      </c>
      <c r="M2454" s="36" t="s">
        <v>1990</v>
      </c>
      <c r="N2454" s="1" t="s">
        <v>2960</v>
      </c>
      <c r="O2454" s="1" t="s">
        <v>1286</v>
      </c>
      <c r="P2454" s="34" t="str">
        <f t="shared" si="50"/>
        <v>F010</v>
      </c>
      <c r="Q2454" s="1" t="s">
        <v>127</v>
      </c>
      <c r="S2454" s="16">
        <v>20</v>
      </c>
      <c r="T2454" s="1" t="s">
        <v>2299</v>
      </c>
      <c r="U2454" s="1" t="s">
        <v>2368</v>
      </c>
      <c r="V2454" s="1" t="s">
        <v>2369</v>
      </c>
      <c r="Y2454" s="1">
        <v>9688</v>
      </c>
      <c r="AB2454" s="1">
        <v>511.32</v>
      </c>
    </row>
    <row r="2455" spans="2:28" x14ac:dyDescent="0.2">
      <c r="B2455" s="30" t="s">
        <v>2294</v>
      </c>
      <c r="C2455" s="36"/>
      <c r="D2455" s="36"/>
      <c r="F2455" s="1" t="s">
        <v>1322</v>
      </c>
      <c r="G2455" s="30" t="s">
        <v>4838</v>
      </c>
      <c r="K2455" s="1" t="s">
        <v>4839</v>
      </c>
      <c r="L2455" s="1" t="s">
        <v>1279</v>
      </c>
      <c r="M2455" s="36" t="s">
        <v>1330</v>
      </c>
      <c r="N2455" s="1" t="s">
        <v>2960</v>
      </c>
      <c r="O2455" s="1" t="s">
        <v>1286</v>
      </c>
      <c r="P2455" s="34" t="str">
        <f t="shared" si="50"/>
        <v>F010</v>
      </c>
      <c r="Q2455" s="1" t="s">
        <v>127</v>
      </c>
      <c r="S2455" s="16">
        <v>20</v>
      </c>
      <c r="T2455" s="1" t="s">
        <v>2427</v>
      </c>
      <c r="U2455" s="1" t="s">
        <v>1426</v>
      </c>
      <c r="V2455" s="1" t="s">
        <v>1766</v>
      </c>
      <c r="Y2455" s="1">
        <v>9688</v>
      </c>
      <c r="AB2455" s="1">
        <v>1022.64</v>
      </c>
    </row>
    <row r="2456" spans="2:28" x14ac:dyDescent="0.2">
      <c r="B2456" s="30" t="s">
        <v>2294</v>
      </c>
      <c r="C2456" s="36"/>
      <c r="D2456" s="36"/>
      <c r="F2456" s="1" t="s">
        <v>1895</v>
      </c>
      <c r="G2456" s="30" t="s">
        <v>4840</v>
      </c>
      <c r="K2456" s="1" t="s">
        <v>4841</v>
      </c>
      <c r="L2456" s="1" t="s">
        <v>1279</v>
      </c>
      <c r="M2456" s="36" t="s">
        <v>1560</v>
      </c>
      <c r="N2456" s="1" t="s">
        <v>1637</v>
      </c>
      <c r="O2456" s="1" t="s">
        <v>1286</v>
      </c>
      <c r="P2456" s="34" t="str">
        <f t="shared" si="50"/>
        <v>F010</v>
      </c>
      <c r="Q2456" s="1" t="s">
        <v>127</v>
      </c>
      <c r="S2456" s="16">
        <v>20</v>
      </c>
      <c r="T2456" s="1" t="s">
        <v>2299</v>
      </c>
      <c r="U2456" s="1" t="s">
        <v>1476</v>
      </c>
      <c r="V2456" s="1" t="s">
        <v>1569</v>
      </c>
      <c r="Y2456" s="1">
        <v>8388</v>
      </c>
      <c r="AB2456" s="1">
        <v>1328.1</v>
      </c>
    </row>
    <row r="2457" spans="2:28" x14ac:dyDescent="0.2">
      <c r="B2457" s="30" t="s">
        <v>2294</v>
      </c>
      <c r="C2457" s="36"/>
      <c r="D2457" s="36"/>
      <c r="F2457" s="1" t="s">
        <v>1322</v>
      </c>
      <c r="G2457" s="30" t="s">
        <v>4842</v>
      </c>
      <c r="K2457" s="1" t="s">
        <v>4843</v>
      </c>
      <c r="L2457" s="1" t="s">
        <v>1279</v>
      </c>
      <c r="M2457" s="36" t="s">
        <v>2072</v>
      </c>
      <c r="N2457" s="1" t="s">
        <v>1944</v>
      </c>
      <c r="O2457" s="1" t="s">
        <v>1286</v>
      </c>
      <c r="P2457" s="34" t="str">
        <f t="shared" si="50"/>
        <v>F010</v>
      </c>
      <c r="Q2457" s="1" t="s">
        <v>137</v>
      </c>
      <c r="S2457" s="16">
        <v>20</v>
      </c>
      <c r="T2457" s="1" t="s">
        <v>2427</v>
      </c>
      <c r="U2457" s="1" t="s">
        <v>1686</v>
      </c>
      <c r="V2457" s="1" t="s">
        <v>1574</v>
      </c>
      <c r="Y2457" s="1">
        <v>6674</v>
      </c>
      <c r="AB2457" s="1">
        <v>2335.19</v>
      </c>
    </row>
    <row r="2458" spans="2:28" x14ac:dyDescent="0.2">
      <c r="B2458" s="30" t="s">
        <v>2294</v>
      </c>
      <c r="C2458" s="36"/>
      <c r="D2458" s="36"/>
      <c r="F2458" s="1" t="s">
        <v>1895</v>
      </c>
      <c r="G2458" s="30" t="s">
        <v>4844</v>
      </c>
      <c r="K2458" s="1" t="s">
        <v>4845</v>
      </c>
      <c r="L2458" s="1" t="s">
        <v>1279</v>
      </c>
      <c r="M2458" s="36" t="s">
        <v>1613</v>
      </c>
      <c r="N2458" s="1" t="s">
        <v>1283</v>
      </c>
      <c r="O2458" s="1" t="s">
        <v>1286</v>
      </c>
      <c r="P2458" s="34" t="str">
        <f t="shared" si="50"/>
        <v>F010</v>
      </c>
      <c r="Q2458" s="1" t="s">
        <v>137</v>
      </c>
      <c r="S2458" s="16">
        <v>20</v>
      </c>
      <c r="T2458" s="1" t="s">
        <v>2299</v>
      </c>
      <c r="U2458" s="1" t="s">
        <v>1699</v>
      </c>
      <c r="V2458" s="1" t="s">
        <v>1336</v>
      </c>
      <c r="Y2458" s="1">
        <v>15350</v>
      </c>
      <c r="AB2458" s="1">
        <v>12962.24</v>
      </c>
    </row>
    <row r="2459" spans="2:28" x14ac:dyDescent="0.2">
      <c r="B2459" s="30" t="s">
        <v>2294</v>
      </c>
      <c r="C2459" s="36"/>
      <c r="D2459" s="36"/>
      <c r="F2459" s="1" t="s">
        <v>1322</v>
      </c>
      <c r="G2459" s="30" t="s">
        <v>4846</v>
      </c>
      <c r="K2459" s="1" t="s">
        <v>4847</v>
      </c>
      <c r="L2459" s="1" t="s">
        <v>1279</v>
      </c>
      <c r="M2459" s="36" t="s">
        <v>2438</v>
      </c>
      <c r="N2459" s="1" t="s">
        <v>1288</v>
      </c>
      <c r="O2459" s="1" t="s">
        <v>1286</v>
      </c>
      <c r="P2459" s="34" t="str">
        <f t="shared" si="50"/>
        <v>F010</v>
      </c>
      <c r="Q2459" s="1" t="s">
        <v>1296</v>
      </c>
      <c r="S2459" s="16">
        <v>20</v>
      </c>
      <c r="T2459" s="1" t="s">
        <v>2427</v>
      </c>
      <c r="U2459" s="1" t="s">
        <v>4848</v>
      </c>
      <c r="V2459" s="1" t="s">
        <v>2313</v>
      </c>
      <c r="Y2459" s="1">
        <v>5700</v>
      </c>
      <c r="AB2459" s="1">
        <v>5415</v>
      </c>
    </row>
    <row r="2460" spans="2:28" x14ac:dyDescent="0.2">
      <c r="B2460" s="30" t="s">
        <v>2294</v>
      </c>
      <c r="C2460" s="36"/>
      <c r="D2460" s="36"/>
      <c r="F2460" s="1" t="s">
        <v>1895</v>
      </c>
      <c r="G2460" s="30" t="s">
        <v>4849</v>
      </c>
      <c r="K2460" s="1" t="s">
        <v>4850</v>
      </c>
      <c r="L2460" s="1" t="s">
        <v>1279</v>
      </c>
      <c r="M2460" s="36" t="s">
        <v>2438</v>
      </c>
      <c r="N2460" s="1" t="s">
        <v>4351</v>
      </c>
      <c r="O2460" s="1" t="s">
        <v>1286</v>
      </c>
      <c r="P2460" s="34" t="str">
        <f t="shared" si="50"/>
        <v>F010</v>
      </c>
      <c r="Q2460" s="1" t="s">
        <v>131</v>
      </c>
      <c r="S2460" s="16">
        <v>20</v>
      </c>
      <c r="T2460" s="1" t="s">
        <v>2299</v>
      </c>
      <c r="U2460" s="1" t="s">
        <v>4848</v>
      </c>
      <c r="V2460" s="1" t="s">
        <v>2313</v>
      </c>
      <c r="Y2460" s="1">
        <v>8200</v>
      </c>
      <c r="AB2460" s="1">
        <v>7790</v>
      </c>
    </row>
    <row r="2461" spans="2:28" x14ac:dyDescent="0.2">
      <c r="B2461" s="30" t="s">
        <v>2294</v>
      </c>
      <c r="C2461" s="36"/>
      <c r="D2461" s="36"/>
      <c r="F2461" s="1" t="s">
        <v>1322</v>
      </c>
      <c r="G2461" s="30" t="s">
        <v>4851</v>
      </c>
      <c r="K2461" s="1" t="s">
        <v>4852</v>
      </c>
      <c r="L2461" s="1" t="s">
        <v>1279</v>
      </c>
      <c r="M2461" s="36" t="s">
        <v>1456</v>
      </c>
      <c r="N2461" s="1" t="s">
        <v>4232</v>
      </c>
      <c r="O2461" s="1" t="s">
        <v>1286</v>
      </c>
      <c r="P2461" s="34" t="str">
        <f t="shared" si="50"/>
        <v>F010</v>
      </c>
      <c r="Q2461" s="1" t="s">
        <v>135</v>
      </c>
      <c r="S2461" s="16">
        <v>20</v>
      </c>
      <c r="T2461" s="1" t="s">
        <v>2427</v>
      </c>
      <c r="U2461" s="1" t="s">
        <v>1870</v>
      </c>
      <c r="V2461" s="1" t="s">
        <v>1871</v>
      </c>
      <c r="Y2461" s="1">
        <v>4500</v>
      </c>
      <c r="AB2461" s="1">
        <v>4275</v>
      </c>
    </row>
    <row r="2462" spans="2:28" x14ac:dyDescent="0.2">
      <c r="B2462" s="30" t="s">
        <v>2294</v>
      </c>
      <c r="C2462" s="36"/>
      <c r="D2462" s="36"/>
      <c r="F2462" s="1" t="s">
        <v>1895</v>
      </c>
      <c r="G2462" s="30" t="s">
        <v>4853</v>
      </c>
      <c r="K2462" s="1" t="s">
        <v>4854</v>
      </c>
      <c r="L2462" s="1" t="s">
        <v>1279</v>
      </c>
      <c r="M2462" s="36" t="s">
        <v>1878</v>
      </c>
      <c r="N2462" s="1" t="s">
        <v>2394</v>
      </c>
      <c r="O2462" s="1" t="s">
        <v>1286</v>
      </c>
      <c r="P2462" s="34" t="str">
        <f t="shared" si="50"/>
        <v>F010</v>
      </c>
      <c r="Q2462" s="1" t="s">
        <v>129</v>
      </c>
      <c r="S2462" s="16">
        <v>20</v>
      </c>
      <c r="T2462" s="1" t="s">
        <v>2427</v>
      </c>
      <c r="U2462" s="1" t="s">
        <v>2569</v>
      </c>
      <c r="V2462" s="1" t="s">
        <v>1343</v>
      </c>
      <c r="Y2462" s="1">
        <v>6500</v>
      </c>
      <c r="AB2462" s="1">
        <v>6175</v>
      </c>
    </row>
    <row r="2463" spans="2:28" x14ac:dyDescent="0.2">
      <c r="B2463" s="30" t="s">
        <v>2294</v>
      </c>
      <c r="C2463" s="36"/>
      <c r="D2463" s="36"/>
      <c r="F2463" s="1" t="s">
        <v>1895</v>
      </c>
      <c r="G2463" s="30" t="s">
        <v>4855</v>
      </c>
      <c r="K2463" s="1" t="s">
        <v>4856</v>
      </c>
      <c r="L2463" s="1" t="s">
        <v>1279</v>
      </c>
      <c r="M2463" s="36" t="s">
        <v>1567</v>
      </c>
      <c r="N2463" s="1" t="s">
        <v>1287</v>
      </c>
      <c r="O2463" s="1" t="s">
        <v>1286</v>
      </c>
      <c r="P2463" s="34" t="str">
        <f t="shared" si="50"/>
        <v>F010</v>
      </c>
      <c r="Q2463" s="1" t="s">
        <v>137</v>
      </c>
      <c r="S2463" s="16">
        <v>20</v>
      </c>
      <c r="T2463" s="1" t="s">
        <v>2299</v>
      </c>
      <c r="U2463" s="1" t="s">
        <v>1999</v>
      </c>
      <c r="V2463" s="1" t="s">
        <v>1526</v>
      </c>
      <c r="Y2463" s="1">
        <v>34875</v>
      </c>
      <c r="AB2463" s="1">
        <v>26689.05</v>
      </c>
    </row>
    <row r="2464" spans="2:28" x14ac:dyDescent="0.2">
      <c r="B2464" s="30" t="s">
        <v>2294</v>
      </c>
      <c r="C2464" s="36"/>
      <c r="D2464" s="36"/>
      <c r="F2464" s="1" t="s">
        <v>1322</v>
      </c>
      <c r="G2464" s="30" t="s">
        <v>4857</v>
      </c>
      <c r="K2464" s="1" t="s">
        <v>4858</v>
      </c>
      <c r="L2464" s="1" t="s">
        <v>1279</v>
      </c>
      <c r="M2464" s="36" t="s">
        <v>1794</v>
      </c>
      <c r="N2464" s="1" t="s">
        <v>1573</v>
      </c>
      <c r="O2464" s="1" t="s">
        <v>1286</v>
      </c>
      <c r="P2464" s="34" t="str">
        <f t="shared" si="50"/>
        <v>F010</v>
      </c>
      <c r="Q2464" s="1" t="s">
        <v>137</v>
      </c>
      <c r="S2464" s="16">
        <v>20</v>
      </c>
      <c r="T2464" s="1" t="s">
        <v>2299</v>
      </c>
      <c r="U2464" s="1" t="s">
        <v>1497</v>
      </c>
      <c r="V2464" s="1" t="s">
        <v>1498</v>
      </c>
      <c r="Y2464" s="1">
        <v>6850</v>
      </c>
      <c r="AB2464" s="1">
        <v>4519.09</v>
      </c>
    </row>
    <row r="2465" spans="2:28" x14ac:dyDescent="0.2">
      <c r="B2465" s="30" t="s">
        <v>2294</v>
      </c>
      <c r="C2465" s="36"/>
      <c r="D2465" s="36"/>
      <c r="F2465" s="1" t="s">
        <v>1322</v>
      </c>
      <c r="G2465" s="30" t="s">
        <v>4857</v>
      </c>
      <c r="K2465" s="1" t="s">
        <v>4859</v>
      </c>
      <c r="L2465" s="1" t="s">
        <v>1279</v>
      </c>
      <c r="M2465" s="36" t="s">
        <v>1794</v>
      </c>
      <c r="N2465" s="1" t="s">
        <v>1286</v>
      </c>
      <c r="O2465" s="1" t="s">
        <v>1286</v>
      </c>
      <c r="P2465" s="34" t="str">
        <f t="shared" si="50"/>
        <v>F010</v>
      </c>
      <c r="Q2465" s="1" t="s">
        <v>137</v>
      </c>
      <c r="S2465" s="16">
        <v>20</v>
      </c>
      <c r="T2465" s="1" t="s">
        <v>2427</v>
      </c>
      <c r="U2465" s="1" t="s">
        <v>1497</v>
      </c>
      <c r="V2465" s="1" t="s">
        <v>1498</v>
      </c>
      <c r="Y2465" s="1">
        <v>7150</v>
      </c>
      <c r="AB2465" s="1">
        <v>4717</v>
      </c>
    </row>
    <row r="2466" spans="2:28" x14ac:dyDescent="0.2">
      <c r="B2466" s="30" t="s">
        <v>2294</v>
      </c>
      <c r="C2466" s="36"/>
      <c r="D2466" s="36"/>
      <c r="F2466" s="1" t="s">
        <v>1895</v>
      </c>
      <c r="G2466" s="30" t="s">
        <v>4857</v>
      </c>
      <c r="K2466" s="1" t="s">
        <v>4860</v>
      </c>
      <c r="L2466" s="1" t="s">
        <v>1279</v>
      </c>
      <c r="M2466" s="36" t="s">
        <v>1794</v>
      </c>
      <c r="N2466" s="1" t="s">
        <v>1286</v>
      </c>
      <c r="O2466" s="1" t="s">
        <v>1286</v>
      </c>
      <c r="P2466" s="34" t="str">
        <f t="shared" si="50"/>
        <v>F010</v>
      </c>
      <c r="Q2466" s="1" t="s">
        <v>137</v>
      </c>
      <c r="S2466" s="16">
        <v>20</v>
      </c>
      <c r="T2466" s="1" t="s">
        <v>2299</v>
      </c>
      <c r="U2466" s="1" t="s">
        <v>1497</v>
      </c>
      <c r="V2466" s="1" t="s">
        <v>1498</v>
      </c>
      <c r="Y2466" s="1">
        <v>7150</v>
      </c>
      <c r="AB2466" s="1">
        <v>4717</v>
      </c>
    </row>
    <row r="2467" spans="2:28" x14ac:dyDescent="0.2">
      <c r="B2467" s="30" t="s">
        <v>2294</v>
      </c>
      <c r="C2467" s="36"/>
      <c r="D2467" s="36"/>
      <c r="F2467" s="1" t="s">
        <v>1322</v>
      </c>
      <c r="G2467" s="30" t="s">
        <v>4857</v>
      </c>
      <c r="K2467" s="1" t="s">
        <v>4861</v>
      </c>
      <c r="L2467" s="1" t="s">
        <v>1279</v>
      </c>
      <c r="M2467" s="36" t="s">
        <v>1794</v>
      </c>
      <c r="N2467" s="1" t="s">
        <v>1286</v>
      </c>
      <c r="O2467" s="1" t="s">
        <v>1286</v>
      </c>
      <c r="P2467" s="34" t="str">
        <f t="shared" si="50"/>
        <v>F010</v>
      </c>
      <c r="Q2467" s="1" t="s">
        <v>137</v>
      </c>
      <c r="S2467" s="16">
        <v>20</v>
      </c>
      <c r="T2467" s="1" t="s">
        <v>2427</v>
      </c>
      <c r="U2467" s="1" t="s">
        <v>1497</v>
      </c>
      <c r="V2467" s="1" t="s">
        <v>1498</v>
      </c>
      <c r="Y2467" s="1">
        <v>7150</v>
      </c>
      <c r="AB2467" s="1">
        <v>4717</v>
      </c>
    </row>
    <row r="2468" spans="2:28" x14ac:dyDescent="0.2">
      <c r="B2468" s="30" t="s">
        <v>2294</v>
      </c>
      <c r="C2468" s="36"/>
      <c r="D2468" s="36"/>
      <c r="F2468" s="1" t="s">
        <v>1895</v>
      </c>
      <c r="G2468" s="30" t="s">
        <v>4857</v>
      </c>
      <c r="K2468" s="1" t="s">
        <v>4862</v>
      </c>
      <c r="L2468" s="1" t="s">
        <v>1279</v>
      </c>
      <c r="M2468" s="36" t="s">
        <v>1794</v>
      </c>
      <c r="N2468" s="1" t="s">
        <v>1286</v>
      </c>
      <c r="O2468" s="1" t="s">
        <v>1286</v>
      </c>
      <c r="P2468" s="34" t="str">
        <f t="shared" si="50"/>
        <v>F010</v>
      </c>
      <c r="Q2468" s="1" t="s">
        <v>137</v>
      </c>
      <c r="S2468" s="16">
        <v>20</v>
      </c>
      <c r="T2468" s="1" t="s">
        <v>2299</v>
      </c>
      <c r="U2468" s="1" t="s">
        <v>1497</v>
      </c>
      <c r="V2468" s="1" t="s">
        <v>1498</v>
      </c>
      <c r="Y2468" s="1">
        <v>7150</v>
      </c>
      <c r="AB2468" s="1">
        <v>4717</v>
      </c>
    </row>
    <row r="2469" spans="2:28" x14ac:dyDescent="0.2">
      <c r="B2469" s="30" t="s">
        <v>2294</v>
      </c>
      <c r="C2469" s="36"/>
      <c r="D2469" s="36"/>
      <c r="F2469" s="1" t="s">
        <v>1322</v>
      </c>
      <c r="G2469" s="30" t="s">
        <v>4857</v>
      </c>
      <c r="K2469" s="1" t="s">
        <v>4863</v>
      </c>
      <c r="L2469" s="1" t="s">
        <v>1279</v>
      </c>
      <c r="M2469" s="36" t="s">
        <v>1794</v>
      </c>
      <c r="N2469" s="1" t="s">
        <v>1573</v>
      </c>
      <c r="O2469" s="1" t="s">
        <v>1286</v>
      </c>
      <c r="P2469" s="34" t="str">
        <f t="shared" si="50"/>
        <v>F010</v>
      </c>
      <c r="Q2469" s="1" t="s">
        <v>137</v>
      </c>
      <c r="S2469" s="16">
        <v>20</v>
      </c>
      <c r="T2469" s="1" t="s">
        <v>2427</v>
      </c>
      <c r="U2469" s="1" t="s">
        <v>1497</v>
      </c>
      <c r="V2469" s="1" t="s">
        <v>1498</v>
      </c>
      <c r="Y2469" s="1">
        <v>7150</v>
      </c>
      <c r="AB2469" s="1">
        <v>4717</v>
      </c>
    </row>
    <row r="2470" spans="2:28" x14ac:dyDescent="0.2">
      <c r="B2470" s="30" t="s">
        <v>2294</v>
      </c>
      <c r="C2470" s="36"/>
      <c r="D2470" s="36"/>
      <c r="F2470" s="1" t="s">
        <v>1895</v>
      </c>
      <c r="G2470" s="30" t="s">
        <v>4857</v>
      </c>
      <c r="K2470" s="1" t="s">
        <v>4864</v>
      </c>
      <c r="L2470" s="1" t="s">
        <v>1279</v>
      </c>
      <c r="M2470" s="36" t="s">
        <v>1794</v>
      </c>
      <c r="N2470" s="1" t="s">
        <v>1286</v>
      </c>
      <c r="O2470" s="1" t="s">
        <v>1286</v>
      </c>
      <c r="P2470" s="34" t="str">
        <f t="shared" si="50"/>
        <v>F010</v>
      </c>
      <c r="Q2470" s="1" t="s">
        <v>137</v>
      </c>
      <c r="S2470" s="16">
        <v>20</v>
      </c>
      <c r="T2470" s="1" t="s">
        <v>2299</v>
      </c>
      <c r="U2470" s="1" t="s">
        <v>1497</v>
      </c>
      <c r="V2470" s="1" t="s">
        <v>1498</v>
      </c>
      <c r="Y2470" s="1">
        <v>7150</v>
      </c>
      <c r="AB2470" s="1">
        <v>4717</v>
      </c>
    </row>
    <row r="2471" spans="2:28" x14ac:dyDescent="0.2">
      <c r="B2471" s="30" t="s">
        <v>2294</v>
      </c>
      <c r="C2471" s="36"/>
      <c r="D2471" s="36"/>
      <c r="F2471" s="1" t="s">
        <v>1322</v>
      </c>
      <c r="G2471" s="30" t="s">
        <v>4857</v>
      </c>
      <c r="K2471" s="1" t="s">
        <v>4865</v>
      </c>
      <c r="L2471" s="1" t="s">
        <v>1279</v>
      </c>
      <c r="M2471" s="36" t="s">
        <v>1794</v>
      </c>
      <c r="N2471" s="1" t="s">
        <v>1630</v>
      </c>
      <c r="O2471" s="1" t="s">
        <v>1286</v>
      </c>
      <c r="P2471" s="34" t="str">
        <f t="shared" si="50"/>
        <v>F010</v>
      </c>
      <c r="Q2471" s="1" t="s">
        <v>137</v>
      </c>
      <c r="S2471" s="16">
        <v>20</v>
      </c>
      <c r="T2471" s="1" t="s">
        <v>2427</v>
      </c>
      <c r="U2471" s="1" t="s">
        <v>1497</v>
      </c>
      <c r="V2471" s="1" t="s">
        <v>1498</v>
      </c>
      <c r="Y2471" s="1">
        <v>7150</v>
      </c>
      <c r="AB2471" s="1">
        <v>4717</v>
      </c>
    </row>
    <row r="2472" spans="2:28" x14ac:dyDescent="0.2">
      <c r="B2472" s="30" t="s">
        <v>2294</v>
      </c>
      <c r="C2472" s="36"/>
      <c r="D2472" s="36"/>
      <c r="F2472" s="1" t="s">
        <v>1895</v>
      </c>
      <c r="G2472" s="30" t="s">
        <v>4857</v>
      </c>
      <c r="K2472" s="1" t="s">
        <v>4866</v>
      </c>
      <c r="L2472" s="1" t="s">
        <v>1279</v>
      </c>
      <c r="M2472" s="36" t="s">
        <v>1535</v>
      </c>
      <c r="N2472" s="1" t="s">
        <v>1708</v>
      </c>
      <c r="O2472" s="1" t="s">
        <v>1286</v>
      </c>
      <c r="P2472" s="34" t="str">
        <f t="shared" si="50"/>
        <v>F010</v>
      </c>
      <c r="Q2472" s="1" t="s">
        <v>127</v>
      </c>
      <c r="S2472" s="16">
        <v>20</v>
      </c>
      <c r="T2472" s="1" t="s">
        <v>2299</v>
      </c>
      <c r="U2472" s="1" t="s">
        <v>2068</v>
      </c>
      <c r="V2472" s="1" t="s">
        <v>1606</v>
      </c>
      <c r="Y2472" s="1">
        <v>6850</v>
      </c>
      <c r="AB2472" s="1">
        <v>3615.27</v>
      </c>
    </row>
    <row r="2473" spans="2:28" x14ac:dyDescent="0.2">
      <c r="B2473" s="30" t="s">
        <v>2294</v>
      </c>
      <c r="C2473" s="36"/>
      <c r="D2473" s="36"/>
      <c r="F2473" s="1" t="s">
        <v>1322</v>
      </c>
      <c r="G2473" s="30" t="s">
        <v>4857</v>
      </c>
      <c r="K2473" s="1" t="s">
        <v>4867</v>
      </c>
      <c r="L2473" s="1" t="s">
        <v>1279</v>
      </c>
      <c r="M2473" s="36" t="s">
        <v>1535</v>
      </c>
      <c r="N2473" s="1" t="s">
        <v>1715</v>
      </c>
      <c r="O2473" s="1" t="s">
        <v>1286</v>
      </c>
      <c r="P2473" s="34" t="str">
        <f t="shared" si="50"/>
        <v>F010</v>
      </c>
      <c r="Q2473" s="1" t="s">
        <v>127</v>
      </c>
      <c r="S2473" s="16">
        <v>20</v>
      </c>
      <c r="T2473" s="1" t="s">
        <v>2299</v>
      </c>
      <c r="U2473" s="1" t="s">
        <v>2068</v>
      </c>
      <c r="V2473" s="1" t="s">
        <v>1606</v>
      </c>
      <c r="Y2473" s="1">
        <v>6850</v>
      </c>
      <c r="AB2473" s="1">
        <v>3615.27</v>
      </c>
    </row>
    <row r="2474" spans="2:28" x14ac:dyDescent="0.2">
      <c r="B2474" s="30" t="s">
        <v>2294</v>
      </c>
      <c r="C2474" s="36"/>
      <c r="D2474" s="36"/>
      <c r="F2474" s="1" t="s">
        <v>1322</v>
      </c>
      <c r="G2474" s="30" t="s">
        <v>4857</v>
      </c>
      <c r="K2474" s="1" t="s">
        <v>4868</v>
      </c>
      <c r="L2474" s="1" t="s">
        <v>1279</v>
      </c>
      <c r="M2474" s="36" t="s">
        <v>1535</v>
      </c>
      <c r="N2474" s="1" t="s">
        <v>1614</v>
      </c>
      <c r="O2474" s="1" t="s">
        <v>1286</v>
      </c>
      <c r="P2474" s="34" t="str">
        <f t="shared" si="50"/>
        <v>F010</v>
      </c>
      <c r="Q2474" s="1" t="s">
        <v>127</v>
      </c>
      <c r="S2474" s="16">
        <v>20</v>
      </c>
      <c r="T2474" s="1" t="s">
        <v>2427</v>
      </c>
      <c r="U2474" s="1" t="s">
        <v>2068</v>
      </c>
      <c r="V2474" s="1" t="s">
        <v>1606</v>
      </c>
      <c r="Y2474" s="1">
        <v>6850</v>
      </c>
      <c r="AB2474" s="1">
        <v>3615.27</v>
      </c>
    </row>
    <row r="2475" spans="2:28" x14ac:dyDescent="0.2">
      <c r="B2475" s="30" t="s">
        <v>2294</v>
      </c>
      <c r="C2475" s="36"/>
      <c r="D2475" s="36"/>
      <c r="F2475" s="1" t="s">
        <v>1895</v>
      </c>
      <c r="G2475" s="30" t="s">
        <v>4857</v>
      </c>
      <c r="K2475" s="1" t="s">
        <v>4869</v>
      </c>
      <c r="L2475" s="1" t="s">
        <v>1279</v>
      </c>
      <c r="M2475" s="36" t="s">
        <v>1535</v>
      </c>
      <c r="N2475" s="1" t="s">
        <v>2495</v>
      </c>
      <c r="O2475" s="1" t="s">
        <v>1286</v>
      </c>
      <c r="P2475" s="34" t="str">
        <f t="shared" si="50"/>
        <v>F010</v>
      </c>
      <c r="Q2475" s="1" t="s">
        <v>127</v>
      </c>
      <c r="S2475" s="16">
        <v>20</v>
      </c>
      <c r="T2475" s="1" t="s">
        <v>2427</v>
      </c>
      <c r="U2475" s="1" t="s">
        <v>2068</v>
      </c>
      <c r="V2475" s="1" t="s">
        <v>1606</v>
      </c>
      <c r="Y2475" s="1">
        <v>6850</v>
      </c>
      <c r="AB2475" s="1">
        <v>3615.27</v>
      </c>
    </row>
    <row r="2476" spans="2:28" x14ac:dyDescent="0.2">
      <c r="B2476" s="30" t="s">
        <v>2294</v>
      </c>
      <c r="C2476" s="36"/>
      <c r="D2476" s="36"/>
      <c r="F2476" s="1" t="s">
        <v>1895</v>
      </c>
      <c r="G2476" s="30" t="s">
        <v>4857</v>
      </c>
      <c r="K2476" s="1" t="s">
        <v>4870</v>
      </c>
      <c r="L2476" s="1" t="s">
        <v>1279</v>
      </c>
      <c r="M2476" s="36" t="s">
        <v>1535</v>
      </c>
      <c r="N2476" s="1" t="s">
        <v>1833</v>
      </c>
      <c r="O2476" s="1" t="s">
        <v>1286</v>
      </c>
      <c r="P2476" s="34" t="str">
        <f t="shared" si="50"/>
        <v>F010</v>
      </c>
      <c r="Q2476" s="1" t="s">
        <v>127</v>
      </c>
      <c r="S2476" s="16">
        <v>20</v>
      </c>
      <c r="T2476" s="1" t="s">
        <v>2299</v>
      </c>
      <c r="U2476" s="1" t="s">
        <v>2068</v>
      </c>
      <c r="V2476" s="1" t="s">
        <v>1606</v>
      </c>
      <c r="Y2476" s="1">
        <v>6850</v>
      </c>
      <c r="AB2476" s="1">
        <v>3615.27</v>
      </c>
    </row>
    <row r="2477" spans="2:28" x14ac:dyDescent="0.2">
      <c r="B2477" s="30" t="s">
        <v>2294</v>
      </c>
      <c r="C2477" s="36"/>
      <c r="D2477" s="36"/>
      <c r="F2477" s="1" t="s">
        <v>1322</v>
      </c>
      <c r="G2477" s="30" t="s">
        <v>4857</v>
      </c>
      <c r="K2477" s="1" t="s">
        <v>4871</v>
      </c>
      <c r="L2477" s="1" t="s">
        <v>1279</v>
      </c>
      <c r="M2477" s="36" t="s">
        <v>1535</v>
      </c>
      <c r="N2477" s="1" t="s">
        <v>1614</v>
      </c>
      <c r="O2477" s="1" t="s">
        <v>1286</v>
      </c>
      <c r="P2477" s="34" t="str">
        <f t="shared" si="50"/>
        <v>F010</v>
      </c>
      <c r="Q2477" s="1" t="s">
        <v>127</v>
      </c>
      <c r="S2477" s="16">
        <v>20</v>
      </c>
      <c r="T2477" s="1" t="s">
        <v>2427</v>
      </c>
      <c r="U2477" s="1" t="s">
        <v>2068</v>
      </c>
      <c r="V2477" s="1" t="s">
        <v>1606</v>
      </c>
      <c r="Y2477" s="1">
        <v>6850</v>
      </c>
      <c r="AB2477" s="1">
        <v>3615.27</v>
      </c>
    </row>
    <row r="2478" spans="2:28" x14ac:dyDescent="0.2">
      <c r="B2478" s="30" t="s">
        <v>2294</v>
      </c>
      <c r="C2478" s="36"/>
      <c r="D2478" s="36"/>
      <c r="F2478" s="1" t="s">
        <v>1895</v>
      </c>
      <c r="G2478" s="30" t="s">
        <v>4857</v>
      </c>
      <c r="K2478" s="1" t="s">
        <v>4872</v>
      </c>
      <c r="L2478" s="1" t="s">
        <v>1279</v>
      </c>
      <c r="M2478" s="36" t="s">
        <v>1535</v>
      </c>
      <c r="N2478" s="1" t="s">
        <v>1573</v>
      </c>
      <c r="O2478" s="1" t="s">
        <v>1286</v>
      </c>
      <c r="P2478" s="34" t="str">
        <f t="shared" ref="P2478:P2541" si="51">+LEFT(Q2478,4)</f>
        <v>F010</v>
      </c>
      <c r="Q2478" s="1" t="s">
        <v>127</v>
      </c>
      <c r="S2478" s="16">
        <v>20</v>
      </c>
      <c r="T2478" s="1" t="s">
        <v>2299</v>
      </c>
      <c r="U2478" s="1" t="s">
        <v>2068</v>
      </c>
      <c r="V2478" s="1" t="s">
        <v>1606</v>
      </c>
      <c r="Y2478" s="1">
        <v>6850</v>
      </c>
      <c r="AB2478" s="1">
        <v>3615.27</v>
      </c>
    </row>
    <row r="2479" spans="2:28" x14ac:dyDescent="0.2">
      <c r="B2479" s="30" t="s">
        <v>2294</v>
      </c>
      <c r="C2479" s="36"/>
      <c r="D2479" s="36"/>
      <c r="F2479" s="1" t="s">
        <v>1322</v>
      </c>
      <c r="G2479" s="30" t="s">
        <v>4857</v>
      </c>
      <c r="K2479" s="1" t="s">
        <v>4873</v>
      </c>
      <c r="L2479" s="1" t="s">
        <v>1279</v>
      </c>
      <c r="M2479" s="36" t="s">
        <v>1535</v>
      </c>
      <c r="N2479" s="1" t="s">
        <v>1573</v>
      </c>
      <c r="O2479" s="1" t="s">
        <v>1286</v>
      </c>
      <c r="P2479" s="34" t="str">
        <f t="shared" si="51"/>
        <v>F010</v>
      </c>
      <c r="Q2479" s="1" t="s">
        <v>127</v>
      </c>
      <c r="S2479" s="16">
        <v>20</v>
      </c>
      <c r="T2479" s="1" t="s">
        <v>2427</v>
      </c>
      <c r="U2479" s="1" t="s">
        <v>2068</v>
      </c>
      <c r="V2479" s="1" t="s">
        <v>1606</v>
      </c>
      <c r="Y2479" s="1">
        <v>6850</v>
      </c>
      <c r="AB2479" s="1">
        <v>3615.27</v>
      </c>
    </row>
    <row r="2480" spans="2:28" x14ac:dyDescent="0.2">
      <c r="B2480" s="30" t="s">
        <v>2294</v>
      </c>
      <c r="C2480" s="36"/>
      <c r="D2480" s="36"/>
      <c r="F2480" s="1" t="s">
        <v>1895</v>
      </c>
      <c r="G2480" s="30" t="s">
        <v>4857</v>
      </c>
      <c r="K2480" s="1" t="s">
        <v>4874</v>
      </c>
      <c r="L2480" s="1" t="s">
        <v>1279</v>
      </c>
      <c r="M2480" s="36" t="s">
        <v>2068</v>
      </c>
      <c r="N2480" s="1" t="s">
        <v>1658</v>
      </c>
      <c r="O2480" s="1" t="s">
        <v>1286</v>
      </c>
      <c r="P2480" s="34" t="str">
        <f t="shared" si="51"/>
        <v>F010</v>
      </c>
      <c r="Q2480" s="1" t="s">
        <v>127</v>
      </c>
      <c r="S2480" s="16">
        <v>20</v>
      </c>
      <c r="T2480" s="1" t="s">
        <v>2299</v>
      </c>
      <c r="U2480" s="1" t="s">
        <v>1511</v>
      </c>
      <c r="V2480" s="1" t="s">
        <v>4719</v>
      </c>
      <c r="Y2480" s="1">
        <v>5854.7</v>
      </c>
      <c r="AB2480" s="1">
        <v>2909.25</v>
      </c>
    </row>
    <row r="2481" spans="2:28" x14ac:dyDescent="0.2">
      <c r="B2481" s="30" t="s">
        <v>2294</v>
      </c>
      <c r="C2481" s="36"/>
      <c r="D2481" s="36"/>
      <c r="F2481" s="1" t="s">
        <v>1322</v>
      </c>
      <c r="G2481" s="30" t="s">
        <v>4857</v>
      </c>
      <c r="K2481" s="1" t="s">
        <v>4875</v>
      </c>
      <c r="L2481" s="1" t="s">
        <v>1279</v>
      </c>
      <c r="M2481" s="36" t="s">
        <v>2068</v>
      </c>
      <c r="N2481" s="1" t="s">
        <v>1708</v>
      </c>
      <c r="O2481" s="1" t="s">
        <v>1286</v>
      </c>
      <c r="P2481" s="34" t="str">
        <f t="shared" si="51"/>
        <v>F010</v>
      </c>
      <c r="Q2481" s="1" t="s">
        <v>127</v>
      </c>
      <c r="S2481" s="16">
        <v>20</v>
      </c>
      <c r="T2481" s="1" t="s">
        <v>2427</v>
      </c>
      <c r="U2481" s="1" t="s">
        <v>1511</v>
      </c>
      <c r="V2481" s="1" t="s">
        <v>4719</v>
      </c>
      <c r="Y2481" s="1">
        <v>5854.69</v>
      </c>
      <c r="AB2481" s="1">
        <v>2909.24</v>
      </c>
    </row>
    <row r="2482" spans="2:28" x14ac:dyDescent="0.2">
      <c r="B2482" s="30" t="s">
        <v>2294</v>
      </c>
      <c r="C2482" s="36"/>
      <c r="D2482" s="36"/>
      <c r="F2482" s="1" t="s">
        <v>1895</v>
      </c>
      <c r="G2482" s="30" t="s">
        <v>4857</v>
      </c>
      <c r="K2482" s="1" t="s">
        <v>4876</v>
      </c>
      <c r="L2482" s="1" t="s">
        <v>1279</v>
      </c>
      <c r="M2482" s="36" t="s">
        <v>2068</v>
      </c>
      <c r="N2482" s="1" t="s">
        <v>1837</v>
      </c>
      <c r="O2482" s="1" t="s">
        <v>1286</v>
      </c>
      <c r="P2482" s="34" t="str">
        <f t="shared" si="51"/>
        <v>F010</v>
      </c>
      <c r="Q2482" s="1" t="s">
        <v>127</v>
      </c>
      <c r="S2482" s="16">
        <v>20</v>
      </c>
      <c r="T2482" s="1" t="s">
        <v>2299</v>
      </c>
      <c r="U2482" s="1" t="s">
        <v>1511</v>
      </c>
      <c r="V2482" s="1" t="s">
        <v>4719</v>
      </c>
      <c r="Y2482" s="1">
        <v>5854.7</v>
      </c>
      <c r="AB2482" s="1">
        <v>2909.25</v>
      </c>
    </row>
    <row r="2483" spans="2:28" x14ac:dyDescent="0.2">
      <c r="B2483" s="30" t="s">
        <v>2294</v>
      </c>
      <c r="C2483" s="36"/>
      <c r="D2483" s="36"/>
      <c r="F2483" s="1" t="s">
        <v>1322</v>
      </c>
      <c r="G2483" s="30" t="s">
        <v>4857</v>
      </c>
      <c r="K2483" s="1" t="s">
        <v>4877</v>
      </c>
      <c r="L2483" s="1" t="s">
        <v>1279</v>
      </c>
      <c r="M2483" s="36" t="s">
        <v>2068</v>
      </c>
      <c r="N2483" s="1" t="s">
        <v>1658</v>
      </c>
      <c r="O2483" s="1" t="s">
        <v>1286</v>
      </c>
      <c r="P2483" s="34" t="str">
        <f t="shared" si="51"/>
        <v>F010</v>
      </c>
      <c r="Q2483" s="1" t="s">
        <v>127</v>
      </c>
      <c r="S2483" s="16">
        <v>20</v>
      </c>
      <c r="T2483" s="1" t="s">
        <v>2299</v>
      </c>
      <c r="U2483" s="1" t="s">
        <v>1511</v>
      </c>
      <c r="V2483" s="1" t="s">
        <v>4719</v>
      </c>
      <c r="Y2483" s="1">
        <v>5854.7</v>
      </c>
      <c r="AB2483" s="1">
        <v>2909.25</v>
      </c>
    </row>
    <row r="2484" spans="2:28" x14ac:dyDescent="0.2">
      <c r="B2484" s="30" t="s">
        <v>2294</v>
      </c>
      <c r="C2484" s="36"/>
      <c r="D2484" s="36"/>
      <c r="F2484" s="1" t="s">
        <v>1322</v>
      </c>
      <c r="G2484" s="30" t="s">
        <v>4857</v>
      </c>
      <c r="K2484" s="1" t="s">
        <v>4878</v>
      </c>
      <c r="L2484" s="1" t="s">
        <v>1279</v>
      </c>
      <c r="M2484" s="36" t="s">
        <v>2068</v>
      </c>
      <c r="N2484" s="1" t="s">
        <v>1837</v>
      </c>
      <c r="O2484" s="1" t="s">
        <v>1286</v>
      </c>
      <c r="P2484" s="34" t="str">
        <f t="shared" si="51"/>
        <v>F010</v>
      </c>
      <c r="Q2484" s="1" t="s">
        <v>127</v>
      </c>
      <c r="S2484" s="16">
        <v>20</v>
      </c>
      <c r="T2484" s="1" t="s">
        <v>4637</v>
      </c>
      <c r="U2484" s="1" t="s">
        <v>1511</v>
      </c>
      <c r="V2484" s="1" t="s">
        <v>4719</v>
      </c>
      <c r="Y2484" s="1">
        <v>5854.7</v>
      </c>
      <c r="AB2484" s="1">
        <v>2909.25</v>
      </c>
    </row>
    <row r="2485" spans="2:28" x14ac:dyDescent="0.2">
      <c r="B2485" s="30" t="s">
        <v>2294</v>
      </c>
      <c r="C2485" s="36"/>
      <c r="D2485" s="36"/>
      <c r="F2485" s="1" t="s">
        <v>4638</v>
      </c>
      <c r="G2485" s="30" t="s">
        <v>4857</v>
      </c>
      <c r="K2485" s="1" t="s">
        <v>4879</v>
      </c>
      <c r="L2485" s="1" t="s">
        <v>1279</v>
      </c>
      <c r="M2485" s="36" t="s">
        <v>2068</v>
      </c>
      <c r="N2485" s="1" t="s">
        <v>3340</v>
      </c>
      <c r="O2485" s="1" t="s">
        <v>1286</v>
      </c>
      <c r="P2485" s="34" t="str">
        <f t="shared" si="51"/>
        <v>F010</v>
      </c>
      <c r="Q2485" s="1" t="s">
        <v>127</v>
      </c>
      <c r="S2485" s="16">
        <v>20</v>
      </c>
      <c r="T2485" s="1" t="s">
        <v>2427</v>
      </c>
      <c r="U2485" s="1" t="s">
        <v>1511</v>
      </c>
      <c r="V2485" s="1" t="s">
        <v>4719</v>
      </c>
      <c r="Y2485" s="1">
        <v>6111.11</v>
      </c>
      <c r="AB2485" s="1">
        <v>3036.59</v>
      </c>
    </row>
    <row r="2486" spans="2:28" x14ac:dyDescent="0.2">
      <c r="B2486" s="30" t="s">
        <v>2294</v>
      </c>
      <c r="C2486" s="36"/>
      <c r="D2486" s="36"/>
      <c r="F2486" s="1" t="s">
        <v>1895</v>
      </c>
      <c r="G2486" s="30" t="s">
        <v>4857</v>
      </c>
      <c r="K2486" s="1" t="s">
        <v>4880</v>
      </c>
      <c r="L2486" s="1" t="s">
        <v>1279</v>
      </c>
      <c r="M2486" s="36" t="s">
        <v>2068</v>
      </c>
      <c r="N2486" s="1" t="s">
        <v>1837</v>
      </c>
      <c r="O2486" s="1" t="s">
        <v>1286</v>
      </c>
      <c r="P2486" s="34" t="str">
        <f t="shared" si="51"/>
        <v>F010</v>
      </c>
      <c r="Q2486" s="1" t="s">
        <v>127</v>
      </c>
      <c r="S2486" s="16">
        <v>20</v>
      </c>
      <c r="T2486" s="1" t="s">
        <v>2427</v>
      </c>
      <c r="U2486" s="1" t="s">
        <v>1511</v>
      </c>
      <c r="V2486" s="1" t="s">
        <v>4719</v>
      </c>
      <c r="Y2486" s="1">
        <v>5854.7</v>
      </c>
      <c r="AB2486" s="1">
        <v>2909.25</v>
      </c>
    </row>
    <row r="2487" spans="2:28" x14ac:dyDescent="0.2">
      <c r="B2487" s="30" t="s">
        <v>2294</v>
      </c>
      <c r="C2487" s="36"/>
      <c r="D2487" s="36"/>
      <c r="F2487" s="1" t="s">
        <v>1895</v>
      </c>
      <c r="G2487" s="30" t="s">
        <v>4857</v>
      </c>
      <c r="K2487" s="1" t="s">
        <v>4881</v>
      </c>
      <c r="L2487" s="1" t="s">
        <v>1279</v>
      </c>
      <c r="M2487" s="36" t="s">
        <v>1468</v>
      </c>
      <c r="N2487" s="1" t="s">
        <v>1564</v>
      </c>
      <c r="O2487" s="1" t="s">
        <v>1286</v>
      </c>
      <c r="P2487" s="34" t="str">
        <f t="shared" si="51"/>
        <v>F010</v>
      </c>
      <c r="Q2487" s="1" t="s">
        <v>127</v>
      </c>
      <c r="S2487" s="16">
        <v>20</v>
      </c>
      <c r="T2487" s="1" t="s">
        <v>2427</v>
      </c>
      <c r="U2487" s="1" t="s">
        <v>1463</v>
      </c>
      <c r="V2487" s="1" t="s">
        <v>1465</v>
      </c>
      <c r="Y2487" s="1">
        <v>11015.38</v>
      </c>
      <c r="AB2487" s="1">
        <v>4941.6099999999997</v>
      </c>
    </row>
    <row r="2488" spans="2:28" x14ac:dyDescent="0.2">
      <c r="B2488" s="30" t="s">
        <v>2294</v>
      </c>
      <c r="C2488" s="36"/>
      <c r="D2488" s="36"/>
      <c r="F2488" s="1" t="s">
        <v>1895</v>
      </c>
      <c r="G2488" s="30" t="s">
        <v>4857</v>
      </c>
      <c r="K2488" s="1" t="s">
        <v>4882</v>
      </c>
      <c r="L2488" s="1" t="s">
        <v>1279</v>
      </c>
      <c r="M2488" s="36" t="s">
        <v>1468</v>
      </c>
      <c r="N2488" s="1" t="s">
        <v>1715</v>
      </c>
      <c r="O2488" s="1" t="s">
        <v>1286</v>
      </c>
      <c r="P2488" s="34" t="str">
        <f t="shared" si="51"/>
        <v>F010</v>
      </c>
      <c r="Q2488" s="1" t="s">
        <v>127</v>
      </c>
      <c r="S2488" s="16">
        <v>20</v>
      </c>
      <c r="T2488" s="1" t="s">
        <v>2427</v>
      </c>
      <c r="U2488" s="1" t="s">
        <v>1463</v>
      </c>
      <c r="V2488" s="1" t="s">
        <v>1465</v>
      </c>
      <c r="Y2488" s="1">
        <v>11015.38</v>
      </c>
      <c r="AB2488" s="1">
        <v>4941.6099999999997</v>
      </c>
    </row>
    <row r="2489" spans="2:28" x14ac:dyDescent="0.2">
      <c r="B2489" s="30" t="s">
        <v>2294</v>
      </c>
      <c r="C2489" s="36"/>
      <c r="D2489" s="36"/>
      <c r="F2489" s="1" t="s">
        <v>1895</v>
      </c>
      <c r="G2489" s="30" t="s">
        <v>4857</v>
      </c>
      <c r="K2489" s="1" t="s">
        <v>4883</v>
      </c>
      <c r="L2489" s="1" t="s">
        <v>1279</v>
      </c>
      <c r="M2489" s="36" t="s">
        <v>1794</v>
      </c>
      <c r="N2489" s="1" t="s">
        <v>1286</v>
      </c>
      <c r="O2489" s="1" t="s">
        <v>1286</v>
      </c>
      <c r="P2489" s="34" t="str">
        <f t="shared" si="51"/>
        <v>F010</v>
      </c>
      <c r="Q2489" s="1" t="s">
        <v>138</v>
      </c>
      <c r="S2489" s="16">
        <v>20</v>
      </c>
      <c r="T2489" s="1" t="s">
        <v>2427</v>
      </c>
      <c r="U2489" s="1" t="s">
        <v>1497</v>
      </c>
      <c r="V2489" s="1" t="s">
        <v>1498</v>
      </c>
      <c r="Y2489" s="1">
        <v>7150</v>
      </c>
      <c r="AB2489" s="1">
        <v>4717</v>
      </c>
    </row>
    <row r="2490" spans="2:28" x14ac:dyDescent="0.2">
      <c r="B2490" s="30" t="s">
        <v>2294</v>
      </c>
      <c r="C2490" s="36"/>
      <c r="D2490" s="36"/>
      <c r="F2490" s="1" t="s">
        <v>1895</v>
      </c>
      <c r="G2490" s="30" t="s">
        <v>4857</v>
      </c>
      <c r="K2490" s="1" t="s">
        <v>4884</v>
      </c>
      <c r="L2490" s="1" t="s">
        <v>1279</v>
      </c>
      <c r="M2490" s="36" t="s">
        <v>1794</v>
      </c>
      <c r="N2490" s="1" t="s">
        <v>1587</v>
      </c>
      <c r="O2490" s="1" t="s">
        <v>1286</v>
      </c>
      <c r="P2490" s="34" t="str">
        <f t="shared" si="51"/>
        <v>F010</v>
      </c>
      <c r="Q2490" s="1" t="s">
        <v>127</v>
      </c>
      <c r="S2490" s="16">
        <v>20</v>
      </c>
      <c r="T2490" s="1" t="s">
        <v>2427</v>
      </c>
      <c r="U2490" s="1" t="s">
        <v>1497</v>
      </c>
      <c r="V2490" s="1" t="s">
        <v>1498</v>
      </c>
      <c r="Y2490" s="1">
        <v>6850</v>
      </c>
      <c r="AB2490" s="1">
        <v>4519.09</v>
      </c>
    </row>
    <row r="2491" spans="2:28" x14ac:dyDescent="0.2">
      <c r="B2491" s="30" t="s">
        <v>2294</v>
      </c>
      <c r="C2491" s="36"/>
      <c r="D2491" s="36"/>
      <c r="F2491" s="1" t="s">
        <v>1895</v>
      </c>
      <c r="G2491" s="30" t="s">
        <v>4857</v>
      </c>
      <c r="K2491" s="1" t="s">
        <v>4885</v>
      </c>
      <c r="L2491" s="1" t="s">
        <v>1279</v>
      </c>
      <c r="M2491" s="36" t="s">
        <v>1794</v>
      </c>
      <c r="N2491" s="1" t="s">
        <v>1587</v>
      </c>
      <c r="O2491" s="1" t="s">
        <v>1286</v>
      </c>
      <c r="P2491" s="34" t="str">
        <f t="shared" si="51"/>
        <v>F010</v>
      </c>
      <c r="Q2491" s="1" t="s">
        <v>127</v>
      </c>
      <c r="S2491" s="16">
        <v>20</v>
      </c>
      <c r="T2491" s="1" t="s">
        <v>2427</v>
      </c>
      <c r="U2491" s="1" t="s">
        <v>1497</v>
      </c>
      <c r="V2491" s="1" t="s">
        <v>1498</v>
      </c>
      <c r="Y2491" s="1">
        <v>6850</v>
      </c>
      <c r="AB2491" s="1">
        <v>4519.09</v>
      </c>
    </row>
    <row r="2492" spans="2:28" x14ac:dyDescent="0.2">
      <c r="B2492" s="30" t="s">
        <v>2294</v>
      </c>
      <c r="C2492" s="36"/>
      <c r="D2492" s="36"/>
      <c r="F2492" s="1" t="s">
        <v>1895</v>
      </c>
      <c r="G2492" s="30" t="s">
        <v>4857</v>
      </c>
      <c r="K2492" s="1" t="s">
        <v>4886</v>
      </c>
      <c r="L2492" s="1" t="s">
        <v>1279</v>
      </c>
      <c r="M2492" s="36" t="s">
        <v>1794</v>
      </c>
      <c r="N2492" s="1" t="s">
        <v>1642</v>
      </c>
      <c r="O2492" s="1" t="s">
        <v>1286</v>
      </c>
      <c r="P2492" s="34" t="str">
        <f t="shared" si="51"/>
        <v>F010</v>
      </c>
      <c r="Q2492" s="1" t="s">
        <v>127</v>
      </c>
      <c r="S2492" s="16">
        <v>20</v>
      </c>
      <c r="T2492" s="1" t="s">
        <v>2427</v>
      </c>
      <c r="U2492" s="1" t="s">
        <v>1497</v>
      </c>
      <c r="V2492" s="1" t="s">
        <v>1498</v>
      </c>
      <c r="Y2492" s="1">
        <v>6850</v>
      </c>
      <c r="AB2492" s="1">
        <v>4519.09</v>
      </c>
    </row>
    <row r="2493" spans="2:28" x14ac:dyDescent="0.2">
      <c r="B2493" s="30" t="s">
        <v>2294</v>
      </c>
      <c r="C2493" s="36"/>
      <c r="D2493" s="36"/>
      <c r="F2493" s="1" t="s">
        <v>1895</v>
      </c>
      <c r="G2493" s="30" t="s">
        <v>4857</v>
      </c>
      <c r="K2493" s="1" t="s">
        <v>4887</v>
      </c>
      <c r="L2493" s="1" t="s">
        <v>1279</v>
      </c>
      <c r="M2493" s="36" t="s">
        <v>1794</v>
      </c>
      <c r="N2493" s="1" t="s">
        <v>3504</v>
      </c>
      <c r="O2493" s="1" t="s">
        <v>1286</v>
      </c>
      <c r="P2493" s="34" t="str">
        <f t="shared" si="51"/>
        <v>F010</v>
      </c>
      <c r="Q2493" s="1" t="s">
        <v>127</v>
      </c>
      <c r="S2493" s="16">
        <v>20</v>
      </c>
      <c r="T2493" s="1" t="s">
        <v>2427</v>
      </c>
      <c r="U2493" s="1" t="s">
        <v>1497</v>
      </c>
      <c r="V2493" s="1" t="s">
        <v>1498</v>
      </c>
      <c r="Y2493" s="1">
        <v>6850</v>
      </c>
      <c r="AB2493" s="1">
        <v>4519.09</v>
      </c>
    </row>
    <row r="2494" spans="2:28" x14ac:dyDescent="0.2">
      <c r="B2494" s="30" t="s">
        <v>2294</v>
      </c>
      <c r="C2494" s="36"/>
      <c r="D2494" s="36"/>
      <c r="F2494" s="1" t="s">
        <v>1895</v>
      </c>
      <c r="G2494" s="30" t="s">
        <v>4857</v>
      </c>
      <c r="K2494" s="1" t="s">
        <v>4888</v>
      </c>
      <c r="L2494" s="1" t="s">
        <v>1279</v>
      </c>
      <c r="M2494" s="36" t="s">
        <v>1794</v>
      </c>
      <c r="N2494" s="1" t="s">
        <v>1715</v>
      </c>
      <c r="O2494" s="1" t="s">
        <v>1286</v>
      </c>
      <c r="P2494" s="34" t="str">
        <f t="shared" si="51"/>
        <v>F010</v>
      </c>
      <c r="Q2494" s="1" t="s">
        <v>127</v>
      </c>
      <c r="S2494" s="16">
        <v>20</v>
      </c>
      <c r="T2494" s="1" t="s">
        <v>3511</v>
      </c>
      <c r="U2494" s="1" t="s">
        <v>1497</v>
      </c>
      <c r="V2494" s="1" t="s">
        <v>1498</v>
      </c>
      <c r="Y2494" s="1">
        <v>6850</v>
      </c>
      <c r="AB2494" s="1">
        <v>4519.09</v>
      </c>
    </row>
    <row r="2495" spans="2:28" x14ac:dyDescent="0.2">
      <c r="B2495" s="30" t="s">
        <v>2294</v>
      </c>
      <c r="C2495" s="36"/>
      <c r="D2495" s="36"/>
      <c r="F2495" s="1" t="s">
        <v>3512</v>
      </c>
      <c r="G2495" s="30" t="s">
        <v>4857</v>
      </c>
      <c r="K2495" s="1" t="s">
        <v>4889</v>
      </c>
      <c r="L2495" s="1" t="s">
        <v>1279</v>
      </c>
      <c r="M2495" s="36" t="s">
        <v>1794</v>
      </c>
      <c r="N2495" s="1" t="s">
        <v>2598</v>
      </c>
      <c r="O2495" s="1" t="s">
        <v>1286</v>
      </c>
      <c r="P2495" s="34" t="str">
        <f t="shared" si="51"/>
        <v>F010</v>
      </c>
      <c r="Q2495" s="1" t="s">
        <v>127</v>
      </c>
      <c r="S2495" s="16">
        <v>20</v>
      </c>
      <c r="T2495" s="1" t="s">
        <v>4890</v>
      </c>
      <c r="U2495" s="1" t="s">
        <v>1497</v>
      </c>
      <c r="V2495" s="1" t="s">
        <v>1498</v>
      </c>
      <c r="Y2495" s="1">
        <v>6850</v>
      </c>
      <c r="AB2495" s="1">
        <v>4519.09</v>
      </c>
    </row>
    <row r="2496" spans="2:28" x14ac:dyDescent="0.2">
      <c r="B2496" s="30" t="s">
        <v>2294</v>
      </c>
      <c r="C2496" s="36"/>
      <c r="D2496" s="36"/>
      <c r="F2496" s="1" t="s">
        <v>4891</v>
      </c>
      <c r="G2496" s="30" t="s">
        <v>4892</v>
      </c>
      <c r="K2496" s="1" t="s">
        <v>4893</v>
      </c>
      <c r="L2496" s="1" t="s">
        <v>1279</v>
      </c>
      <c r="M2496" s="36" t="s">
        <v>1857</v>
      </c>
      <c r="N2496" s="1" t="s">
        <v>1630</v>
      </c>
      <c r="O2496" s="1" t="s">
        <v>1286</v>
      </c>
      <c r="P2496" s="34" t="str">
        <f t="shared" si="51"/>
        <v>F010</v>
      </c>
      <c r="Q2496" s="1" t="s">
        <v>127</v>
      </c>
      <c r="S2496" s="16">
        <v>20</v>
      </c>
      <c r="T2496" s="1" t="s">
        <v>4890</v>
      </c>
      <c r="U2496" s="1" t="s">
        <v>1840</v>
      </c>
      <c r="V2496" s="1" t="s">
        <v>4649</v>
      </c>
      <c r="Y2496" s="1">
        <v>6940</v>
      </c>
      <c r="AB2496" s="1">
        <v>1831.4</v>
      </c>
    </row>
    <row r="2497" spans="2:28" x14ac:dyDescent="0.2">
      <c r="B2497" s="30" t="s">
        <v>2294</v>
      </c>
      <c r="C2497" s="36"/>
      <c r="D2497" s="36"/>
      <c r="F2497" s="1" t="s">
        <v>4891</v>
      </c>
      <c r="G2497" s="30" t="s">
        <v>4892</v>
      </c>
      <c r="K2497" s="1" t="s">
        <v>4894</v>
      </c>
      <c r="L2497" s="1" t="s">
        <v>1279</v>
      </c>
      <c r="M2497" s="36" t="s">
        <v>1857</v>
      </c>
      <c r="N2497" s="1" t="s">
        <v>2497</v>
      </c>
      <c r="O2497" s="1" t="s">
        <v>1286</v>
      </c>
      <c r="P2497" s="34" t="str">
        <f t="shared" si="51"/>
        <v>F010</v>
      </c>
      <c r="Q2497" s="1" t="s">
        <v>127</v>
      </c>
      <c r="S2497" s="16">
        <v>20</v>
      </c>
      <c r="T2497" s="1" t="s">
        <v>4890</v>
      </c>
      <c r="U2497" s="1" t="s">
        <v>1840</v>
      </c>
      <c r="V2497" s="1" t="s">
        <v>4649</v>
      </c>
      <c r="Y2497" s="1">
        <v>6940</v>
      </c>
      <c r="AB2497" s="1">
        <v>1831.4</v>
      </c>
    </row>
    <row r="2498" spans="2:28" x14ac:dyDescent="0.2">
      <c r="B2498" s="30" t="s">
        <v>2294</v>
      </c>
      <c r="C2498" s="36"/>
      <c r="D2498" s="36"/>
      <c r="F2498" s="1" t="s">
        <v>4891</v>
      </c>
      <c r="G2498" s="30" t="s">
        <v>4892</v>
      </c>
      <c r="K2498" s="1" t="s">
        <v>4895</v>
      </c>
      <c r="L2498" s="1" t="s">
        <v>1279</v>
      </c>
      <c r="M2498" s="36" t="s">
        <v>1857</v>
      </c>
      <c r="N2498" s="1" t="s">
        <v>1630</v>
      </c>
      <c r="O2498" s="1" t="s">
        <v>1286</v>
      </c>
      <c r="P2498" s="34" t="str">
        <f t="shared" si="51"/>
        <v>F010</v>
      </c>
      <c r="Q2498" s="1" t="s">
        <v>127</v>
      </c>
      <c r="S2498" s="16">
        <v>20</v>
      </c>
      <c r="T2498" s="1" t="s">
        <v>4890</v>
      </c>
      <c r="U2498" s="1" t="s">
        <v>1840</v>
      </c>
      <c r="V2498" s="1" t="s">
        <v>4649</v>
      </c>
      <c r="Y2498" s="1">
        <v>6940</v>
      </c>
      <c r="AB2498" s="1">
        <v>1831.4</v>
      </c>
    </row>
    <row r="2499" spans="2:28" x14ac:dyDescent="0.2">
      <c r="B2499" s="30" t="s">
        <v>2294</v>
      </c>
      <c r="C2499" s="36"/>
      <c r="D2499" s="36"/>
      <c r="F2499" s="1" t="s">
        <v>4891</v>
      </c>
      <c r="G2499" s="30" t="s">
        <v>4892</v>
      </c>
      <c r="K2499" s="1" t="s">
        <v>4896</v>
      </c>
      <c r="L2499" s="1" t="s">
        <v>1279</v>
      </c>
      <c r="M2499" s="36" t="s">
        <v>1857</v>
      </c>
      <c r="N2499" s="1" t="s">
        <v>1630</v>
      </c>
      <c r="O2499" s="1" t="s">
        <v>1286</v>
      </c>
      <c r="P2499" s="34" t="str">
        <f t="shared" si="51"/>
        <v>F010</v>
      </c>
      <c r="Q2499" s="1" t="s">
        <v>127</v>
      </c>
      <c r="S2499" s="16">
        <v>20</v>
      </c>
      <c r="T2499" s="1" t="s">
        <v>4890</v>
      </c>
      <c r="U2499" s="1" t="s">
        <v>1840</v>
      </c>
      <c r="V2499" s="1" t="s">
        <v>4649</v>
      </c>
      <c r="Y2499" s="1">
        <v>6940</v>
      </c>
      <c r="AB2499" s="1">
        <v>1831.4</v>
      </c>
    </row>
    <row r="2500" spans="2:28" x14ac:dyDescent="0.2">
      <c r="B2500" s="30" t="s">
        <v>2294</v>
      </c>
      <c r="C2500" s="36"/>
      <c r="D2500" s="36"/>
      <c r="F2500" s="1" t="s">
        <v>4891</v>
      </c>
      <c r="G2500" s="30" t="s">
        <v>4892</v>
      </c>
      <c r="K2500" s="1" t="s">
        <v>4897</v>
      </c>
      <c r="L2500" s="1" t="s">
        <v>1279</v>
      </c>
      <c r="M2500" s="36" t="s">
        <v>1857</v>
      </c>
      <c r="N2500" s="1" t="s">
        <v>1795</v>
      </c>
      <c r="O2500" s="1" t="s">
        <v>1286</v>
      </c>
      <c r="P2500" s="34" t="str">
        <f t="shared" si="51"/>
        <v>F010</v>
      </c>
      <c r="Q2500" s="1" t="s">
        <v>127</v>
      </c>
      <c r="S2500" s="16">
        <v>20</v>
      </c>
      <c r="T2500" s="1" t="s">
        <v>4898</v>
      </c>
      <c r="U2500" s="1" t="s">
        <v>1840</v>
      </c>
      <c r="V2500" s="1" t="s">
        <v>4649</v>
      </c>
      <c r="Y2500" s="1">
        <v>6940</v>
      </c>
      <c r="AB2500" s="1">
        <v>1831.4</v>
      </c>
    </row>
    <row r="2501" spans="2:28" x14ac:dyDescent="0.2">
      <c r="B2501" s="30" t="s">
        <v>2294</v>
      </c>
      <c r="C2501" s="36"/>
      <c r="D2501" s="36"/>
      <c r="F2501" s="1" t="s">
        <v>4899</v>
      </c>
      <c r="G2501" s="30" t="s">
        <v>4892</v>
      </c>
      <c r="K2501" s="1" t="s">
        <v>4900</v>
      </c>
      <c r="L2501" s="1" t="s">
        <v>1279</v>
      </c>
      <c r="M2501" s="36" t="s">
        <v>1857</v>
      </c>
      <c r="N2501" s="1" t="s">
        <v>2497</v>
      </c>
      <c r="O2501" s="1" t="s">
        <v>1286</v>
      </c>
      <c r="P2501" s="34" t="str">
        <f t="shared" si="51"/>
        <v>F010</v>
      </c>
      <c r="Q2501" s="1" t="s">
        <v>127</v>
      </c>
      <c r="S2501" s="16">
        <v>20</v>
      </c>
      <c r="T2501" s="1" t="s">
        <v>4898</v>
      </c>
      <c r="U2501" s="1" t="s">
        <v>1840</v>
      </c>
      <c r="V2501" s="1" t="s">
        <v>4649</v>
      </c>
      <c r="Y2501" s="1">
        <v>6940</v>
      </c>
      <c r="AB2501" s="1">
        <v>1831.4</v>
      </c>
    </row>
    <row r="2502" spans="2:28" x14ac:dyDescent="0.2">
      <c r="B2502" s="30" t="s">
        <v>2294</v>
      </c>
      <c r="C2502" s="36"/>
      <c r="D2502" s="36"/>
      <c r="F2502" s="1" t="s">
        <v>4899</v>
      </c>
      <c r="G2502" s="30" t="s">
        <v>4901</v>
      </c>
      <c r="K2502" s="1" t="s">
        <v>4902</v>
      </c>
      <c r="L2502" s="1" t="s">
        <v>1279</v>
      </c>
      <c r="M2502" s="36" t="s">
        <v>1567</v>
      </c>
      <c r="N2502" s="1" t="s">
        <v>1587</v>
      </c>
      <c r="O2502" s="1" t="s">
        <v>1286</v>
      </c>
      <c r="P2502" s="34" t="str">
        <f t="shared" si="51"/>
        <v>F010</v>
      </c>
      <c r="Q2502" s="1" t="s">
        <v>127</v>
      </c>
      <c r="S2502" s="16">
        <v>20</v>
      </c>
      <c r="T2502" s="1" t="s">
        <v>4898</v>
      </c>
      <c r="U2502" s="1" t="s">
        <v>1999</v>
      </c>
      <c r="V2502" s="1" t="s">
        <v>1606</v>
      </c>
      <c r="Y2502" s="1">
        <v>6850</v>
      </c>
      <c r="AB2502" s="1">
        <v>4193.6899999999996</v>
      </c>
    </row>
    <row r="2503" spans="2:28" x14ac:dyDescent="0.2">
      <c r="B2503" s="30" t="s">
        <v>2294</v>
      </c>
      <c r="C2503" s="36"/>
      <c r="D2503" s="36"/>
      <c r="F2503" s="1" t="s">
        <v>4899</v>
      </c>
      <c r="G2503" s="30" t="s">
        <v>4901</v>
      </c>
      <c r="K2503" s="1" t="s">
        <v>4903</v>
      </c>
      <c r="L2503" s="1" t="s">
        <v>1279</v>
      </c>
      <c r="M2503" s="36" t="s">
        <v>1567</v>
      </c>
      <c r="N2503" s="1" t="s">
        <v>1795</v>
      </c>
      <c r="O2503" s="1" t="s">
        <v>1286</v>
      </c>
      <c r="P2503" s="34" t="str">
        <f t="shared" si="51"/>
        <v>F010</v>
      </c>
      <c r="Q2503" s="1" t="s">
        <v>127</v>
      </c>
      <c r="S2503" s="16">
        <v>20</v>
      </c>
      <c r="T2503" s="1" t="s">
        <v>2427</v>
      </c>
      <c r="U2503" s="1" t="s">
        <v>1999</v>
      </c>
      <c r="V2503" s="1" t="s">
        <v>1606</v>
      </c>
      <c r="Y2503" s="1">
        <v>6850</v>
      </c>
      <c r="AB2503" s="1">
        <v>4193.6899999999996</v>
      </c>
    </row>
    <row r="2504" spans="2:28" x14ac:dyDescent="0.2">
      <c r="B2504" s="30" t="s">
        <v>2294</v>
      </c>
      <c r="C2504" s="36"/>
      <c r="D2504" s="36"/>
      <c r="F2504" s="1" t="s">
        <v>1895</v>
      </c>
      <c r="G2504" s="30" t="s">
        <v>4901</v>
      </c>
      <c r="K2504" s="1" t="s">
        <v>4904</v>
      </c>
      <c r="L2504" s="1" t="s">
        <v>1279</v>
      </c>
      <c r="M2504" s="36" t="s">
        <v>1567</v>
      </c>
      <c r="N2504" s="1" t="s">
        <v>1795</v>
      </c>
      <c r="O2504" s="1" t="s">
        <v>1286</v>
      </c>
      <c r="P2504" s="34" t="str">
        <f t="shared" si="51"/>
        <v>F010</v>
      </c>
      <c r="Q2504" s="1" t="s">
        <v>127</v>
      </c>
      <c r="S2504" s="16">
        <v>20</v>
      </c>
      <c r="T2504" s="1" t="s">
        <v>2427</v>
      </c>
      <c r="U2504" s="1" t="s">
        <v>1999</v>
      </c>
      <c r="V2504" s="1" t="s">
        <v>1606</v>
      </c>
      <c r="Y2504" s="1">
        <v>6850</v>
      </c>
      <c r="AB2504" s="1">
        <v>4193.6899999999996</v>
      </c>
    </row>
    <row r="2505" spans="2:28" x14ac:dyDescent="0.2">
      <c r="B2505" s="30" t="s">
        <v>2294</v>
      </c>
      <c r="C2505" s="36"/>
      <c r="D2505" s="36"/>
      <c r="F2505" s="1" t="s">
        <v>1895</v>
      </c>
      <c r="G2505" s="30" t="s">
        <v>4905</v>
      </c>
      <c r="K2505" s="1" t="s">
        <v>4906</v>
      </c>
      <c r="L2505" s="1" t="s">
        <v>1279</v>
      </c>
      <c r="M2505" s="36" t="s">
        <v>1999</v>
      </c>
      <c r="N2505" s="1" t="s">
        <v>1287</v>
      </c>
      <c r="O2505" s="1" t="s">
        <v>1286</v>
      </c>
      <c r="P2505" s="34" t="str">
        <f t="shared" si="51"/>
        <v>F010</v>
      </c>
      <c r="Q2505" s="1" t="s">
        <v>138</v>
      </c>
      <c r="S2505" s="16">
        <v>20</v>
      </c>
      <c r="T2505" s="1" t="s">
        <v>4907</v>
      </c>
      <c r="U2505" s="1" t="s">
        <v>2544</v>
      </c>
      <c r="V2505" s="1" t="s">
        <v>4107</v>
      </c>
      <c r="Y2505" s="1">
        <v>8516</v>
      </c>
      <c r="AB2505" s="1">
        <v>6292.4</v>
      </c>
    </row>
    <row r="2506" spans="2:28" x14ac:dyDescent="0.2">
      <c r="B2506" s="30" t="s">
        <v>2294</v>
      </c>
      <c r="C2506" s="36"/>
      <c r="D2506" s="36"/>
      <c r="F2506" s="1" t="s">
        <v>4908</v>
      </c>
      <c r="G2506" s="30" t="s">
        <v>4905</v>
      </c>
      <c r="K2506" s="1" t="s">
        <v>4909</v>
      </c>
      <c r="L2506" s="1" t="s">
        <v>1279</v>
      </c>
      <c r="M2506" s="36" t="s">
        <v>1999</v>
      </c>
      <c r="N2506" s="1" t="s">
        <v>1287</v>
      </c>
      <c r="O2506" s="1" t="s">
        <v>1286</v>
      </c>
      <c r="P2506" s="34" t="str">
        <f t="shared" si="51"/>
        <v>F010</v>
      </c>
      <c r="Q2506" s="1" t="s">
        <v>138</v>
      </c>
      <c r="S2506" s="16">
        <v>20</v>
      </c>
      <c r="T2506" s="1" t="s">
        <v>4898</v>
      </c>
      <c r="U2506" s="1" t="s">
        <v>2544</v>
      </c>
      <c r="V2506" s="1" t="s">
        <v>4107</v>
      </c>
      <c r="Y2506" s="1">
        <v>8516</v>
      </c>
      <c r="AB2506" s="1">
        <v>6292.4</v>
      </c>
    </row>
    <row r="2507" spans="2:28" x14ac:dyDescent="0.2">
      <c r="B2507" s="30" t="s">
        <v>2294</v>
      </c>
      <c r="C2507" s="36"/>
      <c r="D2507" s="36"/>
      <c r="F2507" s="1" t="s">
        <v>4899</v>
      </c>
      <c r="G2507" s="30" t="s">
        <v>4905</v>
      </c>
      <c r="K2507" s="1" t="s">
        <v>4910</v>
      </c>
      <c r="L2507" s="1" t="s">
        <v>1279</v>
      </c>
      <c r="M2507" s="36" t="s">
        <v>1999</v>
      </c>
      <c r="N2507" s="1" t="s">
        <v>1287</v>
      </c>
      <c r="O2507" s="1" t="s">
        <v>1286</v>
      </c>
      <c r="P2507" s="34" t="str">
        <f t="shared" si="51"/>
        <v>F010</v>
      </c>
      <c r="Q2507" s="1" t="s">
        <v>138</v>
      </c>
      <c r="S2507" s="16">
        <v>20</v>
      </c>
      <c r="T2507" s="1" t="s">
        <v>2427</v>
      </c>
      <c r="U2507" s="1" t="s">
        <v>2544</v>
      </c>
      <c r="V2507" s="1" t="s">
        <v>4107</v>
      </c>
      <c r="Y2507" s="1">
        <v>8516</v>
      </c>
      <c r="AB2507" s="1">
        <v>6292.4</v>
      </c>
    </row>
    <row r="2508" spans="2:28" x14ac:dyDescent="0.2">
      <c r="B2508" s="30" t="s">
        <v>2294</v>
      </c>
      <c r="C2508" s="36"/>
      <c r="D2508" s="36"/>
      <c r="F2508" s="1" t="s">
        <v>1895</v>
      </c>
      <c r="G2508" s="30" t="s">
        <v>4905</v>
      </c>
      <c r="K2508" s="1" t="s">
        <v>4911</v>
      </c>
      <c r="L2508" s="1" t="s">
        <v>1279</v>
      </c>
      <c r="M2508" s="36" t="s">
        <v>1999</v>
      </c>
      <c r="N2508" s="1" t="s">
        <v>1287</v>
      </c>
      <c r="O2508" s="1" t="s">
        <v>1286</v>
      </c>
      <c r="P2508" s="34" t="str">
        <f t="shared" si="51"/>
        <v>F010</v>
      </c>
      <c r="Q2508" s="1" t="s">
        <v>138</v>
      </c>
      <c r="S2508" s="16">
        <v>20</v>
      </c>
      <c r="T2508" s="1" t="s">
        <v>4907</v>
      </c>
      <c r="U2508" s="1" t="s">
        <v>2544</v>
      </c>
      <c r="V2508" s="1" t="s">
        <v>4107</v>
      </c>
      <c r="Y2508" s="1">
        <v>8516</v>
      </c>
      <c r="AB2508" s="1">
        <v>6292.4</v>
      </c>
    </row>
    <row r="2509" spans="2:28" x14ac:dyDescent="0.2">
      <c r="B2509" s="30" t="s">
        <v>2294</v>
      </c>
      <c r="C2509" s="36"/>
      <c r="D2509" s="36"/>
      <c r="F2509" s="1" t="s">
        <v>4908</v>
      </c>
      <c r="G2509" s="30" t="s">
        <v>4905</v>
      </c>
      <c r="K2509" s="1" t="s">
        <v>4912</v>
      </c>
      <c r="L2509" s="1" t="s">
        <v>1279</v>
      </c>
      <c r="M2509" s="36" t="s">
        <v>1999</v>
      </c>
      <c r="N2509" s="1" t="s">
        <v>1287</v>
      </c>
      <c r="O2509" s="1" t="s">
        <v>1286</v>
      </c>
      <c r="P2509" s="34" t="str">
        <f t="shared" si="51"/>
        <v>F010</v>
      </c>
      <c r="Q2509" s="1" t="s">
        <v>138</v>
      </c>
      <c r="S2509" s="16">
        <v>20</v>
      </c>
      <c r="T2509" s="1" t="s">
        <v>4913</v>
      </c>
      <c r="U2509" s="1" t="s">
        <v>2544</v>
      </c>
      <c r="V2509" s="1" t="s">
        <v>4107</v>
      </c>
      <c r="Y2509" s="1">
        <v>8516</v>
      </c>
      <c r="AB2509" s="1">
        <v>6292.4</v>
      </c>
    </row>
    <row r="2510" spans="2:28" x14ac:dyDescent="0.2">
      <c r="B2510" s="30" t="s">
        <v>2294</v>
      </c>
      <c r="C2510" s="36"/>
      <c r="D2510" s="36"/>
      <c r="F2510" s="1" t="s">
        <v>4914</v>
      </c>
      <c r="G2510" s="30" t="s">
        <v>4905</v>
      </c>
      <c r="K2510" s="1" t="s">
        <v>4915</v>
      </c>
      <c r="L2510" s="1" t="s">
        <v>1279</v>
      </c>
      <c r="M2510" s="36" t="s">
        <v>1999</v>
      </c>
      <c r="N2510" s="1" t="s">
        <v>1287</v>
      </c>
      <c r="O2510" s="1" t="s">
        <v>1286</v>
      </c>
      <c r="P2510" s="34" t="str">
        <f t="shared" si="51"/>
        <v>F010</v>
      </c>
      <c r="Q2510" s="1" t="s">
        <v>138</v>
      </c>
      <c r="S2510" s="16">
        <v>20</v>
      </c>
      <c r="T2510" s="1" t="s">
        <v>2427</v>
      </c>
      <c r="U2510" s="1" t="s">
        <v>2544</v>
      </c>
      <c r="V2510" s="1" t="s">
        <v>4107</v>
      </c>
      <c r="Y2510" s="1">
        <v>8516</v>
      </c>
      <c r="AB2510" s="1">
        <v>6292.4</v>
      </c>
    </row>
    <row r="2511" spans="2:28" x14ac:dyDescent="0.2">
      <c r="B2511" s="30" t="s">
        <v>2294</v>
      </c>
      <c r="C2511" s="36"/>
      <c r="D2511" s="36"/>
      <c r="F2511" s="1" t="s">
        <v>1895</v>
      </c>
      <c r="G2511" s="30" t="s">
        <v>4905</v>
      </c>
      <c r="K2511" s="1" t="s">
        <v>4916</v>
      </c>
      <c r="L2511" s="1" t="s">
        <v>1279</v>
      </c>
      <c r="M2511" s="36" t="s">
        <v>1999</v>
      </c>
      <c r="N2511" s="1" t="s">
        <v>1287</v>
      </c>
      <c r="O2511" s="1" t="s">
        <v>1286</v>
      </c>
      <c r="P2511" s="34" t="str">
        <f t="shared" si="51"/>
        <v>F010</v>
      </c>
      <c r="Q2511" s="1" t="s">
        <v>138</v>
      </c>
      <c r="S2511" s="16">
        <v>20</v>
      </c>
      <c r="T2511" s="1" t="s">
        <v>4907</v>
      </c>
      <c r="U2511" s="1" t="s">
        <v>2544</v>
      </c>
      <c r="V2511" s="1" t="s">
        <v>4107</v>
      </c>
      <c r="Y2511" s="1">
        <v>8516</v>
      </c>
      <c r="AB2511" s="1">
        <v>6292.4</v>
      </c>
    </row>
    <row r="2512" spans="2:28" x14ac:dyDescent="0.2">
      <c r="B2512" s="30" t="s">
        <v>2294</v>
      </c>
      <c r="C2512" s="36"/>
      <c r="D2512" s="36"/>
      <c r="F2512" s="1" t="s">
        <v>4908</v>
      </c>
      <c r="G2512" s="30" t="s">
        <v>4905</v>
      </c>
      <c r="K2512" s="1" t="s">
        <v>4917</v>
      </c>
      <c r="L2512" s="1" t="s">
        <v>1279</v>
      </c>
      <c r="M2512" s="36" t="s">
        <v>1999</v>
      </c>
      <c r="N2512" s="1" t="s">
        <v>1287</v>
      </c>
      <c r="O2512" s="1" t="s">
        <v>1286</v>
      </c>
      <c r="P2512" s="34" t="str">
        <f t="shared" si="51"/>
        <v>F010</v>
      </c>
      <c r="Q2512" s="1" t="s">
        <v>138</v>
      </c>
      <c r="S2512" s="16">
        <v>20</v>
      </c>
      <c r="T2512" s="1" t="s">
        <v>4918</v>
      </c>
      <c r="U2512" s="1" t="s">
        <v>2544</v>
      </c>
      <c r="V2512" s="1" t="s">
        <v>4107</v>
      </c>
      <c r="Y2512" s="1">
        <v>8516</v>
      </c>
      <c r="AB2512" s="1">
        <v>6292.4</v>
      </c>
    </row>
    <row r="2513" spans="2:28" x14ac:dyDescent="0.2">
      <c r="B2513" s="30" t="s">
        <v>2294</v>
      </c>
      <c r="C2513" s="36"/>
      <c r="D2513" s="36"/>
      <c r="F2513" s="1" t="s">
        <v>4919</v>
      </c>
      <c r="G2513" s="30" t="s">
        <v>4905</v>
      </c>
      <c r="K2513" s="1" t="s">
        <v>4920</v>
      </c>
      <c r="L2513" s="1" t="s">
        <v>1279</v>
      </c>
      <c r="M2513" s="36" t="s">
        <v>1999</v>
      </c>
      <c r="N2513" s="1" t="s">
        <v>1287</v>
      </c>
      <c r="O2513" s="1" t="s">
        <v>1286</v>
      </c>
      <c r="P2513" s="34" t="str">
        <f t="shared" si="51"/>
        <v>F010</v>
      </c>
      <c r="Q2513" s="1" t="s">
        <v>138</v>
      </c>
      <c r="S2513" s="16">
        <v>20</v>
      </c>
      <c r="T2513" s="1" t="s">
        <v>2427</v>
      </c>
      <c r="U2513" s="1" t="s">
        <v>2544</v>
      </c>
      <c r="V2513" s="1" t="s">
        <v>4107</v>
      </c>
      <c r="Y2513" s="1">
        <v>8516</v>
      </c>
      <c r="AB2513" s="1">
        <v>6292.4</v>
      </c>
    </row>
    <row r="2514" spans="2:28" x14ac:dyDescent="0.2">
      <c r="B2514" s="30" t="s">
        <v>2294</v>
      </c>
      <c r="C2514" s="36"/>
      <c r="D2514" s="36"/>
      <c r="F2514" s="1" t="s">
        <v>1895</v>
      </c>
      <c r="G2514" s="30" t="s">
        <v>4905</v>
      </c>
      <c r="K2514" s="1" t="s">
        <v>4921</v>
      </c>
      <c r="L2514" s="1" t="s">
        <v>1279</v>
      </c>
      <c r="M2514" s="36" t="s">
        <v>1999</v>
      </c>
      <c r="N2514" s="1" t="s">
        <v>1287</v>
      </c>
      <c r="O2514" s="1" t="s">
        <v>1286</v>
      </c>
      <c r="P2514" s="34" t="str">
        <f t="shared" si="51"/>
        <v>F010</v>
      </c>
      <c r="Q2514" s="1" t="s">
        <v>138</v>
      </c>
      <c r="S2514" s="16">
        <v>20</v>
      </c>
      <c r="T2514" s="1" t="s">
        <v>2427</v>
      </c>
      <c r="U2514" s="1" t="s">
        <v>2544</v>
      </c>
      <c r="V2514" s="1" t="s">
        <v>4107</v>
      </c>
      <c r="Y2514" s="1">
        <v>8516</v>
      </c>
      <c r="AB2514" s="1">
        <v>6292.4</v>
      </c>
    </row>
    <row r="2515" spans="2:28" x14ac:dyDescent="0.2">
      <c r="B2515" s="30" t="s">
        <v>2294</v>
      </c>
      <c r="C2515" s="36"/>
      <c r="D2515" s="36"/>
      <c r="F2515" s="1" t="s">
        <v>1895</v>
      </c>
      <c r="G2515" s="30" t="s">
        <v>4905</v>
      </c>
      <c r="K2515" s="1" t="s">
        <v>4922</v>
      </c>
      <c r="L2515" s="1" t="s">
        <v>1279</v>
      </c>
      <c r="M2515" s="36" t="s">
        <v>1999</v>
      </c>
      <c r="N2515" s="1" t="s">
        <v>1287</v>
      </c>
      <c r="O2515" s="1" t="s">
        <v>1286</v>
      </c>
      <c r="P2515" s="34" t="str">
        <f t="shared" si="51"/>
        <v>F010</v>
      </c>
      <c r="Q2515" s="1" t="s">
        <v>138</v>
      </c>
      <c r="S2515" s="16">
        <v>20</v>
      </c>
      <c r="T2515" s="1" t="s">
        <v>2427</v>
      </c>
      <c r="U2515" s="1" t="s">
        <v>2544</v>
      </c>
      <c r="V2515" s="1" t="s">
        <v>4107</v>
      </c>
      <c r="Y2515" s="1">
        <v>8516</v>
      </c>
      <c r="AB2515" s="1">
        <v>6292.4</v>
      </c>
    </row>
    <row r="2516" spans="2:28" x14ac:dyDescent="0.2">
      <c r="B2516" s="30" t="s">
        <v>2294</v>
      </c>
      <c r="C2516" s="36"/>
      <c r="D2516" s="36"/>
      <c r="F2516" s="1" t="s">
        <v>1895</v>
      </c>
      <c r="G2516" s="30" t="s">
        <v>4905</v>
      </c>
      <c r="K2516" s="1" t="s">
        <v>4923</v>
      </c>
      <c r="L2516" s="1" t="s">
        <v>1279</v>
      </c>
      <c r="M2516" s="36" t="s">
        <v>1999</v>
      </c>
      <c r="N2516" s="1" t="s">
        <v>1287</v>
      </c>
      <c r="O2516" s="1" t="s">
        <v>1286</v>
      </c>
      <c r="P2516" s="34" t="str">
        <f t="shared" si="51"/>
        <v>F010</v>
      </c>
      <c r="Q2516" s="1" t="s">
        <v>138</v>
      </c>
      <c r="S2516" s="16">
        <v>20</v>
      </c>
      <c r="T2516" s="1" t="s">
        <v>2427</v>
      </c>
      <c r="U2516" s="1" t="s">
        <v>2544</v>
      </c>
      <c r="V2516" s="1" t="s">
        <v>4107</v>
      </c>
      <c r="Y2516" s="1">
        <v>8516</v>
      </c>
      <c r="AB2516" s="1">
        <v>6292.4</v>
      </c>
    </row>
    <row r="2517" spans="2:28" x14ac:dyDescent="0.2">
      <c r="B2517" s="30" t="s">
        <v>2294</v>
      </c>
      <c r="C2517" s="36"/>
      <c r="D2517" s="36"/>
      <c r="F2517" s="1" t="s">
        <v>1895</v>
      </c>
      <c r="G2517" s="30" t="s">
        <v>4905</v>
      </c>
      <c r="K2517" s="1" t="s">
        <v>4924</v>
      </c>
      <c r="L2517" s="1" t="s">
        <v>1279</v>
      </c>
      <c r="M2517" s="36" t="s">
        <v>2544</v>
      </c>
      <c r="N2517" s="1" t="s">
        <v>1568</v>
      </c>
      <c r="O2517" s="1" t="s">
        <v>1286</v>
      </c>
      <c r="P2517" s="34" t="str">
        <f t="shared" si="51"/>
        <v>F010</v>
      </c>
      <c r="Q2517" s="1" t="s">
        <v>138</v>
      </c>
      <c r="S2517" s="16">
        <v>20</v>
      </c>
      <c r="T2517" s="1" t="s">
        <v>2427</v>
      </c>
      <c r="U2517" s="1" t="s">
        <v>1805</v>
      </c>
      <c r="V2517" s="1" t="s">
        <v>4925</v>
      </c>
      <c r="Y2517" s="1">
        <v>15475</v>
      </c>
      <c r="AB2517" s="1">
        <v>11025.97</v>
      </c>
    </row>
    <row r="2518" spans="2:28" x14ac:dyDescent="0.2">
      <c r="B2518" s="30" t="s">
        <v>2294</v>
      </c>
      <c r="C2518" s="36"/>
      <c r="D2518" s="36"/>
      <c r="F2518" s="1" t="s">
        <v>1895</v>
      </c>
      <c r="G2518" s="30" t="s">
        <v>4905</v>
      </c>
      <c r="K2518" s="1" t="s">
        <v>4926</v>
      </c>
      <c r="L2518" s="1" t="s">
        <v>1279</v>
      </c>
      <c r="M2518" s="36" t="s">
        <v>2544</v>
      </c>
      <c r="N2518" s="1" t="s">
        <v>1286</v>
      </c>
      <c r="O2518" s="1" t="s">
        <v>1286</v>
      </c>
      <c r="P2518" s="34" t="str">
        <f t="shared" si="51"/>
        <v>F010</v>
      </c>
      <c r="Q2518" s="1" t="s">
        <v>138</v>
      </c>
      <c r="S2518" s="16">
        <v>20</v>
      </c>
      <c r="T2518" s="1" t="s">
        <v>2427</v>
      </c>
      <c r="U2518" s="1" t="s">
        <v>1805</v>
      </c>
      <c r="V2518" s="1" t="s">
        <v>4925</v>
      </c>
      <c r="Y2518" s="1">
        <v>15475</v>
      </c>
      <c r="AB2518" s="1">
        <v>11025.97</v>
      </c>
    </row>
    <row r="2519" spans="2:28" x14ac:dyDescent="0.2">
      <c r="B2519" s="30" t="s">
        <v>2294</v>
      </c>
      <c r="C2519" s="36"/>
      <c r="D2519" s="36"/>
      <c r="F2519" s="1" t="s">
        <v>1895</v>
      </c>
      <c r="G2519" s="30" t="s">
        <v>4905</v>
      </c>
      <c r="K2519" s="1" t="s">
        <v>4927</v>
      </c>
      <c r="L2519" s="1" t="s">
        <v>1279</v>
      </c>
      <c r="M2519" s="36" t="s">
        <v>1805</v>
      </c>
      <c r="N2519" s="1" t="s">
        <v>1286</v>
      </c>
      <c r="O2519" s="1" t="s">
        <v>1286</v>
      </c>
      <c r="P2519" s="34" t="str">
        <f t="shared" si="51"/>
        <v>F010</v>
      </c>
      <c r="Q2519" s="1" t="s">
        <v>138</v>
      </c>
      <c r="S2519" s="16">
        <v>20</v>
      </c>
      <c r="T2519" s="1" t="s">
        <v>2299</v>
      </c>
      <c r="U2519" s="1" t="s">
        <v>1794</v>
      </c>
      <c r="V2519" s="1" t="s">
        <v>1796</v>
      </c>
      <c r="Y2519" s="1">
        <v>15475</v>
      </c>
      <c r="AB2519" s="1">
        <v>10617.61</v>
      </c>
    </row>
    <row r="2520" spans="2:28" x14ac:dyDescent="0.2">
      <c r="B2520" s="30" t="s">
        <v>2294</v>
      </c>
      <c r="C2520" s="36"/>
      <c r="D2520" s="36"/>
      <c r="F2520" s="1" t="s">
        <v>1322</v>
      </c>
      <c r="G2520" s="30" t="s">
        <v>4905</v>
      </c>
      <c r="K2520" s="1" t="s">
        <v>4928</v>
      </c>
      <c r="L2520" s="1" t="s">
        <v>1279</v>
      </c>
      <c r="M2520" s="36" t="s">
        <v>1641</v>
      </c>
      <c r="N2520" s="1" t="s">
        <v>1754</v>
      </c>
      <c r="O2520" s="1" t="s">
        <v>1286</v>
      </c>
      <c r="P2520" s="34" t="str">
        <f t="shared" si="51"/>
        <v>F010</v>
      </c>
      <c r="Q2520" s="1" t="s">
        <v>127</v>
      </c>
      <c r="S2520" s="16">
        <v>20</v>
      </c>
      <c r="T2520" s="1" t="s">
        <v>2299</v>
      </c>
      <c r="U2520" s="1" t="s">
        <v>2236</v>
      </c>
      <c r="V2520" s="1" t="s">
        <v>1857</v>
      </c>
      <c r="Y2520" s="1">
        <v>8073.8</v>
      </c>
      <c r="AB2520" s="1">
        <v>7670.11</v>
      </c>
    </row>
    <row r="2521" spans="2:28" x14ac:dyDescent="0.2">
      <c r="B2521" s="30" t="s">
        <v>2294</v>
      </c>
      <c r="C2521" s="36"/>
      <c r="D2521" s="36"/>
      <c r="F2521" s="1" t="s">
        <v>1322</v>
      </c>
      <c r="G2521" s="30" t="s">
        <v>4905</v>
      </c>
      <c r="K2521" s="1" t="s">
        <v>4929</v>
      </c>
      <c r="L2521" s="1" t="s">
        <v>1279</v>
      </c>
      <c r="M2521" s="36" t="s">
        <v>1641</v>
      </c>
      <c r="N2521" s="1" t="s">
        <v>1754</v>
      </c>
      <c r="O2521" s="1" t="s">
        <v>1286</v>
      </c>
      <c r="P2521" s="34" t="str">
        <f t="shared" si="51"/>
        <v>F010</v>
      </c>
      <c r="Q2521" s="1" t="s">
        <v>127</v>
      </c>
      <c r="S2521" s="16">
        <v>20</v>
      </c>
      <c r="T2521" s="1" t="s">
        <v>4930</v>
      </c>
      <c r="U2521" s="1" t="s">
        <v>2236</v>
      </c>
      <c r="V2521" s="1" t="s">
        <v>1857</v>
      </c>
      <c r="Y2521" s="1">
        <v>8073.8</v>
      </c>
      <c r="AB2521" s="1">
        <v>7670.11</v>
      </c>
    </row>
    <row r="2522" spans="2:28" x14ac:dyDescent="0.2">
      <c r="B2522" s="30" t="s">
        <v>2294</v>
      </c>
      <c r="C2522" s="36"/>
      <c r="D2522" s="36"/>
      <c r="F2522" s="1" t="s">
        <v>4931</v>
      </c>
      <c r="G2522" s="30" t="s">
        <v>4905</v>
      </c>
      <c r="K2522" s="1" t="s">
        <v>4932</v>
      </c>
      <c r="L2522" s="1" t="s">
        <v>1279</v>
      </c>
      <c r="M2522" s="36" t="s">
        <v>1641</v>
      </c>
      <c r="N2522" s="1" t="s">
        <v>1754</v>
      </c>
      <c r="O2522" s="1" t="s">
        <v>1286</v>
      </c>
      <c r="P2522" s="34" t="str">
        <f t="shared" si="51"/>
        <v>F010</v>
      </c>
      <c r="Q2522" s="1" t="s">
        <v>127</v>
      </c>
      <c r="S2522" s="16">
        <v>20</v>
      </c>
      <c r="T2522" s="1" t="s">
        <v>4930</v>
      </c>
      <c r="U2522" s="1" t="s">
        <v>2236</v>
      </c>
      <c r="V2522" s="1" t="s">
        <v>1857</v>
      </c>
      <c r="Y2522" s="1">
        <v>8073.8</v>
      </c>
      <c r="AB2522" s="1">
        <v>7670.11</v>
      </c>
    </row>
    <row r="2523" spans="2:28" x14ac:dyDescent="0.2">
      <c r="B2523" s="30" t="s">
        <v>2294</v>
      </c>
      <c r="C2523" s="36"/>
      <c r="D2523" s="36"/>
      <c r="F2523" s="1" t="s">
        <v>4931</v>
      </c>
      <c r="G2523" s="30" t="s">
        <v>4905</v>
      </c>
      <c r="K2523" s="1" t="s">
        <v>4933</v>
      </c>
      <c r="L2523" s="1" t="s">
        <v>1279</v>
      </c>
      <c r="M2523" s="36" t="s">
        <v>2544</v>
      </c>
      <c r="N2523" s="1" t="s">
        <v>1287</v>
      </c>
      <c r="O2523" s="1" t="s">
        <v>1286</v>
      </c>
      <c r="P2523" s="34" t="str">
        <f t="shared" si="51"/>
        <v>F010</v>
      </c>
      <c r="Q2523" s="1" t="s">
        <v>138</v>
      </c>
      <c r="S2523" s="16">
        <v>20</v>
      </c>
      <c r="T2523" s="1" t="s">
        <v>4934</v>
      </c>
      <c r="U2523" s="1" t="s">
        <v>1805</v>
      </c>
      <c r="V2523" s="1" t="s">
        <v>4925</v>
      </c>
      <c r="Y2523" s="1">
        <v>7518</v>
      </c>
      <c r="AB2523" s="1">
        <v>5356.55</v>
      </c>
    </row>
    <row r="2524" spans="2:28" x14ac:dyDescent="0.2">
      <c r="B2524" s="30" t="s">
        <v>2294</v>
      </c>
      <c r="C2524" s="36"/>
      <c r="D2524" s="36"/>
      <c r="F2524" s="1" t="s">
        <v>4935</v>
      </c>
      <c r="G2524" s="30" t="s">
        <v>4905</v>
      </c>
      <c r="K2524" s="1" t="s">
        <v>4936</v>
      </c>
      <c r="L2524" s="1" t="s">
        <v>1279</v>
      </c>
      <c r="M2524" s="36" t="s">
        <v>2544</v>
      </c>
      <c r="N2524" s="1" t="s">
        <v>1287</v>
      </c>
      <c r="O2524" s="1" t="s">
        <v>1286</v>
      </c>
      <c r="P2524" s="34" t="str">
        <f t="shared" si="51"/>
        <v>F010</v>
      </c>
      <c r="Q2524" s="1" t="s">
        <v>138</v>
      </c>
      <c r="S2524" s="16">
        <v>20</v>
      </c>
      <c r="T2524" s="1" t="s">
        <v>4934</v>
      </c>
      <c r="U2524" s="1" t="s">
        <v>1805</v>
      </c>
      <c r="V2524" s="1" t="s">
        <v>4925</v>
      </c>
      <c r="Y2524" s="1">
        <v>7518</v>
      </c>
      <c r="AB2524" s="1">
        <v>5356.55</v>
      </c>
    </row>
    <row r="2525" spans="2:28" x14ac:dyDescent="0.2">
      <c r="B2525" s="30" t="s">
        <v>2294</v>
      </c>
      <c r="C2525" s="36"/>
      <c r="D2525" s="36"/>
      <c r="F2525" s="1" t="s">
        <v>4935</v>
      </c>
      <c r="G2525" s="30" t="s">
        <v>4905</v>
      </c>
      <c r="K2525" s="1" t="s">
        <v>4937</v>
      </c>
      <c r="L2525" s="1" t="s">
        <v>1279</v>
      </c>
      <c r="M2525" s="36" t="s">
        <v>2544</v>
      </c>
      <c r="N2525" s="1" t="s">
        <v>1287</v>
      </c>
      <c r="O2525" s="1" t="s">
        <v>1286</v>
      </c>
      <c r="P2525" s="34" t="str">
        <f t="shared" si="51"/>
        <v>F010</v>
      </c>
      <c r="Q2525" s="1" t="s">
        <v>138</v>
      </c>
      <c r="S2525" s="16">
        <v>20</v>
      </c>
      <c r="T2525" s="1" t="s">
        <v>4934</v>
      </c>
      <c r="U2525" s="1" t="s">
        <v>1805</v>
      </c>
      <c r="V2525" s="1" t="s">
        <v>4925</v>
      </c>
      <c r="Y2525" s="1">
        <v>7518</v>
      </c>
      <c r="AB2525" s="1">
        <v>5356.55</v>
      </c>
    </row>
    <row r="2526" spans="2:28" x14ac:dyDescent="0.2">
      <c r="B2526" s="30" t="s">
        <v>2294</v>
      </c>
      <c r="C2526" s="36"/>
      <c r="D2526" s="36"/>
      <c r="F2526" s="1" t="s">
        <v>4935</v>
      </c>
      <c r="G2526" s="30" t="s">
        <v>4905</v>
      </c>
      <c r="K2526" s="1" t="s">
        <v>4938</v>
      </c>
      <c r="L2526" s="1" t="s">
        <v>1279</v>
      </c>
      <c r="M2526" s="36" t="s">
        <v>2544</v>
      </c>
      <c r="N2526" s="1" t="s">
        <v>1287</v>
      </c>
      <c r="O2526" s="1" t="s">
        <v>1286</v>
      </c>
      <c r="P2526" s="34" t="str">
        <f t="shared" si="51"/>
        <v>F010</v>
      </c>
      <c r="Q2526" s="1" t="s">
        <v>138</v>
      </c>
      <c r="S2526" s="16">
        <v>20</v>
      </c>
      <c r="T2526" s="1" t="s">
        <v>2427</v>
      </c>
      <c r="U2526" s="1" t="s">
        <v>1805</v>
      </c>
      <c r="V2526" s="1" t="s">
        <v>4925</v>
      </c>
      <c r="Y2526" s="1">
        <v>7518</v>
      </c>
      <c r="AB2526" s="1">
        <v>5356.55</v>
      </c>
    </row>
    <row r="2527" spans="2:28" x14ac:dyDescent="0.2">
      <c r="B2527" s="30" t="s">
        <v>2294</v>
      </c>
      <c r="C2527" s="36"/>
      <c r="D2527" s="36"/>
      <c r="F2527" s="1" t="s">
        <v>1895</v>
      </c>
      <c r="G2527" s="30" t="s">
        <v>4905</v>
      </c>
      <c r="K2527" s="1" t="s">
        <v>4939</v>
      </c>
      <c r="L2527" s="1" t="s">
        <v>1279</v>
      </c>
      <c r="M2527" s="36" t="s">
        <v>2544</v>
      </c>
      <c r="N2527" s="1" t="s">
        <v>1795</v>
      </c>
      <c r="O2527" s="1" t="s">
        <v>1286</v>
      </c>
      <c r="P2527" s="34" t="str">
        <f t="shared" si="51"/>
        <v>F010</v>
      </c>
      <c r="Q2527" s="1" t="s">
        <v>138</v>
      </c>
      <c r="S2527" s="16">
        <v>20</v>
      </c>
      <c r="T2527" s="1" t="s">
        <v>2427</v>
      </c>
      <c r="U2527" s="1" t="s">
        <v>1805</v>
      </c>
      <c r="V2527" s="1" t="s">
        <v>4925</v>
      </c>
      <c r="Y2527" s="1">
        <v>7518</v>
      </c>
      <c r="AB2527" s="1">
        <v>5356.55</v>
      </c>
    </row>
    <row r="2528" spans="2:28" x14ac:dyDescent="0.2">
      <c r="B2528" s="30" t="s">
        <v>2294</v>
      </c>
      <c r="C2528" s="36"/>
      <c r="D2528" s="36"/>
      <c r="F2528" s="1" t="s">
        <v>1895</v>
      </c>
      <c r="G2528" s="30" t="s">
        <v>4905</v>
      </c>
      <c r="K2528" s="1" t="s">
        <v>4940</v>
      </c>
      <c r="L2528" s="1" t="s">
        <v>1279</v>
      </c>
      <c r="M2528" s="36" t="s">
        <v>2544</v>
      </c>
      <c r="N2528" s="1" t="s">
        <v>1287</v>
      </c>
      <c r="O2528" s="1" t="s">
        <v>1286</v>
      </c>
      <c r="P2528" s="34" t="str">
        <f t="shared" si="51"/>
        <v>F010</v>
      </c>
      <c r="Q2528" s="1" t="s">
        <v>138</v>
      </c>
      <c r="S2528" s="16">
        <v>20</v>
      </c>
      <c r="T2528" s="1" t="s">
        <v>2427</v>
      </c>
      <c r="U2528" s="1" t="s">
        <v>1805</v>
      </c>
      <c r="V2528" s="1" t="s">
        <v>4925</v>
      </c>
      <c r="Y2528" s="1">
        <v>7518</v>
      </c>
      <c r="AB2528" s="1">
        <v>5356.55</v>
      </c>
    </row>
    <row r="2529" spans="2:28" x14ac:dyDescent="0.2">
      <c r="B2529" s="30" t="s">
        <v>2294</v>
      </c>
      <c r="C2529" s="36"/>
      <c r="D2529" s="36"/>
      <c r="F2529" s="1" t="s">
        <v>1895</v>
      </c>
      <c r="G2529" s="30" t="s">
        <v>4905</v>
      </c>
      <c r="K2529" s="1" t="s">
        <v>4941</v>
      </c>
      <c r="L2529" s="1" t="s">
        <v>1279</v>
      </c>
      <c r="M2529" s="36" t="s">
        <v>2544</v>
      </c>
      <c r="N2529" s="1" t="s">
        <v>1287</v>
      </c>
      <c r="O2529" s="1" t="s">
        <v>1286</v>
      </c>
      <c r="P2529" s="34" t="str">
        <f t="shared" si="51"/>
        <v>F010</v>
      </c>
      <c r="Q2529" s="1" t="s">
        <v>138</v>
      </c>
      <c r="S2529" s="16">
        <v>20</v>
      </c>
      <c r="T2529" s="1" t="s">
        <v>2427</v>
      </c>
      <c r="U2529" s="1" t="s">
        <v>1805</v>
      </c>
      <c r="V2529" s="1" t="s">
        <v>4925</v>
      </c>
      <c r="Y2529" s="1">
        <v>7518</v>
      </c>
      <c r="AB2529" s="1">
        <v>5356.55</v>
      </c>
    </row>
    <row r="2530" spans="2:28" x14ac:dyDescent="0.2">
      <c r="B2530" s="30" t="s">
        <v>2294</v>
      </c>
      <c r="C2530" s="36"/>
      <c r="D2530" s="36"/>
      <c r="F2530" s="1" t="s">
        <v>1895</v>
      </c>
      <c r="G2530" s="30" t="s">
        <v>4905</v>
      </c>
      <c r="K2530" s="1" t="s">
        <v>4942</v>
      </c>
      <c r="L2530" s="1" t="s">
        <v>1279</v>
      </c>
      <c r="M2530" s="36" t="s">
        <v>2544</v>
      </c>
      <c r="N2530" s="1" t="s">
        <v>1287</v>
      </c>
      <c r="O2530" s="1" t="s">
        <v>1286</v>
      </c>
      <c r="P2530" s="34" t="str">
        <f t="shared" si="51"/>
        <v>F010</v>
      </c>
      <c r="Q2530" s="1" t="s">
        <v>138</v>
      </c>
      <c r="S2530" s="16">
        <v>20</v>
      </c>
      <c r="T2530" s="1" t="s">
        <v>2427</v>
      </c>
      <c r="U2530" s="1" t="s">
        <v>1805</v>
      </c>
      <c r="V2530" s="1" t="s">
        <v>4925</v>
      </c>
      <c r="Y2530" s="1">
        <v>7518</v>
      </c>
      <c r="AB2530" s="1">
        <v>5356.55</v>
      </c>
    </row>
    <row r="2531" spans="2:28" x14ac:dyDescent="0.2">
      <c r="B2531" s="30" t="s">
        <v>2294</v>
      </c>
      <c r="C2531" s="36"/>
      <c r="D2531" s="36"/>
      <c r="F2531" s="1" t="s">
        <v>1895</v>
      </c>
      <c r="G2531" s="30" t="s">
        <v>4905</v>
      </c>
      <c r="K2531" s="1" t="s">
        <v>4943</v>
      </c>
      <c r="L2531" s="1" t="s">
        <v>1279</v>
      </c>
      <c r="M2531" s="36" t="s">
        <v>2544</v>
      </c>
      <c r="N2531" s="1" t="s">
        <v>1795</v>
      </c>
      <c r="O2531" s="1" t="s">
        <v>1286</v>
      </c>
      <c r="P2531" s="34" t="str">
        <f t="shared" si="51"/>
        <v>F010</v>
      </c>
      <c r="Q2531" s="1" t="s">
        <v>138</v>
      </c>
      <c r="S2531" s="16">
        <v>20</v>
      </c>
      <c r="T2531" s="1" t="s">
        <v>2427</v>
      </c>
      <c r="U2531" s="1" t="s">
        <v>1805</v>
      </c>
      <c r="V2531" s="1" t="s">
        <v>4925</v>
      </c>
      <c r="Y2531" s="1">
        <v>7518</v>
      </c>
      <c r="AB2531" s="1">
        <v>5356.55</v>
      </c>
    </row>
    <row r="2532" spans="2:28" x14ac:dyDescent="0.2">
      <c r="B2532" s="30" t="s">
        <v>2294</v>
      </c>
      <c r="C2532" s="36"/>
      <c r="D2532" s="36"/>
      <c r="F2532" s="1" t="s">
        <v>1895</v>
      </c>
      <c r="G2532" s="30" t="s">
        <v>4905</v>
      </c>
      <c r="K2532" s="1" t="s">
        <v>4944</v>
      </c>
      <c r="L2532" s="1" t="s">
        <v>1279</v>
      </c>
      <c r="M2532" s="36" t="s">
        <v>2544</v>
      </c>
      <c r="N2532" s="1" t="s">
        <v>1287</v>
      </c>
      <c r="O2532" s="1" t="s">
        <v>1286</v>
      </c>
      <c r="P2532" s="34" t="str">
        <f t="shared" si="51"/>
        <v>F010</v>
      </c>
      <c r="Q2532" s="1" t="s">
        <v>138</v>
      </c>
      <c r="S2532" s="16">
        <v>20</v>
      </c>
      <c r="T2532" s="1" t="s">
        <v>2299</v>
      </c>
      <c r="U2532" s="1" t="s">
        <v>1805</v>
      </c>
      <c r="V2532" s="1" t="s">
        <v>4925</v>
      </c>
      <c r="Y2532" s="1">
        <v>7518</v>
      </c>
      <c r="AB2532" s="1">
        <v>5356.55</v>
      </c>
    </row>
    <row r="2533" spans="2:28" x14ac:dyDescent="0.2">
      <c r="B2533" s="30" t="s">
        <v>2294</v>
      </c>
      <c r="C2533" s="36"/>
      <c r="D2533" s="36"/>
      <c r="F2533" s="1" t="s">
        <v>1322</v>
      </c>
      <c r="G2533" s="30" t="s">
        <v>4905</v>
      </c>
      <c r="K2533" s="1" t="s">
        <v>4945</v>
      </c>
      <c r="L2533" s="1" t="s">
        <v>1279</v>
      </c>
      <c r="M2533" s="36" t="s">
        <v>2544</v>
      </c>
      <c r="N2533" s="1" t="s">
        <v>1287</v>
      </c>
      <c r="O2533" s="1" t="s">
        <v>1286</v>
      </c>
      <c r="P2533" s="34" t="str">
        <f t="shared" si="51"/>
        <v>F010</v>
      </c>
      <c r="Q2533" s="1" t="s">
        <v>138</v>
      </c>
      <c r="S2533" s="16">
        <v>20</v>
      </c>
      <c r="T2533" s="1" t="s">
        <v>2299</v>
      </c>
      <c r="U2533" s="1" t="s">
        <v>1805</v>
      </c>
      <c r="V2533" s="1" t="s">
        <v>4925</v>
      </c>
      <c r="Y2533" s="1">
        <v>7518</v>
      </c>
      <c r="AB2533" s="1">
        <v>5356.55</v>
      </c>
    </row>
    <row r="2534" spans="2:28" x14ac:dyDescent="0.2">
      <c r="B2534" s="30" t="s">
        <v>2294</v>
      </c>
      <c r="C2534" s="36"/>
      <c r="D2534" s="36"/>
      <c r="F2534" s="1" t="s">
        <v>1322</v>
      </c>
      <c r="G2534" s="30" t="s">
        <v>4905</v>
      </c>
      <c r="K2534" s="1" t="s">
        <v>4946</v>
      </c>
      <c r="L2534" s="1" t="s">
        <v>1279</v>
      </c>
      <c r="M2534" s="36" t="s">
        <v>2544</v>
      </c>
      <c r="N2534" s="1" t="s">
        <v>1287</v>
      </c>
      <c r="O2534" s="1" t="s">
        <v>1286</v>
      </c>
      <c r="P2534" s="34" t="str">
        <f t="shared" si="51"/>
        <v>F010</v>
      </c>
      <c r="Q2534" s="1" t="s">
        <v>138</v>
      </c>
      <c r="S2534" s="16">
        <v>20</v>
      </c>
      <c r="T2534" s="1" t="s">
        <v>4934</v>
      </c>
      <c r="U2534" s="1" t="s">
        <v>1805</v>
      </c>
      <c r="V2534" s="1" t="s">
        <v>4925</v>
      </c>
      <c r="Y2534" s="1">
        <v>7518</v>
      </c>
      <c r="AB2534" s="1">
        <v>5356.55</v>
      </c>
    </row>
    <row r="2535" spans="2:28" x14ac:dyDescent="0.2">
      <c r="B2535" s="30" t="s">
        <v>2294</v>
      </c>
      <c r="C2535" s="36"/>
      <c r="D2535" s="36"/>
      <c r="F2535" s="1" t="s">
        <v>4935</v>
      </c>
      <c r="G2535" s="30" t="s">
        <v>4905</v>
      </c>
      <c r="K2535" s="1" t="s">
        <v>4947</v>
      </c>
      <c r="L2535" s="1" t="s">
        <v>1279</v>
      </c>
      <c r="M2535" s="36" t="s">
        <v>1999</v>
      </c>
      <c r="N2535" s="1" t="s">
        <v>1577</v>
      </c>
      <c r="O2535" s="1" t="s">
        <v>1286</v>
      </c>
      <c r="P2535" s="34" t="str">
        <f t="shared" si="51"/>
        <v>F010</v>
      </c>
      <c r="Q2535" s="1" t="s">
        <v>138</v>
      </c>
      <c r="S2535" s="16">
        <v>20</v>
      </c>
      <c r="T2535" s="1" t="s">
        <v>4934</v>
      </c>
      <c r="U2535" s="1" t="s">
        <v>2544</v>
      </c>
      <c r="V2535" s="1" t="s">
        <v>4107</v>
      </c>
      <c r="Y2535" s="1">
        <v>7062.97</v>
      </c>
      <c r="AB2535" s="1">
        <v>5218.74</v>
      </c>
    </row>
    <row r="2536" spans="2:28" x14ac:dyDescent="0.2">
      <c r="B2536" s="30" t="s">
        <v>2294</v>
      </c>
      <c r="C2536" s="36"/>
      <c r="D2536" s="36"/>
      <c r="F2536" s="1" t="s">
        <v>4935</v>
      </c>
      <c r="G2536" s="30" t="s">
        <v>4905</v>
      </c>
      <c r="K2536" s="1" t="s">
        <v>4948</v>
      </c>
      <c r="L2536" s="1" t="s">
        <v>1279</v>
      </c>
      <c r="M2536" s="36" t="s">
        <v>1641</v>
      </c>
      <c r="N2536" s="1" t="s">
        <v>1788</v>
      </c>
      <c r="O2536" s="1" t="s">
        <v>1286</v>
      </c>
      <c r="P2536" s="34" t="str">
        <f t="shared" si="51"/>
        <v>F010</v>
      </c>
      <c r="Q2536" s="1" t="s">
        <v>127</v>
      </c>
      <c r="S2536" s="16">
        <v>20</v>
      </c>
      <c r="T2536" s="1" t="s">
        <v>4934</v>
      </c>
      <c r="U2536" s="1" t="s">
        <v>2236</v>
      </c>
      <c r="V2536" s="1" t="s">
        <v>1857</v>
      </c>
      <c r="Y2536" s="1">
        <v>8362</v>
      </c>
      <c r="AB2536" s="1">
        <v>7943.9</v>
      </c>
    </row>
    <row r="2537" spans="2:28" x14ac:dyDescent="0.2">
      <c r="B2537" s="30" t="s">
        <v>2294</v>
      </c>
      <c r="C2537" s="36"/>
      <c r="D2537" s="36"/>
      <c r="F2537" s="1" t="s">
        <v>4935</v>
      </c>
      <c r="G2537" s="30" t="s">
        <v>4905</v>
      </c>
      <c r="K2537" s="1" t="s">
        <v>4949</v>
      </c>
      <c r="L2537" s="1" t="s">
        <v>1279</v>
      </c>
      <c r="M2537" s="36" t="s">
        <v>1641</v>
      </c>
      <c r="N2537" s="1" t="s">
        <v>2866</v>
      </c>
      <c r="O2537" s="1" t="s">
        <v>1286</v>
      </c>
      <c r="P2537" s="34" t="str">
        <f t="shared" si="51"/>
        <v>F010</v>
      </c>
      <c r="Q2537" s="1" t="s">
        <v>127</v>
      </c>
      <c r="S2537" s="16">
        <v>20</v>
      </c>
      <c r="T2537" s="1" t="s">
        <v>4934</v>
      </c>
      <c r="U2537" s="1" t="s">
        <v>2236</v>
      </c>
      <c r="V2537" s="1" t="s">
        <v>1857</v>
      </c>
      <c r="Y2537" s="1">
        <v>8302</v>
      </c>
      <c r="AB2537" s="1">
        <v>7886.9</v>
      </c>
    </row>
    <row r="2538" spans="2:28" x14ac:dyDescent="0.2">
      <c r="B2538" s="30" t="s">
        <v>2294</v>
      </c>
      <c r="C2538" s="36"/>
      <c r="D2538" s="36"/>
      <c r="F2538" s="1" t="s">
        <v>4935</v>
      </c>
      <c r="G2538" s="30" t="s">
        <v>4905</v>
      </c>
      <c r="K2538" s="1" t="s">
        <v>4950</v>
      </c>
      <c r="L2538" s="1" t="s">
        <v>1279</v>
      </c>
      <c r="M2538" s="36" t="s">
        <v>1436</v>
      </c>
      <c r="N2538" s="1" t="s">
        <v>1285</v>
      </c>
      <c r="O2538" s="1" t="s">
        <v>1286</v>
      </c>
      <c r="P2538" s="34" t="str">
        <f t="shared" si="51"/>
        <v>F010</v>
      </c>
      <c r="Q2538" s="1" t="s">
        <v>127</v>
      </c>
      <c r="S2538" s="16">
        <v>20</v>
      </c>
      <c r="T2538" s="1" t="s">
        <v>4934</v>
      </c>
      <c r="U2538" s="1" t="s">
        <v>1641</v>
      </c>
      <c r="V2538" s="1" t="s">
        <v>2006</v>
      </c>
      <c r="Y2538" s="1">
        <v>8512</v>
      </c>
      <c r="AB2538" s="1">
        <v>8086.4</v>
      </c>
    </row>
    <row r="2539" spans="2:28" x14ac:dyDescent="0.2">
      <c r="B2539" s="30" t="s">
        <v>2294</v>
      </c>
      <c r="C2539" s="36"/>
      <c r="D2539" s="36"/>
      <c r="F2539" s="1" t="s">
        <v>4935</v>
      </c>
      <c r="G2539" s="30" t="s">
        <v>4905</v>
      </c>
      <c r="K2539" s="1" t="s">
        <v>4951</v>
      </c>
      <c r="L2539" s="1" t="s">
        <v>1279</v>
      </c>
      <c r="M2539" s="36" t="s">
        <v>1436</v>
      </c>
      <c r="N2539" s="1" t="s">
        <v>3289</v>
      </c>
      <c r="O2539" s="1" t="s">
        <v>1286</v>
      </c>
      <c r="P2539" s="34" t="str">
        <f t="shared" si="51"/>
        <v>F010</v>
      </c>
      <c r="Q2539" s="1" t="s">
        <v>137</v>
      </c>
      <c r="S2539" s="16">
        <v>20</v>
      </c>
      <c r="T2539" s="1" t="s">
        <v>2427</v>
      </c>
      <c r="U2539" s="1" t="s">
        <v>1641</v>
      </c>
      <c r="V2539" s="1" t="s">
        <v>2006</v>
      </c>
      <c r="Y2539" s="1">
        <v>8512</v>
      </c>
      <c r="AB2539" s="1">
        <v>8086.4</v>
      </c>
    </row>
    <row r="2540" spans="2:28" x14ac:dyDescent="0.2">
      <c r="B2540" s="30" t="s">
        <v>2294</v>
      </c>
      <c r="C2540" s="36"/>
      <c r="D2540" s="36"/>
      <c r="F2540" s="1" t="s">
        <v>1895</v>
      </c>
      <c r="G2540" s="30" t="s">
        <v>4905</v>
      </c>
      <c r="K2540" s="1" t="s">
        <v>4952</v>
      </c>
      <c r="L2540" s="1" t="s">
        <v>1279</v>
      </c>
      <c r="M2540" s="36" t="s">
        <v>1436</v>
      </c>
      <c r="N2540" s="1" t="s">
        <v>3337</v>
      </c>
      <c r="O2540" s="1" t="s">
        <v>1286</v>
      </c>
      <c r="P2540" s="34" t="str">
        <f t="shared" si="51"/>
        <v>F010</v>
      </c>
      <c r="Q2540" s="1" t="s">
        <v>127</v>
      </c>
      <c r="S2540" s="16">
        <v>20</v>
      </c>
      <c r="T2540" s="1" t="s">
        <v>2427</v>
      </c>
      <c r="U2540" s="1" t="s">
        <v>1641</v>
      </c>
      <c r="V2540" s="1" t="s">
        <v>2006</v>
      </c>
      <c r="Y2540" s="1">
        <v>8512</v>
      </c>
      <c r="AB2540" s="1">
        <v>8086.4</v>
      </c>
    </row>
    <row r="2541" spans="2:28" x14ac:dyDescent="0.2">
      <c r="B2541" s="30" t="s">
        <v>2294</v>
      </c>
      <c r="C2541" s="36"/>
      <c r="D2541" s="36"/>
      <c r="F2541" s="1" t="s">
        <v>1895</v>
      </c>
      <c r="G2541" s="30" t="s">
        <v>4905</v>
      </c>
      <c r="K2541" s="1" t="s">
        <v>4953</v>
      </c>
      <c r="L2541" s="1" t="s">
        <v>1279</v>
      </c>
      <c r="M2541" s="36" t="s">
        <v>1436</v>
      </c>
      <c r="N2541" s="1" t="s">
        <v>1283</v>
      </c>
      <c r="O2541" s="1" t="s">
        <v>1286</v>
      </c>
      <c r="P2541" s="34" t="str">
        <f t="shared" si="51"/>
        <v>F010</v>
      </c>
      <c r="Q2541" s="1" t="s">
        <v>137</v>
      </c>
      <c r="S2541" s="16">
        <v>20</v>
      </c>
      <c r="T2541" s="1" t="s">
        <v>2427</v>
      </c>
      <c r="U2541" s="1" t="s">
        <v>1641</v>
      </c>
      <c r="V2541" s="1" t="s">
        <v>2006</v>
      </c>
      <c r="Y2541" s="1">
        <v>8512</v>
      </c>
      <c r="AB2541" s="1">
        <v>8086.4</v>
      </c>
    </row>
    <row r="2542" spans="2:28" x14ac:dyDescent="0.2">
      <c r="B2542" s="30" t="s">
        <v>2294</v>
      </c>
      <c r="C2542" s="36"/>
      <c r="D2542" s="36"/>
      <c r="F2542" s="1" t="s">
        <v>1895</v>
      </c>
      <c r="G2542" s="30" t="s">
        <v>4905</v>
      </c>
      <c r="K2542" s="1" t="s">
        <v>4954</v>
      </c>
      <c r="L2542" s="1" t="s">
        <v>1279</v>
      </c>
      <c r="M2542" s="36" t="s">
        <v>1436</v>
      </c>
      <c r="N2542" s="1" t="s">
        <v>3242</v>
      </c>
      <c r="O2542" s="1" t="s">
        <v>1286</v>
      </c>
      <c r="P2542" s="34" t="str">
        <f t="shared" ref="P2542:P2607" si="52">+LEFT(Q2542,4)</f>
        <v>F010</v>
      </c>
      <c r="Q2542" s="1" t="s">
        <v>137</v>
      </c>
      <c r="S2542" s="16">
        <v>20</v>
      </c>
      <c r="T2542" s="1" t="s">
        <v>2427</v>
      </c>
      <c r="U2542" s="1" t="s">
        <v>1641</v>
      </c>
      <c r="V2542" s="1" t="s">
        <v>2006</v>
      </c>
      <c r="Y2542" s="1">
        <v>8512</v>
      </c>
      <c r="AB2542" s="1">
        <v>8086.4</v>
      </c>
    </row>
    <row r="2543" spans="2:28" x14ac:dyDescent="0.2">
      <c r="B2543" s="30" t="s">
        <v>2294</v>
      </c>
      <c r="C2543" s="36"/>
      <c r="D2543" s="36"/>
      <c r="F2543" s="1" t="s">
        <v>1895</v>
      </c>
      <c r="G2543" s="30" t="s">
        <v>4905</v>
      </c>
      <c r="K2543" s="1" t="s">
        <v>4955</v>
      </c>
      <c r="L2543" s="1" t="s">
        <v>1279</v>
      </c>
      <c r="M2543" s="36" t="s">
        <v>1436</v>
      </c>
      <c r="N2543" s="1" t="s">
        <v>3289</v>
      </c>
      <c r="O2543" s="1" t="s">
        <v>1286</v>
      </c>
      <c r="P2543" s="34" t="str">
        <f t="shared" si="52"/>
        <v>F010</v>
      </c>
      <c r="Q2543" s="1" t="s">
        <v>137</v>
      </c>
      <c r="S2543" s="16">
        <v>20</v>
      </c>
      <c r="T2543" s="1" t="s">
        <v>2427</v>
      </c>
      <c r="U2543" s="1" t="s">
        <v>1641</v>
      </c>
      <c r="V2543" s="1" t="s">
        <v>2006</v>
      </c>
      <c r="Y2543" s="1">
        <v>8512</v>
      </c>
      <c r="AB2543" s="1">
        <v>8086.4</v>
      </c>
    </row>
    <row r="2544" spans="2:28" x14ac:dyDescent="0.2">
      <c r="B2544" s="30" t="s">
        <v>2294</v>
      </c>
      <c r="C2544" s="36"/>
      <c r="D2544" s="36"/>
      <c r="F2544" s="1" t="s">
        <v>1895</v>
      </c>
      <c r="G2544" s="30" t="s">
        <v>4905</v>
      </c>
      <c r="K2544" s="1" t="s">
        <v>4956</v>
      </c>
      <c r="L2544" s="1" t="s">
        <v>1279</v>
      </c>
      <c r="M2544" s="36" t="s">
        <v>1436</v>
      </c>
      <c r="N2544" s="1" t="s">
        <v>1944</v>
      </c>
      <c r="O2544" s="1" t="s">
        <v>1286</v>
      </c>
      <c r="P2544" s="34" t="str">
        <f t="shared" si="52"/>
        <v>F010</v>
      </c>
      <c r="Q2544" s="1" t="s">
        <v>137</v>
      </c>
      <c r="S2544" s="16">
        <v>20</v>
      </c>
      <c r="T2544" s="1" t="s">
        <v>2427</v>
      </c>
      <c r="U2544" s="1" t="s">
        <v>1641</v>
      </c>
      <c r="V2544" s="1" t="s">
        <v>2006</v>
      </c>
      <c r="Y2544" s="1">
        <v>8512</v>
      </c>
      <c r="AB2544" s="1">
        <v>8086.4</v>
      </c>
    </row>
    <row r="2545" spans="2:28" x14ac:dyDescent="0.2">
      <c r="B2545" s="30" t="s">
        <v>2294</v>
      </c>
      <c r="C2545" s="36"/>
      <c r="D2545" s="36"/>
      <c r="F2545" s="1" t="s">
        <v>1895</v>
      </c>
      <c r="G2545" s="30" t="s">
        <v>4905</v>
      </c>
      <c r="K2545" s="1" t="s">
        <v>4957</v>
      </c>
      <c r="L2545" s="1" t="s">
        <v>1279</v>
      </c>
      <c r="M2545" s="36" t="s">
        <v>1436</v>
      </c>
      <c r="N2545" s="1" t="s">
        <v>2543</v>
      </c>
      <c r="O2545" s="1" t="s">
        <v>1286</v>
      </c>
      <c r="P2545" s="34" t="str">
        <f t="shared" si="52"/>
        <v>F010</v>
      </c>
      <c r="Q2545" s="1" t="s">
        <v>137</v>
      </c>
      <c r="S2545" s="16">
        <v>20</v>
      </c>
      <c r="T2545" s="1" t="s">
        <v>2427</v>
      </c>
      <c r="U2545" s="1" t="s">
        <v>1641</v>
      </c>
      <c r="V2545" s="1" t="s">
        <v>2006</v>
      </c>
      <c r="Y2545" s="1">
        <v>11020</v>
      </c>
      <c r="AB2545" s="1">
        <v>10469</v>
      </c>
    </row>
    <row r="2546" spans="2:28" x14ac:dyDescent="0.2">
      <c r="B2546" s="30" t="s">
        <v>2294</v>
      </c>
      <c r="C2546" s="36"/>
      <c r="D2546" s="36"/>
      <c r="F2546" s="1" t="s">
        <v>1895</v>
      </c>
      <c r="G2546" s="30" t="s">
        <v>4905</v>
      </c>
      <c r="K2546" s="1" t="s">
        <v>4958</v>
      </c>
      <c r="L2546" s="1" t="s">
        <v>1279</v>
      </c>
      <c r="M2546" s="36" t="s">
        <v>1641</v>
      </c>
      <c r="N2546" s="1" t="s">
        <v>1614</v>
      </c>
      <c r="O2546" s="1" t="s">
        <v>1286</v>
      </c>
      <c r="P2546" s="34" t="str">
        <f t="shared" si="52"/>
        <v>F010</v>
      </c>
      <c r="Q2546" s="1" t="s">
        <v>127</v>
      </c>
      <c r="S2546" s="16">
        <v>20</v>
      </c>
      <c r="T2546" s="1" t="s">
        <v>2427</v>
      </c>
      <c r="U2546" s="1" t="s">
        <v>2236</v>
      </c>
      <c r="V2546" s="1" t="s">
        <v>1857</v>
      </c>
      <c r="Y2546" s="1">
        <v>8362</v>
      </c>
      <c r="AB2546" s="1">
        <v>7943.9</v>
      </c>
    </row>
    <row r="2547" spans="2:28" x14ac:dyDescent="0.2">
      <c r="B2547" s="30" t="s">
        <v>2294</v>
      </c>
      <c r="C2547" s="36"/>
      <c r="D2547" s="36"/>
      <c r="F2547" s="1" t="s">
        <v>1895</v>
      </c>
      <c r="G2547" s="30" t="s">
        <v>4905</v>
      </c>
      <c r="K2547" s="1" t="s">
        <v>4959</v>
      </c>
      <c r="L2547" s="1" t="s">
        <v>1279</v>
      </c>
      <c r="M2547" s="36" t="s">
        <v>1641</v>
      </c>
      <c r="N2547" s="1" t="s">
        <v>1833</v>
      </c>
      <c r="O2547" s="1" t="s">
        <v>1286</v>
      </c>
      <c r="P2547" s="34" t="str">
        <f t="shared" si="52"/>
        <v>F010</v>
      </c>
      <c r="Q2547" s="1" t="s">
        <v>127</v>
      </c>
      <c r="S2547" s="16">
        <v>20</v>
      </c>
      <c r="T2547" s="1" t="s">
        <v>2427</v>
      </c>
      <c r="U2547" s="1" t="s">
        <v>2236</v>
      </c>
      <c r="V2547" s="1" t="s">
        <v>1857</v>
      </c>
      <c r="Y2547" s="1">
        <v>8362</v>
      </c>
      <c r="AB2547" s="1">
        <v>7943.9</v>
      </c>
    </row>
    <row r="2548" spans="2:28" x14ac:dyDescent="0.2">
      <c r="B2548" s="30" t="s">
        <v>2294</v>
      </c>
      <c r="C2548" s="36"/>
      <c r="D2548" s="36"/>
      <c r="F2548" s="1" t="s">
        <v>1895</v>
      </c>
      <c r="G2548" s="30" t="s">
        <v>4905</v>
      </c>
      <c r="K2548" s="1" t="s">
        <v>4960</v>
      </c>
      <c r="L2548" s="1" t="s">
        <v>1279</v>
      </c>
      <c r="M2548" s="36" t="s">
        <v>1641</v>
      </c>
      <c r="N2548" s="1" t="s">
        <v>1573</v>
      </c>
      <c r="O2548" s="1" t="s">
        <v>1286</v>
      </c>
      <c r="P2548" s="34" t="str">
        <f t="shared" si="52"/>
        <v>F010</v>
      </c>
      <c r="Q2548" s="1" t="s">
        <v>127</v>
      </c>
      <c r="S2548" s="16">
        <v>20</v>
      </c>
      <c r="T2548" s="1" t="s">
        <v>2427</v>
      </c>
      <c r="U2548" s="1" t="s">
        <v>2236</v>
      </c>
      <c r="V2548" s="1" t="s">
        <v>1857</v>
      </c>
      <c r="Y2548" s="1">
        <v>8362</v>
      </c>
      <c r="AB2548" s="1">
        <v>7943.9</v>
      </c>
    </row>
    <row r="2549" spans="2:28" x14ac:dyDescent="0.2">
      <c r="B2549" s="30" t="s">
        <v>2294</v>
      </c>
      <c r="C2549" s="36"/>
      <c r="D2549" s="36"/>
      <c r="F2549" s="1" t="s">
        <v>1895</v>
      </c>
      <c r="G2549" s="30" t="s">
        <v>4905</v>
      </c>
      <c r="K2549" s="1" t="s">
        <v>4961</v>
      </c>
      <c r="L2549" s="1" t="s">
        <v>1279</v>
      </c>
      <c r="M2549" s="36" t="s">
        <v>1641</v>
      </c>
      <c r="N2549" s="1" t="s">
        <v>1833</v>
      </c>
      <c r="O2549" s="1" t="s">
        <v>1286</v>
      </c>
      <c r="P2549" s="34" t="str">
        <f t="shared" si="52"/>
        <v>F010</v>
      </c>
      <c r="Q2549" s="1" t="s">
        <v>127</v>
      </c>
      <c r="S2549" s="16">
        <v>20</v>
      </c>
      <c r="T2549" s="1" t="s">
        <v>2427</v>
      </c>
      <c r="U2549" s="1" t="s">
        <v>2236</v>
      </c>
      <c r="V2549" s="1" t="s">
        <v>1857</v>
      </c>
      <c r="Y2549" s="1">
        <v>8302</v>
      </c>
      <c r="AB2549" s="1">
        <v>7886.9</v>
      </c>
    </row>
    <row r="2550" spans="2:28" x14ac:dyDescent="0.2">
      <c r="B2550" s="30" t="s">
        <v>2294</v>
      </c>
      <c r="C2550" s="36"/>
      <c r="D2550" s="36"/>
      <c r="F2550" s="1" t="s">
        <v>1895</v>
      </c>
      <c r="G2550" s="30" t="s">
        <v>4905</v>
      </c>
      <c r="K2550" s="1" t="s">
        <v>4962</v>
      </c>
      <c r="L2550" s="1" t="s">
        <v>1279</v>
      </c>
      <c r="M2550" s="36" t="s">
        <v>1641</v>
      </c>
      <c r="N2550" s="1" t="s">
        <v>1795</v>
      </c>
      <c r="O2550" s="1" t="s">
        <v>1286</v>
      </c>
      <c r="P2550" s="34" t="str">
        <f t="shared" si="52"/>
        <v>F010</v>
      </c>
      <c r="Q2550" s="1" t="s">
        <v>127</v>
      </c>
      <c r="S2550" s="16">
        <v>20</v>
      </c>
      <c r="T2550" s="1" t="s">
        <v>2427</v>
      </c>
      <c r="U2550" s="1" t="s">
        <v>2236</v>
      </c>
      <c r="V2550" s="1" t="s">
        <v>1857</v>
      </c>
      <c r="Y2550" s="1">
        <v>8362</v>
      </c>
      <c r="AB2550" s="1">
        <v>7943.9</v>
      </c>
    </row>
    <row r="2551" spans="2:28" x14ac:dyDescent="0.2">
      <c r="B2551" s="30" t="s">
        <v>2294</v>
      </c>
      <c r="C2551" s="36"/>
      <c r="D2551" s="36"/>
      <c r="F2551" s="1" t="s">
        <v>1895</v>
      </c>
      <c r="G2551" s="30" t="s">
        <v>4963</v>
      </c>
      <c r="K2551" s="1" t="s">
        <v>4964</v>
      </c>
      <c r="L2551" s="1" t="s">
        <v>1279</v>
      </c>
      <c r="M2551" s="36" t="s">
        <v>1990</v>
      </c>
      <c r="N2551" s="1" t="s">
        <v>3072</v>
      </c>
      <c r="O2551" s="1" t="s">
        <v>1286</v>
      </c>
      <c r="P2551" s="34" t="str">
        <f t="shared" si="52"/>
        <v>F010</v>
      </c>
      <c r="Q2551" s="1" t="s">
        <v>137</v>
      </c>
      <c r="S2551" s="16">
        <v>20</v>
      </c>
      <c r="T2551" s="1" t="s">
        <v>4965</v>
      </c>
      <c r="U2551" s="1" t="s">
        <v>2368</v>
      </c>
      <c r="V2551" s="1" t="s">
        <v>2369</v>
      </c>
      <c r="Y2551" s="1">
        <v>6196.09</v>
      </c>
      <c r="AB2551" s="1">
        <v>327.02</v>
      </c>
    </row>
    <row r="2552" spans="2:28" x14ac:dyDescent="0.2">
      <c r="B2552" s="30" t="s">
        <v>2294</v>
      </c>
      <c r="C2552" s="36"/>
      <c r="D2552" s="36"/>
      <c r="F2552" s="1" t="s">
        <v>4966</v>
      </c>
      <c r="G2552" s="30" t="s">
        <v>4963</v>
      </c>
      <c r="K2552" s="1" t="s">
        <v>4967</v>
      </c>
      <c r="L2552" s="1" t="s">
        <v>1279</v>
      </c>
      <c r="M2552" s="36" t="s">
        <v>1990</v>
      </c>
      <c r="N2552" s="1" t="s">
        <v>3957</v>
      </c>
      <c r="O2552" s="1" t="s">
        <v>1286</v>
      </c>
      <c r="P2552" s="34" t="str">
        <f t="shared" si="52"/>
        <v>F010</v>
      </c>
      <c r="Q2552" s="1" t="s">
        <v>137</v>
      </c>
      <c r="S2552" s="16">
        <v>20</v>
      </c>
      <c r="T2552" s="1" t="s">
        <v>4965</v>
      </c>
      <c r="U2552" s="1" t="s">
        <v>2368</v>
      </c>
      <c r="V2552" s="1" t="s">
        <v>2369</v>
      </c>
      <c r="Y2552" s="1">
        <v>6196.09</v>
      </c>
      <c r="AB2552" s="1">
        <v>327.02</v>
      </c>
    </row>
    <row r="2553" spans="2:28" x14ac:dyDescent="0.2">
      <c r="B2553" s="30" t="s">
        <v>2294</v>
      </c>
      <c r="C2553" s="36"/>
      <c r="D2553" s="36"/>
      <c r="F2553" s="1" t="s">
        <v>4966</v>
      </c>
      <c r="G2553" s="30" t="s">
        <v>4963</v>
      </c>
      <c r="K2553" s="1" t="s">
        <v>4968</v>
      </c>
      <c r="L2553" s="1" t="s">
        <v>1279</v>
      </c>
      <c r="M2553" s="36" t="s">
        <v>1990</v>
      </c>
      <c r="N2553" s="1" t="s">
        <v>3317</v>
      </c>
      <c r="O2553" s="1" t="s">
        <v>1286</v>
      </c>
      <c r="P2553" s="34" t="str">
        <f t="shared" si="52"/>
        <v>F010</v>
      </c>
      <c r="Q2553" s="1" t="s">
        <v>137</v>
      </c>
      <c r="S2553" s="16">
        <v>20</v>
      </c>
      <c r="T2553" s="1" t="s">
        <v>4969</v>
      </c>
      <c r="U2553" s="1" t="s">
        <v>2368</v>
      </c>
      <c r="V2553" s="1" t="s">
        <v>2369</v>
      </c>
      <c r="Y2553" s="1">
        <v>6196.09</v>
      </c>
      <c r="AB2553" s="1">
        <v>327.02</v>
      </c>
    </row>
    <row r="2554" spans="2:28" x14ac:dyDescent="0.2">
      <c r="B2554" s="30" t="s">
        <v>2294</v>
      </c>
      <c r="C2554" s="36"/>
      <c r="D2554" s="36"/>
      <c r="F2554" s="1" t="s">
        <v>4970</v>
      </c>
      <c r="G2554" s="30" t="s">
        <v>4971</v>
      </c>
      <c r="K2554" s="1" t="s">
        <v>4972</v>
      </c>
      <c r="L2554" s="1" t="s">
        <v>1279</v>
      </c>
      <c r="M2554" s="36" t="s">
        <v>2236</v>
      </c>
      <c r="N2554" s="1" t="s">
        <v>4973</v>
      </c>
      <c r="O2554" s="1" t="s">
        <v>1286</v>
      </c>
      <c r="P2554" s="34" t="str">
        <f t="shared" si="52"/>
        <v>F010</v>
      </c>
      <c r="Q2554" s="1" t="s">
        <v>138</v>
      </c>
      <c r="S2554" s="16">
        <v>20</v>
      </c>
      <c r="T2554" s="1" t="s">
        <v>4969</v>
      </c>
      <c r="U2554" s="1" t="s">
        <v>2141</v>
      </c>
      <c r="V2554" s="1" t="s">
        <v>1840</v>
      </c>
      <c r="Y2554" s="1">
        <v>8302</v>
      </c>
      <c r="AB2554" s="1">
        <v>7886.9</v>
      </c>
    </row>
    <row r="2555" spans="2:28" x14ac:dyDescent="0.2">
      <c r="B2555" s="30" t="s">
        <v>2294</v>
      </c>
      <c r="C2555" s="36"/>
      <c r="D2555" s="36"/>
      <c r="F2555" s="1" t="s">
        <v>4970</v>
      </c>
      <c r="G2555" s="30" t="s">
        <v>4971</v>
      </c>
      <c r="K2555" s="1" t="s">
        <v>4974</v>
      </c>
      <c r="L2555" s="1" t="s">
        <v>1279</v>
      </c>
      <c r="M2555" s="36" t="s">
        <v>2236</v>
      </c>
      <c r="N2555" s="1" t="s">
        <v>1287</v>
      </c>
      <c r="O2555" s="1" t="s">
        <v>1286</v>
      </c>
      <c r="P2555" s="34" t="str">
        <f t="shared" si="52"/>
        <v>F010</v>
      </c>
      <c r="Q2555" s="1" t="s">
        <v>138</v>
      </c>
      <c r="S2555" s="16">
        <v>20</v>
      </c>
      <c r="T2555" s="1" t="s">
        <v>2299</v>
      </c>
      <c r="U2555" s="1" t="s">
        <v>2141</v>
      </c>
      <c r="V2555" s="1" t="s">
        <v>1840</v>
      </c>
      <c r="Y2555" s="1">
        <v>8302</v>
      </c>
      <c r="AB2555" s="1">
        <v>7886.9</v>
      </c>
    </row>
    <row r="2556" spans="2:28" x14ac:dyDescent="0.2">
      <c r="B2556" s="30" t="s">
        <v>2294</v>
      </c>
      <c r="C2556" s="36"/>
      <c r="D2556" s="36"/>
      <c r="F2556" s="1" t="s">
        <v>1322</v>
      </c>
      <c r="G2556" s="30" t="s">
        <v>4975</v>
      </c>
      <c r="K2556" s="1" t="s">
        <v>4976</v>
      </c>
      <c r="L2556" s="1" t="s">
        <v>1279</v>
      </c>
      <c r="M2556" s="36" t="s">
        <v>1327</v>
      </c>
      <c r="N2556" s="1" t="s">
        <v>2543</v>
      </c>
      <c r="O2556" s="1" t="s">
        <v>1286</v>
      </c>
      <c r="P2556" s="34" t="str">
        <f t="shared" si="52"/>
        <v>F010</v>
      </c>
      <c r="Q2556" s="1" t="s">
        <v>137</v>
      </c>
      <c r="S2556" s="16">
        <v>20</v>
      </c>
      <c r="T2556" s="1" t="s">
        <v>4977</v>
      </c>
      <c r="U2556" s="1" t="s">
        <v>1444</v>
      </c>
      <c r="V2556" s="1" t="s">
        <v>1511</v>
      </c>
      <c r="Y2556" s="1">
        <v>7000</v>
      </c>
      <c r="AB2556" s="1">
        <v>6650</v>
      </c>
    </row>
    <row r="2557" spans="2:28" x14ac:dyDescent="0.2">
      <c r="B2557" s="30" t="s">
        <v>2294</v>
      </c>
      <c r="C2557" s="36"/>
      <c r="D2557" s="36"/>
      <c r="F2557" s="1" t="s">
        <v>4978</v>
      </c>
      <c r="G2557" s="30" t="s">
        <v>4979</v>
      </c>
      <c r="K2557" s="1" t="s">
        <v>4980</v>
      </c>
      <c r="L2557" s="1" t="s">
        <v>1279</v>
      </c>
      <c r="M2557" s="36" t="s">
        <v>4981</v>
      </c>
      <c r="N2557" s="1" t="s">
        <v>4982</v>
      </c>
      <c r="O2557" s="1" t="s">
        <v>1286</v>
      </c>
      <c r="P2557" s="34" t="str">
        <f t="shared" si="52"/>
        <v>F010</v>
      </c>
      <c r="Q2557" s="1" t="s">
        <v>127</v>
      </c>
      <c r="S2557" s="16">
        <v>20</v>
      </c>
      <c r="T2557" s="1" t="s">
        <v>4977</v>
      </c>
      <c r="U2557" s="1" t="s">
        <v>1737</v>
      </c>
      <c r="V2557" s="1" t="s">
        <v>1741</v>
      </c>
      <c r="Y2557" s="1">
        <v>6800</v>
      </c>
      <c r="AB2557" s="1">
        <v>6460</v>
      </c>
    </row>
    <row r="2558" spans="2:28" x14ac:dyDescent="0.2">
      <c r="B2558" s="30" t="s">
        <v>2294</v>
      </c>
      <c r="C2558" s="36"/>
      <c r="D2558" s="36"/>
      <c r="F2558" s="1" t="s">
        <v>4978</v>
      </c>
      <c r="G2558" s="30" t="s">
        <v>4979</v>
      </c>
      <c r="K2558" s="1" t="s">
        <v>4983</v>
      </c>
      <c r="L2558" s="1" t="s">
        <v>1279</v>
      </c>
      <c r="M2558" s="36" t="s">
        <v>4981</v>
      </c>
      <c r="N2558" s="1" t="s">
        <v>4982</v>
      </c>
      <c r="O2558" s="1" t="s">
        <v>1286</v>
      </c>
      <c r="P2558" s="34" t="str">
        <f t="shared" si="52"/>
        <v>F010</v>
      </c>
      <c r="Q2558" s="1" t="s">
        <v>127</v>
      </c>
      <c r="S2558" s="16">
        <v>20</v>
      </c>
      <c r="T2558" s="1" t="s">
        <v>2427</v>
      </c>
      <c r="U2558" s="1" t="s">
        <v>1737</v>
      </c>
      <c r="V2558" s="1" t="s">
        <v>1741</v>
      </c>
      <c r="Y2558" s="1">
        <v>6800</v>
      </c>
      <c r="AB2558" s="1">
        <v>6460</v>
      </c>
    </row>
    <row r="2559" spans="2:28" x14ac:dyDescent="0.2">
      <c r="B2559" s="30" t="s">
        <v>2294</v>
      </c>
      <c r="C2559" s="36"/>
      <c r="D2559" s="36"/>
      <c r="F2559" s="1" t="s">
        <v>1895</v>
      </c>
      <c r="G2559" s="30" t="s">
        <v>4984</v>
      </c>
      <c r="K2559" s="1" t="s">
        <v>4985</v>
      </c>
      <c r="L2559" s="1" t="s">
        <v>1279</v>
      </c>
      <c r="M2559" s="36" t="s">
        <v>1511</v>
      </c>
      <c r="N2559" s="1" t="s">
        <v>1284</v>
      </c>
      <c r="O2559" s="1" t="s">
        <v>1286</v>
      </c>
      <c r="P2559" s="34" t="str">
        <f t="shared" si="52"/>
        <v>F010</v>
      </c>
      <c r="Q2559" s="1" t="s">
        <v>127</v>
      </c>
      <c r="S2559" s="16">
        <v>20</v>
      </c>
      <c r="T2559" s="1" t="s">
        <v>2299</v>
      </c>
      <c r="U2559" s="1" t="s">
        <v>1468</v>
      </c>
      <c r="V2559" s="1" t="s">
        <v>1634</v>
      </c>
      <c r="Y2559" s="1">
        <v>90100</v>
      </c>
      <c r="AB2559" s="1">
        <v>42414.59</v>
      </c>
    </row>
    <row r="2560" spans="2:28" x14ac:dyDescent="0.2">
      <c r="B2560" s="30" t="s">
        <v>2294</v>
      </c>
      <c r="C2560" s="36"/>
      <c r="D2560" s="36"/>
      <c r="F2560" s="1" t="s">
        <v>1322</v>
      </c>
      <c r="G2560" s="30" t="s">
        <v>4986</v>
      </c>
      <c r="K2560" s="1" t="s">
        <v>4987</v>
      </c>
      <c r="L2560" s="1" t="s">
        <v>1279</v>
      </c>
      <c r="M2560" s="36" t="s">
        <v>1567</v>
      </c>
      <c r="N2560" s="1" t="s">
        <v>1284</v>
      </c>
      <c r="O2560" s="1" t="s">
        <v>1286</v>
      </c>
      <c r="P2560" s="34" t="str">
        <f t="shared" si="52"/>
        <v>F010</v>
      </c>
      <c r="Q2560" s="1" t="s">
        <v>138</v>
      </c>
      <c r="S2560" s="16">
        <v>20</v>
      </c>
      <c r="T2560" s="1" t="s">
        <v>2299</v>
      </c>
      <c r="U2560" s="1" t="s">
        <v>1999</v>
      </c>
      <c r="V2560" s="1" t="s">
        <v>1526</v>
      </c>
      <c r="Y2560" s="1">
        <v>678624.3</v>
      </c>
      <c r="AB2560" s="1">
        <v>519336.07</v>
      </c>
    </row>
    <row r="2561" spans="2:28" x14ac:dyDescent="0.2">
      <c r="B2561" s="30" t="s">
        <v>2294</v>
      </c>
      <c r="C2561" s="36"/>
      <c r="D2561" s="36"/>
      <c r="F2561" s="1" t="s">
        <v>1322</v>
      </c>
      <c r="G2561" s="30" t="s">
        <v>4986</v>
      </c>
      <c r="K2561" s="1" t="s">
        <v>4988</v>
      </c>
      <c r="L2561" s="1" t="s">
        <v>1279</v>
      </c>
      <c r="M2561" s="36" t="s">
        <v>1567</v>
      </c>
      <c r="N2561" s="1" t="s">
        <v>1284</v>
      </c>
      <c r="O2561" s="1" t="s">
        <v>1286</v>
      </c>
      <c r="P2561" s="34" t="str">
        <f t="shared" si="52"/>
        <v>F010</v>
      </c>
      <c r="Q2561" s="1" t="s">
        <v>138</v>
      </c>
      <c r="S2561" s="16">
        <v>20</v>
      </c>
      <c r="T2561" s="1" t="s">
        <v>2299</v>
      </c>
      <c r="U2561" s="1" t="s">
        <v>1999</v>
      </c>
      <c r="V2561" s="1" t="s">
        <v>1526</v>
      </c>
      <c r="Y2561" s="1">
        <v>211945.7</v>
      </c>
      <c r="AB2561" s="1">
        <v>162197.31</v>
      </c>
    </row>
    <row r="2562" spans="2:28" s="58" customFormat="1" x14ac:dyDescent="0.2">
      <c r="B2562" s="56" t="s">
        <v>2294</v>
      </c>
      <c r="C2562" s="57">
        <v>50000</v>
      </c>
      <c r="D2562" s="48">
        <f>+C2562/100000</f>
        <v>0.5</v>
      </c>
      <c r="E2562" s="58" t="s">
        <v>1331</v>
      </c>
      <c r="F2562" s="58" t="s">
        <v>1322</v>
      </c>
      <c r="G2562" s="56" t="s">
        <v>4989</v>
      </c>
      <c r="K2562" s="58" t="s">
        <v>4990</v>
      </c>
      <c r="L2562" s="58" t="s">
        <v>1279</v>
      </c>
      <c r="M2562" s="58" t="s">
        <v>1415</v>
      </c>
      <c r="N2562" s="58" t="s">
        <v>1287</v>
      </c>
      <c r="O2562" s="58" t="s">
        <v>1286</v>
      </c>
      <c r="P2562" s="58" t="str">
        <f t="shared" si="52"/>
        <v>F010</v>
      </c>
      <c r="Q2562" s="58" t="s">
        <v>138</v>
      </c>
      <c r="S2562" s="59">
        <v>20</v>
      </c>
      <c r="T2562" s="58" t="s">
        <v>2299</v>
      </c>
      <c r="U2562" s="58" t="s">
        <v>2023</v>
      </c>
      <c r="V2562" s="58" t="s">
        <v>1805</v>
      </c>
      <c r="Y2562" s="58">
        <v>171000</v>
      </c>
      <c r="AB2562" s="58">
        <v>162450</v>
      </c>
    </row>
    <row r="2563" spans="2:28" s="58" customFormat="1" x14ac:dyDescent="0.2">
      <c r="B2563" s="56" t="s">
        <v>2294</v>
      </c>
      <c r="C2563" s="57">
        <v>50000</v>
      </c>
      <c r="D2563" s="48">
        <f>+C2563/100000</f>
        <v>0.5</v>
      </c>
      <c r="E2563" s="58" t="s">
        <v>1337</v>
      </c>
      <c r="F2563" s="58" t="s">
        <v>1322</v>
      </c>
      <c r="G2563" s="56" t="s">
        <v>4989</v>
      </c>
      <c r="K2563" s="58" t="s">
        <v>4990</v>
      </c>
      <c r="L2563" s="58" t="s">
        <v>1279</v>
      </c>
      <c r="M2563" s="58" t="s">
        <v>1415</v>
      </c>
      <c r="N2563" s="58" t="s">
        <v>1637</v>
      </c>
      <c r="O2563" s="58" t="s">
        <v>1286</v>
      </c>
      <c r="P2563" s="58" t="str">
        <f t="shared" si="52"/>
        <v>F010</v>
      </c>
      <c r="Q2563" s="58" t="s">
        <v>138</v>
      </c>
      <c r="S2563" s="59">
        <v>20</v>
      </c>
      <c r="T2563" s="58" t="s">
        <v>2299</v>
      </c>
      <c r="U2563" s="58" t="s">
        <v>2023</v>
      </c>
      <c r="V2563" s="58" t="s">
        <v>1805</v>
      </c>
      <c r="Y2563" s="58">
        <v>171000</v>
      </c>
      <c r="AB2563" s="58">
        <v>162450</v>
      </c>
    </row>
    <row r="2564" spans="2:28" x14ac:dyDescent="0.2">
      <c r="B2564" s="30" t="s">
        <v>2294</v>
      </c>
      <c r="C2564" s="36"/>
      <c r="D2564" s="36"/>
      <c r="F2564" s="1" t="s">
        <v>1322</v>
      </c>
      <c r="G2564" s="30" t="s">
        <v>4989</v>
      </c>
      <c r="K2564" s="1" t="s">
        <v>4991</v>
      </c>
      <c r="L2564" s="1" t="s">
        <v>1279</v>
      </c>
      <c r="M2564" s="36" t="s">
        <v>1415</v>
      </c>
      <c r="N2564" s="1" t="s">
        <v>1287</v>
      </c>
      <c r="O2564" s="1" t="s">
        <v>1286</v>
      </c>
      <c r="P2564" s="34" t="str">
        <f t="shared" si="52"/>
        <v>F010</v>
      </c>
      <c r="Q2564" s="1" t="s">
        <v>138</v>
      </c>
      <c r="S2564" s="16">
        <v>20</v>
      </c>
      <c r="T2564" s="1" t="s">
        <v>2299</v>
      </c>
      <c r="U2564" s="1" t="s">
        <v>2023</v>
      </c>
      <c r="V2564" s="1" t="s">
        <v>1805</v>
      </c>
      <c r="Y2564" s="1">
        <v>36000</v>
      </c>
      <c r="AB2564" s="1">
        <v>34200</v>
      </c>
    </row>
    <row r="2565" spans="2:28" x14ac:dyDescent="0.2">
      <c r="B2565" s="30" t="s">
        <v>2294</v>
      </c>
      <c r="C2565" s="36"/>
      <c r="D2565" s="36"/>
      <c r="F2565" s="1" t="s">
        <v>1322</v>
      </c>
      <c r="G2565" s="30" t="s">
        <v>4989</v>
      </c>
      <c r="K2565" s="1" t="s">
        <v>4992</v>
      </c>
      <c r="L2565" s="1" t="s">
        <v>1279</v>
      </c>
      <c r="M2565" s="36" t="s">
        <v>1441</v>
      </c>
      <c r="N2565" s="1" t="s">
        <v>1284</v>
      </c>
      <c r="O2565" s="1" t="s">
        <v>1286</v>
      </c>
      <c r="P2565" s="34" t="str">
        <f t="shared" si="52"/>
        <v>F010</v>
      </c>
      <c r="Q2565" s="1" t="s">
        <v>138</v>
      </c>
      <c r="S2565" s="16">
        <v>20</v>
      </c>
      <c r="T2565" s="1" t="s">
        <v>2299</v>
      </c>
      <c r="U2565" s="1" t="s">
        <v>1516</v>
      </c>
      <c r="V2565" s="1" t="s">
        <v>1503</v>
      </c>
      <c r="Y2565" s="1">
        <v>249800</v>
      </c>
      <c r="AB2565" s="1">
        <v>237310</v>
      </c>
    </row>
    <row r="2566" spans="2:28" x14ac:dyDescent="0.2">
      <c r="B2566" s="30" t="s">
        <v>2294</v>
      </c>
      <c r="C2566" s="36"/>
      <c r="D2566" s="36"/>
      <c r="F2566" s="1" t="s">
        <v>1322</v>
      </c>
      <c r="G2566" s="30" t="s">
        <v>4993</v>
      </c>
      <c r="K2566" s="1" t="s">
        <v>4994</v>
      </c>
      <c r="L2566" s="1" t="s">
        <v>1279</v>
      </c>
      <c r="M2566" s="36" t="s">
        <v>1413</v>
      </c>
      <c r="N2566" s="1" t="s">
        <v>1284</v>
      </c>
      <c r="O2566" s="1" t="s">
        <v>1286</v>
      </c>
      <c r="P2566" s="34" t="str">
        <f t="shared" si="52"/>
        <v>F010</v>
      </c>
      <c r="Q2566" s="1" t="s">
        <v>127</v>
      </c>
      <c r="S2566" s="16">
        <v>20</v>
      </c>
      <c r="T2566" s="1" t="s">
        <v>2299</v>
      </c>
      <c r="U2566" s="1" t="s">
        <v>1484</v>
      </c>
      <c r="V2566" s="1" t="s">
        <v>1476</v>
      </c>
      <c r="Y2566" s="1">
        <v>4004.98</v>
      </c>
      <c r="AB2566" s="1">
        <v>3804.73</v>
      </c>
    </row>
    <row r="2567" spans="2:28" x14ac:dyDescent="0.2">
      <c r="B2567" s="30" t="s">
        <v>2294</v>
      </c>
      <c r="C2567" s="36"/>
      <c r="D2567" s="36"/>
      <c r="F2567" s="1" t="s">
        <v>1322</v>
      </c>
      <c r="G2567" s="30" t="s">
        <v>4993</v>
      </c>
      <c r="K2567" s="1" t="s">
        <v>4995</v>
      </c>
      <c r="L2567" s="1" t="s">
        <v>1279</v>
      </c>
      <c r="M2567" s="36" t="s">
        <v>1413</v>
      </c>
      <c r="N2567" s="1" t="s">
        <v>1284</v>
      </c>
      <c r="O2567" s="1" t="s">
        <v>1286</v>
      </c>
      <c r="P2567" s="34" t="str">
        <f t="shared" si="52"/>
        <v>F010</v>
      </c>
      <c r="Q2567" s="1" t="s">
        <v>127</v>
      </c>
      <c r="S2567" s="16">
        <v>20</v>
      </c>
      <c r="T2567" s="1" t="s">
        <v>2299</v>
      </c>
      <c r="U2567" s="1" t="s">
        <v>1484</v>
      </c>
      <c r="V2567" s="1" t="s">
        <v>1476</v>
      </c>
      <c r="Y2567" s="1">
        <v>4004.98</v>
      </c>
      <c r="AB2567" s="1">
        <v>3804.73</v>
      </c>
    </row>
    <row r="2568" spans="2:28" x14ac:dyDescent="0.2">
      <c r="B2568" s="30" t="s">
        <v>2294</v>
      </c>
      <c r="C2568" s="36"/>
      <c r="D2568" s="36"/>
      <c r="F2568" s="1" t="s">
        <v>1322</v>
      </c>
      <c r="G2568" s="30" t="s">
        <v>4993</v>
      </c>
      <c r="K2568" s="1" t="s">
        <v>4996</v>
      </c>
      <c r="L2568" s="1" t="s">
        <v>1279</v>
      </c>
      <c r="M2568" s="36" t="s">
        <v>1413</v>
      </c>
      <c r="N2568" s="1" t="s">
        <v>1284</v>
      </c>
      <c r="O2568" s="1" t="s">
        <v>1286</v>
      </c>
      <c r="P2568" s="34" t="str">
        <f t="shared" si="52"/>
        <v>F010</v>
      </c>
      <c r="Q2568" s="1" t="s">
        <v>127</v>
      </c>
      <c r="S2568" s="16">
        <v>20</v>
      </c>
      <c r="T2568" s="1" t="s">
        <v>2299</v>
      </c>
      <c r="U2568" s="1" t="s">
        <v>1484</v>
      </c>
      <c r="V2568" s="1" t="s">
        <v>1476</v>
      </c>
      <c r="Y2568" s="1">
        <v>4004.98</v>
      </c>
      <c r="AB2568" s="1">
        <v>3804.73</v>
      </c>
    </row>
    <row r="2569" spans="2:28" x14ac:dyDescent="0.2">
      <c r="B2569" s="30" t="s">
        <v>2294</v>
      </c>
      <c r="C2569" s="36"/>
      <c r="D2569" s="36"/>
      <c r="F2569" s="1" t="s">
        <v>1322</v>
      </c>
      <c r="G2569" s="30" t="s">
        <v>4997</v>
      </c>
      <c r="K2569" s="1" t="s">
        <v>4998</v>
      </c>
      <c r="L2569" s="1" t="s">
        <v>1279</v>
      </c>
      <c r="M2569" s="36" t="s">
        <v>1882</v>
      </c>
      <c r="N2569" s="1" t="s">
        <v>1744</v>
      </c>
      <c r="O2569" s="1" t="s">
        <v>1286</v>
      </c>
      <c r="P2569" s="34" t="str">
        <f t="shared" si="52"/>
        <v>F010</v>
      </c>
      <c r="Q2569" s="1" t="s">
        <v>127</v>
      </c>
      <c r="S2569" s="16">
        <v>20</v>
      </c>
      <c r="T2569" s="1" t="s">
        <v>2299</v>
      </c>
      <c r="U2569" s="1" t="s">
        <v>1922</v>
      </c>
      <c r="V2569" s="1" t="s">
        <v>1528</v>
      </c>
      <c r="Y2569" s="1">
        <v>3200</v>
      </c>
      <c r="AB2569" s="1">
        <v>3040</v>
      </c>
    </row>
    <row r="2570" spans="2:28" x14ac:dyDescent="0.2">
      <c r="B2570" s="30" t="s">
        <v>2294</v>
      </c>
      <c r="C2570" s="36"/>
      <c r="D2570" s="36"/>
      <c r="F2570" s="1" t="s">
        <v>1322</v>
      </c>
      <c r="G2570" s="30" t="s">
        <v>4997</v>
      </c>
      <c r="K2570" s="1" t="s">
        <v>4999</v>
      </c>
      <c r="L2570" s="1" t="s">
        <v>1279</v>
      </c>
      <c r="M2570" s="36" t="s">
        <v>1882</v>
      </c>
      <c r="N2570" s="1" t="s">
        <v>1744</v>
      </c>
      <c r="O2570" s="1" t="s">
        <v>1286</v>
      </c>
      <c r="P2570" s="34" t="str">
        <f t="shared" si="52"/>
        <v>F010</v>
      </c>
      <c r="Q2570" s="1" t="s">
        <v>127</v>
      </c>
      <c r="S2570" s="16">
        <v>20</v>
      </c>
      <c r="T2570" s="1" t="s">
        <v>2299</v>
      </c>
      <c r="U2570" s="1" t="s">
        <v>1922</v>
      </c>
      <c r="V2570" s="1" t="s">
        <v>1528</v>
      </c>
      <c r="Y2570" s="1">
        <v>3200</v>
      </c>
      <c r="AB2570" s="1">
        <v>3040</v>
      </c>
    </row>
    <row r="2571" spans="2:28" x14ac:dyDescent="0.2">
      <c r="B2571" s="30" t="s">
        <v>2294</v>
      </c>
      <c r="C2571" s="36"/>
      <c r="D2571" s="36"/>
      <c r="F2571" s="1" t="s">
        <v>1322</v>
      </c>
      <c r="G2571" s="30" t="s">
        <v>5000</v>
      </c>
      <c r="K2571" s="1" t="s">
        <v>5001</v>
      </c>
      <c r="L2571" s="1" t="s">
        <v>1279</v>
      </c>
      <c r="M2571" s="36" t="s">
        <v>1468</v>
      </c>
      <c r="N2571" s="1" t="s">
        <v>1609</v>
      </c>
      <c r="O2571" s="1" t="s">
        <v>1286</v>
      </c>
      <c r="P2571" s="34" t="str">
        <f t="shared" si="52"/>
        <v>F010</v>
      </c>
      <c r="Q2571" s="1" t="s">
        <v>127</v>
      </c>
      <c r="S2571" s="16">
        <v>20</v>
      </c>
      <c r="T2571" s="1" t="s">
        <v>2299</v>
      </c>
      <c r="U2571" s="1" t="s">
        <v>1463</v>
      </c>
      <c r="V2571" s="1" t="s">
        <v>1465</v>
      </c>
      <c r="Y2571" s="1">
        <v>97550</v>
      </c>
      <c r="AB2571" s="1">
        <v>43762.05</v>
      </c>
    </row>
    <row r="2572" spans="2:28" x14ac:dyDescent="0.2">
      <c r="B2572" s="30" t="s">
        <v>2294</v>
      </c>
      <c r="C2572" s="36"/>
      <c r="D2572" s="36"/>
      <c r="F2572" s="1" t="s">
        <v>1322</v>
      </c>
      <c r="G2572" s="30" t="s">
        <v>5002</v>
      </c>
      <c r="K2572" s="1" t="s">
        <v>5003</v>
      </c>
      <c r="L2572" s="1" t="s">
        <v>1279</v>
      </c>
      <c r="M2572" s="36" t="s">
        <v>1817</v>
      </c>
      <c r="N2572" s="1" t="s">
        <v>1287</v>
      </c>
      <c r="O2572" s="1" t="s">
        <v>1286</v>
      </c>
      <c r="P2572" s="34" t="str">
        <f t="shared" si="52"/>
        <v>F010</v>
      </c>
      <c r="Q2572" s="1" t="s">
        <v>138</v>
      </c>
      <c r="S2572" s="16">
        <v>20</v>
      </c>
      <c r="T2572" s="1" t="s">
        <v>2299</v>
      </c>
      <c r="U2572" s="1" t="s">
        <v>1928</v>
      </c>
      <c r="V2572" s="1" t="s">
        <v>1929</v>
      </c>
      <c r="Y2572" s="1">
        <v>342183.7</v>
      </c>
      <c r="AB2572" s="1">
        <v>325074.52</v>
      </c>
    </row>
    <row r="2573" spans="2:28" x14ac:dyDescent="0.2">
      <c r="B2573" s="30" t="s">
        <v>2294</v>
      </c>
      <c r="C2573" s="36"/>
      <c r="D2573" s="36"/>
      <c r="F2573" s="1" t="s">
        <v>1322</v>
      </c>
      <c r="G2573" s="30" t="s">
        <v>5002</v>
      </c>
      <c r="K2573" s="1" t="s">
        <v>5004</v>
      </c>
      <c r="L2573" s="1" t="s">
        <v>1279</v>
      </c>
      <c r="M2573" s="36" t="s">
        <v>1511</v>
      </c>
      <c r="N2573" s="1" t="s">
        <v>1284</v>
      </c>
      <c r="O2573" s="1" t="s">
        <v>1286</v>
      </c>
      <c r="P2573" s="34" t="str">
        <f t="shared" si="52"/>
        <v>F010</v>
      </c>
      <c r="Q2573" s="1" t="s">
        <v>127</v>
      </c>
      <c r="S2573" s="16">
        <v>20</v>
      </c>
      <c r="T2573" s="1" t="s">
        <v>2299</v>
      </c>
      <c r="U2573" s="1" t="s">
        <v>1468</v>
      </c>
      <c r="V2573" s="1" t="s">
        <v>1634</v>
      </c>
      <c r="Y2573" s="1">
        <v>37999.15</v>
      </c>
      <c r="AB2573" s="1">
        <v>17888.080000000002</v>
      </c>
    </row>
    <row r="2574" spans="2:28" x14ac:dyDescent="0.2">
      <c r="B2574" s="30" t="s">
        <v>2294</v>
      </c>
      <c r="C2574" s="36"/>
      <c r="D2574" s="36"/>
      <c r="F2574" s="1" t="s">
        <v>1322</v>
      </c>
      <c r="G2574" s="30" t="s">
        <v>5002</v>
      </c>
      <c r="K2574" s="1" t="s">
        <v>5005</v>
      </c>
      <c r="L2574" s="1" t="s">
        <v>1279</v>
      </c>
      <c r="M2574" s="36" t="s">
        <v>1511</v>
      </c>
      <c r="N2574" s="1" t="s">
        <v>1284</v>
      </c>
      <c r="O2574" s="1" t="s">
        <v>1286</v>
      </c>
      <c r="P2574" s="34" t="str">
        <f t="shared" si="52"/>
        <v>F010</v>
      </c>
      <c r="Q2574" s="1" t="s">
        <v>127</v>
      </c>
      <c r="S2574" s="16">
        <v>20</v>
      </c>
      <c r="T2574" s="1" t="s">
        <v>2299</v>
      </c>
      <c r="U2574" s="1" t="s">
        <v>1468</v>
      </c>
      <c r="V2574" s="1" t="s">
        <v>1634</v>
      </c>
      <c r="Y2574" s="1">
        <v>37999.14</v>
      </c>
      <c r="AB2574" s="1">
        <v>17888.07</v>
      </c>
    </row>
    <row r="2575" spans="2:28" x14ac:dyDescent="0.2">
      <c r="B2575" s="30" t="s">
        <v>2294</v>
      </c>
      <c r="C2575" s="36"/>
      <c r="D2575" s="36"/>
      <c r="F2575" s="1" t="s">
        <v>1322</v>
      </c>
      <c r="G2575" s="30" t="s">
        <v>5002</v>
      </c>
      <c r="K2575" s="1" t="s">
        <v>5006</v>
      </c>
      <c r="L2575" s="1" t="s">
        <v>1279</v>
      </c>
      <c r="M2575" s="36" t="s">
        <v>1533</v>
      </c>
      <c r="N2575" s="1" t="s">
        <v>1287</v>
      </c>
      <c r="O2575" s="1" t="s">
        <v>1286</v>
      </c>
      <c r="P2575" s="34" t="str">
        <f t="shared" si="52"/>
        <v>F030</v>
      </c>
      <c r="Q2575" s="1" t="s">
        <v>161</v>
      </c>
      <c r="S2575" s="16">
        <v>20</v>
      </c>
      <c r="T2575" s="1" t="s">
        <v>2299</v>
      </c>
      <c r="U2575" s="1" t="s">
        <v>1327</v>
      </c>
      <c r="V2575" s="1" t="s">
        <v>2068</v>
      </c>
      <c r="Y2575" s="1">
        <v>54400</v>
      </c>
      <c r="AB2575" s="1">
        <v>51680</v>
      </c>
    </row>
    <row r="2576" spans="2:28" x14ac:dyDescent="0.2">
      <c r="B2576" s="30" t="s">
        <v>2294</v>
      </c>
      <c r="C2576" s="36"/>
      <c r="D2576" s="36"/>
      <c r="F2576" s="1" t="s">
        <v>1322</v>
      </c>
      <c r="G2576" s="30" t="s">
        <v>5002</v>
      </c>
      <c r="K2576" s="1" t="s">
        <v>5007</v>
      </c>
      <c r="L2576" s="1" t="s">
        <v>1279</v>
      </c>
      <c r="M2576" s="36" t="s">
        <v>1533</v>
      </c>
      <c r="N2576" s="1" t="s">
        <v>1287</v>
      </c>
      <c r="O2576" s="1" t="s">
        <v>1286</v>
      </c>
      <c r="P2576" s="34" t="str">
        <f t="shared" si="52"/>
        <v>F030</v>
      </c>
      <c r="Q2576" s="1" t="s">
        <v>161</v>
      </c>
      <c r="S2576" s="16">
        <v>20</v>
      </c>
      <c r="T2576" s="1" t="s">
        <v>2299</v>
      </c>
      <c r="U2576" s="1" t="s">
        <v>1327</v>
      </c>
      <c r="V2576" s="1" t="s">
        <v>2068</v>
      </c>
      <c r="Y2576" s="1">
        <v>54400</v>
      </c>
      <c r="AB2576" s="1">
        <v>51680</v>
      </c>
    </row>
    <row r="2577" spans="2:28" s="58" customFormat="1" x14ac:dyDescent="0.2">
      <c r="B2577" s="56" t="s">
        <v>2294</v>
      </c>
      <c r="C2577" s="57">
        <v>50000</v>
      </c>
      <c r="D2577" s="48">
        <f>+C2577/100000</f>
        <v>0.5</v>
      </c>
      <c r="E2577" s="58" t="s">
        <v>1331</v>
      </c>
      <c r="F2577" s="58" t="s">
        <v>1322</v>
      </c>
      <c r="G2577" s="56" t="s">
        <v>5008</v>
      </c>
      <c r="K2577" s="58" t="s">
        <v>5009</v>
      </c>
      <c r="L2577" s="58" t="s">
        <v>1279</v>
      </c>
      <c r="M2577" s="58" t="s">
        <v>1894</v>
      </c>
      <c r="N2577" s="58" t="s">
        <v>1286</v>
      </c>
      <c r="O2577" s="58" t="s">
        <v>1286</v>
      </c>
      <c r="P2577" s="58" t="str">
        <f t="shared" si="52"/>
        <v>F010</v>
      </c>
      <c r="Q2577" s="58" t="s">
        <v>138</v>
      </c>
      <c r="S2577" s="59">
        <v>20</v>
      </c>
      <c r="T2577" s="58" t="s">
        <v>2299</v>
      </c>
      <c r="U2577" s="58" t="s">
        <v>1371</v>
      </c>
      <c r="V2577" s="58" t="s">
        <v>2057</v>
      </c>
      <c r="Y2577" s="58">
        <v>5205</v>
      </c>
      <c r="AB2577" s="58">
        <v>4944.75</v>
      </c>
    </row>
    <row r="2578" spans="2:28" s="58" customFormat="1" x14ac:dyDescent="0.2">
      <c r="B2578" s="56" t="s">
        <v>2294</v>
      </c>
      <c r="C2578" s="57">
        <v>50000</v>
      </c>
      <c r="D2578" s="48">
        <f>+C2578/100000</f>
        <v>0.5</v>
      </c>
      <c r="E2578" s="58" t="s">
        <v>1337</v>
      </c>
      <c r="F2578" s="58" t="s">
        <v>1322</v>
      </c>
      <c r="G2578" s="56" t="s">
        <v>5008</v>
      </c>
      <c r="K2578" s="58" t="s">
        <v>5009</v>
      </c>
      <c r="L2578" s="58" t="s">
        <v>1279</v>
      </c>
      <c r="M2578" s="58" t="s">
        <v>1894</v>
      </c>
      <c r="N2578" s="58" t="s">
        <v>1287</v>
      </c>
      <c r="O2578" s="58" t="s">
        <v>1286</v>
      </c>
      <c r="P2578" s="58" t="str">
        <f t="shared" si="52"/>
        <v>F010</v>
      </c>
      <c r="Q2578" s="58" t="s">
        <v>138</v>
      </c>
      <c r="S2578" s="59">
        <v>20</v>
      </c>
      <c r="T2578" s="58" t="s">
        <v>2299</v>
      </c>
      <c r="U2578" s="58" t="s">
        <v>1371</v>
      </c>
      <c r="V2578" s="58" t="s">
        <v>2057</v>
      </c>
      <c r="Y2578" s="58">
        <v>5205</v>
      </c>
      <c r="AB2578" s="58">
        <v>4944.75</v>
      </c>
    </row>
    <row r="2579" spans="2:28" x14ac:dyDescent="0.2">
      <c r="B2579" s="30" t="s">
        <v>2294</v>
      </c>
      <c r="C2579" s="36"/>
      <c r="D2579" s="36"/>
      <c r="F2579" s="1" t="s">
        <v>1322</v>
      </c>
      <c r="G2579" s="30" t="s">
        <v>5010</v>
      </c>
      <c r="K2579" s="1" t="s">
        <v>5011</v>
      </c>
      <c r="L2579" s="1" t="s">
        <v>1279</v>
      </c>
      <c r="M2579" s="36" t="s">
        <v>2361</v>
      </c>
      <c r="N2579" s="1" t="s">
        <v>1287</v>
      </c>
      <c r="O2579" s="1" t="s">
        <v>1286</v>
      </c>
      <c r="P2579" s="34" t="str">
        <f t="shared" si="52"/>
        <v>F010</v>
      </c>
      <c r="Q2579" s="1" t="s">
        <v>138</v>
      </c>
      <c r="S2579" s="16">
        <v>20</v>
      </c>
      <c r="T2579" s="1" t="s">
        <v>2299</v>
      </c>
      <c r="U2579" s="1" t="s">
        <v>1994</v>
      </c>
      <c r="V2579" s="1" t="s">
        <v>1533</v>
      </c>
      <c r="Y2579" s="1">
        <v>40000</v>
      </c>
      <c r="AB2579" s="1">
        <v>38000</v>
      </c>
    </row>
    <row r="2580" spans="2:28" x14ac:dyDescent="0.2">
      <c r="B2580" s="30" t="s">
        <v>2294</v>
      </c>
      <c r="C2580" s="36"/>
      <c r="D2580" s="36"/>
      <c r="F2580" s="1" t="s">
        <v>1322</v>
      </c>
      <c r="G2580" s="30" t="s">
        <v>5010</v>
      </c>
      <c r="K2580" s="1" t="s">
        <v>5012</v>
      </c>
      <c r="L2580" s="1" t="s">
        <v>1279</v>
      </c>
      <c r="M2580" s="36" t="s">
        <v>2361</v>
      </c>
      <c r="N2580" s="1" t="s">
        <v>1287</v>
      </c>
      <c r="O2580" s="1" t="s">
        <v>1286</v>
      </c>
      <c r="P2580" s="34" t="str">
        <f t="shared" si="52"/>
        <v>F010</v>
      </c>
      <c r="Q2580" s="1" t="s">
        <v>138</v>
      </c>
      <c r="S2580" s="16">
        <v>20</v>
      </c>
      <c r="T2580" s="1" t="s">
        <v>2299</v>
      </c>
      <c r="U2580" s="1" t="s">
        <v>1994</v>
      </c>
      <c r="V2580" s="1" t="s">
        <v>1533</v>
      </c>
      <c r="Y2580" s="1">
        <v>40000</v>
      </c>
      <c r="AB2580" s="1">
        <v>38000</v>
      </c>
    </row>
    <row r="2581" spans="2:28" x14ac:dyDescent="0.2">
      <c r="B2581" s="30" t="s">
        <v>2294</v>
      </c>
      <c r="C2581" s="36"/>
      <c r="D2581" s="36"/>
      <c r="F2581" s="1" t="s">
        <v>1322</v>
      </c>
      <c r="G2581" s="30" t="s">
        <v>5013</v>
      </c>
      <c r="K2581" s="1" t="s">
        <v>5014</v>
      </c>
      <c r="L2581" s="1" t="s">
        <v>1279</v>
      </c>
      <c r="M2581" s="36" t="s">
        <v>1567</v>
      </c>
      <c r="N2581" s="1" t="s">
        <v>1284</v>
      </c>
      <c r="O2581" s="1" t="s">
        <v>1286</v>
      </c>
      <c r="P2581" s="34" t="str">
        <f t="shared" si="52"/>
        <v>F010</v>
      </c>
      <c r="Q2581" s="1" t="s">
        <v>138</v>
      </c>
      <c r="S2581" s="16">
        <v>20</v>
      </c>
      <c r="T2581" s="1" t="s">
        <v>2299</v>
      </c>
      <c r="U2581" s="1" t="s">
        <v>1999</v>
      </c>
      <c r="V2581" s="1" t="s">
        <v>1526</v>
      </c>
      <c r="Y2581" s="1">
        <v>65000</v>
      </c>
      <c r="AB2581" s="1">
        <v>49743.08</v>
      </c>
    </row>
    <row r="2582" spans="2:28" x14ac:dyDescent="0.2">
      <c r="B2582" s="30" t="s">
        <v>2294</v>
      </c>
      <c r="C2582" s="36"/>
      <c r="D2582" s="36"/>
      <c r="F2582" s="1" t="s">
        <v>1322</v>
      </c>
      <c r="G2582" s="30" t="s">
        <v>5015</v>
      </c>
      <c r="K2582" s="1" t="s">
        <v>5016</v>
      </c>
      <c r="L2582" s="1" t="s">
        <v>1279</v>
      </c>
      <c r="M2582" s="36" t="s">
        <v>1330</v>
      </c>
      <c r="N2582" s="1" t="s">
        <v>1837</v>
      </c>
      <c r="O2582" s="1" t="s">
        <v>1286</v>
      </c>
      <c r="P2582" s="34" t="str">
        <f t="shared" si="52"/>
        <v>F010</v>
      </c>
      <c r="Q2582" s="1" t="s">
        <v>137</v>
      </c>
      <c r="S2582" s="16">
        <v>20</v>
      </c>
      <c r="T2582" s="1" t="s">
        <v>2299</v>
      </c>
      <c r="U2582" s="1" t="s">
        <v>1426</v>
      </c>
      <c r="V2582" s="1" t="s">
        <v>1766</v>
      </c>
      <c r="Y2582" s="1">
        <v>65500</v>
      </c>
      <c r="AB2582" s="1">
        <v>6913.88</v>
      </c>
    </row>
    <row r="2583" spans="2:28" x14ac:dyDescent="0.2">
      <c r="B2583" s="30" t="s">
        <v>2294</v>
      </c>
      <c r="C2583" s="36"/>
      <c r="D2583" s="36"/>
      <c r="F2583" s="1" t="s">
        <v>1322</v>
      </c>
      <c r="G2583" s="30" t="s">
        <v>5015</v>
      </c>
      <c r="K2583" s="1" t="s">
        <v>5017</v>
      </c>
      <c r="L2583" s="1" t="s">
        <v>1279</v>
      </c>
      <c r="M2583" s="36" t="s">
        <v>1330</v>
      </c>
      <c r="N2583" s="1" t="s">
        <v>1837</v>
      </c>
      <c r="O2583" s="1" t="s">
        <v>1286</v>
      </c>
      <c r="P2583" s="34" t="str">
        <f t="shared" si="52"/>
        <v>F010</v>
      </c>
      <c r="Q2583" s="1" t="s">
        <v>137</v>
      </c>
      <c r="S2583" s="16">
        <v>20</v>
      </c>
      <c r="T2583" s="1" t="s">
        <v>2299</v>
      </c>
      <c r="U2583" s="1" t="s">
        <v>1426</v>
      </c>
      <c r="V2583" s="1" t="s">
        <v>1766</v>
      </c>
      <c r="Y2583" s="1">
        <v>65500</v>
      </c>
      <c r="AB2583" s="1">
        <v>6913.88</v>
      </c>
    </row>
    <row r="2584" spans="2:28" x14ac:dyDescent="0.2">
      <c r="B2584" s="30" t="s">
        <v>2294</v>
      </c>
      <c r="C2584" s="36"/>
      <c r="D2584" s="36"/>
      <c r="F2584" s="1" t="s">
        <v>1322</v>
      </c>
      <c r="G2584" s="30" t="s">
        <v>5015</v>
      </c>
      <c r="K2584" s="1" t="s">
        <v>5018</v>
      </c>
      <c r="L2584" s="1" t="s">
        <v>1279</v>
      </c>
      <c r="M2584" s="36" t="s">
        <v>1330</v>
      </c>
      <c r="N2584" s="1" t="s">
        <v>1837</v>
      </c>
      <c r="O2584" s="1" t="s">
        <v>1286</v>
      </c>
      <c r="P2584" s="34" t="str">
        <f t="shared" si="52"/>
        <v>F010</v>
      </c>
      <c r="Q2584" s="1" t="s">
        <v>137</v>
      </c>
      <c r="S2584" s="16">
        <v>20</v>
      </c>
      <c r="T2584" s="1" t="s">
        <v>2299</v>
      </c>
      <c r="U2584" s="1" t="s">
        <v>1426</v>
      </c>
      <c r="V2584" s="1" t="s">
        <v>1766</v>
      </c>
      <c r="Y2584" s="1">
        <v>65500</v>
      </c>
      <c r="AB2584" s="1">
        <v>6913.88</v>
      </c>
    </row>
    <row r="2585" spans="2:28" x14ac:dyDescent="0.2">
      <c r="B2585" s="30" t="s">
        <v>2294</v>
      </c>
      <c r="C2585" s="36"/>
      <c r="D2585" s="36"/>
      <c r="F2585" s="1" t="s">
        <v>1322</v>
      </c>
      <c r="G2585" s="30" t="s">
        <v>5019</v>
      </c>
      <c r="K2585" s="1" t="s">
        <v>5020</v>
      </c>
      <c r="L2585" s="1" t="s">
        <v>1279</v>
      </c>
      <c r="M2585" s="36" t="s">
        <v>1511</v>
      </c>
      <c r="N2585" s="1" t="s">
        <v>1284</v>
      </c>
      <c r="O2585" s="1" t="s">
        <v>1286</v>
      </c>
      <c r="P2585" s="34" t="str">
        <f t="shared" si="52"/>
        <v>F010</v>
      </c>
      <c r="Q2585" s="1" t="s">
        <v>127</v>
      </c>
      <c r="S2585" s="16">
        <v>20</v>
      </c>
      <c r="T2585" s="1" t="s">
        <v>2299</v>
      </c>
      <c r="U2585" s="1" t="s">
        <v>1468</v>
      </c>
      <c r="V2585" s="1" t="s">
        <v>1634</v>
      </c>
      <c r="Y2585" s="1">
        <v>88500</v>
      </c>
      <c r="AB2585" s="1">
        <v>41661.360000000001</v>
      </c>
    </row>
    <row r="2586" spans="2:28" x14ac:dyDescent="0.2">
      <c r="B2586" s="30" t="s">
        <v>2294</v>
      </c>
      <c r="C2586" s="36"/>
      <c r="D2586" s="36"/>
      <c r="F2586" s="1" t="s">
        <v>1322</v>
      </c>
      <c r="G2586" s="30" t="s">
        <v>5021</v>
      </c>
      <c r="K2586" s="1" t="s">
        <v>5022</v>
      </c>
      <c r="L2586" s="1" t="s">
        <v>1279</v>
      </c>
      <c r="M2586" s="36" t="s">
        <v>1794</v>
      </c>
      <c r="N2586" s="1" t="s">
        <v>1284</v>
      </c>
      <c r="O2586" s="1" t="s">
        <v>1286</v>
      </c>
      <c r="P2586" s="34" t="str">
        <f t="shared" si="52"/>
        <v>F010</v>
      </c>
      <c r="Q2586" s="1" t="s">
        <v>138</v>
      </c>
      <c r="S2586" s="16">
        <v>20</v>
      </c>
      <c r="T2586" s="1" t="s">
        <v>2299</v>
      </c>
      <c r="U2586" s="1" t="s">
        <v>1497</v>
      </c>
      <c r="V2586" s="1" t="s">
        <v>1498</v>
      </c>
      <c r="Y2586" s="1">
        <v>72303.39</v>
      </c>
      <c r="AB2586" s="1">
        <v>47700.17</v>
      </c>
    </row>
    <row r="2587" spans="2:28" x14ac:dyDescent="0.2">
      <c r="B2587" s="30" t="s">
        <v>2294</v>
      </c>
      <c r="C2587" s="36"/>
      <c r="D2587" s="36"/>
      <c r="F2587" s="1" t="s">
        <v>1322</v>
      </c>
      <c r="G2587" s="30" t="s">
        <v>5021</v>
      </c>
      <c r="K2587" s="1" t="s">
        <v>5023</v>
      </c>
      <c r="L2587" s="1" t="s">
        <v>1279</v>
      </c>
      <c r="M2587" s="36" t="s">
        <v>1535</v>
      </c>
      <c r="N2587" s="1" t="s">
        <v>1284</v>
      </c>
      <c r="O2587" s="1" t="s">
        <v>1286</v>
      </c>
      <c r="P2587" s="34" t="str">
        <f t="shared" si="52"/>
        <v>F010</v>
      </c>
      <c r="Q2587" s="1" t="s">
        <v>137</v>
      </c>
      <c r="S2587" s="16">
        <v>20</v>
      </c>
      <c r="T2587" s="1" t="s">
        <v>2299</v>
      </c>
      <c r="U2587" s="1" t="s">
        <v>2068</v>
      </c>
      <c r="V2587" s="1" t="s">
        <v>1606</v>
      </c>
      <c r="Y2587" s="1">
        <v>200000</v>
      </c>
      <c r="AB2587" s="1">
        <v>105555.6</v>
      </c>
    </row>
    <row r="2588" spans="2:28" x14ac:dyDescent="0.2">
      <c r="B2588" s="30" t="s">
        <v>2294</v>
      </c>
      <c r="C2588" s="36"/>
      <c r="D2588" s="36"/>
      <c r="F2588" s="1" t="s">
        <v>1322</v>
      </c>
      <c r="G2588" s="30" t="s">
        <v>5021</v>
      </c>
      <c r="K2588" s="1" t="s">
        <v>5024</v>
      </c>
      <c r="L2588" s="1" t="s">
        <v>1279</v>
      </c>
      <c r="M2588" s="36" t="s">
        <v>1535</v>
      </c>
      <c r="N2588" s="1" t="s">
        <v>1284</v>
      </c>
      <c r="O2588" s="1" t="s">
        <v>1286</v>
      </c>
      <c r="P2588" s="34" t="str">
        <f t="shared" si="52"/>
        <v>F010</v>
      </c>
      <c r="Q2588" s="1" t="s">
        <v>137</v>
      </c>
      <c r="S2588" s="16">
        <v>20</v>
      </c>
      <c r="T2588" s="1" t="s">
        <v>2299</v>
      </c>
      <c r="U2588" s="1" t="s">
        <v>2068</v>
      </c>
      <c r="V2588" s="1" t="s">
        <v>1606</v>
      </c>
      <c r="Y2588" s="1">
        <v>200000</v>
      </c>
      <c r="AB2588" s="1">
        <v>105555.6</v>
      </c>
    </row>
    <row r="2589" spans="2:28" x14ac:dyDescent="0.2">
      <c r="B2589" s="30" t="s">
        <v>2294</v>
      </c>
      <c r="C2589" s="36"/>
      <c r="D2589" s="36"/>
      <c r="F2589" s="1" t="s">
        <v>1322</v>
      </c>
      <c r="G2589" s="30" t="s">
        <v>5021</v>
      </c>
      <c r="K2589" s="1" t="s">
        <v>5025</v>
      </c>
      <c r="L2589" s="1" t="s">
        <v>1279</v>
      </c>
      <c r="M2589" s="36" t="s">
        <v>1535</v>
      </c>
      <c r="N2589" s="1" t="s">
        <v>1284</v>
      </c>
      <c r="O2589" s="1" t="s">
        <v>1286</v>
      </c>
      <c r="P2589" s="34" t="str">
        <f t="shared" si="52"/>
        <v>F010</v>
      </c>
      <c r="Q2589" s="1" t="s">
        <v>137</v>
      </c>
      <c r="S2589" s="16">
        <v>20</v>
      </c>
      <c r="T2589" s="1" t="s">
        <v>2299</v>
      </c>
      <c r="U2589" s="1" t="s">
        <v>2068</v>
      </c>
      <c r="V2589" s="1" t="s">
        <v>1606</v>
      </c>
      <c r="Y2589" s="1">
        <v>200000</v>
      </c>
      <c r="AB2589" s="1">
        <v>105555.6</v>
      </c>
    </row>
    <row r="2590" spans="2:28" x14ac:dyDescent="0.2">
      <c r="B2590" s="30" t="s">
        <v>2294</v>
      </c>
      <c r="C2590" s="36"/>
      <c r="D2590" s="36"/>
      <c r="F2590" s="1" t="s">
        <v>1322</v>
      </c>
      <c r="G2590" s="30" t="s">
        <v>5021</v>
      </c>
      <c r="K2590" s="1" t="s">
        <v>5026</v>
      </c>
      <c r="L2590" s="1" t="s">
        <v>1279</v>
      </c>
      <c r="M2590" s="36" t="s">
        <v>2057</v>
      </c>
      <c r="N2590" s="1" t="s">
        <v>1614</v>
      </c>
      <c r="O2590" s="1" t="s">
        <v>1286</v>
      </c>
      <c r="P2590" s="34" t="str">
        <f t="shared" si="52"/>
        <v>F010</v>
      </c>
      <c r="Q2590" s="1" t="s">
        <v>138</v>
      </c>
      <c r="S2590" s="16">
        <v>20</v>
      </c>
      <c r="T2590" s="1" t="s">
        <v>2299</v>
      </c>
      <c r="U2590" s="1" t="s">
        <v>1670</v>
      </c>
      <c r="V2590" s="1" t="s">
        <v>1582</v>
      </c>
      <c r="Y2590" s="1">
        <v>90129.75</v>
      </c>
      <c r="AB2590" s="1">
        <v>85543.26</v>
      </c>
    </row>
    <row r="2591" spans="2:28" x14ac:dyDescent="0.2">
      <c r="B2591" s="30" t="s">
        <v>2294</v>
      </c>
      <c r="C2591" s="36"/>
      <c r="D2591" s="36"/>
      <c r="F2591" s="1" t="s">
        <v>1322</v>
      </c>
      <c r="G2591" s="30" t="s">
        <v>5021</v>
      </c>
      <c r="K2591" s="1" t="s">
        <v>5027</v>
      </c>
      <c r="L2591" s="1" t="s">
        <v>1279</v>
      </c>
      <c r="M2591" s="36" t="s">
        <v>2057</v>
      </c>
      <c r="N2591" s="1" t="s">
        <v>1614</v>
      </c>
      <c r="O2591" s="1" t="s">
        <v>1286</v>
      </c>
      <c r="P2591" s="34" t="str">
        <f t="shared" si="52"/>
        <v>F010</v>
      </c>
      <c r="Q2591" s="1" t="s">
        <v>138</v>
      </c>
      <c r="S2591" s="16">
        <v>20</v>
      </c>
      <c r="T2591" s="1" t="s">
        <v>2299</v>
      </c>
      <c r="U2591" s="1" t="s">
        <v>1670</v>
      </c>
      <c r="V2591" s="1" t="s">
        <v>1582</v>
      </c>
      <c r="Y2591" s="1">
        <v>90129.75</v>
      </c>
      <c r="AB2591" s="1">
        <v>85543.26</v>
      </c>
    </row>
    <row r="2592" spans="2:28" x14ac:dyDescent="0.2">
      <c r="B2592" s="30" t="s">
        <v>2294</v>
      </c>
      <c r="C2592" s="36"/>
      <c r="D2592" s="36"/>
      <c r="F2592" s="1" t="s">
        <v>1322</v>
      </c>
      <c r="G2592" s="30" t="s">
        <v>5021</v>
      </c>
      <c r="K2592" s="1" t="s">
        <v>5028</v>
      </c>
      <c r="L2592" s="1" t="s">
        <v>1279</v>
      </c>
      <c r="M2592" s="36" t="s">
        <v>2057</v>
      </c>
      <c r="N2592" s="1" t="s">
        <v>1614</v>
      </c>
      <c r="O2592" s="1" t="s">
        <v>1286</v>
      </c>
      <c r="P2592" s="34" t="str">
        <f t="shared" si="52"/>
        <v>F010</v>
      </c>
      <c r="Q2592" s="1" t="s">
        <v>138</v>
      </c>
      <c r="S2592" s="16">
        <v>20</v>
      </c>
      <c r="T2592" s="1" t="s">
        <v>2299</v>
      </c>
      <c r="U2592" s="1" t="s">
        <v>1670</v>
      </c>
      <c r="V2592" s="1" t="s">
        <v>1582</v>
      </c>
      <c r="Y2592" s="1">
        <v>67579.75</v>
      </c>
      <c r="AB2592" s="1">
        <v>64200.76</v>
      </c>
    </row>
    <row r="2593" spans="2:28" x14ac:dyDescent="0.2">
      <c r="B2593" s="30" t="s">
        <v>2294</v>
      </c>
      <c r="C2593" s="36"/>
      <c r="D2593" s="36"/>
      <c r="F2593" s="1" t="s">
        <v>1322</v>
      </c>
      <c r="G2593" s="30" t="s">
        <v>5021</v>
      </c>
      <c r="K2593" s="1" t="s">
        <v>5029</v>
      </c>
      <c r="L2593" s="1" t="s">
        <v>1279</v>
      </c>
      <c r="M2593" s="36" t="s">
        <v>2057</v>
      </c>
      <c r="N2593" s="1" t="s">
        <v>1614</v>
      </c>
      <c r="O2593" s="1" t="s">
        <v>1286</v>
      </c>
      <c r="P2593" s="34" t="str">
        <f t="shared" si="52"/>
        <v>F010</v>
      </c>
      <c r="Q2593" s="1" t="s">
        <v>138</v>
      </c>
      <c r="S2593" s="16">
        <v>20</v>
      </c>
      <c r="T2593" s="1" t="s">
        <v>2299</v>
      </c>
      <c r="U2593" s="1" t="s">
        <v>1670</v>
      </c>
      <c r="V2593" s="1" t="s">
        <v>1582</v>
      </c>
      <c r="Y2593" s="1">
        <v>67579.75</v>
      </c>
      <c r="AB2593" s="1">
        <v>64200.76</v>
      </c>
    </row>
    <row r="2594" spans="2:28" x14ac:dyDescent="0.2">
      <c r="B2594" s="30" t="s">
        <v>2294</v>
      </c>
      <c r="C2594" s="36"/>
      <c r="D2594" s="36"/>
      <c r="F2594" s="1" t="s">
        <v>1322</v>
      </c>
      <c r="G2594" s="30" t="s">
        <v>5030</v>
      </c>
      <c r="K2594" s="1" t="s">
        <v>5031</v>
      </c>
      <c r="L2594" s="1" t="s">
        <v>1279</v>
      </c>
      <c r="M2594" s="36" t="s">
        <v>1794</v>
      </c>
      <c r="N2594" s="1" t="s">
        <v>1284</v>
      </c>
      <c r="O2594" s="1" t="s">
        <v>1286</v>
      </c>
      <c r="P2594" s="34" t="str">
        <f t="shared" si="52"/>
        <v>F010</v>
      </c>
      <c r="Q2594" s="1" t="s">
        <v>138</v>
      </c>
      <c r="S2594" s="16">
        <v>20</v>
      </c>
      <c r="T2594" s="1" t="s">
        <v>2299</v>
      </c>
      <c r="U2594" s="1" t="s">
        <v>1497</v>
      </c>
      <c r="V2594" s="1" t="s">
        <v>1498</v>
      </c>
      <c r="Y2594" s="1">
        <v>62908.66</v>
      </c>
      <c r="AB2594" s="1">
        <v>41502.25</v>
      </c>
    </row>
    <row r="2595" spans="2:28" x14ac:dyDescent="0.2">
      <c r="B2595" s="30" t="s">
        <v>2294</v>
      </c>
      <c r="C2595" s="36"/>
      <c r="D2595" s="36"/>
      <c r="F2595" s="1" t="s">
        <v>1322</v>
      </c>
      <c r="G2595" s="30" t="s">
        <v>5030</v>
      </c>
      <c r="K2595" s="1" t="s">
        <v>5032</v>
      </c>
      <c r="L2595" s="1" t="s">
        <v>1279</v>
      </c>
      <c r="M2595" s="36" t="s">
        <v>1794</v>
      </c>
      <c r="N2595" s="1" t="s">
        <v>1284</v>
      </c>
      <c r="O2595" s="1" t="s">
        <v>1286</v>
      </c>
      <c r="P2595" s="34" t="str">
        <f t="shared" si="52"/>
        <v>F010</v>
      </c>
      <c r="Q2595" s="1" t="s">
        <v>138</v>
      </c>
      <c r="S2595" s="16">
        <v>20</v>
      </c>
      <c r="T2595" s="1" t="s">
        <v>2299</v>
      </c>
      <c r="U2595" s="1" t="s">
        <v>1497</v>
      </c>
      <c r="V2595" s="1" t="s">
        <v>1498</v>
      </c>
      <c r="Y2595" s="1">
        <v>62908.69</v>
      </c>
      <c r="AB2595" s="1">
        <v>41502.25</v>
      </c>
    </row>
    <row r="2596" spans="2:28" x14ac:dyDescent="0.2">
      <c r="B2596" s="30" t="s">
        <v>2294</v>
      </c>
      <c r="C2596" s="36"/>
      <c r="D2596" s="36"/>
      <c r="F2596" s="1" t="s">
        <v>1322</v>
      </c>
      <c r="G2596" s="30" t="s">
        <v>5033</v>
      </c>
      <c r="K2596" s="1" t="s">
        <v>5034</v>
      </c>
      <c r="L2596" s="1" t="s">
        <v>1279</v>
      </c>
      <c r="M2596" s="36" t="s">
        <v>1999</v>
      </c>
      <c r="N2596" s="1" t="s">
        <v>1284</v>
      </c>
      <c r="O2596" s="1" t="s">
        <v>1286</v>
      </c>
      <c r="P2596" s="34" t="str">
        <f t="shared" si="52"/>
        <v>F010</v>
      </c>
      <c r="Q2596" s="1" t="s">
        <v>138</v>
      </c>
      <c r="S2596" s="16">
        <v>20</v>
      </c>
      <c r="T2596" s="1" t="s">
        <v>2299</v>
      </c>
      <c r="U2596" s="1" t="s">
        <v>2544</v>
      </c>
      <c r="V2596" s="1" t="s">
        <v>4107</v>
      </c>
      <c r="Y2596" s="1">
        <v>75112.92</v>
      </c>
      <c r="AB2596" s="1">
        <v>55500.11</v>
      </c>
    </row>
    <row r="2597" spans="2:28" x14ac:dyDescent="0.2">
      <c r="B2597" s="30" t="s">
        <v>2294</v>
      </c>
      <c r="C2597" s="36"/>
      <c r="D2597" s="36"/>
      <c r="F2597" s="1" t="s">
        <v>1322</v>
      </c>
      <c r="G2597" s="30" t="s">
        <v>5033</v>
      </c>
      <c r="K2597" s="1" t="s">
        <v>5035</v>
      </c>
      <c r="L2597" s="1" t="s">
        <v>1279</v>
      </c>
      <c r="M2597" s="36" t="s">
        <v>1999</v>
      </c>
      <c r="N2597" s="1" t="s">
        <v>1284</v>
      </c>
      <c r="O2597" s="1" t="s">
        <v>1286</v>
      </c>
      <c r="P2597" s="34" t="str">
        <f t="shared" si="52"/>
        <v>F010</v>
      </c>
      <c r="Q2597" s="1" t="s">
        <v>138</v>
      </c>
      <c r="S2597" s="16">
        <v>20</v>
      </c>
      <c r="T2597" s="1" t="s">
        <v>2299</v>
      </c>
      <c r="U2597" s="1" t="s">
        <v>2544</v>
      </c>
      <c r="V2597" s="1" t="s">
        <v>4107</v>
      </c>
      <c r="Y2597" s="1">
        <v>75112.929999999993</v>
      </c>
      <c r="AB2597" s="1">
        <v>55500.12</v>
      </c>
    </row>
    <row r="2598" spans="2:28" x14ac:dyDescent="0.2">
      <c r="B2598" s="30" t="s">
        <v>2294</v>
      </c>
      <c r="C2598" s="36"/>
      <c r="D2598" s="36"/>
      <c r="F2598" s="1" t="s">
        <v>1322</v>
      </c>
      <c r="G2598" s="30" t="s">
        <v>5036</v>
      </c>
      <c r="K2598" s="1" t="s">
        <v>5037</v>
      </c>
      <c r="L2598" s="1" t="s">
        <v>1279</v>
      </c>
      <c r="M2598" s="36" t="s">
        <v>1999</v>
      </c>
      <c r="N2598" s="1" t="s">
        <v>1287</v>
      </c>
      <c r="O2598" s="1" t="s">
        <v>1286</v>
      </c>
      <c r="P2598" s="34" t="str">
        <f t="shared" si="52"/>
        <v>F010</v>
      </c>
      <c r="Q2598" s="1" t="s">
        <v>138</v>
      </c>
      <c r="S2598" s="16">
        <v>20</v>
      </c>
      <c r="T2598" s="1" t="s">
        <v>2299</v>
      </c>
      <c r="U2598" s="1" t="s">
        <v>2544</v>
      </c>
      <c r="V2598" s="1" t="s">
        <v>4107</v>
      </c>
      <c r="Y2598" s="1">
        <v>132684.4</v>
      </c>
      <c r="AB2598" s="1">
        <v>98039.02</v>
      </c>
    </row>
    <row r="2599" spans="2:28" x14ac:dyDescent="0.2">
      <c r="B2599" s="30" t="s">
        <v>2294</v>
      </c>
      <c r="C2599" s="36"/>
      <c r="D2599" s="36"/>
      <c r="F2599" s="1" t="s">
        <v>1322</v>
      </c>
      <c r="G2599" s="30" t="s">
        <v>5038</v>
      </c>
      <c r="K2599" s="1" t="s">
        <v>5039</v>
      </c>
      <c r="L2599" s="1" t="s">
        <v>1279</v>
      </c>
      <c r="M2599" s="36" t="s">
        <v>2141</v>
      </c>
      <c r="N2599" s="1" t="s">
        <v>1708</v>
      </c>
      <c r="O2599" s="1" t="s">
        <v>1286</v>
      </c>
      <c r="P2599" s="34" t="str">
        <f t="shared" si="52"/>
        <v>F010</v>
      </c>
      <c r="Q2599" s="1" t="s">
        <v>138</v>
      </c>
      <c r="S2599" s="16">
        <v>20</v>
      </c>
      <c r="T2599" s="1" t="s">
        <v>2299</v>
      </c>
      <c r="U2599" s="1" t="s">
        <v>1604</v>
      </c>
      <c r="V2599" s="1" t="s">
        <v>1430</v>
      </c>
      <c r="Y2599" s="1">
        <v>300417.2</v>
      </c>
      <c r="AB2599" s="1">
        <v>285396.34000000003</v>
      </c>
    </row>
    <row r="2600" spans="2:28" x14ac:dyDescent="0.2">
      <c r="B2600" s="30" t="s">
        <v>2294</v>
      </c>
      <c r="C2600" s="36"/>
      <c r="D2600" s="36"/>
      <c r="F2600" s="1" t="s">
        <v>1322</v>
      </c>
      <c r="G2600" s="30" t="s">
        <v>5040</v>
      </c>
      <c r="K2600" s="1" t="s">
        <v>5041</v>
      </c>
      <c r="L2600" s="1" t="s">
        <v>1279</v>
      </c>
      <c r="M2600" s="36" t="s">
        <v>2135</v>
      </c>
      <c r="N2600" s="1" t="s">
        <v>1287</v>
      </c>
      <c r="O2600" s="1" t="s">
        <v>1286</v>
      </c>
      <c r="P2600" s="34" t="str">
        <f t="shared" si="52"/>
        <v>F010</v>
      </c>
      <c r="Q2600" s="1" t="s">
        <v>138</v>
      </c>
      <c r="S2600" s="16">
        <v>20</v>
      </c>
      <c r="T2600" s="1" t="s">
        <v>2299</v>
      </c>
      <c r="U2600" s="1" t="s">
        <v>2244</v>
      </c>
      <c r="V2600" s="1" t="s">
        <v>1415</v>
      </c>
      <c r="Y2600" s="1">
        <v>58858</v>
      </c>
      <c r="AB2600" s="1">
        <v>55915.1</v>
      </c>
    </row>
    <row r="2601" spans="2:28" x14ac:dyDescent="0.2">
      <c r="B2601" s="30" t="s">
        <v>2294</v>
      </c>
      <c r="C2601" s="36"/>
      <c r="D2601" s="36"/>
      <c r="F2601" s="1" t="s">
        <v>1322</v>
      </c>
      <c r="G2601" s="30" t="s">
        <v>5042</v>
      </c>
      <c r="K2601" s="1" t="s">
        <v>5043</v>
      </c>
      <c r="L2601" s="1" t="s">
        <v>1279</v>
      </c>
      <c r="M2601" s="36" t="s">
        <v>1413</v>
      </c>
      <c r="N2601" s="1" t="s">
        <v>1573</v>
      </c>
      <c r="O2601" s="1" t="s">
        <v>1286</v>
      </c>
      <c r="P2601" s="34" t="str">
        <f t="shared" si="52"/>
        <v>F010</v>
      </c>
      <c r="Q2601" s="1" t="s">
        <v>138</v>
      </c>
      <c r="S2601" s="16">
        <v>20</v>
      </c>
      <c r="T2601" s="1" t="s">
        <v>2299</v>
      </c>
      <c r="U2601" s="1" t="s">
        <v>1484</v>
      </c>
      <c r="V2601" s="1" t="s">
        <v>1476</v>
      </c>
      <c r="Y2601" s="1">
        <v>73477.23</v>
      </c>
      <c r="AB2601" s="1">
        <v>69803.37</v>
      </c>
    </row>
    <row r="2602" spans="2:28" x14ac:dyDescent="0.2">
      <c r="B2602" s="30" t="s">
        <v>2294</v>
      </c>
      <c r="C2602" s="36"/>
      <c r="D2602" s="36"/>
      <c r="F2602" s="1" t="s">
        <v>1322</v>
      </c>
      <c r="G2602" s="30" t="s">
        <v>5044</v>
      </c>
      <c r="K2602" s="1" t="s">
        <v>5045</v>
      </c>
      <c r="L2602" s="1" t="s">
        <v>1279</v>
      </c>
      <c r="M2602" s="36" t="s">
        <v>2135</v>
      </c>
      <c r="N2602" s="1" t="s">
        <v>1287</v>
      </c>
      <c r="O2602" s="1" t="s">
        <v>1286</v>
      </c>
      <c r="P2602" s="34" t="str">
        <f t="shared" si="52"/>
        <v>F010</v>
      </c>
      <c r="Q2602" s="1" t="s">
        <v>138</v>
      </c>
      <c r="S2602" s="16">
        <v>20</v>
      </c>
      <c r="T2602" s="1" t="s">
        <v>2299</v>
      </c>
      <c r="U2602" s="1" t="s">
        <v>2244</v>
      </c>
      <c r="V2602" s="1" t="s">
        <v>1415</v>
      </c>
      <c r="Y2602" s="1">
        <v>677455</v>
      </c>
      <c r="AB2602" s="1">
        <v>643582.25</v>
      </c>
    </row>
    <row r="2603" spans="2:28" x14ac:dyDescent="0.2">
      <c r="B2603" s="30" t="s">
        <v>2294</v>
      </c>
      <c r="C2603" s="36"/>
      <c r="D2603" s="36"/>
      <c r="F2603" s="1" t="s">
        <v>1322</v>
      </c>
      <c r="G2603" s="30" t="s">
        <v>5046</v>
      </c>
      <c r="K2603" s="1" t="s">
        <v>5047</v>
      </c>
      <c r="L2603" s="1" t="s">
        <v>1279</v>
      </c>
      <c r="M2603" s="36" t="s">
        <v>1567</v>
      </c>
      <c r="N2603" s="1" t="s">
        <v>1284</v>
      </c>
      <c r="O2603" s="1" t="s">
        <v>1286</v>
      </c>
      <c r="P2603" s="34" t="str">
        <f t="shared" si="52"/>
        <v>F010</v>
      </c>
      <c r="Q2603" s="1" t="s">
        <v>138</v>
      </c>
      <c r="S2603" s="16">
        <v>20</v>
      </c>
      <c r="T2603" s="1" t="s">
        <v>2299</v>
      </c>
      <c r="U2603" s="1" t="s">
        <v>1999</v>
      </c>
      <c r="V2603" s="1" t="s">
        <v>1526</v>
      </c>
      <c r="Y2603" s="1">
        <v>54566.43</v>
      </c>
      <c r="AB2603" s="1">
        <v>41758.5</v>
      </c>
    </row>
    <row r="2604" spans="2:28" x14ac:dyDescent="0.2">
      <c r="B2604" s="30" t="s">
        <v>2294</v>
      </c>
      <c r="C2604" s="36"/>
      <c r="D2604" s="36"/>
      <c r="F2604" s="1" t="s">
        <v>1322</v>
      </c>
      <c r="G2604" s="30" t="s">
        <v>5046</v>
      </c>
      <c r="K2604" s="1" t="s">
        <v>5048</v>
      </c>
      <c r="L2604" s="1" t="s">
        <v>1279</v>
      </c>
      <c r="M2604" s="36" t="s">
        <v>1567</v>
      </c>
      <c r="N2604" s="1" t="s">
        <v>1284</v>
      </c>
      <c r="O2604" s="1" t="s">
        <v>1286</v>
      </c>
      <c r="P2604" s="34" t="str">
        <f t="shared" si="52"/>
        <v>F010</v>
      </c>
      <c r="Q2604" s="1" t="s">
        <v>138</v>
      </c>
      <c r="S2604" s="16">
        <v>20</v>
      </c>
      <c r="T2604" s="1" t="s">
        <v>2299</v>
      </c>
      <c r="U2604" s="1" t="s">
        <v>1999</v>
      </c>
      <c r="V2604" s="1" t="s">
        <v>1526</v>
      </c>
      <c r="Y2604" s="1">
        <v>103753.73</v>
      </c>
      <c r="AB2604" s="1">
        <v>79400.429999999993</v>
      </c>
    </row>
    <row r="2605" spans="2:28" x14ac:dyDescent="0.2">
      <c r="B2605" s="30" t="s">
        <v>2294</v>
      </c>
      <c r="C2605" s="36"/>
      <c r="D2605" s="36"/>
      <c r="F2605" s="1" t="s">
        <v>1322</v>
      </c>
      <c r="G2605" s="30" t="s">
        <v>5046</v>
      </c>
      <c r="K2605" s="1" t="s">
        <v>5049</v>
      </c>
      <c r="L2605" s="1" t="s">
        <v>1279</v>
      </c>
      <c r="M2605" s="36" t="s">
        <v>1567</v>
      </c>
      <c r="N2605" s="1" t="s">
        <v>1284</v>
      </c>
      <c r="O2605" s="1" t="s">
        <v>1286</v>
      </c>
      <c r="P2605" s="34" t="str">
        <f t="shared" si="52"/>
        <v>F010</v>
      </c>
      <c r="Q2605" s="1" t="s">
        <v>138</v>
      </c>
      <c r="S2605" s="16">
        <v>20</v>
      </c>
      <c r="T2605" s="1" t="s">
        <v>2299</v>
      </c>
      <c r="U2605" s="1" t="s">
        <v>1999</v>
      </c>
      <c r="V2605" s="1" t="s">
        <v>1526</v>
      </c>
      <c r="Y2605" s="1">
        <v>77559.67</v>
      </c>
      <c r="AB2605" s="1">
        <v>59354.69</v>
      </c>
    </row>
    <row r="2606" spans="2:28" x14ac:dyDescent="0.2">
      <c r="B2606" s="30" t="s">
        <v>2294</v>
      </c>
      <c r="C2606" s="36"/>
      <c r="D2606" s="36"/>
      <c r="F2606" s="1" t="s">
        <v>1322</v>
      </c>
      <c r="G2606" s="30" t="s">
        <v>5046</v>
      </c>
      <c r="K2606" s="1" t="s">
        <v>5050</v>
      </c>
      <c r="L2606" s="1" t="s">
        <v>1279</v>
      </c>
      <c r="M2606" s="36" t="s">
        <v>1567</v>
      </c>
      <c r="N2606" s="1" t="s">
        <v>1284</v>
      </c>
      <c r="O2606" s="1" t="s">
        <v>1286</v>
      </c>
      <c r="P2606" s="34" t="str">
        <f t="shared" si="52"/>
        <v>F010</v>
      </c>
      <c r="Q2606" s="1" t="s">
        <v>138</v>
      </c>
      <c r="S2606" s="16">
        <v>20</v>
      </c>
      <c r="T2606" s="1" t="s">
        <v>2299</v>
      </c>
      <c r="U2606" s="1" t="s">
        <v>1999</v>
      </c>
      <c r="V2606" s="1" t="s">
        <v>1526</v>
      </c>
      <c r="Y2606" s="1">
        <v>77559.67</v>
      </c>
      <c r="AB2606" s="1">
        <v>59354.69</v>
      </c>
    </row>
    <row r="2607" spans="2:28" x14ac:dyDescent="0.2">
      <c r="B2607" s="30" t="s">
        <v>2294</v>
      </c>
      <c r="C2607" s="36"/>
      <c r="D2607" s="36"/>
      <c r="F2607" s="1" t="s">
        <v>1322</v>
      </c>
      <c r="G2607" s="30" t="s">
        <v>5046</v>
      </c>
      <c r="K2607" s="1" t="s">
        <v>5051</v>
      </c>
      <c r="L2607" s="1" t="s">
        <v>1279</v>
      </c>
      <c r="M2607" s="36" t="s">
        <v>1567</v>
      </c>
      <c r="N2607" s="1" t="s">
        <v>1284</v>
      </c>
      <c r="O2607" s="1" t="s">
        <v>1286</v>
      </c>
      <c r="P2607" s="34" t="str">
        <f t="shared" si="52"/>
        <v>F010</v>
      </c>
      <c r="Q2607" s="1" t="s">
        <v>138</v>
      </c>
      <c r="S2607" s="16">
        <v>20</v>
      </c>
      <c r="T2607" s="1" t="s">
        <v>2299</v>
      </c>
      <c r="U2607" s="1" t="s">
        <v>1999</v>
      </c>
      <c r="V2607" s="1" t="s">
        <v>1526</v>
      </c>
      <c r="Y2607" s="1">
        <v>77559.67</v>
      </c>
      <c r="AB2607" s="1">
        <v>59354.69</v>
      </c>
    </row>
    <row r="2608" spans="2:28" x14ac:dyDescent="0.2">
      <c r="B2608" s="30" t="s">
        <v>2294</v>
      </c>
      <c r="C2608" s="36"/>
      <c r="D2608" s="36"/>
      <c r="F2608" s="1" t="s">
        <v>1322</v>
      </c>
      <c r="G2608" s="30" t="s">
        <v>5052</v>
      </c>
      <c r="K2608" s="1" t="s">
        <v>5053</v>
      </c>
      <c r="L2608" s="1" t="s">
        <v>1279</v>
      </c>
      <c r="M2608" s="36" t="s">
        <v>2014</v>
      </c>
      <c r="N2608" s="1" t="s">
        <v>1284</v>
      </c>
      <c r="O2608" s="1" t="s">
        <v>1286</v>
      </c>
      <c r="P2608" s="34" t="str">
        <f t="shared" ref="P2608:P2671" si="53">+LEFT(Q2608,4)</f>
        <v>F010</v>
      </c>
      <c r="Q2608" s="1" t="s">
        <v>138</v>
      </c>
      <c r="S2608" s="16">
        <v>20</v>
      </c>
      <c r="T2608" s="1" t="s">
        <v>2299</v>
      </c>
      <c r="U2608" s="1" t="s">
        <v>1334</v>
      </c>
      <c r="V2608" s="1" t="s">
        <v>1377</v>
      </c>
      <c r="Y2608" s="1">
        <v>10365</v>
      </c>
      <c r="AB2608" s="1">
        <v>6017.44</v>
      </c>
    </row>
    <row r="2609" spans="2:28" x14ac:dyDescent="0.2">
      <c r="B2609" s="30" t="s">
        <v>2294</v>
      </c>
      <c r="C2609" s="36"/>
      <c r="D2609" s="36"/>
      <c r="F2609" s="1" t="s">
        <v>1322</v>
      </c>
      <c r="G2609" s="30" t="s">
        <v>5054</v>
      </c>
      <c r="K2609" s="1" t="s">
        <v>5055</v>
      </c>
      <c r="L2609" s="1" t="s">
        <v>1279</v>
      </c>
      <c r="M2609" s="36" t="s">
        <v>2014</v>
      </c>
      <c r="N2609" s="1" t="s">
        <v>1287</v>
      </c>
      <c r="O2609" s="1" t="s">
        <v>1286</v>
      </c>
      <c r="P2609" s="34" t="str">
        <f t="shared" si="53"/>
        <v>F010</v>
      </c>
      <c r="Q2609" s="1" t="s">
        <v>127</v>
      </c>
      <c r="S2609" s="16">
        <v>20</v>
      </c>
      <c r="T2609" s="1" t="s">
        <v>2299</v>
      </c>
      <c r="U2609" s="1" t="s">
        <v>1334</v>
      </c>
      <c r="V2609" s="1" t="s">
        <v>1377</v>
      </c>
      <c r="Y2609" s="1">
        <v>8450</v>
      </c>
      <c r="AB2609" s="1">
        <v>4905.72</v>
      </c>
    </row>
    <row r="2610" spans="2:28" x14ac:dyDescent="0.2">
      <c r="B2610" s="30" t="s">
        <v>2294</v>
      </c>
      <c r="C2610" s="36"/>
      <c r="D2610" s="36"/>
      <c r="F2610" s="1" t="s">
        <v>1322</v>
      </c>
      <c r="G2610" s="30" t="s">
        <v>5054</v>
      </c>
      <c r="K2610" s="1" t="s">
        <v>5056</v>
      </c>
      <c r="L2610" s="1" t="s">
        <v>1279</v>
      </c>
      <c r="M2610" s="36" t="s">
        <v>2014</v>
      </c>
      <c r="N2610" s="1" t="s">
        <v>1287</v>
      </c>
      <c r="O2610" s="1" t="s">
        <v>1286</v>
      </c>
      <c r="P2610" s="34" t="str">
        <f t="shared" si="53"/>
        <v>F010</v>
      </c>
      <c r="Q2610" s="1" t="s">
        <v>127</v>
      </c>
      <c r="S2610" s="16">
        <v>20</v>
      </c>
      <c r="T2610" s="1" t="s">
        <v>2299</v>
      </c>
      <c r="U2610" s="1" t="s">
        <v>1334</v>
      </c>
      <c r="V2610" s="1" t="s">
        <v>1377</v>
      </c>
      <c r="Y2610" s="1">
        <v>8450</v>
      </c>
      <c r="AB2610" s="1">
        <v>4905.72</v>
      </c>
    </row>
    <row r="2611" spans="2:28" x14ac:dyDescent="0.2">
      <c r="B2611" s="30" t="s">
        <v>2294</v>
      </c>
      <c r="C2611" s="36"/>
      <c r="D2611" s="36"/>
      <c r="F2611" s="1" t="s">
        <v>1322</v>
      </c>
      <c r="G2611" s="30" t="s">
        <v>5054</v>
      </c>
      <c r="K2611" s="1" t="s">
        <v>5057</v>
      </c>
      <c r="L2611" s="1" t="s">
        <v>1279</v>
      </c>
      <c r="M2611" s="36" t="s">
        <v>1567</v>
      </c>
      <c r="N2611" s="1" t="s">
        <v>1788</v>
      </c>
      <c r="O2611" s="1" t="s">
        <v>1286</v>
      </c>
      <c r="P2611" s="34" t="str">
        <f t="shared" si="53"/>
        <v>F010</v>
      </c>
      <c r="Q2611" s="1" t="s">
        <v>127</v>
      </c>
      <c r="S2611" s="16">
        <v>20</v>
      </c>
      <c r="T2611" s="1" t="s">
        <v>2299</v>
      </c>
      <c r="U2611" s="1" t="s">
        <v>1999</v>
      </c>
      <c r="V2611" s="1" t="s">
        <v>1526</v>
      </c>
      <c r="Y2611" s="1">
        <v>23140.34</v>
      </c>
      <c r="AB2611" s="1">
        <v>17708.810000000001</v>
      </c>
    </row>
    <row r="2612" spans="2:28" x14ac:dyDescent="0.2">
      <c r="B2612" s="30" t="s">
        <v>2294</v>
      </c>
      <c r="C2612" s="36"/>
      <c r="D2612" s="36"/>
      <c r="F2612" s="1" t="s">
        <v>1322</v>
      </c>
      <c r="G2612" s="30" t="s">
        <v>5058</v>
      </c>
      <c r="K2612" s="1" t="s">
        <v>5059</v>
      </c>
      <c r="L2612" s="1" t="s">
        <v>1279</v>
      </c>
      <c r="M2612" s="36" t="s">
        <v>1484</v>
      </c>
      <c r="N2612" s="1" t="s">
        <v>2094</v>
      </c>
      <c r="O2612" s="1" t="s">
        <v>1286</v>
      </c>
      <c r="P2612" s="34" t="str">
        <f t="shared" si="53"/>
        <v>F010</v>
      </c>
      <c r="Q2612" s="1" t="s">
        <v>138</v>
      </c>
      <c r="S2612" s="16">
        <v>20</v>
      </c>
      <c r="T2612" s="1" t="s">
        <v>2299</v>
      </c>
      <c r="U2612" s="1" t="s">
        <v>1492</v>
      </c>
      <c r="V2612" s="1" t="s">
        <v>1330</v>
      </c>
      <c r="Y2612" s="1">
        <v>34120.65</v>
      </c>
      <c r="AB2612" s="1">
        <v>32414.62</v>
      </c>
    </row>
    <row r="2613" spans="2:28" x14ac:dyDescent="0.2">
      <c r="B2613" s="30" t="s">
        <v>2294</v>
      </c>
      <c r="C2613" s="36"/>
      <c r="D2613" s="36"/>
      <c r="F2613" s="1" t="s">
        <v>1322</v>
      </c>
      <c r="G2613" s="30" t="s">
        <v>5060</v>
      </c>
      <c r="K2613" s="1" t="s">
        <v>5061</v>
      </c>
      <c r="L2613" s="1" t="s">
        <v>1279</v>
      </c>
      <c r="M2613" s="36" t="s">
        <v>1511</v>
      </c>
      <c r="N2613" s="1" t="s">
        <v>1287</v>
      </c>
      <c r="O2613" s="1" t="s">
        <v>1286</v>
      </c>
      <c r="P2613" s="34" t="str">
        <f t="shared" si="53"/>
        <v>F010</v>
      </c>
      <c r="Q2613" s="1" t="s">
        <v>138</v>
      </c>
      <c r="S2613" s="16">
        <v>20</v>
      </c>
      <c r="T2613" s="1" t="s">
        <v>2299</v>
      </c>
      <c r="U2613" s="1" t="s">
        <v>1468</v>
      </c>
      <c r="V2613" s="1" t="s">
        <v>1634</v>
      </c>
      <c r="Y2613" s="1">
        <v>110000</v>
      </c>
      <c r="AB2613" s="1">
        <v>52250.04</v>
      </c>
    </row>
    <row r="2614" spans="2:28" x14ac:dyDescent="0.2">
      <c r="B2614" s="30" t="s">
        <v>2294</v>
      </c>
      <c r="C2614" s="36"/>
      <c r="D2614" s="36"/>
      <c r="F2614" s="1" t="s">
        <v>1322</v>
      </c>
      <c r="G2614" s="30" t="s">
        <v>5060</v>
      </c>
      <c r="K2614" s="1" t="s">
        <v>5062</v>
      </c>
      <c r="L2614" s="1" t="s">
        <v>1279</v>
      </c>
      <c r="M2614" s="36" t="s">
        <v>1511</v>
      </c>
      <c r="N2614" s="1" t="s">
        <v>1287</v>
      </c>
      <c r="O2614" s="1" t="s">
        <v>1286</v>
      </c>
      <c r="P2614" s="34" t="str">
        <f t="shared" si="53"/>
        <v>F010</v>
      </c>
      <c r="Q2614" s="1" t="s">
        <v>138</v>
      </c>
      <c r="S2614" s="16">
        <v>20</v>
      </c>
      <c r="T2614" s="1" t="s">
        <v>2299</v>
      </c>
      <c r="U2614" s="1" t="s">
        <v>1468</v>
      </c>
      <c r="V2614" s="1" t="s">
        <v>1634</v>
      </c>
      <c r="Y2614" s="1">
        <v>110000</v>
      </c>
      <c r="AB2614" s="1">
        <v>52250.04</v>
      </c>
    </row>
    <row r="2615" spans="2:28" x14ac:dyDescent="0.2">
      <c r="B2615" s="30" t="s">
        <v>2294</v>
      </c>
      <c r="C2615" s="36"/>
      <c r="D2615" s="36"/>
      <c r="F2615" s="1" t="s">
        <v>1322</v>
      </c>
      <c r="G2615" s="30" t="s">
        <v>5060</v>
      </c>
      <c r="K2615" s="1" t="s">
        <v>5063</v>
      </c>
      <c r="L2615" s="1" t="s">
        <v>1279</v>
      </c>
      <c r="M2615" s="36" t="s">
        <v>1334</v>
      </c>
      <c r="N2615" s="1" t="s">
        <v>1287</v>
      </c>
      <c r="O2615" s="1" t="s">
        <v>1286</v>
      </c>
      <c r="P2615" s="34" t="str">
        <f t="shared" si="53"/>
        <v>F010</v>
      </c>
      <c r="Q2615" s="1" t="s">
        <v>138</v>
      </c>
      <c r="S2615" s="16">
        <v>20</v>
      </c>
      <c r="T2615" s="1" t="s">
        <v>2299</v>
      </c>
      <c r="U2615" s="1" t="s">
        <v>1535</v>
      </c>
      <c r="V2615" s="1" t="s">
        <v>2553</v>
      </c>
      <c r="Y2615" s="1">
        <v>110000</v>
      </c>
      <c r="AB2615" s="1">
        <v>60958.38</v>
      </c>
    </row>
    <row r="2616" spans="2:28" x14ac:dyDescent="0.2">
      <c r="B2616" s="30" t="s">
        <v>2294</v>
      </c>
      <c r="C2616" s="36"/>
      <c r="D2616" s="36"/>
      <c r="F2616" s="1" t="s">
        <v>1322</v>
      </c>
      <c r="G2616" s="30" t="s">
        <v>5064</v>
      </c>
      <c r="K2616" s="1" t="s">
        <v>5065</v>
      </c>
      <c r="L2616" s="1" t="s">
        <v>1279</v>
      </c>
      <c r="M2616" s="36" t="s">
        <v>2022</v>
      </c>
      <c r="N2616" s="1" t="s">
        <v>2543</v>
      </c>
      <c r="O2616" s="1" t="s">
        <v>1286</v>
      </c>
      <c r="P2616" s="34" t="str">
        <f t="shared" si="53"/>
        <v>F010</v>
      </c>
      <c r="Q2616" s="1" t="s">
        <v>127</v>
      </c>
      <c r="S2616" s="16">
        <v>20</v>
      </c>
      <c r="T2616" s="1" t="s">
        <v>2299</v>
      </c>
      <c r="U2616" s="1" t="s">
        <v>2203</v>
      </c>
      <c r="V2616" s="1" t="s">
        <v>1453</v>
      </c>
      <c r="Y2616" s="1">
        <v>23000</v>
      </c>
      <c r="AB2616" s="1">
        <v>21850</v>
      </c>
    </row>
    <row r="2617" spans="2:28" x14ac:dyDescent="0.2">
      <c r="B2617" s="30" t="s">
        <v>2294</v>
      </c>
      <c r="C2617" s="36"/>
      <c r="D2617" s="36"/>
      <c r="F2617" s="1" t="s">
        <v>1322</v>
      </c>
      <c r="G2617" s="30" t="s">
        <v>5066</v>
      </c>
      <c r="K2617" s="1" t="s">
        <v>5067</v>
      </c>
      <c r="L2617" s="1" t="s">
        <v>1279</v>
      </c>
      <c r="M2617" s="36" t="s">
        <v>1794</v>
      </c>
      <c r="N2617" s="1" t="s">
        <v>4235</v>
      </c>
      <c r="O2617" s="1" t="s">
        <v>1286</v>
      </c>
      <c r="P2617" s="34" t="str">
        <f t="shared" si="53"/>
        <v>F010</v>
      </c>
      <c r="Q2617" s="1" t="s">
        <v>137</v>
      </c>
      <c r="S2617" s="16">
        <v>20</v>
      </c>
      <c r="T2617" s="1" t="s">
        <v>2299</v>
      </c>
      <c r="U2617" s="1" t="s">
        <v>1497</v>
      </c>
      <c r="V2617" s="1" t="s">
        <v>1498</v>
      </c>
      <c r="Y2617" s="1">
        <v>7200</v>
      </c>
      <c r="AB2617" s="1">
        <v>4750</v>
      </c>
    </row>
    <row r="2618" spans="2:28" x14ac:dyDescent="0.2">
      <c r="B2618" s="30" t="s">
        <v>2294</v>
      </c>
      <c r="C2618" s="36"/>
      <c r="D2618" s="36"/>
      <c r="F2618" s="1" t="s">
        <v>1322</v>
      </c>
      <c r="G2618" s="30" t="s">
        <v>5066</v>
      </c>
      <c r="K2618" s="1" t="s">
        <v>5068</v>
      </c>
      <c r="L2618" s="1" t="s">
        <v>1279</v>
      </c>
      <c r="M2618" s="36" t="s">
        <v>1794</v>
      </c>
      <c r="N2618" s="1" t="s">
        <v>1291</v>
      </c>
      <c r="O2618" s="1" t="s">
        <v>1286</v>
      </c>
      <c r="P2618" s="34" t="str">
        <f t="shared" si="53"/>
        <v>F010</v>
      </c>
      <c r="Q2618" s="1" t="s">
        <v>137</v>
      </c>
      <c r="S2618" s="16">
        <v>20</v>
      </c>
      <c r="T2618" s="1" t="s">
        <v>2299</v>
      </c>
      <c r="U2618" s="1" t="s">
        <v>1497</v>
      </c>
      <c r="V2618" s="1" t="s">
        <v>1498</v>
      </c>
      <c r="Y2618" s="1">
        <v>7200</v>
      </c>
      <c r="AB2618" s="1">
        <v>4750</v>
      </c>
    </row>
    <row r="2619" spans="2:28" x14ac:dyDescent="0.2">
      <c r="B2619" s="30" t="s">
        <v>2294</v>
      </c>
      <c r="C2619" s="36"/>
      <c r="D2619" s="36"/>
      <c r="F2619" s="1" t="s">
        <v>1322</v>
      </c>
      <c r="G2619" s="30" t="s">
        <v>5066</v>
      </c>
      <c r="K2619" s="1" t="s">
        <v>5069</v>
      </c>
      <c r="L2619" s="1" t="s">
        <v>1279</v>
      </c>
      <c r="M2619" s="36" t="s">
        <v>1794</v>
      </c>
      <c r="N2619" s="1" t="s">
        <v>1295</v>
      </c>
      <c r="O2619" s="1" t="s">
        <v>1286</v>
      </c>
      <c r="P2619" s="34" t="str">
        <f t="shared" si="53"/>
        <v>F010</v>
      </c>
      <c r="Q2619" s="1" t="s">
        <v>137</v>
      </c>
      <c r="S2619" s="16">
        <v>20</v>
      </c>
      <c r="T2619" s="1" t="s">
        <v>2299</v>
      </c>
      <c r="U2619" s="1" t="s">
        <v>1497</v>
      </c>
      <c r="V2619" s="1" t="s">
        <v>1498</v>
      </c>
      <c r="Y2619" s="1">
        <v>7200</v>
      </c>
      <c r="AB2619" s="1">
        <v>4750</v>
      </c>
    </row>
    <row r="2620" spans="2:28" x14ac:dyDescent="0.2">
      <c r="B2620" s="30" t="s">
        <v>2294</v>
      </c>
      <c r="C2620" s="36"/>
      <c r="D2620" s="36"/>
      <c r="F2620" s="1" t="s">
        <v>1322</v>
      </c>
      <c r="G2620" s="30" t="s">
        <v>5070</v>
      </c>
      <c r="K2620" s="1" t="s">
        <v>5071</v>
      </c>
      <c r="L2620" s="1" t="s">
        <v>1279</v>
      </c>
      <c r="M2620" s="36" t="s">
        <v>1990</v>
      </c>
      <c r="N2620" s="1" t="s">
        <v>1637</v>
      </c>
      <c r="O2620" s="1" t="s">
        <v>1286</v>
      </c>
      <c r="P2620" s="34" t="str">
        <f t="shared" si="53"/>
        <v>F010</v>
      </c>
      <c r="Q2620" s="1" t="s">
        <v>127</v>
      </c>
      <c r="S2620" s="16">
        <v>20</v>
      </c>
      <c r="T2620" s="1" t="s">
        <v>2299</v>
      </c>
      <c r="U2620" s="1" t="s">
        <v>2368</v>
      </c>
      <c r="V2620" s="1" t="s">
        <v>2369</v>
      </c>
      <c r="Y2620" s="1">
        <v>2699</v>
      </c>
      <c r="AB2620" s="1">
        <v>142.44</v>
      </c>
    </row>
    <row r="2621" spans="2:28" x14ac:dyDescent="0.2">
      <c r="B2621" s="30" t="s">
        <v>2294</v>
      </c>
      <c r="C2621" s="36"/>
      <c r="D2621" s="36"/>
      <c r="F2621" s="1" t="s">
        <v>1322</v>
      </c>
      <c r="G2621" s="30" t="s">
        <v>5072</v>
      </c>
      <c r="K2621" s="1" t="s">
        <v>5073</v>
      </c>
      <c r="L2621" s="1" t="s">
        <v>1279</v>
      </c>
      <c r="M2621" s="36" t="s">
        <v>1990</v>
      </c>
      <c r="N2621" s="1" t="s">
        <v>1637</v>
      </c>
      <c r="O2621" s="1" t="s">
        <v>1286</v>
      </c>
      <c r="P2621" s="34" t="str">
        <f t="shared" si="53"/>
        <v>F010</v>
      </c>
      <c r="Q2621" s="1" t="s">
        <v>127</v>
      </c>
      <c r="S2621" s="16">
        <v>20</v>
      </c>
      <c r="T2621" s="1" t="s">
        <v>2299</v>
      </c>
      <c r="U2621" s="1" t="s">
        <v>2368</v>
      </c>
      <c r="V2621" s="1" t="s">
        <v>2369</v>
      </c>
      <c r="Y2621" s="1">
        <v>3488</v>
      </c>
      <c r="AB2621" s="1">
        <v>184.09</v>
      </c>
    </row>
    <row r="2622" spans="2:28" x14ac:dyDescent="0.2">
      <c r="B2622" s="30" t="s">
        <v>2294</v>
      </c>
      <c r="C2622" s="36"/>
      <c r="D2622" s="36"/>
      <c r="F2622" s="1" t="s">
        <v>1322</v>
      </c>
      <c r="G2622" s="30" t="s">
        <v>5074</v>
      </c>
      <c r="K2622" s="1" t="s">
        <v>5075</v>
      </c>
      <c r="L2622" s="1" t="s">
        <v>1279</v>
      </c>
      <c r="M2622" s="36" t="s">
        <v>1503</v>
      </c>
      <c r="N2622" s="1" t="s">
        <v>2925</v>
      </c>
      <c r="O2622" s="1" t="s">
        <v>1286</v>
      </c>
      <c r="P2622" s="34" t="str">
        <f t="shared" si="53"/>
        <v>F010</v>
      </c>
      <c r="Q2622" s="1" t="s">
        <v>137</v>
      </c>
      <c r="S2622" s="16">
        <v>20</v>
      </c>
      <c r="T2622" s="1" t="s">
        <v>2299</v>
      </c>
      <c r="U2622" s="1" t="s">
        <v>2072</v>
      </c>
      <c r="V2622" s="1" t="s">
        <v>4225</v>
      </c>
      <c r="Y2622" s="1">
        <v>3007.96</v>
      </c>
      <c r="AB2622" s="1">
        <v>1111.32</v>
      </c>
    </row>
    <row r="2623" spans="2:28" x14ac:dyDescent="0.2">
      <c r="B2623" s="30" t="s">
        <v>2294</v>
      </c>
      <c r="C2623" s="36"/>
      <c r="D2623" s="36"/>
      <c r="F2623" s="1" t="s">
        <v>1322</v>
      </c>
      <c r="G2623" s="30" t="s">
        <v>5074</v>
      </c>
      <c r="K2623" s="1" t="s">
        <v>5076</v>
      </c>
      <c r="L2623" s="1" t="s">
        <v>1279</v>
      </c>
      <c r="M2623" s="36" t="s">
        <v>1503</v>
      </c>
      <c r="N2623" s="1" t="s">
        <v>2925</v>
      </c>
      <c r="O2623" s="1" t="s">
        <v>1286</v>
      </c>
      <c r="P2623" s="34" t="str">
        <f t="shared" si="53"/>
        <v>F010</v>
      </c>
      <c r="Q2623" s="1" t="s">
        <v>137</v>
      </c>
      <c r="S2623" s="16">
        <v>20</v>
      </c>
      <c r="T2623" s="1" t="s">
        <v>2299</v>
      </c>
      <c r="U2623" s="1" t="s">
        <v>2072</v>
      </c>
      <c r="V2623" s="1" t="s">
        <v>4225</v>
      </c>
      <c r="Y2623" s="1">
        <v>3007.97</v>
      </c>
      <c r="AB2623" s="1">
        <v>1111.32</v>
      </c>
    </row>
    <row r="2624" spans="2:28" x14ac:dyDescent="0.2">
      <c r="B2624" s="30" t="s">
        <v>2294</v>
      </c>
      <c r="C2624" s="36"/>
      <c r="D2624" s="36"/>
      <c r="F2624" s="1" t="s">
        <v>1322</v>
      </c>
      <c r="G2624" s="30" t="s">
        <v>5077</v>
      </c>
      <c r="K2624" s="1" t="s">
        <v>5078</v>
      </c>
      <c r="L2624" s="1" t="s">
        <v>1279</v>
      </c>
      <c r="M2624" s="36" t="s">
        <v>1990</v>
      </c>
      <c r="N2624" s="1" t="s">
        <v>1637</v>
      </c>
      <c r="O2624" s="1" t="s">
        <v>1286</v>
      </c>
      <c r="P2624" s="34" t="str">
        <f t="shared" si="53"/>
        <v>F010</v>
      </c>
      <c r="Q2624" s="1" t="s">
        <v>127</v>
      </c>
      <c r="S2624" s="16">
        <v>20</v>
      </c>
      <c r="T2624" s="1" t="s">
        <v>2299</v>
      </c>
      <c r="U2624" s="1" t="s">
        <v>2368</v>
      </c>
      <c r="V2624" s="1" t="s">
        <v>2369</v>
      </c>
      <c r="Y2624" s="1">
        <v>4799</v>
      </c>
      <c r="AB2624" s="1">
        <v>253.28</v>
      </c>
    </row>
    <row r="2625" spans="2:28" x14ac:dyDescent="0.2">
      <c r="B2625" s="30" t="s">
        <v>2294</v>
      </c>
      <c r="C2625" s="36"/>
      <c r="D2625" s="36"/>
      <c r="F2625" s="1" t="s">
        <v>1322</v>
      </c>
      <c r="G2625" s="30" t="s">
        <v>5079</v>
      </c>
      <c r="K2625" s="1" t="s">
        <v>5080</v>
      </c>
      <c r="L2625" s="1" t="s">
        <v>1279</v>
      </c>
      <c r="M2625" s="36" t="s">
        <v>1990</v>
      </c>
      <c r="N2625" s="1" t="s">
        <v>1637</v>
      </c>
      <c r="O2625" s="1" t="s">
        <v>1286</v>
      </c>
      <c r="P2625" s="34" t="str">
        <f t="shared" si="53"/>
        <v>F010</v>
      </c>
      <c r="Q2625" s="1" t="s">
        <v>127</v>
      </c>
      <c r="S2625" s="16">
        <v>20</v>
      </c>
      <c r="T2625" s="1" t="s">
        <v>2299</v>
      </c>
      <c r="U2625" s="1" t="s">
        <v>2368</v>
      </c>
      <c r="V2625" s="1" t="s">
        <v>2369</v>
      </c>
      <c r="Y2625" s="1">
        <v>2099</v>
      </c>
      <c r="AB2625" s="1">
        <v>110.78</v>
      </c>
    </row>
    <row r="2626" spans="2:28" x14ac:dyDescent="0.2">
      <c r="B2626" s="30" t="s">
        <v>2294</v>
      </c>
      <c r="C2626" s="36"/>
      <c r="D2626" s="36"/>
      <c r="F2626" s="1" t="s">
        <v>1322</v>
      </c>
      <c r="G2626" s="30" t="s">
        <v>5081</v>
      </c>
      <c r="K2626" s="1" t="s">
        <v>5082</v>
      </c>
      <c r="L2626" s="1" t="s">
        <v>1279</v>
      </c>
      <c r="M2626" s="36" t="s">
        <v>1875</v>
      </c>
      <c r="N2626" s="1" t="s">
        <v>1287</v>
      </c>
      <c r="O2626" s="1" t="s">
        <v>1286</v>
      </c>
      <c r="P2626" s="34" t="str">
        <f t="shared" si="53"/>
        <v>F010</v>
      </c>
      <c r="Q2626" s="1" t="s">
        <v>138</v>
      </c>
      <c r="S2626" s="16">
        <v>20</v>
      </c>
      <c r="T2626" s="1" t="s">
        <v>2299</v>
      </c>
      <c r="U2626" s="1" t="s">
        <v>1762</v>
      </c>
      <c r="V2626" s="1" t="s">
        <v>1555</v>
      </c>
      <c r="Y2626" s="1">
        <v>235000</v>
      </c>
      <c r="AB2626" s="1">
        <v>223250</v>
      </c>
    </row>
    <row r="2627" spans="2:28" x14ac:dyDescent="0.2">
      <c r="B2627" s="30" t="s">
        <v>2294</v>
      </c>
      <c r="C2627" s="36"/>
      <c r="D2627" s="36"/>
      <c r="F2627" s="1" t="s">
        <v>1322</v>
      </c>
      <c r="G2627" s="30" t="s">
        <v>5083</v>
      </c>
      <c r="K2627" s="1" t="s">
        <v>5084</v>
      </c>
      <c r="L2627" s="1" t="s">
        <v>1279</v>
      </c>
      <c r="M2627" s="36" t="s">
        <v>1343</v>
      </c>
      <c r="N2627" s="1" t="s">
        <v>1687</v>
      </c>
      <c r="O2627" s="1" t="s">
        <v>1286</v>
      </c>
      <c r="P2627" s="34" t="str">
        <f t="shared" si="53"/>
        <v>F010</v>
      </c>
      <c r="Q2627" s="1" t="s">
        <v>129</v>
      </c>
      <c r="S2627" s="16">
        <v>20</v>
      </c>
      <c r="T2627" s="1" t="s">
        <v>2299</v>
      </c>
      <c r="U2627" s="1" t="s">
        <v>2319</v>
      </c>
      <c r="V2627" s="1" t="s">
        <v>2515</v>
      </c>
      <c r="Y2627" s="1">
        <v>67873.62</v>
      </c>
      <c r="AB2627" s="1">
        <v>64479.94</v>
      </c>
    </row>
    <row r="2628" spans="2:28" x14ac:dyDescent="0.2">
      <c r="B2628" s="30" t="s">
        <v>2294</v>
      </c>
      <c r="C2628" s="36"/>
      <c r="D2628" s="36"/>
      <c r="F2628" s="1" t="s">
        <v>1322</v>
      </c>
      <c r="G2628" s="30" t="s">
        <v>5085</v>
      </c>
      <c r="K2628" s="1" t="s">
        <v>5086</v>
      </c>
      <c r="L2628" s="1" t="s">
        <v>1279</v>
      </c>
      <c r="M2628" s="36" t="s">
        <v>2014</v>
      </c>
      <c r="N2628" s="1" t="s">
        <v>2094</v>
      </c>
      <c r="O2628" s="1" t="s">
        <v>1286</v>
      </c>
      <c r="P2628" s="34" t="str">
        <f t="shared" si="53"/>
        <v>F010</v>
      </c>
      <c r="Q2628" s="1" t="s">
        <v>127</v>
      </c>
      <c r="S2628" s="16">
        <v>20</v>
      </c>
      <c r="T2628" s="1" t="s">
        <v>2299</v>
      </c>
      <c r="U2628" s="1" t="s">
        <v>1334</v>
      </c>
      <c r="V2628" s="1" t="s">
        <v>1377</v>
      </c>
      <c r="Y2628" s="1">
        <v>6926.67</v>
      </c>
      <c r="AB2628" s="1">
        <v>4021.35</v>
      </c>
    </row>
    <row r="2629" spans="2:28" x14ac:dyDescent="0.2">
      <c r="B2629" s="30" t="s">
        <v>2294</v>
      </c>
      <c r="C2629" s="36"/>
      <c r="D2629" s="36"/>
      <c r="F2629" s="1" t="s">
        <v>1322</v>
      </c>
      <c r="G2629" s="30" t="s">
        <v>5085</v>
      </c>
      <c r="K2629" s="1" t="s">
        <v>5087</v>
      </c>
      <c r="L2629" s="1" t="s">
        <v>1279</v>
      </c>
      <c r="M2629" s="36" t="s">
        <v>2014</v>
      </c>
      <c r="N2629" s="1" t="s">
        <v>2094</v>
      </c>
      <c r="O2629" s="1" t="s">
        <v>1286</v>
      </c>
      <c r="P2629" s="34" t="str">
        <f t="shared" si="53"/>
        <v>F010</v>
      </c>
      <c r="Q2629" s="1" t="s">
        <v>127</v>
      </c>
      <c r="S2629" s="16">
        <v>20</v>
      </c>
      <c r="T2629" s="1" t="s">
        <v>2299</v>
      </c>
      <c r="U2629" s="1" t="s">
        <v>1334</v>
      </c>
      <c r="V2629" s="1" t="s">
        <v>1377</v>
      </c>
      <c r="Y2629" s="1">
        <v>6926.67</v>
      </c>
      <c r="AB2629" s="1">
        <v>4021.35</v>
      </c>
    </row>
    <row r="2630" spans="2:28" x14ac:dyDescent="0.2">
      <c r="B2630" s="30" t="s">
        <v>2294</v>
      </c>
      <c r="C2630" s="36"/>
      <c r="D2630" s="36"/>
      <c r="F2630" s="1" t="s">
        <v>1322</v>
      </c>
      <c r="G2630" s="30" t="s">
        <v>5085</v>
      </c>
      <c r="K2630" s="1" t="s">
        <v>5088</v>
      </c>
      <c r="L2630" s="1" t="s">
        <v>1279</v>
      </c>
      <c r="M2630" s="36" t="s">
        <v>1460</v>
      </c>
      <c r="N2630" s="1" t="s">
        <v>3226</v>
      </c>
      <c r="O2630" s="1" t="s">
        <v>1286</v>
      </c>
      <c r="P2630" s="34" t="str">
        <f t="shared" si="53"/>
        <v>F010</v>
      </c>
      <c r="Q2630" s="1" t="s">
        <v>137</v>
      </c>
      <c r="S2630" s="16">
        <v>20</v>
      </c>
      <c r="T2630" s="1" t="s">
        <v>2299</v>
      </c>
      <c r="U2630" s="1" t="s">
        <v>2014</v>
      </c>
      <c r="V2630" s="1" t="s">
        <v>1500</v>
      </c>
      <c r="Y2630" s="1">
        <v>5854.7</v>
      </c>
      <c r="AB2630" s="1">
        <v>3553.5</v>
      </c>
    </row>
    <row r="2631" spans="2:28" x14ac:dyDescent="0.2">
      <c r="B2631" s="30" t="s">
        <v>2294</v>
      </c>
      <c r="C2631" s="36"/>
      <c r="D2631" s="36"/>
      <c r="F2631" s="1" t="s">
        <v>1322</v>
      </c>
      <c r="G2631" s="30" t="s">
        <v>5089</v>
      </c>
      <c r="K2631" s="1" t="s">
        <v>5090</v>
      </c>
      <c r="L2631" s="1" t="s">
        <v>1279</v>
      </c>
      <c r="M2631" s="36" t="s">
        <v>1535</v>
      </c>
      <c r="N2631" s="1" t="s">
        <v>1283</v>
      </c>
      <c r="O2631" s="1" t="s">
        <v>1286</v>
      </c>
      <c r="P2631" s="34" t="str">
        <f t="shared" si="53"/>
        <v>F010</v>
      </c>
      <c r="Q2631" s="1" t="s">
        <v>137</v>
      </c>
      <c r="S2631" s="16">
        <v>20</v>
      </c>
      <c r="T2631" s="1" t="s">
        <v>2299</v>
      </c>
      <c r="U2631" s="1" t="s">
        <v>2068</v>
      </c>
      <c r="V2631" s="1" t="s">
        <v>1606</v>
      </c>
      <c r="Y2631" s="1">
        <v>3995.72</v>
      </c>
      <c r="AB2631" s="1">
        <v>2108.8200000000002</v>
      </c>
    </row>
    <row r="2632" spans="2:28" x14ac:dyDescent="0.2">
      <c r="B2632" s="30" t="s">
        <v>2294</v>
      </c>
      <c r="C2632" s="36"/>
      <c r="D2632" s="36"/>
      <c r="F2632" s="1" t="s">
        <v>1322</v>
      </c>
      <c r="G2632" s="30" t="s">
        <v>5089</v>
      </c>
      <c r="K2632" s="1" t="s">
        <v>5091</v>
      </c>
      <c r="L2632" s="1" t="s">
        <v>1279</v>
      </c>
      <c r="M2632" s="36" t="s">
        <v>1535</v>
      </c>
      <c r="N2632" s="1" t="s">
        <v>1283</v>
      </c>
      <c r="O2632" s="1" t="s">
        <v>1286</v>
      </c>
      <c r="P2632" s="34" t="str">
        <f t="shared" si="53"/>
        <v>F010</v>
      </c>
      <c r="Q2632" s="1" t="s">
        <v>137</v>
      </c>
      <c r="S2632" s="16">
        <v>20</v>
      </c>
      <c r="T2632" s="1" t="s">
        <v>2299</v>
      </c>
      <c r="U2632" s="1" t="s">
        <v>2068</v>
      </c>
      <c r="V2632" s="1" t="s">
        <v>1606</v>
      </c>
      <c r="Y2632" s="1">
        <v>3995.72</v>
      </c>
      <c r="AB2632" s="1">
        <v>2108.8200000000002</v>
      </c>
    </row>
    <row r="2633" spans="2:28" x14ac:dyDescent="0.2">
      <c r="B2633" s="30" t="s">
        <v>2294</v>
      </c>
      <c r="C2633" s="36"/>
      <c r="D2633" s="36"/>
      <c r="F2633" s="1" t="s">
        <v>1322</v>
      </c>
      <c r="G2633" s="30" t="s">
        <v>5089</v>
      </c>
      <c r="K2633" s="1" t="s">
        <v>5092</v>
      </c>
      <c r="L2633" s="1" t="s">
        <v>1279</v>
      </c>
      <c r="M2633" s="36" t="s">
        <v>1535</v>
      </c>
      <c r="N2633" s="1" t="s">
        <v>1283</v>
      </c>
      <c r="O2633" s="1" t="s">
        <v>1286</v>
      </c>
      <c r="P2633" s="34" t="str">
        <f t="shared" si="53"/>
        <v>F010</v>
      </c>
      <c r="Q2633" s="1" t="s">
        <v>137</v>
      </c>
      <c r="S2633" s="16">
        <v>20</v>
      </c>
      <c r="T2633" s="1" t="s">
        <v>2299</v>
      </c>
      <c r="U2633" s="1" t="s">
        <v>2068</v>
      </c>
      <c r="V2633" s="1" t="s">
        <v>1606</v>
      </c>
      <c r="Y2633" s="1">
        <v>3995.73</v>
      </c>
      <c r="AB2633" s="1">
        <v>2108.83</v>
      </c>
    </row>
    <row r="2634" spans="2:28" x14ac:dyDescent="0.2">
      <c r="B2634" s="30" t="s">
        <v>2294</v>
      </c>
      <c r="C2634" s="36"/>
      <c r="D2634" s="36"/>
      <c r="F2634" s="1" t="s">
        <v>1322</v>
      </c>
      <c r="G2634" s="30" t="s">
        <v>5089</v>
      </c>
      <c r="K2634" s="1" t="s">
        <v>5093</v>
      </c>
      <c r="L2634" s="1" t="s">
        <v>1279</v>
      </c>
      <c r="M2634" s="36" t="s">
        <v>1535</v>
      </c>
      <c r="N2634" s="1" t="s">
        <v>1283</v>
      </c>
      <c r="O2634" s="1" t="s">
        <v>1286</v>
      </c>
      <c r="P2634" s="34" t="str">
        <f t="shared" si="53"/>
        <v>F010</v>
      </c>
      <c r="Q2634" s="1" t="s">
        <v>137</v>
      </c>
      <c r="S2634" s="16">
        <v>20</v>
      </c>
      <c r="T2634" s="1" t="s">
        <v>2299</v>
      </c>
      <c r="U2634" s="1" t="s">
        <v>2068</v>
      </c>
      <c r="V2634" s="1" t="s">
        <v>1606</v>
      </c>
      <c r="Y2634" s="1">
        <v>3995.73</v>
      </c>
      <c r="AB2634" s="1">
        <v>2108.83</v>
      </c>
    </row>
    <row r="2635" spans="2:28" x14ac:dyDescent="0.2">
      <c r="B2635" s="30" t="s">
        <v>2294</v>
      </c>
      <c r="C2635" s="36"/>
      <c r="D2635" s="36"/>
      <c r="F2635" s="1" t="s">
        <v>1322</v>
      </c>
      <c r="G2635" s="30" t="s">
        <v>5089</v>
      </c>
      <c r="K2635" s="1" t="s">
        <v>5094</v>
      </c>
      <c r="L2635" s="1" t="s">
        <v>1279</v>
      </c>
      <c r="M2635" s="36" t="s">
        <v>1535</v>
      </c>
      <c r="N2635" s="1" t="s">
        <v>1283</v>
      </c>
      <c r="O2635" s="1" t="s">
        <v>1286</v>
      </c>
      <c r="P2635" s="34" t="str">
        <f t="shared" si="53"/>
        <v>F010</v>
      </c>
      <c r="Q2635" s="1" t="s">
        <v>137</v>
      </c>
      <c r="S2635" s="16">
        <v>20</v>
      </c>
      <c r="T2635" s="1" t="s">
        <v>2299</v>
      </c>
      <c r="U2635" s="1" t="s">
        <v>2068</v>
      </c>
      <c r="V2635" s="1" t="s">
        <v>1606</v>
      </c>
      <c r="Y2635" s="1">
        <v>3995.73</v>
      </c>
      <c r="AB2635" s="1">
        <v>2108.83</v>
      </c>
    </row>
    <row r="2636" spans="2:28" x14ac:dyDescent="0.2">
      <c r="B2636" s="30" t="s">
        <v>2294</v>
      </c>
      <c r="C2636" s="36"/>
      <c r="D2636" s="36"/>
      <c r="F2636" s="1" t="s">
        <v>1322</v>
      </c>
      <c r="G2636" s="30" t="s">
        <v>5095</v>
      </c>
      <c r="K2636" s="1" t="s">
        <v>5096</v>
      </c>
      <c r="L2636" s="1" t="s">
        <v>1279</v>
      </c>
      <c r="M2636" s="36" t="s">
        <v>1460</v>
      </c>
      <c r="N2636" s="1" t="s">
        <v>2546</v>
      </c>
      <c r="O2636" s="1" t="s">
        <v>1286</v>
      </c>
      <c r="P2636" s="34" t="str">
        <f t="shared" si="53"/>
        <v>F010</v>
      </c>
      <c r="Q2636" s="1" t="s">
        <v>137</v>
      </c>
      <c r="S2636" s="16">
        <v>20</v>
      </c>
      <c r="T2636" s="1" t="s">
        <v>2299</v>
      </c>
      <c r="U2636" s="1" t="s">
        <v>2014</v>
      </c>
      <c r="V2636" s="1" t="s">
        <v>1500</v>
      </c>
      <c r="Y2636" s="1">
        <v>8936.75</v>
      </c>
      <c r="AB2636" s="1">
        <v>5424.09</v>
      </c>
    </row>
    <row r="2637" spans="2:28" x14ac:dyDescent="0.2">
      <c r="B2637" s="30" t="s">
        <v>2294</v>
      </c>
      <c r="C2637" s="36"/>
      <c r="D2637" s="36"/>
      <c r="F2637" s="1" t="s">
        <v>1322</v>
      </c>
      <c r="G2637" s="30" t="s">
        <v>5095</v>
      </c>
      <c r="K2637" s="1" t="s">
        <v>5097</v>
      </c>
      <c r="L2637" s="1" t="s">
        <v>1279</v>
      </c>
      <c r="M2637" s="36" t="s">
        <v>1460</v>
      </c>
      <c r="N2637" s="1" t="s">
        <v>2546</v>
      </c>
      <c r="O2637" s="1" t="s">
        <v>1286</v>
      </c>
      <c r="P2637" s="34" t="str">
        <f t="shared" si="53"/>
        <v>F010</v>
      </c>
      <c r="Q2637" s="1" t="s">
        <v>137</v>
      </c>
      <c r="S2637" s="16">
        <v>20</v>
      </c>
      <c r="T2637" s="1" t="s">
        <v>2299</v>
      </c>
      <c r="U2637" s="1" t="s">
        <v>2014</v>
      </c>
      <c r="V2637" s="1" t="s">
        <v>1500</v>
      </c>
      <c r="Y2637" s="1">
        <v>8936.75</v>
      </c>
      <c r="AB2637" s="1">
        <v>5424.09</v>
      </c>
    </row>
    <row r="2638" spans="2:28" x14ac:dyDescent="0.2">
      <c r="B2638" s="30" t="s">
        <v>2294</v>
      </c>
      <c r="C2638" s="36"/>
      <c r="D2638" s="36"/>
      <c r="F2638" s="1" t="s">
        <v>1322</v>
      </c>
      <c r="G2638" s="30" t="s">
        <v>5098</v>
      </c>
      <c r="K2638" s="1" t="s">
        <v>5099</v>
      </c>
      <c r="L2638" s="1" t="s">
        <v>1279</v>
      </c>
      <c r="M2638" s="36" t="s">
        <v>1699</v>
      </c>
      <c r="N2638" s="1" t="s">
        <v>2543</v>
      </c>
      <c r="O2638" s="1" t="s">
        <v>1286</v>
      </c>
      <c r="P2638" s="34" t="str">
        <f t="shared" si="53"/>
        <v>F010</v>
      </c>
      <c r="Q2638" s="1" t="s">
        <v>137</v>
      </c>
      <c r="S2638" s="16">
        <v>20</v>
      </c>
      <c r="T2638" s="1" t="s">
        <v>2299</v>
      </c>
      <c r="U2638" s="1" t="s">
        <v>1541</v>
      </c>
      <c r="V2638" s="1" t="s">
        <v>2711</v>
      </c>
      <c r="Y2638" s="1">
        <v>10935.99</v>
      </c>
      <c r="AB2638" s="1">
        <v>8946.27</v>
      </c>
    </row>
    <row r="2639" spans="2:28" x14ac:dyDescent="0.2">
      <c r="B2639" s="30" t="s">
        <v>2294</v>
      </c>
      <c r="C2639" s="36"/>
      <c r="D2639" s="36"/>
      <c r="F2639" s="1" t="s">
        <v>1322</v>
      </c>
      <c r="G2639" s="30" t="s">
        <v>5098</v>
      </c>
      <c r="K2639" s="1" t="s">
        <v>5100</v>
      </c>
      <c r="L2639" s="1" t="s">
        <v>1279</v>
      </c>
      <c r="M2639" s="36" t="s">
        <v>1699</v>
      </c>
      <c r="N2639" s="1" t="s">
        <v>2543</v>
      </c>
      <c r="O2639" s="1" t="s">
        <v>1286</v>
      </c>
      <c r="P2639" s="34" t="str">
        <f t="shared" si="53"/>
        <v>F010</v>
      </c>
      <c r="Q2639" s="1" t="s">
        <v>137</v>
      </c>
      <c r="S2639" s="16">
        <v>20</v>
      </c>
      <c r="T2639" s="1" t="s">
        <v>2299</v>
      </c>
      <c r="U2639" s="1" t="s">
        <v>1541</v>
      </c>
      <c r="V2639" s="1" t="s">
        <v>2711</v>
      </c>
      <c r="Y2639" s="1">
        <v>10935.99</v>
      </c>
      <c r="AB2639" s="1">
        <v>8946.27</v>
      </c>
    </row>
    <row r="2640" spans="2:28" x14ac:dyDescent="0.2">
      <c r="B2640" s="30" t="s">
        <v>2294</v>
      </c>
      <c r="C2640" s="36"/>
      <c r="D2640" s="36"/>
      <c r="F2640" s="1" t="s">
        <v>1322</v>
      </c>
      <c r="G2640" s="30" t="s">
        <v>5101</v>
      </c>
      <c r="K2640" s="1" t="s">
        <v>5102</v>
      </c>
      <c r="L2640" s="1" t="s">
        <v>1279</v>
      </c>
      <c r="M2640" s="36" t="s">
        <v>1913</v>
      </c>
      <c r="N2640" s="1" t="s">
        <v>1837</v>
      </c>
      <c r="O2640" s="1" t="s">
        <v>1286</v>
      </c>
      <c r="P2640" s="34" t="str">
        <f t="shared" si="53"/>
        <v>F010</v>
      </c>
      <c r="Q2640" s="1" t="s">
        <v>129</v>
      </c>
      <c r="S2640" s="16">
        <v>20</v>
      </c>
      <c r="T2640" s="1" t="s">
        <v>2299</v>
      </c>
      <c r="U2640" s="1" t="s">
        <v>1894</v>
      </c>
      <c r="V2640" s="1" t="s">
        <v>4146</v>
      </c>
      <c r="Y2640" s="1">
        <v>29062.63</v>
      </c>
      <c r="AB2640" s="1">
        <v>27609.5</v>
      </c>
    </row>
    <row r="2641" spans="2:28" x14ac:dyDescent="0.2">
      <c r="B2641" s="30" t="s">
        <v>2294</v>
      </c>
      <c r="C2641" s="36"/>
      <c r="D2641" s="36"/>
      <c r="F2641" s="1" t="s">
        <v>1322</v>
      </c>
      <c r="G2641" s="30" t="s">
        <v>5103</v>
      </c>
      <c r="K2641" s="1" t="s">
        <v>5104</v>
      </c>
      <c r="L2641" s="1" t="s">
        <v>1279</v>
      </c>
      <c r="M2641" s="36" t="s">
        <v>1879</v>
      </c>
      <c r="N2641" s="1" t="s">
        <v>1837</v>
      </c>
      <c r="O2641" s="1" t="s">
        <v>1286</v>
      </c>
      <c r="P2641" s="34" t="str">
        <f t="shared" si="53"/>
        <v>F010</v>
      </c>
      <c r="Q2641" s="1" t="s">
        <v>129</v>
      </c>
      <c r="S2641" s="16">
        <v>20</v>
      </c>
      <c r="T2641" s="1" t="s">
        <v>2299</v>
      </c>
      <c r="U2641" s="1" t="s">
        <v>1343</v>
      </c>
      <c r="V2641" s="1" t="s">
        <v>2255</v>
      </c>
      <c r="Y2641" s="1">
        <v>16785</v>
      </c>
      <c r="AB2641" s="1">
        <v>15945.75</v>
      </c>
    </row>
    <row r="2642" spans="2:28" x14ac:dyDescent="0.2">
      <c r="B2642" s="30" t="s">
        <v>2294</v>
      </c>
      <c r="C2642" s="36"/>
      <c r="D2642" s="36"/>
      <c r="F2642" s="1" t="s">
        <v>1322</v>
      </c>
      <c r="G2642" s="30" t="s">
        <v>5103</v>
      </c>
      <c r="K2642" s="1" t="s">
        <v>5105</v>
      </c>
      <c r="L2642" s="1" t="s">
        <v>1279</v>
      </c>
      <c r="M2642" s="36" t="s">
        <v>1879</v>
      </c>
      <c r="N2642" s="1" t="s">
        <v>1837</v>
      </c>
      <c r="O2642" s="1" t="s">
        <v>1286</v>
      </c>
      <c r="P2642" s="34" t="str">
        <f t="shared" si="53"/>
        <v>F010</v>
      </c>
      <c r="Q2642" s="1" t="s">
        <v>129</v>
      </c>
      <c r="S2642" s="16">
        <v>20</v>
      </c>
      <c r="T2642" s="1" t="s">
        <v>2299</v>
      </c>
      <c r="U2642" s="1" t="s">
        <v>1343</v>
      </c>
      <c r="V2642" s="1" t="s">
        <v>2255</v>
      </c>
      <c r="Y2642" s="1">
        <v>16785</v>
      </c>
      <c r="AB2642" s="1">
        <v>15945.75</v>
      </c>
    </row>
    <row r="2643" spans="2:28" x14ac:dyDescent="0.2">
      <c r="B2643" s="30" t="s">
        <v>2294</v>
      </c>
      <c r="C2643" s="36"/>
      <c r="D2643" s="36"/>
      <c r="F2643" s="1" t="s">
        <v>1322</v>
      </c>
      <c r="G2643" s="30" t="s">
        <v>5103</v>
      </c>
      <c r="K2643" s="1" t="s">
        <v>5106</v>
      </c>
      <c r="L2643" s="1" t="s">
        <v>1279</v>
      </c>
      <c r="M2643" s="36" t="s">
        <v>1879</v>
      </c>
      <c r="N2643" s="1" t="s">
        <v>1837</v>
      </c>
      <c r="O2643" s="1" t="s">
        <v>1286</v>
      </c>
      <c r="P2643" s="34" t="str">
        <f t="shared" si="53"/>
        <v>F010</v>
      </c>
      <c r="Q2643" s="1" t="s">
        <v>129</v>
      </c>
      <c r="S2643" s="16">
        <v>20</v>
      </c>
      <c r="T2643" s="1" t="s">
        <v>2299</v>
      </c>
      <c r="U2643" s="1" t="s">
        <v>1343</v>
      </c>
      <c r="V2643" s="1" t="s">
        <v>2255</v>
      </c>
      <c r="Y2643" s="1">
        <v>16785</v>
      </c>
      <c r="AB2643" s="1">
        <v>15945.75</v>
      </c>
    </row>
    <row r="2644" spans="2:28" x14ac:dyDescent="0.2">
      <c r="B2644" s="30" t="s">
        <v>2294</v>
      </c>
      <c r="C2644" s="36"/>
      <c r="D2644" s="36"/>
      <c r="F2644" s="1" t="s">
        <v>1322</v>
      </c>
      <c r="G2644" s="30" t="s">
        <v>5103</v>
      </c>
      <c r="K2644" s="1" t="s">
        <v>5107</v>
      </c>
      <c r="L2644" s="1" t="s">
        <v>1279</v>
      </c>
      <c r="M2644" s="36" t="s">
        <v>1879</v>
      </c>
      <c r="N2644" s="1" t="s">
        <v>1837</v>
      </c>
      <c r="O2644" s="1" t="s">
        <v>1286</v>
      </c>
      <c r="P2644" s="34" t="str">
        <f t="shared" si="53"/>
        <v>F010</v>
      </c>
      <c r="Q2644" s="1" t="s">
        <v>129</v>
      </c>
      <c r="S2644" s="16">
        <v>20</v>
      </c>
      <c r="T2644" s="1" t="s">
        <v>2299</v>
      </c>
      <c r="U2644" s="1" t="s">
        <v>1343</v>
      </c>
      <c r="V2644" s="1" t="s">
        <v>2255</v>
      </c>
      <c r="Y2644" s="1">
        <v>16785</v>
      </c>
      <c r="AB2644" s="1">
        <v>15945.75</v>
      </c>
    </row>
    <row r="2645" spans="2:28" x14ac:dyDescent="0.2">
      <c r="B2645" s="30" t="s">
        <v>2294</v>
      </c>
      <c r="C2645" s="36"/>
      <c r="D2645" s="36"/>
      <c r="F2645" s="1" t="s">
        <v>1322</v>
      </c>
      <c r="G2645" s="30" t="s">
        <v>5108</v>
      </c>
      <c r="K2645" s="1" t="s">
        <v>5109</v>
      </c>
      <c r="L2645" s="1" t="s">
        <v>1279</v>
      </c>
      <c r="M2645" s="36" t="s">
        <v>1874</v>
      </c>
      <c r="N2645" s="1" t="s">
        <v>1287</v>
      </c>
      <c r="O2645" s="1" t="s">
        <v>1286</v>
      </c>
      <c r="P2645" s="34" t="str">
        <f t="shared" si="53"/>
        <v>F010</v>
      </c>
      <c r="Q2645" s="1" t="s">
        <v>138</v>
      </c>
      <c r="S2645" s="16">
        <v>20</v>
      </c>
      <c r="T2645" s="1" t="s">
        <v>2299</v>
      </c>
      <c r="U2645" s="1" t="s">
        <v>1761</v>
      </c>
      <c r="V2645" s="1" t="s">
        <v>1762</v>
      </c>
      <c r="Y2645" s="1">
        <v>22147.63</v>
      </c>
      <c r="AB2645" s="1">
        <v>21040.25</v>
      </c>
    </row>
    <row r="2646" spans="2:28" x14ac:dyDescent="0.2">
      <c r="B2646" s="30" t="s">
        <v>2294</v>
      </c>
      <c r="C2646" s="36"/>
      <c r="D2646" s="36"/>
      <c r="F2646" s="1" t="s">
        <v>1322</v>
      </c>
      <c r="G2646" s="30" t="s">
        <v>5110</v>
      </c>
      <c r="K2646" s="1" t="s">
        <v>5111</v>
      </c>
      <c r="L2646" s="1" t="s">
        <v>1279</v>
      </c>
      <c r="M2646" s="36" t="s">
        <v>1867</v>
      </c>
      <c r="N2646" s="1" t="s">
        <v>1282</v>
      </c>
      <c r="O2646" s="1" t="s">
        <v>1286</v>
      </c>
      <c r="P2646" s="34" t="str">
        <f t="shared" si="53"/>
        <v>F010</v>
      </c>
      <c r="Q2646" s="1" t="s">
        <v>132</v>
      </c>
      <c r="S2646" s="16">
        <v>20</v>
      </c>
      <c r="T2646" s="1" t="s">
        <v>2299</v>
      </c>
      <c r="U2646" s="1" t="s">
        <v>5112</v>
      </c>
      <c r="V2646" s="1" t="s">
        <v>3999</v>
      </c>
      <c r="Y2646" s="1">
        <v>2650</v>
      </c>
      <c r="AB2646" s="1">
        <v>2517.5</v>
      </c>
    </row>
    <row r="2647" spans="2:28" x14ac:dyDescent="0.2">
      <c r="B2647" s="30" t="s">
        <v>2294</v>
      </c>
      <c r="C2647" s="36"/>
      <c r="D2647" s="36"/>
      <c r="F2647" s="1" t="s">
        <v>1322</v>
      </c>
      <c r="G2647" s="30" t="s">
        <v>5113</v>
      </c>
      <c r="K2647" s="1" t="s">
        <v>5114</v>
      </c>
      <c r="L2647" s="1" t="s">
        <v>1279</v>
      </c>
      <c r="M2647" s="36" t="s">
        <v>1794</v>
      </c>
      <c r="N2647" s="1" t="s">
        <v>1614</v>
      </c>
      <c r="O2647" s="1" t="s">
        <v>1286</v>
      </c>
      <c r="P2647" s="34" t="str">
        <f t="shared" si="53"/>
        <v>F010</v>
      </c>
      <c r="Q2647" s="1" t="s">
        <v>127</v>
      </c>
      <c r="S2647" s="16">
        <v>20</v>
      </c>
      <c r="T2647" s="1" t="s">
        <v>2299</v>
      </c>
      <c r="U2647" s="1" t="s">
        <v>1497</v>
      </c>
      <c r="V2647" s="1" t="s">
        <v>1498</v>
      </c>
      <c r="Y2647" s="1">
        <v>4653.6000000000004</v>
      </c>
      <c r="AB2647" s="1">
        <v>3070.07</v>
      </c>
    </row>
    <row r="2648" spans="2:28" x14ac:dyDescent="0.2">
      <c r="B2648" s="30" t="s">
        <v>2294</v>
      </c>
      <c r="C2648" s="36"/>
      <c r="D2648" s="36"/>
      <c r="F2648" s="1" t="s">
        <v>1322</v>
      </c>
      <c r="G2648" s="30" t="s">
        <v>5113</v>
      </c>
      <c r="K2648" s="1" t="s">
        <v>5115</v>
      </c>
      <c r="L2648" s="1" t="s">
        <v>1279</v>
      </c>
      <c r="M2648" s="36" t="s">
        <v>1794</v>
      </c>
      <c r="N2648" s="1" t="s">
        <v>1614</v>
      </c>
      <c r="O2648" s="1" t="s">
        <v>1286</v>
      </c>
      <c r="P2648" s="34" t="str">
        <f t="shared" si="53"/>
        <v>F010</v>
      </c>
      <c r="Q2648" s="1" t="s">
        <v>127</v>
      </c>
      <c r="S2648" s="16">
        <v>20</v>
      </c>
      <c r="T2648" s="1" t="s">
        <v>2299</v>
      </c>
      <c r="U2648" s="1" t="s">
        <v>1497</v>
      </c>
      <c r="V2648" s="1" t="s">
        <v>1498</v>
      </c>
      <c r="Y2648" s="1">
        <v>4653.6000000000004</v>
      </c>
      <c r="AB2648" s="1">
        <v>3070.07</v>
      </c>
    </row>
    <row r="2649" spans="2:28" x14ac:dyDescent="0.2">
      <c r="B2649" s="30" t="s">
        <v>2294</v>
      </c>
      <c r="C2649" s="36"/>
      <c r="D2649" s="36"/>
      <c r="F2649" s="1" t="s">
        <v>1322</v>
      </c>
      <c r="G2649" s="30" t="s">
        <v>5113</v>
      </c>
      <c r="K2649" s="1" t="s">
        <v>5116</v>
      </c>
      <c r="L2649" s="1" t="s">
        <v>1279</v>
      </c>
      <c r="M2649" s="36" t="s">
        <v>1794</v>
      </c>
      <c r="N2649" s="1" t="s">
        <v>1614</v>
      </c>
      <c r="O2649" s="1" t="s">
        <v>1286</v>
      </c>
      <c r="P2649" s="34" t="str">
        <f t="shared" si="53"/>
        <v>F010</v>
      </c>
      <c r="Q2649" s="1" t="s">
        <v>127</v>
      </c>
      <c r="S2649" s="16">
        <v>20</v>
      </c>
      <c r="T2649" s="1" t="s">
        <v>2299</v>
      </c>
      <c r="U2649" s="1" t="s">
        <v>1497</v>
      </c>
      <c r="V2649" s="1" t="s">
        <v>1498</v>
      </c>
      <c r="Y2649" s="1">
        <v>4653.6000000000004</v>
      </c>
      <c r="AB2649" s="1">
        <v>3070.07</v>
      </c>
    </row>
    <row r="2650" spans="2:28" x14ac:dyDescent="0.2">
      <c r="B2650" s="30" t="s">
        <v>2294</v>
      </c>
      <c r="C2650" s="36"/>
      <c r="D2650" s="36"/>
      <c r="F2650" s="1" t="s">
        <v>1322</v>
      </c>
      <c r="G2650" s="30" t="s">
        <v>5113</v>
      </c>
      <c r="K2650" s="1" t="s">
        <v>5117</v>
      </c>
      <c r="L2650" s="1" t="s">
        <v>1279</v>
      </c>
      <c r="M2650" s="36" t="s">
        <v>1794</v>
      </c>
      <c r="N2650" s="1" t="s">
        <v>1614</v>
      </c>
      <c r="O2650" s="1" t="s">
        <v>1286</v>
      </c>
      <c r="P2650" s="34" t="str">
        <f t="shared" si="53"/>
        <v>F010</v>
      </c>
      <c r="Q2650" s="1" t="s">
        <v>127</v>
      </c>
      <c r="S2650" s="16">
        <v>20</v>
      </c>
      <c r="T2650" s="1" t="s">
        <v>2299</v>
      </c>
      <c r="U2650" s="1" t="s">
        <v>1497</v>
      </c>
      <c r="V2650" s="1" t="s">
        <v>1498</v>
      </c>
      <c r="Y2650" s="1">
        <v>4653.6000000000004</v>
      </c>
      <c r="AB2650" s="1">
        <v>3070.07</v>
      </c>
    </row>
    <row r="2651" spans="2:28" x14ac:dyDescent="0.2">
      <c r="B2651" s="30" t="s">
        <v>2294</v>
      </c>
      <c r="C2651" s="36"/>
      <c r="D2651" s="36"/>
      <c r="F2651" s="1" t="s">
        <v>1322</v>
      </c>
      <c r="G2651" s="30" t="s">
        <v>5113</v>
      </c>
      <c r="K2651" s="1" t="s">
        <v>5118</v>
      </c>
      <c r="L2651" s="1" t="s">
        <v>1279</v>
      </c>
      <c r="M2651" s="36" t="s">
        <v>1794</v>
      </c>
      <c r="N2651" s="1" t="s">
        <v>1614</v>
      </c>
      <c r="O2651" s="1" t="s">
        <v>1286</v>
      </c>
      <c r="P2651" s="34" t="str">
        <f t="shared" si="53"/>
        <v>F010</v>
      </c>
      <c r="Q2651" s="1" t="s">
        <v>127</v>
      </c>
      <c r="S2651" s="16">
        <v>20</v>
      </c>
      <c r="T2651" s="1" t="s">
        <v>2299</v>
      </c>
      <c r="U2651" s="1" t="s">
        <v>1497</v>
      </c>
      <c r="V2651" s="1" t="s">
        <v>1498</v>
      </c>
      <c r="Y2651" s="1">
        <v>4653.6000000000004</v>
      </c>
      <c r="AB2651" s="1">
        <v>3070.07</v>
      </c>
    </row>
    <row r="2652" spans="2:28" x14ac:dyDescent="0.2">
      <c r="B2652" s="30" t="s">
        <v>2294</v>
      </c>
      <c r="C2652" s="36"/>
      <c r="D2652" s="36"/>
      <c r="F2652" s="1" t="s">
        <v>1322</v>
      </c>
      <c r="G2652" s="30" t="s">
        <v>5113</v>
      </c>
      <c r="K2652" s="1" t="s">
        <v>5119</v>
      </c>
      <c r="L2652" s="1" t="s">
        <v>1279</v>
      </c>
      <c r="M2652" s="36" t="s">
        <v>1794</v>
      </c>
      <c r="N2652" s="1" t="s">
        <v>1614</v>
      </c>
      <c r="O2652" s="1" t="s">
        <v>1286</v>
      </c>
      <c r="P2652" s="34" t="str">
        <f t="shared" si="53"/>
        <v>F010</v>
      </c>
      <c r="Q2652" s="1" t="s">
        <v>127</v>
      </c>
      <c r="S2652" s="16">
        <v>20</v>
      </c>
      <c r="T2652" s="1" t="s">
        <v>2299</v>
      </c>
      <c r="U2652" s="1" t="s">
        <v>1497</v>
      </c>
      <c r="V2652" s="1" t="s">
        <v>1498</v>
      </c>
      <c r="Y2652" s="1">
        <v>4653.6000000000004</v>
      </c>
      <c r="AB2652" s="1">
        <v>3070.07</v>
      </c>
    </row>
    <row r="2653" spans="2:28" x14ac:dyDescent="0.2">
      <c r="B2653" s="30" t="s">
        <v>2294</v>
      </c>
      <c r="C2653" s="36"/>
      <c r="D2653" s="36"/>
      <c r="F2653" s="1" t="s">
        <v>1322</v>
      </c>
      <c r="G2653" s="30" t="s">
        <v>5113</v>
      </c>
      <c r="K2653" s="1" t="s">
        <v>5120</v>
      </c>
      <c r="L2653" s="1" t="s">
        <v>1279</v>
      </c>
      <c r="M2653" s="36" t="s">
        <v>1794</v>
      </c>
      <c r="N2653" s="1" t="s">
        <v>1614</v>
      </c>
      <c r="O2653" s="1" t="s">
        <v>1286</v>
      </c>
      <c r="P2653" s="34" t="str">
        <f t="shared" si="53"/>
        <v>F010</v>
      </c>
      <c r="Q2653" s="1" t="s">
        <v>127</v>
      </c>
      <c r="S2653" s="16">
        <v>20</v>
      </c>
      <c r="T2653" s="1" t="s">
        <v>2299</v>
      </c>
      <c r="U2653" s="1" t="s">
        <v>1497</v>
      </c>
      <c r="V2653" s="1" t="s">
        <v>1498</v>
      </c>
      <c r="Y2653" s="1">
        <v>4653.6000000000004</v>
      </c>
      <c r="AB2653" s="1">
        <v>3070.07</v>
      </c>
    </row>
    <row r="2654" spans="2:28" x14ac:dyDescent="0.2">
      <c r="B2654" s="30" t="s">
        <v>2294</v>
      </c>
      <c r="C2654" s="36"/>
      <c r="D2654" s="36"/>
      <c r="F2654" s="1" t="s">
        <v>1322</v>
      </c>
      <c r="G2654" s="30" t="s">
        <v>5113</v>
      </c>
      <c r="K2654" s="1" t="s">
        <v>5121</v>
      </c>
      <c r="L2654" s="1" t="s">
        <v>1279</v>
      </c>
      <c r="M2654" s="36" t="s">
        <v>1794</v>
      </c>
      <c r="N2654" s="1" t="s">
        <v>1614</v>
      </c>
      <c r="O2654" s="1" t="s">
        <v>1286</v>
      </c>
      <c r="P2654" s="34" t="str">
        <f t="shared" si="53"/>
        <v>F010</v>
      </c>
      <c r="Q2654" s="1" t="s">
        <v>127</v>
      </c>
      <c r="S2654" s="16">
        <v>20</v>
      </c>
      <c r="T2654" s="1" t="s">
        <v>2299</v>
      </c>
      <c r="U2654" s="1" t="s">
        <v>1497</v>
      </c>
      <c r="V2654" s="1" t="s">
        <v>1498</v>
      </c>
      <c r="Y2654" s="1">
        <v>4653.6000000000004</v>
      </c>
      <c r="AB2654" s="1">
        <v>3070.07</v>
      </c>
    </row>
    <row r="2655" spans="2:28" x14ac:dyDescent="0.2">
      <c r="B2655" s="30" t="s">
        <v>2294</v>
      </c>
      <c r="C2655" s="36"/>
      <c r="D2655" s="36"/>
      <c r="F2655" s="1" t="s">
        <v>1322</v>
      </c>
      <c r="G2655" s="30" t="s">
        <v>5113</v>
      </c>
      <c r="K2655" s="1" t="s">
        <v>5122</v>
      </c>
      <c r="L2655" s="1" t="s">
        <v>1279</v>
      </c>
      <c r="M2655" s="36" t="s">
        <v>1794</v>
      </c>
      <c r="N2655" s="1" t="s">
        <v>1614</v>
      </c>
      <c r="O2655" s="1" t="s">
        <v>1286</v>
      </c>
      <c r="P2655" s="34" t="str">
        <f t="shared" si="53"/>
        <v>F010</v>
      </c>
      <c r="Q2655" s="1" t="s">
        <v>127</v>
      </c>
      <c r="S2655" s="16">
        <v>20</v>
      </c>
      <c r="T2655" s="1" t="s">
        <v>2299</v>
      </c>
      <c r="U2655" s="1" t="s">
        <v>1497</v>
      </c>
      <c r="V2655" s="1" t="s">
        <v>1498</v>
      </c>
      <c r="Y2655" s="1">
        <v>4653.6000000000004</v>
      </c>
      <c r="AB2655" s="1">
        <v>3070.07</v>
      </c>
    </row>
    <row r="2656" spans="2:28" x14ac:dyDescent="0.2">
      <c r="B2656" s="30" t="s">
        <v>2294</v>
      </c>
      <c r="C2656" s="36"/>
      <c r="D2656" s="36"/>
      <c r="F2656" s="1" t="s">
        <v>1322</v>
      </c>
      <c r="G2656" s="30" t="s">
        <v>5113</v>
      </c>
      <c r="K2656" s="1" t="s">
        <v>5123</v>
      </c>
      <c r="L2656" s="1" t="s">
        <v>1279</v>
      </c>
      <c r="M2656" s="36" t="s">
        <v>1794</v>
      </c>
      <c r="N2656" s="1" t="s">
        <v>1614</v>
      </c>
      <c r="O2656" s="1" t="s">
        <v>1286</v>
      </c>
      <c r="P2656" s="34" t="str">
        <f t="shared" si="53"/>
        <v>F010</v>
      </c>
      <c r="Q2656" s="1" t="s">
        <v>127</v>
      </c>
      <c r="S2656" s="16">
        <v>20</v>
      </c>
      <c r="T2656" s="1" t="s">
        <v>2299</v>
      </c>
      <c r="U2656" s="1" t="s">
        <v>1497</v>
      </c>
      <c r="V2656" s="1" t="s">
        <v>1498</v>
      </c>
      <c r="Y2656" s="1">
        <v>4653.6000000000004</v>
      </c>
      <c r="AB2656" s="1">
        <v>3070.07</v>
      </c>
    </row>
    <row r="2657" spans="2:28" x14ac:dyDescent="0.2">
      <c r="B2657" s="30" t="s">
        <v>2294</v>
      </c>
      <c r="C2657" s="36"/>
      <c r="D2657" s="36"/>
      <c r="F2657" s="1" t="s">
        <v>1322</v>
      </c>
      <c r="G2657" s="30" t="s">
        <v>5124</v>
      </c>
      <c r="K2657" s="1" t="s">
        <v>5125</v>
      </c>
      <c r="L2657" s="1" t="s">
        <v>1279</v>
      </c>
      <c r="M2657" s="36" t="s">
        <v>2014</v>
      </c>
      <c r="N2657" s="1" t="s">
        <v>1335</v>
      </c>
      <c r="O2657" s="1" t="s">
        <v>1286</v>
      </c>
      <c r="P2657" s="34" t="str">
        <f t="shared" si="53"/>
        <v>F010</v>
      </c>
      <c r="Q2657" s="1" t="s">
        <v>1138</v>
      </c>
      <c r="S2657" s="16">
        <v>20</v>
      </c>
      <c r="T2657" s="1" t="s">
        <v>2299</v>
      </c>
      <c r="U2657" s="1" t="s">
        <v>1334</v>
      </c>
      <c r="V2657" s="1" t="s">
        <v>1377</v>
      </c>
      <c r="Y2657" s="1">
        <v>4264.8999999999996</v>
      </c>
      <c r="AB2657" s="1">
        <v>2476.0300000000002</v>
      </c>
    </row>
    <row r="2658" spans="2:28" x14ac:dyDescent="0.2">
      <c r="B2658" s="30" t="s">
        <v>2294</v>
      </c>
      <c r="C2658" s="36"/>
      <c r="D2658" s="36"/>
      <c r="F2658" s="1" t="s">
        <v>1322</v>
      </c>
      <c r="G2658" s="30" t="s">
        <v>5124</v>
      </c>
      <c r="K2658" s="1" t="s">
        <v>5126</v>
      </c>
      <c r="L2658" s="1" t="s">
        <v>1279</v>
      </c>
      <c r="M2658" s="36" t="s">
        <v>2014</v>
      </c>
      <c r="N2658" s="1" t="s">
        <v>1335</v>
      </c>
      <c r="O2658" s="1" t="s">
        <v>1286</v>
      </c>
      <c r="P2658" s="34" t="str">
        <f t="shared" si="53"/>
        <v>F010</v>
      </c>
      <c r="Q2658" s="1" t="s">
        <v>1138</v>
      </c>
      <c r="S2658" s="16">
        <v>20</v>
      </c>
      <c r="T2658" s="1" t="s">
        <v>2299</v>
      </c>
      <c r="U2658" s="1" t="s">
        <v>1334</v>
      </c>
      <c r="V2658" s="1" t="s">
        <v>1377</v>
      </c>
      <c r="Y2658" s="1">
        <v>4264.8999999999996</v>
      </c>
      <c r="AB2658" s="1">
        <v>2476.0300000000002</v>
      </c>
    </row>
    <row r="2659" spans="2:28" x14ac:dyDescent="0.2">
      <c r="B2659" s="30" t="s">
        <v>2294</v>
      </c>
      <c r="C2659" s="36"/>
      <c r="D2659" s="36"/>
      <c r="F2659" s="1" t="s">
        <v>1322</v>
      </c>
      <c r="G2659" s="30" t="s">
        <v>5124</v>
      </c>
      <c r="K2659" s="1" t="s">
        <v>5127</v>
      </c>
      <c r="L2659" s="1" t="s">
        <v>1279</v>
      </c>
      <c r="M2659" s="36" t="s">
        <v>2014</v>
      </c>
      <c r="N2659" s="1" t="s">
        <v>1335</v>
      </c>
      <c r="O2659" s="1" t="s">
        <v>1286</v>
      </c>
      <c r="P2659" s="34" t="str">
        <f t="shared" si="53"/>
        <v>F010</v>
      </c>
      <c r="Q2659" s="1" t="s">
        <v>1138</v>
      </c>
      <c r="S2659" s="16">
        <v>20</v>
      </c>
      <c r="T2659" s="1" t="s">
        <v>2299</v>
      </c>
      <c r="U2659" s="1" t="s">
        <v>1334</v>
      </c>
      <c r="V2659" s="1" t="s">
        <v>1377</v>
      </c>
      <c r="Y2659" s="1">
        <v>4264.8999999999996</v>
      </c>
      <c r="AB2659" s="1">
        <v>2476.0300000000002</v>
      </c>
    </row>
    <row r="2660" spans="2:28" x14ac:dyDescent="0.2">
      <c r="B2660" s="30" t="s">
        <v>2294</v>
      </c>
      <c r="C2660" s="36"/>
      <c r="D2660" s="36"/>
      <c r="F2660" s="1" t="s">
        <v>1322</v>
      </c>
      <c r="G2660" s="30" t="s">
        <v>5124</v>
      </c>
      <c r="K2660" s="1" t="s">
        <v>5128</v>
      </c>
      <c r="L2660" s="1" t="s">
        <v>1279</v>
      </c>
      <c r="M2660" s="36" t="s">
        <v>2014</v>
      </c>
      <c r="N2660" s="1" t="s">
        <v>1335</v>
      </c>
      <c r="O2660" s="1" t="s">
        <v>1286</v>
      </c>
      <c r="P2660" s="34" t="str">
        <f t="shared" si="53"/>
        <v>F010</v>
      </c>
      <c r="Q2660" s="1" t="s">
        <v>1138</v>
      </c>
      <c r="S2660" s="16">
        <v>20</v>
      </c>
      <c r="T2660" s="1" t="s">
        <v>2299</v>
      </c>
      <c r="U2660" s="1" t="s">
        <v>1334</v>
      </c>
      <c r="V2660" s="1" t="s">
        <v>1377</v>
      </c>
      <c r="Y2660" s="1">
        <v>4264.8999999999996</v>
      </c>
      <c r="AB2660" s="1">
        <v>2476.0300000000002</v>
      </c>
    </row>
    <row r="2661" spans="2:28" x14ac:dyDescent="0.2">
      <c r="B2661" s="30" t="s">
        <v>2294</v>
      </c>
      <c r="C2661" s="36"/>
      <c r="D2661" s="36"/>
      <c r="F2661" s="1" t="s">
        <v>1322</v>
      </c>
      <c r="G2661" s="30" t="s">
        <v>5124</v>
      </c>
      <c r="K2661" s="1" t="s">
        <v>5129</v>
      </c>
      <c r="L2661" s="1" t="s">
        <v>1279</v>
      </c>
      <c r="M2661" s="36" t="s">
        <v>2014</v>
      </c>
      <c r="N2661" s="1" t="s">
        <v>1335</v>
      </c>
      <c r="O2661" s="1" t="s">
        <v>1286</v>
      </c>
      <c r="P2661" s="34" t="str">
        <f t="shared" si="53"/>
        <v>F010</v>
      </c>
      <c r="Q2661" s="1" t="s">
        <v>1138</v>
      </c>
      <c r="S2661" s="16">
        <v>20</v>
      </c>
      <c r="T2661" s="1" t="s">
        <v>2299</v>
      </c>
      <c r="U2661" s="1" t="s">
        <v>1334</v>
      </c>
      <c r="V2661" s="1" t="s">
        <v>1377</v>
      </c>
      <c r="Y2661" s="1">
        <v>4264.8999999999996</v>
      </c>
      <c r="AB2661" s="1">
        <v>2476.0300000000002</v>
      </c>
    </row>
    <row r="2662" spans="2:28" x14ac:dyDescent="0.2">
      <c r="B2662" s="30" t="s">
        <v>2294</v>
      </c>
      <c r="C2662" s="36"/>
      <c r="D2662" s="36"/>
      <c r="F2662" s="1" t="s">
        <v>1322</v>
      </c>
      <c r="G2662" s="30" t="s">
        <v>5124</v>
      </c>
      <c r="K2662" s="1" t="s">
        <v>5130</v>
      </c>
      <c r="L2662" s="1" t="s">
        <v>1279</v>
      </c>
      <c r="M2662" s="36" t="s">
        <v>2014</v>
      </c>
      <c r="N2662" s="1" t="s">
        <v>1335</v>
      </c>
      <c r="O2662" s="1" t="s">
        <v>1286</v>
      </c>
      <c r="P2662" s="34" t="str">
        <f t="shared" si="53"/>
        <v>F010</v>
      </c>
      <c r="Q2662" s="1" t="s">
        <v>1138</v>
      </c>
      <c r="S2662" s="16">
        <v>20</v>
      </c>
      <c r="T2662" s="1" t="s">
        <v>2299</v>
      </c>
      <c r="U2662" s="1" t="s">
        <v>1334</v>
      </c>
      <c r="V2662" s="1" t="s">
        <v>1377</v>
      </c>
      <c r="Y2662" s="1">
        <v>4264.8999999999996</v>
      </c>
      <c r="AB2662" s="1">
        <v>2476.0300000000002</v>
      </c>
    </row>
    <row r="2663" spans="2:28" x14ac:dyDescent="0.2">
      <c r="B2663" s="30" t="s">
        <v>2294</v>
      </c>
      <c r="C2663" s="36"/>
      <c r="D2663" s="36"/>
      <c r="F2663" s="1" t="s">
        <v>1322</v>
      </c>
      <c r="G2663" s="30" t="s">
        <v>5124</v>
      </c>
      <c r="K2663" s="1" t="s">
        <v>5131</v>
      </c>
      <c r="L2663" s="1" t="s">
        <v>1279</v>
      </c>
      <c r="M2663" s="36" t="s">
        <v>2014</v>
      </c>
      <c r="N2663" s="1" t="s">
        <v>1335</v>
      </c>
      <c r="O2663" s="1" t="s">
        <v>1286</v>
      </c>
      <c r="P2663" s="34" t="str">
        <f t="shared" si="53"/>
        <v>F010</v>
      </c>
      <c r="Q2663" s="1" t="s">
        <v>1138</v>
      </c>
      <c r="S2663" s="16">
        <v>20</v>
      </c>
      <c r="T2663" s="1" t="s">
        <v>2299</v>
      </c>
      <c r="U2663" s="1" t="s">
        <v>1334</v>
      </c>
      <c r="V2663" s="1" t="s">
        <v>1377</v>
      </c>
      <c r="Y2663" s="1">
        <v>4264.8999999999996</v>
      </c>
      <c r="AB2663" s="1">
        <v>2476.0300000000002</v>
      </c>
    </row>
    <row r="2664" spans="2:28" x14ac:dyDescent="0.2">
      <c r="B2664" s="30" t="s">
        <v>2294</v>
      </c>
      <c r="C2664" s="36"/>
      <c r="D2664" s="36"/>
      <c r="F2664" s="1" t="s">
        <v>1322</v>
      </c>
      <c r="G2664" s="30" t="s">
        <v>5124</v>
      </c>
      <c r="K2664" s="1" t="s">
        <v>5132</v>
      </c>
      <c r="L2664" s="1" t="s">
        <v>1279</v>
      </c>
      <c r="M2664" s="36" t="s">
        <v>2014</v>
      </c>
      <c r="N2664" s="1" t="s">
        <v>1335</v>
      </c>
      <c r="O2664" s="1" t="s">
        <v>1286</v>
      </c>
      <c r="P2664" s="34" t="str">
        <f t="shared" si="53"/>
        <v>F010</v>
      </c>
      <c r="Q2664" s="1" t="s">
        <v>1138</v>
      </c>
      <c r="S2664" s="16">
        <v>20</v>
      </c>
      <c r="T2664" s="1" t="s">
        <v>2299</v>
      </c>
      <c r="U2664" s="1" t="s">
        <v>1334</v>
      </c>
      <c r="V2664" s="1" t="s">
        <v>1377</v>
      </c>
      <c r="Y2664" s="1">
        <v>4264.8999999999996</v>
      </c>
      <c r="AB2664" s="1">
        <v>2476.0300000000002</v>
      </c>
    </row>
    <row r="2665" spans="2:28" x14ac:dyDescent="0.2">
      <c r="B2665" s="30" t="s">
        <v>2294</v>
      </c>
      <c r="C2665" s="36"/>
      <c r="D2665" s="36"/>
      <c r="F2665" s="1" t="s">
        <v>1322</v>
      </c>
      <c r="G2665" s="30" t="s">
        <v>5124</v>
      </c>
      <c r="K2665" s="1" t="s">
        <v>5133</v>
      </c>
      <c r="L2665" s="1" t="s">
        <v>1279</v>
      </c>
      <c r="M2665" s="36" t="s">
        <v>2014</v>
      </c>
      <c r="N2665" s="1" t="s">
        <v>1335</v>
      </c>
      <c r="O2665" s="1" t="s">
        <v>1286</v>
      </c>
      <c r="P2665" s="34" t="str">
        <f t="shared" si="53"/>
        <v>F010</v>
      </c>
      <c r="Q2665" s="1" t="s">
        <v>1138</v>
      </c>
      <c r="S2665" s="16">
        <v>20</v>
      </c>
      <c r="T2665" s="1" t="s">
        <v>2299</v>
      </c>
      <c r="U2665" s="1" t="s">
        <v>1334</v>
      </c>
      <c r="V2665" s="1" t="s">
        <v>1377</v>
      </c>
      <c r="Y2665" s="1">
        <v>4264.8999999999996</v>
      </c>
      <c r="AB2665" s="1">
        <v>2476.0300000000002</v>
      </c>
    </row>
    <row r="2666" spans="2:28" x14ac:dyDescent="0.2">
      <c r="B2666" s="30" t="s">
        <v>2294</v>
      </c>
      <c r="C2666" s="36"/>
      <c r="D2666" s="36"/>
      <c r="F2666" s="1" t="s">
        <v>1322</v>
      </c>
      <c r="G2666" s="30" t="s">
        <v>5124</v>
      </c>
      <c r="K2666" s="1" t="s">
        <v>5134</v>
      </c>
      <c r="L2666" s="1" t="s">
        <v>1279</v>
      </c>
      <c r="M2666" s="36" t="s">
        <v>2014</v>
      </c>
      <c r="N2666" s="1" t="s">
        <v>1335</v>
      </c>
      <c r="O2666" s="1" t="s">
        <v>1286</v>
      </c>
      <c r="P2666" s="34" t="str">
        <f t="shared" si="53"/>
        <v>F010</v>
      </c>
      <c r="Q2666" s="1" t="s">
        <v>1138</v>
      </c>
      <c r="S2666" s="16">
        <v>20</v>
      </c>
      <c r="T2666" s="1" t="s">
        <v>2299</v>
      </c>
      <c r="U2666" s="1" t="s">
        <v>1334</v>
      </c>
      <c r="V2666" s="1" t="s">
        <v>1377</v>
      </c>
      <c r="Y2666" s="1">
        <v>4264.8999999999996</v>
      </c>
      <c r="AB2666" s="1">
        <v>2476.0300000000002</v>
      </c>
    </row>
    <row r="2667" spans="2:28" x14ac:dyDescent="0.2">
      <c r="B2667" s="30" t="s">
        <v>2294</v>
      </c>
      <c r="C2667" s="36"/>
      <c r="D2667" s="36"/>
      <c r="F2667" s="1" t="s">
        <v>1322</v>
      </c>
      <c r="G2667" s="30" t="s">
        <v>5124</v>
      </c>
      <c r="K2667" s="1" t="s">
        <v>5135</v>
      </c>
      <c r="L2667" s="1" t="s">
        <v>1279</v>
      </c>
      <c r="M2667" s="36" t="s">
        <v>2014</v>
      </c>
      <c r="N2667" s="1" t="s">
        <v>1335</v>
      </c>
      <c r="O2667" s="1" t="s">
        <v>1286</v>
      </c>
      <c r="P2667" s="34" t="str">
        <f t="shared" si="53"/>
        <v>F010</v>
      </c>
      <c r="Q2667" s="1" t="s">
        <v>1138</v>
      </c>
      <c r="S2667" s="16">
        <v>20</v>
      </c>
      <c r="T2667" s="1" t="s">
        <v>2299</v>
      </c>
      <c r="U2667" s="1" t="s">
        <v>1334</v>
      </c>
      <c r="V2667" s="1" t="s">
        <v>1377</v>
      </c>
      <c r="Y2667" s="1">
        <v>4264.8999999999996</v>
      </c>
      <c r="AB2667" s="1">
        <v>2476.0300000000002</v>
      </c>
    </row>
    <row r="2668" spans="2:28" x14ac:dyDescent="0.2">
      <c r="B2668" s="30" t="s">
        <v>2294</v>
      </c>
      <c r="C2668" s="36"/>
      <c r="D2668" s="36"/>
      <c r="F2668" s="1" t="s">
        <v>1322</v>
      </c>
      <c r="G2668" s="30" t="s">
        <v>5124</v>
      </c>
      <c r="K2668" s="1" t="s">
        <v>5136</v>
      </c>
      <c r="L2668" s="1" t="s">
        <v>1279</v>
      </c>
      <c r="M2668" s="36" t="s">
        <v>2014</v>
      </c>
      <c r="N2668" s="1" t="s">
        <v>1335</v>
      </c>
      <c r="O2668" s="1" t="s">
        <v>1286</v>
      </c>
      <c r="P2668" s="34" t="str">
        <f t="shared" si="53"/>
        <v>F010</v>
      </c>
      <c r="Q2668" s="1" t="s">
        <v>1138</v>
      </c>
      <c r="S2668" s="16">
        <v>20</v>
      </c>
      <c r="T2668" s="1" t="s">
        <v>2299</v>
      </c>
      <c r="U2668" s="1" t="s">
        <v>1334</v>
      </c>
      <c r="V2668" s="1" t="s">
        <v>1377</v>
      </c>
      <c r="Y2668" s="1">
        <v>4264.8999999999996</v>
      </c>
      <c r="AB2668" s="1">
        <v>2476.0300000000002</v>
      </c>
    </row>
    <row r="2669" spans="2:28" x14ac:dyDescent="0.2">
      <c r="B2669" s="30" t="s">
        <v>2294</v>
      </c>
      <c r="C2669" s="36"/>
      <c r="D2669" s="36"/>
      <c r="F2669" s="1" t="s">
        <v>1322</v>
      </c>
      <c r="G2669" s="30" t="s">
        <v>5124</v>
      </c>
      <c r="K2669" s="1" t="s">
        <v>5137</v>
      </c>
      <c r="L2669" s="1" t="s">
        <v>1279</v>
      </c>
      <c r="M2669" s="36" t="s">
        <v>2014</v>
      </c>
      <c r="N2669" s="1" t="s">
        <v>1335</v>
      </c>
      <c r="O2669" s="1" t="s">
        <v>1286</v>
      </c>
      <c r="P2669" s="34" t="str">
        <f t="shared" si="53"/>
        <v>F010</v>
      </c>
      <c r="Q2669" s="1" t="s">
        <v>1138</v>
      </c>
      <c r="S2669" s="16">
        <v>20</v>
      </c>
      <c r="T2669" s="1" t="s">
        <v>2299</v>
      </c>
      <c r="U2669" s="1" t="s">
        <v>1334</v>
      </c>
      <c r="V2669" s="1" t="s">
        <v>1377</v>
      </c>
      <c r="Y2669" s="1">
        <v>4264.8999999999996</v>
      </c>
      <c r="AB2669" s="1">
        <v>2476.0300000000002</v>
      </c>
    </row>
    <row r="2670" spans="2:28" x14ac:dyDescent="0.2">
      <c r="B2670" s="30" t="s">
        <v>2294</v>
      </c>
      <c r="C2670" s="36"/>
      <c r="D2670" s="36"/>
      <c r="F2670" s="1" t="s">
        <v>1322</v>
      </c>
      <c r="G2670" s="30" t="s">
        <v>5124</v>
      </c>
      <c r="K2670" s="1" t="s">
        <v>5138</v>
      </c>
      <c r="L2670" s="1" t="s">
        <v>1279</v>
      </c>
      <c r="M2670" s="36" t="s">
        <v>2014</v>
      </c>
      <c r="N2670" s="1" t="s">
        <v>1335</v>
      </c>
      <c r="O2670" s="1" t="s">
        <v>1286</v>
      </c>
      <c r="P2670" s="34" t="str">
        <f t="shared" si="53"/>
        <v>F010</v>
      </c>
      <c r="Q2670" s="1" t="s">
        <v>1138</v>
      </c>
      <c r="S2670" s="16">
        <v>20</v>
      </c>
      <c r="T2670" s="1" t="s">
        <v>2299</v>
      </c>
      <c r="U2670" s="1" t="s">
        <v>1334</v>
      </c>
      <c r="V2670" s="1" t="s">
        <v>1377</v>
      </c>
      <c r="Y2670" s="1">
        <v>4264.8999999999996</v>
      </c>
      <c r="AB2670" s="1">
        <v>2476.0300000000002</v>
      </c>
    </row>
    <row r="2671" spans="2:28" x14ac:dyDescent="0.2">
      <c r="B2671" s="30" t="s">
        <v>2294</v>
      </c>
      <c r="C2671" s="36"/>
      <c r="D2671" s="36"/>
      <c r="F2671" s="1" t="s">
        <v>1322</v>
      </c>
      <c r="G2671" s="30" t="s">
        <v>5124</v>
      </c>
      <c r="K2671" s="1" t="s">
        <v>5139</v>
      </c>
      <c r="L2671" s="1" t="s">
        <v>1279</v>
      </c>
      <c r="M2671" s="36" t="s">
        <v>2014</v>
      </c>
      <c r="N2671" s="1" t="s">
        <v>1335</v>
      </c>
      <c r="O2671" s="1" t="s">
        <v>1286</v>
      </c>
      <c r="P2671" s="34" t="str">
        <f t="shared" si="53"/>
        <v>F010</v>
      </c>
      <c r="Q2671" s="1" t="s">
        <v>1138</v>
      </c>
      <c r="S2671" s="16">
        <v>20</v>
      </c>
      <c r="T2671" s="1" t="s">
        <v>2299</v>
      </c>
      <c r="U2671" s="1" t="s">
        <v>1334</v>
      </c>
      <c r="V2671" s="1" t="s">
        <v>1377</v>
      </c>
      <c r="Y2671" s="1">
        <v>4264.8999999999996</v>
      </c>
      <c r="AB2671" s="1">
        <v>2476.0300000000002</v>
      </c>
    </row>
    <row r="2672" spans="2:28" x14ac:dyDescent="0.2">
      <c r="B2672" s="30" t="s">
        <v>2294</v>
      </c>
      <c r="C2672" s="36"/>
      <c r="D2672" s="36"/>
      <c r="F2672" s="1" t="s">
        <v>1322</v>
      </c>
      <c r="G2672" s="30" t="s">
        <v>5124</v>
      </c>
      <c r="K2672" s="1" t="s">
        <v>5140</v>
      </c>
      <c r="L2672" s="1" t="s">
        <v>1279</v>
      </c>
      <c r="M2672" s="36" t="s">
        <v>2014</v>
      </c>
      <c r="N2672" s="1" t="s">
        <v>1335</v>
      </c>
      <c r="O2672" s="1" t="s">
        <v>1286</v>
      </c>
      <c r="P2672" s="34" t="str">
        <f t="shared" ref="P2672:P2736" si="54">+LEFT(Q2672,4)</f>
        <v>F010</v>
      </c>
      <c r="Q2672" s="1" t="s">
        <v>1138</v>
      </c>
      <c r="S2672" s="16">
        <v>20</v>
      </c>
      <c r="T2672" s="1" t="s">
        <v>2299</v>
      </c>
      <c r="U2672" s="1" t="s">
        <v>1334</v>
      </c>
      <c r="V2672" s="1" t="s">
        <v>1377</v>
      </c>
      <c r="Y2672" s="1">
        <v>4264.8999999999996</v>
      </c>
      <c r="AB2672" s="1">
        <v>2476.0300000000002</v>
      </c>
    </row>
    <row r="2673" spans="2:28" x14ac:dyDescent="0.2">
      <c r="B2673" s="30" t="s">
        <v>2294</v>
      </c>
      <c r="C2673" s="36"/>
      <c r="D2673" s="36"/>
      <c r="F2673" s="1" t="s">
        <v>1322</v>
      </c>
      <c r="G2673" s="30" t="s">
        <v>5124</v>
      </c>
      <c r="K2673" s="1" t="s">
        <v>5141</v>
      </c>
      <c r="L2673" s="1" t="s">
        <v>1279</v>
      </c>
      <c r="M2673" s="36" t="s">
        <v>2014</v>
      </c>
      <c r="N2673" s="1" t="s">
        <v>1335</v>
      </c>
      <c r="O2673" s="1" t="s">
        <v>1286</v>
      </c>
      <c r="P2673" s="34" t="str">
        <f t="shared" si="54"/>
        <v>F010</v>
      </c>
      <c r="Q2673" s="1" t="s">
        <v>1138</v>
      </c>
      <c r="S2673" s="16">
        <v>20</v>
      </c>
      <c r="T2673" s="1" t="s">
        <v>2299</v>
      </c>
      <c r="U2673" s="1" t="s">
        <v>1334</v>
      </c>
      <c r="V2673" s="1" t="s">
        <v>1377</v>
      </c>
      <c r="Y2673" s="1">
        <v>4264.8999999999996</v>
      </c>
      <c r="AB2673" s="1">
        <v>2476.0300000000002</v>
      </c>
    </row>
    <row r="2674" spans="2:28" x14ac:dyDescent="0.2">
      <c r="B2674" s="30" t="s">
        <v>2294</v>
      </c>
      <c r="C2674" s="36"/>
      <c r="D2674" s="36"/>
      <c r="F2674" s="1" t="s">
        <v>1322</v>
      </c>
      <c r="G2674" s="30" t="s">
        <v>5124</v>
      </c>
      <c r="K2674" s="1" t="s">
        <v>5142</v>
      </c>
      <c r="L2674" s="1" t="s">
        <v>1279</v>
      </c>
      <c r="M2674" s="36" t="s">
        <v>2014</v>
      </c>
      <c r="N2674" s="1" t="s">
        <v>1335</v>
      </c>
      <c r="O2674" s="1" t="s">
        <v>1286</v>
      </c>
      <c r="P2674" s="34" t="str">
        <f t="shared" si="54"/>
        <v>F010</v>
      </c>
      <c r="Q2674" s="1" t="s">
        <v>1138</v>
      </c>
      <c r="S2674" s="16">
        <v>20</v>
      </c>
      <c r="T2674" s="1" t="s">
        <v>2299</v>
      </c>
      <c r="U2674" s="1" t="s">
        <v>1334</v>
      </c>
      <c r="V2674" s="1" t="s">
        <v>1377</v>
      </c>
      <c r="Y2674" s="1">
        <v>4264.8999999999996</v>
      </c>
      <c r="AB2674" s="1">
        <v>2476.0300000000002</v>
      </c>
    </row>
    <row r="2675" spans="2:28" x14ac:dyDescent="0.2">
      <c r="B2675" s="30" t="s">
        <v>2294</v>
      </c>
      <c r="C2675" s="36"/>
      <c r="D2675" s="36"/>
      <c r="F2675" s="1" t="s">
        <v>1322</v>
      </c>
      <c r="G2675" s="30" t="s">
        <v>5124</v>
      </c>
      <c r="K2675" s="1" t="s">
        <v>5143</v>
      </c>
      <c r="L2675" s="1" t="s">
        <v>1279</v>
      </c>
      <c r="M2675" s="36" t="s">
        <v>2014</v>
      </c>
      <c r="N2675" s="1" t="s">
        <v>1335</v>
      </c>
      <c r="O2675" s="1" t="s">
        <v>1286</v>
      </c>
      <c r="P2675" s="34" t="str">
        <f t="shared" si="54"/>
        <v>F010</v>
      </c>
      <c r="Q2675" s="1" t="s">
        <v>1138</v>
      </c>
      <c r="S2675" s="16">
        <v>20</v>
      </c>
      <c r="T2675" s="1" t="s">
        <v>2299</v>
      </c>
      <c r="U2675" s="1" t="s">
        <v>1334</v>
      </c>
      <c r="V2675" s="1" t="s">
        <v>1377</v>
      </c>
      <c r="Y2675" s="1">
        <v>4264.8999999999996</v>
      </c>
      <c r="AB2675" s="1">
        <v>2476.0300000000002</v>
      </c>
    </row>
    <row r="2676" spans="2:28" x14ac:dyDescent="0.2">
      <c r="B2676" s="30" t="s">
        <v>2294</v>
      </c>
      <c r="C2676" s="36"/>
      <c r="D2676" s="36"/>
      <c r="F2676" s="1" t="s">
        <v>1322</v>
      </c>
      <c r="G2676" s="30" t="s">
        <v>5124</v>
      </c>
      <c r="K2676" s="1" t="s">
        <v>5144</v>
      </c>
      <c r="L2676" s="1" t="s">
        <v>1279</v>
      </c>
      <c r="M2676" s="36" t="s">
        <v>2014</v>
      </c>
      <c r="N2676" s="1" t="s">
        <v>1335</v>
      </c>
      <c r="O2676" s="1" t="s">
        <v>1286</v>
      </c>
      <c r="P2676" s="34" t="str">
        <f t="shared" si="54"/>
        <v>F010</v>
      </c>
      <c r="Q2676" s="1" t="s">
        <v>1138</v>
      </c>
      <c r="S2676" s="16">
        <v>20</v>
      </c>
      <c r="T2676" s="1" t="s">
        <v>2299</v>
      </c>
      <c r="U2676" s="1" t="s">
        <v>1334</v>
      </c>
      <c r="V2676" s="1" t="s">
        <v>1377</v>
      </c>
      <c r="Y2676" s="1">
        <v>4264.8999999999996</v>
      </c>
      <c r="AB2676" s="1">
        <v>2476.0300000000002</v>
      </c>
    </row>
    <row r="2677" spans="2:28" x14ac:dyDescent="0.2">
      <c r="B2677" s="30" t="s">
        <v>2294</v>
      </c>
      <c r="C2677" s="36"/>
      <c r="D2677" s="36"/>
      <c r="F2677" s="1" t="s">
        <v>1322</v>
      </c>
      <c r="G2677" s="30" t="s">
        <v>5124</v>
      </c>
      <c r="K2677" s="1" t="s">
        <v>5145</v>
      </c>
      <c r="L2677" s="1" t="s">
        <v>1279</v>
      </c>
      <c r="M2677" s="36" t="s">
        <v>2014</v>
      </c>
      <c r="N2677" s="1" t="s">
        <v>1335</v>
      </c>
      <c r="O2677" s="1" t="s">
        <v>1286</v>
      </c>
      <c r="P2677" s="34" t="str">
        <f t="shared" si="54"/>
        <v>F010</v>
      </c>
      <c r="Q2677" s="1" t="s">
        <v>1138</v>
      </c>
      <c r="S2677" s="16">
        <v>20</v>
      </c>
      <c r="T2677" s="1" t="s">
        <v>2299</v>
      </c>
      <c r="U2677" s="1" t="s">
        <v>1334</v>
      </c>
      <c r="V2677" s="1" t="s">
        <v>1377</v>
      </c>
      <c r="Y2677" s="1">
        <v>4264.8999999999996</v>
      </c>
      <c r="AB2677" s="1">
        <v>2476.0300000000002</v>
      </c>
    </row>
    <row r="2678" spans="2:28" x14ac:dyDescent="0.2">
      <c r="B2678" s="30" t="s">
        <v>2294</v>
      </c>
      <c r="C2678" s="36"/>
      <c r="D2678" s="36"/>
      <c r="F2678" s="1" t="s">
        <v>1322</v>
      </c>
      <c r="G2678" s="30" t="s">
        <v>5124</v>
      </c>
      <c r="K2678" s="1" t="s">
        <v>5146</v>
      </c>
      <c r="L2678" s="1" t="s">
        <v>1279</v>
      </c>
      <c r="M2678" s="36" t="s">
        <v>2014</v>
      </c>
      <c r="N2678" s="1" t="s">
        <v>1335</v>
      </c>
      <c r="O2678" s="1" t="s">
        <v>1286</v>
      </c>
      <c r="P2678" s="34" t="str">
        <f t="shared" si="54"/>
        <v>F010</v>
      </c>
      <c r="Q2678" s="1" t="s">
        <v>1138</v>
      </c>
      <c r="S2678" s="16">
        <v>20</v>
      </c>
      <c r="T2678" s="1" t="s">
        <v>2299</v>
      </c>
      <c r="U2678" s="1" t="s">
        <v>1334</v>
      </c>
      <c r="V2678" s="1" t="s">
        <v>1377</v>
      </c>
      <c r="Y2678" s="1">
        <v>4264.8999999999996</v>
      </c>
      <c r="AB2678" s="1">
        <v>2476.0300000000002</v>
      </c>
    </row>
    <row r="2679" spans="2:28" x14ac:dyDescent="0.2">
      <c r="B2679" s="30" t="s">
        <v>2294</v>
      </c>
      <c r="C2679" s="36"/>
      <c r="D2679" s="36"/>
      <c r="F2679" s="1" t="s">
        <v>1322</v>
      </c>
      <c r="G2679" s="30" t="s">
        <v>5124</v>
      </c>
      <c r="K2679" s="1" t="s">
        <v>5147</v>
      </c>
      <c r="L2679" s="1" t="s">
        <v>1279</v>
      </c>
      <c r="M2679" s="36" t="s">
        <v>2014</v>
      </c>
      <c r="N2679" s="1" t="s">
        <v>1335</v>
      </c>
      <c r="O2679" s="1" t="s">
        <v>1286</v>
      </c>
      <c r="P2679" s="34" t="str">
        <f t="shared" si="54"/>
        <v>F010</v>
      </c>
      <c r="Q2679" s="1" t="s">
        <v>1138</v>
      </c>
      <c r="S2679" s="16">
        <v>20</v>
      </c>
      <c r="T2679" s="1" t="s">
        <v>2299</v>
      </c>
      <c r="U2679" s="1" t="s">
        <v>1334</v>
      </c>
      <c r="V2679" s="1" t="s">
        <v>1377</v>
      </c>
      <c r="Y2679" s="1">
        <v>4264.8999999999996</v>
      </c>
      <c r="AB2679" s="1">
        <v>2476.0300000000002</v>
      </c>
    </row>
    <row r="2680" spans="2:28" x14ac:dyDescent="0.2">
      <c r="B2680" s="30" t="s">
        <v>2294</v>
      </c>
      <c r="C2680" s="36"/>
      <c r="D2680" s="36"/>
      <c r="F2680" s="1" t="s">
        <v>1322</v>
      </c>
      <c r="G2680" s="30" t="s">
        <v>5124</v>
      </c>
      <c r="K2680" s="1" t="s">
        <v>5148</v>
      </c>
      <c r="L2680" s="1" t="s">
        <v>1279</v>
      </c>
      <c r="M2680" s="36" t="s">
        <v>2014</v>
      </c>
      <c r="N2680" s="1" t="s">
        <v>1335</v>
      </c>
      <c r="O2680" s="1" t="s">
        <v>1286</v>
      </c>
      <c r="P2680" s="34" t="str">
        <f t="shared" si="54"/>
        <v>F010</v>
      </c>
      <c r="Q2680" s="1" t="s">
        <v>1138</v>
      </c>
      <c r="S2680" s="16">
        <v>20</v>
      </c>
      <c r="T2680" s="1" t="s">
        <v>2299</v>
      </c>
      <c r="U2680" s="1" t="s">
        <v>1334</v>
      </c>
      <c r="V2680" s="1" t="s">
        <v>1377</v>
      </c>
      <c r="Y2680" s="1">
        <v>4264.8999999999996</v>
      </c>
      <c r="AB2680" s="1">
        <v>2476.0300000000002</v>
      </c>
    </row>
    <row r="2681" spans="2:28" x14ac:dyDescent="0.2">
      <c r="B2681" s="30" t="s">
        <v>2294</v>
      </c>
      <c r="C2681" s="36"/>
      <c r="D2681" s="36"/>
      <c r="F2681" s="1" t="s">
        <v>1322</v>
      </c>
      <c r="G2681" s="30" t="s">
        <v>5124</v>
      </c>
      <c r="K2681" s="1" t="s">
        <v>5149</v>
      </c>
      <c r="L2681" s="1" t="s">
        <v>1279</v>
      </c>
      <c r="M2681" s="36" t="s">
        <v>2014</v>
      </c>
      <c r="N2681" s="1" t="s">
        <v>1335</v>
      </c>
      <c r="O2681" s="1" t="s">
        <v>1286</v>
      </c>
      <c r="P2681" s="34" t="str">
        <f t="shared" si="54"/>
        <v>F010</v>
      </c>
      <c r="Q2681" s="1" t="s">
        <v>1138</v>
      </c>
      <c r="S2681" s="16">
        <v>20</v>
      </c>
      <c r="T2681" s="1" t="s">
        <v>2299</v>
      </c>
      <c r="U2681" s="1" t="s">
        <v>1334</v>
      </c>
      <c r="V2681" s="1" t="s">
        <v>1377</v>
      </c>
      <c r="Y2681" s="1">
        <v>4264.8999999999996</v>
      </c>
      <c r="AB2681" s="1">
        <v>2476.0300000000002</v>
      </c>
    </row>
    <row r="2682" spans="2:28" x14ac:dyDescent="0.2">
      <c r="B2682" s="30" t="s">
        <v>2294</v>
      </c>
      <c r="C2682" s="36"/>
      <c r="D2682" s="36"/>
      <c r="F2682" s="1" t="s">
        <v>1322</v>
      </c>
      <c r="G2682" s="30" t="s">
        <v>5124</v>
      </c>
      <c r="K2682" s="1" t="s">
        <v>5150</v>
      </c>
      <c r="L2682" s="1" t="s">
        <v>1279</v>
      </c>
      <c r="M2682" s="36" t="s">
        <v>2014</v>
      </c>
      <c r="N2682" s="1" t="s">
        <v>1335</v>
      </c>
      <c r="O2682" s="1" t="s">
        <v>1286</v>
      </c>
      <c r="P2682" s="34" t="str">
        <f t="shared" si="54"/>
        <v>F010</v>
      </c>
      <c r="Q2682" s="1" t="s">
        <v>1138</v>
      </c>
      <c r="S2682" s="16">
        <v>20</v>
      </c>
      <c r="T2682" s="1" t="s">
        <v>2299</v>
      </c>
      <c r="U2682" s="1" t="s">
        <v>1334</v>
      </c>
      <c r="V2682" s="1" t="s">
        <v>1377</v>
      </c>
      <c r="Y2682" s="1">
        <v>4264.8999999999996</v>
      </c>
      <c r="AB2682" s="1">
        <v>2476.0300000000002</v>
      </c>
    </row>
    <row r="2683" spans="2:28" x14ac:dyDescent="0.2">
      <c r="B2683" s="30" t="s">
        <v>2294</v>
      </c>
      <c r="C2683" s="36"/>
      <c r="D2683" s="36"/>
      <c r="F2683" s="1" t="s">
        <v>1322</v>
      </c>
      <c r="G2683" s="30" t="s">
        <v>5124</v>
      </c>
      <c r="K2683" s="1" t="s">
        <v>5151</v>
      </c>
      <c r="L2683" s="1" t="s">
        <v>1279</v>
      </c>
      <c r="M2683" s="36" t="s">
        <v>2014</v>
      </c>
      <c r="N2683" s="1" t="s">
        <v>1335</v>
      </c>
      <c r="O2683" s="1" t="s">
        <v>1286</v>
      </c>
      <c r="P2683" s="34" t="str">
        <f t="shared" si="54"/>
        <v>F010</v>
      </c>
      <c r="Q2683" s="1" t="s">
        <v>1138</v>
      </c>
      <c r="S2683" s="16">
        <v>20</v>
      </c>
      <c r="T2683" s="1" t="s">
        <v>2299</v>
      </c>
      <c r="U2683" s="1" t="s">
        <v>1334</v>
      </c>
      <c r="V2683" s="1" t="s">
        <v>1377</v>
      </c>
      <c r="Y2683" s="1">
        <v>4264.8999999999996</v>
      </c>
      <c r="AB2683" s="1">
        <v>2476.0300000000002</v>
      </c>
    </row>
    <row r="2684" spans="2:28" x14ac:dyDescent="0.2">
      <c r="B2684" s="30" t="s">
        <v>2294</v>
      </c>
      <c r="C2684" s="36"/>
      <c r="D2684" s="36"/>
      <c r="F2684" s="1" t="s">
        <v>1322</v>
      </c>
      <c r="G2684" s="30" t="s">
        <v>5124</v>
      </c>
      <c r="K2684" s="1" t="s">
        <v>5152</v>
      </c>
      <c r="L2684" s="1" t="s">
        <v>1279</v>
      </c>
      <c r="M2684" s="36" t="s">
        <v>2014</v>
      </c>
      <c r="N2684" s="1" t="s">
        <v>1335</v>
      </c>
      <c r="O2684" s="1" t="s">
        <v>1286</v>
      </c>
      <c r="P2684" s="34" t="str">
        <f t="shared" si="54"/>
        <v>F010</v>
      </c>
      <c r="Q2684" s="1" t="s">
        <v>1138</v>
      </c>
      <c r="S2684" s="16">
        <v>20</v>
      </c>
      <c r="T2684" s="1" t="s">
        <v>2299</v>
      </c>
      <c r="U2684" s="1" t="s">
        <v>1334</v>
      </c>
      <c r="V2684" s="1" t="s">
        <v>1377</v>
      </c>
      <c r="Y2684" s="1">
        <v>4264.8999999999996</v>
      </c>
      <c r="AB2684" s="1">
        <v>2476.0300000000002</v>
      </c>
    </row>
    <row r="2685" spans="2:28" x14ac:dyDescent="0.2">
      <c r="B2685" s="30" t="s">
        <v>2294</v>
      </c>
      <c r="C2685" s="36"/>
      <c r="D2685" s="36"/>
      <c r="F2685" s="1" t="s">
        <v>1322</v>
      </c>
      <c r="G2685" s="30" t="s">
        <v>5124</v>
      </c>
      <c r="K2685" s="1" t="s">
        <v>5153</v>
      </c>
      <c r="L2685" s="1" t="s">
        <v>1279</v>
      </c>
      <c r="M2685" s="36" t="s">
        <v>2014</v>
      </c>
      <c r="N2685" s="1" t="s">
        <v>1335</v>
      </c>
      <c r="O2685" s="1" t="s">
        <v>1286</v>
      </c>
      <c r="P2685" s="34" t="str">
        <f t="shared" si="54"/>
        <v>F010</v>
      </c>
      <c r="Q2685" s="1" t="s">
        <v>1138</v>
      </c>
      <c r="S2685" s="16">
        <v>20</v>
      </c>
      <c r="T2685" s="1" t="s">
        <v>2299</v>
      </c>
      <c r="U2685" s="1" t="s">
        <v>1334</v>
      </c>
      <c r="V2685" s="1" t="s">
        <v>1377</v>
      </c>
      <c r="Y2685" s="1">
        <v>4264.8999999999996</v>
      </c>
      <c r="AB2685" s="1">
        <v>2476.0300000000002</v>
      </c>
    </row>
    <row r="2686" spans="2:28" x14ac:dyDescent="0.2">
      <c r="B2686" s="30" t="s">
        <v>2294</v>
      </c>
      <c r="C2686" s="36"/>
      <c r="D2686" s="36"/>
      <c r="F2686" s="1" t="s">
        <v>1322</v>
      </c>
      <c r="G2686" s="30" t="s">
        <v>5124</v>
      </c>
      <c r="K2686" s="1" t="s">
        <v>5154</v>
      </c>
      <c r="L2686" s="1" t="s">
        <v>1279</v>
      </c>
      <c r="M2686" s="36" t="s">
        <v>2014</v>
      </c>
      <c r="N2686" s="1" t="s">
        <v>1335</v>
      </c>
      <c r="O2686" s="1" t="s">
        <v>1286</v>
      </c>
      <c r="P2686" s="34" t="str">
        <f t="shared" si="54"/>
        <v>F010</v>
      </c>
      <c r="Q2686" s="1" t="s">
        <v>1138</v>
      </c>
      <c r="S2686" s="16">
        <v>20</v>
      </c>
      <c r="T2686" s="1" t="s">
        <v>2299</v>
      </c>
      <c r="U2686" s="1" t="s">
        <v>1334</v>
      </c>
      <c r="V2686" s="1" t="s">
        <v>1377</v>
      </c>
      <c r="Y2686" s="1">
        <v>4264.8999999999996</v>
      </c>
      <c r="AB2686" s="1">
        <v>2476.0300000000002</v>
      </c>
    </row>
    <row r="2687" spans="2:28" x14ac:dyDescent="0.2">
      <c r="B2687" s="30" t="s">
        <v>2294</v>
      </c>
      <c r="C2687" s="36"/>
      <c r="D2687" s="36"/>
      <c r="F2687" s="1" t="s">
        <v>1322</v>
      </c>
      <c r="G2687" s="30" t="s">
        <v>5124</v>
      </c>
      <c r="K2687" s="1" t="s">
        <v>5155</v>
      </c>
      <c r="L2687" s="1" t="s">
        <v>1279</v>
      </c>
      <c r="M2687" s="36" t="s">
        <v>2014</v>
      </c>
      <c r="N2687" s="1" t="s">
        <v>1335</v>
      </c>
      <c r="O2687" s="1" t="s">
        <v>1286</v>
      </c>
      <c r="P2687" s="34" t="str">
        <f t="shared" si="54"/>
        <v>F010</v>
      </c>
      <c r="Q2687" s="1" t="s">
        <v>1138</v>
      </c>
      <c r="S2687" s="16">
        <v>20</v>
      </c>
      <c r="T2687" s="1" t="s">
        <v>2299</v>
      </c>
      <c r="U2687" s="1" t="s">
        <v>1334</v>
      </c>
      <c r="V2687" s="1" t="s">
        <v>1377</v>
      </c>
      <c r="Y2687" s="1">
        <v>4264.8999999999996</v>
      </c>
      <c r="AB2687" s="1">
        <v>2476.0300000000002</v>
      </c>
    </row>
    <row r="2688" spans="2:28" x14ac:dyDescent="0.2">
      <c r="B2688" s="30" t="s">
        <v>2294</v>
      </c>
      <c r="C2688" s="36"/>
      <c r="D2688" s="36"/>
      <c r="F2688" s="1" t="s">
        <v>1322</v>
      </c>
      <c r="G2688" s="30" t="s">
        <v>5124</v>
      </c>
      <c r="K2688" s="1" t="s">
        <v>5156</v>
      </c>
      <c r="L2688" s="1" t="s">
        <v>1279</v>
      </c>
      <c r="M2688" s="36" t="s">
        <v>2014</v>
      </c>
      <c r="N2688" s="1" t="s">
        <v>1335</v>
      </c>
      <c r="O2688" s="1" t="s">
        <v>1286</v>
      </c>
      <c r="P2688" s="34" t="str">
        <f t="shared" si="54"/>
        <v>F010</v>
      </c>
      <c r="Q2688" s="1" t="s">
        <v>1138</v>
      </c>
      <c r="S2688" s="16">
        <v>20</v>
      </c>
      <c r="T2688" s="1" t="s">
        <v>2299</v>
      </c>
      <c r="U2688" s="1" t="s">
        <v>1334</v>
      </c>
      <c r="V2688" s="1" t="s">
        <v>1377</v>
      </c>
      <c r="Y2688" s="1">
        <v>4264.8999999999996</v>
      </c>
      <c r="AB2688" s="1">
        <v>2476.0300000000002</v>
      </c>
    </row>
    <row r="2689" spans="2:28" x14ac:dyDescent="0.2">
      <c r="B2689" s="30" t="s">
        <v>2294</v>
      </c>
      <c r="C2689" s="36"/>
      <c r="D2689" s="36"/>
      <c r="F2689" s="1" t="s">
        <v>1322</v>
      </c>
      <c r="G2689" s="30" t="s">
        <v>5124</v>
      </c>
      <c r="K2689" s="1" t="s">
        <v>5157</v>
      </c>
      <c r="L2689" s="1" t="s">
        <v>1279</v>
      </c>
      <c r="M2689" s="36" t="s">
        <v>2014</v>
      </c>
      <c r="N2689" s="1" t="s">
        <v>1335</v>
      </c>
      <c r="O2689" s="1" t="s">
        <v>1286</v>
      </c>
      <c r="P2689" s="34" t="str">
        <f t="shared" si="54"/>
        <v>F010</v>
      </c>
      <c r="Q2689" s="1" t="s">
        <v>1138</v>
      </c>
      <c r="S2689" s="16">
        <v>20</v>
      </c>
      <c r="T2689" s="1" t="s">
        <v>2299</v>
      </c>
      <c r="U2689" s="1" t="s">
        <v>1334</v>
      </c>
      <c r="V2689" s="1" t="s">
        <v>1377</v>
      </c>
      <c r="Y2689" s="1">
        <v>4264.8999999999996</v>
      </c>
      <c r="AB2689" s="1">
        <v>2476.0300000000002</v>
      </c>
    </row>
    <row r="2690" spans="2:28" x14ac:dyDescent="0.2">
      <c r="B2690" s="30" t="s">
        <v>2294</v>
      </c>
      <c r="C2690" s="36"/>
      <c r="D2690" s="36"/>
      <c r="F2690" s="1" t="s">
        <v>1322</v>
      </c>
      <c r="G2690" s="30" t="s">
        <v>5124</v>
      </c>
      <c r="K2690" s="1" t="s">
        <v>5158</v>
      </c>
      <c r="L2690" s="1" t="s">
        <v>1279</v>
      </c>
      <c r="M2690" s="36" t="s">
        <v>2014</v>
      </c>
      <c r="N2690" s="1" t="s">
        <v>1335</v>
      </c>
      <c r="O2690" s="1" t="s">
        <v>1286</v>
      </c>
      <c r="P2690" s="34" t="str">
        <f t="shared" si="54"/>
        <v>F010</v>
      </c>
      <c r="Q2690" s="1" t="s">
        <v>1138</v>
      </c>
      <c r="S2690" s="16">
        <v>20</v>
      </c>
      <c r="T2690" s="1" t="s">
        <v>2299</v>
      </c>
      <c r="U2690" s="1" t="s">
        <v>1334</v>
      </c>
      <c r="V2690" s="1" t="s">
        <v>1377</v>
      </c>
      <c r="Y2690" s="1">
        <v>4264.8999999999996</v>
      </c>
      <c r="AB2690" s="1">
        <v>2476.0300000000002</v>
      </c>
    </row>
    <row r="2691" spans="2:28" x14ac:dyDescent="0.2">
      <c r="B2691" s="30" t="s">
        <v>2294</v>
      </c>
      <c r="C2691" s="36"/>
      <c r="D2691" s="36"/>
      <c r="F2691" s="1" t="s">
        <v>1322</v>
      </c>
      <c r="G2691" s="30" t="s">
        <v>5124</v>
      </c>
      <c r="K2691" s="1" t="s">
        <v>5159</v>
      </c>
      <c r="L2691" s="1" t="s">
        <v>1279</v>
      </c>
      <c r="M2691" s="36" t="s">
        <v>2014</v>
      </c>
      <c r="N2691" s="1" t="s">
        <v>1335</v>
      </c>
      <c r="O2691" s="1" t="s">
        <v>1286</v>
      </c>
      <c r="P2691" s="34" t="str">
        <f t="shared" si="54"/>
        <v>F010</v>
      </c>
      <c r="Q2691" s="1" t="s">
        <v>1138</v>
      </c>
      <c r="S2691" s="16">
        <v>20</v>
      </c>
      <c r="T2691" s="1" t="s">
        <v>2299</v>
      </c>
      <c r="U2691" s="1" t="s">
        <v>1334</v>
      </c>
      <c r="V2691" s="1" t="s">
        <v>1377</v>
      </c>
      <c r="Y2691" s="1">
        <v>4264.8999999999996</v>
      </c>
      <c r="AB2691" s="1">
        <v>2476.0300000000002</v>
      </c>
    </row>
    <row r="2692" spans="2:28" x14ac:dyDescent="0.2">
      <c r="B2692" s="30" t="s">
        <v>2294</v>
      </c>
      <c r="C2692" s="36"/>
      <c r="D2692" s="36"/>
      <c r="F2692" s="1" t="s">
        <v>1322</v>
      </c>
      <c r="G2692" s="30" t="s">
        <v>5124</v>
      </c>
      <c r="K2692" s="1" t="s">
        <v>5160</v>
      </c>
      <c r="L2692" s="1" t="s">
        <v>1279</v>
      </c>
      <c r="M2692" s="36" t="s">
        <v>2014</v>
      </c>
      <c r="N2692" s="1" t="s">
        <v>1335</v>
      </c>
      <c r="O2692" s="1" t="s">
        <v>1286</v>
      </c>
      <c r="P2692" s="34" t="str">
        <f t="shared" si="54"/>
        <v>F010</v>
      </c>
      <c r="Q2692" s="1" t="s">
        <v>1138</v>
      </c>
      <c r="S2692" s="16">
        <v>20</v>
      </c>
      <c r="T2692" s="1" t="s">
        <v>2299</v>
      </c>
      <c r="U2692" s="1" t="s">
        <v>1334</v>
      </c>
      <c r="V2692" s="1" t="s">
        <v>1377</v>
      </c>
      <c r="Y2692" s="1">
        <v>4264.8999999999996</v>
      </c>
      <c r="AB2692" s="1">
        <v>2476.0300000000002</v>
      </c>
    </row>
    <row r="2693" spans="2:28" x14ac:dyDescent="0.2">
      <c r="B2693" s="30" t="s">
        <v>2294</v>
      </c>
      <c r="C2693" s="36"/>
      <c r="D2693" s="36"/>
      <c r="F2693" s="1" t="s">
        <v>1322</v>
      </c>
      <c r="G2693" s="30" t="s">
        <v>5124</v>
      </c>
      <c r="K2693" s="1" t="s">
        <v>5161</v>
      </c>
      <c r="L2693" s="1" t="s">
        <v>1279</v>
      </c>
      <c r="M2693" s="36" t="s">
        <v>2014</v>
      </c>
      <c r="N2693" s="1" t="s">
        <v>1335</v>
      </c>
      <c r="O2693" s="1" t="s">
        <v>1286</v>
      </c>
      <c r="P2693" s="34" t="str">
        <f t="shared" si="54"/>
        <v>F010</v>
      </c>
      <c r="Q2693" s="1" t="s">
        <v>1138</v>
      </c>
      <c r="S2693" s="16">
        <v>20</v>
      </c>
      <c r="T2693" s="1" t="s">
        <v>2299</v>
      </c>
      <c r="U2693" s="1" t="s">
        <v>1334</v>
      </c>
      <c r="V2693" s="1" t="s">
        <v>1377</v>
      </c>
      <c r="Y2693" s="1">
        <v>4264.8999999999996</v>
      </c>
      <c r="AB2693" s="1">
        <v>2476.0300000000002</v>
      </c>
    </row>
    <row r="2694" spans="2:28" x14ac:dyDescent="0.2">
      <c r="B2694" s="30" t="s">
        <v>2294</v>
      </c>
      <c r="C2694" s="36"/>
      <c r="D2694" s="36"/>
      <c r="F2694" s="1" t="s">
        <v>1322</v>
      </c>
      <c r="G2694" s="30" t="s">
        <v>5124</v>
      </c>
      <c r="K2694" s="1" t="s">
        <v>5162</v>
      </c>
      <c r="L2694" s="1" t="s">
        <v>1279</v>
      </c>
      <c r="M2694" s="36" t="s">
        <v>2014</v>
      </c>
      <c r="N2694" s="1" t="s">
        <v>1335</v>
      </c>
      <c r="O2694" s="1" t="s">
        <v>1286</v>
      </c>
      <c r="P2694" s="34" t="str">
        <f t="shared" si="54"/>
        <v>F010</v>
      </c>
      <c r="Q2694" s="1" t="s">
        <v>1138</v>
      </c>
      <c r="S2694" s="16">
        <v>20</v>
      </c>
      <c r="T2694" s="1" t="s">
        <v>2299</v>
      </c>
      <c r="U2694" s="1" t="s">
        <v>1334</v>
      </c>
      <c r="V2694" s="1" t="s">
        <v>1377</v>
      </c>
      <c r="Y2694" s="1">
        <v>4264.8999999999996</v>
      </c>
      <c r="AB2694" s="1">
        <v>2476.0300000000002</v>
      </c>
    </row>
    <row r="2695" spans="2:28" x14ac:dyDescent="0.2">
      <c r="B2695" s="30" t="s">
        <v>2294</v>
      </c>
      <c r="C2695" s="36"/>
      <c r="D2695" s="36"/>
      <c r="F2695" s="1" t="s">
        <v>1322</v>
      </c>
      <c r="G2695" s="30" t="s">
        <v>5124</v>
      </c>
      <c r="K2695" s="1" t="s">
        <v>5163</v>
      </c>
      <c r="L2695" s="1" t="s">
        <v>1279</v>
      </c>
      <c r="M2695" s="36" t="s">
        <v>2014</v>
      </c>
      <c r="N2695" s="1" t="s">
        <v>1335</v>
      </c>
      <c r="O2695" s="1" t="s">
        <v>1286</v>
      </c>
      <c r="P2695" s="34" t="str">
        <f t="shared" si="54"/>
        <v>F010</v>
      </c>
      <c r="Q2695" s="1" t="s">
        <v>1138</v>
      </c>
      <c r="S2695" s="16">
        <v>20</v>
      </c>
      <c r="T2695" s="1" t="s">
        <v>2299</v>
      </c>
      <c r="U2695" s="1" t="s">
        <v>1334</v>
      </c>
      <c r="V2695" s="1" t="s">
        <v>1377</v>
      </c>
      <c r="Y2695" s="1">
        <v>4264.8999999999996</v>
      </c>
      <c r="AB2695" s="1">
        <v>2476.0300000000002</v>
      </c>
    </row>
    <row r="2696" spans="2:28" x14ac:dyDescent="0.2">
      <c r="B2696" s="30" t="s">
        <v>2294</v>
      </c>
      <c r="C2696" s="36"/>
      <c r="D2696" s="36"/>
      <c r="F2696" s="1" t="s">
        <v>1322</v>
      </c>
      <c r="G2696" s="30" t="s">
        <v>5124</v>
      </c>
      <c r="K2696" s="1" t="s">
        <v>5164</v>
      </c>
      <c r="L2696" s="1" t="s">
        <v>1279</v>
      </c>
      <c r="M2696" s="36" t="s">
        <v>2014</v>
      </c>
      <c r="N2696" s="1" t="s">
        <v>1335</v>
      </c>
      <c r="O2696" s="1" t="s">
        <v>1286</v>
      </c>
      <c r="P2696" s="34" t="str">
        <f t="shared" si="54"/>
        <v>F010</v>
      </c>
      <c r="Q2696" s="1" t="s">
        <v>1138</v>
      </c>
      <c r="S2696" s="16">
        <v>20</v>
      </c>
      <c r="T2696" s="1" t="s">
        <v>2299</v>
      </c>
      <c r="U2696" s="1" t="s">
        <v>1334</v>
      </c>
      <c r="V2696" s="1" t="s">
        <v>1377</v>
      </c>
      <c r="Y2696" s="1">
        <v>4264.8999999999996</v>
      </c>
      <c r="AB2696" s="1">
        <v>2476.0300000000002</v>
      </c>
    </row>
    <row r="2697" spans="2:28" x14ac:dyDescent="0.2">
      <c r="B2697" s="30" t="s">
        <v>2294</v>
      </c>
      <c r="C2697" s="36"/>
      <c r="D2697" s="36"/>
      <c r="F2697" s="1" t="s">
        <v>1322</v>
      </c>
      <c r="G2697" s="30" t="s">
        <v>5124</v>
      </c>
      <c r="K2697" s="1" t="s">
        <v>5165</v>
      </c>
      <c r="L2697" s="1" t="s">
        <v>1279</v>
      </c>
      <c r="M2697" s="36" t="s">
        <v>2014</v>
      </c>
      <c r="N2697" s="1" t="s">
        <v>1335</v>
      </c>
      <c r="O2697" s="1" t="s">
        <v>1286</v>
      </c>
      <c r="P2697" s="34" t="str">
        <f t="shared" si="54"/>
        <v>F010</v>
      </c>
      <c r="Q2697" s="1" t="s">
        <v>1138</v>
      </c>
      <c r="S2697" s="16">
        <v>20</v>
      </c>
      <c r="T2697" s="1" t="s">
        <v>2299</v>
      </c>
      <c r="U2697" s="1" t="s">
        <v>1334</v>
      </c>
      <c r="V2697" s="1" t="s">
        <v>1377</v>
      </c>
      <c r="Y2697" s="1">
        <v>4264.8999999999996</v>
      </c>
      <c r="AB2697" s="1">
        <v>2476.0300000000002</v>
      </c>
    </row>
    <row r="2698" spans="2:28" x14ac:dyDescent="0.2">
      <c r="B2698" s="30" t="s">
        <v>2294</v>
      </c>
      <c r="C2698" s="36"/>
      <c r="D2698" s="36"/>
      <c r="F2698" s="1" t="s">
        <v>1322</v>
      </c>
      <c r="G2698" s="30" t="s">
        <v>5124</v>
      </c>
      <c r="K2698" s="1" t="s">
        <v>5166</v>
      </c>
      <c r="L2698" s="1" t="s">
        <v>1279</v>
      </c>
      <c r="M2698" s="36" t="s">
        <v>2014</v>
      </c>
      <c r="N2698" s="1" t="s">
        <v>1335</v>
      </c>
      <c r="O2698" s="1" t="s">
        <v>1286</v>
      </c>
      <c r="P2698" s="34" t="str">
        <f t="shared" si="54"/>
        <v>F010</v>
      </c>
      <c r="Q2698" s="1" t="s">
        <v>1138</v>
      </c>
      <c r="S2698" s="16">
        <v>20</v>
      </c>
      <c r="T2698" s="1" t="s">
        <v>2299</v>
      </c>
      <c r="U2698" s="1" t="s">
        <v>1334</v>
      </c>
      <c r="V2698" s="1" t="s">
        <v>1377</v>
      </c>
      <c r="Y2698" s="1">
        <v>4264.8999999999996</v>
      </c>
      <c r="AB2698" s="1">
        <v>2476.0300000000002</v>
      </c>
    </row>
    <row r="2699" spans="2:28" x14ac:dyDescent="0.2">
      <c r="B2699" s="30" t="s">
        <v>2294</v>
      </c>
      <c r="C2699" s="36"/>
      <c r="D2699" s="36"/>
      <c r="F2699" s="1" t="s">
        <v>1322</v>
      </c>
      <c r="G2699" s="30" t="s">
        <v>5124</v>
      </c>
      <c r="K2699" s="1" t="s">
        <v>5167</v>
      </c>
      <c r="L2699" s="1" t="s">
        <v>1279</v>
      </c>
      <c r="M2699" s="36" t="s">
        <v>2014</v>
      </c>
      <c r="N2699" s="1" t="s">
        <v>1335</v>
      </c>
      <c r="O2699" s="1" t="s">
        <v>1286</v>
      </c>
      <c r="P2699" s="34" t="str">
        <f t="shared" si="54"/>
        <v>F010</v>
      </c>
      <c r="Q2699" s="1" t="s">
        <v>1138</v>
      </c>
      <c r="S2699" s="16">
        <v>20</v>
      </c>
      <c r="T2699" s="1" t="s">
        <v>2299</v>
      </c>
      <c r="U2699" s="1" t="s">
        <v>1334</v>
      </c>
      <c r="V2699" s="1" t="s">
        <v>1377</v>
      </c>
      <c r="Y2699" s="1">
        <v>4264.8999999999996</v>
      </c>
      <c r="AB2699" s="1">
        <v>2476.0300000000002</v>
      </c>
    </row>
    <row r="2700" spans="2:28" x14ac:dyDescent="0.2">
      <c r="B2700" s="30" t="s">
        <v>2294</v>
      </c>
      <c r="C2700" s="36"/>
      <c r="D2700" s="36"/>
      <c r="F2700" s="1" t="s">
        <v>1322</v>
      </c>
      <c r="G2700" s="30" t="s">
        <v>5124</v>
      </c>
      <c r="K2700" s="1" t="s">
        <v>5168</v>
      </c>
      <c r="L2700" s="1" t="s">
        <v>1279</v>
      </c>
      <c r="M2700" s="36" t="s">
        <v>2014</v>
      </c>
      <c r="N2700" s="1" t="s">
        <v>1335</v>
      </c>
      <c r="O2700" s="1" t="s">
        <v>1286</v>
      </c>
      <c r="P2700" s="34" t="str">
        <f t="shared" si="54"/>
        <v>F010</v>
      </c>
      <c r="Q2700" s="1" t="s">
        <v>1138</v>
      </c>
      <c r="S2700" s="16">
        <v>20</v>
      </c>
      <c r="T2700" s="1" t="s">
        <v>2299</v>
      </c>
      <c r="U2700" s="1" t="s">
        <v>1334</v>
      </c>
      <c r="V2700" s="1" t="s">
        <v>1377</v>
      </c>
      <c r="Y2700" s="1">
        <v>4264.8999999999996</v>
      </c>
      <c r="AB2700" s="1">
        <v>2476.0300000000002</v>
      </c>
    </row>
    <row r="2701" spans="2:28" x14ac:dyDescent="0.2">
      <c r="B2701" s="30" t="s">
        <v>2294</v>
      </c>
      <c r="C2701" s="36"/>
      <c r="D2701" s="36"/>
      <c r="F2701" s="1" t="s">
        <v>1322</v>
      </c>
      <c r="G2701" s="30" t="s">
        <v>5124</v>
      </c>
      <c r="K2701" s="1" t="s">
        <v>5169</v>
      </c>
      <c r="L2701" s="1" t="s">
        <v>1279</v>
      </c>
      <c r="M2701" s="36" t="s">
        <v>2014</v>
      </c>
      <c r="N2701" s="1" t="s">
        <v>1335</v>
      </c>
      <c r="O2701" s="1" t="s">
        <v>1286</v>
      </c>
      <c r="P2701" s="34" t="str">
        <f t="shared" si="54"/>
        <v>F010</v>
      </c>
      <c r="Q2701" s="1" t="s">
        <v>1138</v>
      </c>
      <c r="S2701" s="16">
        <v>20</v>
      </c>
      <c r="T2701" s="1" t="s">
        <v>2299</v>
      </c>
      <c r="U2701" s="1" t="s">
        <v>1334</v>
      </c>
      <c r="V2701" s="1" t="s">
        <v>1377</v>
      </c>
      <c r="Y2701" s="1">
        <v>4264.71</v>
      </c>
      <c r="AB2701" s="1">
        <v>2475.88</v>
      </c>
    </row>
    <row r="2702" spans="2:28" x14ac:dyDescent="0.2">
      <c r="B2702" s="30" t="s">
        <v>2294</v>
      </c>
      <c r="C2702" s="36"/>
      <c r="D2702" s="36"/>
      <c r="F2702" s="1" t="s">
        <v>1322</v>
      </c>
      <c r="G2702" s="30" t="s">
        <v>5170</v>
      </c>
      <c r="K2702" s="1" t="s">
        <v>5171</v>
      </c>
      <c r="L2702" s="1" t="s">
        <v>1279</v>
      </c>
      <c r="M2702" s="36" t="s">
        <v>2515</v>
      </c>
      <c r="N2702" s="1" t="s">
        <v>1286</v>
      </c>
      <c r="O2702" s="1" t="s">
        <v>1286</v>
      </c>
      <c r="P2702" s="34" t="str">
        <f t="shared" si="54"/>
        <v>F010</v>
      </c>
      <c r="Q2702" s="1" t="s">
        <v>138</v>
      </c>
      <c r="S2702" s="16">
        <v>20</v>
      </c>
      <c r="T2702" s="1" t="s">
        <v>2299</v>
      </c>
      <c r="U2702" s="1" t="s">
        <v>2140</v>
      </c>
      <c r="V2702" s="1" t="s">
        <v>2141</v>
      </c>
      <c r="Y2702" s="1">
        <v>20000</v>
      </c>
      <c r="AB2702" s="1">
        <v>19000</v>
      </c>
    </row>
    <row r="2703" spans="2:28" x14ac:dyDescent="0.2">
      <c r="B2703" s="30" t="s">
        <v>2294</v>
      </c>
      <c r="C2703" s="36"/>
      <c r="D2703" s="36"/>
      <c r="F2703" s="1" t="s">
        <v>1322</v>
      </c>
      <c r="G2703" s="30" t="s">
        <v>5172</v>
      </c>
      <c r="K2703" s="1" t="s">
        <v>5173</v>
      </c>
      <c r="L2703" s="1" t="s">
        <v>1279</v>
      </c>
      <c r="M2703" s="36" t="s">
        <v>1879</v>
      </c>
      <c r="N2703" s="1" t="s">
        <v>2394</v>
      </c>
      <c r="O2703" s="1" t="s">
        <v>1286</v>
      </c>
      <c r="P2703" s="34" t="str">
        <f t="shared" si="54"/>
        <v>F010</v>
      </c>
      <c r="Q2703" s="1" t="s">
        <v>129</v>
      </c>
      <c r="S2703" s="16">
        <v>20</v>
      </c>
      <c r="T2703" s="1" t="s">
        <v>2299</v>
      </c>
      <c r="U2703" s="1" t="s">
        <v>1343</v>
      </c>
      <c r="V2703" s="1" t="s">
        <v>2255</v>
      </c>
      <c r="Y2703" s="1">
        <v>49776</v>
      </c>
      <c r="AB2703" s="1">
        <v>47287.199999999997</v>
      </c>
    </row>
    <row r="2704" spans="2:28" x14ac:dyDescent="0.2">
      <c r="B2704" s="30" t="s">
        <v>2294</v>
      </c>
      <c r="C2704" s="36"/>
      <c r="D2704" s="36"/>
      <c r="F2704" s="1" t="s">
        <v>1322</v>
      </c>
      <c r="G2704" s="30" t="s">
        <v>5172</v>
      </c>
      <c r="K2704" s="1" t="s">
        <v>5174</v>
      </c>
      <c r="L2704" s="1" t="s">
        <v>1279</v>
      </c>
      <c r="M2704" s="36" t="s">
        <v>1879</v>
      </c>
      <c r="N2704" s="1" t="s">
        <v>5175</v>
      </c>
      <c r="O2704" s="1" t="s">
        <v>1286</v>
      </c>
      <c r="P2704" s="34" t="str">
        <f t="shared" si="54"/>
        <v>F010</v>
      </c>
      <c r="Q2704" s="1" t="s">
        <v>129</v>
      </c>
      <c r="S2704" s="16">
        <v>20</v>
      </c>
      <c r="T2704" s="1" t="s">
        <v>2299</v>
      </c>
      <c r="U2704" s="1" t="s">
        <v>1343</v>
      </c>
      <c r="V2704" s="1" t="s">
        <v>2255</v>
      </c>
      <c r="Y2704" s="1">
        <v>49776</v>
      </c>
      <c r="AB2704" s="1">
        <v>47287.199999999997</v>
      </c>
    </row>
    <row r="2705" spans="2:28" x14ac:dyDescent="0.2">
      <c r="B2705" s="30" t="s">
        <v>2294</v>
      </c>
      <c r="C2705" s="36"/>
      <c r="D2705" s="36"/>
      <c r="F2705" s="1" t="s">
        <v>1322</v>
      </c>
      <c r="G2705" s="30" t="s">
        <v>5172</v>
      </c>
      <c r="K2705" s="1" t="s">
        <v>5176</v>
      </c>
      <c r="L2705" s="1" t="s">
        <v>1279</v>
      </c>
      <c r="M2705" s="36" t="s">
        <v>1879</v>
      </c>
      <c r="N2705" s="1" t="s">
        <v>2394</v>
      </c>
      <c r="O2705" s="1" t="s">
        <v>1286</v>
      </c>
      <c r="P2705" s="34" t="str">
        <f t="shared" si="54"/>
        <v>F010</v>
      </c>
      <c r="Q2705" s="1" t="s">
        <v>129</v>
      </c>
      <c r="S2705" s="16">
        <v>20</v>
      </c>
      <c r="T2705" s="1" t="s">
        <v>2299</v>
      </c>
      <c r="U2705" s="1" t="s">
        <v>1343</v>
      </c>
      <c r="V2705" s="1" t="s">
        <v>2255</v>
      </c>
      <c r="Y2705" s="1">
        <v>49776</v>
      </c>
      <c r="AB2705" s="1">
        <v>47287.199999999997</v>
      </c>
    </row>
    <row r="2706" spans="2:28" s="58" customFormat="1" x14ac:dyDescent="0.2">
      <c r="B2706" s="56" t="s">
        <v>2294</v>
      </c>
      <c r="C2706" s="57">
        <v>50000</v>
      </c>
      <c r="D2706" s="48">
        <f>+C2706/100000</f>
        <v>0.5</v>
      </c>
      <c r="E2706" s="58" t="s">
        <v>1331</v>
      </c>
      <c r="F2706" s="58" t="s">
        <v>1322</v>
      </c>
      <c r="G2706" s="56" t="s">
        <v>5172</v>
      </c>
      <c r="K2706" s="58" t="s">
        <v>5177</v>
      </c>
      <c r="L2706" s="58" t="s">
        <v>1279</v>
      </c>
      <c r="M2706" s="58" t="s">
        <v>1879</v>
      </c>
      <c r="N2706" s="58" t="s">
        <v>6082</v>
      </c>
      <c r="O2706" s="58" t="s">
        <v>1286</v>
      </c>
      <c r="P2706" s="58" t="str">
        <f t="shared" si="54"/>
        <v>F010</v>
      </c>
      <c r="Q2706" s="58" t="s">
        <v>129</v>
      </c>
      <c r="S2706" s="59">
        <v>20</v>
      </c>
      <c r="T2706" s="58" t="s">
        <v>2299</v>
      </c>
      <c r="U2706" s="58" t="s">
        <v>1343</v>
      </c>
      <c r="V2706" s="58" t="s">
        <v>2255</v>
      </c>
      <c r="Y2706" s="58">
        <v>24888</v>
      </c>
      <c r="AB2706" s="58">
        <v>23643.599999999999</v>
      </c>
    </row>
    <row r="2707" spans="2:28" s="58" customFormat="1" x14ac:dyDescent="0.2">
      <c r="B2707" s="56" t="s">
        <v>2294</v>
      </c>
      <c r="C2707" s="57">
        <v>50000</v>
      </c>
      <c r="D2707" s="48">
        <f>+C2707/100000</f>
        <v>0.5</v>
      </c>
      <c r="E2707" s="58" t="s">
        <v>1337</v>
      </c>
      <c r="F2707" s="58" t="s">
        <v>1322</v>
      </c>
      <c r="G2707" s="56" t="s">
        <v>5172</v>
      </c>
      <c r="K2707" s="58" t="s">
        <v>5177</v>
      </c>
      <c r="L2707" s="58" t="s">
        <v>1279</v>
      </c>
      <c r="M2707" s="58" t="s">
        <v>1879</v>
      </c>
      <c r="N2707" s="58" t="s">
        <v>1687</v>
      </c>
      <c r="O2707" s="58" t="s">
        <v>1286</v>
      </c>
      <c r="P2707" s="58" t="str">
        <f t="shared" si="54"/>
        <v>F010</v>
      </c>
      <c r="Q2707" s="58" t="s">
        <v>129</v>
      </c>
      <c r="S2707" s="59">
        <v>20</v>
      </c>
      <c r="T2707" s="58" t="s">
        <v>2299</v>
      </c>
      <c r="U2707" s="58" t="s">
        <v>1343</v>
      </c>
      <c r="V2707" s="58" t="s">
        <v>2255</v>
      </c>
      <c r="Y2707" s="58">
        <v>24888</v>
      </c>
      <c r="AB2707" s="58">
        <v>23643.599999999999</v>
      </c>
    </row>
    <row r="2708" spans="2:28" x14ac:dyDescent="0.2">
      <c r="B2708" s="30" t="s">
        <v>2294</v>
      </c>
      <c r="C2708" s="36"/>
      <c r="D2708" s="36"/>
      <c r="F2708" s="1" t="s">
        <v>1322</v>
      </c>
      <c r="G2708" s="30" t="s">
        <v>5172</v>
      </c>
      <c r="K2708" s="1" t="s">
        <v>5178</v>
      </c>
      <c r="L2708" s="1" t="s">
        <v>1279</v>
      </c>
      <c r="M2708" s="36" t="s">
        <v>1879</v>
      </c>
      <c r="N2708" s="1" t="s">
        <v>1833</v>
      </c>
      <c r="O2708" s="1" t="s">
        <v>1286</v>
      </c>
      <c r="P2708" s="34" t="str">
        <f t="shared" si="54"/>
        <v>F010</v>
      </c>
      <c r="Q2708" s="1" t="s">
        <v>127</v>
      </c>
      <c r="S2708" s="16">
        <v>20</v>
      </c>
      <c r="T2708" s="1" t="s">
        <v>2299</v>
      </c>
      <c r="U2708" s="1" t="s">
        <v>1343</v>
      </c>
      <c r="V2708" s="1" t="s">
        <v>2255</v>
      </c>
      <c r="Y2708" s="1">
        <v>49776</v>
      </c>
      <c r="AB2708" s="1">
        <v>47287.199999999997</v>
      </c>
    </row>
    <row r="2709" spans="2:28" x14ac:dyDescent="0.2">
      <c r="B2709" s="30" t="s">
        <v>2294</v>
      </c>
      <c r="C2709" s="36"/>
      <c r="D2709" s="36"/>
      <c r="F2709" s="1" t="s">
        <v>1322</v>
      </c>
      <c r="G2709" s="30" t="s">
        <v>5179</v>
      </c>
      <c r="K2709" s="1" t="s">
        <v>5180</v>
      </c>
      <c r="L2709" s="1" t="s">
        <v>1279</v>
      </c>
      <c r="M2709" s="36" t="s">
        <v>1541</v>
      </c>
      <c r="N2709" s="1" t="s">
        <v>1293</v>
      </c>
      <c r="O2709" s="1" t="s">
        <v>1286</v>
      </c>
      <c r="P2709" s="34" t="str">
        <f t="shared" si="54"/>
        <v>F010</v>
      </c>
      <c r="Q2709" s="1" t="s">
        <v>137</v>
      </c>
      <c r="S2709" s="16">
        <v>20</v>
      </c>
      <c r="T2709" s="1" t="s">
        <v>2299</v>
      </c>
      <c r="U2709" s="1" t="s">
        <v>1567</v>
      </c>
      <c r="V2709" s="1" t="s">
        <v>1513</v>
      </c>
      <c r="Y2709" s="1">
        <v>12313.5</v>
      </c>
      <c r="AB2709" s="1">
        <v>9748.2000000000007</v>
      </c>
    </row>
    <row r="2710" spans="2:28" x14ac:dyDescent="0.2">
      <c r="B2710" s="30" t="s">
        <v>2294</v>
      </c>
      <c r="C2710" s="36"/>
      <c r="D2710" s="36"/>
      <c r="F2710" s="1" t="s">
        <v>1322</v>
      </c>
      <c r="G2710" s="30" t="s">
        <v>5179</v>
      </c>
      <c r="K2710" s="1" t="s">
        <v>5181</v>
      </c>
      <c r="L2710" s="1" t="s">
        <v>1279</v>
      </c>
      <c r="M2710" s="36" t="s">
        <v>1541</v>
      </c>
      <c r="N2710" s="1" t="s">
        <v>1293</v>
      </c>
      <c r="O2710" s="1" t="s">
        <v>1286</v>
      </c>
      <c r="P2710" s="34" t="str">
        <f t="shared" si="54"/>
        <v>F010</v>
      </c>
      <c r="Q2710" s="1" t="s">
        <v>137</v>
      </c>
      <c r="S2710" s="16">
        <v>20</v>
      </c>
      <c r="T2710" s="1" t="s">
        <v>2299</v>
      </c>
      <c r="U2710" s="1" t="s">
        <v>1567</v>
      </c>
      <c r="V2710" s="1" t="s">
        <v>1513</v>
      </c>
      <c r="Y2710" s="1">
        <v>12313.5</v>
      </c>
      <c r="AB2710" s="1">
        <v>9748.2000000000007</v>
      </c>
    </row>
    <row r="2711" spans="2:28" x14ac:dyDescent="0.2">
      <c r="B2711" s="30" t="s">
        <v>2294</v>
      </c>
      <c r="C2711" s="36"/>
      <c r="D2711" s="36"/>
      <c r="F2711" s="1" t="s">
        <v>1322</v>
      </c>
      <c r="G2711" s="30" t="s">
        <v>5179</v>
      </c>
      <c r="K2711" s="1" t="s">
        <v>5182</v>
      </c>
      <c r="L2711" s="1" t="s">
        <v>1279</v>
      </c>
      <c r="M2711" s="36" t="s">
        <v>1794</v>
      </c>
      <c r="N2711" s="1" t="s">
        <v>1284</v>
      </c>
      <c r="O2711" s="1" t="s">
        <v>1286</v>
      </c>
      <c r="P2711" s="34" t="str">
        <f t="shared" si="54"/>
        <v>F010</v>
      </c>
      <c r="Q2711" s="1" t="s">
        <v>138</v>
      </c>
      <c r="S2711" s="16">
        <v>20</v>
      </c>
      <c r="T2711" s="1" t="s">
        <v>2299</v>
      </c>
      <c r="U2711" s="1" t="s">
        <v>1497</v>
      </c>
      <c r="V2711" s="1" t="s">
        <v>1498</v>
      </c>
      <c r="Y2711" s="1">
        <v>16391.05</v>
      </c>
      <c r="AB2711" s="1">
        <v>10813.51</v>
      </c>
    </row>
    <row r="2712" spans="2:28" x14ac:dyDescent="0.2">
      <c r="B2712" s="30" t="s">
        <v>2294</v>
      </c>
      <c r="C2712" s="36"/>
      <c r="D2712" s="36"/>
      <c r="F2712" s="1" t="s">
        <v>1322</v>
      </c>
      <c r="G2712" s="30" t="s">
        <v>5179</v>
      </c>
      <c r="K2712" s="1" t="s">
        <v>5183</v>
      </c>
      <c r="L2712" s="1" t="s">
        <v>1279</v>
      </c>
      <c r="M2712" s="36" t="s">
        <v>1794</v>
      </c>
      <c r="N2712" s="1" t="s">
        <v>1284</v>
      </c>
      <c r="O2712" s="1" t="s">
        <v>1286</v>
      </c>
      <c r="P2712" s="34" t="str">
        <f t="shared" si="54"/>
        <v>F010</v>
      </c>
      <c r="Q2712" s="1" t="s">
        <v>138</v>
      </c>
      <c r="S2712" s="16">
        <v>20</v>
      </c>
      <c r="T2712" s="1" t="s">
        <v>2299</v>
      </c>
      <c r="U2712" s="1" t="s">
        <v>1497</v>
      </c>
      <c r="V2712" s="1" t="s">
        <v>1498</v>
      </c>
      <c r="Y2712" s="1">
        <v>16391.05</v>
      </c>
      <c r="AB2712" s="1">
        <v>10813.51</v>
      </c>
    </row>
    <row r="2713" spans="2:28" x14ac:dyDescent="0.2">
      <c r="B2713" s="30" t="s">
        <v>2294</v>
      </c>
      <c r="C2713" s="36"/>
      <c r="D2713" s="36"/>
      <c r="F2713" s="1" t="s">
        <v>1322</v>
      </c>
      <c r="G2713" s="30" t="s">
        <v>5179</v>
      </c>
      <c r="K2713" s="1" t="s">
        <v>5184</v>
      </c>
      <c r="L2713" s="1" t="s">
        <v>1279</v>
      </c>
      <c r="M2713" s="36" t="s">
        <v>1794</v>
      </c>
      <c r="N2713" s="1" t="s">
        <v>1287</v>
      </c>
      <c r="O2713" s="1" t="s">
        <v>1286</v>
      </c>
      <c r="P2713" s="34" t="str">
        <f t="shared" si="54"/>
        <v>F010</v>
      </c>
      <c r="Q2713" s="1" t="s">
        <v>138</v>
      </c>
      <c r="S2713" s="16">
        <v>20</v>
      </c>
      <c r="T2713" s="1" t="s">
        <v>2299</v>
      </c>
      <c r="U2713" s="1" t="s">
        <v>1497</v>
      </c>
      <c r="V2713" s="1" t="s">
        <v>1498</v>
      </c>
      <c r="Y2713" s="1">
        <v>22860</v>
      </c>
      <c r="AB2713" s="1">
        <v>15081.25</v>
      </c>
    </row>
    <row r="2714" spans="2:28" x14ac:dyDescent="0.2">
      <c r="B2714" s="30" t="s">
        <v>2294</v>
      </c>
      <c r="C2714" s="36"/>
      <c r="D2714" s="36"/>
      <c r="F2714" s="1" t="s">
        <v>1322</v>
      </c>
      <c r="G2714" s="30" t="s">
        <v>5179</v>
      </c>
      <c r="K2714" s="1" t="s">
        <v>5185</v>
      </c>
      <c r="L2714" s="1" t="s">
        <v>1279</v>
      </c>
      <c r="M2714" s="36" t="s">
        <v>2014</v>
      </c>
      <c r="N2714" s="1" t="s">
        <v>1284</v>
      </c>
      <c r="O2714" s="1" t="s">
        <v>1286</v>
      </c>
      <c r="P2714" s="34" t="str">
        <f t="shared" si="54"/>
        <v>F010</v>
      </c>
      <c r="Q2714" s="1" t="s">
        <v>127</v>
      </c>
      <c r="S2714" s="16">
        <v>20</v>
      </c>
      <c r="T2714" s="1" t="s">
        <v>2299</v>
      </c>
      <c r="U2714" s="1" t="s">
        <v>1334</v>
      </c>
      <c r="V2714" s="1" t="s">
        <v>1377</v>
      </c>
      <c r="Y2714" s="1">
        <v>16735.900000000001</v>
      </c>
      <c r="AB2714" s="1">
        <v>9629.18</v>
      </c>
    </row>
    <row r="2715" spans="2:28" x14ac:dyDescent="0.2">
      <c r="B2715" s="30" t="s">
        <v>2294</v>
      </c>
      <c r="C2715" s="36"/>
      <c r="D2715" s="36"/>
      <c r="F2715" s="1" t="s">
        <v>1322</v>
      </c>
      <c r="G2715" s="30" t="s">
        <v>5179</v>
      </c>
      <c r="K2715" s="1" t="s">
        <v>5186</v>
      </c>
      <c r="L2715" s="1" t="s">
        <v>1279</v>
      </c>
      <c r="M2715" s="36" t="s">
        <v>2014</v>
      </c>
      <c r="N2715" s="1" t="s">
        <v>1284</v>
      </c>
      <c r="O2715" s="1" t="s">
        <v>1286</v>
      </c>
      <c r="P2715" s="34" t="str">
        <f t="shared" si="54"/>
        <v>F010</v>
      </c>
      <c r="Q2715" s="1" t="s">
        <v>127</v>
      </c>
      <c r="S2715" s="16">
        <v>20</v>
      </c>
      <c r="T2715" s="1" t="s">
        <v>2299</v>
      </c>
      <c r="U2715" s="1" t="s">
        <v>1334</v>
      </c>
      <c r="V2715" s="1" t="s">
        <v>1377</v>
      </c>
      <c r="Y2715" s="1">
        <v>16735.900000000001</v>
      </c>
      <c r="AB2715" s="1">
        <v>9629.18</v>
      </c>
    </row>
    <row r="2716" spans="2:28" x14ac:dyDescent="0.2">
      <c r="B2716" s="30" t="s">
        <v>2294</v>
      </c>
      <c r="C2716" s="36"/>
      <c r="D2716" s="36"/>
      <c r="F2716" s="1" t="s">
        <v>1322</v>
      </c>
      <c r="G2716" s="30" t="s">
        <v>5179</v>
      </c>
      <c r="K2716" s="1" t="s">
        <v>5187</v>
      </c>
      <c r="L2716" s="1" t="s">
        <v>1279</v>
      </c>
      <c r="M2716" s="36" t="s">
        <v>1794</v>
      </c>
      <c r="N2716" s="1" t="s">
        <v>1283</v>
      </c>
      <c r="O2716" s="1" t="s">
        <v>1286</v>
      </c>
      <c r="P2716" s="34" t="str">
        <f t="shared" si="54"/>
        <v>F010</v>
      </c>
      <c r="Q2716" s="1" t="s">
        <v>137</v>
      </c>
      <c r="S2716" s="16">
        <v>20</v>
      </c>
      <c r="T2716" s="1" t="s">
        <v>2299</v>
      </c>
      <c r="U2716" s="1" t="s">
        <v>1497</v>
      </c>
      <c r="V2716" s="1" t="s">
        <v>1498</v>
      </c>
      <c r="Y2716" s="1">
        <v>175000</v>
      </c>
      <c r="AB2716" s="1">
        <v>115451.4</v>
      </c>
    </row>
    <row r="2717" spans="2:28" x14ac:dyDescent="0.2">
      <c r="B2717" s="30" t="s">
        <v>2294</v>
      </c>
      <c r="C2717" s="36"/>
      <c r="D2717" s="36"/>
      <c r="F2717" s="1" t="s">
        <v>1322</v>
      </c>
      <c r="G2717" s="30" t="s">
        <v>5179</v>
      </c>
      <c r="K2717" s="1" t="s">
        <v>5188</v>
      </c>
      <c r="L2717" s="1" t="s">
        <v>1279</v>
      </c>
      <c r="M2717" s="36" t="s">
        <v>1794</v>
      </c>
      <c r="N2717" s="1" t="s">
        <v>1283</v>
      </c>
      <c r="O2717" s="1" t="s">
        <v>1286</v>
      </c>
      <c r="P2717" s="34" t="str">
        <f t="shared" si="54"/>
        <v>F010</v>
      </c>
      <c r="Q2717" s="1" t="s">
        <v>137</v>
      </c>
      <c r="S2717" s="16">
        <v>20</v>
      </c>
      <c r="T2717" s="1" t="s">
        <v>2299</v>
      </c>
      <c r="U2717" s="1" t="s">
        <v>1497</v>
      </c>
      <c r="V2717" s="1" t="s">
        <v>1498</v>
      </c>
      <c r="Y2717" s="1">
        <v>175000</v>
      </c>
      <c r="AB2717" s="1">
        <v>115451.4</v>
      </c>
    </row>
    <row r="2718" spans="2:28" x14ac:dyDescent="0.2">
      <c r="B2718" s="30" t="s">
        <v>2294</v>
      </c>
      <c r="C2718" s="36"/>
      <c r="D2718" s="36"/>
      <c r="F2718" s="1" t="s">
        <v>1322</v>
      </c>
      <c r="G2718" s="30" t="s">
        <v>5179</v>
      </c>
      <c r="K2718" s="1" t="s">
        <v>5189</v>
      </c>
      <c r="L2718" s="1" t="s">
        <v>1279</v>
      </c>
      <c r="M2718" s="36" t="s">
        <v>1794</v>
      </c>
      <c r="N2718" s="1" t="s">
        <v>1287</v>
      </c>
      <c r="O2718" s="1" t="s">
        <v>1286</v>
      </c>
      <c r="P2718" s="34" t="str">
        <f t="shared" si="54"/>
        <v>F010</v>
      </c>
      <c r="Q2718" s="1" t="s">
        <v>127</v>
      </c>
      <c r="S2718" s="16">
        <v>20</v>
      </c>
      <c r="T2718" s="1" t="s">
        <v>2299</v>
      </c>
      <c r="U2718" s="1" t="s">
        <v>1497</v>
      </c>
      <c r="V2718" s="1" t="s">
        <v>1498</v>
      </c>
      <c r="Y2718" s="1">
        <v>33333.33</v>
      </c>
      <c r="AB2718" s="1">
        <v>21990.75</v>
      </c>
    </row>
    <row r="2719" spans="2:28" x14ac:dyDescent="0.2">
      <c r="B2719" s="30" t="s">
        <v>2294</v>
      </c>
      <c r="C2719" s="36"/>
      <c r="D2719" s="36"/>
      <c r="F2719" s="1" t="s">
        <v>1322</v>
      </c>
      <c r="G2719" s="30" t="s">
        <v>5179</v>
      </c>
      <c r="K2719" s="1" t="s">
        <v>5190</v>
      </c>
      <c r="L2719" s="1" t="s">
        <v>1279</v>
      </c>
      <c r="M2719" s="36" t="s">
        <v>1794</v>
      </c>
      <c r="N2719" s="1" t="s">
        <v>1287</v>
      </c>
      <c r="O2719" s="1" t="s">
        <v>1286</v>
      </c>
      <c r="P2719" s="34" t="str">
        <f t="shared" si="54"/>
        <v>F010</v>
      </c>
      <c r="Q2719" s="1" t="s">
        <v>127</v>
      </c>
      <c r="S2719" s="16">
        <v>20</v>
      </c>
      <c r="T2719" s="1" t="s">
        <v>2299</v>
      </c>
      <c r="U2719" s="1" t="s">
        <v>1497</v>
      </c>
      <c r="V2719" s="1" t="s">
        <v>1498</v>
      </c>
      <c r="Y2719" s="1">
        <v>33333.33</v>
      </c>
      <c r="AB2719" s="1">
        <v>21990.75</v>
      </c>
    </row>
    <row r="2720" spans="2:28" x14ac:dyDescent="0.2">
      <c r="B2720" s="30" t="s">
        <v>2294</v>
      </c>
      <c r="C2720" s="36"/>
      <c r="D2720" s="36"/>
      <c r="F2720" s="1" t="s">
        <v>1322</v>
      </c>
      <c r="G2720" s="30" t="s">
        <v>5179</v>
      </c>
      <c r="K2720" s="1" t="s">
        <v>5191</v>
      </c>
      <c r="L2720" s="1" t="s">
        <v>1279</v>
      </c>
      <c r="M2720" s="36" t="s">
        <v>1794</v>
      </c>
      <c r="N2720" s="1" t="s">
        <v>1287</v>
      </c>
      <c r="O2720" s="1" t="s">
        <v>1286</v>
      </c>
      <c r="P2720" s="34" t="str">
        <f t="shared" si="54"/>
        <v>F010</v>
      </c>
      <c r="Q2720" s="1" t="s">
        <v>127</v>
      </c>
      <c r="S2720" s="16">
        <v>20</v>
      </c>
      <c r="T2720" s="1" t="s">
        <v>2299</v>
      </c>
      <c r="U2720" s="1" t="s">
        <v>1497</v>
      </c>
      <c r="V2720" s="1" t="s">
        <v>1498</v>
      </c>
      <c r="Y2720" s="1">
        <v>33333.33</v>
      </c>
      <c r="AB2720" s="1">
        <v>21990.75</v>
      </c>
    </row>
    <row r="2721" spans="2:28" x14ac:dyDescent="0.2">
      <c r="B2721" s="30" t="s">
        <v>2294</v>
      </c>
      <c r="C2721" s="36"/>
      <c r="D2721" s="36"/>
      <c r="F2721" s="1" t="s">
        <v>1322</v>
      </c>
      <c r="G2721" s="30" t="s">
        <v>5179</v>
      </c>
      <c r="K2721" s="1" t="s">
        <v>5192</v>
      </c>
      <c r="L2721" s="1" t="s">
        <v>1279</v>
      </c>
      <c r="M2721" s="36" t="s">
        <v>1794</v>
      </c>
      <c r="N2721" s="1" t="s">
        <v>1287</v>
      </c>
      <c r="O2721" s="1" t="s">
        <v>1286</v>
      </c>
      <c r="P2721" s="34" t="str">
        <f t="shared" si="54"/>
        <v>F010</v>
      </c>
      <c r="Q2721" s="1" t="s">
        <v>127</v>
      </c>
      <c r="S2721" s="16">
        <v>20</v>
      </c>
      <c r="T2721" s="1" t="s">
        <v>3533</v>
      </c>
      <c r="U2721" s="1" t="s">
        <v>1497</v>
      </c>
      <c r="V2721" s="1" t="s">
        <v>1498</v>
      </c>
      <c r="Y2721" s="1">
        <v>33333.33</v>
      </c>
      <c r="AB2721" s="1">
        <v>21990.75</v>
      </c>
    </row>
    <row r="2722" spans="2:28" x14ac:dyDescent="0.2">
      <c r="B2722" s="30" t="s">
        <v>2294</v>
      </c>
      <c r="C2722" s="36"/>
      <c r="D2722" s="36"/>
      <c r="F2722" s="1" t="s">
        <v>3534</v>
      </c>
      <c r="G2722" s="30" t="s">
        <v>5179</v>
      </c>
      <c r="K2722" s="1" t="s">
        <v>5193</v>
      </c>
      <c r="L2722" s="1" t="s">
        <v>1279</v>
      </c>
      <c r="M2722" s="36" t="s">
        <v>1794</v>
      </c>
      <c r="N2722" s="1" t="s">
        <v>1287</v>
      </c>
      <c r="O2722" s="1" t="s">
        <v>1286</v>
      </c>
      <c r="P2722" s="34" t="str">
        <f t="shared" si="54"/>
        <v>F010</v>
      </c>
      <c r="Q2722" s="1" t="s">
        <v>127</v>
      </c>
      <c r="S2722" s="16">
        <v>20</v>
      </c>
      <c r="T2722" s="1" t="s">
        <v>2299</v>
      </c>
      <c r="U2722" s="1" t="s">
        <v>1497</v>
      </c>
      <c r="V2722" s="1" t="s">
        <v>1498</v>
      </c>
      <c r="Y2722" s="1">
        <v>33333.33</v>
      </c>
      <c r="AB2722" s="1">
        <v>21990.75</v>
      </c>
    </row>
    <row r="2723" spans="2:28" x14ac:dyDescent="0.2">
      <c r="B2723" s="30" t="s">
        <v>2294</v>
      </c>
      <c r="C2723" s="36"/>
      <c r="D2723" s="36"/>
      <c r="F2723" s="1" t="s">
        <v>1322</v>
      </c>
      <c r="G2723" s="30" t="s">
        <v>5179</v>
      </c>
      <c r="K2723" s="1" t="s">
        <v>5194</v>
      </c>
      <c r="L2723" s="1" t="s">
        <v>1279</v>
      </c>
      <c r="M2723" s="36" t="s">
        <v>1794</v>
      </c>
      <c r="N2723" s="1" t="s">
        <v>1287</v>
      </c>
      <c r="O2723" s="1" t="s">
        <v>1286</v>
      </c>
      <c r="P2723" s="34" t="str">
        <f t="shared" si="54"/>
        <v>F010</v>
      </c>
      <c r="Q2723" s="1" t="s">
        <v>127</v>
      </c>
      <c r="S2723" s="16">
        <v>20</v>
      </c>
      <c r="T2723" s="1" t="s">
        <v>3209</v>
      </c>
      <c r="U2723" s="1" t="s">
        <v>1497</v>
      </c>
      <c r="V2723" s="1" t="s">
        <v>1498</v>
      </c>
      <c r="Y2723" s="1">
        <v>33333.33</v>
      </c>
      <c r="AB2723" s="1">
        <v>21990.75</v>
      </c>
    </row>
    <row r="2724" spans="2:28" x14ac:dyDescent="0.2">
      <c r="B2724" s="30" t="s">
        <v>2294</v>
      </c>
      <c r="C2724" s="36"/>
      <c r="D2724" s="36"/>
      <c r="F2724" s="1" t="s">
        <v>3210</v>
      </c>
      <c r="G2724" s="30" t="s">
        <v>5179</v>
      </c>
      <c r="K2724" s="1" t="s">
        <v>5195</v>
      </c>
      <c r="L2724" s="1" t="s">
        <v>1279</v>
      </c>
      <c r="M2724" s="36" t="s">
        <v>1794</v>
      </c>
      <c r="N2724" s="1" t="s">
        <v>1287</v>
      </c>
      <c r="O2724" s="1" t="s">
        <v>1286</v>
      </c>
      <c r="P2724" s="34" t="str">
        <f t="shared" si="54"/>
        <v>F010</v>
      </c>
      <c r="Q2724" s="1" t="s">
        <v>127</v>
      </c>
      <c r="S2724" s="16">
        <v>20</v>
      </c>
      <c r="T2724" s="1" t="s">
        <v>2299</v>
      </c>
      <c r="U2724" s="1" t="s">
        <v>1497</v>
      </c>
      <c r="V2724" s="1" t="s">
        <v>1498</v>
      </c>
      <c r="Y2724" s="1">
        <v>33333.33</v>
      </c>
      <c r="AB2724" s="1">
        <v>21990.75</v>
      </c>
    </row>
    <row r="2725" spans="2:28" x14ac:dyDescent="0.2">
      <c r="B2725" s="30" t="s">
        <v>2294</v>
      </c>
      <c r="C2725" s="36"/>
      <c r="D2725" s="36"/>
      <c r="F2725" s="1" t="s">
        <v>1322</v>
      </c>
      <c r="G2725" s="30" t="s">
        <v>5179</v>
      </c>
      <c r="K2725" s="1" t="s">
        <v>5196</v>
      </c>
      <c r="L2725" s="1" t="s">
        <v>1279</v>
      </c>
      <c r="M2725" s="36" t="s">
        <v>1794</v>
      </c>
      <c r="N2725" s="1" t="s">
        <v>1287</v>
      </c>
      <c r="O2725" s="1" t="s">
        <v>1286</v>
      </c>
      <c r="P2725" s="34" t="str">
        <f t="shared" si="54"/>
        <v>F010</v>
      </c>
      <c r="Q2725" s="1" t="s">
        <v>127</v>
      </c>
      <c r="S2725" s="16">
        <v>20</v>
      </c>
      <c r="T2725" s="1" t="s">
        <v>5197</v>
      </c>
      <c r="U2725" s="1" t="s">
        <v>1497</v>
      </c>
      <c r="V2725" s="1" t="s">
        <v>1498</v>
      </c>
      <c r="Y2725" s="1">
        <v>33333.33</v>
      </c>
      <c r="AB2725" s="1">
        <v>21990.75</v>
      </c>
    </row>
    <row r="2726" spans="2:28" x14ac:dyDescent="0.2">
      <c r="B2726" s="30" t="s">
        <v>2294</v>
      </c>
      <c r="C2726" s="36"/>
      <c r="D2726" s="36"/>
      <c r="F2726" s="1" t="s">
        <v>5198</v>
      </c>
      <c r="G2726" s="30" t="s">
        <v>5179</v>
      </c>
      <c r="K2726" s="1" t="s">
        <v>5199</v>
      </c>
      <c r="L2726" s="1" t="s">
        <v>1279</v>
      </c>
      <c r="M2726" s="36" t="s">
        <v>1794</v>
      </c>
      <c r="N2726" s="1" t="s">
        <v>1287</v>
      </c>
      <c r="O2726" s="1" t="s">
        <v>1286</v>
      </c>
      <c r="P2726" s="34" t="str">
        <f t="shared" si="54"/>
        <v>F010</v>
      </c>
      <c r="Q2726" s="1" t="s">
        <v>127</v>
      </c>
      <c r="S2726" s="16">
        <v>20</v>
      </c>
      <c r="T2726" s="1" t="s">
        <v>2299</v>
      </c>
      <c r="U2726" s="1" t="s">
        <v>1497</v>
      </c>
      <c r="V2726" s="1" t="s">
        <v>1498</v>
      </c>
      <c r="Y2726" s="1">
        <v>33333.339999999997</v>
      </c>
      <c r="AB2726" s="1">
        <v>21990.75</v>
      </c>
    </row>
    <row r="2727" spans="2:28" x14ac:dyDescent="0.2">
      <c r="B2727" s="30" t="s">
        <v>2294</v>
      </c>
      <c r="C2727" s="36"/>
      <c r="D2727" s="36"/>
      <c r="F2727" s="1" t="s">
        <v>1322</v>
      </c>
      <c r="G2727" s="30" t="s">
        <v>5179</v>
      </c>
      <c r="K2727" s="1" t="s">
        <v>5200</v>
      </c>
      <c r="L2727" s="1" t="s">
        <v>1279</v>
      </c>
      <c r="M2727" s="36" t="s">
        <v>1794</v>
      </c>
      <c r="N2727" s="1" t="s">
        <v>1287</v>
      </c>
      <c r="O2727" s="1" t="s">
        <v>1286</v>
      </c>
      <c r="P2727" s="34" t="str">
        <f t="shared" si="54"/>
        <v>F010</v>
      </c>
      <c r="Q2727" s="1" t="s">
        <v>127</v>
      </c>
      <c r="S2727" s="16">
        <v>20</v>
      </c>
      <c r="T2727" s="1" t="s">
        <v>3097</v>
      </c>
      <c r="U2727" s="1" t="s">
        <v>1497</v>
      </c>
      <c r="V2727" s="1" t="s">
        <v>1498</v>
      </c>
      <c r="Y2727" s="1">
        <v>33333.339999999997</v>
      </c>
      <c r="AB2727" s="1">
        <v>21990.75</v>
      </c>
    </row>
    <row r="2728" spans="2:28" x14ac:dyDescent="0.2">
      <c r="B2728" s="30" t="s">
        <v>2294</v>
      </c>
      <c r="C2728" s="36"/>
      <c r="D2728" s="36"/>
      <c r="F2728" s="1" t="s">
        <v>3098</v>
      </c>
      <c r="G2728" s="30" t="s">
        <v>5179</v>
      </c>
      <c r="K2728" s="1" t="s">
        <v>5201</v>
      </c>
      <c r="L2728" s="1" t="s">
        <v>1279</v>
      </c>
      <c r="M2728" s="36" t="s">
        <v>1794</v>
      </c>
      <c r="N2728" s="1" t="s">
        <v>1287</v>
      </c>
      <c r="O2728" s="1" t="s">
        <v>1286</v>
      </c>
      <c r="P2728" s="34" t="str">
        <f t="shared" si="54"/>
        <v>F010</v>
      </c>
      <c r="Q2728" s="1" t="s">
        <v>127</v>
      </c>
      <c r="S2728" s="16">
        <v>20</v>
      </c>
      <c r="T2728" s="1" t="s">
        <v>2299</v>
      </c>
      <c r="U2728" s="1" t="s">
        <v>1497</v>
      </c>
      <c r="V2728" s="1" t="s">
        <v>1498</v>
      </c>
      <c r="Y2728" s="1">
        <v>33333.339999999997</v>
      </c>
      <c r="AB2728" s="1">
        <v>21990.75</v>
      </c>
    </row>
    <row r="2729" spans="2:28" x14ac:dyDescent="0.2">
      <c r="B2729" s="30" t="s">
        <v>2294</v>
      </c>
      <c r="C2729" s="36"/>
      <c r="D2729" s="36"/>
      <c r="F2729" s="1" t="s">
        <v>1322</v>
      </c>
      <c r="G2729" s="30" t="s">
        <v>5179</v>
      </c>
      <c r="K2729" s="1" t="s">
        <v>5202</v>
      </c>
      <c r="L2729" s="1" t="s">
        <v>1279</v>
      </c>
      <c r="M2729" s="36" t="s">
        <v>1794</v>
      </c>
      <c r="N2729" s="1" t="s">
        <v>1287</v>
      </c>
      <c r="O2729" s="1" t="s">
        <v>1286</v>
      </c>
      <c r="P2729" s="34" t="str">
        <f t="shared" si="54"/>
        <v>F010</v>
      </c>
      <c r="Q2729" s="1" t="s">
        <v>127</v>
      </c>
      <c r="S2729" s="16">
        <v>20</v>
      </c>
      <c r="T2729" s="1" t="s">
        <v>3152</v>
      </c>
      <c r="U2729" s="1" t="s">
        <v>1497</v>
      </c>
      <c r="V2729" s="1" t="s">
        <v>1498</v>
      </c>
      <c r="Y2729" s="1">
        <v>33333.339999999997</v>
      </c>
      <c r="AB2729" s="1">
        <v>21990.75</v>
      </c>
    </row>
    <row r="2730" spans="2:28" x14ac:dyDescent="0.2">
      <c r="B2730" s="30" t="s">
        <v>2294</v>
      </c>
      <c r="C2730" s="36"/>
      <c r="D2730" s="36"/>
      <c r="F2730" s="1" t="s">
        <v>3153</v>
      </c>
      <c r="G2730" s="30" t="s">
        <v>5179</v>
      </c>
      <c r="K2730" s="1" t="s">
        <v>5203</v>
      </c>
      <c r="L2730" s="1" t="s">
        <v>1279</v>
      </c>
      <c r="M2730" s="36" t="s">
        <v>4146</v>
      </c>
      <c r="N2730" s="1" t="s">
        <v>1287</v>
      </c>
      <c r="O2730" s="1" t="s">
        <v>1286</v>
      </c>
      <c r="P2730" s="34" t="str">
        <f t="shared" si="54"/>
        <v>F010</v>
      </c>
      <c r="Q2730" s="1" t="s">
        <v>138</v>
      </c>
      <c r="S2730" s="16">
        <v>20</v>
      </c>
      <c r="T2730" s="1" t="s">
        <v>2299</v>
      </c>
      <c r="U2730" s="1" t="s">
        <v>2057</v>
      </c>
      <c r="V2730" s="1" t="s">
        <v>1594</v>
      </c>
      <c r="Y2730" s="1">
        <v>84164</v>
      </c>
      <c r="AB2730" s="1">
        <v>79955.8</v>
      </c>
    </row>
    <row r="2731" spans="2:28" x14ac:dyDescent="0.2">
      <c r="B2731" s="30" t="s">
        <v>2294</v>
      </c>
      <c r="C2731" s="36"/>
      <c r="D2731" s="36"/>
      <c r="F2731" s="1" t="s">
        <v>1322</v>
      </c>
      <c r="G2731" s="30" t="s">
        <v>5179</v>
      </c>
      <c r="K2731" s="1" t="s">
        <v>5204</v>
      </c>
      <c r="L2731" s="1" t="s">
        <v>1279</v>
      </c>
      <c r="M2731" s="36" t="s">
        <v>4146</v>
      </c>
      <c r="N2731" s="1" t="s">
        <v>1287</v>
      </c>
      <c r="O2731" s="1" t="s">
        <v>1286</v>
      </c>
      <c r="P2731" s="34" t="str">
        <f t="shared" si="54"/>
        <v>F010</v>
      </c>
      <c r="Q2731" s="1" t="s">
        <v>138</v>
      </c>
      <c r="S2731" s="16">
        <v>20</v>
      </c>
      <c r="T2731" s="1" t="s">
        <v>3127</v>
      </c>
      <c r="U2731" s="1" t="s">
        <v>2057</v>
      </c>
      <c r="V2731" s="1" t="s">
        <v>1594</v>
      </c>
      <c r="Y2731" s="1">
        <v>84164</v>
      </c>
      <c r="AB2731" s="1">
        <v>79955.8</v>
      </c>
    </row>
    <row r="2732" spans="2:28" x14ac:dyDescent="0.2">
      <c r="B2732" s="30" t="s">
        <v>2294</v>
      </c>
      <c r="C2732" s="36"/>
      <c r="D2732" s="36"/>
      <c r="F2732" s="1" t="s">
        <v>3128</v>
      </c>
      <c r="G2732" s="30" t="s">
        <v>5179</v>
      </c>
      <c r="K2732" s="1" t="s">
        <v>5205</v>
      </c>
      <c r="L2732" s="1" t="s">
        <v>1279</v>
      </c>
      <c r="M2732" s="36" t="s">
        <v>4146</v>
      </c>
      <c r="N2732" s="1" t="s">
        <v>1287</v>
      </c>
      <c r="O2732" s="1" t="s">
        <v>1286</v>
      </c>
      <c r="P2732" s="34" t="str">
        <f t="shared" si="54"/>
        <v>F010</v>
      </c>
      <c r="Q2732" s="1" t="s">
        <v>138</v>
      </c>
      <c r="S2732" s="16">
        <v>20</v>
      </c>
      <c r="T2732" s="1" t="s">
        <v>2299</v>
      </c>
      <c r="U2732" s="1" t="s">
        <v>2057</v>
      </c>
      <c r="V2732" s="1" t="s">
        <v>1594</v>
      </c>
      <c r="Y2732" s="1">
        <v>84164</v>
      </c>
      <c r="AB2732" s="1">
        <v>79955.8</v>
      </c>
    </row>
    <row r="2733" spans="2:28" x14ac:dyDescent="0.2">
      <c r="B2733" s="30" t="s">
        <v>2294</v>
      </c>
      <c r="C2733" s="36"/>
      <c r="D2733" s="36"/>
      <c r="F2733" s="1" t="s">
        <v>1322</v>
      </c>
      <c r="G2733" s="30" t="s">
        <v>5206</v>
      </c>
      <c r="K2733" s="1" t="s">
        <v>5207</v>
      </c>
      <c r="L2733" s="1" t="s">
        <v>1279</v>
      </c>
      <c r="M2733" s="36" t="s">
        <v>2208</v>
      </c>
      <c r="N2733" s="1" t="s">
        <v>1287</v>
      </c>
      <c r="O2733" s="1" t="s">
        <v>1286</v>
      </c>
      <c r="P2733" s="34" t="str">
        <f t="shared" si="54"/>
        <v>F010</v>
      </c>
      <c r="Q2733" s="1" t="s">
        <v>138</v>
      </c>
      <c r="S2733" s="16">
        <v>20</v>
      </c>
      <c r="T2733" s="1" t="s">
        <v>3254</v>
      </c>
      <c r="U2733" s="1" t="s">
        <v>2364</v>
      </c>
      <c r="V2733" s="1" t="s">
        <v>1516</v>
      </c>
      <c r="Y2733" s="1">
        <v>21695</v>
      </c>
      <c r="AB2733" s="1">
        <v>20610.25</v>
      </c>
    </row>
    <row r="2734" spans="2:28" x14ac:dyDescent="0.2">
      <c r="B2734" s="30" t="s">
        <v>2294</v>
      </c>
      <c r="C2734" s="36"/>
      <c r="D2734" s="36"/>
      <c r="F2734" s="1" t="s">
        <v>3255</v>
      </c>
      <c r="G2734" s="30" t="s">
        <v>5206</v>
      </c>
      <c r="K2734" s="1" t="s">
        <v>5208</v>
      </c>
      <c r="L2734" s="1" t="s">
        <v>1279</v>
      </c>
      <c r="M2734" s="36" t="s">
        <v>2208</v>
      </c>
      <c r="N2734" s="1" t="s">
        <v>1287</v>
      </c>
      <c r="O2734" s="1" t="s">
        <v>1286</v>
      </c>
      <c r="P2734" s="34" t="str">
        <f t="shared" si="54"/>
        <v>F010</v>
      </c>
      <c r="Q2734" s="1" t="s">
        <v>138</v>
      </c>
      <c r="S2734" s="16">
        <v>20</v>
      </c>
      <c r="T2734" s="1" t="s">
        <v>2299</v>
      </c>
      <c r="U2734" s="1" t="s">
        <v>2364</v>
      </c>
      <c r="V2734" s="1" t="s">
        <v>1516</v>
      </c>
      <c r="Y2734" s="1">
        <v>21695</v>
      </c>
      <c r="AB2734" s="1">
        <v>20610.25</v>
      </c>
    </row>
    <row r="2735" spans="2:28" x14ac:dyDescent="0.2">
      <c r="B2735" s="30" t="s">
        <v>2294</v>
      </c>
      <c r="C2735" s="36"/>
      <c r="D2735" s="36"/>
      <c r="F2735" s="1" t="s">
        <v>1322</v>
      </c>
      <c r="G2735" s="30" t="s">
        <v>5209</v>
      </c>
      <c r="K2735" s="1" t="s">
        <v>5210</v>
      </c>
      <c r="L2735" s="1" t="s">
        <v>1279</v>
      </c>
      <c r="M2735" s="36" t="s">
        <v>2361</v>
      </c>
      <c r="N2735" s="1" t="s">
        <v>1287</v>
      </c>
      <c r="O2735" s="1" t="s">
        <v>1286</v>
      </c>
      <c r="P2735" s="34" t="str">
        <f t="shared" si="54"/>
        <v>F010</v>
      </c>
      <c r="Q2735" s="1" t="s">
        <v>138</v>
      </c>
      <c r="S2735" s="16">
        <v>20</v>
      </c>
      <c r="T2735" s="1" t="s">
        <v>3093</v>
      </c>
      <c r="U2735" s="1" t="s">
        <v>1994</v>
      </c>
      <c r="V2735" s="1" t="s">
        <v>1533</v>
      </c>
      <c r="Y2735" s="1">
        <v>36324</v>
      </c>
      <c r="AB2735" s="1">
        <v>34507.800000000003</v>
      </c>
    </row>
    <row r="2736" spans="2:28" x14ac:dyDescent="0.2">
      <c r="B2736" s="30" t="s">
        <v>2294</v>
      </c>
      <c r="C2736" s="36"/>
      <c r="D2736" s="36"/>
      <c r="F2736" s="1" t="s">
        <v>3094</v>
      </c>
      <c r="G2736" s="30" t="s">
        <v>5211</v>
      </c>
      <c r="K2736" s="1" t="s">
        <v>5212</v>
      </c>
      <c r="L2736" s="1" t="s">
        <v>1279</v>
      </c>
      <c r="M2736" s="36" t="s">
        <v>1567</v>
      </c>
      <c r="N2736" s="1" t="s">
        <v>1284</v>
      </c>
      <c r="O2736" s="1" t="s">
        <v>1286</v>
      </c>
      <c r="P2736" s="34" t="str">
        <f t="shared" si="54"/>
        <v>F010</v>
      </c>
      <c r="Q2736" s="1" t="s">
        <v>138</v>
      </c>
      <c r="S2736" s="16">
        <v>20</v>
      </c>
      <c r="T2736" s="1" t="s">
        <v>2299</v>
      </c>
      <c r="U2736" s="1" t="s">
        <v>1999</v>
      </c>
      <c r="V2736" s="1" t="s">
        <v>1526</v>
      </c>
      <c r="Y2736" s="1">
        <v>28000</v>
      </c>
      <c r="AB2736" s="1">
        <v>21427.81</v>
      </c>
    </row>
    <row r="2737" spans="2:28" x14ac:dyDescent="0.2">
      <c r="B2737" s="30" t="s">
        <v>2294</v>
      </c>
      <c r="C2737" s="36"/>
      <c r="D2737" s="36"/>
      <c r="F2737" s="1" t="s">
        <v>1322</v>
      </c>
      <c r="G2737" s="30" t="s">
        <v>5211</v>
      </c>
      <c r="K2737" s="1" t="s">
        <v>5213</v>
      </c>
      <c r="L2737" s="1" t="s">
        <v>1279</v>
      </c>
      <c r="M2737" s="36" t="s">
        <v>1567</v>
      </c>
      <c r="N2737" s="1" t="s">
        <v>1284</v>
      </c>
      <c r="O2737" s="1" t="s">
        <v>1286</v>
      </c>
      <c r="P2737" s="34" t="str">
        <f t="shared" ref="P2737:P2800" si="55">+LEFT(Q2737,4)</f>
        <v>F010</v>
      </c>
      <c r="Q2737" s="1" t="s">
        <v>138</v>
      </c>
      <c r="S2737" s="16">
        <v>20</v>
      </c>
      <c r="T2737" s="1" t="s">
        <v>3551</v>
      </c>
      <c r="U2737" s="1" t="s">
        <v>1999</v>
      </c>
      <c r="V2737" s="1" t="s">
        <v>1526</v>
      </c>
      <c r="Y2737" s="1">
        <v>28000</v>
      </c>
      <c r="AB2737" s="1">
        <v>21427.81</v>
      </c>
    </row>
    <row r="2738" spans="2:28" x14ac:dyDescent="0.2">
      <c r="B2738" s="30" t="s">
        <v>2294</v>
      </c>
      <c r="C2738" s="36"/>
      <c r="D2738" s="36"/>
      <c r="F2738" s="1" t="s">
        <v>3552</v>
      </c>
      <c r="G2738" s="30" t="s">
        <v>5211</v>
      </c>
      <c r="K2738" s="1" t="s">
        <v>5214</v>
      </c>
      <c r="L2738" s="1" t="s">
        <v>1279</v>
      </c>
      <c r="M2738" s="36" t="s">
        <v>1567</v>
      </c>
      <c r="N2738" s="1" t="s">
        <v>1284</v>
      </c>
      <c r="O2738" s="1" t="s">
        <v>1286</v>
      </c>
      <c r="P2738" s="34" t="str">
        <f t="shared" si="55"/>
        <v>F010</v>
      </c>
      <c r="Q2738" s="1" t="s">
        <v>138</v>
      </c>
      <c r="S2738" s="16">
        <v>20</v>
      </c>
      <c r="T2738" s="1" t="s">
        <v>2299</v>
      </c>
      <c r="U2738" s="1" t="s">
        <v>1999</v>
      </c>
      <c r="V2738" s="1" t="s">
        <v>1526</v>
      </c>
      <c r="Y2738" s="1">
        <v>28000</v>
      </c>
      <c r="AB2738" s="1">
        <v>21427.81</v>
      </c>
    </row>
    <row r="2739" spans="2:28" x14ac:dyDescent="0.2">
      <c r="B2739" s="30" t="s">
        <v>2294</v>
      </c>
      <c r="C2739" s="36"/>
      <c r="D2739" s="36"/>
      <c r="F2739" s="1" t="s">
        <v>1322</v>
      </c>
      <c r="G2739" s="30" t="s">
        <v>5215</v>
      </c>
      <c r="K2739" s="1" t="s">
        <v>5216</v>
      </c>
      <c r="L2739" s="1" t="s">
        <v>1279</v>
      </c>
      <c r="M2739" s="36" t="s">
        <v>1751</v>
      </c>
      <c r="N2739" s="1" t="s">
        <v>1287</v>
      </c>
      <c r="O2739" s="1" t="s">
        <v>1286</v>
      </c>
      <c r="P2739" s="34" t="str">
        <f t="shared" si="55"/>
        <v>F010</v>
      </c>
      <c r="Q2739" s="1" t="s">
        <v>138</v>
      </c>
      <c r="S2739" s="16">
        <v>20</v>
      </c>
      <c r="T2739" s="1" t="s">
        <v>2299</v>
      </c>
      <c r="U2739" s="1" t="s">
        <v>1890</v>
      </c>
      <c r="V2739" s="1" t="s">
        <v>2833</v>
      </c>
      <c r="Y2739" s="1">
        <v>218000</v>
      </c>
      <c r="AB2739" s="1">
        <v>207100</v>
      </c>
    </row>
    <row r="2740" spans="2:28" x14ac:dyDescent="0.2">
      <c r="B2740" s="30" t="s">
        <v>2294</v>
      </c>
      <c r="C2740" s="36"/>
      <c r="D2740" s="36"/>
      <c r="F2740" s="1" t="s">
        <v>1322</v>
      </c>
      <c r="G2740" s="30" t="s">
        <v>5217</v>
      </c>
      <c r="K2740" s="1" t="s">
        <v>5218</v>
      </c>
      <c r="L2740" s="1" t="s">
        <v>1279</v>
      </c>
      <c r="M2740" s="36" t="s">
        <v>2072</v>
      </c>
      <c r="N2740" s="1" t="s">
        <v>3317</v>
      </c>
      <c r="O2740" s="1" t="s">
        <v>1286</v>
      </c>
      <c r="P2740" s="34" t="str">
        <f t="shared" si="55"/>
        <v>F010</v>
      </c>
      <c r="Q2740" s="1" t="s">
        <v>137</v>
      </c>
      <c r="S2740" s="16">
        <v>20</v>
      </c>
      <c r="T2740" s="1" t="s">
        <v>2299</v>
      </c>
      <c r="U2740" s="1" t="s">
        <v>1686</v>
      </c>
      <c r="V2740" s="1" t="s">
        <v>1574</v>
      </c>
      <c r="Y2740" s="1">
        <v>7277</v>
      </c>
      <c r="AB2740" s="1">
        <v>2496.39</v>
      </c>
    </row>
    <row r="2741" spans="2:28" x14ac:dyDescent="0.2">
      <c r="B2741" s="30" t="s">
        <v>2294</v>
      </c>
      <c r="C2741" s="36"/>
      <c r="D2741" s="36"/>
      <c r="F2741" s="1" t="s">
        <v>1322</v>
      </c>
      <c r="G2741" s="30" t="s">
        <v>5219</v>
      </c>
      <c r="K2741" s="1" t="s">
        <v>5220</v>
      </c>
      <c r="L2741" s="1" t="s">
        <v>1279</v>
      </c>
      <c r="M2741" s="36" t="s">
        <v>1805</v>
      </c>
      <c r="N2741" s="1" t="s">
        <v>1573</v>
      </c>
      <c r="O2741" s="1" t="s">
        <v>1286</v>
      </c>
      <c r="P2741" s="34" t="str">
        <f t="shared" si="55"/>
        <v>F010</v>
      </c>
      <c r="Q2741" s="1" t="s">
        <v>1136</v>
      </c>
      <c r="S2741" s="16">
        <v>20</v>
      </c>
      <c r="T2741" s="1" t="s">
        <v>2299</v>
      </c>
      <c r="U2741" s="1" t="s">
        <v>1794</v>
      </c>
      <c r="V2741" s="1" t="s">
        <v>1796</v>
      </c>
      <c r="Y2741" s="1">
        <v>6800</v>
      </c>
      <c r="AB2741" s="1">
        <v>4665.5600000000004</v>
      </c>
    </row>
    <row r="2742" spans="2:28" x14ac:dyDescent="0.2">
      <c r="B2742" s="30" t="s">
        <v>2294</v>
      </c>
      <c r="C2742" s="36"/>
      <c r="D2742" s="36"/>
      <c r="F2742" s="1" t="s">
        <v>1322</v>
      </c>
      <c r="G2742" s="30" t="s">
        <v>5219</v>
      </c>
      <c r="K2742" s="1" t="s">
        <v>5221</v>
      </c>
      <c r="L2742" s="1" t="s">
        <v>1279</v>
      </c>
      <c r="M2742" s="36" t="s">
        <v>1805</v>
      </c>
      <c r="N2742" s="1" t="s">
        <v>1573</v>
      </c>
      <c r="O2742" s="1" t="s">
        <v>1286</v>
      </c>
      <c r="P2742" s="34" t="str">
        <f t="shared" si="55"/>
        <v>F010</v>
      </c>
      <c r="Q2742" s="1" t="s">
        <v>1136</v>
      </c>
      <c r="S2742" s="16">
        <v>20</v>
      </c>
      <c r="T2742" s="1" t="s">
        <v>2299</v>
      </c>
      <c r="U2742" s="1" t="s">
        <v>1794</v>
      </c>
      <c r="V2742" s="1" t="s">
        <v>1796</v>
      </c>
      <c r="Y2742" s="1">
        <v>6800</v>
      </c>
      <c r="AB2742" s="1">
        <v>4665.5600000000004</v>
      </c>
    </row>
    <row r="2743" spans="2:28" x14ac:dyDescent="0.2">
      <c r="B2743" s="30" t="s">
        <v>2294</v>
      </c>
      <c r="C2743" s="36"/>
      <c r="D2743" s="36"/>
      <c r="F2743" s="1" t="s">
        <v>1322</v>
      </c>
      <c r="G2743" s="30" t="s">
        <v>5219</v>
      </c>
      <c r="K2743" s="1" t="s">
        <v>5222</v>
      </c>
      <c r="L2743" s="1" t="s">
        <v>1279</v>
      </c>
      <c r="M2743" s="36" t="s">
        <v>1484</v>
      </c>
      <c r="N2743" s="1" t="s">
        <v>1288</v>
      </c>
      <c r="O2743" s="1" t="s">
        <v>1286</v>
      </c>
      <c r="P2743" s="34" t="str">
        <f t="shared" si="55"/>
        <v>F010</v>
      </c>
      <c r="Q2743" s="1" t="s">
        <v>137</v>
      </c>
      <c r="S2743" s="16">
        <v>20</v>
      </c>
      <c r="T2743" s="1" t="s">
        <v>2299</v>
      </c>
      <c r="U2743" s="1" t="s">
        <v>1492</v>
      </c>
      <c r="V2743" s="1" t="s">
        <v>1330</v>
      </c>
      <c r="Y2743" s="1">
        <v>6800</v>
      </c>
      <c r="AB2743" s="1">
        <v>6460</v>
      </c>
    </row>
    <row r="2744" spans="2:28" x14ac:dyDescent="0.2">
      <c r="B2744" s="30" t="s">
        <v>2294</v>
      </c>
      <c r="C2744" s="36"/>
      <c r="D2744" s="36"/>
      <c r="F2744" s="1" t="s">
        <v>1322</v>
      </c>
      <c r="G2744" s="30" t="s">
        <v>5219</v>
      </c>
      <c r="K2744" s="1" t="s">
        <v>5223</v>
      </c>
      <c r="L2744" s="1" t="s">
        <v>1279</v>
      </c>
      <c r="M2744" s="36" t="s">
        <v>1484</v>
      </c>
      <c r="N2744" s="1" t="s">
        <v>4232</v>
      </c>
      <c r="O2744" s="1" t="s">
        <v>1286</v>
      </c>
      <c r="P2744" s="34" t="str">
        <f t="shared" si="55"/>
        <v>F010</v>
      </c>
      <c r="Q2744" s="1" t="s">
        <v>137</v>
      </c>
      <c r="S2744" s="16">
        <v>20</v>
      </c>
      <c r="T2744" s="1" t="s">
        <v>2299</v>
      </c>
      <c r="U2744" s="1" t="s">
        <v>1492</v>
      </c>
      <c r="V2744" s="1" t="s">
        <v>1330</v>
      </c>
      <c r="Y2744" s="1">
        <v>6800</v>
      </c>
      <c r="AB2744" s="1">
        <v>6460</v>
      </c>
    </row>
    <row r="2745" spans="2:28" x14ac:dyDescent="0.2">
      <c r="B2745" s="30" t="s">
        <v>2294</v>
      </c>
      <c r="C2745" s="36"/>
      <c r="D2745" s="36"/>
      <c r="F2745" s="1" t="s">
        <v>1322</v>
      </c>
      <c r="G2745" s="30" t="s">
        <v>5224</v>
      </c>
      <c r="K2745" s="1" t="s">
        <v>5225</v>
      </c>
      <c r="L2745" s="1" t="s">
        <v>1279</v>
      </c>
      <c r="M2745" s="36" t="s">
        <v>2038</v>
      </c>
      <c r="N2745" s="1" t="s">
        <v>1788</v>
      </c>
      <c r="O2745" s="1" t="s">
        <v>1286</v>
      </c>
      <c r="P2745" s="34" t="str">
        <f t="shared" si="55"/>
        <v>F010</v>
      </c>
      <c r="Q2745" s="1" t="s">
        <v>127</v>
      </c>
      <c r="S2745" s="16">
        <v>20</v>
      </c>
      <c r="T2745" s="1" t="s">
        <v>2299</v>
      </c>
      <c r="U2745" s="1" t="s">
        <v>1329</v>
      </c>
      <c r="V2745" s="1" t="s">
        <v>1460</v>
      </c>
      <c r="Y2745" s="1">
        <v>11900</v>
      </c>
      <c r="AB2745" s="1">
        <v>11305</v>
      </c>
    </row>
    <row r="2746" spans="2:28" x14ac:dyDescent="0.2">
      <c r="B2746" s="30" t="s">
        <v>2294</v>
      </c>
      <c r="C2746" s="36"/>
      <c r="D2746" s="36"/>
      <c r="F2746" s="1" t="s">
        <v>1322</v>
      </c>
      <c r="G2746" s="30" t="s">
        <v>5224</v>
      </c>
      <c r="K2746" s="1" t="s">
        <v>5226</v>
      </c>
      <c r="L2746" s="1" t="s">
        <v>1279</v>
      </c>
      <c r="M2746" s="36" t="s">
        <v>2038</v>
      </c>
      <c r="N2746" s="1" t="s">
        <v>1284</v>
      </c>
      <c r="O2746" s="1" t="s">
        <v>1286</v>
      </c>
      <c r="P2746" s="34" t="str">
        <f t="shared" si="55"/>
        <v>F010</v>
      </c>
      <c r="Q2746" s="1" t="s">
        <v>127</v>
      </c>
      <c r="S2746" s="16">
        <v>20</v>
      </c>
      <c r="T2746" s="1" t="s">
        <v>2299</v>
      </c>
      <c r="U2746" s="1" t="s">
        <v>1329</v>
      </c>
      <c r="V2746" s="1" t="s">
        <v>1460</v>
      </c>
      <c r="Y2746" s="1">
        <v>8162</v>
      </c>
      <c r="AB2746" s="1">
        <v>7753.9</v>
      </c>
    </row>
    <row r="2747" spans="2:28" x14ac:dyDescent="0.2">
      <c r="B2747" s="30" t="s">
        <v>2294</v>
      </c>
      <c r="C2747" s="36"/>
      <c r="D2747" s="36"/>
      <c r="F2747" s="1" t="s">
        <v>1322</v>
      </c>
      <c r="G2747" s="30" t="s">
        <v>5224</v>
      </c>
      <c r="K2747" s="1" t="s">
        <v>5227</v>
      </c>
      <c r="L2747" s="1" t="s">
        <v>1279</v>
      </c>
      <c r="M2747" s="36" t="s">
        <v>2038</v>
      </c>
      <c r="N2747" s="1" t="s">
        <v>1795</v>
      </c>
      <c r="O2747" s="1" t="s">
        <v>1286</v>
      </c>
      <c r="P2747" s="34" t="str">
        <f t="shared" si="55"/>
        <v>F010</v>
      </c>
      <c r="Q2747" s="1" t="s">
        <v>127</v>
      </c>
      <c r="S2747" s="16">
        <v>20</v>
      </c>
      <c r="T2747" s="1" t="s">
        <v>2299</v>
      </c>
      <c r="U2747" s="1" t="s">
        <v>1329</v>
      </c>
      <c r="V2747" s="1" t="s">
        <v>1460</v>
      </c>
      <c r="Y2747" s="1">
        <v>8162</v>
      </c>
      <c r="AB2747" s="1">
        <v>7753.9</v>
      </c>
    </row>
    <row r="2748" spans="2:28" x14ac:dyDescent="0.2">
      <c r="B2748" s="30" t="s">
        <v>2294</v>
      </c>
      <c r="C2748" s="36"/>
      <c r="D2748" s="36"/>
      <c r="F2748" s="1" t="s">
        <v>1322</v>
      </c>
      <c r="G2748" s="30" t="s">
        <v>5228</v>
      </c>
      <c r="K2748" s="1" t="s">
        <v>5229</v>
      </c>
      <c r="L2748" s="1" t="s">
        <v>1279</v>
      </c>
      <c r="M2748" s="36" t="s">
        <v>2023</v>
      </c>
      <c r="N2748" s="1" t="s">
        <v>1614</v>
      </c>
      <c r="O2748" s="1" t="s">
        <v>1286</v>
      </c>
      <c r="P2748" s="34" t="str">
        <f t="shared" si="55"/>
        <v>F010</v>
      </c>
      <c r="Q2748" s="1" t="s">
        <v>127</v>
      </c>
      <c r="S2748" s="16">
        <v>20</v>
      </c>
      <c r="T2748" s="1" t="s">
        <v>2299</v>
      </c>
      <c r="U2748" s="1" t="s">
        <v>1453</v>
      </c>
      <c r="V2748" s="1" t="s">
        <v>1794</v>
      </c>
      <c r="Y2748" s="1">
        <v>8162</v>
      </c>
      <c r="AB2748" s="1">
        <v>7753.9</v>
      </c>
    </row>
    <row r="2749" spans="2:28" x14ac:dyDescent="0.2">
      <c r="B2749" s="30" t="s">
        <v>2294</v>
      </c>
      <c r="C2749" s="36"/>
      <c r="D2749" s="36"/>
      <c r="F2749" s="1" t="s">
        <v>1322</v>
      </c>
      <c r="G2749" s="30" t="s">
        <v>5228</v>
      </c>
      <c r="K2749" s="1" t="s">
        <v>5230</v>
      </c>
      <c r="L2749" s="1" t="s">
        <v>1279</v>
      </c>
      <c r="M2749" s="36" t="s">
        <v>2023</v>
      </c>
      <c r="N2749" s="1" t="s">
        <v>1614</v>
      </c>
      <c r="O2749" s="1" t="s">
        <v>1286</v>
      </c>
      <c r="P2749" s="34" t="str">
        <f t="shared" si="55"/>
        <v>F010</v>
      </c>
      <c r="Q2749" s="1" t="s">
        <v>127</v>
      </c>
      <c r="S2749" s="16">
        <v>20</v>
      </c>
      <c r="T2749" s="1" t="s">
        <v>2299</v>
      </c>
      <c r="U2749" s="1" t="s">
        <v>1453</v>
      </c>
      <c r="V2749" s="1" t="s">
        <v>1794</v>
      </c>
      <c r="Y2749" s="1">
        <v>8162</v>
      </c>
      <c r="AB2749" s="1">
        <v>7753.9</v>
      </c>
    </row>
    <row r="2750" spans="2:28" x14ac:dyDescent="0.2">
      <c r="B2750" s="30" t="s">
        <v>2294</v>
      </c>
      <c r="C2750" s="36"/>
      <c r="D2750" s="36"/>
      <c r="F2750" s="1" t="s">
        <v>1322</v>
      </c>
      <c r="G2750" s="30" t="s">
        <v>5231</v>
      </c>
      <c r="K2750" s="1" t="s">
        <v>5232</v>
      </c>
      <c r="L2750" s="1" t="s">
        <v>1279</v>
      </c>
      <c r="M2750" s="36" t="s">
        <v>1415</v>
      </c>
      <c r="N2750" s="1" t="s">
        <v>1614</v>
      </c>
      <c r="O2750" s="1" t="s">
        <v>1286</v>
      </c>
      <c r="P2750" s="34" t="str">
        <f t="shared" si="55"/>
        <v>F010</v>
      </c>
      <c r="Q2750" s="1" t="s">
        <v>127</v>
      </c>
      <c r="S2750" s="16">
        <v>20</v>
      </c>
      <c r="T2750" s="1" t="s">
        <v>5233</v>
      </c>
      <c r="U2750" s="1" t="s">
        <v>2023</v>
      </c>
      <c r="V2750" s="1" t="s">
        <v>1805</v>
      </c>
      <c r="Y2750" s="1">
        <v>8162</v>
      </c>
      <c r="AB2750" s="1">
        <v>7753.9</v>
      </c>
    </row>
    <row r="2751" spans="2:28" x14ac:dyDescent="0.2">
      <c r="B2751" s="30" t="s">
        <v>2294</v>
      </c>
      <c r="C2751" s="36"/>
      <c r="D2751" s="36"/>
      <c r="F2751" s="1" t="s">
        <v>5234</v>
      </c>
      <c r="G2751" s="30" t="s">
        <v>5231</v>
      </c>
      <c r="K2751" s="1" t="s">
        <v>5235</v>
      </c>
      <c r="L2751" s="1" t="s">
        <v>1279</v>
      </c>
      <c r="M2751" s="36" t="s">
        <v>1415</v>
      </c>
      <c r="N2751" s="1" t="s">
        <v>1284</v>
      </c>
      <c r="O2751" s="1" t="s">
        <v>1286</v>
      </c>
      <c r="P2751" s="34" t="str">
        <f t="shared" si="55"/>
        <v>F010</v>
      </c>
      <c r="Q2751" s="1" t="s">
        <v>127</v>
      </c>
      <c r="S2751" s="16">
        <v>20</v>
      </c>
      <c r="T2751" s="1" t="s">
        <v>4315</v>
      </c>
      <c r="U2751" s="1" t="s">
        <v>2023</v>
      </c>
      <c r="V2751" s="1" t="s">
        <v>1805</v>
      </c>
      <c r="Y2751" s="1">
        <v>8162</v>
      </c>
      <c r="AB2751" s="1">
        <v>7753.9</v>
      </c>
    </row>
    <row r="2752" spans="2:28" x14ac:dyDescent="0.2">
      <c r="B2752" s="30" t="s">
        <v>2294</v>
      </c>
      <c r="C2752" s="36"/>
      <c r="D2752" s="36"/>
      <c r="F2752" s="1" t="s">
        <v>4316</v>
      </c>
      <c r="G2752" s="30" t="s">
        <v>5236</v>
      </c>
      <c r="K2752" s="1" t="s">
        <v>5237</v>
      </c>
      <c r="L2752" s="1" t="s">
        <v>1279</v>
      </c>
      <c r="M2752" s="36" t="s">
        <v>1582</v>
      </c>
      <c r="N2752" s="1" t="s">
        <v>1754</v>
      </c>
      <c r="O2752" s="1" t="s">
        <v>1286</v>
      </c>
      <c r="P2752" s="34" t="str">
        <f t="shared" si="55"/>
        <v>F010</v>
      </c>
      <c r="Q2752" s="1" t="s">
        <v>127</v>
      </c>
      <c r="S2752" s="16">
        <v>20</v>
      </c>
      <c r="T2752" s="1" t="s">
        <v>2299</v>
      </c>
      <c r="U2752" s="1" t="s">
        <v>1645</v>
      </c>
      <c r="V2752" s="1" t="s">
        <v>1999</v>
      </c>
      <c r="Y2752" s="1">
        <v>8162</v>
      </c>
      <c r="AB2752" s="1">
        <v>7753.9</v>
      </c>
    </row>
    <row r="2753" spans="2:28" x14ac:dyDescent="0.2">
      <c r="B2753" s="30" t="s">
        <v>2294</v>
      </c>
      <c r="C2753" s="36"/>
      <c r="D2753" s="36"/>
      <c r="F2753" s="1" t="s">
        <v>1322</v>
      </c>
      <c r="G2753" s="30" t="s">
        <v>5236</v>
      </c>
      <c r="K2753" s="1" t="s">
        <v>5238</v>
      </c>
      <c r="L2753" s="1" t="s">
        <v>1279</v>
      </c>
      <c r="M2753" s="36" t="s">
        <v>1582</v>
      </c>
      <c r="N2753" s="1" t="s">
        <v>2957</v>
      </c>
      <c r="O2753" s="1" t="s">
        <v>1286</v>
      </c>
      <c r="P2753" s="34" t="str">
        <f t="shared" si="55"/>
        <v>F010</v>
      </c>
      <c r="Q2753" s="1" t="s">
        <v>127</v>
      </c>
      <c r="S2753" s="16">
        <v>20</v>
      </c>
      <c r="T2753" s="1" t="s">
        <v>2299</v>
      </c>
      <c r="U2753" s="1" t="s">
        <v>1645</v>
      </c>
      <c r="V2753" s="1" t="s">
        <v>1999</v>
      </c>
      <c r="Y2753" s="1">
        <v>8162</v>
      </c>
      <c r="AB2753" s="1">
        <v>7753.9</v>
      </c>
    </row>
    <row r="2754" spans="2:28" x14ac:dyDescent="0.2">
      <c r="B2754" s="30" t="s">
        <v>2294</v>
      </c>
      <c r="C2754" s="36"/>
      <c r="D2754" s="36"/>
      <c r="F2754" s="1" t="s">
        <v>1322</v>
      </c>
      <c r="G2754" s="30" t="s">
        <v>5236</v>
      </c>
      <c r="K2754" s="1" t="s">
        <v>5239</v>
      </c>
      <c r="L2754" s="1" t="s">
        <v>1279</v>
      </c>
      <c r="M2754" s="36" t="s">
        <v>1582</v>
      </c>
      <c r="N2754" s="1" t="s">
        <v>2094</v>
      </c>
      <c r="O2754" s="1" t="s">
        <v>1286</v>
      </c>
      <c r="P2754" s="34" t="str">
        <f t="shared" si="55"/>
        <v>F010</v>
      </c>
      <c r="Q2754" s="1" t="s">
        <v>127</v>
      </c>
      <c r="S2754" s="16">
        <v>20</v>
      </c>
      <c r="T2754" s="1" t="s">
        <v>2299</v>
      </c>
      <c r="U2754" s="1" t="s">
        <v>1645</v>
      </c>
      <c r="V2754" s="1" t="s">
        <v>1999</v>
      </c>
      <c r="Y2754" s="1">
        <v>8162</v>
      </c>
      <c r="AB2754" s="1">
        <v>7753.9</v>
      </c>
    </row>
    <row r="2755" spans="2:28" x14ac:dyDescent="0.2">
      <c r="B2755" s="30" t="s">
        <v>2294</v>
      </c>
      <c r="C2755" s="36"/>
      <c r="D2755" s="36"/>
      <c r="F2755" s="1" t="s">
        <v>1322</v>
      </c>
      <c r="G2755" s="30" t="s">
        <v>5236</v>
      </c>
      <c r="K2755" s="1" t="s">
        <v>5240</v>
      </c>
      <c r="L2755" s="1" t="s">
        <v>1279</v>
      </c>
      <c r="M2755" s="36" t="s">
        <v>1582</v>
      </c>
      <c r="N2755" s="1" t="s">
        <v>2094</v>
      </c>
      <c r="O2755" s="1" t="s">
        <v>1286</v>
      </c>
      <c r="P2755" s="34" t="str">
        <f t="shared" si="55"/>
        <v>F010</v>
      </c>
      <c r="Q2755" s="1" t="s">
        <v>127</v>
      </c>
      <c r="S2755" s="16">
        <v>20</v>
      </c>
      <c r="T2755" s="1" t="s">
        <v>4315</v>
      </c>
      <c r="U2755" s="1" t="s">
        <v>1645</v>
      </c>
      <c r="V2755" s="1" t="s">
        <v>1999</v>
      </c>
      <c r="Y2755" s="1">
        <v>8162</v>
      </c>
      <c r="AB2755" s="1">
        <v>7753.9</v>
      </c>
    </row>
    <row r="2756" spans="2:28" x14ac:dyDescent="0.2">
      <c r="B2756" s="30" t="s">
        <v>2294</v>
      </c>
      <c r="C2756" s="36"/>
      <c r="D2756" s="36"/>
      <c r="F2756" s="1" t="s">
        <v>4316</v>
      </c>
      <c r="G2756" s="30" t="s">
        <v>5241</v>
      </c>
      <c r="K2756" s="1" t="s">
        <v>5242</v>
      </c>
      <c r="L2756" s="1" t="s">
        <v>1279</v>
      </c>
      <c r="M2756" s="36" t="s">
        <v>2502</v>
      </c>
      <c r="N2756" s="1" t="s">
        <v>3615</v>
      </c>
      <c r="O2756" s="1" t="s">
        <v>1286</v>
      </c>
      <c r="P2756" s="34" t="str">
        <f t="shared" si="55"/>
        <v>F010</v>
      </c>
      <c r="Q2756" s="1" t="s">
        <v>127</v>
      </c>
      <c r="S2756" s="16">
        <v>20</v>
      </c>
      <c r="T2756" s="1" t="s">
        <v>2299</v>
      </c>
      <c r="U2756" s="1" t="s">
        <v>2197</v>
      </c>
      <c r="V2756" s="1" t="s">
        <v>1601</v>
      </c>
      <c r="Y2756" s="1">
        <v>8756</v>
      </c>
      <c r="AB2756" s="1">
        <v>8087.14</v>
      </c>
    </row>
    <row r="2757" spans="2:28" x14ac:dyDescent="0.2">
      <c r="B2757" s="30" t="s">
        <v>2294</v>
      </c>
      <c r="C2757" s="36"/>
      <c r="D2757" s="36"/>
      <c r="F2757" s="1" t="s">
        <v>1322</v>
      </c>
      <c r="G2757" s="30" t="s">
        <v>5241</v>
      </c>
      <c r="K2757" s="1" t="s">
        <v>5243</v>
      </c>
      <c r="L2757" s="1" t="s">
        <v>1279</v>
      </c>
      <c r="M2757" s="36" t="s">
        <v>2502</v>
      </c>
      <c r="N2757" s="1" t="s">
        <v>2611</v>
      </c>
      <c r="O2757" s="1" t="s">
        <v>1286</v>
      </c>
      <c r="P2757" s="34" t="str">
        <f t="shared" si="55"/>
        <v>F010</v>
      </c>
      <c r="Q2757" s="1" t="s">
        <v>127</v>
      </c>
      <c r="S2757" s="16">
        <v>20</v>
      </c>
      <c r="T2757" s="1" t="s">
        <v>2299</v>
      </c>
      <c r="U2757" s="1" t="s">
        <v>2197</v>
      </c>
      <c r="V2757" s="1" t="s">
        <v>1601</v>
      </c>
      <c r="Y2757" s="1">
        <v>8756</v>
      </c>
      <c r="AB2757" s="1">
        <v>8087.14</v>
      </c>
    </row>
    <row r="2758" spans="2:28" x14ac:dyDescent="0.2">
      <c r="B2758" s="30" t="s">
        <v>2294</v>
      </c>
      <c r="C2758" s="36"/>
      <c r="D2758" s="36"/>
      <c r="F2758" s="1" t="s">
        <v>1322</v>
      </c>
      <c r="G2758" s="30" t="s">
        <v>5241</v>
      </c>
      <c r="K2758" s="1" t="s">
        <v>5244</v>
      </c>
      <c r="L2758" s="1" t="s">
        <v>1279</v>
      </c>
      <c r="M2758" s="36" t="s">
        <v>2502</v>
      </c>
      <c r="N2758" s="1" t="s">
        <v>1287</v>
      </c>
      <c r="O2758" s="1" t="s">
        <v>1286</v>
      </c>
      <c r="P2758" s="34" t="str">
        <f t="shared" si="55"/>
        <v>F010</v>
      </c>
      <c r="Q2758" s="1" t="s">
        <v>127</v>
      </c>
      <c r="S2758" s="16">
        <v>20</v>
      </c>
      <c r="T2758" s="1" t="s">
        <v>2299</v>
      </c>
      <c r="U2758" s="1" t="s">
        <v>2197</v>
      </c>
      <c r="V2758" s="1" t="s">
        <v>1601</v>
      </c>
      <c r="Y2758" s="1">
        <v>8756</v>
      </c>
      <c r="AB2758" s="1">
        <v>8087.14</v>
      </c>
    </row>
    <row r="2759" spans="2:28" x14ac:dyDescent="0.2">
      <c r="B2759" s="30" t="s">
        <v>2294</v>
      </c>
      <c r="C2759" s="36"/>
      <c r="D2759" s="36"/>
      <c r="F2759" s="1" t="s">
        <v>1322</v>
      </c>
      <c r="G2759" s="30" t="s">
        <v>5241</v>
      </c>
      <c r="K2759" s="1" t="s">
        <v>5245</v>
      </c>
      <c r="L2759" s="1" t="s">
        <v>1279</v>
      </c>
      <c r="M2759" s="36" t="s">
        <v>2502</v>
      </c>
      <c r="N2759" s="1" t="s">
        <v>1715</v>
      </c>
      <c r="O2759" s="1" t="s">
        <v>1286</v>
      </c>
      <c r="P2759" s="34" t="str">
        <f t="shared" si="55"/>
        <v>F010</v>
      </c>
      <c r="Q2759" s="1" t="s">
        <v>127</v>
      </c>
      <c r="S2759" s="16">
        <v>20</v>
      </c>
      <c r="T2759" s="1" t="s">
        <v>2299</v>
      </c>
      <c r="U2759" s="1" t="s">
        <v>2197</v>
      </c>
      <c r="V2759" s="1" t="s">
        <v>1601</v>
      </c>
      <c r="Y2759" s="1">
        <v>8756</v>
      </c>
      <c r="AB2759" s="1">
        <v>8087.14</v>
      </c>
    </row>
    <row r="2760" spans="2:28" x14ac:dyDescent="0.2">
      <c r="B2760" s="30" t="s">
        <v>2294</v>
      </c>
      <c r="C2760" s="36"/>
      <c r="D2760" s="36"/>
      <c r="F2760" s="1" t="s">
        <v>1322</v>
      </c>
      <c r="G2760" s="30" t="s">
        <v>5241</v>
      </c>
      <c r="K2760" s="1" t="s">
        <v>5246</v>
      </c>
      <c r="L2760" s="1" t="s">
        <v>1279</v>
      </c>
      <c r="M2760" s="36" t="s">
        <v>2502</v>
      </c>
      <c r="N2760" s="1" t="s">
        <v>2598</v>
      </c>
      <c r="O2760" s="1" t="s">
        <v>1286</v>
      </c>
      <c r="P2760" s="34" t="str">
        <f t="shared" si="55"/>
        <v>F010</v>
      </c>
      <c r="Q2760" s="1" t="s">
        <v>127</v>
      </c>
      <c r="S2760" s="16">
        <v>20</v>
      </c>
      <c r="T2760" s="1" t="s">
        <v>4315</v>
      </c>
      <c r="U2760" s="1" t="s">
        <v>2197</v>
      </c>
      <c r="V2760" s="1" t="s">
        <v>1601</v>
      </c>
      <c r="Y2760" s="1">
        <v>8756</v>
      </c>
      <c r="AB2760" s="1">
        <v>8087.14</v>
      </c>
    </row>
    <row r="2761" spans="2:28" x14ac:dyDescent="0.2">
      <c r="B2761" s="30" t="s">
        <v>2294</v>
      </c>
      <c r="C2761" s="36"/>
      <c r="D2761" s="36"/>
      <c r="F2761" s="1" t="s">
        <v>4316</v>
      </c>
      <c r="G2761" s="30" t="s">
        <v>5241</v>
      </c>
      <c r="K2761" s="1" t="s">
        <v>5247</v>
      </c>
      <c r="L2761" s="1" t="s">
        <v>1279</v>
      </c>
      <c r="M2761" s="36" t="s">
        <v>2502</v>
      </c>
      <c r="N2761" s="1" t="s">
        <v>1630</v>
      </c>
      <c r="O2761" s="1" t="s">
        <v>1286</v>
      </c>
      <c r="P2761" s="34" t="str">
        <f t="shared" si="55"/>
        <v>F010</v>
      </c>
      <c r="Q2761" s="1" t="s">
        <v>127</v>
      </c>
      <c r="S2761" s="16">
        <v>20</v>
      </c>
      <c r="T2761" s="1" t="s">
        <v>2299</v>
      </c>
      <c r="U2761" s="1" t="s">
        <v>2197</v>
      </c>
      <c r="V2761" s="1" t="s">
        <v>1601</v>
      </c>
      <c r="Y2761" s="1">
        <v>8756</v>
      </c>
      <c r="AB2761" s="1">
        <v>8087.14</v>
      </c>
    </row>
    <row r="2762" spans="2:28" x14ac:dyDescent="0.2">
      <c r="B2762" s="30" t="s">
        <v>2294</v>
      </c>
      <c r="C2762" s="36"/>
      <c r="D2762" s="36"/>
      <c r="F2762" s="1" t="s">
        <v>1322</v>
      </c>
      <c r="G2762" s="30" t="s">
        <v>5241</v>
      </c>
      <c r="K2762" s="1" t="s">
        <v>5248</v>
      </c>
      <c r="L2762" s="1" t="s">
        <v>1279</v>
      </c>
      <c r="M2762" s="36" t="s">
        <v>2502</v>
      </c>
      <c r="N2762" s="1" t="s">
        <v>1564</v>
      </c>
      <c r="O2762" s="1" t="s">
        <v>1286</v>
      </c>
      <c r="P2762" s="34" t="str">
        <f t="shared" si="55"/>
        <v>F010</v>
      </c>
      <c r="Q2762" s="1" t="s">
        <v>127</v>
      </c>
      <c r="S2762" s="16">
        <v>20</v>
      </c>
      <c r="T2762" s="1" t="s">
        <v>2299</v>
      </c>
      <c r="U2762" s="1" t="s">
        <v>2197</v>
      </c>
      <c r="V2762" s="1" t="s">
        <v>1601</v>
      </c>
      <c r="Y2762" s="1">
        <v>8756</v>
      </c>
      <c r="AB2762" s="1">
        <v>8087.14</v>
      </c>
    </row>
    <row r="2763" spans="2:28" x14ac:dyDescent="0.2">
      <c r="B2763" s="30" t="s">
        <v>2294</v>
      </c>
      <c r="C2763" s="36"/>
      <c r="D2763" s="36"/>
      <c r="F2763" s="1" t="s">
        <v>1322</v>
      </c>
      <c r="G2763" s="30" t="s">
        <v>5241</v>
      </c>
      <c r="K2763" s="1" t="s">
        <v>5249</v>
      </c>
      <c r="L2763" s="1" t="s">
        <v>1279</v>
      </c>
      <c r="M2763" s="36" t="s">
        <v>2502</v>
      </c>
      <c r="N2763" s="1" t="s">
        <v>1715</v>
      </c>
      <c r="O2763" s="1" t="s">
        <v>1286</v>
      </c>
      <c r="P2763" s="34" t="str">
        <f t="shared" si="55"/>
        <v>F010</v>
      </c>
      <c r="Q2763" s="1" t="s">
        <v>127</v>
      </c>
      <c r="S2763" s="16">
        <v>20</v>
      </c>
      <c r="T2763" s="1" t="s">
        <v>2299</v>
      </c>
      <c r="U2763" s="1" t="s">
        <v>2197</v>
      </c>
      <c r="V2763" s="1" t="s">
        <v>1601</v>
      </c>
      <c r="Y2763" s="1">
        <v>17512</v>
      </c>
      <c r="AB2763" s="1">
        <v>16599.919999999998</v>
      </c>
    </row>
    <row r="2764" spans="2:28" x14ac:dyDescent="0.2">
      <c r="B2764" s="30" t="s">
        <v>2294</v>
      </c>
      <c r="C2764" s="36"/>
      <c r="D2764" s="36"/>
      <c r="F2764" s="1" t="s">
        <v>1322</v>
      </c>
      <c r="G2764" s="30" t="s">
        <v>5241</v>
      </c>
      <c r="K2764" s="1" t="s">
        <v>5250</v>
      </c>
      <c r="L2764" s="1" t="s">
        <v>1279</v>
      </c>
      <c r="M2764" s="36" t="s">
        <v>2502</v>
      </c>
      <c r="N2764" s="1" t="s">
        <v>1715</v>
      </c>
      <c r="O2764" s="1" t="s">
        <v>1286</v>
      </c>
      <c r="P2764" s="34" t="str">
        <f t="shared" si="55"/>
        <v>F010</v>
      </c>
      <c r="Q2764" s="1" t="s">
        <v>127</v>
      </c>
      <c r="S2764" s="16">
        <v>20</v>
      </c>
      <c r="T2764" s="1" t="s">
        <v>2299</v>
      </c>
      <c r="U2764" s="1" t="s">
        <v>2197</v>
      </c>
      <c r="V2764" s="1" t="s">
        <v>1601</v>
      </c>
      <c r="Y2764" s="1">
        <v>17538</v>
      </c>
      <c r="AB2764" s="1">
        <v>16625.2</v>
      </c>
    </row>
    <row r="2765" spans="2:28" x14ac:dyDescent="0.2">
      <c r="B2765" s="30" t="s">
        <v>2294</v>
      </c>
      <c r="C2765" s="36"/>
      <c r="D2765" s="36"/>
      <c r="F2765" s="1" t="s">
        <v>1322</v>
      </c>
      <c r="G2765" s="30" t="s">
        <v>5241</v>
      </c>
      <c r="K2765" s="1" t="s">
        <v>5251</v>
      </c>
      <c r="L2765" s="1" t="s">
        <v>1279</v>
      </c>
      <c r="M2765" s="36" t="s">
        <v>2502</v>
      </c>
      <c r="N2765" s="1" t="s">
        <v>1715</v>
      </c>
      <c r="O2765" s="1" t="s">
        <v>1286</v>
      </c>
      <c r="P2765" s="34" t="str">
        <f t="shared" si="55"/>
        <v>F010</v>
      </c>
      <c r="Q2765" s="1" t="s">
        <v>127</v>
      </c>
      <c r="S2765" s="16">
        <v>20</v>
      </c>
      <c r="T2765" s="1" t="s">
        <v>4315</v>
      </c>
      <c r="U2765" s="1" t="s">
        <v>2197</v>
      </c>
      <c r="V2765" s="1" t="s">
        <v>1601</v>
      </c>
      <c r="Y2765" s="1">
        <v>8756</v>
      </c>
      <c r="AB2765" s="1">
        <v>8087.14</v>
      </c>
    </row>
    <row r="2766" spans="2:28" x14ac:dyDescent="0.2">
      <c r="B2766" s="30" t="s">
        <v>2294</v>
      </c>
      <c r="C2766" s="36"/>
      <c r="D2766" s="36"/>
      <c r="F2766" s="1" t="s">
        <v>4316</v>
      </c>
      <c r="G2766" s="30" t="s">
        <v>5241</v>
      </c>
      <c r="K2766" s="1" t="s">
        <v>5252</v>
      </c>
      <c r="L2766" s="1" t="s">
        <v>1279</v>
      </c>
      <c r="M2766" s="36" t="s">
        <v>2502</v>
      </c>
      <c r="N2766" s="1" t="s">
        <v>1715</v>
      </c>
      <c r="O2766" s="1" t="s">
        <v>1286</v>
      </c>
      <c r="P2766" s="34" t="str">
        <f t="shared" si="55"/>
        <v>F010</v>
      </c>
      <c r="Q2766" s="1" t="s">
        <v>127</v>
      </c>
      <c r="S2766" s="16">
        <v>20</v>
      </c>
      <c r="T2766" s="1" t="s">
        <v>2299</v>
      </c>
      <c r="U2766" s="1" t="s">
        <v>2197</v>
      </c>
      <c r="V2766" s="1" t="s">
        <v>1601</v>
      </c>
      <c r="Y2766" s="1">
        <v>17512</v>
      </c>
      <c r="AB2766" s="1">
        <v>16599.919999999998</v>
      </c>
    </row>
    <row r="2767" spans="2:28" x14ac:dyDescent="0.2">
      <c r="B2767" s="30" t="s">
        <v>2294</v>
      </c>
      <c r="C2767" s="36"/>
      <c r="D2767" s="36"/>
      <c r="F2767" s="1" t="s">
        <v>1322</v>
      </c>
      <c r="G2767" s="30" t="s">
        <v>5241</v>
      </c>
      <c r="K2767" s="1" t="s">
        <v>5253</v>
      </c>
      <c r="L2767" s="1" t="s">
        <v>1279</v>
      </c>
      <c r="M2767" s="36" t="s">
        <v>2502</v>
      </c>
      <c r="N2767" s="1" t="s">
        <v>1630</v>
      </c>
      <c r="O2767" s="1" t="s">
        <v>1286</v>
      </c>
      <c r="P2767" s="34" t="str">
        <f t="shared" si="55"/>
        <v>F010</v>
      </c>
      <c r="Q2767" s="1" t="s">
        <v>127</v>
      </c>
      <c r="S2767" s="16">
        <v>20</v>
      </c>
      <c r="T2767" s="1" t="s">
        <v>2299</v>
      </c>
      <c r="U2767" s="1" t="s">
        <v>2197</v>
      </c>
      <c r="V2767" s="1" t="s">
        <v>1601</v>
      </c>
      <c r="Y2767" s="1">
        <v>17538</v>
      </c>
      <c r="AB2767" s="1">
        <v>16625.2</v>
      </c>
    </row>
    <row r="2768" spans="2:28" x14ac:dyDescent="0.2">
      <c r="B2768" s="30" t="s">
        <v>2294</v>
      </c>
      <c r="C2768" s="36"/>
      <c r="D2768" s="36"/>
      <c r="F2768" s="1" t="s">
        <v>1322</v>
      </c>
      <c r="G2768" s="30" t="s">
        <v>5241</v>
      </c>
      <c r="K2768" s="1" t="s">
        <v>5254</v>
      </c>
      <c r="L2768" s="1" t="s">
        <v>1279</v>
      </c>
      <c r="M2768" s="36" t="s">
        <v>2502</v>
      </c>
      <c r="N2768" s="1" t="s">
        <v>1754</v>
      </c>
      <c r="O2768" s="1" t="s">
        <v>1286</v>
      </c>
      <c r="P2768" s="34" t="str">
        <f t="shared" si="55"/>
        <v>F010</v>
      </c>
      <c r="Q2768" s="1" t="s">
        <v>127</v>
      </c>
      <c r="S2768" s="16">
        <v>20</v>
      </c>
      <c r="T2768" s="1" t="s">
        <v>2299</v>
      </c>
      <c r="U2768" s="1" t="s">
        <v>2197</v>
      </c>
      <c r="V2768" s="1" t="s">
        <v>1601</v>
      </c>
      <c r="Y2768" s="1">
        <v>17538</v>
      </c>
      <c r="AB2768" s="1">
        <v>16625.2</v>
      </c>
    </row>
    <row r="2769" spans="2:28" x14ac:dyDescent="0.2">
      <c r="B2769" s="30" t="s">
        <v>2294</v>
      </c>
      <c r="C2769" s="36"/>
      <c r="D2769" s="36"/>
      <c r="F2769" s="1" t="s">
        <v>1322</v>
      </c>
      <c r="G2769" s="30" t="s">
        <v>5241</v>
      </c>
      <c r="K2769" s="1" t="s">
        <v>5255</v>
      </c>
      <c r="L2769" s="1" t="s">
        <v>1279</v>
      </c>
      <c r="M2769" s="36" t="s">
        <v>2502</v>
      </c>
      <c r="N2769" s="1" t="s">
        <v>1715</v>
      </c>
      <c r="O2769" s="1" t="s">
        <v>1286</v>
      </c>
      <c r="P2769" s="34" t="str">
        <f t="shared" si="55"/>
        <v>F010</v>
      </c>
      <c r="Q2769" s="1" t="s">
        <v>127</v>
      </c>
      <c r="S2769" s="16">
        <v>20</v>
      </c>
      <c r="T2769" s="1" t="s">
        <v>2299</v>
      </c>
      <c r="U2769" s="1" t="s">
        <v>2197</v>
      </c>
      <c r="V2769" s="1" t="s">
        <v>1601</v>
      </c>
      <c r="Y2769" s="1">
        <v>17512</v>
      </c>
      <c r="AB2769" s="1">
        <v>16599.919999999998</v>
      </c>
    </row>
    <row r="2770" spans="2:28" x14ac:dyDescent="0.2">
      <c r="B2770" s="30" t="s">
        <v>2294</v>
      </c>
      <c r="C2770" s="36"/>
      <c r="D2770" s="36"/>
      <c r="F2770" s="1" t="s">
        <v>1322</v>
      </c>
      <c r="G2770" s="30" t="s">
        <v>5241</v>
      </c>
      <c r="K2770" s="1" t="s">
        <v>5256</v>
      </c>
      <c r="L2770" s="1" t="s">
        <v>1279</v>
      </c>
      <c r="M2770" s="36" t="s">
        <v>2502</v>
      </c>
      <c r="N2770" s="1" t="s">
        <v>1715</v>
      </c>
      <c r="O2770" s="1" t="s">
        <v>1286</v>
      </c>
      <c r="P2770" s="34" t="str">
        <f t="shared" si="55"/>
        <v>F010</v>
      </c>
      <c r="Q2770" s="1" t="s">
        <v>127</v>
      </c>
      <c r="S2770" s="16">
        <v>20</v>
      </c>
      <c r="T2770" s="1" t="s">
        <v>4315</v>
      </c>
      <c r="U2770" s="1" t="s">
        <v>2197</v>
      </c>
      <c r="V2770" s="1" t="s">
        <v>1601</v>
      </c>
      <c r="Y2770" s="1">
        <v>17512</v>
      </c>
      <c r="AB2770" s="1">
        <v>16599.919999999998</v>
      </c>
    </row>
    <row r="2771" spans="2:28" x14ac:dyDescent="0.2">
      <c r="B2771" s="30" t="s">
        <v>2294</v>
      </c>
      <c r="C2771" s="36"/>
      <c r="D2771" s="36"/>
      <c r="F2771" s="1" t="s">
        <v>4316</v>
      </c>
      <c r="G2771" s="30" t="s">
        <v>5241</v>
      </c>
      <c r="K2771" s="1" t="s">
        <v>5257</v>
      </c>
      <c r="L2771" s="1" t="s">
        <v>1279</v>
      </c>
      <c r="M2771" s="36" t="s">
        <v>2502</v>
      </c>
      <c r="N2771" s="1" t="s">
        <v>1715</v>
      </c>
      <c r="O2771" s="1" t="s">
        <v>1286</v>
      </c>
      <c r="P2771" s="34" t="str">
        <f t="shared" si="55"/>
        <v>F010</v>
      </c>
      <c r="Q2771" s="1" t="s">
        <v>127</v>
      </c>
      <c r="S2771" s="16">
        <v>20</v>
      </c>
      <c r="T2771" s="1" t="s">
        <v>2299</v>
      </c>
      <c r="U2771" s="1" t="s">
        <v>2197</v>
      </c>
      <c r="V2771" s="1" t="s">
        <v>1601</v>
      </c>
      <c r="Y2771" s="1">
        <v>17512</v>
      </c>
      <c r="AB2771" s="1">
        <v>16599.919999999998</v>
      </c>
    </row>
    <row r="2772" spans="2:28" x14ac:dyDescent="0.2">
      <c r="B2772" s="30" t="s">
        <v>2294</v>
      </c>
      <c r="C2772" s="36"/>
      <c r="D2772" s="36"/>
      <c r="F2772" s="1" t="s">
        <v>1322</v>
      </c>
      <c r="G2772" s="30" t="s">
        <v>5241</v>
      </c>
      <c r="K2772" s="1" t="s">
        <v>5258</v>
      </c>
      <c r="L2772" s="1" t="s">
        <v>1279</v>
      </c>
      <c r="M2772" s="36" t="s">
        <v>2502</v>
      </c>
      <c r="N2772" s="1" t="s">
        <v>1715</v>
      </c>
      <c r="O2772" s="1" t="s">
        <v>1286</v>
      </c>
      <c r="P2772" s="34" t="str">
        <f t="shared" si="55"/>
        <v>F010</v>
      </c>
      <c r="Q2772" s="1" t="s">
        <v>127</v>
      </c>
      <c r="S2772" s="16">
        <v>20</v>
      </c>
      <c r="T2772" s="1" t="s">
        <v>2299</v>
      </c>
      <c r="U2772" s="1" t="s">
        <v>2197</v>
      </c>
      <c r="V2772" s="1" t="s">
        <v>1601</v>
      </c>
      <c r="Y2772" s="1">
        <v>17512</v>
      </c>
      <c r="AB2772" s="1">
        <v>16599.919999999998</v>
      </c>
    </row>
    <row r="2773" spans="2:28" x14ac:dyDescent="0.2">
      <c r="B2773" s="30" t="s">
        <v>2294</v>
      </c>
      <c r="C2773" s="36"/>
      <c r="D2773" s="36"/>
      <c r="F2773" s="1" t="s">
        <v>1322</v>
      </c>
      <c r="G2773" s="30" t="s">
        <v>5241</v>
      </c>
      <c r="K2773" s="1" t="s">
        <v>5259</v>
      </c>
      <c r="L2773" s="1" t="s">
        <v>1279</v>
      </c>
      <c r="M2773" s="36" t="s">
        <v>1413</v>
      </c>
      <c r="N2773" s="1" t="s">
        <v>5260</v>
      </c>
      <c r="O2773" s="1" t="s">
        <v>1286</v>
      </c>
      <c r="P2773" s="34" t="str">
        <f t="shared" si="55"/>
        <v>F010</v>
      </c>
      <c r="Q2773" s="1" t="s">
        <v>127</v>
      </c>
      <c r="S2773" s="16">
        <v>20</v>
      </c>
      <c r="T2773" s="1" t="s">
        <v>2299</v>
      </c>
      <c r="U2773" s="1" t="s">
        <v>1484</v>
      </c>
      <c r="V2773" s="1" t="s">
        <v>1476</v>
      </c>
      <c r="Y2773" s="1">
        <v>8698</v>
      </c>
      <c r="AB2773" s="1">
        <v>8263.1</v>
      </c>
    </row>
    <row r="2774" spans="2:28" x14ac:dyDescent="0.2">
      <c r="B2774" s="30" t="s">
        <v>2294</v>
      </c>
      <c r="C2774" s="36"/>
      <c r="D2774" s="36"/>
      <c r="F2774" s="1" t="s">
        <v>1322</v>
      </c>
      <c r="G2774" s="30" t="s">
        <v>5241</v>
      </c>
      <c r="K2774" s="1" t="s">
        <v>5261</v>
      </c>
      <c r="L2774" s="1" t="s">
        <v>1279</v>
      </c>
      <c r="M2774" s="36" t="s">
        <v>1413</v>
      </c>
      <c r="N2774" s="1" t="s">
        <v>1568</v>
      </c>
      <c r="O2774" s="1" t="s">
        <v>1286</v>
      </c>
      <c r="P2774" s="34" t="str">
        <f t="shared" si="55"/>
        <v>F010</v>
      </c>
      <c r="Q2774" s="1" t="s">
        <v>127</v>
      </c>
      <c r="S2774" s="16">
        <v>20</v>
      </c>
      <c r="T2774" s="1" t="s">
        <v>2299</v>
      </c>
      <c r="U2774" s="1" t="s">
        <v>1484</v>
      </c>
      <c r="V2774" s="1" t="s">
        <v>1476</v>
      </c>
      <c r="Y2774" s="1">
        <v>8698</v>
      </c>
      <c r="AB2774" s="1">
        <v>8263.1</v>
      </c>
    </row>
    <row r="2775" spans="2:28" x14ac:dyDescent="0.2">
      <c r="B2775" s="30" t="s">
        <v>2294</v>
      </c>
      <c r="C2775" s="36"/>
      <c r="D2775" s="36"/>
      <c r="F2775" s="1" t="s">
        <v>1322</v>
      </c>
      <c r="G2775" s="30" t="s">
        <v>5241</v>
      </c>
      <c r="K2775" s="1" t="s">
        <v>5262</v>
      </c>
      <c r="L2775" s="1" t="s">
        <v>1279</v>
      </c>
      <c r="M2775" s="36" t="s">
        <v>1413</v>
      </c>
      <c r="N2775" s="1" t="s">
        <v>1568</v>
      </c>
      <c r="O2775" s="1" t="s">
        <v>1286</v>
      </c>
      <c r="P2775" s="34" t="str">
        <f t="shared" si="55"/>
        <v>F010</v>
      </c>
      <c r="Q2775" s="1" t="s">
        <v>127</v>
      </c>
      <c r="S2775" s="16">
        <v>20</v>
      </c>
      <c r="T2775" s="1" t="s">
        <v>4315</v>
      </c>
      <c r="U2775" s="1" t="s">
        <v>1484</v>
      </c>
      <c r="V2775" s="1" t="s">
        <v>1476</v>
      </c>
      <c r="Y2775" s="1">
        <v>8698</v>
      </c>
      <c r="AB2775" s="1">
        <v>8263.1</v>
      </c>
    </row>
    <row r="2776" spans="2:28" x14ac:dyDescent="0.2">
      <c r="B2776" s="30" t="s">
        <v>2294</v>
      </c>
      <c r="C2776" s="36"/>
      <c r="D2776" s="36"/>
      <c r="F2776" s="1" t="s">
        <v>4316</v>
      </c>
      <c r="G2776" s="30" t="s">
        <v>5241</v>
      </c>
      <c r="K2776" s="1" t="s">
        <v>5263</v>
      </c>
      <c r="L2776" s="1" t="s">
        <v>1279</v>
      </c>
      <c r="M2776" s="36" t="s">
        <v>1413</v>
      </c>
      <c r="N2776" s="1" t="s">
        <v>1630</v>
      </c>
      <c r="O2776" s="1" t="s">
        <v>1286</v>
      </c>
      <c r="P2776" s="34" t="str">
        <f t="shared" si="55"/>
        <v>F010</v>
      </c>
      <c r="Q2776" s="1" t="s">
        <v>127</v>
      </c>
      <c r="S2776" s="16">
        <v>20</v>
      </c>
      <c r="T2776" s="1" t="s">
        <v>2299</v>
      </c>
      <c r="U2776" s="1" t="s">
        <v>1484</v>
      </c>
      <c r="V2776" s="1" t="s">
        <v>1476</v>
      </c>
      <c r="Y2776" s="1">
        <v>8698</v>
      </c>
      <c r="AB2776" s="1">
        <v>8263.1</v>
      </c>
    </row>
    <row r="2777" spans="2:28" x14ac:dyDescent="0.2">
      <c r="B2777" s="30" t="s">
        <v>2294</v>
      </c>
      <c r="C2777" s="36"/>
      <c r="D2777" s="36"/>
      <c r="F2777" s="1" t="s">
        <v>1322</v>
      </c>
      <c r="G2777" s="30" t="s">
        <v>5241</v>
      </c>
      <c r="K2777" s="1" t="s">
        <v>5264</v>
      </c>
      <c r="L2777" s="1" t="s">
        <v>1279</v>
      </c>
      <c r="M2777" s="36" t="s">
        <v>1413</v>
      </c>
      <c r="N2777" s="1" t="s">
        <v>1556</v>
      </c>
      <c r="O2777" s="1" t="s">
        <v>1286</v>
      </c>
      <c r="P2777" s="34" t="str">
        <f t="shared" si="55"/>
        <v>F010</v>
      </c>
      <c r="Q2777" s="1" t="s">
        <v>127</v>
      </c>
      <c r="S2777" s="16">
        <v>20</v>
      </c>
      <c r="T2777" s="1" t="s">
        <v>2299</v>
      </c>
      <c r="U2777" s="1" t="s">
        <v>1484</v>
      </c>
      <c r="V2777" s="1" t="s">
        <v>1476</v>
      </c>
      <c r="Y2777" s="1">
        <v>8698</v>
      </c>
      <c r="AB2777" s="1">
        <v>8263.1</v>
      </c>
    </row>
    <row r="2778" spans="2:28" x14ac:dyDescent="0.2">
      <c r="B2778" s="30" t="s">
        <v>2294</v>
      </c>
      <c r="C2778" s="36"/>
      <c r="D2778" s="36"/>
      <c r="F2778" s="1" t="s">
        <v>1322</v>
      </c>
      <c r="G2778" s="30" t="s">
        <v>5241</v>
      </c>
      <c r="K2778" s="1" t="s">
        <v>5265</v>
      </c>
      <c r="L2778" s="1" t="s">
        <v>1279</v>
      </c>
      <c r="M2778" s="36" t="s">
        <v>1425</v>
      </c>
      <c r="N2778" s="1" t="s">
        <v>1286</v>
      </c>
      <c r="O2778" s="1" t="s">
        <v>1286</v>
      </c>
      <c r="P2778" s="34" t="str">
        <f t="shared" si="55"/>
        <v>F010</v>
      </c>
      <c r="Q2778" s="1" t="s">
        <v>127</v>
      </c>
      <c r="S2778" s="16">
        <v>20</v>
      </c>
      <c r="T2778" s="1" t="s">
        <v>2299</v>
      </c>
      <c r="U2778" s="1" t="s">
        <v>2120</v>
      </c>
      <c r="V2778" s="1" t="s">
        <v>1990</v>
      </c>
      <c r="Y2778" s="1">
        <v>8756</v>
      </c>
      <c r="AB2778" s="1">
        <v>8318.2000000000007</v>
      </c>
    </row>
    <row r="2779" spans="2:28" x14ac:dyDescent="0.2">
      <c r="B2779" s="30" t="s">
        <v>2294</v>
      </c>
      <c r="C2779" s="36"/>
      <c r="D2779" s="36"/>
      <c r="F2779" s="1" t="s">
        <v>1322</v>
      </c>
      <c r="G2779" s="30" t="s">
        <v>5241</v>
      </c>
      <c r="K2779" s="1" t="s">
        <v>5266</v>
      </c>
      <c r="L2779" s="1" t="s">
        <v>1279</v>
      </c>
      <c r="M2779" s="36" t="s">
        <v>1425</v>
      </c>
      <c r="N2779" s="1" t="s">
        <v>1286</v>
      </c>
      <c r="O2779" s="1" t="s">
        <v>1286</v>
      </c>
      <c r="P2779" s="34" t="str">
        <f t="shared" si="55"/>
        <v>F010</v>
      </c>
      <c r="Q2779" s="1" t="s">
        <v>127</v>
      </c>
      <c r="S2779" s="16">
        <v>20</v>
      </c>
      <c r="T2779" s="1" t="s">
        <v>2299</v>
      </c>
      <c r="U2779" s="1" t="s">
        <v>2120</v>
      </c>
      <c r="V2779" s="1" t="s">
        <v>1990</v>
      </c>
      <c r="Y2779" s="1">
        <v>8756</v>
      </c>
      <c r="AB2779" s="1">
        <v>8318.2000000000007</v>
      </c>
    </row>
    <row r="2780" spans="2:28" x14ac:dyDescent="0.2">
      <c r="B2780" s="30" t="s">
        <v>2294</v>
      </c>
      <c r="C2780" s="36"/>
      <c r="D2780" s="36"/>
      <c r="F2780" s="1" t="s">
        <v>1322</v>
      </c>
      <c r="G2780" s="30" t="s">
        <v>5241</v>
      </c>
      <c r="K2780" s="1" t="s">
        <v>5267</v>
      </c>
      <c r="L2780" s="1" t="s">
        <v>1279</v>
      </c>
      <c r="M2780" s="36" t="s">
        <v>1425</v>
      </c>
      <c r="N2780" s="1" t="s">
        <v>1637</v>
      </c>
      <c r="O2780" s="1" t="s">
        <v>1286</v>
      </c>
      <c r="P2780" s="34" t="str">
        <f t="shared" si="55"/>
        <v>F010</v>
      </c>
      <c r="Q2780" s="1" t="s">
        <v>127</v>
      </c>
      <c r="S2780" s="16">
        <v>20</v>
      </c>
      <c r="T2780" s="1" t="s">
        <v>2299</v>
      </c>
      <c r="U2780" s="1" t="s">
        <v>2120</v>
      </c>
      <c r="V2780" s="1" t="s">
        <v>1990</v>
      </c>
      <c r="Y2780" s="1">
        <v>8756</v>
      </c>
      <c r="AB2780" s="1">
        <v>8318.2000000000007</v>
      </c>
    </row>
    <row r="2781" spans="2:28" x14ac:dyDescent="0.2">
      <c r="B2781" s="30" t="s">
        <v>2294</v>
      </c>
      <c r="C2781" s="36"/>
      <c r="D2781" s="36"/>
      <c r="F2781" s="1" t="s">
        <v>1322</v>
      </c>
      <c r="G2781" s="30" t="s">
        <v>5241</v>
      </c>
      <c r="K2781" s="1" t="s">
        <v>5268</v>
      </c>
      <c r="L2781" s="1" t="s">
        <v>1279</v>
      </c>
      <c r="M2781" s="36" t="s">
        <v>1425</v>
      </c>
      <c r="N2781" s="1" t="s">
        <v>1286</v>
      </c>
      <c r="O2781" s="1" t="s">
        <v>1286</v>
      </c>
      <c r="P2781" s="34" t="str">
        <f t="shared" si="55"/>
        <v>F010</v>
      </c>
      <c r="Q2781" s="1" t="s">
        <v>127</v>
      </c>
      <c r="S2781" s="16">
        <v>20</v>
      </c>
      <c r="T2781" s="1" t="s">
        <v>2299</v>
      </c>
      <c r="U2781" s="1" t="s">
        <v>2120</v>
      </c>
      <c r="V2781" s="1" t="s">
        <v>1990</v>
      </c>
      <c r="Y2781" s="1">
        <v>8756</v>
      </c>
      <c r="AB2781" s="1">
        <v>8318.2000000000007</v>
      </c>
    </row>
    <row r="2782" spans="2:28" x14ac:dyDescent="0.2">
      <c r="B2782" s="30" t="s">
        <v>2294</v>
      </c>
      <c r="C2782" s="36"/>
      <c r="D2782" s="36"/>
      <c r="F2782" s="1" t="s">
        <v>1322</v>
      </c>
      <c r="G2782" s="30" t="s">
        <v>5241</v>
      </c>
      <c r="K2782" s="1" t="s">
        <v>5269</v>
      </c>
      <c r="L2782" s="1" t="s">
        <v>1279</v>
      </c>
      <c r="M2782" s="36" t="s">
        <v>1425</v>
      </c>
      <c r="N2782" s="1" t="s">
        <v>1286</v>
      </c>
      <c r="O2782" s="1" t="s">
        <v>1286</v>
      </c>
      <c r="P2782" s="34" t="str">
        <f t="shared" si="55"/>
        <v>F010</v>
      </c>
      <c r="Q2782" s="1" t="s">
        <v>127</v>
      </c>
      <c r="S2782" s="16">
        <v>20</v>
      </c>
      <c r="T2782" s="1" t="s">
        <v>4315</v>
      </c>
      <c r="U2782" s="1" t="s">
        <v>2120</v>
      </c>
      <c r="V2782" s="1" t="s">
        <v>1990</v>
      </c>
      <c r="Y2782" s="1">
        <v>8756</v>
      </c>
      <c r="AB2782" s="1">
        <v>8318.2000000000007</v>
      </c>
    </row>
    <row r="2783" spans="2:28" x14ac:dyDescent="0.2">
      <c r="B2783" s="30" t="s">
        <v>2294</v>
      </c>
      <c r="C2783" s="36"/>
      <c r="D2783" s="36"/>
      <c r="F2783" s="1" t="s">
        <v>4316</v>
      </c>
      <c r="G2783" s="30" t="s">
        <v>5241</v>
      </c>
      <c r="K2783" s="1" t="s">
        <v>5270</v>
      </c>
      <c r="L2783" s="1" t="s">
        <v>1279</v>
      </c>
      <c r="M2783" s="36" t="s">
        <v>1425</v>
      </c>
      <c r="N2783" s="1" t="s">
        <v>1286</v>
      </c>
      <c r="O2783" s="1" t="s">
        <v>1286</v>
      </c>
      <c r="P2783" s="34" t="str">
        <f t="shared" si="55"/>
        <v>F010</v>
      </c>
      <c r="Q2783" s="1" t="s">
        <v>127</v>
      </c>
      <c r="S2783" s="16">
        <v>20</v>
      </c>
      <c r="T2783" s="1" t="s">
        <v>2299</v>
      </c>
      <c r="U2783" s="1" t="s">
        <v>2120</v>
      </c>
      <c r="V2783" s="1" t="s">
        <v>1990</v>
      </c>
      <c r="Y2783" s="1">
        <v>8756</v>
      </c>
      <c r="AB2783" s="1">
        <v>8318.2000000000007</v>
      </c>
    </row>
    <row r="2784" spans="2:28" x14ac:dyDescent="0.2">
      <c r="B2784" s="30" t="s">
        <v>2294</v>
      </c>
      <c r="C2784" s="36"/>
      <c r="D2784" s="36"/>
      <c r="F2784" s="1" t="s">
        <v>1322</v>
      </c>
      <c r="G2784" s="30" t="s">
        <v>5241</v>
      </c>
      <c r="K2784" s="1" t="s">
        <v>5271</v>
      </c>
      <c r="L2784" s="1" t="s">
        <v>1279</v>
      </c>
      <c r="M2784" s="36" t="s">
        <v>2502</v>
      </c>
      <c r="N2784" s="1" t="s">
        <v>1287</v>
      </c>
      <c r="O2784" s="1" t="s">
        <v>1286</v>
      </c>
      <c r="P2784" s="34" t="str">
        <f t="shared" si="55"/>
        <v>F010</v>
      </c>
      <c r="Q2784" s="1" t="s">
        <v>127</v>
      </c>
      <c r="S2784" s="16">
        <v>20</v>
      </c>
      <c r="T2784" s="1" t="s">
        <v>2299</v>
      </c>
      <c r="U2784" s="1" t="s">
        <v>2197</v>
      </c>
      <c r="V2784" s="1" t="s">
        <v>1601</v>
      </c>
      <c r="Y2784" s="1">
        <v>8756</v>
      </c>
      <c r="AB2784" s="1">
        <v>8087.14</v>
      </c>
    </row>
    <row r="2785" spans="2:28" x14ac:dyDescent="0.2">
      <c r="B2785" s="30" t="s">
        <v>2294</v>
      </c>
      <c r="C2785" s="36"/>
      <c r="D2785" s="36"/>
      <c r="F2785" s="1" t="s">
        <v>1322</v>
      </c>
      <c r="G2785" s="30" t="s">
        <v>5241</v>
      </c>
      <c r="K2785" s="1" t="s">
        <v>5272</v>
      </c>
      <c r="L2785" s="1" t="s">
        <v>1279</v>
      </c>
      <c r="M2785" s="36" t="s">
        <v>2141</v>
      </c>
      <c r="N2785" s="1" t="s">
        <v>1642</v>
      </c>
      <c r="O2785" s="1" t="s">
        <v>1286</v>
      </c>
      <c r="P2785" s="34" t="str">
        <f t="shared" si="55"/>
        <v>F010</v>
      </c>
      <c r="Q2785" s="1" t="s">
        <v>127</v>
      </c>
      <c r="S2785" s="16">
        <v>20</v>
      </c>
      <c r="T2785" s="1" t="s">
        <v>2299</v>
      </c>
      <c r="U2785" s="1" t="s">
        <v>1604</v>
      </c>
      <c r="V2785" s="1" t="s">
        <v>1430</v>
      </c>
      <c r="Y2785" s="1">
        <v>8302</v>
      </c>
      <c r="AB2785" s="1">
        <v>7886.9</v>
      </c>
    </row>
    <row r="2786" spans="2:28" x14ac:dyDescent="0.2">
      <c r="B2786" s="30" t="s">
        <v>2294</v>
      </c>
      <c r="C2786" s="36"/>
      <c r="D2786" s="36"/>
      <c r="F2786" s="1" t="s">
        <v>1322</v>
      </c>
      <c r="G2786" s="30" t="s">
        <v>5241</v>
      </c>
      <c r="K2786" s="1" t="s">
        <v>5273</v>
      </c>
      <c r="L2786" s="1" t="s">
        <v>1279</v>
      </c>
      <c r="M2786" s="36" t="s">
        <v>1510</v>
      </c>
      <c r="N2786" s="1" t="s">
        <v>1284</v>
      </c>
      <c r="O2786" s="1" t="s">
        <v>1286</v>
      </c>
      <c r="P2786" s="34" t="str">
        <f t="shared" si="55"/>
        <v>F010</v>
      </c>
      <c r="Q2786" s="1" t="s">
        <v>127</v>
      </c>
      <c r="S2786" s="16">
        <v>20</v>
      </c>
      <c r="T2786" s="1" t="s">
        <v>2299</v>
      </c>
      <c r="U2786" s="1" t="s">
        <v>1413</v>
      </c>
      <c r="V2786" s="1" t="s">
        <v>1560</v>
      </c>
      <c r="Y2786" s="1">
        <v>8698</v>
      </c>
      <c r="AB2786" s="1">
        <v>8263.1</v>
      </c>
    </row>
    <row r="2787" spans="2:28" x14ac:dyDescent="0.2">
      <c r="B2787" s="30" t="s">
        <v>2294</v>
      </c>
      <c r="C2787" s="36"/>
      <c r="D2787" s="36"/>
      <c r="F2787" s="1" t="s">
        <v>1322</v>
      </c>
      <c r="G2787" s="30" t="s">
        <v>5241</v>
      </c>
      <c r="K2787" s="1" t="s">
        <v>5274</v>
      </c>
      <c r="L2787" s="1" t="s">
        <v>1279</v>
      </c>
      <c r="M2787" s="36" t="s">
        <v>1510</v>
      </c>
      <c r="N2787" s="1" t="s">
        <v>1605</v>
      </c>
      <c r="O2787" s="1" t="s">
        <v>1286</v>
      </c>
      <c r="P2787" s="34" t="str">
        <f t="shared" si="55"/>
        <v>F010</v>
      </c>
      <c r="Q2787" s="1" t="s">
        <v>127</v>
      </c>
      <c r="S2787" s="16">
        <v>20</v>
      </c>
      <c r="T2787" s="1" t="s">
        <v>4315</v>
      </c>
      <c r="U2787" s="1" t="s">
        <v>1413</v>
      </c>
      <c r="V2787" s="1" t="s">
        <v>1560</v>
      </c>
      <c r="Y2787" s="1">
        <v>8698</v>
      </c>
      <c r="AB2787" s="1">
        <v>8263.1</v>
      </c>
    </row>
    <row r="2788" spans="2:28" x14ac:dyDescent="0.2">
      <c r="B2788" s="30" t="s">
        <v>2294</v>
      </c>
      <c r="C2788" s="36"/>
      <c r="D2788" s="36"/>
      <c r="F2788" s="1" t="s">
        <v>4316</v>
      </c>
      <c r="G2788" s="30" t="s">
        <v>5241</v>
      </c>
      <c r="K2788" s="1" t="s">
        <v>5275</v>
      </c>
      <c r="L2788" s="1" t="s">
        <v>1279</v>
      </c>
      <c r="M2788" s="36" t="s">
        <v>1510</v>
      </c>
      <c r="N2788" s="1" t="s">
        <v>1284</v>
      </c>
      <c r="O2788" s="1" t="s">
        <v>1286</v>
      </c>
      <c r="P2788" s="34" t="str">
        <f t="shared" si="55"/>
        <v>F010</v>
      </c>
      <c r="Q2788" s="1" t="s">
        <v>127</v>
      </c>
      <c r="S2788" s="16">
        <v>20</v>
      </c>
      <c r="T2788" s="1" t="s">
        <v>2299</v>
      </c>
      <c r="U2788" s="1" t="s">
        <v>1413</v>
      </c>
      <c r="V2788" s="1" t="s">
        <v>1560</v>
      </c>
      <c r="Y2788" s="1">
        <v>8302</v>
      </c>
      <c r="AB2788" s="1">
        <v>7886.9</v>
      </c>
    </row>
    <row r="2789" spans="2:28" x14ac:dyDescent="0.2">
      <c r="B2789" s="30" t="s">
        <v>2294</v>
      </c>
      <c r="C2789" s="36"/>
      <c r="D2789" s="36"/>
      <c r="F2789" s="1" t="s">
        <v>1322</v>
      </c>
      <c r="G2789" s="30" t="s">
        <v>5241</v>
      </c>
      <c r="K2789" s="1" t="s">
        <v>5276</v>
      </c>
      <c r="L2789" s="1" t="s">
        <v>1279</v>
      </c>
      <c r="M2789" s="36" t="s">
        <v>1510</v>
      </c>
      <c r="N2789" s="1" t="s">
        <v>2495</v>
      </c>
      <c r="O2789" s="1" t="s">
        <v>1286</v>
      </c>
      <c r="P2789" s="34" t="str">
        <f t="shared" si="55"/>
        <v>F010</v>
      </c>
      <c r="Q2789" s="1" t="s">
        <v>127</v>
      </c>
      <c r="S2789" s="16">
        <v>20</v>
      </c>
      <c r="T2789" s="1" t="s">
        <v>2299</v>
      </c>
      <c r="U2789" s="1" t="s">
        <v>1413</v>
      </c>
      <c r="V2789" s="1" t="s">
        <v>1560</v>
      </c>
      <c r="Y2789" s="1">
        <v>8302</v>
      </c>
      <c r="AB2789" s="1">
        <v>7886.9</v>
      </c>
    </row>
    <row r="2790" spans="2:28" x14ac:dyDescent="0.2">
      <c r="B2790" s="30" t="s">
        <v>2294</v>
      </c>
      <c r="C2790" s="36"/>
      <c r="D2790" s="36"/>
      <c r="F2790" s="1" t="s">
        <v>1322</v>
      </c>
      <c r="G2790" s="30" t="s">
        <v>5241</v>
      </c>
      <c r="K2790" s="1" t="s">
        <v>5277</v>
      </c>
      <c r="L2790" s="1" t="s">
        <v>1279</v>
      </c>
      <c r="M2790" s="36" t="s">
        <v>1425</v>
      </c>
      <c r="N2790" s="1" t="s">
        <v>1564</v>
      </c>
      <c r="O2790" s="1" t="s">
        <v>1286</v>
      </c>
      <c r="P2790" s="34" t="str">
        <f t="shared" si="55"/>
        <v>F010</v>
      </c>
      <c r="Q2790" s="1" t="s">
        <v>127</v>
      </c>
      <c r="S2790" s="16">
        <v>20</v>
      </c>
      <c r="T2790" s="1" t="s">
        <v>2299</v>
      </c>
      <c r="U2790" s="1" t="s">
        <v>2120</v>
      </c>
      <c r="V2790" s="1" t="s">
        <v>1990</v>
      </c>
      <c r="Y2790" s="1">
        <v>8698</v>
      </c>
      <c r="AB2790" s="1">
        <v>8263.1</v>
      </c>
    </row>
    <row r="2791" spans="2:28" x14ac:dyDescent="0.2">
      <c r="B2791" s="30" t="s">
        <v>2294</v>
      </c>
      <c r="C2791" s="36"/>
      <c r="D2791" s="36"/>
      <c r="F2791" s="1" t="s">
        <v>1322</v>
      </c>
      <c r="G2791" s="30" t="s">
        <v>5241</v>
      </c>
      <c r="K2791" s="1" t="s">
        <v>5278</v>
      </c>
      <c r="L2791" s="1" t="s">
        <v>1279</v>
      </c>
      <c r="M2791" s="36" t="s">
        <v>1425</v>
      </c>
      <c r="N2791" s="1" t="s">
        <v>1568</v>
      </c>
      <c r="O2791" s="1" t="s">
        <v>1286</v>
      </c>
      <c r="P2791" s="34" t="str">
        <f t="shared" si="55"/>
        <v>F010</v>
      </c>
      <c r="Q2791" s="1" t="s">
        <v>127</v>
      </c>
      <c r="S2791" s="16">
        <v>20</v>
      </c>
      <c r="T2791" s="1" t="s">
        <v>4315</v>
      </c>
      <c r="U2791" s="1" t="s">
        <v>2120</v>
      </c>
      <c r="V2791" s="1" t="s">
        <v>1990</v>
      </c>
      <c r="Y2791" s="1">
        <v>8698</v>
      </c>
      <c r="AB2791" s="1">
        <v>8263.1</v>
      </c>
    </row>
    <row r="2792" spans="2:28" x14ac:dyDescent="0.2">
      <c r="B2792" s="30" t="s">
        <v>2294</v>
      </c>
      <c r="C2792" s="36"/>
      <c r="D2792" s="36"/>
      <c r="F2792" s="1" t="s">
        <v>4316</v>
      </c>
      <c r="G2792" s="30" t="s">
        <v>5241</v>
      </c>
      <c r="K2792" s="1" t="s">
        <v>5279</v>
      </c>
      <c r="L2792" s="1" t="s">
        <v>1279</v>
      </c>
      <c r="M2792" s="36" t="s">
        <v>2141</v>
      </c>
      <c r="N2792" s="1" t="s">
        <v>2094</v>
      </c>
      <c r="O2792" s="1" t="s">
        <v>1286</v>
      </c>
      <c r="P2792" s="34" t="str">
        <f t="shared" si="55"/>
        <v>F010</v>
      </c>
      <c r="Q2792" s="1" t="s">
        <v>127</v>
      </c>
      <c r="S2792" s="16">
        <v>20</v>
      </c>
      <c r="T2792" s="1" t="s">
        <v>2299</v>
      </c>
      <c r="U2792" s="1" t="s">
        <v>1604</v>
      </c>
      <c r="V2792" s="1" t="s">
        <v>1430</v>
      </c>
      <c r="Y2792" s="1">
        <v>8302</v>
      </c>
      <c r="AB2792" s="1">
        <v>7886.9</v>
      </c>
    </row>
    <row r="2793" spans="2:28" x14ac:dyDescent="0.2">
      <c r="B2793" s="30" t="s">
        <v>2294</v>
      </c>
      <c r="C2793" s="36"/>
      <c r="D2793" s="36"/>
      <c r="F2793" s="1" t="s">
        <v>1322</v>
      </c>
      <c r="G2793" s="30" t="s">
        <v>5241</v>
      </c>
      <c r="K2793" s="1" t="s">
        <v>5280</v>
      </c>
      <c r="L2793" s="1" t="s">
        <v>1279</v>
      </c>
      <c r="M2793" s="36" t="s">
        <v>2141</v>
      </c>
      <c r="N2793" s="1" t="s">
        <v>1754</v>
      </c>
      <c r="O2793" s="1" t="s">
        <v>1286</v>
      </c>
      <c r="P2793" s="34" t="str">
        <f t="shared" si="55"/>
        <v>F010</v>
      </c>
      <c r="Q2793" s="1" t="s">
        <v>127</v>
      </c>
      <c r="S2793" s="16">
        <v>20</v>
      </c>
      <c r="T2793" s="1" t="s">
        <v>2299</v>
      </c>
      <c r="U2793" s="1" t="s">
        <v>1604</v>
      </c>
      <c r="V2793" s="1" t="s">
        <v>1430</v>
      </c>
      <c r="Y2793" s="1">
        <v>8302</v>
      </c>
      <c r="AB2793" s="1">
        <v>7886.9</v>
      </c>
    </row>
    <row r="2794" spans="2:28" x14ac:dyDescent="0.2">
      <c r="B2794" s="30" t="s">
        <v>2294</v>
      </c>
      <c r="C2794" s="36"/>
      <c r="D2794" s="36"/>
      <c r="F2794" s="1" t="s">
        <v>1322</v>
      </c>
      <c r="G2794" s="30" t="s">
        <v>5241</v>
      </c>
      <c r="K2794" s="1" t="s">
        <v>5281</v>
      </c>
      <c r="L2794" s="1" t="s">
        <v>1279</v>
      </c>
      <c r="M2794" s="36" t="s">
        <v>2141</v>
      </c>
      <c r="N2794" s="1" t="s">
        <v>1754</v>
      </c>
      <c r="O2794" s="1" t="s">
        <v>1286</v>
      </c>
      <c r="P2794" s="34" t="str">
        <f t="shared" si="55"/>
        <v>F010</v>
      </c>
      <c r="Q2794" s="1" t="s">
        <v>127</v>
      </c>
      <c r="S2794" s="16">
        <v>20</v>
      </c>
      <c r="T2794" s="1" t="s">
        <v>2299</v>
      </c>
      <c r="U2794" s="1" t="s">
        <v>1604</v>
      </c>
      <c r="V2794" s="1" t="s">
        <v>1430</v>
      </c>
      <c r="Y2794" s="1">
        <v>8302</v>
      </c>
      <c r="AB2794" s="1">
        <v>7886.9</v>
      </c>
    </row>
    <row r="2795" spans="2:28" x14ac:dyDescent="0.2">
      <c r="B2795" s="30" t="s">
        <v>2294</v>
      </c>
      <c r="C2795" s="36"/>
      <c r="D2795" s="36"/>
      <c r="F2795" s="1" t="s">
        <v>1322</v>
      </c>
      <c r="G2795" s="30" t="s">
        <v>5241</v>
      </c>
      <c r="K2795" s="1" t="s">
        <v>5282</v>
      </c>
      <c r="L2795" s="1" t="s">
        <v>1279</v>
      </c>
      <c r="M2795" s="36" t="s">
        <v>2141</v>
      </c>
      <c r="N2795" s="1" t="s">
        <v>1754</v>
      </c>
      <c r="O2795" s="1" t="s">
        <v>1286</v>
      </c>
      <c r="P2795" s="34" t="str">
        <f t="shared" si="55"/>
        <v>F010</v>
      </c>
      <c r="Q2795" s="1" t="s">
        <v>127</v>
      </c>
      <c r="S2795" s="16">
        <v>20</v>
      </c>
      <c r="T2795" s="1" t="s">
        <v>2299</v>
      </c>
      <c r="U2795" s="1" t="s">
        <v>1604</v>
      </c>
      <c r="V2795" s="1" t="s">
        <v>1430</v>
      </c>
      <c r="Y2795" s="1">
        <v>8302</v>
      </c>
      <c r="AB2795" s="1">
        <v>7886.9</v>
      </c>
    </row>
    <row r="2796" spans="2:28" x14ac:dyDescent="0.2">
      <c r="B2796" s="30" t="s">
        <v>2294</v>
      </c>
      <c r="C2796" s="36"/>
      <c r="D2796" s="36"/>
      <c r="F2796" s="1" t="s">
        <v>1322</v>
      </c>
      <c r="G2796" s="30" t="s">
        <v>5241</v>
      </c>
      <c r="K2796" s="1" t="s">
        <v>5283</v>
      </c>
      <c r="L2796" s="1" t="s">
        <v>1279</v>
      </c>
      <c r="M2796" s="36" t="s">
        <v>2141</v>
      </c>
      <c r="N2796" s="1" t="s">
        <v>1754</v>
      </c>
      <c r="O2796" s="1" t="s">
        <v>1286</v>
      </c>
      <c r="P2796" s="34" t="str">
        <f t="shared" si="55"/>
        <v>F010</v>
      </c>
      <c r="Q2796" s="1" t="s">
        <v>127</v>
      </c>
      <c r="S2796" s="16">
        <v>20</v>
      </c>
      <c r="T2796" s="1" t="s">
        <v>4315</v>
      </c>
      <c r="U2796" s="1" t="s">
        <v>1604</v>
      </c>
      <c r="V2796" s="1" t="s">
        <v>1430</v>
      </c>
      <c r="Y2796" s="1">
        <v>8302</v>
      </c>
      <c r="AB2796" s="1">
        <v>7886.9</v>
      </c>
    </row>
    <row r="2797" spans="2:28" x14ac:dyDescent="0.2">
      <c r="B2797" s="30" t="s">
        <v>2294</v>
      </c>
      <c r="C2797" s="36"/>
      <c r="D2797" s="36"/>
      <c r="F2797" s="1" t="s">
        <v>4316</v>
      </c>
      <c r="G2797" s="30" t="s">
        <v>5241</v>
      </c>
      <c r="K2797" s="1" t="s">
        <v>5284</v>
      </c>
      <c r="L2797" s="1" t="s">
        <v>1279</v>
      </c>
      <c r="M2797" s="36" t="s">
        <v>2141</v>
      </c>
      <c r="N2797" s="1" t="s">
        <v>1614</v>
      </c>
      <c r="O2797" s="1" t="s">
        <v>1286</v>
      </c>
      <c r="P2797" s="34" t="str">
        <f t="shared" si="55"/>
        <v>F010</v>
      </c>
      <c r="Q2797" s="1" t="s">
        <v>127</v>
      </c>
      <c r="S2797" s="16">
        <v>20</v>
      </c>
      <c r="T2797" s="1" t="s">
        <v>2299</v>
      </c>
      <c r="U2797" s="1" t="s">
        <v>1604</v>
      </c>
      <c r="V2797" s="1" t="s">
        <v>1430</v>
      </c>
      <c r="Y2797" s="1">
        <v>8302</v>
      </c>
      <c r="AB2797" s="1">
        <v>7886.9</v>
      </c>
    </row>
    <row r="2798" spans="2:28" x14ac:dyDescent="0.2">
      <c r="B2798" s="30" t="s">
        <v>2294</v>
      </c>
      <c r="C2798" s="36"/>
      <c r="D2798" s="36"/>
      <c r="F2798" s="1" t="s">
        <v>1322</v>
      </c>
      <c r="G2798" s="30" t="s">
        <v>5241</v>
      </c>
      <c r="K2798" s="1" t="s">
        <v>5285</v>
      </c>
      <c r="L2798" s="1" t="s">
        <v>1279</v>
      </c>
      <c r="M2798" s="36" t="s">
        <v>2141</v>
      </c>
      <c r="N2798" s="1" t="s">
        <v>1754</v>
      </c>
      <c r="O2798" s="1" t="s">
        <v>1286</v>
      </c>
      <c r="P2798" s="34" t="str">
        <f t="shared" si="55"/>
        <v>F010</v>
      </c>
      <c r="Q2798" s="1" t="s">
        <v>127</v>
      </c>
      <c r="S2798" s="16">
        <v>20</v>
      </c>
      <c r="T2798" s="1" t="s">
        <v>2299</v>
      </c>
      <c r="U2798" s="1" t="s">
        <v>1604</v>
      </c>
      <c r="V2798" s="1" t="s">
        <v>1430</v>
      </c>
      <c r="Y2798" s="1">
        <v>8302</v>
      </c>
      <c r="AB2798" s="1">
        <v>7886.9</v>
      </c>
    </row>
    <row r="2799" spans="2:28" x14ac:dyDescent="0.2">
      <c r="B2799" s="30" t="s">
        <v>2294</v>
      </c>
      <c r="C2799" s="36"/>
      <c r="D2799" s="36"/>
      <c r="F2799" s="1" t="s">
        <v>1322</v>
      </c>
      <c r="G2799" s="30" t="s">
        <v>5241</v>
      </c>
      <c r="K2799" s="1" t="s">
        <v>5286</v>
      </c>
      <c r="L2799" s="1" t="s">
        <v>1279</v>
      </c>
      <c r="M2799" s="36" t="s">
        <v>2141</v>
      </c>
      <c r="N2799" s="1" t="s">
        <v>1833</v>
      </c>
      <c r="O2799" s="1" t="s">
        <v>1286</v>
      </c>
      <c r="P2799" s="34" t="str">
        <f t="shared" si="55"/>
        <v>F010</v>
      </c>
      <c r="Q2799" s="1" t="s">
        <v>127</v>
      </c>
      <c r="S2799" s="16">
        <v>20</v>
      </c>
      <c r="T2799" s="1" t="s">
        <v>2299</v>
      </c>
      <c r="U2799" s="1" t="s">
        <v>1604</v>
      </c>
      <c r="V2799" s="1" t="s">
        <v>1430</v>
      </c>
      <c r="Y2799" s="1">
        <v>8302</v>
      </c>
      <c r="AB2799" s="1">
        <v>7886.9</v>
      </c>
    </row>
    <row r="2800" spans="2:28" x14ac:dyDescent="0.2">
      <c r="B2800" s="30" t="s">
        <v>2294</v>
      </c>
      <c r="C2800" s="36"/>
      <c r="D2800" s="36"/>
      <c r="F2800" s="1" t="s">
        <v>1322</v>
      </c>
      <c r="G2800" s="30" t="s">
        <v>5241</v>
      </c>
      <c r="K2800" s="1" t="s">
        <v>5287</v>
      </c>
      <c r="L2800" s="1" t="s">
        <v>1279</v>
      </c>
      <c r="M2800" s="36" t="s">
        <v>2141</v>
      </c>
      <c r="N2800" s="1" t="s">
        <v>1754</v>
      </c>
      <c r="O2800" s="1" t="s">
        <v>1286</v>
      </c>
      <c r="P2800" s="34" t="str">
        <f t="shared" si="55"/>
        <v>F010</v>
      </c>
      <c r="Q2800" s="1" t="s">
        <v>127</v>
      </c>
      <c r="S2800" s="16">
        <v>20</v>
      </c>
      <c r="T2800" s="1" t="s">
        <v>2299</v>
      </c>
      <c r="U2800" s="1" t="s">
        <v>1604</v>
      </c>
      <c r="V2800" s="1" t="s">
        <v>1430</v>
      </c>
      <c r="Y2800" s="1">
        <v>8302</v>
      </c>
      <c r="AB2800" s="1">
        <v>7886.9</v>
      </c>
    </row>
    <row r="2801" spans="2:28" x14ac:dyDescent="0.2">
      <c r="B2801" s="30" t="s">
        <v>2294</v>
      </c>
      <c r="C2801" s="36"/>
      <c r="D2801" s="36"/>
      <c r="F2801" s="1" t="s">
        <v>1322</v>
      </c>
      <c r="G2801" s="30" t="s">
        <v>5241</v>
      </c>
      <c r="K2801" s="1" t="s">
        <v>5288</v>
      </c>
      <c r="L2801" s="1" t="s">
        <v>1279</v>
      </c>
      <c r="M2801" s="36" t="s">
        <v>2141</v>
      </c>
      <c r="N2801" s="1" t="s">
        <v>1754</v>
      </c>
      <c r="O2801" s="1" t="s">
        <v>1286</v>
      </c>
      <c r="P2801" s="34" t="str">
        <f t="shared" ref="P2801:P2864" si="56">+LEFT(Q2801,4)</f>
        <v>F010</v>
      </c>
      <c r="Q2801" s="1" t="s">
        <v>127</v>
      </c>
      <c r="S2801" s="16">
        <v>20</v>
      </c>
      <c r="T2801" s="1" t="s">
        <v>4315</v>
      </c>
      <c r="U2801" s="1" t="s">
        <v>1604</v>
      </c>
      <c r="V2801" s="1" t="s">
        <v>1430</v>
      </c>
      <c r="Y2801" s="1">
        <v>8302</v>
      </c>
      <c r="AB2801" s="1">
        <v>7886.9</v>
      </c>
    </row>
    <row r="2802" spans="2:28" x14ac:dyDescent="0.2">
      <c r="B2802" s="30" t="s">
        <v>2294</v>
      </c>
      <c r="C2802" s="36"/>
      <c r="D2802" s="36"/>
      <c r="F2802" s="1" t="s">
        <v>4316</v>
      </c>
      <c r="G2802" s="30" t="s">
        <v>5241</v>
      </c>
      <c r="K2802" s="1" t="s">
        <v>5289</v>
      </c>
      <c r="L2802" s="1" t="s">
        <v>1279</v>
      </c>
      <c r="M2802" s="36" t="s">
        <v>2141</v>
      </c>
      <c r="N2802" s="1" t="s">
        <v>1754</v>
      </c>
      <c r="O2802" s="1" t="s">
        <v>1286</v>
      </c>
      <c r="P2802" s="34" t="str">
        <f t="shared" si="56"/>
        <v>F010</v>
      </c>
      <c r="Q2802" s="1" t="s">
        <v>127</v>
      </c>
      <c r="S2802" s="16">
        <v>20</v>
      </c>
      <c r="T2802" s="1" t="s">
        <v>2299</v>
      </c>
      <c r="U2802" s="1" t="s">
        <v>1604</v>
      </c>
      <c r="V2802" s="1" t="s">
        <v>1430</v>
      </c>
      <c r="Y2802" s="1">
        <v>8302</v>
      </c>
      <c r="AB2802" s="1">
        <v>7886.9</v>
      </c>
    </row>
    <row r="2803" spans="2:28" x14ac:dyDescent="0.2">
      <c r="B2803" s="30" t="s">
        <v>2294</v>
      </c>
      <c r="C2803" s="36"/>
      <c r="D2803" s="36"/>
      <c r="F2803" s="1" t="s">
        <v>1322</v>
      </c>
      <c r="G2803" s="30" t="s">
        <v>5241</v>
      </c>
      <c r="K2803" s="1" t="s">
        <v>5290</v>
      </c>
      <c r="L2803" s="1" t="s">
        <v>1279</v>
      </c>
      <c r="M2803" s="36" t="s">
        <v>2141</v>
      </c>
      <c r="N2803" s="1" t="s">
        <v>1754</v>
      </c>
      <c r="O2803" s="1" t="s">
        <v>1286</v>
      </c>
      <c r="P2803" s="34" t="str">
        <f t="shared" si="56"/>
        <v>F010</v>
      </c>
      <c r="Q2803" s="1" t="s">
        <v>127</v>
      </c>
      <c r="S2803" s="16">
        <v>20</v>
      </c>
      <c r="T2803" s="1" t="s">
        <v>2299</v>
      </c>
      <c r="U2803" s="1" t="s">
        <v>1604</v>
      </c>
      <c r="V2803" s="1" t="s">
        <v>1430</v>
      </c>
      <c r="Y2803" s="1">
        <v>8302</v>
      </c>
      <c r="AB2803" s="1">
        <v>7886.9</v>
      </c>
    </row>
    <row r="2804" spans="2:28" x14ac:dyDescent="0.2">
      <c r="B2804" s="30" t="s">
        <v>2294</v>
      </c>
      <c r="C2804" s="36"/>
      <c r="D2804" s="36"/>
      <c r="F2804" s="1" t="s">
        <v>1322</v>
      </c>
      <c r="G2804" s="30" t="s">
        <v>5241</v>
      </c>
      <c r="K2804" s="1" t="s">
        <v>5291</v>
      </c>
      <c r="L2804" s="1" t="s">
        <v>1279</v>
      </c>
      <c r="M2804" s="36" t="s">
        <v>2141</v>
      </c>
      <c r="N2804" s="1" t="s">
        <v>1754</v>
      </c>
      <c r="O2804" s="1" t="s">
        <v>1286</v>
      </c>
      <c r="P2804" s="34" t="str">
        <f t="shared" si="56"/>
        <v>F010</v>
      </c>
      <c r="Q2804" s="1" t="s">
        <v>127</v>
      </c>
      <c r="S2804" s="16">
        <v>20</v>
      </c>
      <c r="T2804" s="1" t="s">
        <v>2299</v>
      </c>
      <c r="U2804" s="1" t="s">
        <v>1604</v>
      </c>
      <c r="V2804" s="1" t="s">
        <v>1430</v>
      </c>
      <c r="Y2804" s="1">
        <v>8302</v>
      </c>
      <c r="AB2804" s="1">
        <v>7886.9</v>
      </c>
    </row>
    <row r="2805" spans="2:28" x14ac:dyDescent="0.2">
      <c r="B2805" s="30" t="s">
        <v>2294</v>
      </c>
      <c r="C2805" s="36"/>
      <c r="D2805" s="36"/>
      <c r="F2805" s="1" t="s">
        <v>1322</v>
      </c>
      <c r="G2805" s="30" t="s">
        <v>5241</v>
      </c>
      <c r="K2805" s="1" t="s">
        <v>5292</v>
      </c>
      <c r="L2805" s="1" t="s">
        <v>1279</v>
      </c>
      <c r="M2805" s="36" t="s">
        <v>2141</v>
      </c>
      <c r="N2805" s="1" t="s">
        <v>1754</v>
      </c>
      <c r="O2805" s="1" t="s">
        <v>1286</v>
      </c>
      <c r="P2805" s="34" t="str">
        <f t="shared" si="56"/>
        <v>F010</v>
      </c>
      <c r="Q2805" s="1" t="s">
        <v>127</v>
      </c>
      <c r="S2805" s="16">
        <v>20</v>
      </c>
      <c r="T2805" s="1" t="s">
        <v>2299</v>
      </c>
      <c r="U2805" s="1" t="s">
        <v>1604</v>
      </c>
      <c r="V2805" s="1" t="s">
        <v>1430</v>
      </c>
      <c r="Y2805" s="1">
        <v>8302</v>
      </c>
      <c r="AB2805" s="1">
        <v>7886.9</v>
      </c>
    </row>
    <row r="2806" spans="2:28" x14ac:dyDescent="0.2">
      <c r="B2806" s="30" t="s">
        <v>2294</v>
      </c>
      <c r="C2806" s="36"/>
      <c r="D2806" s="36"/>
      <c r="F2806" s="1" t="s">
        <v>1322</v>
      </c>
      <c r="G2806" s="30" t="s">
        <v>5293</v>
      </c>
      <c r="K2806" s="1" t="s">
        <v>5294</v>
      </c>
      <c r="L2806" s="1" t="s">
        <v>1279</v>
      </c>
      <c r="M2806" s="36" t="s">
        <v>1425</v>
      </c>
      <c r="N2806" s="1" t="s">
        <v>1577</v>
      </c>
      <c r="O2806" s="1" t="s">
        <v>1286</v>
      </c>
      <c r="P2806" s="34" t="str">
        <f t="shared" si="56"/>
        <v>F010</v>
      </c>
      <c r="Q2806" s="1" t="s">
        <v>137</v>
      </c>
      <c r="S2806" s="16">
        <v>20</v>
      </c>
      <c r="T2806" s="1" t="s">
        <v>4315</v>
      </c>
      <c r="U2806" s="1" t="s">
        <v>2120</v>
      </c>
      <c r="V2806" s="1" t="s">
        <v>1990</v>
      </c>
      <c r="Y2806" s="1">
        <v>8756</v>
      </c>
      <c r="AB2806" s="1">
        <v>8318.2000000000007</v>
      </c>
    </row>
    <row r="2807" spans="2:28" x14ac:dyDescent="0.2">
      <c r="B2807" s="30" t="s">
        <v>2294</v>
      </c>
      <c r="C2807" s="36"/>
      <c r="D2807" s="36"/>
      <c r="F2807" s="1" t="s">
        <v>4316</v>
      </c>
      <c r="G2807" s="30" t="s">
        <v>5295</v>
      </c>
      <c r="K2807" s="1" t="s">
        <v>5296</v>
      </c>
      <c r="L2807" s="1" t="s">
        <v>1279</v>
      </c>
      <c r="M2807" s="36" t="s">
        <v>2502</v>
      </c>
      <c r="N2807" s="1" t="s">
        <v>1573</v>
      </c>
      <c r="O2807" s="1" t="s">
        <v>1286</v>
      </c>
      <c r="P2807" s="34" t="str">
        <f t="shared" si="56"/>
        <v>F010</v>
      </c>
      <c r="Q2807" s="1" t="s">
        <v>127</v>
      </c>
      <c r="S2807" s="16">
        <v>20</v>
      </c>
      <c r="T2807" s="1" t="s">
        <v>2299</v>
      </c>
      <c r="U2807" s="1" t="s">
        <v>2197</v>
      </c>
      <c r="V2807" s="1" t="s">
        <v>1601</v>
      </c>
      <c r="Y2807" s="1">
        <v>8756</v>
      </c>
      <c r="AB2807" s="1">
        <v>8087.14</v>
      </c>
    </row>
    <row r="2808" spans="2:28" x14ac:dyDescent="0.2">
      <c r="B2808" s="30" t="s">
        <v>2294</v>
      </c>
      <c r="C2808" s="36"/>
      <c r="D2808" s="36"/>
      <c r="F2808" s="1" t="s">
        <v>1322</v>
      </c>
      <c r="G2808" s="30" t="s">
        <v>5297</v>
      </c>
      <c r="K2808" s="1" t="s">
        <v>5298</v>
      </c>
      <c r="L2808" s="1" t="s">
        <v>1279</v>
      </c>
      <c r="M2808" s="36" t="s">
        <v>2014</v>
      </c>
      <c r="N2808" s="1" t="s">
        <v>1556</v>
      </c>
      <c r="O2808" s="1" t="s">
        <v>1286</v>
      </c>
      <c r="P2808" s="34" t="str">
        <f t="shared" si="56"/>
        <v>F010</v>
      </c>
      <c r="Q2808" s="1" t="s">
        <v>127</v>
      </c>
      <c r="S2808" s="16">
        <v>20</v>
      </c>
      <c r="T2808" s="1" t="s">
        <v>2299</v>
      </c>
      <c r="U2808" s="1" t="s">
        <v>1334</v>
      </c>
      <c r="V2808" s="1" t="s">
        <v>1377</v>
      </c>
      <c r="Y2808" s="1">
        <v>9062</v>
      </c>
      <c r="AB2808" s="1">
        <v>5261.02</v>
      </c>
    </row>
    <row r="2809" spans="2:28" x14ac:dyDescent="0.2">
      <c r="B2809" s="30" t="s">
        <v>2294</v>
      </c>
      <c r="C2809" s="36"/>
      <c r="D2809" s="36"/>
      <c r="F2809" s="1" t="s">
        <v>1322</v>
      </c>
      <c r="G2809" s="30" t="s">
        <v>5299</v>
      </c>
      <c r="K2809" s="1" t="s">
        <v>5300</v>
      </c>
      <c r="L2809" s="1" t="s">
        <v>1279</v>
      </c>
      <c r="M2809" s="36" t="s">
        <v>2014</v>
      </c>
      <c r="N2809" s="1" t="s">
        <v>1287</v>
      </c>
      <c r="O2809" s="1" t="s">
        <v>1286</v>
      </c>
      <c r="P2809" s="34" t="str">
        <f t="shared" si="56"/>
        <v>F010</v>
      </c>
      <c r="Q2809" s="1" t="s">
        <v>138</v>
      </c>
      <c r="S2809" s="16">
        <v>20</v>
      </c>
      <c r="T2809" s="1" t="s">
        <v>2299</v>
      </c>
      <c r="U2809" s="1" t="s">
        <v>1334</v>
      </c>
      <c r="V2809" s="1" t="s">
        <v>1377</v>
      </c>
      <c r="Y2809" s="1">
        <v>8756</v>
      </c>
      <c r="AB2809" s="1">
        <v>5083.32</v>
      </c>
    </row>
    <row r="2810" spans="2:28" x14ac:dyDescent="0.2">
      <c r="B2810" s="30" t="s">
        <v>2294</v>
      </c>
      <c r="C2810" s="36"/>
      <c r="D2810" s="36"/>
      <c r="F2810" s="1" t="s">
        <v>1322</v>
      </c>
      <c r="G2810" s="30" t="s">
        <v>5299</v>
      </c>
      <c r="K2810" s="1" t="s">
        <v>5301</v>
      </c>
      <c r="L2810" s="1" t="s">
        <v>1279</v>
      </c>
      <c r="M2810" s="36" t="s">
        <v>2014</v>
      </c>
      <c r="N2810" s="1" t="s">
        <v>2495</v>
      </c>
      <c r="O2810" s="1" t="s">
        <v>1286</v>
      </c>
      <c r="P2810" s="34" t="str">
        <f t="shared" si="56"/>
        <v>F010</v>
      </c>
      <c r="Q2810" s="1" t="s">
        <v>127</v>
      </c>
      <c r="S2810" s="16">
        <v>20</v>
      </c>
      <c r="T2810" s="1" t="s">
        <v>3846</v>
      </c>
      <c r="U2810" s="1" t="s">
        <v>1334</v>
      </c>
      <c r="V2810" s="1" t="s">
        <v>1377</v>
      </c>
      <c r="Y2810" s="1">
        <v>8782</v>
      </c>
      <c r="AB2810" s="1">
        <v>5098.4799999999996</v>
      </c>
    </row>
    <row r="2811" spans="2:28" x14ac:dyDescent="0.2">
      <c r="B2811" s="30" t="s">
        <v>2294</v>
      </c>
      <c r="C2811" s="36"/>
      <c r="D2811" s="36"/>
      <c r="F2811" s="1" t="s">
        <v>3847</v>
      </c>
      <c r="G2811" s="30" t="s">
        <v>5299</v>
      </c>
      <c r="K2811" s="1" t="s">
        <v>5302</v>
      </c>
      <c r="L2811" s="1" t="s">
        <v>1279</v>
      </c>
      <c r="M2811" s="36" t="s">
        <v>2014</v>
      </c>
      <c r="N2811" s="1" t="s">
        <v>1286</v>
      </c>
      <c r="O2811" s="1" t="s">
        <v>1286</v>
      </c>
      <c r="P2811" s="34" t="str">
        <f t="shared" si="56"/>
        <v>F010</v>
      </c>
      <c r="Q2811" s="1" t="s">
        <v>127</v>
      </c>
      <c r="S2811" s="16">
        <v>20</v>
      </c>
      <c r="T2811" s="1" t="s">
        <v>2299</v>
      </c>
      <c r="U2811" s="1" t="s">
        <v>1334</v>
      </c>
      <c r="V2811" s="1" t="s">
        <v>1377</v>
      </c>
      <c r="Y2811" s="1">
        <v>8782</v>
      </c>
      <c r="AB2811" s="1">
        <v>5098.4799999999996</v>
      </c>
    </row>
    <row r="2812" spans="2:28" x14ac:dyDescent="0.2">
      <c r="B2812" s="30" t="s">
        <v>2294</v>
      </c>
      <c r="C2812" s="36"/>
      <c r="D2812" s="36"/>
      <c r="F2812" s="1" t="s">
        <v>1322</v>
      </c>
      <c r="G2812" s="30" t="s">
        <v>5299</v>
      </c>
      <c r="K2812" s="1" t="s">
        <v>5303</v>
      </c>
      <c r="L2812" s="1" t="s">
        <v>1279</v>
      </c>
      <c r="M2812" s="36" t="s">
        <v>2014</v>
      </c>
      <c r="N2812" s="1" t="s">
        <v>1715</v>
      </c>
      <c r="O2812" s="1" t="s">
        <v>1286</v>
      </c>
      <c r="P2812" s="34" t="str">
        <f t="shared" si="56"/>
        <v>F010</v>
      </c>
      <c r="Q2812" s="1" t="s">
        <v>127</v>
      </c>
      <c r="S2812" s="16">
        <v>20</v>
      </c>
      <c r="T2812" s="1" t="s">
        <v>2299</v>
      </c>
      <c r="U2812" s="1" t="s">
        <v>1334</v>
      </c>
      <c r="V2812" s="1" t="s">
        <v>1377</v>
      </c>
      <c r="Y2812" s="1">
        <v>8756</v>
      </c>
      <c r="AB2812" s="1">
        <v>5083.32</v>
      </c>
    </row>
    <row r="2813" spans="2:28" x14ac:dyDescent="0.2">
      <c r="B2813" s="30" t="s">
        <v>2294</v>
      </c>
      <c r="C2813" s="36"/>
      <c r="D2813" s="36"/>
      <c r="F2813" s="1" t="s">
        <v>1322</v>
      </c>
      <c r="G2813" s="30" t="s">
        <v>5299</v>
      </c>
      <c r="K2813" s="1" t="s">
        <v>5304</v>
      </c>
      <c r="L2813" s="1" t="s">
        <v>1279</v>
      </c>
      <c r="M2813" s="36" t="s">
        <v>2014</v>
      </c>
      <c r="N2813" s="1" t="s">
        <v>1587</v>
      </c>
      <c r="O2813" s="1" t="s">
        <v>1286</v>
      </c>
      <c r="P2813" s="34" t="str">
        <f t="shared" si="56"/>
        <v>F010</v>
      </c>
      <c r="Q2813" s="1" t="s">
        <v>127</v>
      </c>
      <c r="S2813" s="16">
        <v>20</v>
      </c>
      <c r="T2813" s="1" t="s">
        <v>2299</v>
      </c>
      <c r="U2813" s="1" t="s">
        <v>1334</v>
      </c>
      <c r="V2813" s="1" t="s">
        <v>1377</v>
      </c>
      <c r="Y2813" s="1">
        <v>8782</v>
      </c>
      <c r="AB2813" s="1">
        <v>5098.4799999999996</v>
      </c>
    </row>
    <row r="2814" spans="2:28" x14ac:dyDescent="0.2">
      <c r="B2814" s="30" t="s">
        <v>2294</v>
      </c>
      <c r="C2814" s="36"/>
      <c r="D2814" s="36"/>
      <c r="F2814" s="1" t="s">
        <v>1322</v>
      </c>
      <c r="G2814" s="30" t="s">
        <v>5299</v>
      </c>
      <c r="K2814" s="1" t="s">
        <v>5305</v>
      </c>
      <c r="L2814" s="1" t="s">
        <v>1279</v>
      </c>
      <c r="M2814" s="36" t="s">
        <v>2014</v>
      </c>
      <c r="N2814" s="1" t="s">
        <v>1587</v>
      </c>
      <c r="O2814" s="1" t="s">
        <v>1286</v>
      </c>
      <c r="P2814" s="34" t="str">
        <f t="shared" si="56"/>
        <v>F010</v>
      </c>
      <c r="Q2814" s="1" t="s">
        <v>127</v>
      </c>
      <c r="S2814" s="16">
        <v>20</v>
      </c>
      <c r="T2814" s="1" t="s">
        <v>3846</v>
      </c>
      <c r="U2814" s="1" t="s">
        <v>1334</v>
      </c>
      <c r="V2814" s="1" t="s">
        <v>1377</v>
      </c>
      <c r="Y2814" s="1">
        <v>8782</v>
      </c>
      <c r="AB2814" s="1">
        <v>5098.4799999999996</v>
      </c>
    </row>
    <row r="2815" spans="2:28" x14ac:dyDescent="0.2">
      <c r="B2815" s="30" t="s">
        <v>2294</v>
      </c>
      <c r="C2815" s="36"/>
      <c r="D2815" s="36"/>
      <c r="F2815" s="1" t="s">
        <v>3847</v>
      </c>
      <c r="G2815" s="30" t="s">
        <v>5299</v>
      </c>
      <c r="K2815" s="1" t="s">
        <v>5306</v>
      </c>
      <c r="L2815" s="1" t="s">
        <v>1279</v>
      </c>
      <c r="M2815" s="36" t="s">
        <v>2014</v>
      </c>
      <c r="N2815" s="1" t="s">
        <v>1837</v>
      </c>
      <c r="O2815" s="1" t="s">
        <v>1286</v>
      </c>
      <c r="P2815" s="34" t="str">
        <f t="shared" si="56"/>
        <v>F010</v>
      </c>
      <c r="Q2815" s="1" t="s">
        <v>127</v>
      </c>
      <c r="S2815" s="16">
        <v>20</v>
      </c>
      <c r="T2815" s="1" t="s">
        <v>2299</v>
      </c>
      <c r="U2815" s="1" t="s">
        <v>1334</v>
      </c>
      <c r="V2815" s="1" t="s">
        <v>1377</v>
      </c>
      <c r="Y2815" s="1">
        <v>17538</v>
      </c>
      <c r="AB2815" s="1">
        <v>10449.34</v>
      </c>
    </row>
    <row r="2816" spans="2:28" x14ac:dyDescent="0.2">
      <c r="B2816" s="30" t="s">
        <v>2294</v>
      </c>
      <c r="C2816" s="36"/>
      <c r="D2816" s="36"/>
      <c r="F2816" s="1" t="s">
        <v>1322</v>
      </c>
      <c r="G2816" s="30" t="s">
        <v>5299</v>
      </c>
      <c r="K2816" s="1" t="s">
        <v>5307</v>
      </c>
      <c r="L2816" s="1" t="s">
        <v>1279</v>
      </c>
      <c r="M2816" s="36" t="s">
        <v>2014</v>
      </c>
      <c r="N2816" s="1" t="s">
        <v>1284</v>
      </c>
      <c r="O2816" s="1" t="s">
        <v>1286</v>
      </c>
      <c r="P2816" s="34" t="str">
        <f t="shared" si="56"/>
        <v>F010</v>
      </c>
      <c r="Q2816" s="1" t="s">
        <v>127</v>
      </c>
      <c r="S2816" s="16">
        <v>20</v>
      </c>
      <c r="T2816" s="1" t="s">
        <v>2299</v>
      </c>
      <c r="U2816" s="1" t="s">
        <v>1334</v>
      </c>
      <c r="V2816" s="1" t="s">
        <v>1377</v>
      </c>
      <c r="Y2816" s="1">
        <v>8782</v>
      </c>
      <c r="AB2816" s="1">
        <v>5098.4799999999996</v>
      </c>
    </row>
    <row r="2817" spans="2:28" x14ac:dyDescent="0.2">
      <c r="B2817" s="30" t="s">
        <v>2294</v>
      </c>
      <c r="C2817" s="36"/>
      <c r="D2817" s="36"/>
      <c r="F2817" s="1" t="s">
        <v>1322</v>
      </c>
      <c r="G2817" s="30" t="s">
        <v>5299</v>
      </c>
      <c r="K2817" s="1" t="s">
        <v>5308</v>
      </c>
      <c r="L2817" s="1" t="s">
        <v>1279</v>
      </c>
      <c r="M2817" s="36" t="s">
        <v>2014</v>
      </c>
      <c r="N2817" s="1" t="s">
        <v>1637</v>
      </c>
      <c r="O2817" s="1" t="s">
        <v>1286</v>
      </c>
      <c r="P2817" s="34" t="str">
        <f t="shared" si="56"/>
        <v>F010</v>
      </c>
      <c r="Q2817" s="1" t="s">
        <v>127</v>
      </c>
      <c r="S2817" s="16">
        <v>20</v>
      </c>
      <c r="T2817" s="1" t="s">
        <v>2299</v>
      </c>
      <c r="U2817" s="1" t="s">
        <v>1334</v>
      </c>
      <c r="V2817" s="1" t="s">
        <v>1377</v>
      </c>
      <c r="Y2817" s="1">
        <v>8782</v>
      </c>
      <c r="AB2817" s="1">
        <v>5098.4799999999996</v>
      </c>
    </row>
    <row r="2818" spans="2:28" x14ac:dyDescent="0.2">
      <c r="B2818" s="30" t="s">
        <v>2294</v>
      </c>
      <c r="C2818" s="36"/>
      <c r="D2818" s="36"/>
      <c r="F2818" s="1" t="s">
        <v>1322</v>
      </c>
      <c r="G2818" s="30" t="s">
        <v>5299</v>
      </c>
      <c r="K2818" s="1" t="s">
        <v>5309</v>
      </c>
      <c r="L2818" s="1" t="s">
        <v>1279</v>
      </c>
      <c r="M2818" s="36" t="s">
        <v>2014</v>
      </c>
      <c r="N2818" s="1" t="s">
        <v>1568</v>
      </c>
      <c r="O2818" s="1" t="s">
        <v>1286</v>
      </c>
      <c r="P2818" s="34" t="str">
        <f t="shared" si="56"/>
        <v>F010</v>
      </c>
      <c r="Q2818" s="1" t="s">
        <v>127</v>
      </c>
      <c r="S2818" s="16">
        <v>20</v>
      </c>
      <c r="T2818" s="1" t="s">
        <v>2299</v>
      </c>
      <c r="U2818" s="1" t="s">
        <v>1334</v>
      </c>
      <c r="V2818" s="1" t="s">
        <v>1377</v>
      </c>
      <c r="Y2818" s="1">
        <v>8543</v>
      </c>
      <c r="AB2818" s="1">
        <v>4959.68</v>
      </c>
    </row>
    <row r="2819" spans="2:28" x14ac:dyDescent="0.2">
      <c r="B2819" s="30" t="s">
        <v>2294</v>
      </c>
      <c r="C2819" s="36"/>
      <c r="D2819" s="36"/>
      <c r="F2819" s="1" t="s">
        <v>1322</v>
      </c>
      <c r="G2819" s="30" t="s">
        <v>5299</v>
      </c>
      <c r="K2819" s="1" t="s">
        <v>5310</v>
      </c>
      <c r="L2819" s="1" t="s">
        <v>1279</v>
      </c>
      <c r="M2819" s="36" t="s">
        <v>2014</v>
      </c>
      <c r="N2819" s="1" t="s">
        <v>1637</v>
      </c>
      <c r="O2819" s="1" t="s">
        <v>1286</v>
      </c>
      <c r="P2819" s="34" t="str">
        <f t="shared" si="56"/>
        <v>F010</v>
      </c>
      <c r="Q2819" s="1" t="s">
        <v>127</v>
      </c>
      <c r="S2819" s="16">
        <v>20</v>
      </c>
      <c r="T2819" s="1" t="s">
        <v>2299</v>
      </c>
      <c r="U2819" s="1" t="s">
        <v>1334</v>
      </c>
      <c r="V2819" s="1" t="s">
        <v>1377</v>
      </c>
      <c r="Y2819" s="1">
        <v>8543</v>
      </c>
      <c r="AB2819" s="1">
        <v>4959.68</v>
      </c>
    </row>
    <row r="2820" spans="2:28" x14ac:dyDescent="0.2">
      <c r="B2820" s="30" t="s">
        <v>2294</v>
      </c>
      <c r="C2820" s="36"/>
      <c r="D2820" s="36"/>
      <c r="F2820" s="1" t="s">
        <v>1322</v>
      </c>
      <c r="G2820" s="30" t="s">
        <v>5299</v>
      </c>
      <c r="K2820" s="1" t="s">
        <v>5311</v>
      </c>
      <c r="L2820" s="1" t="s">
        <v>1279</v>
      </c>
      <c r="M2820" s="36" t="s">
        <v>2014</v>
      </c>
      <c r="N2820" s="1" t="s">
        <v>1286</v>
      </c>
      <c r="O2820" s="1" t="s">
        <v>1286</v>
      </c>
      <c r="P2820" s="34" t="str">
        <f t="shared" si="56"/>
        <v>F010</v>
      </c>
      <c r="Q2820" s="1" t="s">
        <v>127</v>
      </c>
      <c r="S2820" s="16">
        <v>20</v>
      </c>
      <c r="T2820" s="1" t="s">
        <v>3846</v>
      </c>
      <c r="U2820" s="1" t="s">
        <v>1334</v>
      </c>
      <c r="V2820" s="1" t="s">
        <v>1377</v>
      </c>
      <c r="Y2820" s="1">
        <v>8543</v>
      </c>
      <c r="AB2820" s="1">
        <v>4959.68</v>
      </c>
    </row>
    <row r="2821" spans="2:28" x14ac:dyDescent="0.2">
      <c r="B2821" s="30" t="s">
        <v>2294</v>
      </c>
      <c r="C2821" s="36"/>
      <c r="D2821" s="36"/>
      <c r="F2821" s="1" t="s">
        <v>3847</v>
      </c>
      <c r="G2821" s="30" t="s">
        <v>5299</v>
      </c>
      <c r="K2821" s="1" t="s">
        <v>5312</v>
      </c>
      <c r="L2821" s="1" t="s">
        <v>1279</v>
      </c>
      <c r="M2821" s="36" t="s">
        <v>2014</v>
      </c>
      <c r="N2821" s="1" t="s">
        <v>1286</v>
      </c>
      <c r="O2821" s="1" t="s">
        <v>1286</v>
      </c>
      <c r="P2821" s="34" t="str">
        <f t="shared" si="56"/>
        <v>F010</v>
      </c>
      <c r="Q2821" s="1" t="s">
        <v>127</v>
      </c>
      <c r="S2821" s="16">
        <v>20</v>
      </c>
      <c r="T2821" s="1" t="s">
        <v>2299</v>
      </c>
      <c r="U2821" s="1" t="s">
        <v>1334</v>
      </c>
      <c r="V2821" s="1" t="s">
        <v>1377</v>
      </c>
      <c r="Y2821" s="1">
        <v>8543</v>
      </c>
      <c r="AB2821" s="1">
        <v>4959.68</v>
      </c>
    </row>
    <row r="2822" spans="2:28" x14ac:dyDescent="0.2">
      <c r="B2822" s="30" t="s">
        <v>2294</v>
      </c>
      <c r="C2822" s="36"/>
      <c r="D2822" s="36"/>
      <c r="F2822" s="1" t="s">
        <v>1322</v>
      </c>
      <c r="G2822" s="30" t="s">
        <v>5299</v>
      </c>
      <c r="K2822" s="1" t="s">
        <v>5313</v>
      </c>
      <c r="L2822" s="1" t="s">
        <v>1279</v>
      </c>
      <c r="M2822" s="36" t="s">
        <v>2014</v>
      </c>
      <c r="N2822" s="1" t="s">
        <v>1788</v>
      </c>
      <c r="O2822" s="1" t="s">
        <v>1286</v>
      </c>
      <c r="P2822" s="34" t="str">
        <f t="shared" si="56"/>
        <v>F010</v>
      </c>
      <c r="Q2822" s="1" t="s">
        <v>127</v>
      </c>
      <c r="S2822" s="16">
        <v>20</v>
      </c>
      <c r="T2822" s="1" t="s">
        <v>2299</v>
      </c>
      <c r="U2822" s="1" t="s">
        <v>1334</v>
      </c>
      <c r="V2822" s="1" t="s">
        <v>1377</v>
      </c>
      <c r="Y2822" s="1">
        <v>8543</v>
      </c>
      <c r="AB2822" s="1">
        <v>4959.68</v>
      </c>
    </row>
    <row r="2823" spans="2:28" x14ac:dyDescent="0.2">
      <c r="B2823" s="30" t="s">
        <v>2294</v>
      </c>
      <c r="C2823" s="36"/>
      <c r="D2823" s="36"/>
      <c r="F2823" s="1" t="s">
        <v>1322</v>
      </c>
      <c r="G2823" s="30" t="s">
        <v>5299</v>
      </c>
      <c r="K2823" s="1" t="s">
        <v>5314</v>
      </c>
      <c r="L2823" s="1" t="s">
        <v>1279</v>
      </c>
      <c r="M2823" s="36" t="s">
        <v>2014</v>
      </c>
      <c r="N2823" s="1" t="s">
        <v>1556</v>
      </c>
      <c r="O2823" s="1" t="s">
        <v>1286</v>
      </c>
      <c r="P2823" s="34" t="str">
        <f t="shared" si="56"/>
        <v>F010</v>
      </c>
      <c r="Q2823" s="1" t="s">
        <v>127</v>
      </c>
      <c r="S2823" s="16">
        <v>20</v>
      </c>
      <c r="T2823" s="1" t="s">
        <v>2299</v>
      </c>
      <c r="U2823" s="1" t="s">
        <v>1334</v>
      </c>
      <c r="V2823" s="1" t="s">
        <v>1377</v>
      </c>
      <c r="Y2823" s="1">
        <v>8543</v>
      </c>
      <c r="AB2823" s="1">
        <v>4959.68</v>
      </c>
    </row>
    <row r="2824" spans="2:28" x14ac:dyDescent="0.2">
      <c r="B2824" s="30" t="s">
        <v>2294</v>
      </c>
      <c r="C2824" s="36"/>
      <c r="D2824" s="36"/>
      <c r="F2824" s="1" t="s">
        <v>1322</v>
      </c>
      <c r="G2824" s="30" t="s">
        <v>5299</v>
      </c>
      <c r="K2824" s="1" t="s">
        <v>5315</v>
      </c>
      <c r="L2824" s="1" t="s">
        <v>1279</v>
      </c>
      <c r="M2824" s="36" t="s">
        <v>2014</v>
      </c>
      <c r="N2824" s="1" t="s">
        <v>1286</v>
      </c>
      <c r="O2824" s="1" t="s">
        <v>1286</v>
      </c>
      <c r="P2824" s="34" t="str">
        <f t="shared" si="56"/>
        <v>F010</v>
      </c>
      <c r="Q2824" s="1" t="s">
        <v>127</v>
      </c>
      <c r="S2824" s="16">
        <v>20</v>
      </c>
      <c r="T2824" s="1" t="s">
        <v>2299</v>
      </c>
      <c r="U2824" s="1" t="s">
        <v>1334</v>
      </c>
      <c r="V2824" s="1" t="s">
        <v>1377</v>
      </c>
      <c r="Y2824" s="1">
        <v>8543</v>
      </c>
      <c r="AB2824" s="1">
        <v>4959.68</v>
      </c>
    </row>
    <row r="2825" spans="2:28" x14ac:dyDescent="0.2">
      <c r="B2825" s="30" t="s">
        <v>2294</v>
      </c>
      <c r="C2825" s="36"/>
      <c r="D2825" s="36"/>
      <c r="F2825" s="1" t="s">
        <v>1322</v>
      </c>
      <c r="G2825" s="30" t="s">
        <v>5299</v>
      </c>
      <c r="K2825" s="1" t="s">
        <v>5316</v>
      </c>
      <c r="L2825" s="1" t="s">
        <v>1279</v>
      </c>
      <c r="M2825" s="36" t="s">
        <v>2014</v>
      </c>
      <c r="N2825" s="1" t="s">
        <v>1708</v>
      </c>
      <c r="O2825" s="1" t="s">
        <v>1286</v>
      </c>
      <c r="P2825" s="34" t="str">
        <f t="shared" si="56"/>
        <v>F010</v>
      </c>
      <c r="Q2825" s="1" t="s">
        <v>127</v>
      </c>
      <c r="S2825" s="16">
        <v>20</v>
      </c>
      <c r="T2825" s="1" t="s">
        <v>3846</v>
      </c>
      <c r="U2825" s="1" t="s">
        <v>1334</v>
      </c>
      <c r="V2825" s="1" t="s">
        <v>1377</v>
      </c>
      <c r="Y2825" s="1">
        <v>8543</v>
      </c>
      <c r="AB2825" s="1">
        <v>4959.68</v>
      </c>
    </row>
    <row r="2826" spans="2:28" x14ac:dyDescent="0.2">
      <c r="B2826" s="30" t="s">
        <v>2294</v>
      </c>
      <c r="C2826" s="36"/>
      <c r="D2826" s="36"/>
      <c r="F2826" s="1" t="s">
        <v>3847</v>
      </c>
      <c r="G2826" s="30" t="s">
        <v>5299</v>
      </c>
      <c r="K2826" s="1" t="s">
        <v>5317</v>
      </c>
      <c r="L2826" s="1" t="s">
        <v>1279</v>
      </c>
      <c r="M2826" s="36" t="s">
        <v>2014</v>
      </c>
      <c r="N2826" s="1" t="s">
        <v>2495</v>
      </c>
      <c r="O2826" s="1" t="s">
        <v>1286</v>
      </c>
      <c r="P2826" s="34" t="str">
        <f t="shared" si="56"/>
        <v>F010</v>
      </c>
      <c r="Q2826" s="1" t="s">
        <v>127</v>
      </c>
      <c r="S2826" s="16">
        <v>20</v>
      </c>
      <c r="T2826" s="1" t="s">
        <v>2299</v>
      </c>
      <c r="U2826" s="1" t="s">
        <v>1334</v>
      </c>
      <c r="V2826" s="1" t="s">
        <v>1377</v>
      </c>
      <c r="Y2826" s="1">
        <v>17057</v>
      </c>
      <c r="AB2826" s="1">
        <v>10162.68</v>
      </c>
    </row>
    <row r="2827" spans="2:28" x14ac:dyDescent="0.2">
      <c r="B2827" s="30" t="s">
        <v>2294</v>
      </c>
      <c r="C2827" s="36"/>
      <c r="D2827" s="36"/>
      <c r="F2827" s="1" t="s">
        <v>1322</v>
      </c>
      <c r="G2827" s="30" t="s">
        <v>5299</v>
      </c>
      <c r="K2827" s="1" t="s">
        <v>5318</v>
      </c>
      <c r="L2827" s="1" t="s">
        <v>1279</v>
      </c>
      <c r="M2827" s="36" t="s">
        <v>2014</v>
      </c>
      <c r="N2827" s="1" t="s">
        <v>1534</v>
      </c>
      <c r="O2827" s="1" t="s">
        <v>1286</v>
      </c>
      <c r="P2827" s="34" t="str">
        <f t="shared" si="56"/>
        <v>F010</v>
      </c>
      <c r="Q2827" s="1" t="s">
        <v>127</v>
      </c>
      <c r="S2827" s="16">
        <v>20</v>
      </c>
      <c r="T2827" s="1" t="s">
        <v>2299</v>
      </c>
      <c r="U2827" s="1" t="s">
        <v>1334</v>
      </c>
      <c r="V2827" s="1" t="s">
        <v>1377</v>
      </c>
      <c r="Y2827" s="1">
        <v>8543</v>
      </c>
      <c r="AB2827" s="1">
        <v>4959.68</v>
      </c>
    </row>
    <row r="2828" spans="2:28" x14ac:dyDescent="0.2">
      <c r="B2828" s="30" t="s">
        <v>2294</v>
      </c>
      <c r="C2828" s="36"/>
      <c r="D2828" s="36"/>
      <c r="F2828" s="1" t="s">
        <v>1322</v>
      </c>
      <c r="G2828" s="30" t="s">
        <v>5299</v>
      </c>
      <c r="K2828" s="1" t="s">
        <v>5319</v>
      </c>
      <c r="L2828" s="1" t="s">
        <v>1279</v>
      </c>
      <c r="M2828" s="36" t="s">
        <v>2014</v>
      </c>
      <c r="N2828" s="1" t="s">
        <v>1637</v>
      </c>
      <c r="O2828" s="1" t="s">
        <v>1286</v>
      </c>
      <c r="P2828" s="34" t="str">
        <f t="shared" si="56"/>
        <v>F010</v>
      </c>
      <c r="Q2828" s="1" t="s">
        <v>127</v>
      </c>
      <c r="S2828" s="16">
        <v>20</v>
      </c>
      <c r="T2828" s="1" t="s">
        <v>2299</v>
      </c>
      <c r="U2828" s="1" t="s">
        <v>1334</v>
      </c>
      <c r="V2828" s="1" t="s">
        <v>1377</v>
      </c>
      <c r="Y2828" s="1">
        <v>8543</v>
      </c>
      <c r="AB2828" s="1">
        <v>4959.68</v>
      </c>
    </row>
    <row r="2829" spans="2:28" x14ac:dyDescent="0.2">
      <c r="B2829" s="30" t="s">
        <v>2294</v>
      </c>
      <c r="C2829" s="36"/>
      <c r="D2829" s="36"/>
      <c r="F2829" s="1" t="s">
        <v>1322</v>
      </c>
      <c r="G2829" s="30" t="s">
        <v>5299</v>
      </c>
      <c r="K2829" s="1" t="s">
        <v>5320</v>
      </c>
      <c r="L2829" s="1" t="s">
        <v>1279</v>
      </c>
      <c r="M2829" s="36" t="s">
        <v>2014</v>
      </c>
      <c r="N2829" s="1" t="s">
        <v>1534</v>
      </c>
      <c r="O2829" s="1" t="s">
        <v>1286</v>
      </c>
      <c r="P2829" s="34" t="str">
        <f t="shared" si="56"/>
        <v>F010</v>
      </c>
      <c r="Q2829" s="1" t="s">
        <v>127</v>
      </c>
      <c r="S2829" s="16">
        <v>20</v>
      </c>
      <c r="T2829" s="1" t="s">
        <v>3846</v>
      </c>
      <c r="U2829" s="1" t="s">
        <v>1334</v>
      </c>
      <c r="V2829" s="1" t="s">
        <v>1377</v>
      </c>
      <c r="Y2829" s="1">
        <v>8514</v>
      </c>
      <c r="AB2829" s="1">
        <v>4942.8599999999997</v>
      </c>
    </row>
    <row r="2830" spans="2:28" x14ac:dyDescent="0.2">
      <c r="B2830" s="30" t="s">
        <v>2294</v>
      </c>
      <c r="C2830" s="36"/>
      <c r="D2830" s="36"/>
      <c r="F2830" s="1" t="s">
        <v>3847</v>
      </c>
      <c r="G2830" s="30" t="s">
        <v>5299</v>
      </c>
      <c r="K2830" s="1" t="s">
        <v>5321</v>
      </c>
      <c r="L2830" s="1" t="s">
        <v>1279</v>
      </c>
      <c r="M2830" s="36" t="s">
        <v>2014</v>
      </c>
      <c r="N2830" s="1" t="s">
        <v>1833</v>
      </c>
      <c r="O2830" s="1" t="s">
        <v>1286</v>
      </c>
      <c r="P2830" s="34" t="str">
        <f t="shared" si="56"/>
        <v>F010</v>
      </c>
      <c r="Q2830" s="1" t="s">
        <v>127</v>
      </c>
      <c r="S2830" s="16">
        <v>20</v>
      </c>
      <c r="T2830" s="1" t="s">
        <v>2299</v>
      </c>
      <c r="U2830" s="1" t="s">
        <v>1334</v>
      </c>
      <c r="V2830" s="1" t="s">
        <v>1377</v>
      </c>
      <c r="Y2830" s="1">
        <v>8543</v>
      </c>
      <c r="AB2830" s="1">
        <v>4959.68</v>
      </c>
    </row>
    <row r="2831" spans="2:28" x14ac:dyDescent="0.2">
      <c r="B2831" s="30" t="s">
        <v>2294</v>
      </c>
      <c r="C2831" s="36"/>
      <c r="D2831" s="36"/>
      <c r="F2831" s="1" t="s">
        <v>1322</v>
      </c>
      <c r="G2831" s="30" t="s">
        <v>5299</v>
      </c>
      <c r="K2831" s="1" t="s">
        <v>5322</v>
      </c>
      <c r="L2831" s="1" t="s">
        <v>1279</v>
      </c>
      <c r="M2831" s="36" t="s">
        <v>2014</v>
      </c>
      <c r="N2831" s="1" t="s">
        <v>1715</v>
      </c>
      <c r="O2831" s="1" t="s">
        <v>1286</v>
      </c>
      <c r="P2831" s="34" t="str">
        <f t="shared" si="56"/>
        <v>F010</v>
      </c>
      <c r="Q2831" s="1" t="s">
        <v>127</v>
      </c>
      <c r="S2831" s="16">
        <v>20</v>
      </c>
      <c r="T2831" s="1" t="s">
        <v>2299</v>
      </c>
      <c r="U2831" s="1" t="s">
        <v>1334</v>
      </c>
      <c r="V2831" s="1" t="s">
        <v>1377</v>
      </c>
      <c r="Y2831" s="1">
        <v>8543</v>
      </c>
      <c r="AB2831" s="1">
        <v>4959.68</v>
      </c>
    </row>
    <row r="2832" spans="2:28" x14ac:dyDescent="0.2">
      <c r="B2832" s="30" t="s">
        <v>2294</v>
      </c>
      <c r="C2832" s="36"/>
      <c r="D2832" s="36"/>
      <c r="F2832" s="1" t="s">
        <v>1322</v>
      </c>
      <c r="G2832" s="30" t="s">
        <v>5299</v>
      </c>
      <c r="K2832" s="1" t="s">
        <v>5323</v>
      </c>
      <c r="L2832" s="1" t="s">
        <v>1279</v>
      </c>
      <c r="M2832" s="36" t="s">
        <v>2014</v>
      </c>
      <c r="N2832" s="1" t="s">
        <v>1573</v>
      </c>
      <c r="O2832" s="1" t="s">
        <v>1286</v>
      </c>
      <c r="P2832" s="34" t="str">
        <f t="shared" si="56"/>
        <v>F010</v>
      </c>
      <c r="Q2832" s="1" t="s">
        <v>127</v>
      </c>
      <c r="S2832" s="16">
        <v>20</v>
      </c>
      <c r="T2832" s="1" t="s">
        <v>2299</v>
      </c>
      <c r="U2832" s="1" t="s">
        <v>1334</v>
      </c>
      <c r="V2832" s="1" t="s">
        <v>1377</v>
      </c>
      <c r="Y2832" s="1">
        <v>8514</v>
      </c>
      <c r="AB2832" s="1">
        <v>4942.8599999999997</v>
      </c>
    </row>
    <row r="2833" spans="2:28" x14ac:dyDescent="0.2">
      <c r="B2833" s="30" t="s">
        <v>2294</v>
      </c>
      <c r="C2833" s="36"/>
      <c r="D2833" s="36"/>
      <c r="F2833" s="1" t="s">
        <v>1322</v>
      </c>
      <c r="G2833" s="30" t="s">
        <v>5299</v>
      </c>
      <c r="K2833" s="1" t="s">
        <v>5324</v>
      </c>
      <c r="L2833" s="1" t="s">
        <v>1279</v>
      </c>
      <c r="M2833" s="36" t="s">
        <v>2014</v>
      </c>
      <c r="N2833" s="1" t="s">
        <v>1287</v>
      </c>
      <c r="O2833" s="1" t="s">
        <v>1286</v>
      </c>
      <c r="P2833" s="34" t="str">
        <f t="shared" si="56"/>
        <v>F010</v>
      </c>
      <c r="Q2833" s="1" t="s">
        <v>127</v>
      </c>
      <c r="S2833" s="16">
        <v>20</v>
      </c>
      <c r="T2833" s="1" t="s">
        <v>2299</v>
      </c>
      <c r="U2833" s="1" t="s">
        <v>1334</v>
      </c>
      <c r="V2833" s="1" t="s">
        <v>1377</v>
      </c>
      <c r="Y2833" s="1">
        <v>8543</v>
      </c>
      <c r="AB2833" s="1">
        <v>4959.68</v>
      </c>
    </row>
    <row r="2834" spans="2:28" x14ac:dyDescent="0.2">
      <c r="B2834" s="30" t="s">
        <v>2294</v>
      </c>
      <c r="C2834" s="36"/>
      <c r="D2834" s="36"/>
      <c r="F2834" s="1" t="s">
        <v>1322</v>
      </c>
      <c r="G2834" s="30" t="s">
        <v>5299</v>
      </c>
      <c r="K2834" s="1" t="s">
        <v>5325</v>
      </c>
      <c r="L2834" s="1" t="s">
        <v>1279</v>
      </c>
      <c r="M2834" s="36" t="s">
        <v>2014</v>
      </c>
      <c r="N2834" s="1" t="s">
        <v>1715</v>
      </c>
      <c r="O2834" s="1" t="s">
        <v>1286</v>
      </c>
      <c r="P2834" s="34" t="str">
        <f t="shared" si="56"/>
        <v>F010</v>
      </c>
      <c r="Q2834" s="1" t="s">
        <v>127</v>
      </c>
      <c r="S2834" s="16">
        <v>20</v>
      </c>
      <c r="T2834" s="1" t="s">
        <v>2299</v>
      </c>
      <c r="U2834" s="1" t="s">
        <v>1334</v>
      </c>
      <c r="V2834" s="1" t="s">
        <v>1377</v>
      </c>
      <c r="Y2834" s="1">
        <v>8543</v>
      </c>
      <c r="AB2834" s="1">
        <v>4959.68</v>
      </c>
    </row>
    <row r="2835" spans="2:28" x14ac:dyDescent="0.2">
      <c r="B2835" s="30" t="s">
        <v>2294</v>
      </c>
      <c r="C2835" s="36"/>
      <c r="D2835" s="36"/>
      <c r="F2835" s="1" t="s">
        <v>1322</v>
      </c>
      <c r="G2835" s="30" t="s">
        <v>5299</v>
      </c>
      <c r="K2835" s="1" t="s">
        <v>5326</v>
      </c>
      <c r="L2835" s="1" t="s">
        <v>1279</v>
      </c>
      <c r="M2835" s="36" t="s">
        <v>2014</v>
      </c>
      <c r="N2835" s="1" t="s">
        <v>3390</v>
      </c>
      <c r="O2835" s="1" t="s">
        <v>1286</v>
      </c>
      <c r="P2835" s="34" t="str">
        <f t="shared" si="56"/>
        <v>F010</v>
      </c>
      <c r="Q2835" s="1" t="s">
        <v>127</v>
      </c>
      <c r="S2835" s="16">
        <v>20</v>
      </c>
      <c r="T2835" s="1" t="s">
        <v>3846</v>
      </c>
      <c r="U2835" s="1" t="s">
        <v>1334</v>
      </c>
      <c r="V2835" s="1" t="s">
        <v>1377</v>
      </c>
      <c r="Y2835" s="1">
        <v>8514</v>
      </c>
      <c r="AB2835" s="1">
        <v>4942.8599999999997</v>
      </c>
    </row>
    <row r="2836" spans="2:28" x14ac:dyDescent="0.2">
      <c r="B2836" s="30" t="s">
        <v>2294</v>
      </c>
      <c r="C2836" s="36"/>
      <c r="D2836" s="36"/>
      <c r="F2836" s="1" t="s">
        <v>3847</v>
      </c>
      <c r="G2836" s="30" t="s">
        <v>5299</v>
      </c>
      <c r="K2836" s="1" t="s">
        <v>5327</v>
      </c>
      <c r="L2836" s="1" t="s">
        <v>1279</v>
      </c>
      <c r="M2836" s="36" t="s">
        <v>2014</v>
      </c>
      <c r="N2836" s="1" t="s">
        <v>1286</v>
      </c>
      <c r="O2836" s="1" t="s">
        <v>1286</v>
      </c>
      <c r="P2836" s="34" t="str">
        <f t="shared" si="56"/>
        <v>F010</v>
      </c>
      <c r="Q2836" s="1" t="s">
        <v>127</v>
      </c>
      <c r="S2836" s="16">
        <v>20</v>
      </c>
      <c r="T2836" s="1" t="s">
        <v>2299</v>
      </c>
      <c r="U2836" s="1" t="s">
        <v>1334</v>
      </c>
      <c r="V2836" s="1" t="s">
        <v>1377</v>
      </c>
      <c r="Y2836" s="1">
        <v>8543</v>
      </c>
      <c r="AB2836" s="1">
        <v>4959.68</v>
      </c>
    </row>
    <row r="2837" spans="2:28" x14ac:dyDescent="0.2">
      <c r="B2837" s="30" t="s">
        <v>2294</v>
      </c>
      <c r="C2837" s="36"/>
      <c r="D2837" s="36"/>
      <c r="F2837" s="1" t="s">
        <v>1322</v>
      </c>
      <c r="G2837" s="30" t="s">
        <v>5299</v>
      </c>
      <c r="K2837" s="1" t="s">
        <v>5328</v>
      </c>
      <c r="L2837" s="1" t="s">
        <v>1279</v>
      </c>
      <c r="M2837" s="36" t="s">
        <v>2014</v>
      </c>
      <c r="N2837" s="1" t="s">
        <v>1564</v>
      </c>
      <c r="O2837" s="1" t="s">
        <v>1286</v>
      </c>
      <c r="P2837" s="34" t="str">
        <f t="shared" si="56"/>
        <v>F010</v>
      </c>
      <c r="Q2837" s="1" t="s">
        <v>127</v>
      </c>
      <c r="S2837" s="16">
        <v>20</v>
      </c>
      <c r="T2837" s="1" t="s">
        <v>2299</v>
      </c>
      <c r="U2837" s="1" t="s">
        <v>1334</v>
      </c>
      <c r="V2837" s="1" t="s">
        <v>1377</v>
      </c>
      <c r="Y2837" s="1">
        <v>8543</v>
      </c>
      <c r="AB2837" s="1">
        <v>4959.68</v>
      </c>
    </row>
    <row r="2838" spans="2:28" x14ac:dyDescent="0.2">
      <c r="B2838" s="30" t="s">
        <v>2294</v>
      </c>
      <c r="C2838" s="36"/>
      <c r="D2838" s="36"/>
      <c r="F2838" s="1" t="s">
        <v>1322</v>
      </c>
      <c r="G2838" s="30" t="s">
        <v>5299</v>
      </c>
      <c r="K2838" s="1" t="s">
        <v>5329</v>
      </c>
      <c r="L2838" s="1" t="s">
        <v>1279</v>
      </c>
      <c r="M2838" s="36" t="s">
        <v>2014</v>
      </c>
      <c r="N2838" s="1" t="s">
        <v>1642</v>
      </c>
      <c r="O2838" s="1" t="s">
        <v>1286</v>
      </c>
      <c r="P2838" s="34" t="str">
        <f t="shared" si="56"/>
        <v>F010</v>
      </c>
      <c r="Q2838" s="1" t="s">
        <v>127</v>
      </c>
      <c r="S2838" s="16">
        <v>20</v>
      </c>
      <c r="T2838" s="1" t="s">
        <v>2299</v>
      </c>
      <c r="U2838" s="1" t="s">
        <v>1334</v>
      </c>
      <c r="V2838" s="1" t="s">
        <v>1377</v>
      </c>
      <c r="Y2838" s="1">
        <v>8543</v>
      </c>
      <c r="AB2838" s="1">
        <v>4959.68</v>
      </c>
    </row>
    <row r="2839" spans="2:28" x14ac:dyDescent="0.2">
      <c r="B2839" s="30" t="s">
        <v>2294</v>
      </c>
      <c r="C2839" s="36"/>
      <c r="D2839" s="36"/>
      <c r="F2839" s="1" t="s">
        <v>1322</v>
      </c>
      <c r="G2839" s="30" t="s">
        <v>5299</v>
      </c>
      <c r="K2839" s="1" t="s">
        <v>5330</v>
      </c>
      <c r="L2839" s="1" t="s">
        <v>1279</v>
      </c>
      <c r="M2839" s="36" t="s">
        <v>2014</v>
      </c>
      <c r="N2839" s="1" t="s">
        <v>1284</v>
      </c>
      <c r="O2839" s="1" t="s">
        <v>1286</v>
      </c>
      <c r="P2839" s="34" t="str">
        <f t="shared" si="56"/>
        <v>F010</v>
      </c>
      <c r="Q2839" s="1" t="s">
        <v>127</v>
      </c>
      <c r="S2839" s="16">
        <v>20</v>
      </c>
      <c r="T2839" s="1" t="s">
        <v>3876</v>
      </c>
      <c r="U2839" s="1" t="s">
        <v>1334</v>
      </c>
      <c r="V2839" s="1" t="s">
        <v>1377</v>
      </c>
      <c r="Y2839" s="1">
        <v>8543</v>
      </c>
      <c r="AB2839" s="1">
        <v>4959.68</v>
      </c>
    </row>
    <row r="2840" spans="2:28" x14ac:dyDescent="0.2">
      <c r="B2840" s="30" t="s">
        <v>2294</v>
      </c>
      <c r="C2840" s="36"/>
      <c r="D2840" s="36"/>
      <c r="F2840" s="1" t="s">
        <v>3877</v>
      </c>
      <c r="G2840" s="30" t="s">
        <v>5299</v>
      </c>
      <c r="K2840" s="1" t="s">
        <v>5331</v>
      </c>
      <c r="L2840" s="1" t="s">
        <v>1279</v>
      </c>
      <c r="M2840" s="36" t="s">
        <v>2014</v>
      </c>
      <c r="N2840" s="1" t="s">
        <v>1573</v>
      </c>
      <c r="O2840" s="1" t="s">
        <v>1286</v>
      </c>
      <c r="P2840" s="34" t="str">
        <f t="shared" si="56"/>
        <v>F010</v>
      </c>
      <c r="Q2840" s="1" t="s">
        <v>127</v>
      </c>
      <c r="S2840" s="16">
        <v>20</v>
      </c>
      <c r="T2840" s="1" t="s">
        <v>2299</v>
      </c>
      <c r="U2840" s="1" t="s">
        <v>1334</v>
      </c>
      <c r="V2840" s="1" t="s">
        <v>1377</v>
      </c>
      <c r="Y2840" s="1">
        <v>8514</v>
      </c>
      <c r="AB2840" s="1">
        <v>4942.8599999999997</v>
      </c>
    </row>
    <row r="2841" spans="2:28" x14ac:dyDescent="0.2">
      <c r="B2841" s="30" t="s">
        <v>2294</v>
      </c>
      <c r="C2841" s="36"/>
      <c r="D2841" s="36"/>
      <c r="F2841" s="1" t="s">
        <v>1322</v>
      </c>
      <c r="G2841" s="30" t="s">
        <v>5299</v>
      </c>
      <c r="K2841" s="1" t="s">
        <v>5332</v>
      </c>
      <c r="L2841" s="1" t="s">
        <v>1279</v>
      </c>
      <c r="M2841" s="36" t="s">
        <v>2014</v>
      </c>
      <c r="N2841" s="1" t="s">
        <v>3615</v>
      </c>
      <c r="O2841" s="1" t="s">
        <v>1286</v>
      </c>
      <c r="P2841" s="34" t="str">
        <f t="shared" si="56"/>
        <v>F010</v>
      </c>
      <c r="Q2841" s="1" t="s">
        <v>127</v>
      </c>
      <c r="S2841" s="16">
        <v>20</v>
      </c>
      <c r="T2841" s="1" t="s">
        <v>2299</v>
      </c>
      <c r="U2841" s="1" t="s">
        <v>1334</v>
      </c>
      <c r="V2841" s="1" t="s">
        <v>1377</v>
      </c>
      <c r="Y2841" s="1">
        <v>8543</v>
      </c>
      <c r="AB2841" s="1">
        <v>4959.68</v>
      </c>
    </row>
    <row r="2842" spans="2:28" x14ac:dyDescent="0.2">
      <c r="B2842" s="30" t="s">
        <v>2294</v>
      </c>
      <c r="C2842" s="36"/>
      <c r="D2842" s="36"/>
      <c r="F2842" s="1" t="s">
        <v>1322</v>
      </c>
      <c r="G2842" s="30" t="s">
        <v>5299</v>
      </c>
      <c r="K2842" s="1" t="s">
        <v>5333</v>
      </c>
      <c r="L2842" s="1" t="s">
        <v>1279</v>
      </c>
      <c r="M2842" s="36" t="s">
        <v>2014</v>
      </c>
      <c r="N2842" s="1" t="s">
        <v>3592</v>
      </c>
      <c r="O2842" s="1" t="s">
        <v>1286</v>
      </c>
      <c r="P2842" s="34" t="str">
        <f t="shared" si="56"/>
        <v>F010</v>
      </c>
      <c r="Q2842" s="1" t="s">
        <v>127</v>
      </c>
      <c r="S2842" s="16">
        <v>20</v>
      </c>
      <c r="T2842" s="1" t="s">
        <v>2299</v>
      </c>
      <c r="U2842" s="1" t="s">
        <v>1334</v>
      </c>
      <c r="V2842" s="1" t="s">
        <v>1377</v>
      </c>
      <c r="Y2842" s="1">
        <v>8543</v>
      </c>
      <c r="AB2842" s="1">
        <v>4959.68</v>
      </c>
    </row>
    <row r="2843" spans="2:28" x14ac:dyDescent="0.2">
      <c r="B2843" s="30" t="s">
        <v>2294</v>
      </c>
      <c r="C2843" s="36"/>
      <c r="D2843" s="36"/>
      <c r="F2843" s="1" t="s">
        <v>1322</v>
      </c>
      <c r="G2843" s="30" t="s">
        <v>5299</v>
      </c>
      <c r="K2843" s="1" t="s">
        <v>5334</v>
      </c>
      <c r="L2843" s="1" t="s">
        <v>1279</v>
      </c>
      <c r="M2843" s="36" t="s">
        <v>2014</v>
      </c>
      <c r="N2843" s="1" t="s">
        <v>1833</v>
      </c>
      <c r="O2843" s="1" t="s">
        <v>1286</v>
      </c>
      <c r="P2843" s="34" t="str">
        <f t="shared" si="56"/>
        <v>F010</v>
      </c>
      <c r="Q2843" s="1" t="s">
        <v>127</v>
      </c>
      <c r="S2843" s="16">
        <v>20</v>
      </c>
      <c r="T2843" s="1" t="s">
        <v>2299</v>
      </c>
      <c r="U2843" s="1" t="s">
        <v>1334</v>
      </c>
      <c r="V2843" s="1" t="s">
        <v>1377</v>
      </c>
      <c r="Y2843" s="1">
        <v>8543</v>
      </c>
      <c r="AB2843" s="1">
        <v>4959.68</v>
      </c>
    </row>
    <row r="2844" spans="2:28" x14ac:dyDescent="0.2">
      <c r="B2844" s="30" t="s">
        <v>2294</v>
      </c>
      <c r="C2844" s="36"/>
      <c r="D2844" s="36"/>
      <c r="F2844" s="1" t="s">
        <v>1322</v>
      </c>
      <c r="G2844" s="30" t="s">
        <v>5299</v>
      </c>
      <c r="K2844" s="1" t="s">
        <v>5335</v>
      </c>
      <c r="L2844" s="1" t="s">
        <v>1279</v>
      </c>
      <c r="M2844" s="36" t="s">
        <v>2014</v>
      </c>
      <c r="N2844" s="1" t="s">
        <v>1568</v>
      </c>
      <c r="O2844" s="1" t="s">
        <v>1286</v>
      </c>
      <c r="P2844" s="34" t="str">
        <f t="shared" si="56"/>
        <v>F010</v>
      </c>
      <c r="Q2844" s="1" t="s">
        <v>127</v>
      </c>
      <c r="S2844" s="16">
        <v>20</v>
      </c>
      <c r="T2844" s="1" t="s">
        <v>3876</v>
      </c>
      <c r="U2844" s="1" t="s">
        <v>1334</v>
      </c>
      <c r="V2844" s="1" t="s">
        <v>1377</v>
      </c>
      <c r="Y2844" s="1">
        <v>8514</v>
      </c>
      <c r="AB2844" s="1">
        <v>4942.8599999999997</v>
      </c>
    </row>
    <row r="2845" spans="2:28" x14ac:dyDescent="0.2">
      <c r="B2845" s="30" t="s">
        <v>2294</v>
      </c>
      <c r="C2845" s="36"/>
      <c r="D2845" s="36"/>
      <c r="F2845" s="1" t="s">
        <v>3877</v>
      </c>
      <c r="G2845" s="30" t="s">
        <v>5299</v>
      </c>
      <c r="K2845" s="1" t="s">
        <v>5336</v>
      </c>
      <c r="L2845" s="1" t="s">
        <v>1279</v>
      </c>
      <c r="M2845" s="36" t="s">
        <v>2014</v>
      </c>
      <c r="N2845" s="1" t="s">
        <v>1833</v>
      </c>
      <c r="O2845" s="1" t="s">
        <v>1286</v>
      </c>
      <c r="P2845" s="34" t="str">
        <f t="shared" si="56"/>
        <v>F010</v>
      </c>
      <c r="Q2845" s="1" t="s">
        <v>127</v>
      </c>
      <c r="S2845" s="16">
        <v>20</v>
      </c>
      <c r="T2845" s="1" t="s">
        <v>2299</v>
      </c>
      <c r="U2845" s="1" t="s">
        <v>1334</v>
      </c>
      <c r="V2845" s="1" t="s">
        <v>1377</v>
      </c>
      <c r="Y2845" s="1">
        <v>17057</v>
      </c>
      <c r="AB2845" s="1">
        <v>10162.68</v>
      </c>
    </row>
    <row r="2846" spans="2:28" x14ac:dyDescent="0.2">
      <c r="B2846" s="30" t="s">
        <v>2294</v>
      </c>
      <c r="C2846" s="36"/>
      <c r="D2846" s="36"/>
      <c r="F2846" s="1" t="s">
        <v>1322</v>
      </c>
      <c r="G2846" s="30" t="s">
        <v>5299</v>
      </c>
      <c r="K2846" s="1" t="s">
        <v>5337</v>
      </c>
      <c r="L2846" s="1" t="s">
        <v>1279</v>
      </c>
      <c r="M2846" s="36" t="s">
        <v>2014</v>
      </c>
      <c r="N2846" s="1" t="s">
        <v>1788</v>
      </c>
      <c r="O2846" s="1" t="s">
        <v>1286</v>
      </c>
      <c r="P2846" s="34" t="str">
        <f t="shared" si="56"/>
        <v>F010</v>
      </c>
      <c r="Q2846" s="1" t="s">
        <v>127</v>
      </c>
      <c r="S2846" s="16">
        <v>20</v>
      </c>
      <c r="T2846" s="1" t="s">
        <v>2299</v>
      </c>
      <c r="U2846" s="1" t="s">
        <v>1334</v>
      </c>
      <c r="V2846" s="1" t="s">
        <v>1377</v>
      </c>
      <c r="Y2846" s="1">
        <v>8543</v>
      </c>
      <c r="AB2846" s="1">
        <v>4959.68</v>
      </c>
    </row>
    <row r="2847" spans="2:28" x14ac:dyDescent="0.2">
      <c r="B2847" s="30" t="s">
        <v>2294</v>
      </c>
      <c r="C2847" s="36"/>
      <c r="D2847" s="36"/>
      <c r="F2847" s="1" t="s">
        <v>1322</v>
      </c>
      <c r="G2847" s="30" t="s">
        <v>5299</v>
      </c>
      <c r="K2847" s="1" t="s">
        <v>5338</v>
      </c>
      <c r="L2847" s="1" t="s">
        <v>1279</v>
      </c>
      <c r="M2847" s="36" t="s">
        <v>2014</v>
      </c>
      <c r="N2847" s="1" t="s">
        <v>1573</v>
      </c>
      <c r="O2847" s="1" t="s">
        <v>1286</v>
      </c>
      <c r="P2847" s="34" t="str">
        <f t="shared" si="56"/>
        <v>F010</v>
      </c>
      <c r="Q2847" s="1" t="s">
        <v>127</v>
      </c>
      <c r="S2847" s="16">
        <v>20</v>
      </c>
      <c r="T2847" s="1" t="s">
        <v>2299</v>
      </c>
      <c r="U2847" s="1" t="s">
        <v>1334</v>
      </c>
      <c r="V2847" s="1" t="s">
        <v>1377</v>
      </c>
      <c r="Y2847" s="1">
        <v>8543</v>
      </c>
      <c r="AB2847" s="1">
        <v>4959.68</v>
      </c>
    </row>
    <row r="2848" spans="2:28" x14ac:dyDescent="0.2">
      <c r="B2848" s="30" t="s">
        <v>2294</v>
      </c>
      <c r="C2848" s="36"/>
      <c r="D2848" s="36"/>
      <c r="F2848" s="1" t="s">
        <v>1322</v>
      </c>
      <c r="G2848" s="30" t="s">
        <v>5299</v>
      </c>
      <c r="K2848" s="1" t="s">
        <v>5339</v>
      </c>
      <c r="L2848" s="1" t="s">
        <v>1279</v>
      </c>
      <c r="M2848" s="36" t="s">
        <v>2014</v>
      </c>
      <c r="N2848" s="1" t="s">
        <v>2497</v>
      </c>
      <c r="O2848" s="1" t="s">
        <v>1286</v>
      </c>
      <c r="P2848" s="34" t="str">
        <f t="shared" si="56"/>
        <v>F010</v>
      </c>
      <c r="Q2848" s="1" t="s">
        <v>127</v>
      </c>
      <c r="S2848" s="16">
        <v>20</v>
      </c>
      <c r="T2848" s="1" t="s">
        <v>2299</v>
      </c>
      <c r="U2848" s="1" t="s">
        <v>1334</v>
      </c>
      <c r="V2848" s="1" t="s">
        <v>1377</v>
      </c>
      <c r="Y2848" s="1">
        <v>8543</v>
      </c>
      <c r="AB2848" s="1">
        <v>4959.68</v>
      </c>
    </row>
    <row r="2849" spans="2:28" x14ac:dyDescent="0.2">
      <c r="B2849" s="30" t="s">
        <v>2294</v>
      </c>
      <c r="C2849" s="36"/>
      <c r="D2849" s="36"/>
      <c r="F2849" s="1" t="s">
        <v>1322</v>
      </c>
      <c r="G2849" s="30" t="s">
        <v>5299</v>
      </c>
      <c r="K2849" s="1" t="s">
        <v>5340</v>
      </c>
      <c r="L2849" s="1" t="s">
        <v>1279</v>
      </c>
      <c r="M2849" s="36" t="s">
        <v>2014</v>
      </c>
      <c r="N2849" s="1" t="s">
        <v>1573</v>
      </c>
      <c r="O2849" s="1" t="s">
        <v>1286</v>
      </c>
      <c r="P2849" s="34" t="str">
        <f t="shared" si="56"/>
        <v>F010</v>
      </c>
      <c r="Q2849" s="1" t="s">
        <v>127</v>
      </c>
      <c r="S2849" s="16">
        <v>20</v>
      </c>
      <c r="T2849" s="1" t="s">
        <v>2299</v>
      </c>
      <c r="U2849" s="1" t="s">
        <v>1334</v>
      </c>
      <c r="V2849" s="1" t="s">
        <v>1377</v>
      </c>
      <c r="Y2849" s="1">
        <v>8514</v>
      </c>
      <c r="AB2849" s="1">
        <v>4942.8599999999997</v>
      </c>
    </row>
    <row r="2850" spans="2:28" x14ac:dyDescent="0.2">
      <c r="B2850" s="30" t="s">
        <v>2294</v>
      </c>
      <c r="C2850" s="36"/>
      <c r="D2850" s="36"/>
      <c r="F2850" s="1" t="s">
        <v>1322</v>
      </c>
      <c r="G2850" s="30" t="s">
        <v>5299</v>
      </c>
      <c r="K2850" s="1" t="s">
        <v>5341</v>
      </c>
      <c r="L2850" s="1" t="s">
        <v>1279</v>
      </c>
      <c r="M2850" s="36" t="s">
        <v>2014</v>
      </c>
      <c r="N2850" s="1" t="s">
        <v>1754</v>
      </c>
      <c r="O2850" s="1" t="s">
        <v>1286</v>
      </c>
      <c r="P2850" s="34" t="str">
        <f t="shared" si="56"/>
        <v>F010</v>
      </c>
      <c r="Q2850" s="1" t="s">
        <v>127</v>
      </c>
      <c r="S2850" s="16">
        <v>20</v>
      </c>
      <c r="T2850" s="1" t="s">
        <v>3876</v>
      </c>
      <c r="U2850" s="1" t="s">
        <v>1334</v>
      </c>
      <c r="V2850" s="1" t="s">
        <v>1377</v>
      </c>
      <c r="Y2850" s="1">
        <v>8543</v>
      </c>
      <c r="AB2850" s="1">
        <v>4959.68</v>
      </c>
    </row>
    <row r="2851" spans="2:28" x14ac:dyDescent="0.2">
      <c r="B2851" s="30" t="s">
        <v>2294</v>
      </c>
      <c r="C2851" s="36"/>
      <c r="D2851" s="36"/>
      <c r="F2851" s="1" t="s">
        <v>3877</v>
      </c>
      <c r="G2851" s="30" t="s">
        <v>5299</v>
      </c>
      <c r="K2851" s="1" t="s">
        <v>5342</v>
      </c>
      <c r="L2851" s="1" t="s">
        <v>1279</v>
      </c>
      <c r="M2851" s="36" t="s">
        <v>2014</v>
      </c>
      <c r="N2851" s="1" t="s">
        <v>1556</v>
      </c>
      <c r="O2851" s="1" t="s">
        <v>1286</v>
      </c>
      <c r="P2851" s="34" t="str">
        <f t="shared" si="56"/>
        <v>F010</v>
      </c>
      <c r="Q2851" s="1" t="s">
        <v>127</v>
      </c>
      <c r="S2851" s="16">
        <v>20</v>
      </c>
      <c r="T2851" s="1" t="s">
        <v>2299</v>
      </c>
      <c r="U2851" s="1" t="s">
        <v>1334</v>
      </c>
      <c r="V2851" s="1" t="s">
        <v>1377</v>
      </c>
      <c r="Y2851" s="1">
        <v>8514</v>
      </c>
      <c r="AB2851" s="1">
        <v>4942.8599999999997</v>
      </c>
    </row>
    <row r="2852" spans="2:28" x14ac:dyDescent="0.2">
      <c r="B2852" s="30" t="s">
        <v>2294</v>
      </c>
      <c r="C2852" s="36"/>
      <c r="D2852" s="36"/>
      <c r="F2852" s="1" t="s">
        <v>1322</v>
      </c>
      <c r="G2852" s="30" t="s">
        <v>5299</v>
      </c>
      <c r="K2852" s="1" t="s">
        <v>5343</v>
      </c>
      <c r="L2852" s="1" t="s">
        <v>1279</v>
      </c>
      <c r="M2852" s="36" t="s">
        <v>2014</v>
      </c>
      <c r="N2852" s="1" t="s">
        <v>2914</v>
      </c>
      <c r="O2852" s="1" t="s">
        <v>1286</v>
      </c>
      <c r="P2852" s="34" t="str">
        <f t="shared" si="56"/>
        <v>F010</v>
      </c>
      <c r="Q2852" s="1" t="s">
        <v>127</v>
      </c>
      <c r="S2852" s="16">
        <v>20</v>
      </c>
      <c r="T2852" s="1" t="s">
        <v>2299</v>
      </c>
      <c r="U2852" s="1" t="s">
        <v>1334</v>
      </c>
      <c r="V2852" s="1" t="s">
        <v>1377</v>
      </c>
      <c r="Y2852" s="1">
        <v>8514</v>
      </c>
      <c r="AB2852" s="1">
        <v>4942.8599999999997</v>
      </c>
    </row>
    <row r="2853" spans="2:28" x14ac:dyDescent="0.2">
      <c r="B2853" s="30" t="s">
        <v>2294</v>
      </c>
      <c r="C2853" s="36"/>
      <c r="D2853" s="36"/>
      <c r="F2853" s="1" t="s">
        <v>1322</v>
      </c>
      <c r="G2853" s="30" t="s">
        <v>5299</v>
      </c>
      <c r="K2853" s="1" t="s">
        <v>5344</v>
      </c>
      <c r="L2853" s="1" t="s">
        <v>1279</v>
      </c>
      <c r="M2853" s="36" t="s">
        <v>2014</v>
      </c>
      <c r="N2853" s="1" t="s">
        <v>1564</v>
      </c>
      <c r="O2853" s="1" t="s">
        <v>1286</v>
      </c>
      <c r="P2853" s="34" t="str">
        <f t="shared" si="56"/>
        <v>F010</v>
      </c>
      <c r="Q2853" s="1" t="s">
        <v>127</v>
      </c>
      <c r="S2853" s="16">
        <v>20</v>
      </c>
      <c r="T2853" s="1" t="s">
        <v>2299</v>
      </c>
      <c r="U2853" s="1" t="s">
        <v>1334</v>
      </c>
      <c r="V2853" s="1" t="s">
        <v>1377</v>
      </c>
      <c r="Y2853" s="1">
        <v>8543</v>
      </c>
      <c r="AB2853" s="1">
        <v>4959.68</v>
      </c>
    </row>
    <row r="2854" spans="2:28" x14ac:dyDescent="0.2">
      <c r="B2854" s="30" t="s">
        <v>2294</v>
      </c>
      <c r="C2854" s="36"/>
      <c r="D2854" s="36"/>
      <c r="F2854" s="1" t="s">
        <v>1322</v>
      </c>
      <c r="G2854" s="30" t="s">
        <v>5299</v>
      </c>
      <c r="K2854" s="1" t="s">
        <v>5345</v>
      </c>
      <c r="L2854" s="1" t="s">
        <v>1279</v>
      </c>
      <c r="M2854" s="36" t="s">
        <v>2014</v>
      </c>
      <c r="N2854" s="1" t="s">
        <v>3592</v>
      </c>
      <c r="O2854" s="1" t="s">
        <v>1286</v>
      </c>
      <c r="P2854" s="34" t="str">
        <f t="shared" si="56"/>
        <v>F010</v>
      </c>
      <c r="Q2854" s="1" t="s">
        <v>127</v>
      </c>
      <c r="S2854" s="16">
        <v>20</v>
      </c>
      <c r="T2854" s="1" t="s">
        <v>2299</v>
      </c>
      <c r="U2854" s="1" t="s">
        <v>1334</v>
      </c>
      <c r="V2854" s="1" t="s">
        <v>1377</v>
      </c>
      <c r="Y2854" s="1">
        <v>8543</v>
      </c>
      <c r="AB2854" s="1">
        <v>4959.68</v>
      </c>
    </row>
    <row r="2855" spans="2:28" x14ac:dyDescent="0.2">
      <c r="B2855" s="30" t="s">
        <v>2294</v>
      </c>
      <c r="C2855" s="36"/>
      <c r="D2855" s="36"/>
      <c r="F2855" s="1" t="s">
        <v>1322</v>
      </c>
      <c r="G2855" s="30" t="s">
        <v>5299</v>
      </c>
      <c r="K2855" s="1" t="s">
        <v>5346</v>
      </c>
      <c r="L2855" s="1" t="s">
        <v>1279</v>
      </c>
      <c r="M2855" s="36" t="s">
        <v>2014</v>
      </c>
      <c r="N2855" s="1" t="s">
        <v>2497</v>
      </c>
      <c r="O2855" s="1" t="s">
        <v>1286</v>
      </c>
      <c r="P2855" s="34" t="str">
        <f t="shared" si="56"/>
        <v>F010</v>
      </c>
      <c r="Q2855" s="1" t="s">
        <v>127</v>
      </c>
      <c r="S2855" s="16">
        <v>20</v>
      </c>
      <c r="T2855" s="1" t="s">
        <v>2299</v>
      </c>
      <c r="U2855" s="1" t="s">
        <v>1334</v>
      </c>
      <c r="V2855" s="1" t="s">
        <v>1377</v>
      </c>
      <c r="Y2855" s="1">
        <v>8543</v>
      </c>
      <c r="AB2855" s="1">
        <v>4959.68</v>
      </c>
    </row>
    <row r="2856" spans="2:28" x14ac:dyDescent="0.2">
      <c r="B2856" s="30" t="s">
        <v>2294</v>
      </c>
      <c r="C2856" s="36"/>
      <c r="D2856" s="36"/>
      <c r="F2856" s="1" t="s">
        <v>1322</v>
      </c>
      <c r="G2856" s="30" t="s">
        <v>5347</v>
      </c>
      <c r="K2856" s="1" t="s">
        <v>5348</v>
      </c>
      <c r="L2856" s="1" t="s">
        <v>1279</v>
      </c>
      <c r="M2856" s="36" t="s">
        <v>1451</v>
      </c>
      <c r="N2856" s="1" t="s">
        <v>2925</v>
      </c>
      <c r="O2856" s="1" t="s">
        <v>1286</v>
      </c>
      <c r="P2856" s="34" t="str">
        <f t="shared" si="56"/>
        <v>F010</v>
      </c>
      <c r="Q2856" s="1" t="s">
        <v>137</v>
      </c>
      <c r="S2856" s="16">
        <v>20</v>
      </c>
      <c r="T2856" s="1" t="s">
        <v>3876</v>
      </c>
      <c r="U2856" s="1" t="s">
        <v>1345</v>
      </c>
      <c r="V2856" s="1" t="s">
        <v>1699</v>
      </c>
      <c r="Y2856" s="1">
        <v>16480</v>
      </c>
      <c r="AB2856" s="1">
        <v>15656</v>
      </c>
    </row>
    <row r="2857" spans="2:28" x14ac:dyDescent="0.2">
      <c r="B2857" s="30" t="s">
        <v>2294</v>
      </c>
      <c r="C2857" s="36"/>
      <c r="D2857" s="36"/>
      <c r="F2857" s="1" t="s">
        <v>3877</v>
      </c>
      <c r="G2857" s="30" t="s">
        <v>5347</v>
      </c>
      <c r="K2857" s="1" t="s">
        <v>5349</v>
      </c>
      <c r="L2857" s="1" t="s">
        <v>1279</v>
      </c>
      <c r="M2857" s="36" t="s">
        <v>1451</v>
      </c>
      <c r="N2857" s="1" t="s">
        <v>2925</v>
      </c>
      <c r="O2857" s="1" t="s">
        <v>1286</v>
      </c>
      <c r="P2857" s="34" t="str">
        <f t="shared" si="56"/>
        <v>F010</v>
      </c>
      <c r="Q2857" s="1" t="s">
        <v>137</v>
      </c>
      <c r="S2857" s="16">
        <v>20</v>
      </c>
      <c r="T2857" s="1" t="s">
        <v>2299</v>
      </c>
      <c r="U2857" s="1" t="s">
        <v>1345</v>
      </c>
      <c r="V2857" s="1" t="s">
        <v>1699</v>
      </c>
      <c r="Y2857" s="1">
        <v>16480</v>
      </c>
      <c r="AB2857" s="1">
        <v>15656</v>
      </c>
    </row>
    <row r="2858" spans="2:28" x14ac:dyDescent="0.2">
      <c r="B2858" s="30" t="s">
        <v>2294</v>
      </c>
      <c r="C2858" s="36"/>
      <c r="D2858" s="36"/>
      <c r="F2858" s="1" t="s">
        <v>1322</v>
      </c>
      <c r="G2858" s="30" t="s">
        <v>5350</v>
      </c>
      <c r="K2858" s="1" t="s">
        <v>5351</v>
      </c>
      <c r="L2858" s="1" t="s">
        <v>1279</v>
      </c>
      <c r="M2858" s="36" t="s">
        <v>5352</v>
      </c>
      <c r="N2858" s="1" t="s">
        <v>1295</v>
      </c>
      <c r="O2858" s="1" t="s">
        <v>1286</v>
      </c>
      <c r="P2858" s="34" t="str">
        <f t="shared" si="56"/>
        <v>F010</v>
      </c>
      <c r="Q2858" s="1" t="s">
        <v>1298</v>
      </c>
      <c r="S2858" s="16">
        <v>20</v>
      </c>
      <c r="T2858" s="1" t="s">
        <v>2299</v>
      </c>
      <c r="U2858" s="1" t="s">
        <v>1874</v>
      </c>
      <c r="V2858" s="1" t="s">
        <v>1875</v>
      </c>
      <c r="Y2858" s="1">
        <v>20100</v>
      </c>
      <c r="AB2858" s="1">
        <v>19095</v>
      </c>
    </row>
    <row r="2859" spans="2:28" x14ac:dyDescent="0.2">
      <c r="B2859" s="30" t="s">
        <v>2294</v>
      </c>
      <c r="C2859" s="36"/>
      <c r="D2859" s="36"/>
      <c r="F2859" s="1" t="s">
        <v>1322</v>
      </c>
      <c r="G2859" s="30" t="s">
        <v>5350</v>
      </c>
      <c r="K2859" s="1" t="s">
        <v>5353</v>
      </c>
      <c r="L2859" s="1" t="s">
        <v>1279</v>
      </c>
      <c r="M2859" s="36" t="s">
        <v>5352</v>
      </c>
      <c r="N2859" s="1" t="s">
        <v>1295</v>
      </c>
      <c r="O2859" s="1" t="s">
        <v>1286</v>
      </c>
      <c r="P2859" s="34" t="str">
        <f t="shared" si="56"/>
        <v>F010</v>
      </c>
      <c r="Q2859" s="1" t="s">
        <v>1298</v>
      </c>
      <c r="S2859" s="16">
        <v>20</v>
      </c>
      <c r="T2859" s="1" t="s">
        <v>2299</v>
      </c>
      <c r="U2859" s="1" t="s">
        <v>1874</v>
      </c>
      <c r="V2859" s="1" t="s">
        <v>1875</v>
      </c>
      <c r="Y2859" s="1">
        <v>5700</v>
      </c>
      <c r="AB2859" s="1">
        <v>5415</v>
      </c>
    </row>
    <row r="2860" spans="2:28" x14ac:dyDescent="0.2">
      <c r="B2860" s="30" t="s">
        <v>2294</v>
      </c>
      <c r="C2860" s="36"/>
      <c r="D2860" s="36"/>
      <c r="F2860" s="1" t="s">
        <v>1322</v>
      </c>
      <c r="G2860" s="30" t="s">
        <v>5350</v>
      </c>
      <c r="K2860" s="1" t="s">
        <v>5354</v>
      </c>
      <c r="L2860" s="1" t="s">
        <v>1279</v>
      </c>
      <c r="M2860" s="36" t="s">
        <v>1794</v>
      </c>
      <c r="N2860" s="1" t="s">
        <v>1286</v>
      </c>
      <c r="O2860" s="1" t="s">
        <v>1286</v>
      </c>
      <c r="P2860" s="34" t="str">
        <f t="shared" si="56"/>
        <v>F010</v>
      </c>
      <c r="Q2860" s="1" t="s">
        <v>138</v>
      </c>
      <c r="S2860" s="16">
        <v>20</v>
      </c>
      <c r="T2860" s="1" t="s">
        <v>3876</v>
      </c>
      <c r="U2860" s="1" t="s">
        <v>1497</v>
      </c>
      <c r="V2860" s="1" t="s">
        <v>1498</v>
      </c>
      <c r="Y2860" s="1">
        <v>13090</v>
      </c>
      <c r="AB2860" s="1">
        <v>8635.75</v>
      </c>
    </row>
    <row r="2861" spans="2:28" x14ac:dyDescent="0.2">
      <c r="B2861" s="30" t="s">
        <v>2294</v>
      </c>
      <c r="C2861" s="36"/>
      <c r="D2861" s="36"/>
      <c r="F2861" s="1" t="s">
        <v>3877</v>
      </c>
      <c r="G2861" s="30" t="s">
        <v>5350</v>
      </c>
      <c r="K2861" s="1" t="s">
        <v>5355</v>
      </c>
      <c r="L2861" s="1" t="s">
        <v>1279</v>
      </c>
      <c r="M2861" s="36" t="s">
        <v>1794</v>
      </c>
      <c r="N2861" s="1" t="s">
        <v>1286</v>
      </c>
      <c r="O2861" s="1" t="s">
        <v>1286</v>
      </c>
      <c r="P2861" s="34" t="str">
        <f t="shared" si="56"/>
        <v>F010</v>
      </c>
      <c r="Q2861" s="1" t="s">
        <v>138</v>
      </c>
      <c r="S2861" s="16">
        <v>20</v>
      </c>
      <c r="T2861" s="1" t="s">
        <v>2299</v>
      </c>
      <c r="U2861" s="1" t="s">
        <v>1497</v>
      </c>
      <c r="V2861" s="1" t="s">
        <v>1498</v>
      </c>
      <c r="Y2861" s="1">
        <v>13090</v>
      </c>
      <c r="AB2861" s="1">
        <v>8635.75</v>
      </c>
    </row>
    <row r="2862" spans="2:28" x14ac:dyDescent="0.2">
      <c r="B2862" s="30" t="s">
        <v>2294</v>
      </c>
      <c r="C2862" s="36"/>
      <c r="D2862" s="36"/>
      <c r="F2862" s="1" t="s">
        <v>1322</v>
      </c>
      <c r="G2862" s="30" t="s">
        <v>5350</v>
      </c>
      <c r="K2862" s="1" t="s">
        <v>5356</v>
      </c>
      <c r="L2862" s="1" t="s">
        <v>1279</v>
      </c>
      <c r="M2862" s="36" t="s">
        <v>2014</v>
      </c>
      <c r="N2862" s="1" t="s">
        <v>1284</v>
      </c>
      <c r="O2862" s="1" t="s">
        <v>1286</v>
      </c>
      <c r="P2862" s="34" t="str">
        <f t="shared" si="56"/>
        <v>F010</v>
      </c>
      <c r="Q2862" s="1" t="s">
        <v>127</v>
      </c>
      <c r="S2862" s="16">
        <v>20</v>
      </c>
      <c r="T2862" s="1" t="s">
        <v>2299</v>
      </c>
      <c r="U2862" s="1" t="s">
        <v>1334</v>
      </c>
      <c r="V2862" s="1" t="s">
        <v>1377</v>
      </c>
      <c r="Y2862" s="1">
        <v>17200</v>
      </c>
      <c r="AB2862" s="1">
        <v>9896.26</v>
      </c>
    </row>
    <row r="2863" spans="2:28" x14ac:dyDescent="0.2">
      <c r="B2863" s="30" t="s">
        <v>2294</v>
      </c>
      <c r="C2863" s="36"/>
      <c r="D2863" s="36"/>
      <c r="F2863" s="1" t="s">
        <v>1322</v>
      </c>
      <c r="G2863" s="30" t="s">
        <v>5350</v>
      </c>
      <c r="K2863" s="1" t="s">
        <v>5357</v>
      </c>
      <c r="L2863" s="1" t="s">
        <v>1279</v>
      </c>
      <c r="M2863" s="36" t="s">
        <v>2014</v>
      </c>
      <c r="N2863" s="1" t="s">
        <v>1284</v>
      </c>
      <c r="O2863" s="1" t="s">
        <v>1286</v>
      </c>
      <c r="P2863" s="34" t="str">
        <f t="shared" si="56"/>
        <v>F010</v>
      </c>
      <c r="Q2863" s="1" t="s">
        <v>127</v>
      </c>
      <c r="S2863" s="16">
        <v>20</v>
      </c>
      <c r="T2863" s="1" t="s">
        <v>2299</v>
      </c>
      <c r="U2863" s="1" t="s">
        <v>1334</v>
      </c>
      <c r="V2863" s="1" t="s">
        <v>1377</v>
      </c>
      <c r="Y2863" s="1">
        <v>17200</v>
      </c>
      <c r="AB2863" s="1">
        <v>9896.26</v>
      </c>
    </row>
    <row r="2864" spans="2:28" x14ac:dyDescent="0.2">
      <c r="B2864" s="30" t="s">
        <v>2294</v>
      </c>
      <c r="C2864" s="36"/>
      <c r="D2864" s="36"/>
      <c r="F2864" s="1" t="s">
        <v>1322</v>
      </c>
      <c r="G2864" s="30" t="s">
        <v>5350</v>
      </c>
      <c r="K2864" s="1" t="s">
        <v>5358</v>
      </c>
      <c r="L2864" s="1" t="s">
        <v>1279</v>
      </c>
      <c r="M2864" s="36" t="s">
        <v>2014</v>
      </c>
      <c r="N2864" s="1" t="s">
        <v>1284</v>
      </c>
      <c r="O2864" s="1" t="s">
        <v>1286</v>
      </c>
      <c r="P2864" s="34" t="str">
        <f t="shared" si="56"/>
        <v>F010</v>
      </c>
      <c r="Q2864" s="1" t="s">
        <v>127</v>
      </c>
      <c r="S2864" s="16">
        <v>20</v>
      </c>
      <c r="T2864" s="1" t="s">
        <v>2299</v>
      </c>
      <c r="U2864" s="1" t="s">
        <v>1334</v>
      </c>
      <c r="V2864" s="1" t="s">
        <v>1377</v>
      </c>
      <c r="Y2864" s="1">
        <v>17200</v>
      </c>
      <c r="AB2864" s="1">
        <v>9896.26</v>
      </c>
    </row>
    <row r="2865" spans="2:28" x14ac:dyDescent="0.2">
      <c r="B2865" s="30" t="s">
        <v>2294</v>
      </c>
      <c r="C2865" s="36"/>
      <c r="D2865" s="36"/>
      <c r="F2865" s="1" t="s">
        <v>1322</v>
      </c>
      <c r="G2865" s="30" t="s">
        <v>5359</v>
      </c>
      <c r="K2865" s="1" t="s">
        <v>5360</v>
      </c>
      <c r="L2865" s="1" t="s">
        <v>1279</v>
      </c>
      <c r="M2865" s="36" t="s">
        <v>1737</v>
      </c>
      <c r="N2865" s="1" t="s">
        <v>1290</v>
      </c>
      <c r="O2865" s="1" t="s">
        <v>1286</v>
      </c>
      <c r="P2865" s="34" t="str">
        <f t="shared" ref="P2865:P2928" si="57">+LEFT(Q2865,4)</f>
        <v>F010</v>
      </c>
      <c r="Q2865" s="1" t="s">
        <v>1297</v>
      </c>
      <c r="S2865" s="16">
        <v>20</v>
      </c>
      <c r="T2865" s="1" t="s">
        <v>3876</v>
      </c>
      <c r="U2865" s="1" t="s">
        <v>1976</v>
      </c>
      <c r="V2865" s="1" t="s">
        <v>1977</v>
      </c>
      <c r="Y2865" s="1">
        <v>28649</v>
      </c>
      <c r="AB2865" s="1">
        <v>27216.55</v>
      </c>
    </row>
    <row r="2866" spans="2:28" x14ac:dyDescent="0.2">
      <c r="B2866" s="30" t="s">
        <v>2294</v>
      </c>
      <c r="C2866" s="36"/>
      <c r="D2866" s="36"/>
      <c r="F2866" s="1" t="s">
        <v>3877</v>
      </c>
      <c r="G2866" s="30" t="s">
        <v>5361</v>
      </c>
      <c r="K2866" s="1" t="s">
        <v>5362</v>
      </c>
      <c r="L2866" s="1" t="s">
        <v>1279</v>
      </c>
      <c r="M2866" s="36" t="s">
        <v>1507</v>
      </c>
      <c r="N2866" s="1" t="s">
        <v>1289</v>
      </c>
      <c r="O2866" s="1" t="s">
        <v>1286</v>
      </c>
      <c r="P2866" s="34" t="str">
        <f t="shared" si="57"/>
        <v>F010</v>
      </c>
      <c r="Q2866" s="1" t="s">
        <v>1297</v>
      </c>
      <c r="S2866" s="16">
        <v>20</v>
      </c>
      <c r="T2866" s="1" t="s">
        <v>2299</v>
      </c>
      <c r="U2866" s="1" t="s">
        <v>4981</v>
      </c>
      <c r="V2866" s="1" t="s">
        <v>2412</v>
      </c>
      <c r="Y2866" s="1">
        <v>19700</v>
      </c>
      <c r="AB2866" s="1">
        <v>18715</v>
      </c>
    </row>
    <row r="2867" spans="2:28" x14ac:dyDescent="0.2">
      <c r="B2867" s="30" t="s">
        <v>2294</v>
      </c>
      <c r="C2867" s="36"/>
      <c r="D2867" s="36"/>
      <c r="F2867" s="1" t="s">
        <v>1322</v>
      </c>
      <c r="G2867" s="30" t="s">
        <v>5361</v>
      </c>
      <c r="K2867" s="1" t="s">
        <v>5363</v>
      </c>
      <c r="L2867" s="1" t="s">
        <v>1279</v>
      </c>
      <c r="M2867" s="36" t="s">
        <v>1507</v>
      </c>
      <c r="N2867" s="1" t="s">
        <v>4232</v>
      </c>
      <c r="O2867" s="1" t="s">
        <v>1286</v>
      </c>
      <c r="P2867" s="34" t="str">
        <f t="shared" si="57"/>
        <v>F010</v>
      </c>
      <c r="Q2867" s="1" t="s">
        <v>135</v>
      </c>
      <c r="S2867" s="16">
        <v>20</v>
      </c>
      <c r="T2867" s="1" t="s">
        <v>2299</v>
      </c>
      <c r="U2867" s="1" t="s">
        <v>4981</v>
      </c>
      <c r="V2867" s="1" t="s">
        <v>2412</v>
      </c>
      <c r="Y2867" s="1">
        <v>19700</v>
      </c>
      <c r="AB2867" s="1">
        <v>18715</v>
      </c>
    </row>
    <row r="2868" spans="2:28" x14ac:dyDescent="0.2">
      <c r="B2868" s="30" t="s">
        <v>2294</v>
      </c>
      <c r="C2868" s="36"/>
      <c r="D2868" s="36"/>
      <c r="F2868" s="1" t="s">
        <v>1322</v>
      </c>
      <c r="G2868" s="30" t="s">
        <v>5361</v>
      </c>
      <c r="K2868" s="1" t="s">
        <v>5364</v>
      </c>
      <c r="L2868" s="1" t="s">
        <v>1279</v>
      </c>
      <c r="M2868" s="36" t="s">
        <v>1507</v>
      </c>
      <c r="N2868" s="1" t="s">
        <v>4235</v>
      </c>
      <c r="O2868" s="1" t="s">
        <v>1286</v>
      </c>
      <c r="P2868" s="34" t="str">
        <f t="shared" si="57"/>
        <v>F010</v>
      </c>
      <c r="Q2868" s="1" t="s">
        <v>134</v>
      </c>
      <c r="S2868" s="16">
        <v>20</v>
      </c>
      <c r="T2868" s="1" t="s">
        <v>3921</v>
      </c>
      <c r="U2868" s="1" t="s">
        <v>4981</v>
      </c>
      <c r="V2868" s="1" t="s">
        <v>2412</v>
      </c>
      <c r="Y2868" s="1">
        <v>19700</v>
      </c>
      <c r="AB2868" s="1">
        <v>18715</v>
      </c>
    </row>
    <row r="2869" spans="2:28" x14ac:dyDescent="0.2">
      <c r="B2869" s="30" t="s">
        <v>2294</v>
      </c>
      <c r="C2869" s="36"/>
      <c r="D2869" s="36"/>
      <c r="F2869" s="1" t="s">
        <v>3922</v>
      </c>
      <c r="G2869" s="30" t="s">
        <v>5365</v>
      </c>
      <c r="K2869" s="1" t="s">
        <v>5366</v>
      </c>
      <c r="L2869" s="1" t="s">
        <v>1279</v>
      </c>
      <c r="M2869" s="36" t="s">
        <v>1976</v>
      </c>
      <c r="N2869" s="1" t="s">
        <v>1287</v>
      </c>
      <c r="O2869" s="1" t="s">
        <v>1286</v>
      </c>
      <c r="P2869" s="34" t="str">
        <f t="shared" si="57"/>
        <v>F010</v>
      </c>
      <c r="Q2869" s="1" t="s">
        <v>138</v>
      </c>
      <c r="S2869" s="16">
        <v>20</v>
      </c>
      <c r="T2869" s="1" t="s">
        <v>2299</v>
      </c>
      <c r="U2869" s="1" t="s">
        <v>5367</v>
      </c>
      <c r="V2869" s="1" t="s">
        <v>4415</v>
      </c>
      <c r="Y2869" s="1">
        <v>76850</v>
      </c>
      <c r="AB2869" s="1">
        <v>73007.5</v>
      </c>
    </row>
    <row r="2870" spans="2:28" x14ac:dyDescent="0.2">
      <c r="B2870" s="30" t="s">
        <v>2294</v>
      </c>
      <c r="C2870" s="36"/>
      <c r="D2870" s="36"/>
      <c r="F2870" s="1" t="s">
        <v>1322</v>
      </c>
      <c r="G2870" s="30" t="s">
        <v>5368</v>
      </c>
      <c r="K2870" s="1" t="s">
        <v>5369</v>
      </c>
      <c r="L2870" s="1" t="s">
        <v>1279</v>
      </c>
      <c r="M2870" s="36" t="s">
        <v>1334</v>
      </c>
      <c r="N2870" s="1" t="s">
        <v>3769</v>
      </c>
      <c r="O2870" s="1" t="s">
        <v>1286</v>
      </c>
      <c r="P2870" s="34" t="str">
        <f t="shared" si="57"/>
        <v>F010</v>
      </c>
      <c r="Q2870" s="1" t="s">
        <v>138</v>
      </c>
      <c r="S2870" s="16">
        <v>20</v>
      </c>
      <c r="T2870" s="1" t="s">
        <v>2299</v>
      </c>
      <c r="U2870" s="1" t="s">
        <v>1535</v>
      </c>
      <c r="V2870" s="1" t="s">
        <v>2553</v>
      </c>
      <c r="Y2870" s="1">
        <v>9055</v>
      </c>
      <c r="AB2870" s="1">
        <v>5017.95</v>
      </c>
    </row>
    <row r="2871" spans="2:28" x14ac:dyDescent="0.2">
      <c r="B2871" s="30" t="s">
        <v>2294</v>
      </c>
      <c r="C2871" s="36"/>
      <c r="D2871" s="36"/>
      <c r="F2871" s="1" t="s">
        <v>1322</v>
      </c>
      <c r="G2871" s="30" t="s">
        <v>5370</v>
      </c>
      <c r="K2871" s="1" t="s">
        <v>5371</v>
      </c>
      <c r="L2871" s="1" t="s">
        <v>1279</v>
      </c>
      <c r="M2871" s="36" t="s">
        <v>3937</v>
      </c>
      <c r="N2871" s="1" t="s">
        <v>1282</v>
      </c>
      <c r="O2871" s="1" t="s">
        <v>1286</v>
      </c>
      <c r="P2871" s="34" t="str">
        <f t="shared" si="57"/>
        <v>F010</v>
      </c>
      <c r="Q2871" s="1" t="s">
        <v>132</v>
      </c>
      <c r="S2871" s="16">
        <v>20</v>
      </c>
      <c r="T2871" s="1" t="s">
        <v>2299</v>
      </c>
      <c r="U2871" s="1" t="s">
        <v>1507</v>
      </c>
      <c r="V2871" s="1" t="s">
        <v>1508</v>
      </c>
      <c r="Y2871" s="1">
        <v>28649</v>
      </c>
      <c r="AB2871" s="1">
        <v>27216.55</v>
      </c>
    </row>
    <row r="2872" spans="2:28" x14ac:dyDescent="0.2">
      <c r="B2872" s="30" t="s">
        <v>2294</v>
      </c>
      <c r="C2872" s="36"/>
      <c r="D2872" s="36"/>
      <c r="F2872" s="1" t="s">
        <v>1322</v>
      </c>
      <c r="G2872" s="30" t="s">
        <v>5372</v>
      </c>
      <c r="K2872" s="1" t="s">
        <v>5373</v>
      </c>
      <c r="L2872" s="1" t="s">
        <v>1279</v>
      </c>
      <c r="M2872" s="36" t="s">
        <v>1774</v>
      </c>
      <c r="N2872" s="1" t="s">
        <v>4351</v>
      </c>
      <c r="O2872" s="1" t="s">
        <v>1286</v>
      </c>
      <c r="P2872" s="34" t="str">
        <f t="shared" si="57"/>
        <v>F010</v>
      </c>
      <c r="Q2872" s="1" t="s">
        <v>131</v>
      </c>
      <c r="S2872" s="16">
        <v>20</v>
      </c>
      <c r="T2872" s="1" t="s">
        <v>2299</v>
      </c>
      <c r="U2872" s="1" t="s">
        <v>5374</v>
      </c>
      <c r="V2872" s="1" t="s">
        <v>1439</v>
      </c>
      <c r="Y2872" s="1">
        <v>18930</v>
      </c>
      <c r="AB2872" s="1">
        <v>17983.5</v>
      </c>
    </row>
    <row r="2873" spans="2:28" x14ac:dyDescent="0.2">
      <c r="B2873" s="30" t="s">
        <v>2294</v>
      </c>
      <c r="C2873" s="36"/>
      <c r="D2873" s="36"/>
      <c r="F2873" s="1" t="s">
        <v>1322</v>
      </c>
      <c r="G2873" s="30" t="s">
        <v>5375</v>
      </c>
      <c r="K2873" s="1" t="s">
        <v>5376</v>
      </c>
      <c r="L2873" s="1" t="s">
        <v>1279</v>
      </c>
      <c r="M2873" s="36" t="s">
        <v>1567</v>
      </c>
      <c r="N2873" s="1" t="s">
        <v>1284</v>
      </c>
      <c r="O2873" s="1" t="s">
        <v>1286</v>
      </c>
      <c r="P2873" s="34" t="str">
        <f t="shared" si="57"/>
        <v>F010</v>
      </c>
      <c r="Q2873" s="1" t="s">
        <v>138</v>
      </c>
      <c r="S2873" s="16">
        <v>20</v>
      </c>
      <c r="T2873" s="1" t="s">
        <v>2299</v>
      </c>
      <c r="U2873" s="1" t="s">
        <v>1999</v>
      </c>
      <c r="V2873" s="1" t="s">
        <v>1526</v>
      </c>
      <c r="Y2873" s="1">
        <v>25000</v>
      </c>
      <c r="AB2873" s="1">
        <v>19131.93</v>
      </c>
    </row>
    <row r="2874" spans="2:28" x14ac:dyDescent="0.2">
      <c r="B2874" s="30" t="s">
        <v>2294</v>
      </c>
      <c r="C2874" s="36"/>
      <c r="D2874" s="36"/>
      <c r="F2874" s="1" t="s">
        <v>1322</v>
      </c>
      <c r="G2874" s="30" t="s">
        <v>5375</v>
      </c>
      <c r="K2874" s="1" t="s">
        <v>5377</v>
      </c>
      <c r="L2874" s="1" t="s">
        <v>1279</v>
      </c>
      <c r="M2874" s="36" t="s">
        <v>1567</v>
      </c>
      <c r="N2874" s="1" t="s">
        <v>1284</v>
      </c>
      <c r="O2874" s="1" t="s">
        <v>1286</v>
      </c>
      <c r="P2874" s="34" t="str">
        <f t="shared" si="57"/>
        <v>F010</v>
      </c>
      <c r="Q2874" s="1" t="s">
        <v>138</v>
      </c>
      <c r="S2874" s="16">
        <v>20</v>
      </c>
      <c r="T2874" s="1" t="s">
        <v>3921</v>
      </c>
      <c r="U2874" s="1" t="s">
        <v>1999</v>
      </c>
      <c r="V2874" s="1" t="s">
        <v>1526</v>
      </c>
      <c r="Y2874" s="1">
        <v>25000</v>
      </c>
      <c r="AB2874" s="1">
        <v>19131.93</v>
      </c>
    </row>
    <row r="2875" spans="2:28" x14ac:dyDescent="0.2">
      <c r="B2875" s="30" t="s">
        <v>2294</v>
      </c>
      <c r="C2875" s="36"/>
      <c r="D2875" s="36"/>
      <c r="F2875" s="1" t="s">
        <v>3922</v>
      </c>
      <c r="G2875" s="30" t="s">
        <v>5375</v>
      </c>
      <c r="K2875" s="1" t="s">
        <v>5378</v>
      </c>
      <c r="L2875" s="1" t="s">
        <v>1279</v>
      </c>
      <c r="M2875" s="36" t="s">
        <v>1567</v>
      </c>
      <c r="N2875" s="1" t="s">
        <v>1284</v>
      </c>
      <c r="O2875" s="1" t="s">
        <v>1286</v>
      </c>
      <c r="P2875" s="34" t="str">
        <f t="shared" si="57"/>
        <v>F010</v>
      </c>
      <c r="Q2875" s="1" t="s">
        <v>138</v>
      </c>
      <c r="S2875" s="16">
        <v>20</v>
      </c>
      <c r="T2875" s="1" t="s">
        <v>2299</v>
      </c>
      <c r="U2875" s="1" t="s">
        <v>1999</v>
      </c>
      <c r="V2875" s="1" t="s">
        <v>1526</v>
      </c>
      <c r="Y2875" s="1">
        <v>25000</v>
      </c>
      <c r="AB2875" s="1">
        <v>19131.93</v>
      </c>
    </row>
    <row r="2876" spans="2:28" x14ac:dyDescent="0.2">
      <c r="B2876" s="30" t="s">
        <v>2294</v>
      </c>
      <c r="C2876" s="36"/>
      <c r="D2876" s="36"/>
      <c r="F2876" s="1" t="s">
        <v>1322</v>
      </c>
      <c r="G2876" s="30" t="s">
        <v>5375</v>
      </c>
      <c r="K2876" s="1" t="s">
        <v>5379</v>
      </c>
      <c r="L2876" s="1" t="s">
        <v>1279</v>
      </c>
      <c r="M2876" s="36" t="s">
        <v>1567</v>
      </c>
      <c r="N2876" s="1" t="s">
        <v>1284</v>
      </c>
      <c r="O2876" s="1" t="s">
        <v>1286</v>
      </c>
      <c r="P2876" s="34" t="str">
        <f t="shared" si="57"/>
        <v>F010</v>
      </c>
      <c r="Q2876" s="1" t="s">
        <v>138</v>
      </c>
      <c r="S2876" s="16">
        <v>20</v>
      </c>
      <c r="T2876" s="1" t="s">
        <v>2299</v>
      </c>
      <c r="U2876" s="1" t="s">
        <v>1999</v>
      </c>
      <c r="V2876" s="1" t="s">
        <v>1526</v>
      </c>
      <c r="Y2876" s="1">
        <v>25000</v>
      </c>
      <c r="AB2876" s="1">
        <v>19131.93</v>
      </c>
    </row>
    <row r="2877" spans="2:28" x14ac:dyDescent="0.2">
      <c r="B2877" s="30" t="s">
        <v>2294</v>
      </c>
      <c r="C2877" s="36"/>
      <c r="D2877" s="36"/>
      <c r="F2877" s="1" t="s">
        <v>1322</v>
      </c>
      <c r="G2877" s="30" t="s">
        <v>5375</v>
      </c>
      <c r="K2877" s="1" t="s">
        <v>5380</v>
      </c>
      <c r="L2877" s="1" t="s">
        <v>1279</v>
      </c>
      <c r="M2877" s="36" t="s">
        <v>1567</v>
      </c>
      <c r="N2877" s="1" t="s">
        <v>1284</v>
      </c>
      <c r="O2877" s="1" t="s">
        <v>1286</v>
      </c>
      <c r="P2877" s="34" t="str">
        <f t="shared" si="57"/>
        <v>F010</v>
      </c>
      <c r="Q2877" s="1" t="s">
        <v>138</v>
      </c>
      <c r="S2877" s="16">
        <v>20</v>
      </c>
      <c r="T2877" s="1" t="s">
        <v>2299</v>
      </c>
      <c r="U2877" s="1" t="s">
        <v>1999</v>
      </c>
      <c r="V2877" s="1" t="s">
        <v>1526</v>
      </c>
      <c r="Y2877" s="1">
        <v>25000</v>
      </c>
      <c r="AB2877" s="1">
        <v>19131.93</v>
      </c>
    </row>
    <row r="2878" spans="2:28" x14ac:dyDescent="0.2">
      <c r="B2878" s="30" t="s">
        <v>2294</v>
      </c>
      <c r="C2878" s="36"/>
      <c r="D2878" s="36"/>
      <c r="F2878" s="1" t="s">
        <v>1322</v>
      </c>
      <c r="G2878" s="30" t="s">
        <v>5375</v>
      </c>
      <c r="K2878" s="1" t="s">
        <v>5381</v>
      </c>
      <c r="L2878" s="1" t="s">
        <v>1279</v>
      </c>
      <c r="M2878" s="36" t="s">
        <v>1567</v>
      </c>
      <c r="N2878" s="1" t="s">
        <v>1284</v>
      </c>
      <c r="O2878" s="1" t="s">
        <v>1286</v>
      </c>
      <c r="P2878" s="34" t="str">
        <f t="shared" si="57"/>
        <v>F010</v>
      </c>
      <c r="Q2878" s="1" t="s">
        <v>138</v>
      </c>
      <c r="S2878" s="16">
        <v>20</v>
      </c>
      <c r="T2878" s="1" t="s">
        <v>2299</v>
      </c>
      <c r="U2878" s="1" t="s">
        <v>1999</v>
      </c>
      <c r="V2878" s="1" t="s">
        <v>1526</v>
      </c>
      <c r="Y2878" s="1">
        <v>25000</v>
      </c>
      <c r="AB2878" s="1">
        <v>19131.93</v>
      </c>
    </row>
    <row r="2879" spans="2:28" x14ac:dyDescent="0.2">
      <c r="B2879" s="30" t="s">
        <v>2294</v>
      </c>
      <c r="C2879" s="36"/>
      <c r="D2879" s="36"/>
      <c r="F2879" s="1" t="s">
        <v>1322</v>
      </c>
      <c r="G2879" s="30" t="s">
        <v>5382</v>
      </c>
      <c r="K2879" s="1" t="s">
        <v>5383</v>
      </c>
      <c r="L2879" s="1" t="s">
        <v>1279</v>
      </c>
      <c r="M2879" s="36" t="s">
        <v>2515</v>
      </c>
      <c r="N2879" s="1" t="s">
        <v>1286</v>
      </c>
      <c r="O2879" s="1" t="s">
        <v>1286</v>
      </c>
      <c r="P2879" s="34" t="str">
        <f t="shared" si="57"/>
        <v>F010</v>
      </c>
      <c r="Q2879" s="1" t="s">
        <v>138</v>
      </c>
      <c r="S2879" s="16">
        <v>20</v>
      </c>
      <c r="T2879" s="1" t="s">
        <v>2299</v>
      </c>
      <c r="U2879" s="1" t="s">
        <v>2140</v>
      </c>
      <c r="V2879" s="1" t="s">
        <v>2141</v>
      </c>
      <c r="Y2879" s="1">
        <v>40000</v>
      </c>
      <c r="AB2879" s="1">
        <v>38000</v>
      </c>
    </row>
    <row r="2880" spans="2:28" x14ac:dyDescent="0.2">
      <c r="B2880" s="30" t="s">
        <v>2294</v>
      </c>
      <c r="C2880" s="36"/>
      <c r="D2880" s="36"/>
      <c r="F2880" s="1" t="s">
        <v>1322</v>
      </c>
      <c r="G2880" s="30" t="s">
        <v>5384</v>
      </c>
      <c r="K2880" s="1" t="s">
        <v>5385</v>
      </c>
      <c r="L2880" s="1" t="s">
        <v>1279</v>
      </c>
      <c r="M2880" s="36" t="s">
        <v>1999</v>
      </c>
      <c r="N2880" s="1" t="s">
        <v>1754</v>
      </c>
      <c r="O2880" s="1" t="s">
        <v>1286</v>
      </c>
      <c r="P2880" s="34" t="str">
        <f t="shared" si="57"/>
        <v>F010</v>
      </c>
      <c r="Q2880" s="1" t="s">
        <v>127</v>
      </c>
      <c r="S2880" s="16">
        <v>20</v>
      </c>
      <c r="T2880" s="1" t="s">
        <v>3921</v>
      </c>
      <c r="U2880" s="1" t="s">
        <v>2544</v>
      </c>
      <c r="V2880" s="1" t="s">
        <v>4107</v>
      </c>
      <c r="Y2880" s="1">
        <v>5220</v>
      </c>
      <c r="AB2880" s="1">
        <v>3857</v>
      </c>
    </row>
    <row r="2881" spans="2:28" x14ac:dyDescent="0.2">
      <c r="B2881" s="30" t="s">
        <v>2294</v>
      </c>
      <c r="C2881" s="36"/>
      <c r="D2881" s="36"/>
      <c r="F2881" s="1" t="s">
        <v>3922</v>
      </c>
      <c r="G2881" s="30" t="s">
        <v>5384</v>
      </c>
      <c r="K2881" s="1" t="s">
        <v>5386</v>
      </c>
      <c r="L2881" s="1" t="s">
        <v>1279</v>
      </c>
      <c r="M2881" s="36" t="s">
        <v>1999</v>
      </c>
      <c r="N2881" s="1" t="s">
        <v>1754</v>
      </c>
      <c r="O2881" s="1" t="s">
        <v>1286</v>
      </c>
      <c r="P2881" s="34" t="str">
        <f t="shared" si="57"/>
        <v>F010</v>
      </c>
      <c r="Q2881" s="1" t="s">
        <v>127</v>
      </c>
      <c r="S2881" s="16">
        <v>20</v>
      </c>
      <c r="T2881" s="1" t="s">
        <v>2299</v>
      </c>
      <c r="U2881" s="1" t="s">
        <v>2544</v>
      </c>
      <c r="V2881" s="1" t="s">
        <v>4107</v>
      </c>
      <c r="Y2881" s="1">
        <v>5220</v>
      </c>
      <c r="AB2881" s="1">
        <v>3857</v>
      </c>
    </row>
    <row r="2882" spans="2:28" x14ac:dyDescent="0.2">
      <c r="B2882" s="30" t="s">
        <v>2294</v>
      </c>
      <c r="C2882" s="36"/>
      <c r="D2882" s="36"/>
      <c r="F2882" s="1" t="s">
        <v>1322</v>
      </c>
      <c r="G2882" s="30" t="s">
        <v>5387</v>
      </c>
      <c r="K2882" s="1" t="s">
        <v>5388</v>
      </c>
      <c r="L2882" s="1" t="s">
        <v>1279</v>
      </c>
      <c r="M2882" s="36" t="s">
        <v>2014</v>
      </c>
      <c r="N2882" s="1" t="s">
        <v>1287</v>
      </c>
      <c r="O2882" s="1" t="s">
        <v>1286</v>
      </c>
      <c r="P2882" s="34" t="str">
        <f t="shared" si="57"/>
        <v>F010</v>
      </c>
      <c r="Q2882" s="1" t="s">
        <v>127</v>
      </c>
      <c r="S2882" s="16">
        <v>20</v>
      </c>
      <c r="T2882" s="1" t="s">
        <v>2299</v>
      </c>
      <c r="U2882" s="1" t="s">
        <v>1334</v>
      </c>
      <c r="V2882" s="1" t="s">
        <v>1377</v>
      </c>
      <c r="Y2882" s="1">
        <v>8913</v>
      </c>
      <c r="AB2882" s="1">
        <v>5174.49</v>
      </c>
    </row>
    <row r="2883" spans="2:28" x14ac:dyDescent="0.2">
      <c r="B2883" s="30" t="s">
        <v>2294</v>
      </c>
      <c r="C2883" s="36"/>
      <c r="D2883" s="36"/>
      <c r="F2883" s="1" t="s">
        <v>1322</v>
      </c>
      <c r="G2883" s="30" t="s">
        <v>5389</v>
      </c>
      <c r="K2883" s="1" t="s">
        <v>5390</v>
      </c>
      <c r="L2883" s="1" t="s">
        <v>1279</v>
      </c>
      <c r="M2883" s="36" t="s">
        <v>1334</v>
      </c>
      <c r="N2883" s="1" t="s">
        <v>3289</v>
      </c>
      <c r="O2883" s="1" t="s">
        <v>1286</v>
      </c>
      <c r="P2883" s="34" t="str">
        <f t="shared" si="57"/>
        <v>F010</v>
      </c>
      <c r="Q2883" s="1" t="s">
        <v>137</v>
      </c>
      <c r="S2883" s="16">
        <v>20</v>
      </c>
      <c r="T2883" s="1" t="s">
        <v>2299</v>
      </c>
      <c r="U2883" s="1" t="s">
        <v>1535</v>
      </c>
      <c r="V2883" s="1" t="s">
        <v>2553</v>
      </c>
      <c r="Y2883" s="1">
        <v>2715</v>
      </c>
      <c r="AB2883" s="1">
        <v>1504.58</v>
      </c>
    </row>
    <row r="2884" spans="2:28" x14ac:dyDescent="0.2">
      <c r="B2884" s="30" t="s">
        <v>2294</v>
      </c>
      <c r="C2884" s="36"/>
      <c r="D2884" s="36"/>
      <c r="F2884" s="1" t="s">
        <v>1322</v>
      </c>
      <c r="G2884" s="30" t="s">
        <v>5389</v>
      </c>
      <c r="K2884" s="1" t="s">
        <v>5391</v>
      </c>
      <c r="L2884" s="1" t="s">
        <v>1279</v>
      </c>
      <c r="M2884" s="36" t="s">
        <v>2068</v>
      </c>
      <c r="N2884" s="1" t="s">
        <v>1944</v>
      </c>
      <c r="O2884" s="1" t="s">
        <v>1286</v>
      </c>
      <c r="P2884" s="34" t="str">
        <f t="shared" si="57"/>
        <v>F010</v>
      </c>
      <c r="Q2884" s="1" t="s">
        <v>137</v>
      </c>
      <c r="S2884" s="16">
        <v>20</v>
      </c>
      <c r="T2884" s="1" t="s">
        <v>2299</v>
      </c>
      <c r="U2884" s="1" t="s">
        <v>1511</v>
      </c>
      <c r="V2884" s="1" t="s">
        <v>4719</v>
      </c>
      <c r="Y2884" s="1">
        <v>4258</v>
      </c>
      <c r="AB2884" s="1">
        <v>2134.9</v>
      </c>
    </row>
    <row r="2885" spans="2:28" x14ac:dyDescent="0.2">
      <c r="B2885" s="30" t="s">
        <v>2294</v>
      </c>
      <c r="C2885" s="36"/>
      <c r="D2885" s="36"/>
      <c r="F2885" s="1" t="s">
        <v>1322</v>
      </c>
      <c r="G2885" s="30" t="s">
        <v>5389</v>
      </c>
      <c r="K2885" s="1" t="s">
        <v>5392</v>
      </c>
      <c r="L2885" s="1" t="s">
        <v>1279</v>
      </c>
      <c r="M2885" s="36" t="s">
        <v>2068</v>
      </c>
      <c r="N2885" s="1" t="s">
        <v>2988</v>
      </c>
      <c r="O2885" s="1" t="s">
        <v>1286</v>
      </c>
      <c r="P2885" s="34" t="str">
        <f t="shared" si="57"/>
        <v>F010</v>
      </c>
      <c r="Q2885" s="1" t="s">
        <v>137</v>
      </c>
      <c r="S2885" s="16">
        <v>20</v>
      </c>
      <c r="T2885" s="1" t="s">
        <v>2299</v>
      </c>
      <c r="U2885" s="1" t="s">
        <v>1511</v>
      </c>
      <c r="V2885" s="1" t="s">
        <v>4719</v>
      </c>
      <c r="Y2885" s="1">
        <v>4258</v>
      </c>
      <c r="AB2885" s="1">
        <v>2134.9</v>
      </c>
    </row>
    <row r="2886" spans="2:28" x14ac:dyDescent="0.2">
      <c r="B2886" s="30" t="s">
        <v>2294</v>
      </c>
      <c r="C2886" s="36"/>
      <c r="D2886" s="36"/>
      <c r="F2886" s="1" t="s">
        <v>1322</v>
      </c>
      <c r="G2886" s="30" t="s">
        <v>5389</v>
      </c>
      <c r="K2886" s="1" t="s">
        <v>5393</v>
      </c>
      <c r="L2886" s="1" t="s">
        <v>1279</v>
      </c>
      <c r="M2886" s="36" t="s">
        <v>2068</v>
      </c>
      <c r="N2886" s="1" t="s">
        <v>2988</v>
      </c>
      <c r="O2886" s="1" t="s">
        <v>1286</v>
      </c>
      <c r="P2886" s="34" t="str">
        <f t="shared" si="57"/>
        <v>F010</v>
      </c>
      <c r="Q2886" s="1" t="s">
        <v>137</v>
      </c>
      <c r="S2886" s="16">
        <v>20</v>
      </c>
      <c r="T2886" s="1" t="s">
        <v>3921</v>
      </c>
      <c r="U2886" s="1" t="s">
        <v>1511</v>
      </c>
      <c r="V2886" s="1" t="s">
        <v>4719</v>
      </c>
      <c r="Y2886" s="1">
        <v>4258</v>
      </c>
      <c r="AB2886" s="1">
        <v>2134.9</v>
      </c>
    </row>
    <row r="2887" spans="2:28" x14ac:dyDescent="0.2">
      <c r="B2887" s="30" t="s">
        <v>2294</v>
      </c>
      <c r="C2887" s="36"/>
      <c r="D2887" s="36"/>
      <c r="F2887" s="1" t="s">
        <v>3922</v>
      </c>
      <c r="G2887" s="30" t="s">
        <v>5389</v>
      </c>
      <c r="K2887" s="1" t="s">
        <v>5394</v>
      </c>
      <c r="L2887" s="1" t="s">
        <v>1279</v>
      </c>
      <c r="M2887" s="36" t="s">
        <v>2068</v>
      </c>
      <c r="N2887" s="1" t="s">
        <v>2988</v>
      </c>
      <c r="O2887" s="1" t="s">
        <v>1286</v>
      </c>
      <c r="P2887" s="34" t="str">
        <f t="shared" si="57"/>
        <v>F010</v>
      </c>
      <c r="Q2887" s="1" t="s">
        <v>137</v>
      </c>
      <c r="S2887" s="16">
        <v>20</v>
      </c>
      <c r="T2887" s="1" t="s">
        <v>2299</v>
      </c>
      <c r="U2887" s="1" t="s">
        <v>1511</v>
      </c>
      <c r="V2887" s="1" t="s">
        <v>4719</v>
      </c>
      <c r="Y2887" s="1">
        <v>4258</v>
      </c>
      <c r="AB2887" s="1">
        <v>2134.9</v>
      </c>
    </row>
    <row r="2888" spans="2:28" x14ac:dyDescent="0.2">
      <c r="B2888" s="30" t="s">
        <v>2294</v>
      </c>
      <c r="C2888" s="36"/>
      <c r="D2888" s="36"/>
      <c r="F2888" s="1" t="s">
        <v>1322</v>
      </c>
      <c r="G2888" s="30" t="s">
        <v>5389</v>
      </c>
      <c r="K2888" s="1" t="s">
        <v>5395</v>
      </c>
      <c r="L2888" s="1" t="s">
        <v>1279</v>
      </c>
      <c r="M2888" s="36" t="s">
        <v>2068</v>
      </c>
      <c r="N2888" s="1" t="s">
        <v>1281</v>
      </c>
      <c r="O2888" s="1" t="s">
        <v>1286</v>
      </c>
      <c r="P2888" s="34" t="str">
        <f t="shared" si="57"/>
        <v>F010</v>
      </c>
      <c r="Q2888" s="1" t="s">
        <v>137</v>
      </c>
      <c r="S2888" s="16">
        <v>20</v>
      </c>
      <c r="T2888" s="1" t="s">
        <v>2299</v>
      </c>
      <c r="U2888" s="1" t="s">
        <v>1511</v>
      </c>
      <c r="V2888" s="1" t="s">
        <v>4719</v>
      </c>
      <c r="Y2888" s="1">
        <v>4258</v>
      </c>
      <c r="AB2888" s="1">
        <v>2134.9</v>
      </c>
    </row>
    <row r="2889" spans="2:28" x14ac:dyDescent="0.2">
      <c r="B2889" s="30" t="s">
        <v>2294</v>
      </c>
      <c r="C2889" s="36"/>
      <c r="D2889" s="36"/>
      <c r="F2889" s="1" t="s">
        <v>1322</v>
      </c>
      <c r="G2889" s="30" t="s">
        <v>5389</v>
      </c>
      <c r="K2889" s="1" t="s">
        <v>5396</v>
      </c>
      <c r="L2889" s="1" t="s">
        <v>1279</v>
      </c>
      <c r="M2889" s="36" t="s">
        <v>2068</v>
      </c>
      <c r="N2889" s="1" t="s">
        <v>3226</v>
      </c>
      <c r="O2889" s="1" t="s">
        <v>1286</v>
      </c>
      <c r="P2889" s="34" t="str">
        <f t="shared" si="57"/>
        <v>F010</v>
      </c>
      <c r="Q2889" s="1" t="s">
        <v>137</v>
      </c>
      <c r="S2889" s="16">
        <v>20</v>
      </c>
      <c r="T2889" s="1" t="s">
        <v>2299</v>
      </c>
      <c r="U2889" s="1" t="s">
        <v>1511</v>
      </c>
      <c r="V2889" s="1" t="s">
        <v>4719</v>
      </c>
      <c r="Y2889" s="1">
        <v>4258</v>
      </c>
      <c r="AB2889" s="1">
        <v>2134.9</v>
      </c>
    </row>
    <row r="2890" spans="2:28" x14ac:dyDescent="0.2">
      <c r="B2890" s="30" t="s">
        <v>2294</v>
      </c>
      <c r="C2890" s="36"/>
      <c r="D2890" s="36"/>
      <c r="F2890" s="1" t="s">
        <v>1322</v>
      </c>
      <c r="G2890" s="30" t="s">
        <v>5389</v>
      </c>
      <c r="K2890" s="1" t="s">
        <v>5397</v>
      </c>
      <c r="L2890" s="1" t="s">
        <v>1279</v>
      </c>
      <c r="M2890" s="36" t="s">
        <v>2068</v>
      </c>
      <c r="N2890" s="1" t="s">
        <v>2543</v>
      </c>
      <c r="O2890" s="1" t="s">
        <v>1286</v>
      </c>
      <c r="P2890" s="34" t="str">
        <f t="shared" si="57"/>
        <v>F010</v>
      </c>
      <c r="Q2890" s="1" t="s">
        <v>137</v>
      </c>
      <c r="S2890" s="16">
        <v>20</v>
      </c>
      <c r="T2890" s="1" t="s">
        <v>2299</v>
      </c>
      <c r="U2890" s="1" t="s">
        <v>1511</v>
      </c>
      <c r="V2890" s="1" t="s">
        <v>4719</v>
      </c>
      <c r="Y2890" s="1">
        <v>4258</v>
      </c>
      <c r="AB2890" s="1">
        <v>2134.9</v>
      </c>
    </row>
    <row r="2891" spans="2:28" x14ac:dyDescent="0.2">
      <c r="B2891" s="30" t="s">
        <v>2294</v>
      </c>
      <c r="C2891" s="36"/>
      <c r="D2891" s="36"/>
      <c r="F2891" s="1" t="s">
        <v>1322</v>
      </c>
      <c r="G2891" s="30" t="s">
        <v>5389</v>
      </c>
      <c r="K2891" s="1" t="s">
        <v>5398</v>
      </c>
      <c r="L2891" s="1" t="s">
        <v>1279</v>
      </c>
      <c r="M2891" s="36" t="s">
        <v>1511</v>
      </c>
      <c r="N2891" s="1" t="s">
        <v>3242</v>
      </c>
      <c r="O2891" s="1" t="s">
        <v>1286</v>
      </c>
      <c r="P2891" s="34" t="str">
        <f t="shared" si="57"/>
        <v>F010</v>
      </c>
      <c r="Q2891" s="1" t="s">
        <v>137</v>
      </c>
      <c r="S2891" s="16">
        <v>20</v>
      </c>
      <c r="T2891" s="1" t="s">
        <v>2299</v>
      </c>
      <c r="U2891" s="1" t="s">
        <v>1468</v>
      </c>
      <c r="V2891" s="1" t="s">
        <v>1634</v>
      </c>
      <c r="Y2891" s="1">
        <v>4313</v>
      </c>
      <c r="AB2891" s="1">
        <v>2048.69</v>
      </c>
    </row>
    <row r="2892" spans="2:28" x14ac:dyDescent="0.2">
      <c r="B2892" s="30" t="s">
        <v>2294</v>
      </c>
      <c r="C2892" s="36"/>
      <c r="D2892" s="36"/>
      <c r="F2892" s="1" t="s">
        <v>1322</v>
      </c>
      <c r="G2892" s="30" t="s">
        <v>5389</v>
      </c>
      <c r="K2892" s="1" t="s">
        <v>5399</v>
      </c>
      <c r="L2892" s="1" t="s">
        <v>1279</v>
      </c>
      <c r="M2892" s="36" t="s">
        <v>2068</v>
      </c>
      <c r="N2892" s="1" t="s">
        <v>1944</v>
      </c>
      <c r="O2892" s="1" t="s">
        <v>1286</v>
      </c>
      <c r="P2892" s="34" t="str">
        <f t="shared" si="57"/>
        <v>F010</v>
      </c>
      <c r="Q2892" s="1" t="s">
        <v>137</v>
      </c>
      <c r="S2892" s="16">
        <v>20</v>
      </c>
      <c r="T2892" s="1" t="s">
        <v>2299</v>
      </c>
      <c r="U2892" s="1" t="s">
        <v>1511</v>
      </c>
      <c r="V2892" s="1" t="s">
        <v>4719</v>
      </c>
      <c r="Y2892" s="1">
        <v>2906.88</v>
      </c>
      <c r="AB2892" s="1">
        <v>1457.49</v>
      </c>
    </row>
    <row r="2893" spans="2:28" x14ac:dyDescent="0.2">
      <c r="B2893" s="30" t="s">
        <v>2294</v>
      </c>
      <c r="C2893" s="36"/>
      <c r="D2893" s="36"/>
      <c r="F2893" s="1" t="s">
        <v>1322</v>
      </c>
      <c r="G2893" s="30" t="s">
        <v>5389</v>
      </c>
      <c r="K2893" s="1" t="s">
        <v>5400</v>
      </c>
      <c r="L2893" s="1" t="s">
        <v>1279</v>
      </c>
      <c r="M2893" s="36" t="s">
        <v>2068</v>
      </c>
      <c r="N2893" s="1" t="s">
        <v>1944</v>
      </c>
      <c r="O2893" s="1" t="s">
        <v>1286</v>
      </c>
      <c r="P2893" s="34" t="str">
        <f t="shared" si="57"/>
        <v>F010</v>
      </c>
      <c r="Q2893" s="1" t="s">
        <v>137</v>
      </c>
      <c r="S2893" s="16">
        <v>20</v>
      </c>
      <c r="T2893" s="1" t="s">
        <v>2299</v>
      </c>
      <c r="U2893" s="1" t="s">
        <v>1511</v>
      </c>
      <c r="V2893" s="1" t="s">
        <v>4719</v>
      </c>
      <c r="Y2893" s="1">
        <v>2906.87</v>
      </c>
      <c r="AB2893" s="1">
        <v>1457.49</v>
      </c>
    </row>
    <row r="2894" spans="2:28" x14ac:dyDescent="0.2">
      <c r="B2894" s="30" t="s">
        <v>2294</v>
      </c>
      <c r="C2894" s="36"/>
      <c r="D2894" s="36"/>
      <c r="F2894" s="1" t="s">
        <v>1322</v>
      </c>
      <c r="G2894" s="30" t="s">
        <v>5389</v>
      </c>
      <c r="K2894" s="1" t="s">
        <v>5401</v>
      </c>
      <c r="L2894" s="1" t="s">
        <v>1279</v>
      </c>
      <c r="M2894" s="36" t="s">
        <v>1468</v>
      </c>
      <c r="N2894" s="1" t="s">
        <v>3222</v>
      </c>
      <c r="O2894" s="1" t="s">
        <v>1286</v>
      </c>
      <c r="P2894" s="34" t="str">
        <f t="shared" si="57"/>
        <v>F010</v>
      </c>
      <c r="Q2894" s="1" t="s">
        <v>137</v>
      </c>
      <c r="S2894" s="16">
        <v>20</v>
      </c>
      <c r="T2894" s="1" t="s">
        <v>3959</v>
      </c>
      <c r="U2894" s="1" t="s">
        <v>1463</v>
      </c>
      <c r="V2894" s="1" t="s">
        <v>1465</v>
      </c>
      <c r="Y2894" s="1">
        <v>3686.32</v>
      </c>
      <c r="AB2894" s="1">
        <v>1653.76</v>
      </c>
    </row>
    <row r="2895" spans="2:28" x14ac:dyDescent="0.2">
      <c r="B2895" s="30" t="s">
        <v>2294</v>
      </c>
      <c r="C2895" s="36"/>
      <c r="D2895" s="36"/>
      <c r="F2895" s="1" t="s">
        <v>3960</v>
      </c>
      <c r="G2895" s="30" t="s">
        <v>5402</v>
      </c>
      <c r="K2895" s="1" t="s">
        <v>5403</v>
      </c>
      <c r="L2895" s="1" t="s">
        <v>1279</v>
      </c>
      <c r="M2895" s="36" t="s">
        <v>1511</v>
      </c>
      <c r="N2895" s="1" t="s">
        <v>1286</v>
      </c>
      <c r="O2895" s="1" t="s">
        <v>1286</v>
      </c>
      <c r="P2895" s="34" t="str">
        <f t="shared" si="57"/>
        <v>F010</v>
      </c>
      <c r="Q2895" s="1" t="s">
        <v>138</v>
      </c>
      <c r="S2895" s="16">
        <v>20</v>
      </c>
      <c r="T2895" s="1" t="s">
        <v>2299</v>
      </c>
      <c r="U2895" s="1" t="s">
        <v>1468</v>
      </c>
      <c r="V2895" s="1" t="s">
        <v>1634</v>
      </c>
      <c r="Y2895" s="1">
        <v>4971.8</v>
      </c>
      <c r="AB2895" s="1">
        <v>2340.5100000000002</v>
      </c>
    </row>
    <row r="2896" spans="2:28" x14ac:dyDescent="0.2">
      <c r="B2896" s="30" t="s">
        <v>2294</v>
      </c>
      <c r="C2896" s="36"/>
      <c r="D2896" s="36"/>
      <c r="F2896" s="1" t="s">
        <v>1322</v>
      </c>
      <c r="G2896" s="30" t="s">
        <v>5402</v>
      </c>
      <c r="K2896" s="1" t="s">
        <v>5404</v>
      </c>
      <c r="L2896" s="1" t="s">
        <v>1279</v>
      </c>
      <c r="M2896" s="36" t="s">
        <v>1511</v>
      </c>
      <c r="N2896" s="1" t="s">
        <v>1286</v>
      </c>
      <c r="O2896" s="1" t="s">
        <v>1286</v>
      </c>
      <c r="P2896" s="34" t="str">
        <f t="shared" si="57"/>
        <v>F010</v>
      </c>
      <c r="Q2896" s="1" t="s">
        <v>138</v>
      </c>
      <c r="S2896" s="16">
        <v>20</v>
      </c>
      <c r="T2896" s="1" t="s">
        <v>2299</v>
      </c>
      <c r="U2896" s="1" t="s">
        <v>1468</v>
      </c>
      <c r="V2896" s="1" t="s">
        <v>1634</v>
      </c>
      <c r="Y2896" s="1">
        <v>4971.79</v>
      </c>
      <c r="AB2896" s="1">
        <v>2340.5</v>
      </c>
    </row>
    <row r="2897" spans="2:28" x14ac:dyDescent="0.2">
      <c r="B2897" s="30" t="s">
        <v>2294</v>
      </c>
      <c r="C2897" s="36"/>
      <c r="D2897" s="36"/>
      <c r="F2897" s="1" t="s">
        <v>1322</v>
      </c>
      <c r="G2897" s="30" t="s">
        <v>5402</v>
      </c>
      <c r="K2897" s="1" t="s">
        <v>5405</v>
      </c>
      <c r="L2897" s="1" t="s">
        <v>1279</v>
      </c>
      <c r="M2897" s="36" t="s">
        <v>1511</v>
      </c>
      <c r="N2897" s="1" t="s">
        <v>1286</v>
      </c>
      <c r="O2897" s="1" t="s">
        <v>1286</v>
      </c>
      <c r="P2897" s="34" t="str">
        <f t="shared" si="57"/>
        <v>F010</v>
      </c>
      <c r="Q2897" s="1" t="s">
        <v>138</v>
      </c>
      <c r="S2897" s="16">
        <v>20</v>
      </c>
      <c r="T2897" s="1" t="s">
        <v>2299</v>
      </c>
      <c r="U2897" s="1" t="s">
        <v>1468</v>
      </c>
      <c r="V2897" s="1" t="s">
        <v>1634</v>
      </c>
      <c r="Y2897" s="1">
        <v>4971.79</v>
      </c>
      <c r="AB2897" s="1">
        <v>2340.5</v>
      </c>
    </row>
    <row r="2898" spans="2:28" x14ac:dyDescent="0.2">
      <c r="B2898" s="30" t="s">
        <v>2294</v>
      </c>
      <c r="C2898" s="36"/>
      <c r="D2898" s="36"/>
      <c r="F2898" s="1" t="s">
        <v>1322</v>
      </c>
      <c r="G2898" s="30" t="s">
        <v>5402</v>
      </c>
      <c r="K2898" s="1" t="s">
        <v>5406</v>
      </c>
      <c r="L2898" s="1" t="s">
        <v>1279</v>
      </c>
      <c r="M2898" s="36" t="s">
        <v>1463</v>
      </c>
      <c r="N2898" s="1" t="s">
        <v>1577</v>
      </c>
      <c r="O2898" s="1" t="s">
        <v>1286</v>
      </c>
      <c r="P2898" s="34" t="str">
        <f t="shared" si="57"/>
        <v>F010</v>
      </c>
      <c r="Q2898" s="1" t="s">
        <v>138</v>
      </c>
      <c r="S2898" s="16">
        <v>20</v>
      </c>
      <c r="T2898" s="1" t="s">
        <v>2299</v>
      </c>
      <c r="U2898" s="1" t="s">
        <v>1480</v>
      </c>
      <c r="V2898" s="1" t="s">
        <v>1696</v>
      </c>
      <c r="Y2898" s="1">
        <v>5077.78</v>
      </c>
      <c r="AB2898" s="1">
        <v>2124.8000000000002</v>
      </c>
    </row>
    <row r="2899" spans="2:28" x14ac:dyDescent="0.2">
      <c r="B2899" s="30" t="s">
        <v>2294</v>
      </c>
      <c r="C2899" s="36"/>
      <c r="D2899" s="36"/>
      <c r="F2899" s="1" t="s">
        <v>1322</v>
      </c>
      <c r="G2899" s="30" t="s">
        <v>5402</v>
      </c>
      <c r="K2899" s="1" t="s">
        <v>5407</v>
      </c>
      <c r="L2899" s="1" t="s">
        <v>1279</v>
      </c>
      <c r="M2899" s="36" t="s">
        <v>1511</v>
      </c>
      <c r="N2899" s="1" t="s">
        <v>1286</v>
      </c>
      <c r="O2899" s="1" t="s">
        <v>1286</v>
      </c>
      <c r="P2899" s="34" t="str">
        <f t="shared" si="57"/>
        <v>F010</v>
      </c>
      <c r="Q2899" s="1" t="s">
        <v>138</v>
      </c>
      <c r="S2899" s="16">
        <v>20</v>
      </c>
      <c r="T2899" s="1" t="s">
        <v>3959</v>
      </c>
      <c r="U2899" s="1" t="s">
        <v>1468</v>
      </c>
      <c r="V2899" s="1" t="s">
        <v>1634</v>
      </c>
      <c r="Y2899" s="1">
        <v>3686.32</v>
      </c>
      <c r="AB2899" s="1">
        <v>1735.38</v>
      </c>
    </row>
    <row r="2900" spans="2:28" x14ac:dyDescent="0.2">
      <c r="B2900" s="30" t="s">
        <v>2294</v>
      </c>
      <c r="C2900" s="36"/>
      <c r="D2900" s="36"/>
      <c r="F2900" s="1" t="s">
        <v>3960</v>
      </c>
      <c r="G2900" s="30" t="s">
        <v>5402</v>
      </c>
      <c r="K2900" s="1" t="s">
        <v>5408</v>
      </c>
      <c r="L2900" s="1" t="s">
        <v>1279</v>
      </c>
      <c r="M2900" s="36" t="s">
        <v>1641</v>
      </c>
      <c r="N2900" s="1" t="s">
        <v>2426</v>
      </c>
      <c r="O2900" s="1" t="s">
        <v>1286</v>
      </c>
      <c r="P2900" s="34" t="str">
        <f t="shared" si="57"/>
        <v>F010</v>
      </c>
      <c r="Q2900" s="1" t="s">
        <v>127</v>
      </c>
      <c r="S2900" s="16">
        <v>20</v>
      </c>
      <c r="T2900" s="1" t="s">
        <v>2299</v>
      </c>
      <c r="U2900" s="1" t="s">
        <v>2236</v>
      </c>
      <c r="V2900" s="1" t="s">
        <v>1857</v>
      </c>
      <c r="Y2900" s="1">
        <v>5343.36</v>
      </c>
      <c r="AB2900" s="1">
        <v>5076.1899999999996</v>
      </c>
    </row>
    <row r="2901" spans="2:28" x14ac:dyDescent="0.2">
      <c r="B2901" s="30" t="s">
        <v>2294</v>
      </c>
      <c r="C2901" s="36"/>
      <c r="D2901" s="36"/>
      <c r="F2901" s="1" t="s">
        <v>1322</v>
      </c>
      <c r="G2901" s="30" t="s">
        <v>5402</v>
      </c>
      <c r="K2901" s="1" t="s">
        <v>5409</v>
      </c>
      <c r="L2901" s="1" t="s">
        <v>1279</v>
      </c>
      <c r="M2901" s="36" t="s">
        <v>2014</v>
      </c>
      <c r="N2901" s="1" t="s">
        <v>1573</v>
      </c>
      <c r="O2901" s="1" t="s">
        <v>1286</v>
      </c>
      <c r="P2901" s="34" t="str">
        <f t="shared" si="57"/>
        <v>F010</v>
      </c>
      <c r="Q2901" s="1" t="s">
        <v>127</v>
      </c>
      <c r="S2901" s="16">
        <v>20</v>
      </c>
      <c r="T2901" s="1" t="s">
        <v>2299</v>
      </c>
      <c r="U2901" s="1" t="s">
        <v>1334</v>
      </c>
      <c r="V2901" s="1" t="s">
        <v>1377</v>
      </c>
      <c r="Y2901" s="1">
        <v>4065.81</v>
      </c>
      <c r="AB2901" s="1">
        <v>2339.2800000000002</v>
      </c>
    </row>
    <row r="2902" spans="2:28" x14ac:dyDescent="0.2">
      <c r="B2902" s="30" t="s">
        <v>2294</v>
      </c>
      <c r="C2902" s="36"/>
      <c r="D2902" s="36"/>
      <c r="F2902" s="1" t="s">
        <v>1322</v>
      </c>
      <c r="G2902" s="30" t="s">
        <v>5402</v>
      </c>
      <c r="K2902" s="1" t="s">
        <v>5410</v>
      </c>
      <c r="L2902" s="1" t="s">
        <v>1279</v>
      </c>
      <c r="M2902" s="36" t="s">
        <v>2014</v>
      </c>
      <c r="N2902" s="1" t="s">
        <v>1573</v>
      </c>
      <c r="O2902" s="1" t="s">
        <v>1286</v>
      </c>
      <c r="P2902" s="34" t="str">
        <f t="shared" si="57"/>
        <v>F010</v>
      </c>
      <c r="Q2902" s="1" t="s">
        <v>127</v>
      </c>
      <c r="S2902" s="16">
        <v>20</v>
      </c>
      <c r="T2902" s="1" t="s">
        <v>2299</v>
      </c>
      <c r="U2902" s="1" t="s">
        <v>1334</v>
      </c>
      <c r="V2902" s="1" t="s">
        <v>1377</v>
      </c>
      <c r="Y2902" s="1">
        <v>4065.82</v>
      </c>
      <c r="AB2902" s="1">
        <v>2339.29</v>
      </c>
    </row>
    <row r="2903" spans="2:28" x14ac:dyDescent="0.2">
      <c r="B2903" s="30" t="s">
        <v>2294</v>
      </c>
      <c r="C2903" s="36"/>
      <c r="D2903" s="36"/>
      <c r="F2903" s="1" t="s">
        <v>1322</v>
      </c>
      <c r="G2903" s="30" t="s">
        <v>5402</v>
      </c>
      <c r="K2903" s="1" t="s">
        <v>5411</v>
      </c>
      <c r="L2903" s="1" t="s">
        <v>1279</v>
      </c>
      <c r="M2903" s="36" t="s">
        <v>2014</v>
      </c>
      <c r="N2903" s="1" t="s">
        <v>1284</v>
      </c>
      <c r="O2903" s="1" t="s">
        <v>1286</v>
      </c>
      <c r="P2903" s="34" t="str">
        <f t="shared" si="57"/>
        <v>F010</v>
      </c>
      <c r="Q2903" s="1" t="s">
        <v>127</v>
      </c>
      <c r="S2903" s="16">
        <v>20</v>
      </c>
      <c r="T2903" s="1" t="s">
        <v>2299</v>
      </c>
      <c r="U2903" s="1" t="s">
        <v>1334</v>
      </c>
      <c r="V2903" s="1" t="s">
        <v>1377</v>
      </c>
      <c r="Y2903" s="1">
        <v>3605.98</v>
      </c>
      <c r="AB2903" s="1">
        <v>2074.77</v>
      </c>
    </row>
    <row r="2904" spans="2:28" x14ac:dyDescent="0.2">
      <c r="B2904" s="30" t="s">
        <v>2294</v>
      </c>
      <c r="C2904" s="36"/>
      <c r="D2904" s="36"/>
      <c r="F2904" s="1" t="s">
        <v>1322</v>
      </c>
      <c r="G2904" s="30" t="s">
        <v>5402</v>
      </c>
      <c r="K2904" s="1" t="s">
        <v>5412</v>
      </c>
      <c r="L2904" s="1" t="s">
        <v>1279</v>
      </c>
      <c r="M2904" s="36" t="s">
        <v>1468</v>
      </c>
      <c r="N2904" s="1" t="s">
        <v>1637</v>
      </c>
      <c r="O2904" s="1" t="s">
        <v>1286</v>
      </c>
      <c r="P2904" s="34" t="str">
        <f t="shared" si="57"/>
        <v>F010</v>
      </c>
      <c r="Q2904" s="1" t="s">
        <v>127</v>
      </c>
      <c r="S2904" s="16">
        <v>20</v>
      </c>
      <c r="T2904" s="1" t="s">
        <v>2299</v>
      </c>
      <c r="U2904" s="1" t="s">
        <v>1463</v>
      </c>
      <c r="V2904" s="1" t="s">
        <v>1465</v>
      </c>
      <c r="Y2904" s="1">
        <v>3639.32</v>
      </c>
      <c r="AB2904" s="1">
        <v>1618.06</v>
      </c>
    </row>
    <row r="2905" spans="2:28" x14ac:dyDescent="0.2">
      <c r="B2905" s="30" t="s">
        <v>2294</v>
      </c>
      <c r="C2905" s="36"/>
      <c r="D2905" s="36"/>
      <c r="F2905" s="1" t="s">
        <v>1322</v>
      </c>
      <c r="G2905" s="30" t="s">
        <v>5402</v>
      </c>
      <c r="K2905" s="1" t="s">
        <v>5413</v>
      </c>
      <c r="L2905" s="1" t="s">
        <v>1279</v>
      </c>
      <c r="M2905" s="36" t="s">
        <v>2014</v>
      </c>
      <c r="N2905" s="1" t="s">
        <v>1286</v>
      </c>
      <c r="O2905" s="1" t="s">
        <v>1286</v>
      </c>
      <c r="P2905" s="34" t="str">
        <f t="shared" si="57"/>
        <v>F010</v>
      </c>
      <c r="Q2905" s="1" t="s">
        <v>138</v>
      </c>
      <c r="S2905" s="16">
        <v>20</v>
      </c>
      <c r="T2905" s="1" t="s">
        <v>3959</v>
      </c>
      <c r="U2905" s="1" t="s">
        <v>1334</v>
      </c>
      <c r="V2905" s="1" t="s">
        <v>1377</v>
      </c>
      <c r="Y2905" s="1">
        <v>3988</v>
      </c>
      <c r="AB2905" s="1">
        <v>2315.2800000000002</v>
      </c>
    </row>
    <row r="2906" spans="2:28" x14ac:dyDescent="0.2">
      <c r="B2906" s="30" t="s">
        <v>2294</v>
      </c>
      <c r="C2906" s="36"/>
      <c r="D2906" s="36"/>
      <c r="F2906" s="1" t="s">
        <v>3960</v>
      </c>
      <c r="G2906" s="30" t="s">
        <v>5402</v>
      </c>
      <c r="K2906" s="1" t="s">
        <v>5414</v>
      </c>
      <c r="L2906" s="1" t="s">
        <v>1279</v>
      </c>
      <c r="M2906" s="36" t="s">
        <v>2068</v>
      </c>
      <c r="N2906" s="1" t="s">
        <v>1658</v>
      </c>
      <c r="O2906" s="1" t="s">
        <v>1286</v>
      </c>
      <c r="P2906" s="34" t="str">
        <f t="shared" si="57"/>
        <v>F010</v>
      </c>
      <c r="Q2906" s="1" t="s">
        <v>127</v>
      </c>
      <c r="S2906" s="16">
        <v>20</v>
      </c>
      <c r="T2906" s="1" t="s">
        <v>2299</v>
      </c>
      <c r="U2906" s="1" t="s">
        <v>1511</v>
      </c>
      <c r="V2906" s="1" t="s">
        <v>4719</v>
      </c>
      <c r="Y2906" s="1">
        <v>4513</v>
      </c>
      <c r="AB2906" s="1">
        <v>2262.7399999999998</v>
      </c>
    </row>
    <row r="2907" spans="2:28" x14ac:dyDescent="0.2">
      <c r="B2907" s="30" t="s">
        <v>2294</v>
      </c>
      <c r="C2907" s="36"/>
      <c r="D2907" s="36"/>
      <c r="F2907" s="1" t="s">
        <v>1322</v>
      </c>
      <c r="G2907" s="30" t="s">
        <v>5402</v>
      </c>
      <c r="K2907" s="1" t="s">
        <v>5415</v>
      </c>
      <c r="L2907" s="1" t="s">
        <v>1279</v>
      </c>
      <c r="M2907" s="36" t="s">
        <v>2068</v>
      </c>
      <c r="N2907" s="1" t="s">
        <v>1658</v>
      </c>
      <c r="O2907" s="1" t="s">
        <v>1286</v>
      </c>
      <c r="P2907" s="34" t="str">
        <f t="shared" si="57"/>
        <v>F010</v>
      </c>
      <c r="Q2907" s="1" t="s">
        <v>127</v>
      </c>
      <c r="S2907" s="16">
        <v>20</v>
      </c>
      <c r="T2907" s="1" t="s">
        <v>2299</v>
      </c>
      <c r="U2907" s="1" t="s">
        <v>1511</v>
      </c>
      <c r="V2907" s="1" t="s">
        <v>4719</v>
      </c>
      <c r="Y2907" s="1">
        <v>4513</v>
      </c>
      <c r="AB2907" s="1">
        <v>2262.7399999999998</v>
      </c>
    </row>
    <row r="2908" spans="2:28" x14ac:dyDescent="0.2">
      <c r="B2908" s="30" t="s">
        <v>2294</v>
      </c>
      <c r="C2908" s="36"/>
      <c r="D2908" s="36"/>
      <c r="F2908" s="1" t="s">
        <v>1322</v>
      </c>
      <c r="G2908" s="30" t="s">
        <v>5402</v>
      </c>
      <c r="K2908" s="1" t="s">
        <v>5416</v>
      </c>
      <c r="L2908" s="1" t="s">
        <v>1279</v>
      </c>
      <c r="M2908" s="36" t="s">
        <v>1463</v>
      </c>
      <c r="N2908" s="1" t="s">
        <v>1577</v>
      </c>
      <c r="O2908" s="1" t="s">
        <v>1286</v>
      </c>
      <c r="P2908" s="34" t="str">
        <f t="shared" si="57"/>
        <v>F010</v>
      </c>
      <c r="Q2908" s="1" t="s">
        <v>138</v>
      </c>
      <c r="S2908" s="16">
        <v>20</v>
      </c>
      <c r="T2908" s="1" t="s">
        <v>2299</v>
      </c>
      <c r="U2908" s="1" t="s">
        <v>1480</v>
      </c>
      <c r="V2908" s="1" t="s">
        <v>1696</v>
      </c>
      <c r="Y2908" s="1">
        <v>3600.85</v>
      </c>
      <c r="AB2908" s="1">
        <v>1506.72</v>
      </c>
    </row>
    <row r="2909" spans="2:28" x14ac:dyDescent="0.2">
      <c r="B2909" s="30" t="s">
        <v>2294</v>
      </c>
      <c r="C2909" s="36"/>
      <c r="D2909" s="36"/>
      <c r="F2909" s="1" t="s">
        <v>1322</v>
      </c>
      <c r="G2909" s="30" t="s">
        <v>5402</v>
      </c>
      <c r="K2909" s="1" t="s">
        <v>5417</v>
      </c>
      <c r="L2909" s="1" t="s">
        <v>1279</v>
      </c>
      <c r="M2909" s="36" t="s">
        <v>1511</v>
      </c>
      <c r="N2909" s="1" t="s">
        <v>1286</v>
      </c>
      <c r="O2909" s="1" t="s">
        <v>1286</v>
      </c>
      <c r="P2909" s="34" t="str">
        <f t="shared" si="57"/>
        <v>F010</v>
      </c>
      <c r="Q2909" s="1" t="s">
        <v>138</v>
      </c>
      <c r="S2909" s="16">
        <v>20</v>
      </c>
      <c r="T2909" s="1" t="s">
        <v>2299</v>
      </c>
      <c r="U2909" s="1" t="s">
        <v>1468</v>
      </c>
      <c r="V2909" s="1" t="s">
        <v>1634</v>
      </c>
      <c r="Y2909" s="1">
        <v>3686.32</v>
      </c>
      <c r="AB2909" s="1">
        <v>1735.38</v>
      </c>
    </row>
    <row r="2910" spans="2:28" x14ac:dyDescent="0.2">
      <c r="B2910" s="30" t="s">
        <v>2294</v>
      </c>
      <c r="C2910" s="36"/>
      <c r="D2910" s="36"/>
      <c r="F2910" s="1" t="s">
        <v>1322</v>
      </c>
      <c r="G2910" s="30" t="s">
        <v>5402</v>
      </c>
      <c r="K2910" s="1" t="s">
        <v>5418</v>
      </c>
      <c r="L2910" s="1" t="s">
        <v>1279</v>
      </c>
      <c r="M2910" s="36" t="s">
        <v>1468</v>
      </c>
      <c r="N2910" s="1" t="s">
        <v>1294</v>
      </c>
      <c r="O2910" s="1" t="s">
        <v>1286</v>
      </c>
      <c r="P2910" s="34" t="str">
        <f t="shared" si="57"/>
        <v>F010</v>
      </c>
      <c r="Q2910" s="1" t="s">
        <v>127</v>
      </c>
      <c r="S2910" s="16">
        <v>20</v>
      </c>
      <c r="T2910" s="1" t="s">
        <v>3959</v>
      </c>
      <c r="U2910" s="1" t="s">
        <v>1463</v>
      </c>
      <c r="V2910" s="1" t="s">
        <v>1465</v>
      </c>
      <c r="Y2910" s="1">
        <v>9893</v>
      </c>
      <c r="AB2910" s="1">
        <v>4438.13</v>
      </c>
    </row>
    <row r="2911" spans="2:28" x14ac:dyDescent="0.2">
      <c r="B2911" s="30" t="s">
        <v>2294</v>
      </c>
      <c r="C2911" s="36"/>
      <c r="D2911" s="36"/>
      <c r="F2911" s="1" t="s">
        <v>3960</v>
      </c>
      <c r="G2911" s="30" t="s">
        <v>5419</v>
      </c>
      <c r="K2911" s="1" t="s">
        <v>5420</v>
      </c>
      <c r="L2911" s="1" t="s">
        <v>1279</v>
      </c>
      <c r="M2911" s="36" t="s">
        <v>1567</v>
      </c>
      <c r="N2911" s="1" t="s">
        <v>1577</v>
      </c>
      <c r="O2911" s="1" t="s">
        <v>1286</v>
      </c>
      <c r="P2911" s="34" t="str">
        <f t="shared" si="57"/>
        <v>F010</v>
      </c>
      <c r="Q2911" s="1" t="s">
        <v>137</v>
      </c>
      <c r="S2911" s="16">
        <v>20</v>
      </c>
      <c r="T2911" s="1" t="s">
        <v>3959</v>
      </c>
      <c r="U2911" s="1" t="s">
        <v>1999</v>
      </c>
      <c r="V2911" s="1" t="s">
        <v>1526</v>
      </c>
      <c r="Y2911" s="1">
        <v>9288</v>
      </c>
      <c r="AB2911" s="1">
        <v>7107.9</v>
      </c>
    </row>
    <row r="2912" spans="2:28" x14ac:dyDescent="0.2">
      <c r="B2912" s="30" t="s">
        <v>2294</v>
      </c>
      <c r="C2912" s="36"/>
      <c r="D2912" s="36"/>
      <c r="F2912" s="1" t="s">
        <v>3960</v>
      </c>
      <c r="G2912" s="30" t="s">
        <v>5419</v>
      </c>
      <c r="K2912" s="1" t="s">
        <v>5421</v>
      </c>
      <c r="L2912" s="1" t="s">
        <v>1279</v>
      </c>
      <c r="M2912" s="36" t="s">
        <v>1567</v>
      </c>
      <c r="N2912" s="1" t="s">
        <v>1577</v>
      </c>
      <c r="O2912" s="1" t="s">
        <v>1286</v>
      </c>
      <c r="P2912" s="34" t="str">
        <f t="shared" si="57"/>
        <v>F010</v>
      </c>
      <c r="Q2912" s="1" t="s">
        <v>137</v>
      </c>
      <c r="S2912" s="16">
        <v>20</v>
      </c>
      <c r="T2912" s="1" t="s">
        <v>3657</v>
      </c>
      <c r="U2912" s="1" t="s">
        <v>1999</v>
      </c>
      <c r="V2912" s="1" t="s">
        <v>1526</v>
      </c>
      <c r="Y2912" s="1">
        <v>10288</v>
      </c>
      <c r="AB2912" s="1">
        <v>7873.21</v>
      </c>
    </row>
    <row r="2913" spans="2:28" x14ac:dyDescent="0.2">
      <c r="B2913" s="30" t="s">
        <v>2294</v>
      </c>
      <c r="C2913" s="36"/>
      <c r="D2913" s="36"/>
      <c r="F2913" s="1" t="s">
        <v>3658</v>
      </c>
      <c r="G2913" s="30" t="s">
        <v>5419</v>
      </c>
      <c r="K2913" s="1" t="s">
        <v>5422</v>
      </c>
      <c r="L2913" s="1" t="s">
        <v>1279</v>
      </c>
      <c r="M2913" s="36" t="s">
        <v>1567</v>
      </c>
      <c r="N2913" s="1" t="s">
        <v>1577</v>
      </c>
      <c r="O2913" s="1" t="s">
        <v>1286</v>
      </c>
      <c r="P2913" s="34" t="str">
        <f t="shared" si="57"/>
        <v>F010</v>
      </c>
      <c r="Q2913" s="1" t="s">
        <v>137</v>
      </c>
      <c r="S2913" s="16">
        <v>20</v>
      </c>
      <c r="T2913" s="1" t="s">
        <v>2299</v>
      </c>
      <c r="U2913" s="1" t="s">
        <v>1999</v>
      </c>
      <c r="V2913" s="1" t="s">
        <v>1526</v>
      </c>
      <c r="Y2913" s="1">
        <v>9288</v>
      </c>
      <c r="AB2913" s="1">
        <v>7107.9</v>
      </c>
    </row>
    <row r="2914" spans="2:28" x14ac:dyDescent="0.2">
      <c r="B2914" s="30" t="s">
        <v>2294</v>
      </c>
      <c r="C2914" s="36"/>
      <c r="D2914" s="36"/>
      <c r="F2914" s="1" t="s">
        <v>1322</v>
      </c>
      <c r="G2914" s="30" t="s">
        <v>5419</v>
      </c>
      <c r="K2914" s="1" t="s">
        <v>5423</v>
      </c>
      <c r="L2914" s="1" t="s">
        <v>1279</v>
      </c>
      <c r="M2914" s="36" t="s">
        <v>1567</v>
      </c>
      <c r="N2914" s="1" t="s">
        <v>1577</v>
      </c>
      <c r="O2914" s="1" t="s">
        <v>1286</v>
      </c>
      <c r="P2914" s="34" t="str">
        <f t="shared" si="57"/>
        <v>F010</v>
      </c>
      <c r="Q2914" s="1" t="s">
        <v>137</v>
      </c>
      <c r="S2914" s="16">
        <v>20</v>
      </c>
      <c r="T2914" s="1" t="s">
        <v>5197</v>
      </c>
      <c r="U2914" s="1" t="s">
        <v>1999</v>
      </c>
      <c r="V2914" s="1" t="s">
        <v>1526</v>
      </c>
      <c r="Y2914" s="1">
        <v>62820</v>
      </c>
      <c r="AB2914" s="1">
        <v>48074.75</v>
      </c>
    </row>
    <row r="2915" spans="2:28" x14ac:dyDescent="0.2">
      <c r="B2915" s="30" t="s">
        <v>2294</v>
      </c>
      <c r="C2915" s="36"/>
      <c r="D2915" s="36"/>
      <c r="F2915" s="1" t="s">
        <v>5198</v>
      </c>
      <c r="G2915" s="30" t="s">
        <v>5424</v>
      </c>
      <c r="K2915" s="1" t="s">
        <v>5425</v>
      </c>
      <c r="L2915" s="1" t="s">
        <v>1279</v>
      </c>
      <c r="M2915" s="36" t="s">
        <v>1343</v>
      </c>
      <c r="N2915" s="1" t="s">
        <v>1687</v>
      </c>
      <c r="O2915" s="1" t="s">
        <v>1286</v>
      </c>
      <c r="P2915" s="34" t="str">
        <f t="shared" si="57"/>
        <v>F010</v>
      </c>
      <c r="Q2915" s="1" t="s">
        <v>129</v>
      </c>
      <c r="S2915" s="16">
        <v>20</v>
      </c>
      <c r="T2915" s="1" t="s">
        <v>2299</v>
      </c>
      <c r="U2915" s="1" t="s">
        <v>2319</v>
      </c>
      <c r="V2915" s="1" t="s">
        <v>2515</v>
      </c>
      <c r="Y2915" s="1">
        <v>63298.45</v>
      </c>
      <c r="AB2915" s="1">
        <v>60133.53</v>
      </c>
    </row>
    <row r="2916" spans="2:28" x14ac:dyDescent="0.2">
      <c r="B2916" s="30" t="s">
        <v>2294</v>
      </c>
      <c r="C2916" s="36"/>
      <c r="D2916" s="36"/>
      <c r="F2916" s="1" t="s">
        <v>1322</v>
      </c>
      <c r="G2916" s="30" t="s">
        <v>5426</v>
      </c>
      <c r="K2916" s="1" t="s">
        <v>5427</v>
      </c>
      <c r="L2916" s="1" t="s">
        <v>1279</v>
      </c>
      <c r="M2916" s="36" t="s">
        <v>1990</v>
      </c>
      <c r="N2916" s="1" t="s">
        <v>1637</v>
      </c>
      <c r="O2916" s="1" t="s">
        <v>1286</v>
      </c>
      <c r="P2916" s="34" t="str">
        <f t="shared" si="57"/>
        <v>F010</v>
      </c>
      <c r="Q2916" s="1" t="s">
        <v>127</v>
      </c>
      <c r="S2916" s="16">
        <v>20</v>
      </c>
      <c r="T2916" s="1" t="s">
        <v>3498</v>
      </c>
      <c r="U2916" s="1" t="s">
        <v>2368</v>
      </c>
      <c r="V2916" s="1" t="s">
        <v>2369</v>
      </c>
      <c r="Y2916" s="1">
        <v>2599</v>
      </c>
      <c r="AB2916" s="1">
        <v>137.18</v>
      </c>
    </row>
    <row r="2917" spans="2:28" x14ac:dyDescent="0.2">
      <c r="B2917" s="30" t="s">
        <v>2294</v>
      </c>
      <c r="C2917" s="36"/>
      <c r="D2917" s="36"/>
      <c r="F2917" s="1" t="s">
        <v>3499</v>
      </c>
      <c r="G2917" s="30" t="s">
        <v>5428</v>
      </c>
      <c r="K2917" s="1" t="s">
        <v>5429</v>
      </c>
      <c r="L2917" s="1" t="s">
        <v>1279</v>
      </c>
      <c r="M2917" s="36" t="s">
        <v>1959</v>
      </c>
      <c r="N2917" s="1" t="s">
        <v>4166</v>
      </c>
      <c r="O2917" s="1" t="s">
        <v>1286</v>
      </c>
      <c r="P2917" s="34" t="str">
        <f t="shared" si="57"/>
        <v>F010</v>
      </c>
      <c r="Q2917" s="1" t="s">
        <v>127</v>
      </c>
      <c r="S2917" s="16">
        <v>20</v>
      </c>
      <c r="T2917" s="1" t="s">
        <v>2299</v>
      </c>
      <c r="U2917" s="1" t="s">
        <v>4408</v>
      </c>
      <c r="V2917" s="1" t="s">
        <v>2442</v>
      </c>
      <c r="Y2917" s="1">
        <v>2400</v>
      </c>
      <c r="AB2917" s="1">
        <v>2280</v>
      </c>
    </row>
    <row r="2918" spans="2:28" x14ac:dyDescent="0.2">
      <c r="B2918" s="30" t="s">
        <v>2294</v>
      </c>
      <c r="C2918" s="36"/>
      <c r="D2918" s="36"/>
      <c r="F2918" s="1" t="s">
        <v>1322</v>
      </c>
      <c r="G2918" s="30" t="s">
        <v>5430</v>
      </c>
      <c r="K2918" s="1" t="s">
        <v>5431</v>
      </c>
      <c r="L2918" s="1" t="s">
        <v>1279</v>
      </c>
      <c r="M2918" s="36" t="s">
        <v>2141</v>
      </c>
      <c r="N2918" s="1" t="s">
        <v>1292</v>
      </c>
      <c r="O2918" s="1" t="s">
        <v>1286</v>
      </c>
      <c r="P2918" s="34" t="str">
        <f t="shared" si="57"/>
        <v>F010</v>
      </c>
      <c r="Q2918" s="1" t="s">
        <v>133</v>
      </c>
      <c r="S2918" s="16">
        <v>20</v>
      </c>
      <c r="T2918" s="1" t="s">
        <v>5432</v>
      </c>
      <c r="U2918" s="1" t="s">
        <v>1604</v>
      </c>
      <c r="V2918" s="1" t="s">
        <v>1430</v>
      </c>
      <c r="Y2918" s="1">
        <v>6800</v>
      </c>
      <c r="AB2918" s="1">
        <v>6460</v>
      </c>
    </row>
    <row r="2919" spans="2:28" x14ac:dyDescent="0.2">
      <c r="B2919" s="30" t="s">
        <v>2294</v>
      </c>
      <c r="C2919" s="36"/>
      <c r="D2919" s="36"/>
      <c r="F2919" s="1" t="s">
        <v>5433</v>
      </c>
      <c r="G2919" s="30" t="s">
        <v>5430</v>
      </c>
      <c r="K2919" s="1" t="s">
        <v>5434</v>
      </c>
      <c r="L2919" s="1" t="s">
        <v>1279</v>
      </c>
      <c r="M2919" s="36" t="s">
        <v>2141</v>
      </c>
      <c r="N2919" s="1" t="s">
        <v>1282</v>
      </c>
      <c r="O2919" s="1" t="s">
        <v>1286</v>
      </c>
      <c r="P2919" s="34" t="str">
        <f t="shared" si="57"/>
        <v>F010</v>
      </c>
      <c r="Q2919" s="1" t="s">
        <v>135</v>
      </c>
      <c r="S2919" s="16">
        <v>20</v>
      </c>
      <c r="T2919" s="1" t="s">
        <v>2299</v>
      </c>
      <c r="U2919" s="1" t="s">
        <v>1604</v>
      </c>
      <c r="V2919" s="1" t="s">
        <v>1430</v>
      </c>
      <c r="Y2919" s="1">
        <v>6800</v>
      </c>
      <c r="AB2919" s="1">
        <v>6460</v>
      </c>
    </row>
    <row r="2920" spans="2:28" x14ac:dyDescent="0.2">
      <c r="B2920" s="30" t="s">
        <v>2294</v>
      </c>
      <c r="C2920" s="36"/>
      <c r="D2920" s="36"/>
      <c r="F2920" s="1" t="s">
        <v>1322</v>
      </c>
      <c r="G2920" s="30" t="s">
        <v>5435</v>
      </c>
      <c r="K2920" s="1" t="s">
        <v>5436</v>
      </c>
      <c r="L2920" s="1" t="s">
        <v>1279</v>
      </c>
      <c r="M2920" s="36" t="s">
        <v>1794</v>
      </c>
      <c r="N2920" s="1" t="s">
        <v>1287</v>
      </c>
      <c r="O2920" s="1" t="s">
        <v>1286</v>
      </c>
      <c r="P2920" s="34" t="str">
        <f t="shared" si="57"/>
        <v>F010</v>
      </c>
      <c r="Q2920" s="1" t="s">
        <v>138</v>
      </c>
      <c r="S2920" s="16">
        <v>20</v>
      </c>
      <c r="T2920" s="1" t="s">
        <v>3710</v>
      </c>
      <c r="U2920" s="1" t="s">
        <v>1497</v>
      </c>
      <c r="V2920" s="1" t="s">
        <v>1498</v>
      </c>
      <c r="Y2920" s="1">
        <v>150000</v>
      </c>
      <c r="AB2920" s="1">
        <v>98958.32</v>
      </c>
    </row>
    <row r="2921" spans="2:28" x14ac:dyDescent="0.2">
      <c r="B2921" s="30" t="s">
        <v>2294</v>
      </c>
      <c r="C2921" s="36"/>
      <c r="D2921" s="36"/>
      <c r="F2921" s="1" t="s">
        <v>3711</v>
      </c>
      <c r="G2921" s="30" t="s">
        <v>5435</v>
      </c>
      <c r="K2921" s="1" t="s">
        <v>5437</v>
      </c>
      <c r="L2921" s="1" t="s">
        <v>1279</v>
      </c>
      <c r="M2921" s="36" t="s">
        <v>1794</v>
      </c>
      <c r="N2921" s="1" t="s">
        <v>1287</v>
      </c>
      <c r="O2921" s="1" t="s">
        <v>1286</v>
      </c>
      <c r="P2921" s="34" t="str">
        <f t="shared" si="57"/>
        <v>F010</v>
      </c>
      <c r="Q2921" s="1" t="s">
        <v>138</v>
      </c>
      <c r="S2921" s="16">
        <v>20</v>
      </c>
      <c r="T2921" s="1" t="s">
        <v>2299</v>
      </c>
      <c r="U2921" s="1" t="s">
        <v>1497</v>
      </c>
      <c r="V2921" s="1" t="s">
        <v>1498</v>
      </c>
      <c r="Y2921" s="1">
        <v>150000</v>
      </c>
      <c r="AB2921" s="1">
        <v>98958.32</v>
      </c>
    </row>
    <row r="2922" spans="2:28" x14ac:dyDescent="0.2">
      <c r="B2922" s="30" t="s">
        <v>2294</v>
      </c>
      <c r="C2922" s="36"/>
      <c r="D2922" s="36"/>
      <c r="F2922" s="1" t="s">
        <v>1322</v>
      </c>
      <c r="G2922" s="30" t="s">
        <v>5438</v>
      </c>
      <c r="K2922" s="1" t="s">
        <v>5439</v>
      </c>
      <c r="L2922" s="1" t="s">
        <v>1279</v>
      </c>
      <c r="M2922" s="36" t="s">
        <v>1540</v>
      </c>
      <c r="N2922" s="1" t="s">
        <v>1284</v>
      </c>
      <c r="O2922" s="1" t="s">
        <v>1286</v>
      </c>
      <c r="P2922" s="34" t="str">
        <f t="shared" si="57"/>
        <v>F010</v>
      </c>
      <c r="Q2922" s="1" t="s">
        <v>127</v>
      </c>
      <c r="S2922" s="16">
        <v>20</v>
      </c>
      <c r="T2922" s="1" t="s">
        <v>5440</v>
      </c>
      <c r="U2922" s="1" t="s">
        <v>2441</v>
      </c>
      <c r="V2922" s="1" t="s">
        <v>2442</v>
      </c>
      <c r="Y2922" s="1">
        <v>63000</v>
      </c>
      <c r="AB2922" s="1">
        <v>59850</v>
      </c>
    </row>
    <row r="2923" spans="2:28" x14ac:dyDescent="0.2">
      <c r="B2923" s="30" t="s">
        <v>2294</v>
      </c>
      <c r="C2923" s="36"/>
      <c r="D2923" s="36"/>
      <c r="F2923" s="1" t="s">
        <v>5441</v>
      </c>
      <c r="G2923" s="30" t="s">
        <v>5442</v>
      </c>
      <c r="K2923" s="1" t="s">
        <v>5443</v>
      </c>
      <c r="L2923" s="1" t="s">
        <v>1279</v>
      </c>
      <c r="M2923" s="36" t="s">
        <v>2141</v>
      </c>
      <c r="N2923" s="1" t="s">
        <v>1284</v>
      </c>
      <c r="O2923" s="1" t="s">
        <v>1286</v>
      </c>
      <c r="P2923" s="34" t="str">
        <f t="shared" si="57"/>
        <v>F010</v>
      </c>
      <c r="Q2923" s="1" t="s">
        <v>138</v>
      </c>
      <c r="S2923" s="16">
        <v>20</v>
      </c>
      <c r="T2923" s="1" t="s">
        <v>2299</v>
      </c>
      <c r="U2923" s="1" t="s">
        <v>1604</v>
      </c>
      <c r="V2923" s="1" t="s">
        <v>1430</v>
      </c>
      <c r="Y2923" s="1">
        <v>23750</v>
      </c>
      <c r="AB2923" s="1">
        <v>22562.5</v>
      </c>
    </row>
    <row r="2924" spans="2:28" x14ac:dyDescent="0.2">
      <c r="B2924" s="30" t="s">
        <v>2294</v>
      </c>
      <c r="C2924" s="36"/>
      <c r="D2924" s="36"/>
      <c r="F2924" s="1" t="s">
        <v>1322</v>
      </c>
      <c r="G2924" s="30" t="s">
        <v>5442</v>
      </c>
      <c r="K2924" s="1" t="s">
        <v>5444</v>
      </c>
      <c r="L2924" s="1" t="s">
        <v>1279</v>
      </c>
      <c r="M2924" s="36" t="s">
        <v>2141</v>
      </c>
      <c r="N2924" s="1" t="s">
        <v>1284</v>
      </c>
      <c r="O2924" s="1" t="s">
        <v>1286</v>
      </c>
      <c r="P2924" s="34" t="str">
        <f t="shared" si="57"/>
        <v>F010</v>
      </c>
      <c r="Q2924" s="1" t="s">
        <v>138</v>
      </c>
      <c r="S2924" s="16">
        <v>20</v>
      </c>
      <c r="T2924" s="1" t="s">
        <v>3362</v>
      </c>
      <c r="U2924" s="1" t="s">
        <v>1604</v>
      </c>
      <c r="V2924" s="1" t="s">
        <v>1430</v>
      </c>
      <c r="Y2924" s="1">
        <v>23750</v>
      </c>
      <c r="AB2924" s="1">
        <v>22562.5</v>
      </c>
    </row>
    <row r="2925" spans="2:28" x14ac:dyDescent="0.2">
      <c r="B2925" s="30" t="s">
        <v>2294</v>
      </c>
      <c r="C2925" s="36"/>
      <c r="D2925" s="36"/>
      <c r="F2925" s="1" t="s">
        <v>3363</v>
      </c>
      <c r="G2925" s="30" t="s">
        <v>5445</v>
      </c>
      <c r="K2925" s="1" t="s">
        <v>5446</v>
      </c>
      <c r="L2925" s="1" t="s">
        <v>1279</v>
      </c>
      <c r="M2925" s="36" t="s">
        <v>1540</v>
      </c>
      <c r="N2925" s="1" t="s">
        <v>1284</v>
      </c>
      <c r="O2925" s="1" t="s">
        <v>1286</v>
      </c>
      <c r="P2925" s="34" t="str">
        <f t="shared" si="57"/>
        <v>F010</v>
      </c>
      <c r="Q2925" s="1" t="s">
        <v>127</v>
      </c>
      <c r="S2925" s="16">
        <v>20</v>
      </c>
      <c r="T2925" s="1" t="s">
        <v>2299</v>
      </c>
      <c r="U2925" s="1" t="s">
        <v>2441</v>
      </c>
      <c r="V2925" s="1" t="s">
        <v>2442</v>
      </c>
      <c r="Y2925" s="1">
        <v>254500</v>
      </c>
      <c r="AB2925" s="1">
        <v>241775</v>
      </c>
    </row>
    <row r="2926" spans="2:28" x14ac:dyDescent="0.2">
      <c r="B2926" s="30" t="s">
        <v>2294</v>
      </c>
      <c r="C2926" s="36"/>
      <c r="D2926" s="36"/>
      <c r="F2926" s="1" t="s">
        <v>1322</v>
      </c>
      <c r="G2926" s="30" t="s">
        <v>5447</v>
      </c>
      <c r="K2926" s="1" t="s">
        <v>5448</v>
      </c>
      <c r="L2926" s="1" t="s">
        <v>1279</v>
      </c>
      <c r="M2926" s="36" t="s">
        <v>2023</v>
      </c>
      <c r="N2926" s="1" t="s">
        <v>1294</v>
      </c>
      <c r="O2926" s="1" t="s">
        <v>1286</v>
      </c>
      <c r="P2926" s="34" t="str">
        <f t="shared" si="57"/>
        <v>F010</v>
      </c>
      <c r="Q2926" s="1" t="s">
        <v>127</v>
      </c>
      <c r="S2926" s="16">
        <v>20</v>
      </c>
      <c r="T2926" s="1" t="s">
        <v>3473</v>
      </c>
      <c r="U2926" s="1" t="s">
        <v>1453</v>
      </c>
      <c r="V2926" s="1" t="s">
        <v>1794</v>
      </c>
      <c r="Y2926" s="1">
        <v>65000</v>
      </c>
      <c r="AB2926" s="1">
        <v>61750</v>
      </c>
    </row>
    <row r="2927" spans="2:28" x14ac:dyDescent="0.2">
      <c r="B2927" s="30" t="s">
        <v>2294</v>
      </c>
      <c r="C2927" s="36"/>
      <c r="D2927" s="36"/>
      <c r="F2927" s="1" t="s">
        <v>3474</v>
      </c>
      <c r="G2927" s="30" t="s">
        <v>5447</v>
      </c>
      <c r="K2927" s="1" t="s">
        <v>5449</v>
      </c>
      <c r="L2927" s="1" t="s">
        <v>1279</v>
      </c>
      <c r="M2927" s="36" t="s">
        <v>2023</v>
      </c>
      <c r="N2927" s="1" t="s">
        <v>1283</v>
      </c>
      <c r="O2927" s="1" t="s">
        <v>1286</v>
      </c>
      <c r="P2927" s="34" t="str">
        <f t="shared" si="57"/>
        <v>F010</v>
      </c>
      <c r="Q2927" s="1" t="s">
        <v>137</v>
      </c>
      <c r="S2927" s="16">
        <v>20</v>
      </c>
      <c r="T2927" s="1" t="s">
        <v>2299</v>
      </c>
      <c r="U2927" s="1" t="s">
        <v>1453</v>
      </c>
      <c r="V2927" s="1" t="s">
        <v>1794</v>
      </c>
      <c r="Y2927" s="1">
        <v>48000</v>
      </c>
      <c r="AB2927" s="1">
        <v>45600</v>
      </c>
    </row>
    <row r="2928" spans="2:28" x14ac:dyDescent="0.2">
      <c r="B2928" s="30" t="s">
        <v>2294</v>
      </c>
      <c r="C2928" s="36"/>
      <c r="D2928" s="36"/>
      <c r="F2928" s="1" t="s">
        <v>1322</v>
      </c>
      <c r="G2928" s="30" t="s">
        <v>5450</v>
      </c>
      <c r="K2928" s="1" t="s">
        <v>5451</v>
      </c>
      <c r="L2928" s="1" t="s">
        <v>1279</v>
      </c>
      <c r="M2928" s="36" t="s">
        <v>1468</v>
      </c>
      <c r="N2928" s="1" t="s">
        <v>1637</v>
      </c>
      <c r="O2928" s="1" t="s">
        <v>1286</v>
      </c>
      <c r="P2928" s="34" t="str">
        <f t="shared" si="57"/>
        <v>F010</v>
      </c>
      <c r="Q2928" s="1" t="s">
        <v>127</v>
      </c>
      <c r="S2928" s="16">
        <v>20</v>
      </c>
      <c r="T2928" s="1" t="s">
        <v>3523</v>
      </c>
      <c r="U2928" s="1" t="s">
        <v>1463</v>
      </c>
      <c r="V2928" s="1" t="s">
        <v>1465</v>
      </c>
      <c r="Y2928" s="1">
        <v>6644</v>
      </c>
      <c r="AB2928" s="1">
        <v>2980.61</v>
      </c>
    </row>
    <row r="2929" spans="2:28" x14ac:dyDescent="0.2">
      <c r="B2929" s="30" t="s">
        <v>2294</v>
      </c>
      <c r="C2929" s="36"/>
      <c r="D2929" s="36"/>
      <c r="F2929" s="1" t="s">
        <v>3524</v>
      </c>
      <c r="G2929" s="30" t="s">
        <v>5450</v>
      </c>
      <c r="K2929" s="1" t="s">
        <v>5452</v>
      </c>
      <c r="L2929" s="1" t="s">
        <v>1279</v>
      </c>
      <c r="M2929" s="36" t="s">
        <v>1468</v>
      </c>
      <c r="N2929" s="1" t="s">
        <v>2925</v>
      </c>
      <c r="O2929" s="1" t="s">
        <v>1286</v>
      </c>
      <c r="P2929" s="34" t="str">
        <f t="shared" ref="P2929:P2992" si="58">+LEFT(Q2929,4)</f>
        <v>F010</v>
      </c>
      <c r="Q2929" s="1" t="s">
        <v>137</v>
      </c>
      <c r="S2929" s="16">
        <v>20</v>
      </c>
      <c r="T2929" s="1" t="s">
        <v>2299</v>
      </c>
      <c r="U2929" s="1" t="s">
        <v>1463</v>
      </c>
      <c r="V2929" s="1" t="s">
        <v>1465</v>
      </c>
      <c r="Y2929" s="1">
        <v>2468.38</v>
      </c>
      <c r="AB2929" s="1">
        <v>1107.3800000000001</v>
      </c>
    </row>
    <row r="2930" spans="2:28" x14ac:dyDescent="0.2">
      <c r="B2930" s="30" t="s">
        <v>2294</v>
      </c>
      <c r="C2930" s="36"/>
      <c r="D2930" s="36"/>
      <c r="F2930" s="1" t="s">
        <v>1322</v>
      </c>
      <c r="G2930" s="30" t="s">
        <v>5450</v>
      </c>
      <c r="K2930" s="1" t="s">
        <v>5453</v>
      </c>
      <c r="L2930" s="1" t="s">
        <v>1279</v>
      </c>
      <c r="M2930" s="36" t="s">
        <v>1468</v>
      </c>
      <c r="N2930" s="1" t="s">
        <v>1637</v>
      </c>
      <c r="O2930" s="1" t="s">
        <v>1286</v>
      </c>
      <c r="P2930" s="34" t="str">
        <f t="shared" si="58"/>
        <v>F010</v>
      </c>
      <c r="Q2930" s="1" t="s">
        <v>127</v>
      </c>
      <c r="S2930" s="16">
        <v>20</v>
      </c>
      <c r="T2930" s="1" t="s">
        <v>3119</v>
      </c>
      <c r="U2930" s="1" t="s">
        <v>1463</v>
      </c>
      <c r="V2930" s="1" t="s">
        <v>1465</v>
      </c>
      <c r="Y2930" s="1">
        <v>6644</v>
      </c>
      <c r="AB2930" s="1">
        <v>2980.61</v>
      </c>
    </row>
    <row r="2931" spans="2:28" x14ac:dyDescent="0.2">
      <c r="B2931" s="30" t="s">
        <v>2294</v>
      </c>
      <c r="C2931" s="36"/>
      <c r="D2931" s="36"/>
      <c r="F2931" s="1" t="s">
        <v>3120</v>
      </c>
      <c r="G2931" s="30" t="s">
        <v>5450</v>
      </c>
      <c r="K2931" s="1" t="s">
        <v>5454</v>
      </c>
      <c r="L2931" s="1" t="s">
        <v>1279</v>
      </c>
      <c r="M2931" s="36" t="s">
        <v>1468</v>
      </c>
      <c r="N2931" s="1" t="s">
        <v>1637</v>
      </c>
      <c r="O2931" s="1" t="s">
        <v>1286</v>
      </c>
      <c r="P2931" s="34" t="str">
        <f t="shared" si="58"/>
        <v>F010</v>
      </c>
      <c r="Q2931" s="1" t="s">
        <v>127</v>
      </c>
      <c r="S2931" s="16">
        <v>20</v>
      </c>
      <c r="T2931" s="1" t="s">
        <v>2299</v>
      </c>
      <c r="U2931" s="1" t="s">
        <v>1463</v>
      </c>
      <c r="V2931" s="1" t="s">
        <v>1465</v>
      </c>
      <c r="Y2931" s="1">
        <v>6644</v>
      </c>
      <c r="AB2931" s="1">
        <v>2980.61</v>
      </c>
    </row>
    <row r="2932" spans="2:28" x14ac:dyDescent="0.2">
      <c r="B2932" s="30" t="s">
        <v>2294</v>
      </c>
      <c r="C2932" s="36"/>
      <c r="D2932" s="36"/>
      <c r="F2932" s="1" t="s">
        <v>1322</v>
      </c>
      <c r="G2932" s="30" t="s">
        <v>5450</v>
      </c>
      <c r="K2932" s="1" t="s">
        <v>5455</v>
      </c>
      <c r="L2932" s="1" t="s">
        <v>1279</v>
      </c>
      <c r="M2932" s="36" t="s">
        <v>1468</v>
      </c>
      <c r="N2932" s="1" t="s">
        <v>1637</v>
      </c>
      <c r="O2932" s="1" t="s">
        <v>1286</v>
      </c>
      <c r="P2932" s="34" t="str">
        <f t="shared" si="58"/>
        <v>F010</v>
      </c>
      <c r="Q2932" s="1" t="s">
        <v>127</v>
      </c>
      <c r="S2932" s="16">
        <v>20</v>
      </c>
      <c r="T2932" s="1" t="s">
        <v>4337</v>
      </c>
      <c r="U2932" s="1" t="s">
        <v>1463</v>
      </c>
      <c r="V2932" s="1" t="s">
        <v>1465</v>
      </c>
      <c r="Y2932" s="1">
        <v>6644</v>
      </c>
      <c r="AB2932" s="1">
        <v>2980.61</v>
      </c>
    </row>
    <row r="2933" spans="2:28" x14ac:dyDescent="0.2">
      <c r="B2933" s="30" t="s">
        <v>2294</v>
      </c>
      <c r="C2933" s="36"/>
      <c r="D2933" s="36"/>
      <c r="F2933" s="1" t="s">
        <v>4338</v>
      </c>
      <c r="G2933" s="30" t="s">
        <v>5450</v>
      </c>
      <c r="K2933" s="1" t="s">
        <v>5456</v>
      </c>
      <c r="L2933" s="1" t="s">
        <v>1279</v>
      </c>
      <c r="M2933" s="36" t="s">
        <v>1468</v>
      </c>
      <c r="N2933" s="1" t="s">
        <v>2925</v>
      </c>
      <c r="O2933" s="1" t="s">
        <v>1286</v>
      </c>
      <c r="P2933" s="34" t="str">
        <f t="shared" si="58"/>
        <v>F010</v>
      </c>
      <c r="Q2933" s="1" t="s">
        <v>137</v>
      </c>
      <c r="S2933" s="16">
        <v>20</v>
      </c>
      <c r="T2933" s="1" t="s">
        <v>2299</v>
      </c>
      <c r="U2933" s="1" t="s">
        <v>1463</v>
      </c>
      <c r="V2933" s="1" t="s">
        <v>1465</v>
      </c>
      <c r="Y2933" s="1">
        <v>2306.84</v>
      </c>
      <c r="AB2933" s="1">
        <v>1034.8900000000001</v>
      </c>
    </row>
    <row r="2934" spans="2:28" x14ac:dyDescent="0.2">
      <c r="B2934" s="30" t="s">
        <v>2294</v>
      </c>
      <c r="C2934" s="36"/>
      <c r="D2934" s="36"/>
      <c r="F2934" s="1" t="s">
        <v>1322</v>
      </c>
      <c r="G2934" s="30" t="s">
        <v>5450</v>
      </c>
      <c r="K2934" s="1" t="s">
        <v>5457</v>
      </c>
      <c r="L2934" s="1" t="s">
        <v>1279</v>
      </c>
      <c r="M2934" s="36" t="s">
        <v>1468</v>
      </c>
      <c r="N2934" s="1" t="s">
        <v>2925</v>
      </c>
      <c r="O2934" s="1" t="s">
        <v>1286</v>
      </c>
      <c r="P2934" s="34" t="str">
        <f t="shared" si="58"/>
        <v>F010</v>
      </c>
      <c r="Q2934" s="1" t="s">
        <v>137</v>
      </c>
      <c r="S2934" s="16">
        <v>20</v>
      </c>
      <c r="T2934" s="1" t="s">
        <v>3097</v>
      </c>
      <c r="U2934" s="1" t="s">
        <v>1463</v>
      </c>
      <c r="V2934" s="1" t="s">
        <v>1465</v>
      </c>
      <c r="Y2934" s="1">
        <v>2306.84</v>
      </c>
      <c r="AB2934" s="1">
        <v>1034.8900000000001</v>
      </c>
    </row>
    <row r="2935" spans="2:28" x14ac:dyDescent="0.2">
      <c r="B2935" s="30" t="s">
        <v>2294</v>
      </c>
      <c r="C2935" s="36"/>
      <c r="D2935" s="36"/>
      <c r="F2935" s="1" t="s">
        <v>3098</v>
      </c>
      <c r="G2935" s="30" t="s">
        <v>5450</v>
      </c>
      <c r="K2935" s="1" t="s">
        <v>5458</v>
      </c>
      <c r="L2935" s="1" t="s">
        <v>1279</v>
      </c>
      <c r="M2935" s="36" t="s">
        <v>1468</v>
      </c>
      <c r="N2935" s="1" t="s">
        <v>1637</v>
      </c>
      <c r="O2935" s="1" t="s">
        <v>1286</v>
      </c>
      <c r="P2935" s="34" t="str">
        <f t="shared" si="58"/>
        <v>F010</v>
      </c>
      <c r="Q2935" s="1" t="s">
        <v>127</v>
      </c>
      <c r="S2935" s="16">
        <v>20</v>
      </c>
      <c r="T2935" s="1" t="s">
        <v>2299</v>
      </c>
      <c r="U2935" s="1" t="s">
        <v>1463</v>
      </c>
      <c r="V2935" s="1" t="s">
        <v>1465</v>
      </c>
      <c r="Y2935" s="1">
        <v>6644</v>
      </c>
      <c r="AB2935" s="1">
        <v>2980.61</v>
      </c>
    </row>
    <row r="2936" spans="2:28" x14ac:dyDescent="0.2">
      <c r="B2936" s="30" t="s">
        <v>2294</v>
      </c>
      <c r="C2936" s="36"/>
      <c r="D2936" s="36"/>
      <c r="F2936" s="1" t="s">
        <v>1322</v>
      </c>
      <c r="G2936" s="30" t="s">
        <v>5450</v>
      </c>
      <c r="K2936" s="1" t="s">
        <v>5459</v>
      </c>
      <c r="L2936" s="1" t="s">
        <v>1279</v>
      </c>
      <c r="M2936" s="36" t="s">
        <v>1468</v>
      </c>
      <c r="N2936" s="1" t="s">
        <v>2925</v>
      </c>
      <c r="O2936" s="1" t="s">
        <v>1286</v>
      </c>
      <c r="P2936" s="34" t="str">
        <f t="shared" si="58"/>
        <v>F010</v>
      </c>
      <c r="Q2936" s="1" t="s">
        <v>137</v>
      </c>
      <c r="S2936" s="16">
        <v>20</v>
      </c>
      <c r="T2936" s="1" t="s">
        <v>5460</v>
      </c>
      <c r="U2936" s="1" t="s">
        <v>1463</v>
      </c>
      <c r="V2936" s="1" t="s">
        <v>1465</v>
      </c>
      <c r="Y2936" s="1">
        <v>2392.3000000000002</v>
      </c>
      <c r="AB2936" s="1">
        <v>1073.21</v>
      </c>
    </row>
    <row r="2937" spans="2:28" x14ac:dyDescent="0.2">
      <c r="B2937" s="30" t="s">
        <v>2294</v>
      </c>
      <c r="C2937" s="36"/>
      <c r="D2937" s="36"/>
      <c r="F2937" s="1" t="s">
        <v>5461</v>
      </c>
      <c r="G2937" s="30" t="s">
        <v>5450</v>
      </c>
      <c r="K2937" s="1" t="s">
        <v>5462</v>
      </c>
      <c r="L2937" s="1" t="s">
        <v>1279</v>
      </c>
      <c r="M2937" s="36" t="s">
        <v>1468</v>
      </c>
      <c r="N2937" s="1" t="s">
        <v>2925</v>
      </c>
      <c r="O2937" s="1" t="s">
        <v>1286</v>
      </c>
      <c r="P2937" s="34" t="str">
        <f t="shared" si="58"/>
        <v>F010</v>
      </c>
      <c r="Q2937" s="1" t="s">
        <v>137</v>
      </c>
      <c r="S2937" s="16">
        <v>20</v>
      </c>
      <c r="T2937" s="1" t="s">
        <v>2299</v>
      </c>
      <c r="U2937" s="1" t="s">
        <v>1463</v>
      </c>
      <c r="V2937" s="1" t="s">
        <v>1465</v>
      </c>
      <c r="Y2937" s="1">
        <v>2392.31</v>
      </c>
      <c r="AB2937" s="1">
        <v>1073.21</v>
      </c>
    </row>
    <row r="2938" spans="2:28" x14ac:dyDescent="0.2">
      <c r="B2938" s="30" t="s">
        <v>2294</v>
      </c>
      <c r="C2938" s="36"/>
      <c r="D2938" s="36"/>
      <c r="F2938" s="1" t="s">
        <v>1322</v>
      </c>
      <c r="G2938" s="30" t="s">
        <v>5450</v>
      </c>
      <c r="K2938" s="1" t="s">
        <v>5463</v>
      </c>
      <c r="L2938" s="1" t="s">
        <v>1279</v>
      </c>
      <c r="M2938" s="36" t="s">
        <v>1468</v>
      </c>
      <c r="N2938" s="1" t="s">
        <v>1637</v>
      </c>
      <c r="O2938" s="1" t="s">
        <v>1286</v>
      </c>
      <c r="P2938" s="34" t="str">
        <f t="shared" si="58"/>
        <v>F010</v>
      </c>
      <c r="Q2938" s="1" t="s">
        <v>127</v>
      </c>
      <c r="S2938" s="16">
        <v>20</v>
      </c>
      <c r="T2938" s="1" t="s">
        <v>3280</v>
      </c>
      <c r="U2938" s="1" t="s">
        <v>1463</v>
      </c>
      <c r="V2938" s="1" t="s">
        <v>1465</v>
      </c>
      <c r="Y2938" s="1">
        <v>6644</v>
      </c>
      <c r="AB2938" s="1">
        <v>2980.61</v>
      </c>
    </row>
    <row r="2939" spans="2:28" x14ac:dyDescent="0.2">
      <c r="B2939" s="30" t="s">
        <v>2294</v>
      </c>
      <c r="C2939" s="36"/>
      <c r="D2939" s="36"/>
      <c r="F2939" s="1" t="s">
        <v>3281</v>
      </c>
      <c r="G2939" s="30" t="s">
        <v>5450</v>
      </c>
      <c r="K2939" s="1" t="s">
        <v>5464</v>
      </c>
      <c r="L2939" s="1" t="s">
        <v>1279</v>
      </c>
      <c r="M2939" s="36" t="s">
        <v>2014</v>
      </c>
      <c r="N2939" s="1" t="s">
        <v>1806</v>
      </c>
      <c r="O2939" s="1" t="s">
        <v>1286</v>
      </c>
      <c r="P2939" s="34" t="str">
        <f t="shared" si="58"/>
        <v>F010</v>
      </c>
      <c r="Q2939" s="1" t="s">
        <v>127</v>
      </c>
      <c r="S2939" s="16">
        <v>20</v>
      </c>
      <c r="T2939" s="1" t="s">
        <v>2299</v>
      </c>
      <c r="U2939" s="1" t="s">
        <v>1334</v>
      </c>
      <c r="V2939" s="1" t="s">
        <v>1377</v>
      </c>
      <c r="Y2939" s="1">
        <v>3193.5</v>
      </c>
      <c r="AB2939" s="1">
        <v>1853.98</v>
      </c>
    </row>
    <row r="2940" spans="2:28" x14ac:dyDescent="0.2">
      <c r="B2940" s="30" t="s">
        <v>2294</v>
      </c>
      <c r="C2940" s="36"/>
      <c r="D2940" s="36"/>
      <c r="F2940" s="1" t="s">
        <v>1322</v>
      </c>
      <c r="G2940" s="30" t="s">
        <v>5450</v>
      </c>
      <c r="K2940" s="1" t="s">
        <v>5465</v>
      </c>
      <c r="L2940" s="1" t="s">
        <v>1279</v>
      </c>
      <c r="M2940" s="36" t="s">
        <v>2014</v>
      </c>
      <c r="N2940" s="1" t="s">
        <v>1806</v>
      </c>
      <c r="O2940" s="1" t="s">
        <v>1286</v>
      </c>
      <c r="P2940" s="34" t="str">
        <f t="shared" si="58"/>
        <v>F010</v>
      </c>
      <c r="Q2940" s="1" t="s">
        <v>127</v>
      </c>
      <c r="S2940" s="16">
        <v>20</v>
      </c>
      <c r="T2940" s="1" t="s">
        <v>3708</v>
      </c>
      <c r="U2940" s="1" t="s">
        <v>1334</v>
      </c>
      <c r="V2940" s="1" t="s">
        <v>1377</v>
      </c>
      <c r="Y2940" s="1">
        <v>3193.5</v>
      </c>
      <c r="AB2940" s="1">
        <v>1853.98</v>
      </c>
    </row>
    <row r="2941" spans="2:28" x14ac:dyDescent="0.2">
      <c r="B2941" s="30" t="s">
        <v>2294</v>
      </c>
      <c r="C2941" s="36"/>
      <c r="D2941" s="36"/>
      <c r="F2941" s="1" t="s">
        <v>1384</v>
      </c>
      <c r="G2941" s="30" t="s">
        <v>5466</v>
      </c>
      <c r="K2941" s="1" t="s">
        <v>5467</v>
      </c>
      <c r="L2941" s="1" t="s">
        <v>1279</v>
      </c>
      <c r="M2941" s="36" t="s">
        <v>1329</v>
      </c>
      <c r="N2941" s="1" t="s">
        <v>1287</v>
      </c>
      <c r="O2941" s="1" t="s">
        <v>1286</v>
      </c>
      <c r="P2941" s="34" t="str">
        <f t="shared" si="58"/>
        <v>F010</v>
      </c>
      <c r="Q2941" s="1" t="s">
        <v>138</v>
      </c>
      <c r="S2941" s="16">
        <v>20</v>
      </c>
      <c r="T2941" s="1" t="s">
        <v>3708</v>
      </c>
      <c r="U2941" s="1" t="s">
        <v>2528</v>
      </c>
      <c r="V2941" s="1" t="s">
        <v>2014</v>
      </c>
      <c r="Y2941" s="1">
        <v>294700</v>
      </c>
      <c r="AB2941" s="1">
        <v>279965</v>
      </c>
    </row>
    <row r="2942" spans="2:28" x14ac:dyDescent="0.2">
      <c r="B2942" s="30" t="s">
        <v>2294</v>
      </c>
      <c r="C2942" s="36"/>
      <c r="D2942" s="36"/>
      <c r="F2942" s="1" t="s">
        <v>1384</v>
      </c>
      <c r="G2942" s="30" t="s">
        <v>5468</v>
      </c>
      <c r="K2942" s="1" t="s">
        <v>5469</v>
      </c>
      <c r="L2942" s="1" t="s">
        <v>1279</v>
      </c>
      <c r="M2942" s="36" t="s">
        <v>2072</v>
      </c>
      <c r="N2942" s="1" t="s">
        <v>1287</v>
      </c>
      <c r="O2942" s="1" t="s">
        <v>1286</v>
      </c>
      <c r="P2942" s="34" t="str">
        <f t="shared" si="58"/>
        <v>F010</v>
      </c>
      <c r="Q2942" s="1" t="s">
        <v>138</v>
      </c>
      <c r="S2942" s="16">
        <v>20</v>
      </c>
      <c r="T2942" s="1" t="s">
        <v>3498</v>
      </c>
      <c r="U2942" s="1" t="s">
        <v>1686</v>
      </c>
      <c r="V2942" s="1" t="s">
        <v>1574</v>
      </c>
      <c r="Y2942" s="1">
        <v>51282.06</v>
      </c>
      <c r="AB2942" s="1">
        <v>17435.21</v>
      </c>
    </row>
    <row r="2943" spans="2:28" x14ac:dyDescent="0.2">
      <c r="B2943" s="30" t="s">
        <v>2294</v>
      </c>
      <c r="C2943" s="36"/>
      <c r="D2943" s="36"/>
      <c r="F2943" s="1" t="s">
        <v>3499</v>
      </c>
      <c r="G2943" s="30" t="s">
        <v>5468</v>
      </c>
      <c r="K2943" s="1" t="s">
        <v>5470</v>
      </c>
      <c r="L2943" s="1" t="s">
        <v>1279</v>
      </c>
      <c r="M2943" s="36" t="s">
        <v>2072</v>
      </c>
      <c r="N2943" s="1" t="s">
        <v>1287</v>
      </c>
      <c r="O2943" s="1" t="s">
        <v>1286</v>
      </c>
      <c r="P2943" s="34" t="str">
        <f t="shared" si="58"/>
        <v>F010</v>
      </c>
      <c r="Q2943" s="1" t="s">
        <v>138</v>
      </c>
      <c r="S2943" s="16">
        <v>20</v>
      </c>
      <c r="T2943" s="1" t="s">
        <v>2299</v>
      </c>
      <c r="U2943" s="1" t="s">
        <v>1686</v>
      </c>
      <c r="V2943" s="1" t="s">
        <v>1574</v>
      </c>
      <c r="Y2943" s="1">
        <v>51282.05</v>
      </c>
      <c r="AB2943" s="1">
        <v>17435.21</v>
      </c>
    </row>
    <row r="2944" spans="2:28" x14ac:dyDescent="0.2">
      <c r="B2944" s="30" t="s">
        <v>2294</v>
      </c>
      <c r="C2944" s="36"/>
      <c r="D2944" s="36"/>
      <c r="F2944" s="1" t="s">
        <v>1322</v>
      </c>
      <c r="G2944" s="30" t="s">
        <v>5471</v>
      </c>
      <c r="K2944" s="1" t="s">
        <v>5472</v>
      </c>
      <c r="L2944" s="1" t="s">
        <v>1279</v>
      </c>
      <c r="M2944" s="36" t="s">
        <v>2343</v>
      </c>
      <c r="N2944" s="1" t="s">
        <v>1287</v>
      </c>
      <c r="O2944" s="1" t="s">
        <v>1286</v>
      </c>
      <c r="P2944" s="34" t="str">
        <f t="shared" si="58"/>
        <v>F010</v>
      </c>
      <c r="Q2944" s="1" t="s">
        <v>127</v>
      </c>
      <c r="S2944" s="16">
        <v>20</v>
      </c>
      <c r="T2944" s="1" t="s">
        <v>3577</v>
      </c>
      <c r="U2944" s="1" t="s">
        <v>1375</v>
      </c>
      <c r="V2944" s="1" t="s">
        <v>2197</v>
      </c>
      <c r="Y2944" s="1">
        <v>49000</v>
      </c>
      <c r="AB2944" s="1">
        <v>46550</v>
      </c>
    </row>
    <row r="2945" spans="2:28" x14ac:dyDescent="0.2">
      <c r="B2945" s="30" t="s">
        <v>2294</v>
      </c>
      <c r="C2945" s="36"/>
      <c r="D2945" s="36"/>
      <c r="F2945" s="1" t="s">
        <v>3578</v>
      </c>
      <c r="G2945" s="30" t="s">
        <v>5473</v>
      </c>
      <c r="K2945" s="1" t="s">
        <v>5474</v>
      </c>
      <c r="L2945" s="1" t="s">
        <v>1279</v>
      </c>
      <c r="M2945" s="36" t="s">
        <v>2023</v>
      </c>
      <c r="N2945" s="1" t="s">
        <v>1283</v>
      </c>
      <c r="O2945" s="1" t="s">
        <v>1286</v>
      </c>
      <c r="P2945" s="34" t="str">
        <f t="shared" si="58"/>
        <v>F010</v>
      </c>
      <c r="Q2945" s="1" t="s">
        <v>137</v>
      </c>
      <c r="S2945" s="16">
        <v>20</v>
      </c>
      <c r="T2945" s="1" t="s">
        <v>2299</v>
      </c>
      <c r="U2945" s="1" t="s">
        <v>1453</v>
      </c>
      <c r="V2945" s="1" t="s">
        <v>1794</v>
      </c>
      <c r="Y2945" s="1">
        <v>11390</v>
      </c>
      <c r="AB2945" s="1">
        <v>10820.5</v>
      </c>
    </row>
    <row r="2946" spans="2:28" x14ac:dyDescent="0.2">
      <c r="B2946" s="30" t="s">
        <v>2294</v>
      </c>
      <c r="C2946" s="36"/>
      <c r="D2946" s="36"/>
      <c r="F2946" s="1" t="s">
        <v>1322</v>
      </c>
      <c r="G2946" s="30" t="s">
        <v>5473</v>
      </c>
      <c r="K2946" s="1" t="s">
        <v>5475</v>
      </c>
      <c r="L2946" s="1" t="s">
        <v>1279</v>
      </c>
      <c r="M2946" s="36" t="s">
        <v>2023</v>
      </c>
      <c r="N2946" s="1" t="s">
        <v>1283</v>
      </c>
      <c r="O2946" s="1" t="s">
        <v>1286</v>
      </c>
      <c r="P2946" s="34" t="str">
        <f t="shared" si="58"/>
        <v>F010</v>
      </c>
      <c r="Q2946" s="1" t="s">
        <v>137</v>
      </c>
      <c r="S2946" s="16">
        <v>20</v>
      </c>
      <c r="T2946" s="1" t="s">
        <v>5476</v>
      </c>
      <c r="U2946" s="1" t="s">
        <v>1453</v>
      </c>
      <c r="V2946" s="1" t="s">
        <v>1794</v>
      </c>
      <c r="Y2946" s="1">
        <v>11390</v>
      </c>
      <c r="AB2946" s="1">
        <v>10820.5</v>
      </c>
    </row>
    <row r="2947" spans="2:28" x14ac:dyDescent="0.2">
      <c r="B2947" s="30" t="s">
        <v>2294</v>
      </c>
      <c r="C2947" s="36"/>
      <c r="D2947" s="36"/>
      <c r="F2947" s="1" t="s">
        <v>5477</v>
      </c>
      <c r="G2947" s="30" t="s">
        <v>5478</v>
      </c>
      <c r="K2947" s="1" t="s">
        <v>5479</v>
      </c>
      <c r="L2947" s="1" t="s">
        <v>1279</v>
      </c>
      <c r="M2947" s="36" t="s">
        <v>1334</v>
      </c>
      <c r="N2947" s="1" t="s">
        <v>1287</v>
      </c>
      <c r="O2947" s="1" t="s">
        <v>1286</v>
      </c>
      <c r="P2947" s="34" t="str">
        <f t="shared" si="58"/>
        <v>F010</v>
      </c>
      <c r="Q2947" s="1" t="s">
        <v>138</v>
      </c>
      <c r="S2947" s="16">
        <v>20</v>
      </c>
      <c r="T2947" s="1" t="s">
        <v>2299</v>
      </c>
      <c r="U2947" s="1" t="s">
        <v>1535</v>
      </c>
      <c r="V2947" s="1" t="s">
        <v>2553</v>
      </c>
      <c r="Y2947" s="1">
        <v>13247.87</v>
      </c>
      <c r="AB2947" s="1">
        <v>7341.56</v>
      </c>
    </row>
    <row r="2948" spans="2:28" x14ac:dyDescent="0.2">
      <c r="B2948" s="30" t="s">
        <v>2294</v>
      </c>
      <c r="C2948" s="36"/>
      <c r="D2948" s="36"/>
      <c r="F2948" s="1" t="s">
        <v>1322</v>
      </c>
      <c r="G2948" s="30" t="s">
        <v>5478</v>
      </c>
      <c r="K2948" s="1" t="s">
        <v>5480</v>
      </c>
      <c r="L2948" s="1" t="s">
        <v>1279</v>
      </c>
      <c r="M2948" s="36" t="s">
        <v>1334</v>
      </c>
      <c r="N2948" s="1" t="s">
        <v>1287</v>
      </c>
      <c r="O2948" s="1" t="s">
        <v>1286</v>
      </c>
      <c r="P2948" s="34" t="str">
        <f t="shared" si="58"/>
        <v>F010</v>
      </c>
      <c r="Q2948" s="1" t="s">
        <v>138</v>
      </c>
      <c r="S2948" s="16">
        <v>20</v>
      </c>
      <c r="T2948" s="1" t="s">
        <v>3441</v>
      </c>
      <c r="U2948" s="1" t="s">
        <v>1535</v>
      </c>
      <c r="V2948" s="1" t="s">
        <v>2553</v>
      </c>
      <c r="Y2948" s="1">
        <v>13247.86</v>
      </c>
      <c r="AB2948" s="1">
        <v>7341.55</v>
      </c>
    </row>
    <row r="2949" spans="2:28" x14ac:dyDescent="0.2">
      <c r="B2949" s="30" t="s">
        <v>2294</v>
      </c>
      <c r="C2949" s="36"/>
      <c r="D2949" s="36"/>
      <c r="F2949" s="1" t="s">
        <v>3442</v>
      </c>
      <c r="G2949" s="30" t="s">
        <v>5478</v>
      </c>
      <c r="K2949" s="1" t="s">
        <v>5481</v>
      </c>
      <c r="L2949" s="1" t="s">
        <v>1279</v>
      </c>
      <c r="M2949" s="36" t="s">
        <v>1415</v>
      </c>
      <c r="N2949" s="1" t="s">
        <v>1283</v>
      </c>
      <c r="O2949" s="1" t="s">
        <v>1286</v>
      </c>
      <c r="P2949" s="34" t="str">
        <f t="shared" si="58"/>
        <v>F010</v>
      </c>
      <c r="Q2949" s="1" t="s">
        <v>138</v>
      </c>
      <c r="S2949" s="16">
        <v>20</v>
      </c>
      <c r="T2949" s="1" t="s">
        <v>2299</v>
      </c>
      <c r="U2949" s="1" t="s">
        <v>2023</v>
      </c>
      <c r="V2949" s="1" t="s">
        <v>1805</v>
      </c>
      <c r="Y2949" s="1">
        <v>34163</v>
      </c>
      <c r="AB2949" s="1">
        <v>32454.85</v>
      </c>
    </row>
    <row r="2950" spans="2:28" x14ac:dyDescent="0.2">
      <c r="B2950" s="30" t="s">
        <v>2294</v>
      </c>
      <c r="C2950" s="36"/>
      <c r="D2950" s="36"/>
      <c r="F2950" s="1" t="s">
        <v>1322</v>
      </c>
      <c r="G2950" s="30" t="s">
        <v>5478</v>
      </c>
      <c r="K2950" s="1" t="s">
        <v>5482</v>
      </c>
      <c r="L2950" s="1" t="s">
        <v>1279</v>
      </c>
      <c r="M2950" s="36" t="s">
        <v>1557</v>
      </c>
      <c r="N2950" s="1" t="s">
        <v>1284</v>
      </c>
      <c r="O2950" s="1" t="s">
        <v>1286</v>
      </c>
      <c r="P2950" s="34" t="str">
        <f t="shared" si="58"/>
        <v>F010</v>
      </c>
      <c r="Q2950" s="1" t="s">
        <v>138</v>
      </c>
      <c r="S2950" s="16">
        <v>20</v>
      </c>
      <c r="T2950" s="1" t="s">
        <v>4337</v>
      </c>
      <c r="U2950" s="1" t="s">
        <v>1436</v>
      </c>
      <c r="V2950" s="1" t="s">
        <v>1686</v>
      </c>
      <c r="Y2950" s="1">
        <v>82750</v>
      </c>
      <c r="AB2950" s="1">
        <v>78612.5</v>
      </c>
    </row>
    <row r="2951" spans="2:28" x14ac:dyDescent="0.2">
      <c r="B2951" s="30" t="s">
        <v>2294</v>
      </c>
      <c r="C2951" s="36"/>
      <c r="D2951" s="36"/>
      <c r="F2951" s="1" t="s">
        <v>4338</v>
      </c>
      <c r="G2951" s="30" t="s">
        <v>5478</v>
      </c>
      <c r="K2951" s="1" t="s">
        <v>5483</v>
      </c>
      <c r="L2951" s="1" t="s">
        <v>1279</v>
      </c>
      <c r="M2951" s="36" t="s">
        <v>1557</v>
      </c>
      <c r="N2951" s="1" t="s">
        <v>1284</v>
      </c>
      <c r="O2951" s="1" t="s">
        <v>1286</v>
      </c>
      <c r="P2951" s="34" t="str">
        <f t="shared" si="58"/>
        <v>F010</v>
      </c>
      <c r="Q2951" s="1" t="s">
        <v>138</v>
      </c>
      <c r="S2951" s="16">
        <v>20</v>
      </c>
      <c r="T2951" s="1" t="s">
        <v>2299</v>
      </c>
      <c r="U2951" s="1" t="s">
        <v>1436</v>
      </c>
      <c r="V2951" s="1" t="s">
        <v>1686</v>
      </c>
      <c r="Y2951" s="1">
        <v>82750</v>
      </c>
      <c r="AB2951" s="1">
        <v>78612.5</v>
      </c>
    </row>
    <row r="2952" spans="2:28" x14ac:dyDescent="0.2">
      <c r="B2952" s="30" t="s">
        <v>2294</v>
      </c>
      <c r="C2952" s="36"/>
      <c r="D2952" s="36"/>
      <c r="F2952" s="1" t="s">
        <v>1322</v>
      </c>
      <c r="G2952" s="30" t="s">
        <v>5484</v>
      </c>
      <c r="K2952" s="1" t="s">
        <v>5485</v>
      </c>
      <c r="L2952" s="1" t="s">
        <v>1279</v>
      </c>
      <c r="M2952" s="36" t="s">
        <v>2236</v>
      </c>
      <c r="N2952" s="1" t="s">
        <v>1287</v>
      </c>
      <c r="O2952" s="1" t="s">
        <v>1286</v>
      </c>
      <c r="P2952" s="34" t="str">
        <f t="shared" si="58"/>
        <v>F010</v>
      </c>
      <c r="Q2952" s="1" t="s">
        <v>138</v>
      </c>
      <c r="S2952" s="16">
        <v>20</v>
      </c>
      <c r="T2952" s="1" t="s">
        <v>3825</v>
      </c>
      <c r="U2952" s="1" t="s">
        <v>2141</v>
      </c>
      <c r="V2952" s="1" t="s">
        <v>1840</v>
      </c>
      <c r="Y2952" s="1">
        <v>890000</v>
      </c>
      <c r="AB2952" s="1">
        <v>845500</v>
      </c>
    </row>
    <row r="2953" spans="2:28" x14ac:dyDescent="0.2">
      <c r="B2953" s="30" t="s">
        <v>2294</v>
      </c>
      <c r="C2953" s="36"/>
      <c r="D2953" s="36"/>
      <c r="F2953" s="1" t="s">
        <v>3826</v>
      </c>
      <c r="G2953" s="30" t="s">
        <v>5484</v>
      </c>
      <c r="K2953" s="1" t="s">
        <v>5486</v>
      </c>
      <c r="L2953" s="1" t="s">
        <v>1279</v>
      </c>
      <c r="M2953" s="36" t="s">
        <v>2236</v>
      </c>
      <c r="N2953" s="1" t="s">
        <v>1287</v>
      </c>
      <c r="O2953" s="1" t="s">
        <v>1286</v>
      </c>
      <c r="P2953" s="34" t="str">
        <f t="shared" si="58"/>
        <v>F010</v>
      </c>
      <c r="Q2953" s="1" t="s">
        <v>138</v>
      </c>
      <c r="S2953" s="16">
        <v>20</v>
      </c>
      <c r="T2953" s="1" t="s">
        <v>2299</v>
      </c>
      <c r="U2953" s="1" t="s">
        <v>2141</v>
      </c>
      <c r="V2953" s="1" t="s">
        <v>1840</v>
      </c>
      <c r="Y2953" s="1">
        <v>890000</v>
      </c>
      <c r="AB2953" s="1">
        <v>845500</v>
      </c>
    </row>
    <row r="2954" spans="2:28" x14ac:dyDescent="0.2">
      <c r="B2954" s="30" t="s">
        <v>2294</v>
      </c>
      <c r="C2954" s="36"/>
      <c r="D2954" s="36"/>
      <c r="F2954" s="1" t="s">
        <v>1322</v>
      </c>
      <c r="G2954" s="30" t="s">
        <v>5487</v>
      </c>
      <c r="K2954" s="1" t="s">
        <v>5488</v>
      </c>
      <c r="L2954" s="1" t="s">
        <v>1279</v>
      </c>
      <c r="M2954" s="36" t="s">
        <v>2236</v>
      </c>
      <c r="N2954" s="1" t="s">
        <v>1284</v>
      </c>
      <c r="O2954" s="1" t="s">
        <v>1286</v>
      </c>
      <c r="P2954" s="34" t="str">
        <f t="shared" si="58"/>
        <v>F010</v>
      </c>
      <c r="Q2954" s="1" t="s">
        <v>138</v>
      </c>
      <c r="S2954" s="16">
        <v>20</v>
      </c>
      <c r="T2954" s="1" t="s">
        <v>4337</v>
      </c>
      <c r="U2954" s="1" t="s">
        <v>2141</v>
      </c>
      <c r="V2954" s="1" t="s">
        <v>1840</v>
      </c>
      <c r="Y2954" s="1">
        <v>27500</v>
      </c>
      <c r="AB2954" s="1">
        <v>26125</v>
      </c>
    </row>
    <row r="2955" spans="2:28" x14ac:dyDescent="0.2">
      <c r="B2955" s="30" t="s">
        <v>2294</v>
      </c>
      <c r="C2955" s="36"/>
      <c r="D2955" s="36"/>
      <c r="F2955" s="1" t="s">
        <v>4338</v>
      </c>
      <c r="G2955" s="30" t="s">
        <v>5487</v>
      </c>
      <c r="K2955" s="1" t="s">
        <v>5489</v>
      </c>
      <c r="L2955" s="1" t="s">
        <v>1279</v>
      </c>
      <c r="M2955" s="36" t="s">
        <v>2236</v>
      </c>
      <c r="N2955" s="1" t="s">
        <v>1284</v>
      </c>
      <c r="O2955" s="1" t="s">
        <v>1286</v>
      </c>
      <c r="P2955" s="34" t="str">
        <f t="shared" si="58"/>
        <v>F010</v>
      </c>
      <c r="Q2955" s="1" t="s">
        <v>138</v>
      </c>
      <c r="S2955" s="16">
        <v>20</v>
      </c>
      <c r="T2955" s="1" t="s">
        <v>2299</v>
      </c>
      <c r="U2955" s="1" t="s">
        <v>2141</v>
      </c>
      <c r="V2955" s="1" t="s">
        <v>1840</v>
      </c>
      <c r="Y2955" s="1">
        <v>20000</v>
      </c>
      <c r="AB2955" s="1">
        <v>19000</v>
      </c>
    </row>
    <row r="2956" spans="2:28" x14ac:dyDescent="0.2">
      <c r="B2956" s="30" t="s">
        <v>2294</v>
      </c>
      <c r="C2956" s="36"/>
      <c r="D2956" s="36"/>
      <c r="F2956" s="1" t="s">
        <v>1322</v>
      </c>
      <c r="G2956" s="30" t="s">
        <v>5487</v>
      </c>
      <c r="K2956" s="1" t="s">
        <v>5490</v>
      </c>
      <c r="L2956" s="1" t="s">
        <v>1279</v>
      </c>
      <c r="M2956" s="36" t="s">
        <v>2236</v>
      </c>
      <c r="N2956" s="1" t="s">
        <v>1284</v>
      </c>
      <c r="O2956" s="1" t="s">
        <v>1286</v>
      </c>
      <c r="P2956" s="34" t="str">
        <f t="shared" si="58"/>
        <v>F010</v>
      </c>
      <c r="Q2956" s="1" t="s">
        <v>138</v>
      </c>
      <c r="S2956" s="16">
        <v>20</v>
      </c>
      <c r="T2956" s="1" t="s">
        <v>3119</v>
      </c>
      <c r="U2956" s="1" t="s">
        <v>2141</v>
      </c>
      <c r="V2956" s="1" t="s">
        <v>1840</v>
      </c>
      <c r="Y2956" s="1">
        <v>20000</v>
      </c>
      <c r="AB2956" s="1">
        <v>19000</v>
      </c>
    </row>
    <row r="2957" spans="2:28" x14ac:dyDescent="0.2">
      <c r="B2957" s="30" t="s">
        <v>2294</v>
      </c>
      <c r="C2957" s="36"/>
      <c r="D2957" s="36"/>
      <c r="F2957" s="1" t="s">
        <v>3120</v>
      </c>
      <c r="G2957" s="30" t="s">
        <v>5491</v>
      </c>
      <c r="K2957" s="1" t="s">
        <v>5492</v>
      </c>
      <c r="L2957" s="1" t="s">
        <v>1279</v>
      </c>
      <c r="M2957" s="36" t="s">
        <v>2236</v>
      </c>
      <c r="N2957" s="1" t="s">
        <v>1284</v>
      </c>
      <c r="O2957" s="1" t="s">
        <v>1286</v>
      </c>
      <c r="P2957" s="34" t="str">
        <f t="shared" si="58"/>
        <v>F010</v>
      </c>
      <c r="Q2957" s="1" t="s">
        <v>138</v>
      </c>
      <c r="S2957" s="16">
        <v>20</v>
      </c>
      <c r="T2957" s="1" t="s">
        <v>2299</v>
      </c>
      <c r="U2957" s="1" t="s">
        <v>2141</v>
      </c>
      <c r="V2957" s="1" t="s">
        <v>1840</v>
      </c>
      <c r="Y2957" s="1">
        <v>27500</v>
      </c>
      <c r="AB2957" s="1">
        <v>26125</v>
      </c>
    </row>
    <row r="2958" spans="2:28" x14ac:dyDescent="0.2">
      <c r="B2958" s="30" t="s">
        <v>2294</v>
      </c>
      <c r="C2958" s="36"/>
      <c r="D2958" s="36"/>
      <c r="F2958" s="1" t="s">
        <v>1322</v>
      </c>
      <c r="G2958" s="30" t="s">
        <v>5493</v>
      </c>
      <c r="K2958" s="1" t="s">
        <v>5494</v>
      </c>
      <c r="L2958" s="1" t="s">
        <v>1279</v>
      </c>
      <c r="M2958" s="36" t="s">
        <v>2528</v>
      </c>
      <c r="N2958" s="1" t="s">
        <v>1754</v>
      </c>
      <c r="O2958" s="1" t="s">
        <v>1286</v>
      </c>
      <c r="P2958" s="34" t="str">
        <f t="shared" si="58"/>
        <v>F010</v>
      </c>
      <c r="Q2958" s="1" t="s">
        <v>138</v>
      </c>
      <c r="S2958" s="16">
        <v>20</v>
      </c>
      <c r="T2958" s="1" t="s">
        <v>3637</v>
      </c>
      <c r="U2958" s="1" t="s">
        <v>2054</v>
      </c>
      <c r="V2958" s="1" t="s">
        <v>1334</v>
      </c>
      <c r="Y2958" s="1">
        <v>8990</v>
      </c>
      <c r="AB2958" s="1">
        <v>8540.5</v>
      </c>
    </row>
    <row r="2959" spans="2:28" x14ac:dyDescent="0.2">
      <c r="B2959" s="30" t="s">
        <v>2294</v>
      </c>
      <c r="C2959" s="36"/>
      <c r="D2959" s="36"/>
      <c r="F2959" s="1" t="s">
        <v>3638</v>
      </c>
      <c r="G2959" s="30" t="s">
        <v>5493</v>
      </c>
      <c r="K2959" s="1" t="s">
        <v>5495</v>
      </c>
      <c r="L2959" s="1" t="s">
        <v>1279</v>
      </c>
      <c r="M2959" s="36" t="s">
        <v>2528</v>
      </c>
      <c r="N2959" s="1" t="s">
        <v>1754</v>
      </c>
      <c r="O2959" s="1" t="s">
        <v>1286</v>
      </c>
      <c r="P2959" s="34" t="str">
        <f t="shared" si="58"/>
        <v>F010</v>
      </c>
      <c r="Q2959" s="1" t="s">
        <v>138</v>
      </c>
      <c r="S2959" s="16">
        <v>20</v>
      </c>
      <c r="T2959" s="1" t="s">
        <v>2299</v>
      </c>
      <c r="U2959" s="1" t="s">
        <v>2054</v>
      </c>
      <c r="V2959" s="1" t="s">
        <v>1334</v>
      </c>
      <c r="Y2959" s="1">
        <v>8990</v>
      </c>
      <c r="AB2959" s="1">
        <v>8540.5</v>
      </c>
    </row>
    <row r="2960" spans="2:28" x14ac:dyDescent="0.2">
      <c r="B2960" s="30" t="s">
        <v>2294</v>
      </c>
      <c r="C2960" s="36"/>
      <c r="D2960" s="36"/>
      <c r="F2960" s="1" t="s">
        <v>1322</v>
      </c>
      <c r="G2960" s="30" t="s">
        <v>5496</v>
      </c>
      <c r="K2960" s="1" t="s">
        <v>5497</v>
      </c>
      <c r="L2960" s="1" t="s">
        <v>1279</v>
      </c>
      <c r="M2960" s="36" t="s">
        <v>2014</v>
      </c>
      <c r="N2960" s="1" t="s">
        <v>1284</v>
      </c>
      <c r="O2960" s="1" t="s">
        <v>1286</v>
      </c>
      <c r="P2960" s="34" t="str">
        <f t="shared" si="58"/>
        <v>F010</v>
      </c>
      <c r="Q2960" s="1" t="s">
        <v>138</v>
      </c>
      <c r="S2960" s="16">
        <v>20</v>
      </c>
      <c r="T2960" s="1" t="s">
        <v>3280</v>
      </c>
      <c r="U2960" s="1" t="s">
        <v>1334</v>
      </c>
      <c r="V2960" s="1" t="s">
        <v>1377</v>
      </c>
      <c r="Y2960" s="1">
        <v>38064</v>
      </c>
      <c r="AB2960" s="1">
        <v>22098.3</v>
      </c>
    </row>
    <row r="2961" spans="2:28" x14ac:dyDescent="0.2">
      <c r="B2961" s="30" t="s">
        <v>2294</v>
      </c>
      <c r="C2961" s="36"/>
      <c r="D2961" s="36"/>
      <c r="F2961" s="1" t="s">
        <v>3281</v>
      </c>
      <c r="G2961" s="30" t="s">
        <v>5496</v>
      </c>
      <c r="K2961" s="1" t="s">
        <v>5498</v>
      </c>
      <c r="L2961" s="1" t="s">
        <v>1279</v>
      </c>
      <c r="M2961" s="36" t="s">
        <v>1567</v>
      </c>
      <c r="N2961" s="1" t="s">
        <v>1287</v>
      </c>
      <c r="O2961" s="1" t="s">
        <v>1286</v>
      </c>
      <c r="P2961" s="34" t="str">
        <f t="shared" si="58"/>
        <v>F010</v>
      </c>
      <c r="Q2961" s="1" t="s">
        <v>138</v>
      </c>
      <c r="S2961" s="16">
        <v>20</v>
      </c>
      <c r="T2961" s="1" t="s">
        <v>2299</v>
      </c>
      <c r="U2961" s="1" t="s">
        <v>1999</v>
      </c>
      <c r="V2961" s="1" t="s">
        <v>1526</v>
      </c>
      <c r="Y2961" s="1">
        <v>21000</v>
      </c>
      <c r="AB2961" s="1">
        <v>16070.85</v>
      </c>
    </row>
    <row r="2962" spans="2:28" x14ac:dyDescent="0.2">
      <c r="B2962" s="30" t="s">
        <v>2294</v>
      </c>
      <c r="C2962" s="36"/>
      <c r="D2962" s="36"/>
      <c r="F2962" s="1" t="s">
        <v>1322</v>
      </c>
      <c r="G2962" s="30" t="s">
        <v>5496</v>
      </c>
      <c r="K2962" s="1" t="s">
        <v>5499</v>
      </c>
      <c r="L2962" s="1" t="s">
        <v>1279</v>
      </c>
      <c r="M2962" s="36" t="s">
        <v>1567</v>
      </c>
      <c r="N2962" s="1" t="s">
        <v>1284</v>
      </c>
      <c r="O2962" s="1" t="s">
        <v>1286</v>
      </c>
      <c r="P2962" s="34" t="str">
        <f t="shared" si="58"/>
        <v>F010</v>
      </c>
      <c r="Q2962" s="1" t="s">
        <v>138</v>
      </c>
      <c r="S2962" s="16">
        <v>20</v>
      </c>
      <c r="T2962" s="1" t="s">
        <v>3830</v>
      </c>
      <c r="U2962" s="1" t="s">
        <v>1999</v>
      </c>
      <c r="V2962" s="1" t="s">
        <v>1526</v>
      </c>
      <c r="Y2962" s="1">
        <v>39000</v>
      </c>
      <c r="AB2962" s="1">
        <v>29845.85</v>
      </c>
    </row>
    <row r="2963" spans="2:28" x14ac:dyDescent="0.2">
      <c r="B2963" s="30" t="s">
        <v>2294</v>
      </c>
      <c r="C2963" s="36"/>
      <c r="D2963" s="36"/>
      <c r="F2963" s="1" t="s">
        <v>3831</v>
      </c>
      <c r="G2963" s="30" t="s">
        <v>5496</v>
      </c>
      <c r="K2963" s="1" t="s">
        <v>5500</v>
      </c>
      <c r="L2963" s="1" t="s">
        <v>1279</v>
      </c>
      <c r="M2963" s="36" t="s">
        <v>1567</v>
      </c>
      <c r="N2963" s="1" t="s">
        <v>1284</v>
      </c>
      <c r="O2963" s="1" t="s">
        <v>1286</v>
      </c>
      <c r="P2963" s="34" t="str">
        <f t="shared" si="58"/>
        <v>F010</v>
      </c>
      <c r="Q2963" s="1" t="s">
        <v>138</v>
      </c>
      <c r="S2963" s="16">
        <v>20</v>
      </c>
      <c r="T2963" s="1" t="s">
        <v>2299</v>
      </c>
      <c r="U2963" s="1" t="s">
        <v>1999</v>
      </c>
      <c r="V2963" s="1" t="s">
        <v>1526</v>
      </c>
      <c r="Y2963" s="1">
        <v>39000</v>
      </c>
      <c r="AB2963" s="1">
        <v>29845.85</v>
      </c>
    </row>
    <row r="2964" spans="2:28" x14ac:dyDescent="0.2">
      <c r="B2964" s="30" t="s">
        <v>2294</v>
      </c>
      <c r="C2964" s="36"/>
      <c r="D2964" s="36"/>
      <c r="F2964" s="1" t="s">
        <v>1322</v>
      </c>
      <c r="G2964" s="30" t="s">
        <v>5496</v>
      </c>
      <c r="K2964" s="1" t="s">
        <v>5501</v>
      </c>
      <c r="L2964" s="1" t="s">
        <v>1279</v>
      </c>
      <c r="M2964" s="36" t="s">
        <v>1567</v>
      </c>
      <c r="N2964" s="1" t="s">
        <v>1284</v>
      </c>
      <c r="O2964" s="1" t="s">
        <v>1286</v>
      </c>
      <c r="P2964" s="34" t="str">
        <f t="shared" si="58"/>
        <v>F010</v>
      </c>
      <c r="Q2964" s="1" t="s">
        <v>138</v>
      </c>
      <c r="S2964" s="16">
        <v>20</v>
      </c>
      <c r="T2964" s="1" t="s">
        <v>5502</v>
      </c>
      <c r="U2964" s="1" t="s">
        <v>1999</v>
      </c>
      <c r="V2964" s="1" t="s">
        <v>1526</v>
      </c>
      <c r="Y2964" s="1">
        <v>39000</v>
      </c>
      <c r="AB2964" s="1">
        <v>29845.85</v>
      </c>
    </row>
    <row r="2965" spans="2:28" x14ac:dyDescent="0.2">
      <c r="B2965" s="30" t="s">
        <v>2294</v>
      </c>
      <c r="C2965" s="36"/>
      <c r="D2965" s="36"/>
      <c r="F2965" s="1" t="s">
        <v>5503</v>
      </c>
      <c r="G2965" s="30" t="s">
        <v>5496</v>
      </c>
      <c r="K2965" s="1" t="s">
        <v>5504</v>
      </c>
      <c r="L2965" s="1" t="s">
        <v>1279</v>
      </c>
      <c r="M2965" s="36" t="s">
        <v>1567</v>
      </c>
      <c r="N2965" s="1" t="s">
        <v>1284</v>
      </c>
      <c r="O2965" s="1" t="s">
        <v>1286</v>
      </c>
      <c r="P2965" s="34" t="str">
        <f t="shared" si="58"/>
        <v>F010</v>
      </c>
      <c r="Q2965" s="1" t="s">
        <v>138</v>
      </c>
      <c r="S2965" s="16">
        <v>20</v>
      </c>
      <c r="T2965" s="1" t="s">
        <v>2299</v>
      </c>
      <c r="U2965" s="1" t="s">
        <v>1999</v>
      </c>
      <c r="V2965" s="1" t="s">
        <v>1526</v>
      </c>
      <c r="Y2965" s="1">
        <v>39000</v>
      </c>
      <c r="AB2965" s="1">
        <v>29845.85</v>
      </c>
    </row>
    <row r="2966" spans="2:28" x14ac:dyDescent="0.2">
      <c r="B2966" s="30" t="s">
        <v>2294</v>
      </c>
      <c r="C2966" s="36"/>
      <c r="D2966" s="36"/>
      <c r="F2966" s="1" t="s">
        <v>1322</v>
      </c>
      <c r="G2966" s="30" t="s">
        <v>5496</v>
      </c>
      <c r="K2966" s="1" t="s">
        <v>5505</v>
      </c>
      <c r="L2966" s="1" t="s">
        <v>1279</v>
      </c>
      <c r="M2966" s="36" t="s">
        <v>1567</v>
      </c>
      <c r="N2966" s="1" t="s">
        <v>1284</v>
      </c>
      <c r="O2966" s="1" t="s">
        <v>1286</v>
      </c>
      <c r="P2966" s="34" t="str">
        <f t="shared" si="58"/>
        <v>F010</v>
      </c>
      <c r="Q2966" s="1" t="s">
        <v>138</v>
      </c>
      <c r="S2966" s="16">
        <v>20</v>
      </c>
      <c r="T2966" s="1" t="s">
        <v>3533</v>
      </c>
      <c r="U2966" s="1" t="s">
        <v>1999</v>
      </c>
      <c r="V2966" s="1" t="s">
        <v>1526</v>
      </c>
      <c r="Y2966" s="1">
        <v>10000</v>
      </c>
      <c r="AB2966" s="1">
        <v>7652.81</v>
      </c>
    </row>
    <row r="2967" spans="2:28" x14ac:dyDescent="0.2">
      <c r="B2967" s="30" t="s">
        <v>2294</v>
      </c>
      <c r="C2967" s="36"/>
      <c r="D2967" s="36"/>
      <c r="F2967" s="1" t="s">
        <v>3534</v>
      </c>
      <c r="G2967" s="30" t="s">
        <v>5496</v>
      </c>
      <c r="K2967" s="1" t="s">
        <v>5506</v>
      </c>
      <c r="L2967" s="1" t="s">
        <v>1279</v>
      </c>
      <c r="M2967" s="36" t="s">
        <v>1567</v>
      </c>
      <c r="N2967" s="1" t="s">
        <v>1284</v>
      </c>
      <c r="O2967" s="1" t="s">
        <v>1286</v>
      </c>
      <c r="P2967" s="34" t="str">
        <f t="shared" si="58"/>
        <v>F010</v>
      </c>
      <c r="Q2967" s="1" t="s">
        <v>138</v>
      </c>
      <c r="S2967" s="16">
        <v>20</v>
      </c>
      <c r="T2967" s="1" t="s">
        <v>5507</v>
      </c>
      <c r="U2967" s="1" t="s">
        <v>1999</v>
      </c>
      <c r="V2967" s="1" t="s">
        <v>1526</v>
      </c>
      <c r="Y2967" s="1">
        <v>10000</v>
      </c>
      <c r="AB2967" s="1">
        <v>7652.81</v>
      </c>
    </row>
    <row r="2968" spans="2:28" x14ac:dyDescent="0.2">
      <c r="B2968" s="30" t="s">
        <v>2294</v>
      </c>
      <c r="C2968" s="36"/>
      <c r="D2968" s="36"/>
      <c r="F2968" s="1" t="s">
        <v>5508</v>
      </c>
      <c r="G2968" s="30" t="s">
        <v>5496</v>
      </c>
      <c r="K2968" s="1" t="s">
        <v>5509</v>
      </c>
      <c r="L2968" s="1" t="s">
        <v>1279</v>
      </c>
      <c r="M2968" s="36" t="s">
        <v>1567</v>
      </c>
      <c r="N2968" s="1" t="s">
        <v>1284</v>
      </c>
      <c r="O2968" s="1" t="s">
        <v>1286</v>
      </c>
      <c r="P2968" s="34" t="str">
        <f t="shared" si="58"/>
        <v>F010</v>
      </c>
      <c r="Q2968" s="1" t="s">
        <v>138</v>
      </c>
      <c r="S2968" s="16">
        <v>20</v>
      </c>
      <c r="T2968" s="1" t="s">
        <v>3170</v>
      </c>
      <c r="U2968" s="1" t="s">
        <v>1999</v>
      </c>
      <c r="V2968" s="1" t="s">
        <v>1526</v>
      </c>
      <c r="Y2968" s="1">
        <v>10000</v>
      </c>
      <c r="AB2968" s="1">
        <v>7652.81</v>
      </c>
    </row>
    <row r="2969" spans="2:28" x14ac:dyDescent="0.2">
      <c r="B2969" s="30" t="s">
        <v>2294</v>
      </c>
      <c r="C2969" s="36"/>
      <c r="D2969" s="36"/>
      <c r="F2969" s="1" t="s">
        <v>3172</v>
      </c>
      <c r="G2969" s="30" t="s">
        <v>5496</v>
      </c>
      <c r="K2969" s="1" t="s">
        <v>5510</v>
      </c>
      <c r="L2969" s="1" t="s">
        <v>1279</v>
      </c>
      <c r="M2969" s="36" t="s">
        <v>1567</v>
      </c>
      <c r="N2969" s="1" t="s">
        <v>1284</v>
      </c>
      <c r="O2969" s="1" t="s">
        <v>1286</v>
      </c>
      <c r="P2969" s="34" t="str">
        <f t="shared" si="58"/>
        <v>F010</v>
      </c>
      <c r="Q2969" s="1" t="s">
        <v>138</v>
      </c>
      <c r="S2969" s="16">
        <v>20</v>
      </c>
      <c r="T2969" s="1" t="s">
        <v>2299</v>
      </c>
      <c r="U2969" s="1" t="s">
        <v>1999</v>
      </c>
      <c r="V2969" s="1" t="s">
        <v>1526</v>
      </c>
      <c r="Y2969" s="1">
        <v>10000</v>
      </c>
      <c r="AB2969" s="1">
        <v>7652.81</v>
      </c>
    </row>
    <row r="2970" spans="2:28" x14ac:dyDescent="0.2">
      <c r="B2970" s="30" t="s">
        <v>2294</v>
      </c>
      <c r="C2970" s="36"/>
      <c r="D2970" s="36"/>
      <c r="F2970" s="1" t="s">
        <v>1322</v>
      </c>
      <c r="G2970" s="30" t="s">
        <v>5496</v>
      </c>
      <c r="K2970" s="1" t="s">
        <v>5511</v>
      </c>
      <c r="L2970" s="1" t="s">
        <v>1279</v>
      </c>
      <c r="M2970" s="36" t="s">
        <v>1567</v>
      </c>
      <c r="N2970" s="1" t="s">
        <v>1284</v>
      </c>
      <c r="O2970" s="1" t="s">
        <v>1286</v>
      </c>
      <c r="P2970" s="34" t="str">
        <f t="shared" si="58"/>
        <v>F010</v>
      </c>
      <c r="Q2970" s="1" t="s">
        <v>138</v>
      </c>
      <c r="S2970" s="16">
        <v>20</v>
      </c>
      <c r="T2970" s="1" t="s">
        <v>3633</v>
      </c>
      <c r="U2970" s="1" t="s">
        <v>1999</v>
      </c>
      <c r="V2970" s="1" t="s">
        <v>1526</v>
      </c>
      <c r="Y2970" s="1">
        <v>10000</v>
      </c>
      <c r="AB2970" s="1">
        <v>7652.81</v>
      </c>
    </row>
    <row r="2971" spans="2:28" x14ac:dyDescent="0.2">
      <c r="B2971" s="30" t="s">
        <v>2294</v>
      </c>
      <c r="C2971" s="36"/>
      <c r="D2971" s="36"/>
      <c r="F2971" s="1" t="s">
        <v>3634</v>
      </c>
      <c r="G2971" s="30" t="s">
        <v>5496</v>
      </c>
      <c r="K2971" s="1" t="s">
        <v>5512</v>
      </c>
      <c r="L2971" s="1" t="s">
        <v>1279</v>
      </c>
      <c r="M2971" s="36" t="s">
        <v>1567</v>
      </c>
      <c r="N2971" s="1" t="s">
        <v>1284</v>
      </c>
      <c r="O2971" s="1" t="s">
        <v>1286</v>
      </c>
      <c r="P2971" s="34" t="str">
        <f t="shared" si="58"/>
        <v>F010</v>
      </c>
      <c r="Q2971" s="1" t="s">
        <v>138</v>
      </c>
      <c r="S2971" s="16">
        <v>20</v>
      </c>
      <c r="T2971" s="1" t="s">
        <v>2299</v>
      </c>
      <c r="U2971" s="1" t="s">
        <v>1999</v>
      </c>
      <c r="V2971" s="1" t="s">
        <v>1526</v>
      </c>
      <c r="Y2971" s="1">
        <v>10000</v>
      </c>
      <c r="AB2971" s="1">
        <v>7652.81</v>
      </c>
    </row>
    <row r="2972" spans="2:28" x14ac:dyDescent="0.2">
      <c r="B2972" s="30" t="s">
        <v>2294</v>
      </c>
      <c r="C2972" s="36"/>
      <c r="D2972" s="36"/>
      <c r="F2972" s="1" t="s">
        <v>1322</v>
      </c>
      <c r="G2972" s="30" t="s">
        <v>5496</v>
      </c>
      <c r="K2972" s="1" t="s">
        <v>5513</v>
      </c>
      <c r="L2972" s="1" t="s">
        <v>1279</v>
      </c>
      <c r="M2972" s="36" t="s">
        <v>1567</v>
      </c>
      <c r="N2972" s="1" t="s">
        <v>1284</v>
      </c>
      <c r="O2972" s="1" t="s">
        <v>1286</v>
      </c>
      <c r="P2972" s="34" t="str">
        <f t="shared" si="58"/>
        <v>F010</v>
      </c>
      <c r="Q2972" s="1" t="s">
        <v>138</v>
      </c>
      <c r="S2972" s="16">
        <v>20</v>
      </c>
      <c r="T2972" s="1" t="s">
        <v>3191</v>
      </c>
      <c r="U2972" s="1" t="s">
        <v>1999</v>
      </c>
      <c r="V2972" s="1" t="s">
        <v>1526</v>
      </c>
      <c r="Y2972" s="1">
        <v>10000</v>
      </c>
      <c r="AB2972" s="1">
        <v>7652.81</v>
      </c>
    </row>
    <row r="2973" spans="2:28" x14ac:dyDescent="0.2">
      <c r="B2973" s="30" t="s">
        <v>2294</v>
      </c>
      <c r="C2973" s="36"/>
      <c r="D2973" s="36"/>
      <c r="F2973" s="1" t="s">
        <v>3192</v>
      </c>
      <c r="G2973" s="30" t="s">
        <v>5496</v>
      </c>
      <c r="K2973" s="1" t="s">
        <v>5514</v>
      </c>
      <c r="L2973" s="1" t="s">
        <v>1279</v>
      </c>
      <c r="M2973" s="36" t="s">
        <v>1567</v>
      </c>
      <c r="N2973" s="1" t="s">
        <v>1284</v>
      </c>
      <c r="O2973" s="1" t="s">
        <v>1286</v>
      </c>
      <c r="P2973" s="34" t="str">
        <f t="shared" si="58"/>
        <v>F010</v>
      </c>
      <c r="Q2973" s="1" t="s">
        <v>138</v>
      </c>
      <c r="S2973" s="16">
        <v>20</v>
      </c>
      <c r="T2973" s="1" t="s">
        <v>2299</v>
      </c>
      <c r="U2973" s="1" t="s">
        <v>1999</v>
      </c>
      <c r="V2973" s="1" t="s">
        <v>1526</v>
      </c>
      <c r="Y2973" s="1">
        <v>18000</v>
      </c>
      <c r="AB2973" s="1">
        <v>13775</v>
      </c>
    </row>
    <row r="2974" spans="2:28" x14ac:dyDescent="0.2">
      <c r="B2974" s="30" t="s">
        <v>2294</v>
      </c>
      <c r="C2974" s="36"/>
      <c r="D2974" s="36"/>
      <c r="F2974" s="1" t="s">
        <v>1322</v>
      </c>
      <c r="G2974" s="30" t="s">
        <v>5496</v>
      </c>
      <c r="K2974" s="1" t="s">
        <v>5515</v>
      </c>
      <c r="L2974" s="1" t="s">
        <v>1279</v>
      </c>
      <c r="M2974" s="36" t="s">
        <v>1567</v>
      </c>
      <c r="N2974" s="1" t="s">
        <v>1284</v>
      </c>
      <c r="O2974" s="1" t="s">
        <v>1286</v>
      </c>
      <c r="P2974" s="34" t="str">
        <f t="shared" si="58"/>
        <v>F010</v>
      </c>
      <c r="Q2974" s="1" t="s">
        <v>138</v>
      </c>
      <c r="S2974" s="16">
        <v>20</v>
      </c>
      <c r="T2974" s="1" t="s">
        <v>5516</v>
      </c>
      <c r="U2974" s="1" t="s">
        <v>1999</v>
      </c>
      <c r="V2974" s="1" t="s">
        <v>1526</v>
      </c>
      <c r="Y2974" s="1">
        <v>18000</v>
      </c>
      <c r="AB2974" s="1">
        <v>13775</v>
      </c>
    </row>
    <row r="2975" spans="2:28" x14ac:dyDescent="0.2">
      <c r="B2975" s="30" t="s">
        <v>2294</v>
      </c>
      <c r="C2975" s="36"/>
      <c r="D2975" s="36"/>
      <c r="F2975" s="1" t="s">
        <v>5517</v>
      </c>
      <c r="G2975" s="30" t="s">
        <v>5496</v>
      </c>
      <c r="K2975" s="1" t="s">
        <v>5518</v>
      </c>
      <c r="L2975" s="1" t="s">
        <v>1279</v>
      </c>
      <c r="M2975" s="36" t="s">
        <v>1567</v>
      </c>
      <c r="N2975" s="1" t="s">
        <v>1284</v>
      </c>
      <c r="O2975" s="1" t="s">
        <v>1286</v>
      </c>
      <c r="P2975" s="34" t="str">
        <f t="shared" si="58"/>
        <v>F010</v>
      </c>
      <c r="Q2975" s="1" t="s">
        <v>138</v>
      </c>
      <c r="S2975" s="16">
        <v>20</v>
      </c>
      <c r="T2975" s="1" t="s">
        <v>2299</v>
      </c>
      <c r="U2975" s="1" t="s">
        <v>1999</v>
      </c>
      <c r="V2975" s="1" t="s">
        <v>1526</v>
      </c>
      <c r="Y2975" s="1">
        <v>18000</v>
      </c>
      <c r="AB2975" s="1">
        <v>13775</v>
      </c>
    </row>
    <row r="2976" spans="2:28" x14ac:dyDescent="0.2">
      <c r="B2976" s="30" t="s">
        <v>2294</v>
      </c>
      <c r="C2976" s="36"/>
      <c r="D2976" s="36"/>
      <c r="F2976" s="1" t="s">
        <v>1322</v>
      </c>
      <c r="G2976" s="30" t="s">
        <v>5496</v>
      </c>
      <c r="K2976" s="1" t="s">
        <v>5519</v>
      </c>
      <c r="L2976" s="1" t="s">
        <v>1279</v>
      </c>
      <c r="M2976" s="36" t="s">
        <v>1567</v>
      </c>
      <c r="N2976" s="1" t="s">
        <v>1284</v>
      </c>
      <c r="O2976" s="1" t="s">
        <v>1286</v>
      </c>
      <c r="P2976" s="34" t="str">
        <f t="shared" si="58"/>
        <v>F010</v>
      </c>
      <c r="Q2976" s="1" t="s">
        <v>138</v>
      </c>
      <c r="S2976" s="16">
        <v>20</v>
      </c>
      <c r="T2976" s="1" t="s">
        <v>3239</v>
      </c>
      <c r="U2976" s="1" t="s">
        <v>1999</v>
      </c>
      <c r="V2976" s="1" t="s">
        <v>1526</v>
      </c>
      <c r="Y2976" s="1">
        <v>18000</v>
      </c>
      <c r="AB2976" s="1">
        <v>13775</v>
      </c>
    </row>
    <row r="2977" spans="2:28" x14ac:dyDescent="0.2">
      <c r="B2977" s="30" t="s">
        <v>2294</v>
      </c>
      <c r="C2977" s="36"/>
      <c r="D2977" s="36"/>
      <c r="F2977" s="1" t="s">
        <v>3240</v>
      </c>
      <c r="G2977" s="30" t="s">
        <v>5496</v>
      </c>
      <c r="K2977" s="1" t="s">
        <v>5520</v>
      </c>
      <c r="L2977" s="1" t="s">
        <v>1279</v>
      </c>
      <c r="M2977" s="36" t="s">
        <v>1567</v>
      </c>
      <c r="N2977" s="1" t="s">
        <v>1284</v>
      </c>
      <c r="O2977" s="1" t="s">
        <v>1286</v>
      </c>
      <c r="P2977" s="34" t="str">
        <f t="shared" si="58"/>
        <v>F010</v>
      </c>
      <c r="Q2977" s="1" t="s">
        <v>138</v>
      </c>
      <c r="S2977" s="16">
        <v>20</v>
      </c>
      <c r="T2977" s="1" t="s">
        <v>2299</v>
      </c>
      <c r="U2977" s="1" t="s">
        <v>1999</v>
      </c>
      <c r="V2977" s="1" t="s">
        <v>1526</v>
      </c>
      <c r="Y2977" s="1">
        <v>12500</v>
      </c>
      <c r="AB2977" s="1">
        <v>9565.9500000000007</v>
      </c>
    </row>
    <row r="2978" spans="2:28" x14ac:dyDescent="0.2">
      <c r="B2978" s="30" t="s">
        <v>2294</v>
      </c>
      <c r="C2978" s="36"/>
      <c r="D2978" s="36"/>
      <c r="F2978" s="1" t="s">
        <v>1322</v>
      </c>
      <c r="G2978" s="30" t="s">
        <v>5496</v>
      </c>
      <c r="K2978" s="1" t="s">
        <v>5521</v>
      </c>
      <c r="L2978" s="1" t="s">
        <v>1279</v>
      </c>
      <c r="M2978" s="36" t="s">
        <v>1567</v>
      </c>
      <c r="N2978" s="1" t="s">
        <v>1284</v>
      </c>
      <c r="O2978" s="1" t="s">
        <v>1286</v>
      </c>
      <c r="P2978" s="34" t="str">
        <f t="shared" si="58"/>
        <v>F010</v>
      </c>
      <c r="Q2978" s="1" t="s">
        <v>138</v>
      </c>
      <c r="S2978" s="16">
        <v>20</v>
      </c>
      <c r="T2978" s="1" t="s">
        <v>4337</v>
      </c>
      <c r="U2978" s="1" t="s">
        <v>1999</v>
      </c>
      <c r="V2978" s="1" t="s">
        <v>1526</v>
      </c>
      <c r="Y2978" s="1">
        <v>12500</v>
      </c>
      <c r="AB2978" s="1">
        <v>9565.9500000000007</v>
      </c>
    </row>
    <row r="2979" spans="2:28" x14ac:dyDescent="0.2">
      <c r="B2979" s="30" t="s">
        <v>2294</v>
      </c>
      <c r="C2979" s="36"/>
      <c r="D2979" s="36"/>
      <c r="F2979" s="1" t="s">
        <v>4338</v>
      </c>
      <c r="G2979" s="30" t="s">
        <v>5496</v>
      </c>
      <c r="K2979" s="1" t="s">
        <v>5522</v>
      </c>
      <c r="L2979" s="1" t="s">
        <v>1279</v>
      </c>
      <c r="M2979" s="36" t="s">
        <v>1999</v>
      </c>
      <c r="N2979" s="1" t="s">
        <v>1335</v>
      </c>
      <c r="O2979" s="1" t="s">
        <v>1286</v>
      </c>
      <c r="P2979" s="34" t="str">
        <f t="shared" si="58"/>
        <v>F010</v>
      </c>
      <c r="Q2979" s="1" t="s">
        <v>127</v>
      </c>
      <c r="S2979" s="16">
        <v>20</v>
      </c>
      <c r="T2979" s="1" t="s">
        <v>2299</v>
      </c>
      <c r="U2979" s="1" t="s">
        <v>2544</v>
      </c>
      <c r="V2979" s="1" t="s">
        <v>4107</v>
      </c>
      <c r="Y2979" s="1">
        <v>13090</v>
      </c>
      <c r="AB2979" s="1">
        <v>9672.0400000000009</v>
      </c>
    </row>
    <row r="2980" spans="2:28" x14ac:dyDescent="0.2">
      <c r="B2980" s="30" t="s">
        <v>2294</v>
      </c>
      <c r="C2980" s="36"/>
      <c r="D2980" s="36"/>
      <c r="F2980" s="1" t="s">
        <v>1322</v>
      </c>
      <c r="G2980" s="30" t="s">
        <v>5496</v>
      </c>
      <c r="K2980" s="1" t="s">
        <v>5523</v>
      </c>
      <c r="L2980" s="1" t="s">
        <v>1279</v>
      </c>
      <c r="M2980" s="36" t="s">
        <v>1999</v>
      </c>
      <c r="N2980" s="1" t="s">
        <v>1335</v>
      </c>
      <c r="O2980" s="1" t="s">
        <v>1286</v>
      </c>
      <c r="P2980" s="34" t="str">
        <f t="shared" si="58"/>
        <v>F010</v>
      </c>
      <c r="Q2980" s="1" t="s">
        <v>127</v>
      </c>
      <c r="S2980" s="16">
        <v>20</v>
      </c>
      <c r="T2980" s="1" t="s">
        <v>3498</v>
      </c>
      <c r="U2980" s="1" t="s">
        <v>2544</v>
      </c>
      <c r="V2980" s="1" t="s">
        <v>4107</v>
      </c>
      <c r="Y2980" s="1">
        <v>13090</v>
      </c>
      <c r="AB2980" s="1">
        <v>9672.0400000000009</v>
      </c>
    </row>
    <row r="2981" spans="2:28" x14ac:dyDescent="0.2">
      <c r="B2981" s="30" t="s">
        <v>2294</v>
      </c>
      <c r="C2981" s="36"/>
      <c r="D2981" s="36"/>
      <c r="F2981" s="1" t="s">
        <v>3499</v>
      </c>
      <c r="G2981" s="30" t="s">
        <v>5496</v>
      </c>
      <c r="K2981" s="1" t="s">
        <v>5524</v>
      </c>
      <c r="L2981" s="1" t="s">
        <v>1279</v>
      </c>
      <c r="M2981" s="36" t="s">
        <v>1999</v>
      </c>
      <c r="N2981" s="1" t="s">
        <v>1335</v>
      </c>
      <c r="O2981" s="1" t="s">
        <v>1286</v>
      </c>
      <c r="P2981" s="34" t="str">
        <f t="shared" si="58"/>
        <v>F010</v>
      </c>
      <c r="Q2981" s="1" t="s">
        <v>127</v>
      </c>
      <c r="S2981" s="16">
        <v>20</v>
      </c>
      <c r="T2981" s="1" t="s">
        <v>2299</v>
      </c>
      <c r="U2981" s="1" t="s">
        <v>2544</v>
      </c>
      <c r="V2981" s="1" t="s">
        <v>4107</v>
      </c>
      <c r="Y2981" s="1">
        <v>45413</v>
      </c>
      <c r="AB2981" s="1">
        <v>33555.19</v>
      </c>
    </row>
    <row r="2982" spans="2:28" x14ac:dyDescent="0.2">
      <c r="B2982" s="30" t="s">
        <v>2294</v>
      </c>
      <c r="C2982" s="36"/>
      <c r="D2982" s="36"/>
      <c r="F2982" s="1" t="s">
        <v>1322</v>
      </c>
      <c r="G2982" s="30" t="s">
        <v>5525</v>
      </c>
      <c r="K2982" s="1" t="s">
        <v>5526</v>
      </c>
      <c r="L2982" s="1" t="s">
        <v>1279</v>
      </c>
      <c r="M2982" s="36" t="s">
        <v>1463</v>
      </c>
      <c r="N2982" s="1" t="s">
        <v>2988</v>
      </c>
      <c r="O2982" s="1" t="s">
        <v>1286</v>
      </c>
      <c r="P2982" s="34" t="str">
        <f t="shared" si="58"/>
        <v>F010</v>
      </c>
      <c r="Q2982" s="1" t="s">
        <v>137</v>
      </c>
      <c r="S2982" s="16">
        <v>20</v>
      </c>
      <c r="T2982" s="1" t="s">
        <v>5527</v>
      </c>
      <c r="U2982" s="1" t="s">
        <v>1480</v>
      </c>
      <c r="V2982" s="1" t="s">
        <v>1696</v>
      </c>
      <c r="Y2982" s="1">
        <v>11018.44</v>
      </c>
      <c r="AB2982" s="1">
        <v>4652.2299999999996</v>
      </c>
    </row>
    <row r="2983" spans="2:28" x14ac:dyDescent="0.2">
      <c r="B2983" s="30" t="s">
        <v>2294</v>
      </c>
      <c r="C2983" s="36"/>
      <c r="D2983" s="36"/>
      <c r="F2983" s="1" t="s">
        <v>5528</v>
      </c>
      <c r="G2983" s="30" t="s">
        <v>5525</v>
      </c>
      <c r="K2983" s="1" t="s">
        <v>5529</v>
      </c>
      <c r="L2983" s="1" t="s">
        <v>1279</v>
      </c>
      <c r="M2983" s="36" t="s">
        <v>1430</v>
      </c>
      <c r="N2983" s="1" t="s">
        <v>2988</v>
      </c>
      <c r="O2983" s="1" t="s">
        <v>1286</v>
      </c>
      <c r="P2983" s="34" t="str">
        <f t="shared" si="58"/>
        <v>F010</v>
      </c>
      <c r="Q2983" s="1" t="s">
        <v>133</v>
      </c>
      <c r="S2983" s="16">
        <v>20</v>
      </c>
      <c r="T2983" s="1" t="s">
        <v>2299</v>
      </c>
      <c r="U2983" s="1" t="s">
        <v>1654</v>
      </c>
      <c r="V2983" s="1" t="s">
        <v>1701</v>
      </c>
      <c r="Y2983" s="1">
        <v>19113.07</v>
      </c>
      <c r="AB2983" s="1">
        <v>3966.64</v>
      </c>
    </row>
    <row r="2984" spans="2:28" x14ac:dyDescent="0.2">
      <c r="B2984" s="30" t="s">
        <v>2294</v>
      </c>
      <c r="C2984" s="36"/>
      <c r="D2984" s="36"/>
      <c r="F2984" s="1" t="s">
        <v>1322</v>
      </c>
      <c r="G2984" s="30" t="s">
        <v>5530</v>
      </c>
      <c r="K2984" s="1" t="s">
        <v>5531</v>
      </c>
      <c r="L2984" s="1" t="s">
        <v>1279</v>
      </c>
      <c r="M2984" s="36" t="s">
        <v>1463</v>
      </c>
      <c r="N2984" s="1" t="s">
        <v>2988</v>
      </c>
      <c r="O2984" s="1" t="s">
        <v>1286</v>
      </c>
      <c r="P2984" s="34" t="str">
        <f t="shared" si="58"/>
        <v>F010</v>
      </c>
      <c r="Q2984" s="1" t="s">
        <v>137</v>
      </c>
      <c r="S2984" s="16">
        <v>20</v>
      </c>
      <c r="T2984" s="1" t="s">
        <v>3209</v>
      </c>
      <c r="U2984" s="1" t="s">
        <v>1480</v>
      </c>
      <c r="V2984" s="1" t="s">
        <v>1696</v>
      </c>
      <c r="Y2984" s="1">
        <v>12897.09</v>
      </c>
      <c r="AB2984" s="1">
        <v>5445.44</v>
      </c>
    </row>
    <row r="2985" spans="2:28" x14ac:dyDescent="0.2">
      <c r="B2985" s="30" t="s">
        <v>2294</v>
      </c>
      <c r="C2985" s="36"/>
      <c r="D2985" s="36"/>
      <c r="F2985" s="1" t="s">
        <v>3210</v>
      </c>
      <c r="G2985" s="30" t="s">
        <v>5530</v>
      </c>
      <c r="K2985" s="1" t="s">
        <v>5532</v>
      </c>
      <c r="L2985" s="1" t="s">
        <v>1279</v>
      </c>
      <c r="M2985" s="36" t="s">
        <v>1430</v>
      </c>
      <c r="N2985" s="1" t="s">
        <v>2988</v>
      </c>
      <c r="O2985" s="1" t="s">
        <v>1286</v>
      </c>
      <c r="P2985" s="34" t="str">
        <f t="shared" si="58"/>
        <v>F010</v>
      </c>
      <c r="Q2985" s="1" t="s">
        <v>133</v>
      </c>
      <c r="S2985" s="16">
        <v>20</v>
      </c>
      <c r="T2985" s="1" t="s">
        <v>2299</v>
      </c>
      <c r="U2985" s="1" t="s">
        <v>1654</v>
      </c>
      <c r="V2985" s="1" t="s">
        <v>1701</v>
      </c>
      <c r="Y2985" s="1">
        <v>17063</v>
      </c>
      <c r="AB2985" s="1">
        <v>3602.16</v>
      </c>
    </row>
    <row r="2986" spans="2:28" s="58" customFormat="1" x14ac:dyDescent="0.2">
      <c r="B2986" s="56" t="s">
        <v>2294</v>
      </c>
      <c r="C2986" s="57">
        <v>7690</v>
      </c>
      <c r="D2986" s="48">
        <f t="shared" ref="D2986:D3027" si="59">+C2986/100000</f>
        <v>7.6899999999999996E-2</v>
      </c>
      <c r="E2986" s="58" t="s">
        <v>1331</v>
      </c>
      <c r="F2986" s="58" t="s">
        <v>1322</v>
      </c>
      <c r="G2986" s="56" t="s">
        <v>5533</v>
      </c>
      <c r="K2986" s="58" t="s">
        <v>5534</v>
      </c>
      <c r="L2986" s="58" t="s">
        <v>1279</v>
      </c>
      <c r="M2986" s="58" t="s">
        <v>1641</v>
      </c>
      <c r="N2986" s="58" t="s">
        <v>1285</v>
      </c>
      <c r="O2986" s="58" t="s">
        <v>1286</v>
      </c>
      <c r="P2986" s="58" t="str">
        <f t="shared" si="58"/>
        <v>F010</v>
      </c>
      <c r="Q2986" s="58" t="s">
        <v>127</v>
      </c>
      <c r="S2986" s="59">
        <v>20</v>
      </c>
      <c r="T2986" s="58" t="s">
        <v>3498</v>
      </c>
      <c r="U2986" s="58" t="s">
        <v>2236</v>
      </c>
      <c r="V2986" s="58" t="s">
        <v>1857</v>
      </c>
      <c r="Y2986" s="58">
        <v>532.14</v>
      </c>
      <c r="AB2986" s="58">
        <v>505.54</v>
      </c>
    </row>
    <row r="2987" spans="2:28" s="58" customFormat="1" x14ac:dyDescent="0.2">
      <c r="B2987" s="56" t="s">
        <v>2294</v>
      </c>
      <c r="C2987" s="57">
        <v>3080</v>
      </c>
      <c r="D2987" s="48">
        <f t="shared" si="59"/>
        <v>3.0800000000000001E-2</v>
      </c>
      <c r="E2987" s="58" t="s">
        <v>1337</v>
      </c>
      <c r="F2987" s="58" t="s">
        <v>3499</v>
      </c>
      <c r="G2987" s="56" t="s">
        <v>5533</v>
      </c>
      <c r="K2987" s="58" t="s">
        <v>5534</v>
      </c>
      <c r="L2987" s="58" t="s">
        <v>1279</v>
      </c>
      <c r="M2987" s="58" t="s">
        <v>1641</v>
      </c>
      <c r="N2987" s="58" t="s">
        <v>3337</v>
      </c>
      <c r="O2987" s="58" t="s">
        <v>1286</v>
      </c>
      <c r="P2987" s="58" t="str">
        <f t="shared" si="58"/>
        <v>F010</v>
      </c>
      <c r="Q2987" s="58" t="s">
        <v>127</v>
      </c>
      <c r="S2987" s="59">
        <v>20</v>
      </c>
      <c r="T2987" s="58" t="s">
        <v>2299</v>
      </c>
      <c r="U2987" s="58" t="s">
        <v>2236</v>
      </c>
      <c r="V2987" s="58" t="s">
        <v>1857</v>
      </c>
      <c r="Y2987" s="58">
        <v>213.14</v>
      </c>
      <c r="AB2987" s="58">
        <v>202.48</v>
      </c>
    </row>
    <row r="2988" spans="2:28" s="58" customFormat="1" x14ac:dyDescent="0.2">
      <c r="B2988" s="56" t="s">
        <v>2294</v>
      </c>
      <c r="C2988" s="57">
        <v>7690</v>
      </c>
      <c r="D2988" s="48">
        <f t="shared" si="59"/>
        <v>7.6899999999999996E-2</v>
      </c>
      <c r="E2988" s="58" t="s">
        <v>1348</v>
      </c>
      <c r="F2988" s="58" t="s">
        <v>1322</v>
      </c>
      <c r="G2988" s="56" t="s">
        <v>5533</v>
      </c>
      <c r="K2988" s="58" t="s">
        <v>5534</v>
      </c>
      <c r="L2988" s="58" t="s">
        <v>1279</v>
      </c>
      <c r="M2988" s="58" t="s">
        <v>1641</v>
      </c>
      <c r="N2988" s="58" t="s">
        <v>3222</v>
      </c>
      <c r="O2988" s="58" t="s">
        <v>1286</v>
      </c>
      <c r="P2988" s="58" t="str">
        <f t="shared" si="58"/>
        <v>F010</v>
      </c>
      <c r="Q2988" s="58" t="s">
        <v>127</v>
      </c>
      <c r="S2988" s="59">
        <v>20</v>
      </c>
      <c r="T2988" s="58" t="s">
        <v>5535</v>
      </c>
      <c r="U2988" s="58" t="s">
        <v>2236</v>
      </c>
      <c r="V2988" s="58" t="s">
        <v>1857</v>
      </c>
      <c r="Y2988" s="58">
        <v>532.15</v>
      </c>
      <c r="AB2988" s="58">
        <v>505.54</v>
      </c>
    </row>
    <row r="2989" spans="2:28" s="58" customFormat="1" x14ac:dyDescent="0.2">
      <c r="B2989" s="56" t="s">
        <v>2294</v>
      </c>
      <c r="C2989" s="57">
        <v>33850</v>
      </c>
      <c r="D2989" s="48">
        <f t="shared" si="59"/>
        <v>0.33850000000000002</v>
      </c>
      <c r="E2989" s="58" t="s">
        <v>1351</v>
      </c>
      <c r="F2989" s="58" t="s">
        <v>5536</v>
      </c>
      <c r="G2989" s="56" t="s">
        <v>5533</v>
      </c>
      <c r="K2989" s="58" t="s">
        <v>5534</v>
      </c>
      <c r="L2989" s="58" t="s">
        <v>1279</v>
      </c>
      <c r="M2989" s="58" t="s">
        <v>1641</v>
      </c>
      <c r="N2989" s="58" t="s">
        <v>3072</v>
      </c>
      <c r="O2989" s="58" t="s">
        <v>1286</v>
      </c>
      <c r="P2989" s="58" t="str">
        <f t="shared" si="58"/>
        <v>F010</v>
      </c>
      <c r="Q2989" s="58" t="s">
        <v>127</v>
      </c>
      <c r="S2989" s="59">
        <v>20</v>
      </c>
      <c r="T2989" s="58" t="s">
        <v>5535</v>
      </c>
      <c r="U2989" s="58" t="s">
        <v>2236</v>
      </c>
      <c r="V2989" s="58" t="s">
        <v>1857</v>
      </c>
      <c r="Y2989" s="58">
        <v>2342.42</v>
      </c>
      <c r="AB2989" s="58">
        <v>2225.3000000000002</v>
      </c>
    </row>
    <row r="2990" spans="2:28" s="58" customFormat="1" x14ac:dyDescent="0.2">
      <c r="B2990" s="56" t="s">
        <v>2294</v>
      </c>
      <c r="C2990" s="57">
        <v>9230</v>
      </c>
      <c r="D2990" s="48">
        <f t="shared" si="59"/>
        <v>9.2299999999999993E-2</v>
      </c>
      <c r="E2990" s="58" t="s">
        <v>1352</v>
      </c>
      <c r="F2990" s="58" t="s">
        <v>5536</v>
      </c>
      <c r="G2990" s="56" t="s">
        <v>5533</v>
      </c>
      <c r="K2990" s="58" t="s">
        <v>5534</v>
      </c>
      <c r="L2990" s="58" t="s">
        <v>1279</v>
      </c>
      <c r="M2990" s="58" t="s">
        <v>1641</v>
      </c>
      <c r="N2990" s="58" t="s">
        <v>1287</v>
      </c>
      <c r="O2990" s="58" t="s">
        <v>1286</v>
      </c>
      <c r="P2990" s="58" t="str">
        <f t="shared" si="58"/>
        <v>F010</v>
      </c>
      <c r="Q2990" s="58" t="s">
        <v>127</v>
      </c>
      <c r="S2990" s="59">
        <v>20</v>
      </c>
      <c r="T2990" s="58" t="s">
        <v>3183</v>
      </c>
      <c r="U2990" s="58" t="s">
        <v>2236</v>
      </c>
      <c r="V2990" s="58" t="s">
        <v>1857</v>
      </c>
      <c r="Y2990" s="58">
        <v>638.72</v>
      </c>
      <c r="AB2990" s="58">
        <v>606.78</v>
      </c>
    </row>
    <row r="2991" spans="2:28" s="58" customFormat="1" x14ac:dyDescent="0.2">
      <c r="B2991" s="56" t="s">
        <v>2294</v>
      </c>
      <c r="C2991" s="57">
        <v>10770</v>
      </c>
      <c r="D2991" s="48">
        <f t="shared" si="59"/>
        <v>0.1077</v>
      </c>
      <c r="E2991" s="58" t="s">
        <v>1353</v>
      </c>
      <c r="F2991" s="58" t="s">
        <v>3184</v>
      </c>
      <c r="G2991" s="56" t="s">
        <v>5533</v>
      </c>
      <c r="K2991" s="58" t="s">
        <v>5534</v>
      </c>
      <c r="L2991" s="58" t="s">
        <v>1279</v>
      </c>
      <c r="M2991" s="58" t="s">
        <v>1641</v>
      </c>
      <c r="N2991" s="58" t="s">
        <v>1564</v>
      </c>
      <c r="O2991" s="58" t="s">
        <v>1286</v>
      </c>
      <c r="P2991" s="58" t="str">
        <f t="shared" si="58"/>
        <v>F010</v>
      </c>
      <c r="Q2991" s="58" t="s">
        <v>127</v>
      </c>
      <c r="S2991" s="59">
        <v>20</v>
      </c>
      <c r="T2991" s="58" t="s">
        <v>2299</v>
      </c>
      <c r="U2991" s="58" t="s">
        <v>2236</v>
      </c>
      <c r="V2991" s="58" t="s">
        <v>1857</v>
      </c>
      <c r="Y2991" s="58">
        <v>745.28</v>
      </c>
      <c r="AB2991" s="58">
        <v>708.02</v>
      </c>
    </row>
    <row r="2992" spans="2:28" s="58" customFormat="1" x14ac:dyDescent="0.2">
      <c r="B2992" s="56" t="s">
        <v>2294</v>
      </c>
      <c r="C2992" s="57">
        <v>27690</v>
      </c>
      <c r="D2992" s="48">
        <f t="shared" si="59"/>
        <v>0.27689999999999998</v>
      </c>
      <c r="E2992" s="58" t="s">
        <v>1367</v>
      </c>
      <c r="F2992" s="58" t="s">
        <v>1322</v>
      </c>
      <c r="G2992" s="56" t="s">
        <v>5533</v>
      </c>
      <c r="K2992" s="58" t="s">
        <v>5534</v>
      </c>
      <c r="L2992" s="58" t="s">
        <v>1279</v>
      </c>
      <c r="M2992" s="58" t="s">
        <v>1641</v>
      </c>
      <c r="N2992" s="58" t="s">
        <v>1944</v>
      </c>
      <c r="O2992" s="58" t="s">
        <v>1286</v>
      </c>
      <c r="P2992" s="58" t="str">
        <f t="shared" si="58"/>
        <v>F010</v>
      </c>
      <c r="Q2992" s="58" t="s">
        <v>127</v>
      </c>
      <c r="S2992" s="59">
        <v>20</v>
      </c>
      <c r="T2992" s="58" t="s">
        <v>3213</v>
      </c>
      <c r="U2992" s="58" t="s">
        <v>2236</v>
      </c>
      <c r="V2992" s="58" t="s">
        <v>1857</v>
      </c>
      <c r="Y2992" s="58">
        <v>1916.15</v>
      </c>
      <c r="AB2992" s="58">
        <v>1820.34</v>
      </c>
    </row>
    <row r="2993" spans="2:28" s="58" customFormat="1" x14ac:dyDescent="0.2">
      <c r="B2993" s="56" t="s">
        <v>2294</v>
      </c>
      <c r="C2993" s="57">
        <v>7690</v>
      </c>
      <c r="D2993" s="48">
        <f t="shared" si="59"/>
        <v>7.6899999999999996E-2</v>
      </c>
      <c r="E2993" s="58" t="s">
        <v>1331</v>
      </c>
      <c r="F2993" s="58" t="s">
        <v>3214</v>
      </c>
      <c r="G2993" s="56" t="s">
        <v>5533</v>
      </c>
      <c r="K2993" s="58" t="s">
        <v>5537</v>
      </c>
      <c r="L2993" s="58" t="s">
        <v>1279</v>
      </c>
      <c r="M2993" s="58" t="s">
        <v>1641</v>
      </c>
      <c r="N2993" s="58" t="s">
        <v>1285</v>
      </c>
      <c r="O2993" s="58" t="s">
        <v>1286</v>
      </c>
      <c r="P2993" s="58" t="str">
        <f t="shared" ref="P2993:P3056" si="60">+LEFT(Q2993,4)</f>
        <v>F010</v>
      </c>
      <c r="Q2993" s="58" t="s">
        <v>127</v>
      </c>
      <c r="S2993" s="59">
        <v>20</v>
      </c>
      <c r="T2993" s="58" t="s">
        <v>5507</v>
      </c>
      <c r="U2993" s="58" t="s">
        <v>2236</v>
      </c>
      <c r="V2993" s="58" t="s">
        <v>1857</v>
      </c>
      <c r="Y2993" s="58">
        <v>532.14</v>
      </c>
      <c r="AB2993" s="58">
        <v>505.54</v>
      </c>
    </row>
    <row r="2994" spans="2:28" s="58" customFormat="1" x14ac:dyDescent="0.2">
      <c r="B2994" s="56" t="s">
        <v>2294</v>
      </c>
      <c r="C2994" s="57">
        <v>3080</v>
      </c>
      <c r="D2994" s="48">
        <f t="shared" si="59"/>
        <v>3.0800000000000001E-2</v>
      </c>
      <c r="E2994" s="58" t="s">
        <v>1337</v>
      </c>
      <c r="F2994" s="58" t="s">
        <v>5508</v>
      </c>
      <c r="G2994" s="56" t="s">
        <v>5533</v>
      </c>
      <c r="K2994" s="58" t="s">
        <v>5537</v>
      </c>
      <c r="L2994" s="58" t="s">
        <v>1279</v>
      </c>
      <c r="M2994" s="58" t="s">
        <v>1641</v>
      </c>
      <c r="N2994" s="58" t="s">
        <v>3337</v>
      </c>
      <c r="O2994" s="58" t="s">
        <v>1286</v>
      </c>
      <c r="P2994" s="58" t="str">
        <f t="shared" si="60"/>
        <v>F010</v>
      </c>
      <c r="Q2994" s="58" t="s">
        <v>127</v>
      </c>
      <c r="S2994" s="59">
        <v>20</v>
      </c>
      <c r="T2994" s="58" t="s">
        <v>3620</v>
      </c>
      <c r="U2994" s="58" t="s">
        <v>2236</v>
      </c>
      <c r="V2994" s="58" t="s">
        <v>1857</v>
      </c>
      <c r="Y2994" s="58">
        <v>213.14</v>
      </c>
      <c r="AB2994" s="58">
        <v>202.48</v>
      </c>
    </row>
    <row r="2995" spans="2:28" s="58" customFormat="1" x14ac:dyDescent="0.2">
      <c r="B2995" s="56" t="s">
        <v>2294</v>
      </c>
      <c r="C2995" s="57">
        <v>7690</v>
      </c>
      <c r="D2995" s="48">
        <f t="shared" si="59"/>
        <v>7.6899999999999996E-2</v>
      </c>
      <c r="E2995" s="58" t="s">
        <v>1348</v>
      </c>
      <c r="F2995" s="58" t="s">
        <v>3621</v>
      </c>
      <c r="G2995" s="56" t="s">
        <v>5533</v>
      </c>
      <c r="K2995" s="58" t="s">
        <v>5537</v>
      </c>
      <c r="L2995" s="58" t="s">
        <v>1279</v>
      </c>
      <c r="M2995" s="58" t="s">
        <v>1641</v>
      </c>
      <c r="N2995" s="58" t="s">
        <v>3222</v>
      </c>
      <c r="O2995" s="58" t="s">
        <v>1286</v>
      </c>
      <c r="P2995" s="58" t="str">
        <f t="shared" si="60"/>
        <v>F010</v>
      </c>
      <c r="Q2995" s="58" t="s">
        <v>127</v>
      </c>
      <c r="S2995" s="59">
        <v>20</v>
      </c>
      <c r="T2995" s="58" t="s">
        <v>2299</v>
      </c>
      <c r="U2995" s="58" t="s">
        <v>2236</v>
      </c>
      <c r="V2995" s="58" t="s">
        <v>1857</v>
      </c>
      <c r="Y2995" s="58">
        <v>532.15</v>
      </c>
      <c r="AB2995" s="58">
        <v>505.54</v>
      </c>
    </row>
    <row r="2996" spans="2:28" s="58" customFormat="1" x14ac:dyDescent="0.2">
      <c r="B2996" s="56" t="s">
        <v>2294</v>
      </c>
      <c r="C2996" s="57">
        <v>33850</v>
      </c>
      <c r="D2996" s="48">
        <f t="shared" si="59"/>
        <v>0.33850000000000002</v>
      </c>
      <c r="E2996" s="58" t="s">
        <v>1351</v>
      </c>
      <c r="F2996" s="58" t="s">
        <v>1322</v>
      </c>
      <c r="G2996" s="56" t="s">
        <v>5533</v>
      </c>
      <c r="K2996" s="58" t="s">
        <v>5537</v>
      </c>
      <c r="L2996" s="58" t="s">
        <v>1279</v>
      </c>
      <c r="M2996" s="58" t="s">
        <v>1641</v>
      </c>
      <c r="N2996" s="58" t="s">
        <v>3072</v>
      </c>
      <c r="O2996" s="58" t="s">
        <v>1286</v>
      </c>
      <c r="P2996" s="58" t="str">
        <f t="shared" si="60"/>
        <v>F010</v>
      </c>
      <c r="Q2996" s="58" t="s">
        <v>127</v>
      </c>
      <c r="S2996" s="59">
        <v>20</v>
      </c>
      <c r="T2996" s="58" t="s">
        <v>3107</v>
      </c>
      <c r="U2996" s="58" t="s">
        <v>2236</v>
      </c>
      <c r="V2996" s="58" t="s">
        <v>1857</v>
      </c>
      <c r="Y2996" s="58">
        <v>2342.42</v>
      </c>
      <c r="AB2996" s="58">
        <v>2225.3000000000002</v>
      </c>
    </row>
    <row r="2997" spans="2:28" s="58" customFormat="1" x14ac:dyDescent="0.2">
      <c r="B2997" s="56" t="s">
        <v>2294</v>
      </c>
      <c r="C2997" s="57">
        <v>9230</v>
      </c>
      <c r="D2997" s="48">
        <f t="shared" si="59"/>
        <v>9.2299999999999993E-2</v>
      </c>
      <c r="E2997" s="58" t="s">
        <v>1352</v>
      </c>
      <c r="F2997" s="58" t="s">
        <v>3108</v>
      </c>
      <c r="G2997" s="56" t="s">
        <v>5533</v>
      </c>
      <c r="K2997" s="58" t="s">
        <v>5537</v>
      </c>
      <c r="L2997" s="58" t="s">
        <v>1279</v>
      </c>
      <c r="M2997" s="58" t="s">
        <v>1641</v>
      </c>
      <c r="N2997" s="58" t="s">
        <v>1287</v>
      </c>
      <c r="O2997" s="58" t="s">
        <v>1286</v>
      </c>
      <c r="P2997" s="58" t="str">
        <f t="shared" si="60"/>
        <v>F010</v>
      </c>
      <c r="Q2997" s="58" t="s">
        <v>127</v>
      </c>
      <c r="S2997" s="59">
        <v>20</v>
      </c>
      <c r="T2997" s="58" t="s">
        <v>2299</v>
      </c>
      <c r="U2997" s="58" t="s">
        <v>2236</v>
      </c>
      <c r="V2997" s="58" t="s">
        <v>1857</v>
      </c>
      <c r="Y2997" s="58">
        <v>638.72</v>
      </c>
      <c r="AB2997" s="58">
        <v>606.78</v>
      </c>
    </row>
    <row r="2998" spans="2:28" s="58" customFormat="1" x14ac:dyDescent="0.2">
      <c r="B2998" s="56" t="s">
        <v>2294</v>
      </c>
      <c r="C2998" s="57">
        <v>10770</v>
      </c>
      <c r="D2998" s="48">
        <f t="shared" si="59"/>
        <v>0.1077</v>
      </c>
      <c r="E2998" s="58" t="s">
        <v>1353</v>
      </c>
      <c r="F2998" s="58" t="s">
        <v>1322</v>
      </c>
      <c r="G2998" s="56" t="s">
        <v>5533</v>
      </c>
      <c r="K2998" s="58" t="s">
        <v>5537</v>
      </c>
      <c r="L2998" s="58" t="s">
        <v>1279</v>
      </c>
      <c r="M2998" s="58" t="s">
        <v>1641</v>
      </c>
      <c r="N2998" s="58" t="s">
        <v>1564</v>
      </c>
      <c r="O2998" s="58" t="s">
        <v>1286</v>
      </c>
      <c r="P2998" s="58" t="str">
        <f t="shared" si="60"/>
        <v>F010</v>
      </c>
      <c r="Q2998" s="58" t="s">
        <v>127</v>
      </c>
      <c r="S2998" s="59">
        <v>20</v>
      </c>
      <c r="T2998" s="58" t="s">
        <v>3637</v>
      </c>
      <c r="U2998" s="58" t="s">
        <v>2236</v>
      </c>
      <c r="V2998" s="58" t="s">
        <v>1857</v>
      </c>
      <c r="Y2998" s="58">
        <v>745.28</v>
      </c>
      <c r="AB2998" s="58">
        <v>708.02</v>
      </c>
    </row>
    <row r="2999" spans="2:28" s="58" customFormat="1" x14ac:dyDescent="0.2">
      <c r="B2999" s="56" t="s">
        <v>2294</v>
      </c>
      <c r="C2999" s="57">
        <v>27690</v>
      </c>
      <c r="D2999" s="48">
        <f t="shared" si="59"/>
        <v>0.27689999999999998</v>
      </c>
      <c r="E2999" s="58" t="s">
        <v>1367</v>
      </c>
      <c r="F2999" s="58" t="s">
        <v>3638</v>
      </c>
      <c r="G2999" s="56" t="s">
        <v>5533</v>
      </c>
      <c r="K2999" s="58" t="s">
        <v>5537</v>
      </c>
      <c r="L2999" s="58" t="s">
        <v>1279</v>
      </c>
      <c r="M2999" s="58" t="s">
        <v>1641</v>
      </c>
      <c r="N2999" s="58" t="s">
        <v>1944</v>
      </c>
      <c r="O2999" s="58" t="s">
        <v>1286</v>
      </c>
      <c r="P2999" s="58" t="str">
        <f t="shared" si="60"/>
        <v>F010</v>
      </c>
      <c r="Q2999" s="58" t="s">
        <v>127</v>
      </c>
      <c r="S2999" s="59">
        <v>20</v>
      </c>
      <c r="T2999" s="58" t="s">
        <v>5507</v>
      </c>
      <c r="U2999" s="58" t="s">
        <v>2236</v>
      </c>
      <c r="V2999" s="58" t="s">
        <v>1857</v>
      </c>
      <c r="Y2999" s="58">
        <v>1916.15</v>
      </c>
      <c r="AB2999" s="58">
        <v>1820.34</v>
      </c>
    </row>
    <row r="3000" spans="2:28" s="58" customFormat="1" x14ac:dyDescent="0.2">
      <c r="B3000" s="56" t="s">
        <v>2294</v>
      </c>
      <c r="C3000" s="57">
        <v>7690</v>
      </c>
      <c r="D3000" s="48">
        <f t="shared" si="59"/>
        <v>7.6899999999999996E-2</v>
      </c>
      <c r="E3000" s="58" t="s">
        <v>1331</v>
      </c>
      <c r="F3000" s="58" t="s">
        <v>5508</v>
      </c>
      <c r="G3000" s="56" t="s">
        <v>5533</v>
      </c>
      <c r="K3000" s="58" t="s">
        <v>5538</v>
      </c>
      <c r="L3000" s="58" t="s">
        <v>1279</v>
      </c>
      <c r="M3000" s="58" t="s">
        <v>1641</v>
      </c>
      <c r="N3000" s="58" t="s">
        <v>1285</v>
      </c>
      <c r="O3000" s="58" t="s">
        <v>1286</v>
      </c>
      <c r="P3000" s="58" t="str">
        <f t="shared" si="60"/>
        <v>F010</v>
      </c>
      <c r="Q3000" s="58" t="s">
        <v>127</v>
      </c>
      <c r="S3000" s="59">
        <v>20</v>
      </c>
      <c r="T3000" s="58" t="s">
        <v>5539</v>
      </c>
      <c r="U3000" s="58" t="s">
        <v>2236</v>
      </c>
      <c r="V3000" s="58" t="s">
        <v>1857</v>
      </c>
      <c r="Y3000" s="58">
        <v>532.14</v>
      </c>
      <c r="AB3000" s="58">
        <v>505.54</v>
      </c>
    </row>
    <row r="3001" spans="2:28" s="58" customFormat="1" x14ac:dyDescent="0.2">
      <c r="B3001" s="56" t="s">
        <v>2294</v>
      </c>
      <c r="C3001" s="57">
        <v>3080</v>
      </c>
      <c r="D3001" s="48">
        <f t="shared" si="59"/>
        <v>3.0800000000000001E-2</v>
      </c>
      <c r="E3001" s="58" t="s">
        <v>1337</v>
      </c>
      <c r="F3001" s="58" t="s">
        <v>5540</v>
      </c>
      <c r="G3001" s="56" t="s">
        <v>5533</v>
      </c>
      <c r="K3001" s="58" t="s">
        <v>5538</v>
      </c>
      <c r="L3001" s="58" t="s">
        <v>1279</v>
      </c>
      <c r="M3001" s="58" t="s">
        <v>1641</v>
      </c>
      <c r="N3001" s="58" t="s">
        <v>3337</v>
      </c>
      <c r="O3001" s="58" t="s">
        <v>1286</v>
      </c>
      <c r="P3001" s="58" t="str">
        <f t="shared" si="60"/>
        <v>F010</v>
      </c>
      <c r="Q3001" s="58" t="s">
        <v>127</v>
      </c>
      <c r="S3001" s="59">
        <v>20</v>
      </c>
      <c r="T3001" s="58" t="s">
        <v>5539</v>
      </c>
      <c r="U3001" s="58" t="s">
        <v>2236</v>
      </c>
      <c r="V3001" s="58" t="s">
        <v>1857</v>
      </c>
      <c r="Y3001" s="58">
        <v>213.14</v>
      </c>
      <c r="AB3001" s="58">
        <v>202.48</v>
      </c>
    </row>
    <row r="3002" spans="2:28" s="58" customFormat="1" x14ac:dyDescent="0.2">
      <c r="B3002" s="56" t="s">
        <v>2294</v>
      </c>
      <c r="C3002" s="57">
        <v>7690</v>
      </c>
      <c r="D3002" s="48">
        <f t="shared" si="59"/>
        <v>7.6899999999999996E-2</v>
      </c>
      <c r="E3002" s="58" t="s">
        <v>1348</v>
      </c>
      <c r="F3002" s="58" t="s">
        <v>5540</v>
      </c>
      <c r="G3002" s="56" t="s">
        <v>5533</v>
      </c>
      <c r="K3002" s="58" t="s">
        <v>5538</v>
      </c>
      <c r="L3002" s="58" t="s">
        <v>1279</v>
      </c>
      <c r="M3002" s="58" t="s">
        <v>1641</v>
      </c>
      <c r="N3002" s="58" t="s">
        <v>3222</v>
      </c>
      <c r="O3002" s="58" t="s">
        <v>1286</v>
      </c>
      <c r="P3002" s="58" t="str">
        <f t="shared" si="60"/>
        <v>F010</v>
      </c>
      <c r="Q3002" s="58" t="s">
        <v>127</v>
      </c>
      <c r="S3002" s="59">
        <v>20</v>
      </c>
      <c r="T3002" s="58" t="s">
        <v>5541</v>
      </c>
      <c r="U3002" s="58" t="s">
        <v>2236</v>
      </c>
      <c r="V3002" s="58" t="s">
        <v>1857</v>
      </c>
      <c r="Y3002" s="58">
        <v>532.15</v>
      </c>
      <c r="AB3002" s="58">
        <v>505.54</v>
      </c>
    </row>
    <row r="3003" spans="2:28" s="58" customFormat="1" x14ac:dyDescent="0.2">
      <c r="B3003" s="56" t="s">
        <v>2294</v>
      </c>
      <c r="C3003" s="57">
        <v>33850</v>
      </c>
      <c r="D3003" s="48">
        <f t="shared" si="59"/>
        <v>0.33850000000000002</v>
      </c>
      <c r="E3003" s="58" t="s">
        <v>1351</v>
      </c>
      <c r="F3003" s="58" t="s">
        <v>5542</v>
      </c>
      <c r="G3003" s="56" t="s">
        <v>5533</v>
      </c>
      <c r="K3003" s="58" t="s">
        <v>5538</v>
      </c>
      <c r="L3003" s="58" t="s">
        <v>1279</v>
      </c>
      <c r="M3003" s="58" t="s">
        <v>1641</v>
      </c>
      <c r="N3003" s="58" t="s">
        <v>3072</v>
      </c>
      <c r="O3003" s="58" t="s">
        <v>1286</v>
      </c>
      <c r="P3003" s="58" t="str">
        <f t="shared" si="60"/>
        <v>F010</v>
      </c>
      <c r="Q3003" s="58" t="s">
        <v>127</v>
      </c>
      <c r="S3003" s="59">
        <v>20</v>
      </c>
      <c r="T3003" s="58" t="s">
        <v>2299</v>
      </c>
      <c r="U3003" s="58" t="s">
        <v>2236</v>
      </c>
      <c r="V3003" s="58" t="s">
        <v>1857</v>
      </c>
      <c r="Y3003" s="58">
        <v>2342.42</v>
      </c>
      <c r="AB3003" s="58">
        <v>2225.3000000000002</v>
      </c>
    </row>
    <row r="3004" spans="2:28" s="58" customFormat="1" x14ac:dyDescent="0.2">
      <c r="B3004" s="56" t="s">
        <v>2294</v>
      </c>
      <c r="C3004" s="57">
        <v>9230</v>
      </c>
      <c r="D3004" s="48">
        <f t="shared" si="59"/>
        <v>9.2299999999999993E-2</v>
      </c>
      <c r="E3004" s="58" t="s">
        <v>1352</v>
      </c>
      <c r="F3004" s="58" t="s">
        <v>1322</v>
      </c>
      <c r="G3004" s="56" t="s">
        <v>5533</v>
      </c>
      <c r="K3004" s="58" t="s">
        <v>5538</v>
      </c>
      <c r="L3004" s="58" t="s">
        <v>1279</v>
      </c>
      <c r="M3004" s="58" t="s">
        <v>1641</v>
      </c>
      <c r="N3004" s="58" t="s">
        <v>1287</v>
      </c>
      <c r="O3004" s="58" t="s">
        <v>1286</v>
      </c>
      <c r="P3004" s="58" t="str">
        <f t="shared" si="60"/>
        <v>F010</v>
      </c>
      <c r="Q3004" s="58" t="s">
        <v>127</v>
      </c>
      <c r="S3004" s="59">
        <v>20</v>
      </c>
      <c r="T3004" s="58" t="s">
        <v>3262</v>
      </c>
      <c r="U3004" s="58" t="s">
        <v>2236</v>
      </c>
      <c r="V3004" s="58" t="s">
        <v>1857</v>
      </c>
      <c r="Y3004" s="58">
        <v>638.72</v>
      </c>
      <c r="AB3004" s="58">
        <v>606.78</v>
      </c>
    </row>
    <row r="3005" spans="2:28" s="58" customFormat="1" x14ac:dyDescent="0.2">
      <c r="B3005" s="56" t="s">
        <v>2294</v>
      </c>
      <c r="C3005" s="57">
        <v>10770</v>
      </c>
      <c r="D3005" s="48">
        <f t="shared" si="59"/>
        <v>0.1077</v>
      </c>
      <c r="E3005" s="58" t="s">
        <v>1353</v>
      </c>
      <c r="F3005" s="58" t="s">
        <v>3263</v>
      </c>
      <c r="G3005" s="56" t="s">
        <v>5533</v>
      </c>
      <c r="K3005" s="58" t="s">
        <v>5538</v>
      </c>
      <c r="L3005" s="58" t="s">
        <v>1279</v>
      </c>
      <c r="M3005" s="58" t="s">
        <v>1641</v>
      </c>
      <c r="N3005" s="58" t="s">
        <v>1564</v>
      </c>
      <c r="O3005" s="58" t="s">
        <v>1286</v>
      </c>
      <c r="P3005" s="58" t="str">
        <f t="shared" si="60"/>
        <v>F010</v>
      </c>
      <c r="Q3005" s="58" t="s">
        <v>127</v>
      </c>
      <c r="S3005" s="59">
        <v>20</v>
      </c>
      <c r="T3005" s="58" t="s">
        <v>2299</v>
      </c>
      <c r="U3005" s="58" t="s">
        <v>2236</v>
      </c>
      <c r="V3005" s="58" t="s">
        <v>1857</v>
      </c>
      <c r="Y3005" s="58">
        <v>745.28</v>
      </c>
      <c r="AB3005" s="58">
        <v>708.02</v>
      </c>
    </row>
    <row r="3006" spans="2:28" s="58" customFormat="1" x14ac:dyDescent="0.2">
      <c r="B3006" s="56" t="s">
        <v>2294</v>
      </c>
      <c r="C3006" s="57">
        <v>27690</v>
      </c>
      <c r="D3006" s="48">
        <f t="shared" si="59"/>
        <v>0.27689999999999998</v>
      </c>
      <c r="E3006" s="58" t="s">
        <v>1367</v>
      </c>
      <c r="F3006" s="58" t="s">
        <v>1322</v>
      </c>
      <c r="G3006" s="56" t="s">
        <v>5533</v>
      </c>
      <c r="K3006" s="58" t="s">
        <v>5538</v>
      </c>
      <c r="L3006" s="58" t="s">
        <v>1279</v>
      </c>
      <c r="M3006" s="58" t="s">
        <v>1641</v>
      </c>
      <c r="N3006" s="58" t="s">
        <v>1944</v>
      </c>
      <c r="O3006" s="58" t="s">
        <v>1286</v>
      </c>
      <c r="P3006" s="58" t="str">
        <f t="shared" si="60"/>
        <v>F010</v>
      </c>
      <c r="Q3006" s="58" t="s">
        <v>127</v>
      </c>
      <c r="S3006" s="59">
        <v>20</v>
      </c>
      <c r="T3006" s="58" t="s">
        <v>3195</v>
      </c>
      <c r="U3006" s="58" t="s">
        <v>2236</v>
      </c>
      <c r="V3006" s="58" t="s">
        <v>1857</v>
      </c>
      <c r="Y3006" s="58">
        <v>1916.15</v>
      </c>
      <c r="AB3006" s="58">
        <v>1820.34</v>
      </c>
    </row>
    <row r="3007" spans="2:28" s="58" customFormat="1" x14ac:dyDescent="0.2">
      <c r="B3007" s="56" t="s">
        <v>2294</v>
      </c>
      <c r="C3007" s="57">
        <v>7690</v>
      </c>
      <c r="D3007" s="48">
        <f t="shared" si="59"/>
        <v>7.6899999999999996E-2</v>
      </c>
      <c r="E3007" s="58" t="s">
        <v>1331</v>
      </c>
      <c r="F3007" s="58" t="s">
        <v>3196</v>
      </c>
      <c r="G3007" s="56" t="s">
        <v>5533</v>
      </c>
      <c r="K3007" s="58" t="s">
        <v>5543</v>
      </c>
      <c r="L3007" s="58" t="s">
        <v>1279</v>
      </c>
      <c r="M3007" s="58" t="s">
        <v>1641</v>
      </c>
      <c r="N3007" s="58" t="s">
        <v>1285</v>
      </c>
      <c r="O3007" s="58" t="s">
        <v>1286</v>
      </c>
      <c r="P3007" s="58" t="str">
        <f t="shared" si="60"/>
        <v>F010</v>
      </c>
      <c r="Q3007" s="58" t="s">
        <v>127</v>
      </c>
      <c r="S3007" s="59">
        <v>20</v>
      </c>
      <c r="T3007" s="58" t="s">
        <v>2299</v>
      </c>
      <c r="U3007" s="58" t="s">
        <v>2236</v>
      </c>
      <c r="V3007" s="58" t="s">
        <v>1857</v>
      </c>
      <c r="Y3007" s="58">
        <v>532.14</v>
      </c>
      <c r="AB3007" s="58">
        <v>505.54</v>
      </c>
    </row>
    <row r="3008" spans="2:28" s="58" customFormat="1" x14ac:dyDescent="0.2">
      <c r="B3008" s="56" t="s">
        <v>2294</v>
      </c>
      <c r="C3008" s="57">
        <v>3080</v>
      </c>
      <c r="D3008" s="48">
        <f t="shared" si="59"/>
        <v>3.0800000000000001E-2</v>
      </c>
      <c r="E3008" s="58" t="s">
        <v>1337</v>
      </c>
      <c r="F3008" s="58" t="s">
        <v>1322</v>
      </c>
      <c r="G3008" s="56" t="s">
        <v>5533</v>
      </c>
      <c r="K3008" s="58" t="s">
        <v>5543</v>
      </c>
      <c r="L3008" s="58" t="s">
        <v>1279</v>
      </c>
      <c r="M3008" s="58" t="s">
        <v>1641</v>
      </c>
      <c r="N3008" s="58" t="s">
        <v>3337</v>
      </c>
      <c r="O3008" s="58" t="s">
        <v>1286</v>
      </c>
      <c r="P3008" s="58" t="str">
        <f t="shared" si="60"/>
        <v>F010</v>
      </c>
      <c r="Q3008" s="58" t="s">
        <v>127</v>
      </c>
      <c r="S3008" s="59">
        <v>20</v>
      </c>
      <c r="T3008" s="58" t="s">
        <v>3183</v>
      </c>
      <c r="U3008" s="58" t="s">
        <v>2236</v>
      </c>
      <c r="V3008" s="58" t="s">
        <v>1857</v>
      </c>
      <c r="Y3008" s="58">
        <v>213.14</v>
      </c>
      <c r="AB3008" s="58">
        <v>202.48</v>
      </c>
    </row>
    <row r="3009" spans="2:28" s="58" customFormat="1" x14ac:dyDescent="0.2">
      <c r="B3009" s="56" t="s">
        <v>2294</v>
      </c>
      <c r="C3009" s="57">
        <v>7690</v>
      </c>
      <c r="D3009" s="48">
        <f t="shared" si="59"/>
        <v>7.6899999999999996E-2</v>
      </c>
      <c r="E3009" s="58" t="s">
        <v>1348</v>
      </c>
      <c r="F3009" s="58" t="s">
        <v>3184</v>
      </c>
      <c r="G3009" s="56" t="s">
        <v>5533</v>
      </c>
      <c r="K3009" s="58" t="s">
        <v>5543</v>
      </c>
      <c r="L3009" s="58" t="s">
        <v>1279</v>
      </c>
      <c r="M3009" s="58" t="s">
        <v>1641</v>
      </c>
      <c r="N3009" s="58" t="s">
        <v>3222</v>
      </c>
      <c r="O3009" s="58" t="s">
        <v>1286</v>
      </c>
      <c r="P3009" s="58" t="str">
        <f t="shared" si="60"/>
        <v>F010</v>
      </c>
      <c r="Q3009" s="58" t="s">
        <v>127</v>
      </c>
      <c r="S3009" s="59">
        <v>20</v>
      </c>
      <c r="T3009" s="58" t="s">
        <v>2299</v>
      </c>
      <c r="U3009" s="58" t="s">
        <v>2236</v>
      </c>
      <c r="V3009" s="58" t="s">
        <v>1857</v>
      </c>
      <c r="Y3009" s="58">
        <v>532.15</v>
      </c>
      <c r="AB3009" s="58">
        <v>505.54</v>
      </c>
    </row>
    <row r="3010" spans="2:28" s="58" customFormat="1" x14ac:dyDescent="0.2">
      <c r="B3010" s="56" t="s">
        <v>2294</v>
      </c>
      <c r="C3010" s="57">
        <v>33850</v>
      </c>
      <c r="D3010" s="48">
        <f t="shared" si="59"/>
        <v>0.33850000000000002</v>
      </c>
      <c r="E3010" s="58" t="s">
        <v>1351</v>
      </c>
      <c r="F3010" s="58" t="s">
        <v>1322</v>
      </c>
      <c r="G3010" s="56" t="s">
        <v>5533</v>
      </c>
      <c r="K3010" s="58" t="s">
        <v>5543</v>
      </c>
      <c r="L3010" s="58" t="s">
        <v>1279</v>
      </c>
      <c r="M3010" s="58" t="s">
        <v>1641</v>
      </c>
      <c r="N3010" s="58" t="s">
        <v>3072</v>
      </c>
      <c r="O3010" s="58" t="s">
        <v>1286</v>
      </c>
      <c r="P3010" s="58" t="str">
        <f t="shared" si="60"/>
        <v>F010</v>
      </c>
      <c r="Q3010" s="58" t="s">
        <v>127</v>
      </c>
      <c r="S3010" s="59">
        <v>20</v>
      </c>
      <c r="T3010" s="58" t="s">
        <v>3523</v>
      </c>
      <c r="U3010" s="58" t="s">
        <v>2236</v>
      </c>
      <c r="V3010" s="58" t="s">
        <v>1857</v>
      </c>
      <c r="Y3010" s="58">
        <v>2342.42</v>
      </c>
      <c r="AB3010" s="58">
        <v>2225.3000000000002</v>
      </c>
    </row>
    <row r="3011" spans="2:28" s="58" customFormat="1" x14ac:dyDescent="0.2">
      <c r="B3011" s="56" t="s">
        <v>2294</v>
      </c>
      <c r="C3011" s="57">
        <v>9230</v>
      </c>
      <c r="D3011" s="48">
        <f t="shared" si="59"/>
        <v>9.2299999999999993E-2</v>
      </c>
      <c r="E3011" s="58" t="s">
        <v>1352</v>
      </c>
      <c r="F3011" s="58" t="s">
        <v>3524</v>
      </c>
      <c r="G3011" s="56" t="s">
        <v>5533</v>
      </c>
      <c r="K3011" s="58" t="s">
        <v>5543</v>
      </c>
      <c r="L3011" s="58" t="s">
        <v>1279</v>
      </c>
      <c r="M3011" s="58" t="s">
        <v>1641</v>
      </c>
      <c r="N3011" s="58" t="s">
        <v>1287</v>
      </c>
      <c r="O3011" s="58" t="s">
        <v>1286</v>
      </c>
      <c r="P3011" s="58" t="str">
        <f t="shared" si="60"/>
        <v>F010</v>
      </c>
      <c r="Q3011" s="58" t="s">
        <v>127</v>
      </c>
      <c r="S3011" s="59">
        <v>20</v>
      </c>
      <c r="T3011" s="58" t="s">
        <v>2299</v>
      </c>
      <c r="U3011" s="58" t="s">
        <v>2236</v>
      </c>
      <c r="V3011" s="58" t="s">
        <v>1857</v>
      </c>
      <c r="Y3011" s="58">
        <v>638.72</v>
      </c>
      <c r="AB3011" s="58">
        <v>606.78</v>
      </c>
    </row>
    <row r="3012" spans="2:28" s="58" customFormat="1" x14ac:dyDescent="0.2">
      <c r="B3012" s="56" t="s">
        <v>2294</v>
      </c>
      <c r="C3012" s="57">
        <v>10770</v>
      </c>
      <c r="D3012" s="48">
        <f t="shared" si="59"/>
        <v>0.1077</v>
      </c>
      <c r="E3012" s="58" t="s">
        <v>1353</v>
      </c>
      <c r="F3012" s="58" t="s">
        <v>1322</v>
      </c>
      <c r="G3012" s="56" t="s">
        <v>5533</v>
      </c>
      <c r="K3012" s="58" t="s">
        <v>5543</v>
      </c>
      <c r="L3012" s="58" t="s">
        <v>1279</v>
      </c>
      <c r="M3012" s="58" t="s">
        <v>1641</v>
      </c>
      <c r="N3012" s="58" t="s">
        <v>1564</v>
      </c>
      <c r="O3012" s="58" t="s">
        <v>1286</v>
      </c>
      <c r="P3012" s="58" t="str">
        <f t="shared" si="60"/>
        <v>F010</v>
      </c>
      <c r="Q3012" s="58" t="s">
        <v>127</v>
      </c>
      <c r="S3012" s="59">
        <v>20</v>
      </c>
      <c r="T3012" s="58" t="s">
        <v>3461</v>
      </c>
      <c r="U3012" s="58" t="s">
        <v>2236</v>
      </c>
      <c r="V3012" s="58" t="s">
        <v>1857</v>
      </c>
      <c r="Y3012" s="58">
        <v>745.28</v>
      </c>
      <c r="AB3012" s="58">
        <v>708.02</v>
      </c>
    </row>
    <row r="3013" spans="2:28" s="58" customFormat="1" x14ac:dyDescent="0.2">
      <c r="B3013" s="56" t="s">
        <v>2294</v>
      </c>
      <c r="C3013" s="57">
        <v>27690</v>
      </c>
      <c r="D3013" s="48">
        <f t="shared" si="59"/>
        <v>0.27689999999999998</v>
      </c>
      <c r="E3013" s="58" t="s">
        <v>1367</v>
      </c>
      <c r="F3013" s="58" t="s">
        <v>3462</v>
      </c>
      <c r="G3013" s="56" t="s">
        <v>5533</v>
      </c>
      <c r="K3013" s="58" t="s">
        <v>5543</v>
      </c>
      <c r="L3013" s="58" t="s">
        <v>1279</v>
      </c>
      <c r="M3013" s="58" t="s">
        <v>1641</v>
      </c>
      <c r="N3013" s="58" t="s">
        <v>1944</v>
      </c>
      <c r="O3013" s="58" t="s">
        <v>1286</v>
      </c>
      <c r="P3013" s="58" t="str">
        <f t="shared" si="60"/>
        <v>F010</v>
      </c>
      <c r="Q3013" s="58" t="s">
        <v>127</v>
      </c>
      <c r="S3013" s="59">
        <v>20</v>
      </c>
      <c r="T3013" s="58" t="s">
        <v>5507</v>
      </c>
      <c r="U3013" s="58" t="s">
        <v>2236</v>
      </c>
      <c r="V3013" s="58" t="s">
        <v>1857</v>
      </c>
      <c r="Y3013" s="58">
        <v>1916.15</v>
      </c>
      <c r="AB3013" s="58">
        <v>1820.34</v>
      </c>
    </row>
    <row r="3014" spans="2:28" s="58" customFormat="1" x14ac:dyDescent="0.2">
      <c r="B3014" s="56" t="s">
        <v>2294</v>
      </c>
      <c r="C3014" s="57">
        <v>7690</v>
      </c>
      <c r="D3014" s="48">
        <f t="shared" si="59"/>
        <v>7.6899999999999996E-2</v>
      </c>
      <c r="E3014" s="58" t="s">
        <v>1331</v>
      </c>
      <c r="F3014" s="58" t="s">
        <v>5508</v>
      </c>
      <c r="G3014" s="56" t="s">
        <v>5533</v>
      </c>
      <c r="K3014" s="58" t="s">
        <v>5544</v>
      </c>
      <c r="L3014" s="58" t="s">
        <v>1279</v>
      </c>
      <c r="M3014" s="58" t="s">
        <v>1641</v>
      </c>
      <c r="N3014" s="58" t="s">
        <v>1285</v>
      </c>
      <c r="O3014" s="58" t="s">
        <v>1286</v>
      </c>
      <c r="P3014" s="58" t="str">
        <f t="shared" si="60"/>
        <v>F010</v>
      </c>
      <c r="Q3014" s="58" t="s">
        <v>127</v>
      </c>
      <c r="S3014" s="59">
        <v>20</v>
      </c>
      <c r="T3014" s="58" t="s">
        <v>3101</v>
      </c>
      <c r="U3014" s="58" t="s">
        <v>2236</v>
      </c>
      <c r="V3014" s="58" t="s">
        <v>1857</v>
      </c>
      <c r="Y3014" s="58">
        <v>532.14</v>
      </c>
      <c r="AB3014" s="58">
        <v>505.54</v>
      </c>
    </row>
    <row r="3015" spans="2:28" s="58" customFormat="1" x14ac:dyDescent="0.2">
      <c r="B3015" s="56" t="s">
        <v>2294</v>
      </c>
      <c r="C3015" s="57">
        <v>3080</v>
      </c>
      <c r="D3015" s="48">
        <f t="shared" si="59"/>
        <v>3.0800000000000001E-2</v>
      </c>
      <c r="E3015" s="58" t="s">
        <v>1337</v>
      </c>
      <c r="F3015" s="58" t="s">
        <v>3102</v>
      </c>
      <c r="G3015" s="56" t="s">
        <v>5533</v>
      </c>
      <c r="K3015" s="58" t="s">
        <v>5544</v>
      </c>
      <c r="L3015" s="58" t="s">
        <v>1279</v>
      </c>
      <c r="M3015" s="58" t="s">
        <v>1641</v>
      </c>
      <c r="N3015" s="58" t="s">
        <v>3337</v>
      </c>
      <c r="O3015" s="58" t="s">
        <v>1286</v>
      </c>
      <c r="P3015" s="58" t="str">
        <f t="shared" si="60"/>
        <v>F010</v>
      </c>
      <c r="Q3015" s="58" t="s">
        <v>127</v>
      </c>
      <c r="S3015" s="59">
        <v>20</v>
      </c>
      <c r="T3015" s="58" t="s">
        <v>2299</v>
      </c>
      <c r="U3015" s="58" t="s">
        <v>2236</v>
      </c>
      <c r="V3015" s="58" t="s">
        <v>1857</v>
      </c>
      <c r="Y3015" s="58">
        <v>213.14</v>
      </c>
      <c r="AB3015" s="58">
        <v>202.48</v>
      </c>
    </row>
    <row r="3016" spans="2:28" s="58" customFormat="1" x14ac:dyDescent="0.2">
      <c r="B3016" s="56" t="s">
        <v>2294</v>
      </c>
      <c r="C3016" s="57">
        <v>7690</v>
      </c>
      <c r="D3016" s="48">
        <f t="shared" si="59"/>
        <v>7.6899999999999996E-2</v>
      </c>
      <c r="E3016" s="58" t="s">
        <v>1348</v>
      </c>
      <c r="F3016" s="58" t="s">
        <v>1322</v>
      </c>
      <c r="G3016" s="56" t="s">
        <v>5533</v>
      </c>
      <c r="K3016" s="58" t="s">
        <v>5544</v>
      </c>
      <c r="L3016" s="58" t="s">
        <v>1279</v>
      </c>
      <c r="M3016" s="58" t="s">
        <v>1641</v>
      </c>
      <c r="N3016" s="58" t="s">
        <v>3222</v>
      </c>
      <c r="O3016" s="58" t="s">
        <v>1286</v>
      </c>
      <c r="P3016" s="58" t="str">
        <f t="shared" si="60"/>
        <v>F010</v>
      </c>
      <c r="Q3016" s="58" t="s">
        <v>127</v>
      </c>
      <c r="S3016" s="59">
        <v>20</v>
      </c>
      <c r="T3016" s="58" t="s">
        <v>3191</v>
      </c>
      <c r="U3016" s="58" t="s">
        <v>2236</v>
      </c>
      <c r="V3016" s="58" t="s">
        <v>1857</v>
      </c>
      <c r="Y3016" s="58">
        <v>532.15</v>
      </c>
      <c r="AB3016" s="58">
        <v>505.54</v>
      </c>
    </row>
    <row r="3017" spans="2:28" s="58" customFormat="1" x14ac:dyDescent="0.2">
      <c r="B3017" s="56" t="s">
        <v>2294</v>
      </c>
      <c r="C3017" s="57">
        <v>33850</v>
      </c>
      <c r="D3017" s="48">
        <f t="shared" si="59"/>
        <v>0.33850000000000002</v>
      </c>
      <c r="E3017" s="58" t="s">
        <v>1351</v>
      </c>
      <c r="F3017" s="58" t="s">
        <v>3192</v>
      </c>
      <c r="G3017" s="56" t="s">
        <v>5533</v>
      </c>
      <c r="K3017" s="58" t="s">
        <v>5544</v>
      </c>
      <c r="L3017" s="58" t="s">
        <v>1279</v>
      </c>
      <c r="M3017" s="58" t="s">
        <v>1641</v>
      </c>
      <c r="N3017" s="58" t="s">
        <v>3072</v>
      </c>
      <c r="O3017" s="58" t="s">
        <v>1286</v>
      </c>
      <c r="P3017" s="58" t="str">
        <f t="shared" si="60"/>
        <v>F010</v>
      </c>
      <c r="Q3017" s="58" t="s">
        <v>127</v>
      </c>
      <c r="S3017" s="59">
        <v>20</v>
      </c>
      <c r="T3017" s="58" t="s">
        <v>2299</v>
      </c>
      <c r="U3017" s="58" t="s">
        <v>2236</v>
      </c>
      <c r="V3017" s="58" t="s">
        <v>1857</v>
      </c>
      <c r="Y3017" s="58">
        <v>2342.42</v>
      </c>
      <c r="AB3017" s="58">
        <v>2225.3000000000002</v>
      </c>
    </row>
    <row r="3018" spans="2:28" s="58" customFormat="1" x14ac:dyDescent="0.2">
      <c r="B3018" s="56" t="s">
        <v>2294</v>
      </c>
      <c r="C3018" s="57">
        <v>9230</v>
      </c>
      <c r="D3018" s="48">
        <f t="shared" si="59"/>
        <v>9.2299999999999993E-2</v>
      </c>
      <c r="E3018" s="58" t="s">
        <v>1352</v>
      </c>
      <c r="F3018" s="58" t="s">
        <v>1322</v>
      </c>
      <c r="G3018" s="56" t="s">
        <v>5533</v>
      </c>
      <c r="K3018" s="58" t="s">
        <v>5544</v>
      </c>
      <c r="L3018" s="58" t="s">
        <v>1279</v>
      </c>
      <c r="M3018" s="58" t="s">
        <v>1641</v>
      </c>
      <c r="N3018" s="58" t="s">
        <v>1287</v>
      </c>
      <c r="O3018" s="58" t="s">
        <v>1286</v>
      </c>
      <c r="P3018" s="58" t="str">
        <f t="shared" si="60"/>
        <v>F010</v>
      </c>
      <c r="Q3018" s="58" t="s">
        <v>127</v>
      </c>
      <c r="S3018" s="59">
        <v>20</v>
      </c>
      <c r="T3018" s="58" t="s">
        <v>3422</v>
      </c>
      <c r="U3018" s="58" t="s">
        <v>2236</v>
      </c>
      <c r="V3018" s="58" t="s">
        <v>1857</v>
      </c>
      <c r="Y3018" s="58">
        <v>638.72</v>
      </c>
      <c r="AB3018" s="58">
        <v>606.78</v>
      </c>
    </row>
    <row r="3019" spans="2:28" s="58" customFormat="1" x14ac:dyDescent="0.2">
      <c r="B3019" s="56" t="s">
        <v>2294</v>
      </c>
      <c r="C3019" s="57">
        <v>10770</v>
      </c>
      <c r="D3019" s="48">
        <f t="shared" si="59"/>
        <v>0.1077</v>
      </c>
      <c r="E3019" s="58" t="s">
        <v>1353</v>
      </c>
      <c r="F3019" s="58" t="s">
        <v>3423</v>
      </c>
      <c r="G3019" s="56" t="s">
        <v>5533</v>
      </c>
      <c r="K3019" s="58" t="s">
        <v>5544</v>
      </c>
      <c r="L3019" s="58" t="s">
        <v>1279</v>
      </c>
      <c r="M3019" s="58" t="s">
        <v>1641</v>
      </c>
      <c r="N3019" s="58" t="s">
        <v>1564</v>
      </c>
      <c r="O3019" s="58" t="s">
        <v>1286</v>
      </c>
      <c r="P3019" s="58" t="str">
        <f t="shared" si="60"/>
        <v>F010</v>
      </c>
      <c r="Q3019" s="58" t="s">
        <v>127</v>
      </c>
      <c r="S3019" s="59">
        <v>20</v>
      </c>
      <c r="T3019" s="58" t="s">
        <v>2299</v>
      </c>
      <c r="U3019" s="58" t="s">
        <v>2236</v>
      </c>
      <c r="V3019" s="58" t="s">
        <v>1857</v>
      </c>
      <c r="Y3019" s="58">
        <v>745.28</v>
      </c>
      <c r="AB3019" s="58">
        <v>708.02</v>
      </c>
    </row>
    <row r="3020" spans="2:28" s="58" customFormat="1" x14ac:dyDescent="0.2">
      <c r="B3020" s="56" t="s">
        <v>2294</v>
      </c>
      <c r="C3020" s="57">
        <v>27690</v>
      </c>
      <c r="D3020" s="48">
        <f t="shared" si="59"/>
        <v>0.27689999999999998</v>
      </c>
      <c r="E3020" s="58" t="s">
        <v>1367</v>
      </c>
      <c r="F3020" s="58" t="s">
        <v>1322</v>
      </c>
      <c r="G3020" s="56" t="s">
        <v>5533</v>
      </c>
      <c r="K3020" s="58" t="s">
        <v>5544</v>
      </c>
      <c r="L3020" s="58" t="s">
        <v>1279</v>
      </c>
      <c r="M3020" s="58" t="s">
        <v>1641</v>
      </c>
      <c r="N3020" s="58" t="s">
        <v>1944</v>
      </c>
      <c r="O3020" s="58" t="s">
        <v>1286</v>
      </c>
      <c r="P3020" s="58" t="str">
        <f t="shared" si="60"/>
        <v>F010</v>
      </c>
      <c r="Q3020" s="58" t="s">
        <v>127</v>
      </c>
      <c r="S3020" s="59">
        <v>20</v>
      </c>
      <c r="T3020" s="58" t="s">
        <v>3448</v>
      </c>
      <c r="U3020" s="58" t="s">
        <v>2236</v>
      </c>
      <c r="V3020" s="58" t="s">
        <v>1857</v>
      </c>
      <c r="Y3020" s="58">
        <v>1916.15</v>
      </c>
      <c r="AB3020" s="58">
        <v>1820.34</v>
      </c>
    </row>
    <row r="3021" spans="2:28" s="58" customFormat="1" x14ac:dyDescent="0.2">
      <c r="B3021" s="56" t="s">
        <v>2294</v>
      </c>
      <c r="C3021" s="57">
        <v>7690</v>
      </c>
      <c r="D3021" s="48">
        <f t="shared" si="59"/>
        <v>7.6899999999999996E-2</v>
      </c>
      <c r="E3021" s="58" t="s">
        <v>1331</v>
      </c>
      <c r="F3021" s="58" t="s">
        <v>3449</v>
      </c>
      <c r="G3021" s="56" t="s">
        <v>5533</v>
      </c>
      <c r="K3021" s="58" t="s">
        <v>5545</v>
      </c>
      <c r="L3021" s="58" t="s">
        <v>1279</v>
      </c>
      <c r="M3021" s="58" t="s">
        <v>1641</v>
      </c>
      <c r="N3021" s="58" t="s">
        <v>1285</v>
      </c>
      <c r="O3021" s="58" t="s">
        <v>1286</v>
      </c>
      <c r="P3021" s="58" t="str">
        <f t="shared" si="60"/>
        <v>F010</v>
      </c>
      <c r="Q3021" s="58" t="s">
        <v>127</v>
      </c>
      <c r="S3021" s="59">
        <v>20</v>
      </c>
      <c r="T3021" s="58" t="s">
        <v>2299</v>
      </c>
      <c r="U3021" s="58" t="s">
        <v>2236</v>
      </c>
      <c r="V3021" s="58" t="s">
        <v>1857</v>
      </c>
      <c r="Y3021" s="58">
        <v>532.14</v>
      </c>
      <c r="AB3021" s="58">
        <v>505.54</v>
      </c>
    </row>
    <row r="3022" spans="2:28" s="58" customFormat="1" x14ac:dyDescent="0.2">
      <c r="B3022" s="56" t="s">
        <v>2294</v>
      </c>
      <c r="C3022" s="57">
        <v>3080</v>
      </c>
      <c r="D3022" s="48">
        <f t="shared" si="59"/>
        <v>3.0800000000000001E-2</v>
      </c>
      <c r="E3022" s="58" t="s">
        <v>1337</v>
      </c>
      <c r="F3022" s="58" t="s">
        <v>1322</v>
      </c>
      <c r="G3022" s="56" t="s">
        <v>5533</v>
      </c>
      <c r="K3022" s="58" t="s">
        <v>5545</v>
      </c>
      <c r="L3022" s="58" t="s">
        <v>1279</v>
      </c>
      <c r="M3022" s="58" t="s">
        <v>1641</v>
      </c>
      <c r="N3022" s="58" t="s">
        <v>3337</v>
      </c>
      <c r="O3022" s="58" t="s">
        <v>1286</v>
      </c>
      <c r="P3022" s="58" t="str">
        <f t="shared" si="60"/>
        <v>F010</v>
      </c>
      <c r="Q3022" s="58" t="s">
        <v>127</v>
      </c>
      <c r="S3022" s="59">
        <v>20</v>
      </c>
      <c r="T3022" s="58" t="s">
        <v>3523</v>
      </c>
      <c r="U3022" s="58" t="s">
        <v>2236</v>
      </c>
      <c r="V3022" s="58" t="s">
        <v>1857</v>
      </c>
      <c r="Y3022" s="58">
        <v>213.14</v>
      </c>
      <c r="AB3022" s="58">
        <v>202.48</v>
      </c>
    </row>
    <row r="3023" spans="2:28" s="58" customFormat="1" x14ac:dyDescent="0.2">
      <c r="B3023" s="56" t="s">
        <v>2294</v>
      </c>
      <c r="C3023" s="57">
        <v>7690</v>
      </c>
      <c r="D3023" s="48">
        <f t="shared" si="59"/>
        <v>7.6899999999999996E-2</v>
      </c>
      <c r="E3023" s="58" t="s">
        <v>1348</v>
      </c>
      <c r="F3023" s="58" t="s">
        <v>3524</v>
      </c>
      <c r="G3023" s="56" t="s">
        <v>5533</v>
      </c>
      <c r="K3023" s="58" t="s">
        <v>5545</v>
      </c>
      <c r="L3023" s="58" t="s">
        <v>1279</v>
      </c>
      <c r="M3023" s="58" t="s">
        <v>1641</v>
      </c>
      <c r="N3023" s="58" t="s">
        <v>3222</v>
      </c>
      <c r="O3023" s="58" t="s">
        <v>1286</v>
      </c>
      <c r="P3023" s="58" t="str">
        <f t="shared" si="60"/>
        <v>F010</v>
      </c>
      <c r="Q3023" s="58" t="s">
        <v>127</v>
      </c>
      <c r="S3023" s="59">
        <v>20</v>
      </c>
      <c r="T3023" s="58" t="s">
        <v>2299</v>
      </c>
      <c r="U3023" s="58" t="s">
        <v>2236</v>
      </c>
      <c r="V3023" s="58" t="s">
        <v>1857</v>
      </c>
      <c r="Y3023" s="58">
        <v>532.15</v>
      </c>
      <c r="AB3023" s="58">
        <v>505.54</v>
      </c>
    </row>
    <row r="3024" spans="2:28" s="58" customFormat="1" x14ac:dyDescent="0.2">
      <c r="B3024" s="56" t="s">
        <v>2294</v>
      </c>
      <c r="C3024" s="57">
        <v>33850</v>
      </c>
      <c r="D3024" s="48">
        <f t="shared" si="59"/>
        <v>0.33850000000000002</v>
      </c>
      <c r="E3024" s="58" t="s">
        <v>1351</v>
      </c>
      <c r="F3024" s="58" t="s">
        <v>1322</v>
      </c>
      <c r="G3024" s="56" t="s">
        <v>5533</v>
      </c>
      <c r="K3024" s="58" t="s">
        <v>5545</v>
      </c>
      <c r="L3024" s="58" t="s">
        <v>1279</v>
      </c>
      <c r="M3024" s="58" t="s">
        <v>1641</v>
      </c>
      <c r="N3024" s="58" t="s">
        <v>3072</v>
      </c>
      <c r="O3024" s="58" t="s">
        <v>1286</v>
      </c>
      <c r="P3024" s="58" t="str">
        <f t="shared" si="60"/>
        <v>F010</v>
      </c>
      <c r="Q3024" s="58" t="s">
        <v>127</v>
      </c>
      <c r="S3024" s="59">
        <v>20</v>
      </c>
      <c r="T3024" s="58" t="s">
        <v>3710</v>
      </c>
      <c r="U3024" s="58" t="s">
        <v>2236</v>
      </c>
      <c r="V3024" s="58" t="s">
        <v>1857</v>
      </c>
      <c r="Y3024" s="58">
        <v>2342.42</v>
      </c>
      <c r="AB3024" s="58">
        <v>2225.3000000000002</v>
      </c>
    </row>
    <row r="3025" spans="2:28" s="58" customFormat="1" x14ac:dyDescent="0.2">
      <c r="B3025" s="56" t="s">
        <v>2294</v>
      </c>
      <c r="C3025" s="57">
        <v>9230</v>
      </c>
      <c r="D3025" s="48">
        <f t="shared" si="59"/>
        <v>9.2299999999999993E-2</v>
      </c>
      <c r="E3025" s="58" t="s">
        <v>1352</v>
      </c>
      <c r="F3025" s="58" t="s">
        <v>3711</v>
      </c>
      <c r="G3025" s="56" t="s">
        <v>5533</v>
      </c>
      <c r="K3025" s="58" t="s">
        <v>5545</v>
      </c>
      <c r="L3025" s="58" t="s">
        <v>1279</v>
      </c>
      <c r="M3025" s="58" t="s">
        <v>1641</v>
      </c>
      <c r="N3025" s="58" t="s">
        <v>1287</v>
      </c>
      <c r="O3025" s="58" t="s">
        <v>1286</v>
      </c>
      <c r="P3025" s="58" t="str">
        <f t="shared" si="60"/>
        <v>F010</v>
      </c>
      <c r="Q3025" s="58" t="s">
        <v>127</v>
      </c>
      <c r="S3025" s="59">
        <v>20</v>
      </c>
      <c r="T3025" s="58" t="s">
        <v>2299</v>
      </c>
      <c r="U3025" s="58" t="s">
        <v>2236</v>
      </c>
      <c r="V3025" s="58" t="s">
        <v>1857</v>
      </c>
      <c r="Y3025" s="58">
        <v>638.72</v>
      </c>
      <c r="AB3025" s="58">
        <v>606.78</v>
      </c>
    </row>
    <row r="3026" spans="2:28" s="58" customFormat="1" x14ac:dyDescent="0.2">
      <c r="B3026" s="56" t="s">
        <v>2294</v>
      </c>
      <c r="C3026" s="57">
        <v>10770</v>
      </c>
      <c r="D3026" s="48">
        <f t="shared" si="59"/>
        <v>0.1077</v>
      </c>
      <c r="E3026" s="58" t="s">
        <v>1353</v>
      </c>
      <c r="F3026" s="58" t="s">
        <v>1322</v>
      </c>
      <c r="G3026" s="56" t="s">
        <v>5533</v>
      </c>
      <c r="K3026" s="58" t="s">
        <v>5545</v>
      </c>
      <c r="L3026" s="58" t="s">
        <v>1279</v>
      </c>
      <c r="M3026" s="58" t="s">
        <v>1641</v>
      </c>
      <c r="N3026" s="58" t="s">
        <v>1564</v>
      </c>
      <c r="O3026" s="58" t="s">
        <v>1286</v>
      </c>
      <c r="P3026" s="58" t="str">
        <f t="shared" si="60"/>
        <v>F010</v>
      </c>
      <c r="Q3026" s="58" t="s">
        <v>127</v>
      </c>
      <c r="S3026" s="59">
        <v>20</v>
      </c>
      <c r="T3026" s="58" t="s">
        <v>3533</v>
      </c>
      <c r="U3026" s="58" t="s">
        <v>2236</v>
      </c>
      <c r="V3026" s="58" t="s">
        <v>1857</v>
      </c>
      <c r="Y3026" s="58">
        <v>745.28</v>
      </c>
      <c r="AB3026" s="58">
        <v>708.02</v>
      </c>
    </row>
    <row r="3027" spans="2:28" s="58" customFormat="1" x14ac:dyDescent="0.2">
      <c r="B3027" s="56" t="s">
        <v>2294</v>
      </c>
      <c r="C3027" s="57">
        <v>27690</v>
      </c>
      <c r="D3027" s="48">
        <f t="shared" si="59"/>
        <v>0.27689999999999998</v>
      </c>
      <c r="E3027" s="58" t="s">
        <v>1367</v>
      </c>
      <c r="F3027" s="58" t="s">
        <v>3534</v>
      </c>
      <c r="G3027" s="56" t="s">
        <v>5533</v>
      </c>
      <c r="K3027" s="58" t="s">
        <v>5545</v>
      </c>
      <c r="L3027" s="58" t="s">
        <v>1279</v>
      </c>
      <c r="M3027" s="58" t="s">
        <v>1641</v>
      </c>
      <c r="N3027" s="58" t="s">
        <v>1944</v>
      </c>
      <c r="O3027" s="58" t="s">
        <v>1286</v>
      </c>
      <c r="P3027" s="58" t="str">
        <f t="shared" si="60"/>
        <v>F010</v>
      </c>
      <c r="Q3027" s="58" t="s">
        <v>127</v>
      </c>
      <c r="S3027" s="59">
        <v>20</v>
      </c>
      <c r="T3027" s="58" t="s">
        <v>2299</v>
      </c>
      <c r="U3027" s="58" t="s">
        <v>2236</v>
      </c>
      <c r="V3027" s="58" t="s">
        <v>1857</v>
      </c>
      <c r="Y3027" s="58">
        <v>1916.15</v>
      </c>
      <c r="AB3027" s="58">
        <v>1820.34</v>
      </c>
    </row>
    <row r="3028" spans="2:28" x14ac:dyDescent="0.2">
      <c r="B3028" s="30" t="s">
        <v>2294</v>
      </c>
      <c r="C3028" s="36"/>
      <c r="D3028" s="36"/>
      <c r="F3028" s="1" t="s">
        <v>1322</v>
      </c>
      <c r="G3028" s="30" t="s">
        <v>5546</v>
      </c>
      <c r="K3028" s="1" t="s">
        <v>5547</v>
      </c>
      <c r="L3028" s="1" t="s">
        <v>1279</v>
      </c>
      <c r="M3028" s="36" t="s">
        <v>1413</v>
      </c>
      <c r="N3028" s="1" t="s">
        <v>1284</v>
      </c>
      <c r="O3028" s="1" t="s">
        <v>1286</v>
      </c>
      <c r="P3028" s="34" t="str">
        <f t="shared" si="60"/>
        <v>F010</v>
      </c>
      <c r="Q3028" s="1" t="s">
        <v>127</v>
      </c>
      <c r="S3028" s="16">
        <v>20</v>
      </c>
      <c r="T3028" s="1" t="s">
        <v>5516</v>
      </c>
      <c r="U3028" s="1" t="s">
        <v>1484</v>
      </c>
      <c r="V3028" s="1" t="s">
        <v>1476</v>
      </c>
      <c r="Y3028" s="1">
        <v>3136.11</v>
      </c>
      <c r="AB3028" s="1">
        <v>2979.3</v>
      </c>
    </row>
    <row r="3029" spans="2:28" x14ac:dyDescent="0.2">
      <c r="B3029" s="30" t="s">
        <v>2294</v>
      </c>
      <c r="C3029" s="36"/>
      <c r="D3029" s="36"/>
      <c r="F3029" s="1" t="s">
        <v>5517</v>
      </c>
      <c r="G3029" s="30" t="s">
        <v>5546</v>
      </c>
      <c r="K3029" s="1" t="s">
        <v>5548</v>
      </c>
      <c r="L3029" s="1" t="s">
        <v>1279</v>
      </c>
      <c r="M3029" s="36" t="s">
        <v>1413</v>
      </c>
      <c r="N3029" s="1" t="s">
        <v>1284</v>
      </c>
      <c r="O3029" s="1" t="s">
        <v>1286</v>
      </c>
      <c r="P3029" s="34" t="str">
        <f t="shared" si="60"/>
        <v>F010</v>
      </c>
      <c r="Q3029" s="1" t="s">
        <v>127</v>
      </c>
      <c r="S3029" s="16">
        <v>20</v>
      </c>
      <c r="T3029" s="1" t="s">
        <v>2299</v>
      </c>
      <c r="U3029" s="1" t="s">
        <v>1484</v>
      </c>
      <c r="V3029" s="1" t="s">
        <v>1476</v>
      </c>
      <c r="Y3029" s="1">
        <v>3136.11</v>
      </c>
      <c r="AB3029" s="1">
        <v>2979.3</v>
      </c>
    </row>
    <row r="3030" spans="2:28" x14ac:dyDescent="0.2">
      <c r="B3030" s="30" t="s">
        <v>2294</v>
      </c>
      <c r="C3030" s="36"/>
      <c r="D3030" s="36"/>
      <c r="F3030" s="1" t="s">
        <v>1322</v>
      </c>
      <c r="G3030" s="30" t="s">
        <v>5546</v>
      </c>
      <c r="K3030" s="1" t="s">
        <v>5549</v>
      </c>
      <c r="L3030" s="1" t="s">
        <v>1279</v>
      </c>
      <c r="M3030" s="36" t="s">
        <v>1413</v>
      </c>
      <c r="N3030" s="1" t="s">
        <v>1284</v>
      </c>
      <c r="O3030" s="1" t="s">
        <v>1286</v>
      </c>
      <c r="P3030" s="34" t="str">
        <f t="shared" si="60"/>
        <v>F010</v>
      </c>
      <c r="Q3030" s="1" t="s">
        <v>127</v>
      </c>
      <c r="S3030" s="16">
        <v>20</v>
      </c>
      <c r="T3030" s="1" t="s">
        <v>3533</v>
      </c>
      <c r="U3030" s="1" t="s">
        <v>1484</v>
      </c>
      <c r="V3030" s="1" t="s">
        <v>1476</v>
      </c>
      <c r="Y3030" s="1">
        <v>3136.11</v>
      </c>
      <c r="AB3030" s="1">
        <v>2979.3</v>
      </c>
    </row>
    <row r="3031" spans="2:28" x14ac:dyDescent="0.2">
      <c r="B3031" s="30" t="s">
        <v>2294</v>
      </c>
      <c r="C3031" s="36"/>
      <c r="D3031" s="36"/>
      <c r="F3031" s="1" t="s">
        <v>3534</v>
      </c>
      <c r="G3031" s="30" t="s">
        <v>5546</v>
      </c>
      <c r="K3031" s="1" t="s">
        <v>5550</v>
      </c>
      <c r="L3031" s="1" t="s">
        <v>1279</v>
      </c>
      <c r="M3031" s="36" t="s">
        <v>1413</v>
      </c>
      <c r="N3031" s="1" t="s">
        <v>1284</v>
      </c>
      <c r="O3031" s="1" t="s">
        <v>1286</v>
      </c>
      <c r="P3031" s="34" t="str">
        <f t="shared" si="60"/>
        <v>F010</v>
      </c>
      <c r="Q3031" s="1" t="s">
        <v>127</v>
      </c>
      <c r="S3031" s="16">
        <v>20</v>
      </c>
      <c r="T3031" s="1" t="s">
        <v>2299</v>
      </c>
      <c r="U3031" s="1" t="s">
        <v>1484</v>
      </c>
      <c r="V3031" s="1" t="s">
        <v>1476</v>
      </c>
      <c r="Y3031" s="1">
        <v>3136.11</v>
      </c>
      <c r="AB3031" s="1">
        <v>2979.3</v>
      </c>
    </row>
    <row r="3032" spans="2:28" x14ac:dyDescent="0.2">
      <c r="B3032" s="30" t="s">
        <v>2294</v>
      </c>
      <c r="C3032" s="36"/>
      <c r="D3032" s="36"/>
      <c r="F3032" s="1" t="s">
        <v>1322</v>
      </c>
      <c r="G3032" s="30" t="s">
        <v>5551</v>
      </c>
      <c r="K3032" s="1" t="s">
        <v>5552</v>
      </c>
      <c r="L3032" s="1" t="s">
        <v>1279</v>
      </c>
      <c r="M3032" s="36" t="s">
        <v>2014</v>
      </c>
      <c r="N3032" s="1" t="s">
        <v>1284</v>
      </c>
      <c r="O3032" s="1" t="s">
        <v>1286</v>
      </c>
      <c r="P3032" s="34" t="str">
        <f t="shared" si="60"/>
        <v>F010</v>
      </c>
      <c r="Q3032" s="1" t="s">
        <v>127</v>
      </c>
      <c r="S3032" s="16">
        <v>20</v>
      </c>
      <c r="T3032" s="1" t="s">
        <v>5440</v>
      </c>
      <c r="U3032" s="1" t="s">
        <v>1334</v>
      </c>
      <c r="V3032" s="1" t="s">
        <v>1377</v>
      </c>
      <c r="Y3032" s="1">
        <v>3192.03</v>
      </c>
      <c r="AB3032" s="1">
        <v>1853.15</v>
      </c>
    </row>
    <row r="3033" spans="2:28" x14ac:dyDescent="0.2">
      <c r="B3033" s="30" t="s">
        <v>2294</v>
      </c>
      <c r="C3033" s="36"/>
      <c r="D3033" s="36"/>
      <c r="F3033" s="1" t="s">
        <v>5441</v>
      </c>
      <c r="G3033" s="30" t="s">
        <v>5551</v>
      </c>
      <c r="K3033" s="1" t="s">
        <v>5553</v>
      </c>
      <c r="L3033" s="1" t="s">
        <v>1279</v>
      </c>
      <c r="M3033" s="36" t="s">
        <v>2014</v>
      </c>
      <c r="N3033" s="1" t="s">
        <v>1284</v>
      </c>
      <c r="O3033" s="1" t="s">
        <v>1286</v>
      </c>
      <c r="P3033" s="34" t="str">
        <f t="shared" si="60"/>
        <v>F010</v>
      </c>
      <c r="Q3033" s="1" t="s">
        <v>127</v>
      </c>
      <c r="S3033" s="16">
        <v>20</v>
      </c>
      <c r="T3033" s="1" t="s">
        <v>2299</v>
      </c>
      <c r="U3033" s="1" t="s">
        <v>1334</v>
      </c>
      <c r="V3033" s="1" t="s">
        <v>1377</v>
      </c>
      <c r="Y3033" s="1">
        <v>3192.03</v>
      </c>
      <c r="AB3033" s="1">
        <v>1853.15</v>
      </c>
    </row>
    <row r="3034" spans="2:28" x14ac:dyDescent="0.2">
      <c r="B3034" s="30" t="s">
        <v>2294</v>
      </c>
      <c r="C3034" s="36"/>
      <c r="D3034" s="36"/>
      <c r="F3034" s="1" t="s">
        <v>1322</v>
      </c>
      <c r="G3034" s="30" t="s">
        <v>5551</v>
      </c>
      <c r="K3034" s="1" t="s">
        <v>5554</v>
      </c>
      <c r="L3034" s="1" t="s">
        <v>1279</v>
      </c>
      <c r="M3034" s="36" t="s">
        <v>2014</v>
      </c>
      <c r="N3034" s="1" t="s">
        <v>1284</v>
      </c>
      <c r="O3034" s="1" t="s">
        <v>1286</v>
      </c>
      <c r="P3034" s="34" t="str">
        <f t="shared" si="60"/>
        <v>F010</v>
      </c>
      <c r="Q3034" s="1" t="s">
        <v>127</v>
      </c>
      <c r="S3034" s="16">
        <v>20</v>
      </c>
      <c r="T3034" s="1" t="s">
        <v>5555</v>
      </c>
      <c r="U3034" s="1" t="s">
        <v>1334</v>
      </c>
      <c r="V3034" s="1" t="s">
        <v>1377</v>
      </c>
      <c r="Y3034" s="1">
        <v>6384.03</v>
      </c>
      <c r="AB3034" s="1">
        <v>3803.8</v>
      </c>
    </row>
    <row r="3035" spans="2:28" x14ac:dyDescent="0.2">
      <c r="B3035" s="30" t="s">
        <v>2294</v>
      </c>
      <c r="C3035" s="36"/>
      <c r="D3035" s="36"/>
      <c r="F3035" s="1" t="s">
        <v>5556</v>
      </c>
      <c r="G3035" s="30" t="s">
        <v>5551</v>
      </c>
      <c r="K3035" s="1" t="s">
        <v>5557</v>
      </c>
      <c r="L3035" s="1" t="s">
        <v>1279</v>
      </c>
      <c r="M3035" s="36" t="s">
        <v>2014</v>
      </c>
      <c r="N3035" s="1" t="s">
        <v>1287</v>
      </c>
      <c r="O3035" s="1" t="s">
        <v>1286</v>
      </c>
      <c r="P3035" s="34" t="str">
        <f t="shared" si="60"/>
        <v>F010</v>
      </c>
      <c r="Q3035" s="1" t="s">
        <v>127</v>
      </c>
      <c r="S3035" s="16">
        <v>20</v>
      </c>
      <c r="T3035" s="1" t="s">
        <v>2299</v>
      </c>
      <c r="U3035" s="1" t="s">
        <v>1334</v>
      </c>
      <c r="V3035" s="1" t="s">
        <v>1377</v>
      </c>
      <c r="Y3035" s="1">
        <v>3192.03</v>
      </c>
      <c r="AB3035" s="1">
        <v>1853.15</v>
      </c>
    </row>
    <row r="3036" spans="2:28" x14ac:dyDescent="0.2">
      <c r="B3036" s="30" t="s">
        <v>2294</v>
      </c>
      <c r="C3036" s="36"/>
      <c r="D3036" s="36"/>
      <c r="F3036" s="1" t="s">
        <v>1322</v>
      </c>
      <c r="G3036" s="30" t="s">
        <v>5551</v>
      </c>
      <c r="K3036" s="1" t="s">
        <v>5558</v>
      </c>
      <c r="L3036" s="1" t="s">
        <v>1279</v>
      </c>
      <c r="M3036" s="36" t="s">
        <v>2014</v>
      </c>
      <c r="N3036" s="1" t="s">
        <v>1284</v>
      </c>
      <c r="O3036" s="1" t="s">
        <v>1286</v>
      </c>
      <c r="P3036" s="34" t="str">
        <f t="shared" si="60"/>
        <v>F010</v>
      </c>
      <c r="Q3036" s="1" t="s">
        <v>127</v>
      </c>
      <c r="S3036" s="16">
        <v>20</v>
      </c>
      <c r="T3036" s="1" t="s">
        <v>3143</v>
      </c>
      <c r="U3036" s="1" t="s">
        <v>1334</v>
      </c>
      <c r="V3036" s="1" t="s">
        <v>1377</v>
      </c>
      <c r="Y3036" s="1">
        <v>3192.03</v>
      </c>
      <c r="AB3036" s="1">
        <v>1853.15</v>
      </c>
    </row>
    <row r="3037" spans="2:28" x14ac:dyDescent="0.2">
      <c r="B3037" s="30" t="s">
        <v>2294</v>
      </c>
      <c r="C3037" s="36"/>
      <c r="D3037" s="36"/>
      <c r="F3037" s="1" t="s">
        <v>3144</v>
      </c>
      <c r="G3037" s="30" t="s">
        <v>5551</v>
      </c>
      <c r="K3037" s="1" t="s">
        <v>5559</v>
      </c>
      <c r="L3037" s="1" t="s">
        <v>1279</v>
      </c>
      <c r="M3037" s="36" t="s">
        <v>2014</v>
      </c>
      <c r="N3037" s="1" t="s">
        <v>1284</v>
      </c>
      <c r="O3037" s="1" t="s">
        <v>1286</v>
      </c>
      <c r="P3037" s="34" t="str">
        <f t="shared" si="60"/>
        <v>F010</v>
      </c>
      <c r="Q3037" s="1" t="s">
        <v>127</v>
      </c>
      <c r="S3037" s="16">
        <v>20</v>
      </c>
      <c r="T3037" s="1" t="s">
        <v>2299</v>
      </c>
      <c r="U3037" s="1" t="s">
        <v>1334</v>
      </c>
      <c r="V3037" s="1" t="s">
        <v>1377</v>
      </c>
      <c r="Y3037" s="1">
        <v>3192.02</v>
      </c>
      <c r="AB3037" s="1">
        <v>1853.14</v>
      </c>
    </row>
    <row r="3038" spans="2:28" x14ac:dyDescent="0.2">
      <c r="B3038" s="30" t="s">
        <v>2294</v>
      </c>
      <c r="C3038" s="36"/>
      <c r="D3038" s="36"/>
      <c r="F3038" s="1" t="s">
        <v>1322</v>
      </c>
      <c r="G3038" s="30" t="s">
        <v>5551</v>
      </c>
      <c r="K3038" s="1" t="s">
        <v>5560</v>
      </c>
      <c r="L3038" s="1" t="s">
        <v>1279</v>
      </c>
      <c r="M3038" s="36" t="s">
        <v>2014</v>
      </c>
      <c r="N3038" s="1" t="s">
        <v>1287</v>
      </c>
      <c r="O3038" s="1" t="s">
        <v>1286</v>
      </c>
      <c r="P3038" s="34" t="str">
        <f t="shared" si="60"/>
        <v>F010</v>
      </c>
      <c r="Q3038" s="1" t="s">
        <v>127</v>
      </c>
      <c r="S3038" s="16">
        <v>20</v>
      </c>
      <c r="T3038" s="1" t="s">
        <v>5516</v>
      </c>
      <c r="U3038" s="1" t="s">
        <v>1334</v>
      </c>
      <c r="V3038" s="1" t="s">
        <v>1377</v>
      </c>
      <c r="Y3038" s="1">
        <v>3192.03</v>
      </c>
      <c r="AB3038" s="1">
        <v>1853.15</v>
      </c>
    </row>
    <row r="3039" spans="2:28" x14ac:dyDescent="0.2">
      <c r="B3039" s="30" t="s">
        <v>2294</v>
      </c>
      <c r="C3039" s="36"/>
      <c r="D3039" s="36"/>
      <c r="F3039" s="1" t="s">
        <v>5517</v>
      </c>
      <c r="G3039" s="30" t="s">
        <v>5551</v>
      </c>
      <c r="K3039" s="1" t="s">
        <v>5561</v>
      </c>
      <c r="L3039" s="1" t="s">
        <v>1279</v>
      </c>
      <c r="M3039" s="36" t="s">
        <v>2014</v>
      </c>
      <c r="N3039" s="1" t="s">
        <v>1287</v>
      </c>
      <c r="O3039" s="1" t="s">
        <v>1286</v>
      </c>
      <c r="P3039" s="34" t="str">
        <f t="shared" si="60"/>
        <v>F010</v>
      </c>
      <c r="Q3039" s="1" t="s">
        <v>127</v>
      </c>
      <c r="S3039" s="16">
        <v>20</v>
      </c>
      <c r="T3039" s="1" t="s">
        <v>2299</v>
      </c>
      <c r="U3039" s="1" t="s">
        <v>1334</v>
      </c>
      <c r="V3039" s="1" t="s">
        <v>1377</v>
      </c>
      <c r="Y3039" s="1">
        <v>3192.03</v>
      </c>
      <c r="AB3039" s="1">
        <v>1853.15</v>
      </c>
    </row>
    <row r="3040" spans="2:28" x14ac:dyDescent="0.2">
      <c r="B3040" s="30" t="s">
        <v>2294</v>
      </c>
      <c r="C3040" s="36"/>
      <c r="D3040" s="36"/>
      <c r="F3040" s="1" t="s">
        <v>1322</v>
      </c>
      <c r="G3040" s="30" t="s">
        <v>5551</v>
      </c>
      <c r="K3040" s="1" t="s">
        <v>5562</v>
      </c>
      <c r="L3040" s="1" t="s">
        <v>1279</v>
      </c>
      <c r="M3040" s="36" t="s">
        <v>2014</v>
      </c>
      <c r="N3040" s="1" t="s">
        <v>1287</v>
      </c>
      <c r="O3040" s="1" t="s">
        <v>1286</v>
      </c>
      <c r="P3040" s="34" t="str">
        <f t="shared" si="60"/>
        <v>F010</v>
      </c>
      <c r="Q3040" s="1" t="s">
        <v>127</v>
      </c>
      <c r="S3040" s="16">
        <v>20</v>
      </c>
      <c r="T3040" s="1" t="s">
        <v>5555</v>
      </c>
      <c r="U3040" s="1" t="s">
        <v>1334</v>
      </c>
      <c r="V3040" s="1" t="s">
        <v>1377</v>
      </c>
      <c r="Y3040" s="1">
        <v>3192.03</v>
      </c>
      <c r="AB3040" s="1">
        <v>1853.15</v>
      </c>
    </row>
    <row r="3041" spans="2:28" x14ac:dyDescent="0.2">
      <c r="B3041" s="30" t="s">
        <v>2294</v>
      </c>
      <c r="C3041" s="36"/>
      <c r="D3041" s="36"/>
      <c r="F3041" s="1" t="s">
        <v>5556</v>
      </c>
      <c r="G3041" s="30" t="s">
        <v>5551</v>
      </c>
      <c r="K3041" s="1" t="s">
        <v>5563</v>
      </c>
      <c r="L3041" s="1" t="s">
        <v>1279</v>
      </c>
      <c r="M3041" s="36" t="s">
        <v>1567</v>
      </c>
      <c r="N3041" s="1" t="s">
        <v>1708</v>
      </c>
      <c r="O3041" s="1" t="s">
        <v>1286</v>
      </c>
      <c r="P3041" s="34" t="str">
        <f t="shared" si="60"/>
        <v>F010</v>
      </c>
      <c r="Q3041" s="1" t="s">
        <v>127</v>
      </c>
      <c r="S3041" s="16">
        <v>20</v>
      </c>
      <c r="T3041" s="1" t="s">
        <v>2299</v>
      </c>
      <c r="U3041" s="1" t="s">
        <v>1999</v>
      </c>
      <c r="V3041" s="1" t="s">
        <v>1526</v>
      </c>
      <c r="Y3041" s="1">
        <v>4265</v>
      </c>
      <c r="AB3041" s="1">
        <v>3263.94</v>
      </c>
    </row>
    <row r="3042" spans="2:28" x14ac:dyDescent="0.2">
      <c r="B3042" s="30" t="s">
        <v>2294</v>
      </c>
      <c r="C3042" s="36"/>
      <c r="D3042" s="36"/>
      <c r="F3042" s="1" t="s">
        <v>1322</v>
      </c>
      <c r="G3042" s="30" t="s">
        <v>5551</v>
      </c>
      <c r="K3042" s="1" t="s">
        <v>5564</v>
      </c>
      <c r="L3042" s="1" t="s">
        <v>1279</v>
      </c>
      <c r="M3042" s="36" t="s">
        <v>1567</v>
      </c>
      <c r="N3042" s="1" t="s">
        <v>1708</v>
      </c>
      <c r="O3042" s="1" t="s">
        <v>1286</v>
      </c>
      <c r="P3042" s="34" t="str">
        <f t="shared" si="60"/>
        <v>F010</v>
      </c>
      <c r="Q3042" s="1" t="s">
        <v>127</v>
      </c>
      <c r="S3042" s="16">
        <v>20</v>
      </c>
      <c r="T3042" s="1" t="s">
        <v>3254</v>
      </c>
      <c r="U3042" s="1" t="s">
        <v>1999</v>
      </c>
      <c r="V3042" s="1" t="s">
        <v>1526</v>
      </c>
      <c r="Y3042" s="1">
        <v>4265</v>
      </c>
      <c r="AB3042" s="1">
        <v>3263.94</v>
      </c>
    </row>
    <row r="3043" spans="2:28" x14ac:dyDescent="0.2">
      <c r="B3043" s="30" t="s">
        <v>2294</v>
      </c>
      <c r="C3043" s="36"/>
      <c r="D3043" s="36"/>
      <c r="F3043" s="1" t="s">
        <v>3255</v>
      </c>
      <c r="G3043" s="30" t="s">
        <v>5551</v>
      </c>
      <c r="K3043" s="1" t="s">
        <v>5565</v>
      </c>
      <c r="L3043" s="1" t="s">
        <v>1279</v>
      </c>
      <c r="M3043" s="36" t="s">
        <v>1567</v>
      </c>
      <c r="N3043" s="1" t="s">
        <v>1284</v>
      </c>
      <c r="O3043" s="1" t="s">
        <v>1286</v>
      </c>
      <c r="P3043" s="34" t="str">
        <f t="shared" si="60"/>
        <v>F010</v>
      </c>
      <c r="Q3043" s="1" t="s">
        <v>127</v>
      </c>
      <c r="S3043" s="16">
        <v>20</v>
      </c>
      <c r="T3043" s="1" t="s">
        <v>2299</v>
      </c>
      <c r="U3043" s="1" t="s">
        <v>1999</v>
      </c>
      <c r="V3043" s="1" t="s">
        <v>1526</v>
      </c>
      <c r="Y3043" s="1">
        <v>4879.01</v>
      </c>
      <c r="AB3043" s="1">
        <v>3733.78</v>
      </c>
    </row>
    <row r="3044" spans="2:28" x14ac:dyDescent="0.2">
      <c r="B3044" s="30" t="s">
        <v>2294</v>
      </c>
      <c r="C3044" s="36"/>
      <c r="D3044" s="36"/>
      <c r="F3044" s="1" t="s">
        <v>1322</v>
      </c>
      <c r="G3044" s="30" t="s">
        <v>5551</v>
      </c>
      <c r="K3044" s="1" t="s">
        <v>5566</v>
      </c>
      <c r="L3044" s="1" t="s">
        <v>1279</v>
      </c>
      <c r="M3044" s="36" t="s">
        <v>1567</v>
      </c>
      <c r="N3044" s="1" t="s">
        <v>1577</v>
      </c>
      <c r="O3044" s="1" t="s">
        <v>1286</v>
      </c>
      <c r="P3044" s="34" t="str">
        <f t="shared" si="60"/>
        <v>F010</v>
      </c>
      <c r="Q3044" s="1" t="s">
        <v>127</v>
      </c>
      <c r="S3044" s="16">
        <v>20</v>
      </c>
      <c r="T3044" s="1" t="s">
        <v>3131</v>
      </c>
      <c r="U3044" s="1" t="s">
        <v>1999</v>
      </c>
      <c r="V3044" s="1" t="s">
        <v>1526</v>
      </c>
      <c r="Y3044" s="1">
        <v>4264.6899999999996</v>
      </c>
      <c r="AB3044" s="1">
        <v>3263.66</v>
      </c>
    </row>
    <row r="3045" spans="2:28" x14ac:dyDescent="0.2">
      <c r="B3045" s="30" t="s">
        <v>2294</v>
      </c>
      <c r="C3045" s="36"/>
      <c r="D3045" s="36"/>
      <c r="F3045" s="1" t="s">
        <v>3132</v>
      </c>
      <c r="G3045" s="30" t="s">
        <v>5551</v>
      </c>
      <c r="K3045" s="1" t="s">
        <v>5567</v>
      </c>
      <c r="L3045" s="1" t="s">
        <v>1279</v>
      </c>
      <c r="M3045" s="36" t="s">
        <v>1805</v>
      </c>
      <c r="N3045" s="1" t="s">
        <v>1286</v>
      </c>
      <c r="O3045" s="1" t="s">
        <v>1286</v>
      </c>
      <c r="P3045" s="34" t="str">
        <f t="shared" si="60"/>
        <v>F010</v>
      </c>
      <c r="Q3045" s="1" t="s">
        <v>127</v>
      </c>
      <c r="S3045" s="16">
        <v>20</v>
      </c>
      <c r="T3045" s="1" t="s">
        <v>2299</v>
      </c>
      <c r="U3045" s="1" t="s">
        <v>1794</v>
      </c>
      <c r="V3045" s="1" t="s">
        <v>1796</v>
      </c>
      <c r="Y3045" s="1">
        <v>4526.3500000000004</v>
      </c>
      <c r="AB3045" s="1">
        <v>3105.59</v>
      </c>
    </row>
    <row r="3046" spans="2:28" x14ac:dyDescent="0.2">
      <c r="B3046" s="30" t="s">
        <v>2294</v>
      </c>
      <c r="C3046" s="36"/>
      <c r="D3046" s="36"/>
      <c r="F3046" s="1" t="s">
        <v>1322</v>
      </c>
      <c r="G3046" s="30" t="s">
        <v>5551</v>
      </c>
      <c r="K3046" s="1" t="s">
        <v>5568</v>
      </c>
      <c r="L3046" s="1" t="s">
        <v>1279</v>
      </c>
      <c r="M3046" s="36" t="s">
        <v>1805</v>
      </c>
      <c r="N3046" s="1" t="s">
        <v>1286</v>
      </c>
      <c r="O3046" s="1" t="s">
        <v>1286</v>
      </c>
      <c r="P3046" s="34" t="str">
        <f t="shared" si="60"/>
        <v>F010</v>
      </c>
      <c r="Q3046" s="1" t="s">
        <v>127</v>
      </c>
      <c r="S3046" s="16">
        <v>20</v>
      </c>
      <c r="T3046" s="1" t="s">
        <v>3239</v>
      </c>
      <c r="U3046" s="1" t="s">
        <v>1794</v>
      </c>
      <c r="V3046" s="1" t="s">
        <v>1796</v>
      </c>
      <c r="Y3046" s="1">
        <v>4526.3500000000004</v>
      </c>
      <c r="AB3046" s="1">
        <v>3105.59</v>
      </c>
    </row>
    <row r="3047" spans="2:28" x14ac:dyDescent="0.2">
      <c r="B3047" s="30" t="s">
        <v>2294</v>
      </c>
      <c r="C3047" s="36"/>
      <c r="D3047" s="36"/>
      <c r="F3047" s="1" t="s">
        <v>3240</v>
      </c>
      <c r="G3047" s="30" t="s">
        <v>5551</v>
      </c>
      <c r="K3047" s="1" t="s">
        <v>5569</v>
      </c>
      <c r="L3047" s="1" t="s">
        <v>1279</v>
      </c>
      <c r="M3047" s="36" t="s">
        <v>1805</v>
      </c>
      <c r="N3047" s="1" t="s">
        <v>1286</v>
      </c>
      <c r="O3047" s="1" t="s">
        <v>1286</v>
      </c>
      <c r="P3047" s="34" t="str">
        <f t="shared" si="60"/>
        <v>F010</v>
      </c>
      <c r="Q3047" s="1" t="s">
        <v>127</v>
      </c>
      <c r="S3047" s="16">
        <v>20</v>
      </c>
      <c r="T3047" s="1" t="s">
        <v>2299</v>
      </c>
      <c r="U3047" s="1" t="s">
        <v>1794</v>
      </c>
      <c r="V3047" s="1" t="s">
        <v>1796</v>
      </c>
      <c r="Y3047" s="1">
        <v>4526.3500000000004</v>
      </c>
      <c r="AB3047" s="1">
        <v>3105.59</v>
      </c>
    </row>
    <row r="3048" spans="2:28" x14ac:dyDescent="0.2">
      <c r="B3048" s="30" t="s">
        <v>2294</v>
      </c>
      <c r="C3048" s="36"/>
      <c r="D3048" s="36"/>
      <c r="F3048" s="1" t="s">
        <v>1322</v>
      </c>
      <c r="G3048" s="30" t="s">
        <v>5551</v>
      </c>
      <c r="K3048" s="1" t="s">
        <v>5570</v>
      </c>
      <c r="L3048" s="1" t="s">
        <v>1279</v>
      </c>
      <c r="M3048" s="36" t="s">
        <v>1805</v>
      </c>
      <c r="N3048" s="1" t="s">
        <v>1286</v>
      </c>
      <c r="O3048" s="1" t="s">
        <v>1286</v>
      </c>
      <c r="P3048" s="34" t="str">
        <f t="shared" si="60"/>
        <v>F010</v>
      </c>
      <c r="Q3048" s="1" t="s">
        <v>127</v>
      </c>
      <c r="S3048" s="16">
        <v>20</v>
      </c>
      <c r="T3048" s="1" t="s">
        <v>3093</v>
      </c>
      <c r="U3048" s="1" t="s">
        <v>1794</v>
      </c>
      <c r="V3048" s="1" t="s">
        <v>1796</v>
      </c>
      <c r="Y3048" s="1">
        <v>4526.3500000000004</v>
      </c>
      <c r="AB3048" s="1">
        <v>3105.59</v>
      </c>
    </row>
    <row r="3049" spans="2:28" x14ac:dyDescent="0.2">
      <c r="B3049" s="30" t="s">
        <v>2294</v>
      </c>
      <c r="C3049" s="36"/>
      <c r="D3049" s="36"/>
      <c r="F3049" s="1" t="s">
        <v>3094</v>
      </c>
      <c r="G3049" s="30" t="s">
        <v>5551</v>
      </c>
      <c r="K3049" s="1" t="s">
        <v>5571</v>
      </c>
      <c r="L3049" s="1" t="s">
        <v>1279</v>
      </c>
      <c r="M3049" s="36" t="s">
        <v>1805</v>
      </c>
      <c r="N3049" s="1" t="s">
        <v>1286</v>
      </c>
      <c r="O3049" s="1" t="s">
        <v>1286</v>
      </c>
      <c r="P3049" s="34" t="str">
        <f t="shared" si="60"/>
        <v>F010</v>
      </c>
      <c r="Q3049" s="1" t="s">
        <v>127</v>
      </c>
      <c r="S3049" s="16">
        <v>20</v>
      </c>
      <c r="T3049" s="1" t="s">
        <v>2299</v>
      </c>
      <c r="U3049" s="1" t="s">
        <v>1794</v>
      </c>
      <c r="V3049" s="1" t="s">
        <v>1796</v>
      </c>
      <c r="Y3049" s="1">
        <v>4526.3500000000004</v>
      </c>
      <c r="AB3049" s="1">
        <v>3105.59</v>
      </c>
    </row>
    <row r="3050" spans="2:28" x14ac:dyDescent="0.2">
      <c r="B3050" s="30" t="s">
        <v>2294</v>
      </c>
      <c r="C3050" s="36"/>
      <c r="D3050" s="36"/>
      <c r="F3050" s="1" t="s">
        <v>1322</v>
      </c>
      <c r="G3050" s="30" t="s">
        <v>5551</v>
      </c>
      <c r="K3050" s="1" t="s">
        <v>5572</v>
      </c>
      <c r="L3050" s="1" t="s">
        <v>1279</v>
      </c>
      <c r="M3050" s="36" t="s">
        <v>1805</v>
      </c>
      <c r="N3050" s="1" t="s">
        <v>1286</v>
      </c>
      <c r="O3050" s="1" t="s">
        <v>1286</v>
      </c>
      <c r="P3050" s="34" t="str">
        <f t="shared" si="60"/>
        <v>F010</v>
      </c>
      <c r="Q3050" s="1" t="s">
        <v>127</v>
      </c>
      <c r="S3050" s="16">
        <v>20</v>
      </c>
      <c r="T3050" s="1" t="s">
        <v>3407</v>
      </c>
      <c r="U3050" s="1" t="s">
        <v>1794</v>
      </c>
      <c r="V3050" s="1" t="s">
        <v>1796</v>
      </c>
      <c r="Y3050" s="1">
        <v>4526.3500000000004</v>
      </c>
      <c r="AB3050" s="1">
        <v>3105.59</v>
      </c>
    </row>
    <row r="3051" spans="2:28" x14ac:dyDescent="0.2">
      <c r="B3051" s="30" t="s">
        <v>2294</v>
      </c>
      <c r="C3051" s="36"/>
      <c r="D3051" s="36"/>
      <c r="F3051" s="1" t="s">
        <v>3408</v>
      </c>
      <c r="G3051" s="30" t="s">
        <v>5551</v>
      </c>
      <c r="K3051" s="1" t="s">
        <v>5573</v>
      </c>
      <c r="L3051" s="1" t="s">
        <v>1279</v>
      </c>
      <c r="M3051" s="36" t="s">
        <v>1805</v>
      </c>
      <c r="N3051" s="1" t="s">
        <v>1286</v>
      </c>
      <c r="O3051" s="1" t="s">
        <v>1286</v>
      </c>
      <c r="P3051" s="34" t="str">
        <f t="shared" si="60"/>
        <v>F010</v>
      </c>
      <c r="Q3051" s="1" t="s">
        <v>127</v>
      </c>
      <c r="S3051" s="16">
        <v>20</v>
      </c>
      <c r="T3051" s="1" t="s">
        <v>2299</v>
      </c>
      <c r="U3051" s="1" t="s">
        <v>1794</v>
      </c>
      <c r="V3051" s="1" t="s">
        <v>1796</v>
      </c>
      <c r="Y3051" s="1">
        <v>4526.3500000000004</v>
      </c>
      <c r="AB3051" s="1">
        <v>3105.59</v>
      </c>
    </row>
    <row r="3052" spans="2:28" x14ac:dyDescent="0.2">
      <c r="B3052" s="30" t="s">
        <v>2294</v>
      </c>
      <c r="C3052" s="36"/>
      <c r="D3052" s="36"/>
      <c r="F3052" s="1" t="s">
        <v>1322</v>
      </c>
      <c r="G3052" s="30" t="s">
        <v>5551</v>
      </c>
      <c r="K3052" s="1" t="s">
        <v>5574</v>
      </c>
      <c r="L3052" s="1" t="s">
        <v>1279</v>
      </c>
      <c r="M3052" s="36" t="s">
        <v>1805</v>
      </c>
      <c r="N3052" s="1" t="s">
        <v>1286</v>
      </c>
      <c r="O3052" s="1" t="s">
        <v>1286</v>
      </c>
      <c r="P3052" s="34" t="str">
        <f t="shared" si="60"/>
        <v>F010</v>
      </c>
      <c r="Q3052" s="1" t="s">
        <v>127</v>
      </c>
      <c r="S3052" s="16">
        <v>20</v>
      </c>
      <c r="T3052" s="1" t="s">
        <v>5575</v>
      </c>
      <c r="U3052" s="1" t="s">
        <v>1794</v>
      </c>
      <c r="V3052" s="1" t="s">
        <v>1796</v>
      </c>
      <c r="Y3052" s="1">
        <v>4526.3500000000004</v>
      </c>
      <c r="AB3052" s="1">
        <v>3105.59</v>
      </c>
    </row>
    <row r="3053" spans="2:28" x14ac:dyDescent="0.2">
      <c r="B3053" s="30" t="s">
        <v>2294</v>
      </c>
      <c r="C3053" s="36"/>
      <c r="D3053" s="36"/>
      <c r="F3053" s="1" t="s">
        <v>5576</v>
      </c>
      <c r="G3053" s="30" t="s">
        <v>5551</v>
      </c>
      <c r="K3053" s="1" t="s">
        <v>5577</v>
      </c>
      <c r="L3053" s="1" t="s">
        <v>1279</v>
      </c>
      <c r="M3053" s="36" t="s">
        <v>1805</v>
      </c>
      <c r="N3053" s="1" t="s">
        <v>1286</v>
      </c>
      <c r="O3053" s="1" t="s">
        <v>1286</v>
      </c>
      <c r="P3053" s="34" t="str">
        <f t="shared" si="60"/>
        <v>F010</v>
      </c>
      <c r="Q3053" s="1" t="s">
        <v>127</v>
      </c>
      <c r="S3053" s="16">
        <v>20</v>
      </c>
      <c r="T3053" s="1" t="s">
        <v>2299</v>
      </c>
      <c r="U3053" s="1" t="s">
        <v>1794</v>
      </c>
      <c r="V3053" s="1" t="s">
        <v>1796</v>
      </c>
      <c r="Y3053" s="1">
        <v>4526.3500000000004</v>
      </c>
      <c r="AB3053" s="1">
        <v>3105.59</v>
      </c>
    </row>
    <row r="3054" spans="2:28" x14ac:dyDescent="0.2">
      <c r="B3054" s="30" t="s">
        <v>2294</v>
      </c>
      <c r="C3054" s="36"/>
      <c r="D3054" s="36"/>
      <c r="F3054" s="1" t="s">
        <v>1322</v>
      </c>
      <c r="G3054" s="30" t="s">
        <v>5551</v>
      </c>
      <c r="K3054" s="1" t="s">
        <v>5578</v>
      </c>
      <c r="L3054" s="1" t="s">
        <v>1279</v>
      </c>
      <c r="M3054" s="36" t="s">
        <v>1805</v>
      </c>
      <c r="N3054" s="1" t="s">
        <v>1286</v>
      </c>
      <c r="O3054" s="1" t="s">
        <v>1286</v>
      </c>
      <c r="P3054" s="34" t="str">
        <f t="shared" si="60"/>
        <v>F010</v>
      </c>
      <c r="Q3054" s="1" t="s">
        <v>127</v>
      </c>
      <c r="S3054" s="16">
        <v>20</v>
      </c>
      <c r="T3054" s="1" t="s">
        <v>3079</v>
      </c>
      <c r="U3054" s="1" t="s">
        <v>1794</v>
      </c>
      <c r="V3054" s="1" t="s">
        <v>1796</v>
      </c>
      <c r="Y3054" s="1">
        <v>4526.3500000000004</v>
      </c>
      <c r="AB3054" s="1">
        <v>3105.59</v>
      </c>
    </row>
    <row r="3055" spans="2:28" x14ac:dyDescent="0.2">
      <c r="B3055" s="30" t="s">
        <v>2294</v>
      </c>
      <c r="C3055" s="36"/>
      <c r="D3055" s="36"/>
      <c r="F3055" s="1" t="s">
        <v>3080</v>
      </c>
      <c r="G3055" s="30" t="s">
        <v>5551</v>
      </c>
      <c r="K3055" s="1" t="s">
        <v>5579</v>
      </c>
      <c r="L3055" s="1" t="s">
        <v>1279</v>
      </c>
      <c r="M3055" s="36" t="s">
        <v>1794</v>
      </c>
      <c r="N3055" s="1" t="s">
        <v>1286</v>
      </c>
      <c r="O3055" s="1" t="s">
        <v>1286</v>
      </c>
      <c r="P3055" s="34" t="str">
        <f t="shared" si="60"/>
        <v>F010</v>
      </c>
      <c r="Q3055" s="1" t="s">
        <v>138</v>
      </c>
      <c r="S3055" s="16">
        <v>20</v>
      </c>
      <c r="T3055" s="1" t="s">
        <v>2299</v>
      </c>
      <c r="U3055" s="1" t="s">
        <v>1497</v>
      </c>
      <c r="V3055" s="1" t="s">
        <v>1498</v>
      </c>
      <c r="Y3055" s="1">
        <v>8470.73</v>
      </c>
      <c r="AB3055" s="1">
        <v>5727.05</v>
      </c>
    </row>
    <row r="3056" spans="2:28" x14ac:dyDescent="0.2">
      <c r="B3056" s="30" t="s">
        <v>2294</v>
      </c>
      <c r="C3056" s="36"/>
      <c r="D3056" s="36"/>
      <c r="F3056" s="1" t="s">
        <v>1322</v>
      </c>
      <c r="G3056" s="30" t="s">
        <v>5551</v>
      </c>
      <c r="K3056" s="1" t="s">
        <v>5580</v>
      </c>
      <c r="L3056" s="1" t="s">
        <v>1279</v>
      </c>
      <c r="M3056" s="36" t="s">
        <v>1794</v>
      </c>
      <c r="N3056" s="1" t="s">
        <v>1286</v>
      </c>
      <c r="O3056" s="1" t="s">
        <v>1286</v>
      </c>
      <c r="P3056" s="34" t="str">
        <f t="shared" si="60"/>
        <v>F010</v>
      </c>
      <c r="Q3056" s="1" t="s">
        <v>138</v>
      </c>
      <c r="S3056" s="16">
        <v>20</v>
      </c>
      <c r="T3056" s="1" t="s">
        <v>3131</v>
      </c>
      <c r="U3056" s="1" t="s">
        <v>1497</v>
      </c>
      <c r="V3056" s="1" t="s">
        <v>1498</v>
      </c>
      <c r="Y3056" s="1">
        <v>4475</v>
      </c>
      <c r="AB3056" s="1">
        <v>2952.25</v>
      </c>
    </row>
    <row r="3057" spans="2:28" x14ac:dyDescent="0.2">
      <c r="B3057" s="30" t="s">
        <v>2294</v>
      </c>
      <c r="C3057" s="36"/>
      <c r="D3057" s="36"/>
      <c r="F3057" s="1" t="s">
        <v>3132</v>
      </c>
      <c r="G3057" s="30" t="s">
        <v>5551</v>
      </c>
      <c r="K3057" s="1" t="s">
        <v>5581</v>
      </c>
      <c r="L3057" s="1" t="s">
        <v>1279</v>
      </c>
      <c r="M3057" s="36" t="s">
        <v>1794</v>
      </c>
      <c r="N3057" s="1" t="s">
        <v>1286</v>
      </c>
      <c r="O3057" s="1" t="s">
        <v>1286</v>
      </c>
      <c r="P3057" s="34" t="str">
        <f t="shared" ref="P3057:P3120" si="61">+LEFT(Q3057,4)</f>
        <v>F010</v>
      </c>
      <c r="Q3057" s="1" t="s">
        <v>138</v>
      </c>
      <c r="S3057" s="16">
        <v>20</v>
      </c>
      <c r="T3057" s="1" t="s">
        <v>2299</v>
      </c>
      <c r="U3057" s="1" t="s">
        <v>1497</v>
      </c>
      <c r="V3057" s="1" t="s">
        <v>1498</v>
      </c>
      <c r="Y3057" s="1">
        <v>4475</v>
      </c>
      <c r="AB3057" s="1">
        <v>2952.25</v>
      </c>
    </row>
    <row r="3058" spans="2:28" x14ac:dyDescent="0.2">
      <c r="B3058" s="30" t="s">
        <v>2294</v>
      </c>
      <c r="C3058" s="36"/>
      <c r="D3058" s="36"/>
      <c r="F3058" s="1" t="s">
        <v>1322</v>
      </c>
      <c r="G3058" s="30" t="s">
        <v>5551</v>
      </c>
      <c r="K3058" s="1" t="s">
        <v>5582</v>
      </c>
      <c r="L3058" s="1" t="s">
        <v>1279</v>
      </c>
      <c r="M3058" s="36" t="s">
        <v>1794</v>
      </c>
      <c r="N3058" s="1" t="s">
        <v>1286</v>
      </c>
      <c r="O3058" s="1" t="s">
        <v>1286</v>
      </c>
      <c r="P3058" s="34" t="str">
        <f t="shared" si="61"/>
        <v>F010</v>
      </c>
      <c r="Q3058" s="1" t="s">
        <v>138</v>
      </c>
      <c r="S3058" s="16">
        <v>20</v>
      </c>
      <c r="T3058" s="1" t="s">
        <v>5583</v>
      </c>
      <c r="U3058" s="1" t="s">
        <v>1497</v>
      </c>
      <c r="V3058" s="1" t="s">
        <v>1498</v>
      </c>
      <c r="Y3058" s="1">
        <v>4475</v>
      </c>
      <c r="AB3058" s="1">
        <v>2952.25</v>
      </c>
    </row>
    <row r="3059" spans="2:28" x14ac:dyDescent="0.2">
      <c r="B3059" s="30" t="s">
        <v>2294</v>
      </c>
      <c r="C3059" s="36"/>
      <c r="D3059" s="36"/>
      <c r="F3059" s="1" t="s">
        <v>5584</v>
      </c>
      <c r="G3059" s="30" t="s">
        <v>5551</v>
      </c>
      <c r="K3059" s="1" t="s">
        <v>5585</v>
      </c>
      <c r="L3059" s="1" t="s">
        <v>1279</v>
      </c>
      <c r="M3059" s="36" t="s">
        <v>1794</v>
      </c>
      <c r="N3059" s="1" t="s">
        <v>1335</v>
      </c>
      <c r="O3059" s="1" t="s">
        <v>1286</v>
      </c>
      <c r="P3059" s="34" t="str">
        <f t="shared" si="61"/>
        <v>F010</v>
      </c>
      <c r="Q3059" s="1" t="s">
        <v>1138</v>
      </c>
      <c r="S3059" s="16">
        <v>20</v>
      </c>
      <c r="T3059" s="1" t="s">
        <v>2299</v>
      </c>
      <c r="U3059" s="1" t="s">
        <v>1497</v>
      </c>
      <c r="V3059" s="1" t="s">
        <v>1498</v>
      </c>
      <c r="Y3059" s="1">
        <v>4515.7</v>
      </c>
      <c r="AB3059" s="1">
        <v>2979.1</v>
      </c>
    </row>
    <row r="3060" spans="2:28" x14ac:dyDescent="0.2">
      <c r="B3060" s="30" t="s">
        <v>2294</v>
      </c>
      <c r="C3060" s="36"/>
      <c r="D3060" s="36"/>
      <c r="F3060" s="1" t="s">
        <v>1322</v>
      </c>
      <c r="G3060" s="30" t="s">
        <v>5551</v>
      </c>
      <c r="K3060" s="1" t="s">
        <v>5586</v>
      </c>
      <c r="L3060" s="1" t="s">
        <v>1279</v>
      </c>
      <c r="M3060" s="36" t="s">
        <v>1794</v>
      </c>
      <c r="N3060" s="1" t="s">
        <v>1335</v>
      </c>
      <c r="O3060" s="1" t="s">
        <v>1286</v>
      </c>
      <c r="P3060" s="34" t="str">
        <f t="shared" si="61"/>
        <v>F010</v>
      </c>
      <c r="Q3060" s="1" t="s">
        <v>1138</v>
      </c>
      <c r="S3060" s="16">
        <v>20</v>
      </c>
      <c r="T3060" s="1" t="s">
        <v>3523</v>
      </c>
      <c r="U3060" s="1" t="s">
        <v>1497</v>
      </c>
      <c r="V3060" s="1" t="s">
        <v>1498</v>
      </c>
      <c r="Y3060" s="1">
        <v>4515.7</v>
      </c>
      <c r="AB3060" s="1">
        <v>2979.1</v>
      </c>
    </row>
    <row r="3061" spans="2:28" x14ac:dyDescent="0.2">
      <c r="B3061" s="30" t="s">
        <v>2294</v>
      </c>
      <c r="C3061" s="36"/>
      <c r="D3061" s="36"/>
      <c r="F3061" s="1" t="s">
        <v>3524</v>
      </c>
      <c r="G3061" s="30" t="s">
        <v>5551</v>
      </c>
      <c r="K3061" s="1" t="s">
        <v>5587</v>
      </c>
      <c r="L3061" s="1" t="s">
        <v>1279</v>
      </c>
      <c r="M3061" s="36" t="s">
        <v>1794</v>
      </c>
      <c r="N3061" s="1" t="s">
        <v>1286</v>
      </c>
      <c r="O3061" s="1" t="s">
        <v>1286</v>
      </c>
      <c r="P3061" s="34" t="str">
        <f t="shared" si="61"/>
        <v>F010</v>
      </c>
      <c r="Q3061" s="1" t="s">
        <v>138</v>
      </c>
      <c r="S3061" s="16">
        <v>20</v>
      </c>
      <c r="T3061" s="1" t="s">
        <v>2299</v>
      </c>
      <c r="U3061" s="1" t="s">
        <v>1497</v>
      </c>
      <c r="V3061" s="1" t="s">
        <v>1498</v>
      </c>
      <c r="Y3061" s="1">
        <v>4475</v>
      </c>
      <c r="AB3061" s="1">
        <v>2952.25</v>
      </c>
    </row>
    <row r="3062" spans="2:28" x14ac:dyDescent="0.2">
      <c r="B3062" s="30" t="s">
        <v>2294</v>
      </c>
      <c r="C3062" s="36"/>
      <c r="D3062" s="36"/>
      <c r="F3062" s="1" t="s">
        <v>1322</v>
      </c>
      <c r="G3062" s="30" t="s">
        <v>5551</v>
      </c>
      <c r="K3062" s="1" t="s">
        <v>5588</v>
      </c>
      <c r="L3062" s="1" t="s">
        <v>1279</v>
      </c>
      <c r="M3062" s="36" t="s">
        <v>1463</v>
      </c>
      <c r="N3062" s="1" t="s">
        <v>1573</v>
      </c>
      <c r="O3062" s="1" t="s">
        <v>1286</v>
      </c>
      <c r="P3062" s="34" t="str">
        <f t="shared" si="61"/>
        <v>F010</v>
      </c>
      <c r="Q3062" s="1" t="s">
        <v>127</v>
      </c>
      <c r="S3062" s="16">
        <v>20</v>
      </c>
      <c r="T3062" s="1" t="s">
        <v>3577</v>
      </c>
      <c r="U3062" s="1" t="s">
        <v>1480</v>
      </c>
      <c r="V3062" s="1" t="s">
        <v>1696</v>
      </c>
      <c r="Y3062" s="1">
        <v>2948.72</v>
      </c>
      <c r="AB3062" s="1">
        <v>1244.99</v>
      </c>
    </row>
    <row r="3063" spans="2:28" x14ac:dyDescent="0.2">
      <c r="B3063" s="30" t="s">
        <v>2294</v>
      </c>
      <c r="C3063" s="36"/>
      <c r="D3063" s="36"/>
      <c r="F3063" s="1" t="s">
        <v>3578</v>
      </c>
      <c r="G3063" s="30" t="s">
        <v>5551</v>
      </c>
      <c r="K3063" s="1" t="s">
        <v>5589</v>
      </c>
      <c r="L3063" s="1" t="s">
        <v>1279</v>
      </c>
      <c r="M3063" s="36" t="s">
        <v>1535</v>
      </c>
      <c r="N3063" s="1" t="s">
        <v>1573</v>
      </c>
      <c r="O3063" s="1" t="s">
        <v>1286</v>
      </c>
      <c r="P3063" s="34" t="str">
        <f t="shared" si="61"/>
        <v>F010</v>
      </c>
      <c r="Q3063" s="1" t="s">
        <v>127</v>
      </c>
      <c r="S3063" s="16">
        <v>20</v>
      </c>
      <c r="T3063" s="1" t="s">
        <v>2299</v>
      </c>
      <c r="U3063" s="1" t="s">
        <v>2068</v>
      </c>
      <c r="V3063" s="1" t="s">
        <v>1606</v>
      </c>
      <c r="Y3063" s="1">
        <v>3450</v>
      </c>
      <c r="AB3063" s="1">
        <v>1820.8</v>
      </c>
    </row>
    <row r="3064" spans="2:28" x14ac:dyDescent="0.2">
      <c r="B3064" s="30" t="s">
        <v>2294</v>
      </c>
      <c r="C3064" s="36"/>
      <c r="D3064" s="36"/>
      <c r="F3064" s="1" t="s">
        <v>1322</v>
      </c>
      <c r="G3064" s="30" t="s">
        <v>5551</v>
      </c>
      <c r="K3064" s="1" t="s">
        <v>5590</v>
      </c>
      <c r="L3064" s="1" t="s">
        <v>1279</v>
      </c>
      <c r="M3064" s="36" t="s">
        <v>1535</v>
      </c>
      <c r="N3064" s="1" t="s">
        <v>1715</v>
      </c>
      <c r="O3064" s="1" t="s">
        <v>1286</v>
      </c>
      <c r="P3064" s="34" t="str">
        <f t="shared" si="61"/>
        <v>F010</v>
      </c>
      <c r="Q3064" s="1" t="s">
        <v>127</v>
      </c>
      <c r="S3064" s="16">
        <v>20</v>
      </c>
      <c r="T3064" s="1" t="s">
        <v>3131</v>
      </c>
      <c r="U3064" s="1" t="s">
        <v>2068</v>
      </c>
      <c r="V3064" s="1" t="s">
        <v>1606</v>
      </c>
      <c r="Y3064" s="1">
        <v>3450</v>
      </c>
      <c r="AB3064" s="1">
        <v>1820.8</v>
      </c>
    </row>
    <row r="3065" spans="2:28" x14ac:dyDescent="0.2">
      <c r="B3065" s="30" t="s">
        <v>2294</v>
      </c>
      <c r="C3065" s="36"/>
      <c r="D3065" s="36"/>
      <c r="F3065" s="1" t="s">
        <v>3132</v>
      </c>
      <c r="G3065" s="30" t="s">
        <v>5551</v>
      </c>
      <c r="K3065" s="1" t="s">
        <v>5591</v>
      </c>
      <c r="L3065" s="1" t="s">
        <v>1279</v>
      </c>
      <c r="M3065" s="36" t="s">
        <v>1535</v>
      </c>
      <c r="N3065" s="1" t="s">
        <v>1573</v>
      </c>
      <c r="O3065" s="1" t="s">
        <v>1286</v>
      </c>
      <c r="P3065" s="34" t="str">
        <f t="shared" si="61"/>
        <v>F010</v>
      </c>
      <c r="Q3065" s="1" t="s">
        <v>127</v>
      </c>
      <c r="S3065" s="16">
        <v>20</v>
      </c>
      <c r="T3065" s="1" t="s">
        <v>2299</v>
      </c>
      <c r="U3065" s="1" t="s">
        <v>2068</v>
      </c>
      <c r="V3065" s="1" t="s">
        <v>1606</v>
      </c>
      <c r="Y3065" s="1">
        <v>3450</v>
      </c>
      <c r="AB3065" s="1">
        <v>1820.8</v>
      </c>
    </row>
    <row r="3066" spans="2:28" x14ac:dyDescent="0.2">
      <c r="B3066" s="30" t="s">
        <v>2294</v>
      </c>
      <c r="C3066" s="36"/>
      <c r="D3066" s="36"/>
      <c r="F3066" s="1" t="s">
        <v>1322</v>
      </c>
      <c r="G3066" s="30" t="s">
        <v>5551</v>
      </c>
      <c r="K3066" s="1" t="s">
        <v>5592</v>
      </c>
      <c r="L3066" s="1" t="s">
        <v>1279</v>
      </c>
      <c r="M3066" s="36" t="s">
        <v>1535</v>
      </c>
      <c r="N3066" s="1" t="s">
        <v>1715</v>
      </c>
      <c r="O3066" s="1" t="s">
        <v>1286</v>
      </c>
      <c r="P3066" s="34" t="str">
        <f t="shared" si="61"/>
        <v>F010</v>
      </c>
      <c r="Q3066" s="1" t="s">
        <v>127</v>
      </c>
      <c r="S3066" s="16">
        <v>20</v>
      </c>
      <c r="T3066" s="1" t="s">
        <v>3473</v>
      </c>
      <c r="U3066" s="1" t="s">
        <v>2068</v>
      </c>
      <c r="V3066" s="1" t="s">
        <v>1606</v>
      </c>
      <c r="Y3066" s="1">
        <v>3450</v>
      </c>
      <c r="AB3066" s="1">
        <v>1820.8</v>
      </c>
    </row>
    <row r="3067" spans="2:28" x14ac:dyDescent="0.2">
      <c r="B3067" s="30" t="s">
        <v>2294</v>
      </c>
      <c r="C3067" s="36"/>
      <c r="D3067" s="36"/>
      <c r="F3067" s="1" t="s">
        <v>3474</v>
      </c>
      <c r="G3067" s="30" t="s">
        <v>5551</v>
      </c>
      <c r="K3067" s="1" t="s">
        <v>5593</v>
      </c>
      <c r="L3067" s="1" t="s">
        <v>1279</v>
      </c>
      <c r="M3067" s="36" t="s">
        <v>2068</v>
      </c>
      <c r="N3067" s="1" t="s">
        <v>1837</v>
      </c>
      <c r="O3067" s="1" t="s">
        <v>1286</v>
      </c>
      <c r="P3067" s="34" t="str">
        <f t="shared" si="61"/>
        <v>F010</v>
      </c>
      <c r="Q3067" s="1" t="s">
        <v>127</v>
      </c>
      <c r="S3067" s="16">
        <v>20</v>
      </c>
      <c r="T3067" s="1" t="s">
        <v>2299</v>
      </c>
      <c r="U3067" s="1" t="s">
        <v>1511</v>
      </c>
      <c r="V3067" s="1" t="s">
        <v>4719</v>
      </c>
      <c r="Y3067" s="1">
        <v>2948.72</v>
      </c>
      <c r="AB3067" s="1">
        <v>1465.27</v>
      </c>
    </row>
    <row r="3068" spans="2:28" x14ac:dyDescent="0.2">
      <c r="B3068" s="30" t="s">
        <v>2294</v>
      </c>
      <c r="C3068" s="36"/>
      <c r="D3068" s="36"/>
      <c r="F3068" s="1" t="s">
        <v>1322</v>
      </c>
      <c r="G3068" s="30" t="s">
        <v>5551</v>
      </c>
      <c r="K3068" s="1" t="s">
        <v>5594</v>
      </c>
      <c r="L3068" s="1" t="s">
        <v>1279</v>
      </c>
      <c r="M3068" s="36" t="s">
        <v>2068</v>
      </c>
      <c r="N3068" s="1" t="s">
        <v>1837</v>
      </c>
      <c r="O3068" s="1" t="s">
        <v>1286</v>
      </c>
      <c r="P3068" s="34" t="str">
        <f t="shared" si="61"/>
        <v>F010</v>
      </c>
      <c r="Q3068" s="1" t="s">
        <v>127</v>
      </c>
      <c r="S3068" s="16">
        <v>20</v>
      </c>
      <c r="T3068" s="1" t="s">
        <v>5555</v>
      </c>
      <c r="U3068" s="1" t="s">
        <v>1511</v>
      </c>
      <c r="V3068" s="1" t="s">
        <v>4719</v>
      </c>
      <c r="Y3068" s="1">
        <v>2948.72</v>
      </c>
      <c r="AB3068" s="1">
        <v>1465.27</v>
      </c>
    </row>
    <row r="3069" spans="2:28" x14ac:dyDescent="0.2">
      <c r="B3069" s="30" t="s">
        <v>2294</v>
      </c>
      <c r="C3069" s="36"/>
      <c r="D3069" s="36"/>
      <c r="F3069" s="1" t="s">
        <v>5556</v>
      </c>
      <c r="G3069" s="30" t="s">
        <v>5551</v>
      </c>
      <c r="K3069" s="1" t="s">
        <v>5595</v>
      </c>
      <c r="L3069" s="1" t="s">
        <v>1279</v>
      </c>
      <c r="M3069" s="36" t="s">
        <v>2068</v>
      </c>
      <c r="N3069" s="1" t="s">
        <v>1837</v>
      </c>
      <c r="O3069" s="1" t="s">
        <v>1286</v>
      </c>
      <c r="P3069" s="34" t="str">
        <f t="shared" si="61"/>
        <v>F010</v>
      </c>
      <c r="Q3069" s="1" t="s">
        <v>127</v>
      </c>
      <c r="S3069" s="16">
        <v>20</v>
      </c>
      <c r="T3069" s="1" t="s">
        <v>2299</v>
      </c>
      <c r="U3069" s="1" t="s">
        <v>1511</v>
      </c>
      <c r="V3069" s="1" t="s">
        <v>4719</v>
      </c>
      <c r="Y3069" s="1">
        <v>2948.72</v>
      </c>
      <c r="AB3069" s="1">
        <v>1465.27</v>
      </c>
    </row>
    <row r="3070" spans="2:28" x14ac:dyDescent="0.2">
      <c r="B3070" s="30" t="s">
        <v>2294</v>
      </c>
      <c r="C3070" s="36"/>
      <c r="D3070" s="36"/>
      <c r="F3070" s="1" t="s">
        <v>1322</v>
      </c>
      <c r="G3070" s="30" t="s">
        <v>5551</v>
      </c>
      <c r="K3070" s="1" t="s">
        <v>5596</v>
      </c>
      <c r="L3070" s="1" t="s">
        <v>1279</v>
      </c>
      <c r="M3070" s="36" t="s">
        <v>2068</v>
      </c>
      <c r="N3070" s="1" t="s">
        <v>1837</v>
      </c>
      <c r="O3070" s="1" t="s">
        <v>1286</v>
      </c>
      <c r="P3070" s="34" t="str">
        <f t="shared" si="61"/>
        <v>F010</v>
      </c>
      <c r="Q3070" s="1" t="s">
        <v>127</v>
      </c>
      <c r="S3070" s="16">
        <v>20</v>
      </c>
      <c r="T3070" s="1" t="s">
        <v>3239</v>
      </c>
      <c r="U3070" s="1" t="s">
        <v>1511</v>
      </c>
      <c r="V3070" s="1" t="s">
        <v>4719</v>
      </c>
      <c r="Y3070" s="1">
        <v>2948.72</v>
      </c>
      <c r="AB3070" s="1">
        <v>1465.27</v>
      </c>
    </row>
    <row r="3071" spans="2:28" x14ac:dyDescent="0.2">
      <c r="B3071" s="30" t="s">
        <v>2294</v>
      </c>
      <c r="C3071" s="36"/>
      <c r="D3071" s="36"/>
      <c r="F3071" s="1" t="s">
        <v>3240</v>
      </c>
      <c r="G3071" s="30" t="s">
        <v>5551</v>
      </c>
      <c r="K3071" s="1" t="s">
        <v>5597</v>
      </c>
      <c r="L3071" s="1" t="s">
        <v>1279</v>
      </c>
      <c r="M3071" s="36" t="s">
        <v>2068</v>
      </c>
      <c r="N3071" s="1" t="s">
        <v>1573</v>
      </c>
      <c r="O3071" s="1" t="s">
        <v>1286</v>
      </c>
      <c r="P3071" s="34" t="str">
        <f t="shared" si="61"/>
        <v>F010</v>
      </c>
      <c r="Q3071" s="1" t="s">
        <v>127</v>
      </c>
      <c r="S3071" s="16">
        <v>20</v>
      </c>
      <c r="T3071" s="1" t="s">
        <v>2299</v>
      </c>
      <c r="U3071" s="1" t="s">
        <v>1511</v>
      </c>
      <c r="V3071" s="1" t="s">
        <v>4719</v>
      </c>
      <c r="Y3071" s="1">
        <v>2948.72</v>
      </c>
      <c r="AB3071" s="1">
        <v>1465.27</v>
      </c>
    </row>
    <row r="3072" spans="2:28" x14ac:dyDescent="0.2">
      <c r="B3072" s="30" t="s">
        <v>2294</v>
      </c>
      <c r="C3072" s="36"/>
      <c r="D3072" s="36"/>
      <c r="F3072" s="1" t="s">
        <v>1322</v>
      </c>
      <c r="G3072" s="30" t="s">
        <v>5551</v>
      </c>
      <c r="K3072" s="1" t="s">
        <v>5598</v>
      </c>
      <c r="L3072" s="1" t="s">
        <v>1279</v>
      </c>
      <c r="M3072" s="36" t="s">
        <v>2068</v>
      </c>
      <c r="N3072" s="1" t="s">
        <v>1806</v>
      </c>
      <c r="O3072" s="1" t="s">
        <v>1286</v>
      </c>
      <c r="P3072" s="34" t="str">
        <f t="shared" si="61"/>
        <v>F010</v>
      </c>
      <c r="Q3072" s="1" t="s">
        <v>127</v>
      </c>
      <c r="S3072" s="16">
        <v>20</v>
      </c>
      <c r="T3072" s="1" t="s">
        <v>3268</v>
      </c>
      <c r="U3072" s="1" t="s">
        <v>1511</v>
      </c>
      <c r="V3072" s="1" t="s">
        <v>4719</v>
      </c>
      <c r="Y3072" s="1">
        <v>2948.72</v>
      </c>
      <c r="AB3072" s="1">
        <v>1465.27</v>
      </c>
    </row>
    <row r="3073" spans="2:28" x14ac:dyDescent="0.2">
      <c r="B3073" s="30" t="s">
        <v>2294</v>
      </c>
      <c r="C3073" s="36"/>
      <c r="D3073" s="36"/>
      <c r="F3073" s="1" t="s">
        <v>3269</v>
      </c>
      <c r="G3073" s="30" t="s">
        <v>5551</v>
      </c>
      <c r="K3073" s="1" t="s">
        <v>5599</v>
      </c>
      <c r="L3073" s="1" t="s">
        <v>1279</v>
      </c>
      <c r="M3073" s="36" t="s">
        <v>2068</v>
      </c>
      <c r="N3073" s="1" t="s">
        <v>2866</v>
      </c>
      <c r="O3073" s="1" t="s">
        <v>1286</v>
      </c>
      <c r="P3073" s="34" t="str">
        <f t="shared" si="61"/>
        <v>F010</v>
      </c>
      <c r="Q3073" s="1" t="s">
        <v>127</v>
      </c>
      <c r="S3073" s="16">
        <v>20</v>
      </c>
      <c r="T3073" s="1" t="s">
        <v>2299</v>
      </c>
      <c r="U3073" s="1" t="s">
        <v>1511</v>
      </c>
      <c r="V3073" s="1" t="s">
        <v>4719</v>
      </c>
      <c r="Y3073" s="1">
        <v>2948.72</v>
      </c>
      <c r="AB3073" s="1">
        <v>1465.27</v>
      </c>
    </row>
    <row r="3074" spans="2:28" x14ac:dyDescent="0.2">
      <c r="B3074" s="30" t="s">
        <v>2294</v>
      </c>
      <c r="C3074" s="36"/>
      <c r="D3074" s="36"/>
      <c r="F3074" s="1" t="s">
        <v>1322</v>
      </c>
      <c r="G3074" s="30" t="s">
        <v>5551</v>
      </c>
      <c r="K3074" s="1" t="s">
        <v>5600</v>
      </c>
      <c r="L3074" s="1" t="s">
        <v>1279</v>
      </c>
      <c r="M3074" s="36" t="s">
        <v>2068</v>
      </c>
      <c r="N3074" s="1" t="s">
        <v>1837</v>
      </c>
      <c r="O3074" s="1" t="s">
        <v>1286</v>
      </c>
      <c r="P3074" s="34" t="str">
        <f t="shared" si="61"/>
        <v>F010</v>
      </c>
      <c r="Q3074" s="1" t="s">
        <v>127</v>
      </c>
      <c r="S3074" s="16">
        <v>20</v>
      </c>
      <c r="T3074" s="1" t="s">
        <v>3191</v>
      </c>
      <c r="U3074" s="1" t="s">
        <v>1511</v>
      </c>
      <c r="V3074" s="1" t="s">
        <v>4719</v>
      </c>
      <c r="Y3074" s="1">
        <v>2948.72</v>
      </c>
      <c r="AB3074" s="1">
        <v>1465.27</v>
      </c>
    </row>
    <row r="3075" spans="2:28" x14ac:dyDescent="0.2">
      <c r="B3075" s="30" t="s">
        <v>2294</v>
      </c>
      <c r="C3075" s="36"/>
      <c r="D3075" s="36"/>
      <c r="F3075" s="1" t="s">
        <v>3192</v>
      </c>
      <c r="G3075" s="30" t="s">
        <v>5551</v>
      </c>
      <c r="K3075" s="1" t="s">
        <v>5601</v>
      </c>
      <c r="L3075" s="1" t="s">
        <v>1279</v>
      </c>
      <c r="M3075" s="36" t="s">
        <v>2068</v>
      </c>
      <c r="N3075" s="1" t="s">
        <v>3769</v>
      </c>
      <c r="O3075" s="1" t="s">
        <v>1286</v>
      </c>
      <c r="P3075" s="34" t="str">
        <f t="shared" si="61"/>
        <v>F010</v>
      </c>
      <c r="Q3075" s="1" t="s">
        <v>127</v>
      </c>
      <c r="S3075" s="16">
        <v>20</v>
      </c>
      <c r="T3075" s="1" t="s">
        <v>2299</v>
      </c>
      <c r="U3075" s="1" t="s">
        <v>1511</v>
      </c>
      <c r="V3075" s="1" t="s">
        <v>4719</v>
      </c>
      <c r="Y3075" s="1">
        <v>2948.72</v>
      </c>
      <c r="AB3075" s="1">
        <v>1465.27</v>
      </c>
    </row>
    <row r="3076" spans="2:28" x14ac:dyDescent="0.2">
      <c r="B3076" s="30" t="s">
        <v>2294</v>
      </c>
      <c r="C3076" s="36"/>
      <c r="D3076" s="36"/>
      <c r="F3076" s="1" t="s">
        <v>1322</v>
      </c>
      <c r="G3076" s="30" t="s">
        <v>5551</v>
      </c>
      <c r="K3076" s="1" t="s">
        <v>5602</v>
      </c>
      <c r="L3076" s="1" t="s">
        <v>1279</v>
      </c>
      <c r="M3076" s="36" t="s">
        <v>2068</v>
      </c>
      <c r="N3076" s="1" t="s">
        <v>3769</v>
      </c>
      <c r="O3076" s="1" t="s">
        <v>1286</v>
      </c>
      <c r="P3076" s="34" t="str">
        <f t="shared" si="61"/>
        <v>F010</v>
      </c>
      <c r="Q3076" s="1" t="s">
        <v>127</v>
      </c>
      <c r="S3076" s="16">
        <v>20</v>
      </c>
      <c r="T3076" s="1" t="s">
        <v>3143</v>
      </c>
      <c r="U3076" s="1" t="s">
        <v>1511</v>
      </c>
      <c r="V3076" s="1" t="s">
        <v>4719</v>
      </c>
      <c r="Y3076" s="1">
        <v>2948.72</v>
      </c>
      <c r="AB3076" s="1">
        <v>1465.27</v>
      </c>
    </row>
    <row r="3077" spans="2:28" x14ac:dyDescent="0.2">
      <c r="B3077" s="30" t="s">
        <v>2294</v>
      </c>
      <c r="C3077" s="36"/>
      <c r="D3077" s="36"/>
      <c r="F3077" s="1" t="s">
        <v>3144</v>
      </c>
      <c r="G3077" s="30" t="s">
        <v>5551</v>
      </c>
      <c r="K3077" s="1" t="s">
        <v>5603</v>
      </c>
      <c r="L3077" s="1" t="s">
        <v>1279</v>
      </c>
      <c r="M3077" s="36" t="s">
        <v>2068</v>
      </c>
      <c r="N3077" s="1" t="s">
        <v>1564</v>
      </c>
      <c r="O3077" s="1" t="s">
        <v>1286</v>
      </c>
      <c r="P3077" s="34" t="str">
        <f t="shared" si="61"/>
        <v>F010</v>
      </c>
      <c r="Q3077" s="1" t="s">
        <v>127</v>
      </c>
      <c r="S3077" s="16">
        <v>20</v>
      </c>
      <c r="T3077" s="1" t="s">
        <v>2299</v>
      </c>
      <c r="U3077" s="1" t="s">
        <v>1511</v>
      </c>
      <c r="V3077" s="1" t="s">
        <v>4719</v>
      </c>
      <c r="Y3077" s="1">
        <v>2948.72</v>
      </c>
      <c r="AB3077" s="1">
        <v>1465.27</v>
      </c>
    </row>
    <row r="3078" spans="2:28" x14ac:dyDescent="0.2">
      <c r="B3078" s="30" t="s">
        <v>2294</v>
      </c>
      <c r="C3078" s="36"/>
      <c r="D3078" s="36"/>
      <c r="F3078" s="1" t="s">
        <v>1322</v>
      </c>
      <c r="G3078" s="30" t="s">
        <v>5551</v>
      </c>
      <c r="K3078" s="1" t="s">
        <v>5604</v>
      </c>
      <c r="L3078" s="1" t="s">
        <v>1279</v>
      </c>
      <c r="M3078" s="36" t="s">
        <v>1463</v>
      </c>
      <c r="N3078" s="1" t="s">
        <v>1284</v>
      </c>
      <c r="O3078" s="1" t="s">
        <v>1286</v>
      </c>
      <c r="P3078" s="34" t="str">
        <f t="shared" si="61"/>
        <v>F010</v>
      </c>
      <c r="Q3078" s="1" t="s">
        <v>127</v>
      </c>
      <c r="S3078" s="16">
        <v>20</v>
      </c>
      <c r="T3078" s="1" t="s">
        <v>3747</v>
      </c>
      <c r="U3078" s="1" t="s">
        <v>1480</v>
      </c>
      <c r="V3078" s="1" t="s">
        <v>1696</v>
      </c>
      <c r="Y3078" s="1">
        <v>5106.84</v>
      </c>
      <c r="AB3078" s="1">
        <v>2156.21</v>
      </c>
    </row>
    <row r="3079" spans="2:28" x14ac:dyDescent="0.2">
      <c r="B3079" s="30" t="s">
        <v>2294</v>
      </c>
      <c r="C3079" s="36"/>
      <c r="D3079" s="36"/>
      <c r="F3079" s="1" t="s">
        <v>3748</v>
      </c>
      <c r="G3079" s="30" t="s">
        <v>5551</v>
      </c>
      <c r="K3079" s="1" t="s">
        <v>5605</v>
      </c>
      <c r="L3079" s="1" t="s">
        <v>1279</v>
      </c>
      <c r="M3079" s="36" t="s">
        <v>1463</v>
      </c>
      <c r="N3079" s="1" t="s">
        <v>1284</v>
      </c>
      <c r="O3079" s="1" t="s">
        <v>1286</v>
      </c>
      <c r="P3079" s="34" t="str">
        <f t="shared" si="61"/>
        <v>F010</v>
      </c>
      <c r="Q3079" s="1" t="s">
        <v>127</v>
      </c>
      <c r="S3079" s="16">
        <v>20</v>
      </c>
      <c r="T3079" s="1" t="s">
        <v>2299</v>
      </c>
      <c r="U3079" s="1" t="s">
        <v>1480</v>
      </c>
      <c r="V3079" s="1" t="s">
        <v>1696</v>
      </c>
      <c r="Y3079" s="1">
        <v>5106.84</v>
      </c>
      <c r="AB3079" s="1">
        <v>2156.21</v>
      </c>
    </row>
    <row r="3080" spans="2:28" x14ac:dyDescent="0.2">
      <c r="B3080" s="30" t="s">
        <v>2294</v>
      </c>
      <c r="C3080" s="36"/>
      <c r="D3080" s="36"/>
      <c r="F3080" s="1" t="s">
        <v>1322</v>
      </c>
      <c r="G3080" s="30" t="s">
        <v>5551</v>
      </c>
      <c r="K3080" s="1" t="s">
        <v>5606</v>
      </c>
      <c r="L3080" s="1" t="s">
        <v>1279</v>
      </c>
      <c r="M3080" s="36" t="s">
        <v>1463</v>
      </c>
      <c r="N3080" s="1" t="s">
        <v>1284</v>
      </c>
      <c r="O3080" s="1" t="s">
        <v>1286</v>
      </c>
      <c r="P3080" s="34" t="str">
        <f t="shared" si="61"/>
        <v>F010</v>
      </c>
      <c r="Q3080" s="1" t="s">
        <v>127</v>
      </c>
      <c r="S3080" s="16">
        <v>20</v>
      </c>
      <c r="T3080" s="1" t="s">
        <v>3577</v>
      </c>
      <c r="U3080" s="1" t="s">
        <v>1480</v>
      </c>
      <c r="V3080" s="1" t="s">
        <v>1696</v>
      </c>
      <c r="Y3080" s="1">
        <v>5106.84</v>
      </c>
      <c r="AB3080" s="1">
        <v>2156.21</v>
      </c>
    </row>
    <row r="3081" spans="2:28" x14ac:dyDescent="0.2">
      <c r="B3081" s="30" t="s">
        <v>2294</v>
      </c>
      <c r="C3081" s="36"/>
      <c r="D3081" s="36"/>
      <c r="F3081" s="1" t="s">
        <v>3578</v>
      </c>
      <c r="G3081" s="30" t="s">
        <v>5551</v>
      </c>
      <c r="K3081" s="1" t="s">
        <v>5607</v>
      </c>
      <c r="L3081" s="1" t="s">
        <v>1279</v>
      </c>
      <c r="M3081" s="36" t="s">
        <v>1463</v>
      </c>
      <c r="N3081" s="1" t="s">
        <v>1284</v>
      </c>
      <c r="O3081" s="1" t="s">
        <v>1286</v>
      </c>
      <c r="P3081" s="34" t="str">
        <f t="shared" si="61"/>
        <v>F010</v>
      </c>
      <c r="Q3081" s="1" t="s">
        <v>127</v>
      </c>
      <c r="S3081" s="16">
        <v>20</v>
      </c>
      <c r="T3081" s="1" t="s">
        <v>2299</v>
      </c>
      <c r="U3081" s="1" t="s">
        <v>1480</v>
      </c>
      <c r="V3081" s="1" t="s">
        <v>1696</v>
      </c>
      <c r="Y3081" s="1">
        <v>5106.84</v>
      </c>
      <c r="AB3081" s="1">
        <v>2156.21</v>
      </c>
    </row>
    <row r="3082" spans="2:28" x14ac:dyDescent="0.2">
      <c r="B3082" s="30" t="s">
        <v>2294</v>
      </c>
      <c r="C3082" s="36"/>
      <c r="D3082" s="36"/>
      <c r="F3082" s="1" t="s">
        <v>1322</v>
      </c>
      <c r="G3082" s="30" t="s">
        <v>5551</v>
      </c>
      <c r="K3082" s="1" t="s">
        <v>5608</v>
      </c>
      <c r="L3082" s="1" t="s">
        <v>1279</v>
      </c>
      <c r="M3082" s="36" t="s">
        <v>1463</v>
      </c>
      <c r="N3082" s="1" t="s">
        <v>1284</v>
      </c>
      <c r="O3082" s="1" t="s">
        <v>1286</v>
      </c>
      <c r="P3082" s="34" t="str">
        <f t="shared" si="61"/>
        <v>F010</v>
      </c>
      <c r="Q3082" s="1" t="s">
        <v>127</v>
      </c>
      <c r="S3082" s="16">
        <v>20</v>
      </c>
      <c r="T3082" s="1" t="s">
        <v>3152</v>
      </c>
      <c r="U3082" s="1" t="s">
        <v>1480</v>
      </c>
      <c r="V3082" s="1" t="s">
        <v>1696</v>
      </c>
      <c r="Y3082" s="1">
        <v>5106.84</v>
      </c>
      <c r="AB3082" s="1">
        <v>2156.21</v>
      </c>
    </row>
    <row r="3083" spans="2:28" x14ac:dyDescent="0.2">
      <c r="B3083" s="30" t="s">
        <v>2294</v>
      </c>
      <c r="C3083" s="36"/>
      <c r="D3083" s="36"/>
      <c r="F3083" s="1" t="s">
        <v>3153</v>
      </c>
      <c r="G3083" s="30" t="s">
        <v>5551</v>
      </c>
      <c r="K3083" s="1" t="s">
        <v>5609</v>
      </c>
      <c r="L3083" s="1" t="s">
        <v>1279</v>
      </c>
      <c r="M3083" s="36" t="s">
        <v>1463</v>
      </c>
      <c r="N3083" s="1" t="s">
        <v>1284</v>
      </c>
      <c r="O3083" s="1" t="s">
        <v>1286</v>
      </c>
      <c r="P3083" s="34" t="str">
        <f t="shared" si="61"/>
        <v>F010</v>
      </c>
      <c r="Q3083" s="1" t="s">
        <v>127</v>
      </c>
      <c r="S3083" s="16">
        <v>20</v>
      </c>
      <c r="T3083" s="1" t="s">
        <v>2299</v>
      </c>
      <c r="U3083" s="1" t="s">
        <v>1480</v>
      </c>
      <c r="V3083" s="1" t="s">
        <v>1696</v>
      </c>
      <c r="Y3083" s="1">
        <v>5106.84</v>
      </c>
      <c r="AB3083" s="1">
        <v>2156.21</v>
      </c>
    </row>
    <row r="3084" spans="2:28" x14ac:dyDescent="0.2">
      <c r="B3084" s="30" t="s">
        <v>2294</v>
      </c>
      <c r="C3084" s="36"/>
      <c r="D3084" s="36"/>
      <c r="F3084" s="1" t="s">
        <v>1322</v>
      </c>
      <c r="G3084" s="30" t="s">
        <v>5551</v>
      </c>
      <c r="K3084" s="1" t="s">
        <v>5610</v>
      </c>
      <c r="L3084" s="1" t="s">
        <v>1279</v>
      </c>
      <c r="M3084" s="36" t="s">
        <v>1463</v>
      </c>
      <c r="N3084" s="1" t="s">
        <v>1284</v>
      </c>
      <c r="O3084" s="1" t="s">
        <v>1286</v>
      </c>
      <c r="P3084" s="34" t="str">
        <f t="shared" si="61"/>
        <v>F010</v>
      </c>
      <c r="Q3084" s="1" t="s">
        <v>127</v>
      </c>
      <c r="S3084" s="16">
        <v>20</v>
      </c>
      <c r="T3084" s="1" t="s">
        <v>3213</v>
      </c>
      <c r="U3084" s="1" t="s">
        <v>1480</v>
      </c>
      <c r="V3084" s="1" t="s">
        <v>1696</v>
      </c>
      <c r="Y3084" s="1">
        <v>5106.84</v>
      </c>
      <c r="AB3084" s="1">
        <v>2156.21</v>
      </c>
    </row>
    <row r="3085" spans="2:28" x14ac:dyDescent="0.2">
      <c r="B3085" s="30" t="s">
        <v>2294</v>
      </c>
      <c r="C3085" s="36"/>
      <c r="D3085" s="36"/>
      <c r="F3085" s="1" t="s">
        <v>3214</v>
      </c>
      <c r="G3085" s="30" t="s">
        <v>5551</v>
      </c>
      <c r="K3085" s="1" t="s">
        <v>5611</v>
      </c>
      <c r="L3085" s="1" t="s">
        <v>1279</v>
      </c>
      <c r="M3085" s="36" t="s">
        <v>1463</v>
      </c>
      <c r="N3085" s="1" t="s">
        <v>1284</v>
      </c>
      <c r="O3085" s="1" t="s">
        <v>1286</v>
      </c>
      <c r="P3085" s="34" t="str">
        <f t="shared" si="61"/>
        <v>F010</v>
      </c>
      <c r="Q3085" s="1" t="s">
        <v>127</v>
      </c>
      <c r="S3085" s="16">
        <v>20</v>
      </c>
      <c r="T3085" s="1" t="s">
        <v>2299</v>
      </c>
      <c r="U3085" s="1" t="s">
        <v>1480</v>
      </c>
      <c r="V3085" s="1" t="s">
        <v>1696</v>
      </c>
      <c r="Y3085" s="1">
        <v>5106.84</v>
      </c>
      <c r="AB3085" s="1">
        <v>2156.21</v>
      </c>
    </row>
    <row r="3086" spans="2:28" x14ac:dyDescent="0.2">
      <c r="B3086" s="30" t="s">
        <v>2294</v>
      </c>
      <c r="C3086" s="36"/>
      <c r="D3086" s="36"/>
      <c r="F3086" s="1" t="s">
        <v>1322</v>
      </c>
      <c r="G3086" s="30" t="s">
        <v>5551</v>
      </c>
      <c r="K3086" s="1" t="s">
        <v>5612</v>
      </c>
      <c r="L3086" s="1" t="s">
        <v>1279</v>
      </c>
      <c r="M3086" s="36" t="s">
        <v>1463</v>
      </c>
      <c r="N3086" s="1" t="s">
        <v>1284</v>
      </c>
      <c r="O3086" s="1" t="s">
        <v>1286</v>
      </c>
      <c r="P3086" s="34" t="str">
        <f t="shared" si="61"/>
        <v>F010</v>
      </c>
      <c r="Q3086" s="1" t="s">
        <v>127</v>
      </c>
      <c r="S3086" s="16">
        <v>20</v>
      </c>
      <c r="T3086" s="1" t="s">
        <v>3473</v>
      </c>
      <c r="U3086" s="1" t="s">
        <v>1480</v>
      </c>
      <c r="V3086" s="1" t="s">
        <v>1696</v>
      </c>
      <c r="Y3086" s="1">
        <v>5106.84</v>
      </c>
      <c r="AB3086" s="1">
        <v>2156.21</v>
      </c>
    </row>
    <row r="3087" spans="2:28" x14ac:dyDescent="0.2">
      <c r="B3087" s="30" t="s">
        <v>2294</v>
      </c>
      <c r="C3087" s="36"/>
      <c r="D3087" s="36"/>
      <c r="F3087" s="1" t="s">
        <v>3474</v>
      </c>
      <c r="G3087" s="30" t="s">
        <v>5551</v>
      </c>
      <c r="K3087" s="1" t="s">
        <v>5613</v>
      </c>
      <c r="L3087" s="1" t="s">
        <v>1279</v>
      </c>
      <c r="M3087" s="36" t="s">
        <v>1463</v>
      </c>
      <c r="N3087" s="1" t="s">
        <v>1284</v>
      </c>
      <c r="O3087" s="1" t="s">
        <v>1286</v>
      </c>
      <c r="P3087" s="34" t="str">
        <f t="shared" si="61"/>
        <v>F010</v>
      </c>
      <c r="Q3087" s="1" t="s">
        <v>127</v>
      </c>
      <c r="S3087" s="16">
        <v>20</v>
      </c>
      <c r="T3087" s="1" t="s">
        <v>2299</v>
      </c>
      <c r="U3087" s="1" t="s">
        <v>1480</v>
      </c>
      <c r="V3087" s="1" t="s">
        <v>1696</v>
      </c>
      <c r="Y3087" s="1">
        <v>5106.84</v>
      </c>
      <c r="AB3087" s="1">
        <v>2156.21</v>
      </c>
    </row>
    <row r="3088" spans="2:28" x14ac:dyDescent="0.2">
      <c r="B3088" s="30" t="s">
        <v>2294</v>
      </c>
      <c r="C3088" s="36"/>
      <c r="D3088" s="36"/>
      <c r="F3088" s="1" t="s">
        <v>1322</v>
      </c>
      <c r="G3088" s="30" t="s">
        <v>5551</v>
      </c>
      <c r="K3088" s="1" t="s">
        <v>5614</v>
      </c>
      <c r="L3088" s="1" t="s">
        <v>1279</v>
      </c>
      <c r="M3088" s="36" t="s">
        <v>1463</v>
      </c>
      <c r="N3088" s="1" t="s">
        <v>1284</v>
      </c>
      <c r="O3088" s="1" t="s">
        <v>1286</v>
      </c>
      <c r="P3088" s="34" t="str">
        <f t="shared" si="61"/>
        <v>F010</v>
      </c>
      <c r="Q3088" s="1" t="s">
        <v>127</v>
      </c>
      <c r="S3088" s="16">
        <v>20</v>
      </c>
      <c r="T3088" s="1" t="s">
        <v>3262</v>
      </c>
      <c r="U3088" s="1" t="s">
        <v>1480</v>
      </c>
      <c r="V3088" s="1" t="s">
        <v>1696</v>
      </c>
      <c r="Y3088" s="1">
        <v>5106.84</v>
      </c>
      <c r="AB3088" s="1">
        <v>2156.21</v>
      </c>
    </row>
    <row r="3089" spans="2:28" x14ac:dyDescent="0.2">
      <c r="B3089" s="30" t="s">
        <v>2294</v>
      </c>
      <c r="C3089" s="36"/>
      <c r="D3089" s="36"/>
      <c r="F3089" s="1" t="s">
        <v>3263</v>
      </c>
      <c r="G3089" s="30" t="s">
        <v>5551</v>
      </c>
      <c r="K3089" s="1" t="s">
        <v>5615</v>
      </c>
      <c r="L3089" s="1" t="s">
        <v>1279</v>
      </c>
      <c r="M3089" s="36" t="s">
        <v>1463</v>
      </c>
      <c r="N3089" s="1" t="s">
        <v>1284</v>
      </c>
      <c r="O3089" s="1" t="s">
        <v>1286</v>
      </c>
      <c r="P3089" s="34" t="str">
        <f t="shared" si="61"/>
        <v>F010</v>
      </c>
      <c r="Q3089" s="1" t="s">
        <v>127</v>
      </c>
      <c r="S3089" s="16">
        <v>20</v>
      </c>
      <c r="T3089" s="1" t="s">
        <v>2299</v>
      </c>
      <c r="U3089" s="1" t="s">
        <v>1480</v>
      </c>
      <c r="V3089" s="1" t="s">
        <v>1696</v>
      </c>
      <c r="Y3089" s="1">
        <v>5106.84</v>
      </c>
      <c r="AB3089" s="1">
        <v>2156.21</v>
      </c>
    </row>
    <row r="3090" spans="2:28" x14ac:dyDescent="0.2">
      <c r="B3090" s="30" t="s">
        <v>2294</v>
      </c>
      <c r="C3090" s="36"/>
      <c r="D3090" s="36"/>
      <c r="F3090" s="1" t="s">
        <v>1322</v>
      </c>
      <c r="G3090" s="30" t="s">
        <v>5551</v>
      </c>
      <c r="K3090" s="1" t="s">
        <v>5616</v>
      </c>
      <c r="L3090" s="1" t="s">
        <v>1279</v>
      </c>
      <c r="M3090" s="36" t="s">
        <v>1463</v>
      </c>
      <c r="N3090" s="1" t="s">
        <v>1284</v>
      </c>
      <c r="O3090" s="1" t="s">
        <v>1286</v>
      </c>
      <c r="P3090" s="34" t="str">
        <f t="shared" si="61"/>
        <v>F010</v>
      </c>
      <c r="Q3090" s="1" t="s">
        <v>127</v>
      </c>
      <c r="S3090" s="16">
        <v>20</v>
      </c>
      <c r="T3090" s="1" t="s">
        <v>3473</v>
      </c>
      <c r="U3090" s="1" t="s">
        <v>1480</v>
      </c>
      <c r="V3090" s="1" t="s">
        <v>1696</v>
      </c>
      <c r="Y3090" s="1">
        <v>5106.84</v>
      </c>
      <c r="AB3090" s="1">
        <v>2156.21</v>
      </c>
    </row>
    <row r="3091" spans="2:28" x14ac:dyDescent="0.2">
      <c r="B3091" s="30" t="s">
        <v>2294</v>
      </c>
      <c r="C3091" s="36"/>
      <c r="D3091" s="36"/>
      <c r="F3091" s="1" t="s">
        <v>3474</v>
      </c>
      <c r="G3091" s="30" t="s">
        <v>5551</v>
      </c>
      <c r="K3091" s="1" t="s">
        <v>5617</v>
      </c>
      <c r="L3091" s="1" t="s">
        <v>1279</v>
      </c>
      <c r="M3091" s="36" t="s">
        <v>1463</v>
      </c>
      <c r="N3091" s="1" t="s">
        <v>1284</v>
      </c>
      <c r="O3091" s="1" t="s">
        <v>1286</v>
      </c>
      <c r="P3091" s="34" t="str">
        <f t="shared" si="61"/>
        <v>F010</v>
      </c>
      <c r="Q3091" s="1" t="s">
        <v>127</v>
      </c>
      <c r="S3091" s="16">
        <v>20</v>
      </c>
      <c r="T3091" s="1" t="s">
        <v>2299</v>
      </c>
      <c r="U3091" s="1" t="s">
        <v>1480</v>
      </c>
      <c r="V3091" s="1" t="s">
        <v>1696</v>
      </c>
      <c r="Y3091" s="1">
        <v>5106.84</v>
      </c>
      <c r="AB3091" s="1">
        <v>2156.21</v>
      </c>
    </row>
    <row r="3092" spans="2:28" x14ac:dyDescent="0.2">
      <c r="B3092" s="30" t="s">
        <v>2294</v>
      </c>
      <c r="C3092" s="36"/>
      <c r="D3092" s="36"/>
      <c r="F3092" s="1" t="s">
        <v>1322</v>
      </c>
      <c r="G3092" s="30" t="s">
        <v>5551</v>
      </c>
      <c r="K3092" s="1" t="s">
        <v>5618</v>
      </c>
      <c r="L3092" s="1" t="s">
        <v>1279</v>
      </c>
      <c r="M3092" s="36" t="s">
        <v>1463</v>
      </c>
      <c r="N3092" s="1" t="s">
        <v>1284</v>
      </c>
      <c r="O3092" s="1" t="s">
        <v>1286</v>
      </c>
      <c r="P3092" s="34" t="str">
        <f t="shared" si="61"/>
        <v>F010</v>
      </c>
      <c r="Q3092" s="1" t="s">
        <v>127</v>
      </c>
      <c r="S3092" s="16">
        <v>20</v>
      </c>
      <c r="T3092" s="1" t="s">
        <v>3637</v>
      </c>
      <c r="U3092" s="1" t="s">
        <v>1480</v>
      </c>
      <c r="V3092" s="1" t="s">
        <v>1696</v>
      </c>
      <c r="Y3092" s="1">
        <v>5106.84</v>
      </c>
      <c r="AB3092" s="1">
        <v>2156.21</v>
      </c>
    </row>
    <row r="3093" spans="2:28" x14ac:dyDescent="0.2">
      <c r="B3093" s="30" t="s">
        <v>2294</v>
      </c>
      <c r="C3093" s="36"/>
      <c r="D3093" s="36"/>
      <c r="F3093" s="1" t="s">
        <v>3638</v>
      </c>
      <c r="G3093" s="30" t="s">
        <v>5551</v>
      </c>
      <c r="K3093" s="1" t="s">
        <v>5619</v>
      </c>
      <c r="L3093" s="1" t="s">
        <v>1279</v>
      </c>
      <c r="M3093" s="36" t="s">
        <v>1463</v>
      </c>
      <c r="N3093" s="1" t="s">
        <v>1284</v>
      </c>
      <c r="O3093" s="1" t="s">
        <v>1286</v>
      </c>
      <c r="P3093" s="34" t="str">
        <f t="shared" si="61"/>
        <v>F010</v>
      </c>
      <c r="Q3093" s="1" t="s">
        <v>127</v>
      </c>
      <c r="S3093" s="16">
        <v>20</v>
      </c>
      <c r="T3093" s="1" t="s">
        <v>2299</v>
      </c>
      <c r="U3093" s="1" t="s">
        <v>1480</v>
      </c>
      <c r="V3093" s="1" t="s">
        <v>1696</v>
      </c>
      <c r="Y3093" s="1">
        <v>5106.84</v>
      </c>
      <c r="AB3093" s="1">
        <v>2156.21</v>
      </c>
    </row>
    <row r="3094" spans="2:28" x14ac:dyDescent="0.2">
      <c r="B3094" s="30" t="s">
        <v>2294</v>
      </c>
      <c r="C3094" s="36"/>
      <c r="D3094" s="36"/>
      <c r="F3094" s="1" t="s">
        <v>1322</v>
      </c>
      <c r="G3094" s="30" t="s">
        <v>5551</v>
      </c>
      <c r="K3094" s="1" t="s">
        <v>5620</v>
      </c>
      <c r="L3094" s="1" t="s">
        <v>1279</v>
      </c>
      <c r="M3094" s="36" t="s">
        <v>1463</v>
      </c>
      <c r="N3094" s="1" t="s">
        <v>1284</v>
      </c>
      <c r="O3094" s="1" t="s">
        <v>1286</v>
      </c>
      <c r="P3094" s="34" t="str">
        <f t="shared" si="61"/>
        <v>F010</v>
      </c>
      <c r="Q3094" s="1" t="s">
        <v>127</v>
      </c>
      <c r="S3094" s="16">
        <v>20</v>
      </c>
      <c r="T3094" s="1" t="s">
        <v>3199</v>
      </c>
      <c r="U3094" s="1" t="s">
        <v>1480</v>
      </c>
      <c r="V3094" s="1" t="s">
        <v>1696</v>
      </c>
      <c r="Y3094" s="1">
        <v>5106.84</v>
      </c>
      <c r="AB3094" s="1">
        <v>2156.21</v>
      </c>
    </row>
    <row r="3095" spans="2:28" x14ac:dyDescent="0.2">
      <c r="B3095" s="30" t="s">
        <v>2294</v>
      </c>
      <c r="C3095" s="36"/>
      <c r="D3095" s="36"/>
      <c r="F3095" s="1" t="s">
        <v>3200</v>
      </c>
      <c r="G3095" s="30" t="s">
        <v>5551</v>
      </c>
      <c r="K3095" s="1" t="s">
        <v>5621</v>
      </c>
      <c r="L3095" s="1" t="s">
        <v>1279</v>
      </c>
      <c r="M3095" s="36" t="s">
        <v>1794</v>
      </c>
      <c r="N3095" s="1" t="s">
        <v>1568</v>
      </c>
      <c r="O3095" s="1" t="s">
        <v>1286</v>
      </c>
      <c r="P3095" s="34" t="str">
        <f t="shared" si="61"/>
        <v>F010</v>
      </c>
      <c r="Q3095" s="1" t="s">
        <v>127</v>
      </c>
      <c r="S3095" s="16">
        <v>20</v>
      </c>
      <c r="T3095" s="1" t="s">
        <v>2299</v>
      </c>
      <c r="U3095" s="1" t="s">
        <v>1497</v>
      </c>
      <c r="V3095" s="1" t="s">
        <v>1498</v>
      </c>
      <c r="Y3095" s="1">
        <v>4553.6000000000004</v>
      </c>
      <c r="AB3095" s="1">
        <v>3004.11</v>
      </c>
    </row>
    <row r="3096" spans="2:28" x14ac:dyDescent="0.2">
      <c r="B3096" s="30" t="s">
        <v>2294</v>
      </c>
      <c r="C3096" s="36"/>
      <c r="D3096" s="36"/>
      <c r="F3096" s="1" t="s">
        <v>1322</v>
      </c>
      <c r="G3096" s="30" t="s">
        <v>5551</v>
      </c>
      <c r="K3096" s="1" t="s">
        <v>5622</v>
      </c>
      <c r="L3096" s="1" t="s">
        <v>1279</v>
      </c>
      <c r="M3096" s="36" t="s">
        <v>1794</v>
      </c>
      <c r="N3096" s="1" t="s">
        <v>1568</v>
      </c>
      <c r="O3096" s="1" t="s">
        <v>1286</v>
      </c>
      <c r="P3096" s="34" t="str">
        <f t="shared" si="61"/>
        <v>F010</v>
      </c>
      <c r="Q3096" s="1" t="s">
        <v>127</v>
      </c>
      <c r="S3096" s="16">
        <v>20</v>
      </c>
      <c r="T3096" s="1" t="s">
        <v>3079</v>
      </c>
      <c r="U3096" s="1" t="s">
        <v>1497</v>
      </c>
      <c r="V3096" s="1" t="s">
        <v>1498</v>
      </c>
      <c r="Y3096" s="1">
        <v>4553.6000000000004</v>
      </c>
      <c r="AB3096" s="1">
        <v>3004.11</v>
      </c>
    </row>
    <row r="3097" spans="2:28" x14ac:dyDescent="0.2">
      <c r="B3097" s="30" t="s">
        <v>2294</v>
      </c>
      <c r="C3097" s="36"/>
      <c r="D3097" s="36"/>
      <c r="F3097" s="1" t="s">
        <v>3080</v>
      </c>
      <c r="G3097" s="30" t="s">
        <v>5551</v>
      </c>
      <c r="K3097" s="1" t="s">
        <v>5623</v>
      </c>
      <c r="L3097" s="1" t="s">
        <v>1279</v>
      </c>
      <c r="M3097" s="36" t="s">
        <v>1794</v>
      </c>
      <c r="N3097" s="1" t="s">
        <v>1568</v>
      </c>
      <c r="O3097" s="1" t="s">
        <v>1286</v>
      </c>
      <c r="P3097" s="34" t="str">
        <f t="shared" si="61"/>
        <v>F010</v>
      </c>
      <c r="Q3097" s="1" t="s">
        <v>127</v>
      </c>
      <c r="S3097" s="16">
        <v>20</v>
      </c>
      <c r="T3097" s="1" t="s">
        <v>2299</v>
      </c>
      <c r="U3097" s="1" t="s">
        <v>1497</v>
      </c>
      <c r="V3097" s="1" t="s">
        <v>1498</v>
      </c>
      <c r="Y3097" s="1">
        <v>4553.6000000000004</v>
      </c>
      <c r="AB3097" s="1">
        <v>3004.11</v>
      </c>
    </row>
    <row r="3098" spans="2:28" x14ac:dyDescent="0.2">
      <c r="B3098" s="30" t="s">
        <v>2294</v>
      </c>
      <c r="C3098" s="36"/>
      <c r="D3098" s="36"/>
      <c r="F3098" s="1" t="s">
        <v>1322</v>
      </c>
      <c r="G3098" s="30" t="s">
        <v>5551</v>
      </c>
      <c r="K3098" s="1" t="s">
        <v>5624</v>
      </c>
      <c r="L3098" s="1" t="s">
        <v>1279</v>
      </c>
      <c r="M3098" s="36" t="s">
        <v>1794</v>
      </c>
      <c r="N3098" s="1" t="s">
        <v>1568</v>
      </c>
      <c r="O3098" s="1" t="s">
        <v>1286</v>
      </c>
      <c r="P3098" s="34" t="str">
        <f t="shared" si="61"/>
        <v>F010</v>
      </c>
      <c r="Q3098" s="1" t="s">
        <v>127</v>
      </c>
      <c r="S3098" s="16">
        <v>20</v>
      </c>
      <c r="T3098" s="1" t="s">
        <v>3511</v>
      </c>
      <c r="U3098" s="1" t="s">
        <v>1497</v>
      </c>
      <c r="V3098" s="1" t="s">
        <v>1498</v>
      </c>
      <c r="Y3098" s="1">
        <v>4553.6000000000004</v>
      </c>
      <c r="AB3098" s="1">
        <v>3004.11</v>
      </c>
    </row>
    <row r="3099" spans="2:28" x14ac:dyDescent="0.2">
      <c r="B3099" s="30" t="s">
        <v>2294</v>
      </c>
      <c r="C3099" s="36"/>
      <c r="D3099" s="36"/>
      <c r="F3099" s="1" t="s">
        <v>3512</v>
      </c>
      <c r="G3099" s="30" t="s">
        <v>5551</v>
      </c>
      <c r="K3099" s="1" t="s">
        <v>5625</v>
      </c>
      <c r="L3099" s="1" t="s">
        <v>1279</v>
      </c>
      <c r="M3099" s="36" t="s">
        <v>1794</v>
      </c>
      <c r="N3099" s="1" t="s">
        <v>1568</v>
      </c>
      <c r="O3099" s="1" t="s">
        <v>1286</v>
      </c>
      <c r="P3099" s="34" t="str">
        <f t="shared" si="61"/>
        <v>F010</v>
      </c>
      <c r="Q3099" s="1" t="s">
        <v>127</v>
      </c>
      <c r="S3099" s="16">
        <v>20</v>
      </c>
      <c r="T3099" s="1" t="s">
        <v>2299</v>
      </c>
      <c r="U3099" s="1" t="s">
        <v>1497</v>
      </c>
      <c r="V3099" s="1" t="s">
        <v>1498</v>
      </c>
      <c r="Y3099" s="1">
        <v>4553.6000000000004</v>
      </c>
      <c r="AB3099" s="1">
        <v>3004.11</v>
      </c>
    </row>
    <row r="3100" spans="2:28" x14ac:dyDescent="0.2">
      <c r="B3100" s="30" t="s">
        <v>2294</v>
      </c>
      <c r="C3100" s="36"/>
      <c r="D3100" s="36"/>
      <c r="F3100" s="1" t="s">
        <v>1322</v>
      </c>
      <c r="G3100" s="30" t="s">
        <v>5551</v>
      </c>
      <c r="K3100" s="1" t="s">
        <v>5626</v>
      </c>
      <c r="L3100" s="1" t="s">
        <v>1279</v>
      </c>
      <c r="M3100" s="36" t="s">
        <v>1794</v>
      </c>
      <c r="N3100" s="1" t="s">
        <v>1568</v>
      </c>
      <c r="O3100" s="1" t="s">
        <v>1286</v>
      </c>
      <c r="P3100" s="34" t="str">
        <f t="shared" si="61"/>
        <v>F010</v>
      </c>
      <c r="Q3100" s="1" t="s">
        <v>127</v>
      </c>
      <c r="S3100" s="16">
        <v>20</v>
      </c>
      <c r="T3100" s="1" t="s">
        <v>3407</v>
      </c>
      <c r="U3100" s="1" t="s">
        <v>1497</v>
      </c>
      <c r="V3100" s="1" t="s">
        <v>1498</v>
      </c>
      <c r="Y3100" s="1">
        <v>4553.6000000000004</v>
      </c>
      <c r="AB3100" s="1">
        <v>3004.11</v>
      </c>
    </row>
    <row r="3101" spans="2:28" x14ac:dyDescent="0.2">
      <c r="B3101" s="30" t="s">
        <v>2294</v>
      </c>
      <c r="C3101" s="36"/>
      <c r="D3101" s="36"/>
      <c r="F3101" s="1" t="s">
        <v>3408</v>
      </c>
      <c r="G3101" s="30" t="s">
        <v>5551</v>
      </c>
      <c r="K3101" s="1" t="s">
        <v>5627</v>
      </c>
      <c r="L3101" s="1" t="s">
        <v>1279</v>
      </c>
      <c r="M3101" s="36" t="s">
        <v>1794</v>
      </c>
      <c r="N3101" s="1" t="s">
        <v>1573</v>
      </c>
      <c r="O3101" s="1" t="s">
        <v>1286</v>
      </c>
      <c r="P3101" s="34" t="str">
        <f t="shared" si="61"/>
        <v>F010</v>
      </c>
      <c r="Q3101" s="1" t="s">
        <v>127</v>
      </c>
      <c r="S3101" s="16">
        <v>20</v>
      </c>
      <c r="T3101" s="1" t="s">
        <v>2299</v>
      </c>
      <c r="U3101" s="1" t="s">
        <v>1497</v>
      </c>
      <c r="V3101" s="1" t="s">
        <v>1498</v>
      </c>
      <c r="Y3101" s="1">
        <v>4553.6000000000004</v>
      </c>
      <c r="AB3101" s="1">
        <v>3004.11</v>
      </c>
    </row>
    <row r="3102" spans="2:28" x14ac:dyDescent="0.2">
      <c r="B3102" s="30" t="s">
        <v>2294</v>
      </c>
      <c r="C3102" s="36"/>
      <c r="D3102" s="36"/>
      <c r="F3102" s="1" t="s">
        <v>1322</v>
      </c>
      <c r="G3102" s="30" t="s">
        <v>5628</v>
      </c>
      <c r="K3102" s="1" t="s">
        <v>5629</v>
      </c>
      <c r="L3102" s="1" t="s">
        <v>1279</v>
      </c>
      <c r="M3102" s="36" t="s">
        <v>1857</v>
      </c>
      <c r="N3102" s="1" t="s">
        <v>2495</v>
      </c>
      <c r="O3102" s="1" t="s">
        <v>1286</v>
      </c>
      <c r="P3102" s="34" t="str">
        <f t="shared" si="61"/>
        <v>F010</v>
      </c>
      <c r="Q3102" s="1" t="s">
        <v>127</v>
      </c>
      <c r="S3102" s="16">
        <v>20</v>
      </c>
      <c r="T3102" s="1" t="s">
        <v>3119</v>
      </c>
      <c r="U3102" s="1" t="s">
        <v>1840</v>
      </c>
      <c r="V3102" s="1" t="s">
        <v>4649</v>
      </c>
      <c r="Y3102" s="1">
        <v>3650</v>
      </c>
      <c r="AB3102" s="1">
        <v>963.2</v>
      </c>
    </row>
    <row r="3103" spans="2:28" x14ac:dyDescent="0.2">
      <c r="B3103" s="30" t="s">
        <v>2294</v>
      </c>
      <c r="C3103" s="36"/>
      <c r="D3103" s="36"/>
      <c r="F3103" s="1" t="s">
        <v>3120</v>
      </c>
      <c r="G3103" s="30" t="s">
        <v>5628</v>
      </c>
      <c r="K3103" s="1" t="s">
        <v>5630</v>
      </c>
      <c r="L3103" s="1" t="s">
        <v>1279</v>
      </c>
      <c r="M3103" s="36" t="s">
        <v>1857</v>
      </c>
      <c r="N3103" s="1" t="s">
        <v>1708</v>
      </c>
      <c r="O3103" s="1" t="s">
        <v>1286</v>
      </c>
      <c r="P3103" s="34" t="str">
        <f t="shared" si="61"/>
        <v>F010</v>
      </c>
      <c r="Q3103" s="1" t="s">
        <v>127</v>
      </c>
      <c r="S3103" s="16">
        <v>20</v>
      </c>
      <c r="T3103" s="1" t="s">
        <v>2299</v>
      </c>
      <c r="U3103" s="1" t="s">
        <v>1840</v>
      </c>
      <c r="V3103" s="1" t="s">
        <v>4649</v>
      </c>
      <c r="Y3103" s="1">
        <v>3650</v>
      </c>
      <c r="AB3103" s="1">
        <v>963.2</v>
      </c>
    </row>
    <row r="3104" spans="2:28" x14ac:dyDescent="0.2">
      <c r="B3104" s="30" t="s">
        <v>2294</v>
      </c>
      <c r="C3104" s="36"/>
      <c r="D3104" s="36"/>
      <c r="F3104" s="1" t="s">
        <v>1322</v>
      </c>
      <c r="G3104" s="30" t="s">
        <v>5628</v>
      </c>
      <c r="K3104" s="1" t="s">
        <v>5631</v>
      </c>
      <c r="L3104" s="1" t="s">
        <v>1279</v>
      </c>
      <c r="M3104" s="36" t="s">
        <v>1857</v>
      </c>
      <c r="N3104" s="1" t="s">
        <v>1637</v>
      </c>
      <c r="O3104" s="1" t="s">
        <v>1286</v>
      </c>
      <c r="P3104" s="34" t="str">
        <f t="shared" si="61"/>
        <v>F010</v>
      </c>
      <c r="Q3104" s="1" t="s">
        <v>127</v>
      </c>
      <c r="S3104" s="16">
        <v>20</v>
      </c>
      <c r="T3104" s="1" t="s">
        <v>3119</v>
      </c>
      <c r="U3104" s="1" t="s">
        <v>1840</v>
      </c>
      <c r="V3104" s="1" t="s">
        <v>4649</v>
      </c>
      <c r="Y3104" s="1">
        <v>3650</v>
      </c>
      <c r="AB3104" s="1">
        <v>963.2</v>
      </c>
    </row>
    <row r="3105" spans="2:28" x14ac:dyDescent="0.2">
      <c r="B3105" s="30" t="s">
        <v>2294</v>
      </c>
      <c r="C3105" s="36"/>
      <c r="D3105" s="36"/>
      <c r="F3105" s="1" t="s">
        <v>3120</v>
      </c>
      <c r="G3105" s="30" t="s">
        <v>5628</v>
      </c>
      <c r="K3105" s="1" t="s">
        <v>5632</v>
      </c>
      <c r="L3105" s="1" t="s">
        <v>1279</v>
      </c>
      <c r="M3105" s="36" t="s">
        <v>1857</v>
      </c>
      <c r="N3105" s="1" t="s">
        <v>1708</v>
      </c>
      <c r="O3105" s="1" t="s">
        <v>1286</v>
      </c>
      <c r="P3105" s="34" t="str">
        <f t="shared" si="61"/>
        <v>F010</v>
      </c>
      <c r="Q3105" s="1" t="s">
        <v>127</v>
      </c>
      <c r="S3105" s="16">
        <v>20</v>
      </c>
      <c r="T3105" s="1" t="s">
        <v>2299</v>
      </c>
      <c r="U3105" s="1" t="s">
        <v>1840</v>
      </c>
      <c r="V3105" s="1" t="s">
        <v>4649</v>
      </c>
      <c r="Y3105" s="1">
        <v>3650</v>
      </c>
      <c r="AB3105" s="1">
        <v>963.2</v>
      </c>
    </row>
    <row r="3106" spans="2:28" x14ac:dyDescent="0.2">
      <c r="B3106" s="30" t="s">
        <v>2294</v>
      </c>
      <c r="C3106" s="36"/>
      <c r="D3106" s="36"/>
      <c r="F3106" s="1" t="s">
        <v>1322</v>
      </c>
      <c r="G3106" s="30" t="s">
        <v>5628</v>
      </c>
      <c r="K3106" s="1" t="s">
        <v>5633</v>
      </c>
      <c r="L3106" s="1" t="s">
        <v>1279</v>
      </c>
      <c r="M3106" s="36" t="s">
        <v>1857</v>
      </c>
      <c r="N3106" s="1" t="s">
        <v>1637</v>
      </c>
      <c r="O3106" s="1" t="s">
        <v>1286</v>
      </c>
      <c r="P3106" s="34" t="str">
        <f t="shared" si="61"/>
        <v>F010</v>
      </c>
      <c r="Q3106" s="1" t="s">
        <v>127</v>
      </c>
      <c r="S3106" s="16">
        <v>20</v>
      </c>
      <c r="T3106" s="1" t="s">
        <v>3620</v>
      </c>
      <c r="U3106" s="1" t="s">
        <v>1840</v>
      </c>
      <c r="V3106" s="1" t="s">
        <v>4649</v>
      </c>
      <c r="Y3106" s="1">
        <v>3650</v>
      </c>
      <c r="AB3106" s="1">
        <v>963.2</v>
      </c>
    </row>
    <row r="3107" spans="2:28" x14ac:dyDescent="0.2">
      <c r="B3107" s="30" t="s">
        <v>2294</v>
      </c>
      <c r="C3107" s="36"/>
      <c r="D3107" s="36"/>
      <c r="F3107" s="1" t="s">
        <v>3621</v>
      </c>
      <c r="G3107" s="30" t="s">
        <v>5628</v>
      </c>
      <c r="K3107" s="1" t="s">
        <v>5634</v>
      </c>
      <c r="L3107" s="1" t="s">
        <v>1279</v>
      </c>
      <c r="M3107" s="36" t="s">
        <v>1857</v>
      </c>
      <c r="N3107" s="1" t="s">
        <v>1637</v>
      </c>
      <c r="O3107" s="1" t="s">
        <v>1286</v>
      </c>
      <c r="P3107" s="34" t="str">
        <f t="shared" si="61"/>
        <v>F010</v>
      </c>
      <c r="Q3107" s="1" t="s">
        <v>127</v>
      </c>
      <c r="S3107" s="16">
        <v>20</v>
      </c>
      <c r="T3107" s="1" t="s">
        <v>2299</v>
      </c>
      <c r="U3107" s="1" t="s">
        <v>1840</v>
      </c>
      <c r="V3107" s="1" t="s">
        <v>4649</v>
      </c>
      <c r="Y3107" s="1">
        <v>3650</v>
      </c>
      <c r="AB3107" s="1">
        <v>963.2</v>
      </c>
    </row>
    <row r="3108" spans="2:28" x14ac:dyDescent="0.2">
      <c r="B3108" s="30" t="s">
        <v>2294</v>
      </c>
      <c r="C3108" s="36"/>
      <c r="D3108" s="36"/>
      <c r="F3108" s="1" t="s">
        <v>1322</v>
      </c>
      <c r="G3108" s="30" t="s">
        <v>5628</v>
      </c>
      <c r="K3108" s="1" t="s">
        <v>5635</v>
      </c>
      <c r="L3108" s="1" t="s">
        <v>1279</v>
      </c>
      <c r="M3108" s="36" t="s">
        <v>1857</v>
      </c>
      <c r="N3108" s="1" t="s">
        <v>1637</v>
      </c>
      <c r="O3108" s="1" t="s">
        <v>1286</v>
      </c>
      <c r="P3108" s="34" t="str">
        <f t="shared" si="61"/>
        <v>F010</v>
      </c>
      <c r="Q3108" s="1" t="s">
        <v>127</v>
      </c>
      <c r="S3108" s="16">
        <v>20</v>
      </c>
      <c r="T3108" s="1" t="s">
        <v>3093</v>
      </c>
      <c r="U3108" s="1" t="s">
        <v>1840</v>
      </c>
      <c r="V3108" s="1" t="s">
        <v>4649</v>
      </c>
      <c r="Y3108" s="1">
        <v>3650</v>
      </c>
      <c r="AB3108" s="1">
        <v>963.2</v>
      </c>
    </row>
    <row r="3109" spans="2:28" x14ac:dyDescent="0.2">
      <c r="B3109" s="30" t="s">
        <v>2294</v>
      </c>
      <c r="C3109" s="36"/>
      <c r="D3109" s="36"/>
      <c r="F3109" s="1" t="s">
        <v>3094</v>
      </c>
      <c r="G3109" s="30" t="s">
        <v>5628</v>
      </c>
      <c r="K3109" s="1" t="s">
        <v>5636</v>
      </c>
      <c r="L3109" s="1" t="s">
        <v>1279</v>
      </c>
      <c r="M3109" s="36" t="s">
        <v>1857</v>
      </c>
      <c r="N3109" s="1" t="s">
        <v>1637</v>
      </c>
      <c r="O3109" s="1" t="s">
        <v>1286</v>
      </c>
      <c r="P3109" s="34" t="str">
        <f t="shared" si="61"/>
        <v>F010</v>
      </c>
      <c r="Q3109" s="1" t="s">
        <v>127</v>
      </c>
      <c r="S3109" s="16">
        <v>20</v>
      </c>
      <c r="T3109" s="1" t="s">
        <v>2299</v>
      </c>
      <c r="U3109" s="1" t="s">
        <v>1840</v>
      </c>
      <c r="V3109" s="1" t="s">
        <v>4649</v>
      </c>
      <c r="Y3109" s="1">
        <v>3650</v>
      </c>
      <c r="AB3109" s="1">
        <v>963.2</v>
      </c>
    </row>
    <row r="3110" spans="2:28" x14ac:dyDescent="0.2">
      <c r="B3110" s="30" t="s">
        <v>2294</v>
      </c>
      <c r="C3110" s="36"/>
      <c r="D3110" s="36"/>
      <c r="F3110" s="1" t="s">
        <v>1322</v>
      </c>
      <c r="G3110" s="30" t="s">
        <v>5628</v>
      </c>
      <c r="K3110" s="1" t="s">
        <v>5637</v>
      </c>
      <c r="L3110" s="1" t="s">
        <v>1279</v>
      </c>
      <c r="M3110" s="36" t="s">
        <v>1857</v>
      </c>
      <c r="N3110" s="1" t="s">
        <v>1637</v>
      </c>
      <c r="O3110" s="1" t="s">
        <v>1286</v>
      </c>
      <c r="P3110" s="34" t="str">
        <f t="shared" si="61"/>
        <v>F010</v>
      </c>
      <c r="Q3110" s="1" t="s">
        <v>127</v>
      </c>
      <c r="S3110" s="16">
        <v>20</v>
      </c>
      <c r="T3110" s="1" t="s">
        <v>3088</v>
      </c>
      <c r="U3110" s="1" t="s">
        <v>1840</v>
      </c>
      <c r="V3110" s="1" t="s">
        <v>4649</v>
      </c>
      <c r="Y3110" s="1">
        <v>3650</v>
      </c>
      <c r="AB3110" s="1">
        <v>963.2</v>
      </c>
    </row>
    <row r="3111" spans="2:28" x14ac:dyDescent="0.2">
      <c r="B3111" s="30" t="s">
        <v>2294</v>
      </c>
      <c r="C3111" s="36"/>
      <c r="D3111" s="36"/>
      <c r="F3111" s="1" t="s">
        <v>3089</v>
      </c>
      <c r="G3111" s="30" t="s">
        <v>5628</v>
      </c>
      <c r="K3111" s="1" t="s">
        <v>5638</v>
      </c>
      <c r="L3111" s="1" t="s">
        <v>1279</v>
      </c>
      <c r="M3111" s="36" t="s">
        <v>1857</v>
      </c>
      <c r="N3111" s="1" t="s">
        <v>1637</v>
      </c>
      <c r="O3111" s="1" t="s">
        <v>1286</v>
      </c>
      <c r="P3111" s="34" t="str">
        <f t="shared" si="61"/>
        <v>F010</v>
      </c>
      <c r="Q3111" s="1" t="s">
        <v>127</v>
      </c>
      <c r="S3111" s="16">
        <v>20</v>
      </c>
      <c r="T3111" s="1" t="s">
        <v>2299</v>
      </c>
      <c r="U3111" s="1" t="s">
        <v>1840</v>
      </c>
      <c r="V3111" s="1" t="s">
        <v>4649</v>
      </c>
      <c r="Y3111" s="1">
        <v>3650</v>
      </c>
      <c r="AB3111" s="1">
        <v>963.2</v>
      </c>
    </row>
    <row r="3112" spans="2:28" x14ac:dyDescent="0.2">
      <c r="B3112" s="30" t="s">
        <v>2294</v>
      </c>
      <c r="C3112" s="36"/>
      <c r="D3112" s="36"/>
      <c r="F3112" s="1" t="s">
        <v>1322</v>
      </c>
      <c r="G3112" s="30" t="s">
        <v>5628</v>
      </c>
      <c r="K3112" s="1" t="s">
        <v>5639</v>
      </c>
      <c r="L3112" s="1" t="s">
        <v>1279</v>
      </c>
      <c r="M3112" s="36" t="s">
        <v>1857</v>
      </c>
      <c r="N3112" s="1" t="s">
        <v>1637</v>
      </c>
      <c r="O3112" s="1" t="s">
        <v>1286</v>
      </c>
      <c r="P3112" s="34" t="str">
        <f t="shared" si="61"/>
        <v>F010</v>
      </c>
      <c r="Q3112" s="1" t="s">
        <v>127</v>
      </c>
      <c r="S3112" s="16">
        <v>20</v>
      </c>
      <c r="T3112" s="1" t="s">
        <v>5640</v>
      </c>
      <c r="U3112" s="1" t="s">
        <v>1840</v>
      </c>
      <c r="V3112" s="1" t="s">
        <v>4649</v>
      </c>
      <c r="Y3112" s="1">
        <v>3650</v>
      </c>
      <c r="AB3112" s="1">
        <v>963.2</v>
      </c>
    </row>
    <row r="3113" spans="2:28" x14ac:dyDescent="0.2">
      <c r="B3113" s="30" t="s">
        <v>2294</v>
      </c>
      <c r="C3113" s="36"/>
      <c r="D3113" s="36"/>
      <c r="F3113" s="1" t="s">
        <v>5641</v>
      </c>
      <c r="G3113" s="30" t="s">
        <v>5628</v>
      </c>
      <c r="K3113" s="1" t="s">
        <v>5642</v>
      </c>
      <c r="L3113" s="1" t="s">
        <v>1279</v>
      </c>
      <c r="M3113" s="36" t="s">
        <v>1857</v>
      </c>
      <c r="N3113" s="1" t="s">
        <v>1637</v>
      </c>
      <c r="O3113" s="1" t="s">
        <v>1286</v>
      </c>
      <c r="P3113" s="34" t="str">
        <f t="shared" si="61"/>
        <v>F010</v>
      </c>
      <c r="Q3113" s="1" t="s">
        <v>127</v>
      </c>
      <c r="S3113" s="16">
        <v>20</v>
      </c>
      <c r="T3113" s="1" t="s">
        <v>2299</v>
      </c>
      <c r="U3113" s="1" t="s">
        <v>1840</v>
      </c>
      <c r="V3113" s="1" t="s">
        <v>4649</v>
      </c>
      <c r="Y3113" s="1">
        <v>3650</v>
      </c>
      <c r="AB3113" s="1">
        <v>963.2</v>
      </c>
    </row>
    <row r="3114" spans="2:28" x14ac:dyDescent="0.2">
      <c r="B3114" s="30" t="s">
        <v>2294</v>
      </c>
      <c r="C3114" s="36"/>
      <c r="D3114" s="36"/>
      <c r="F3114" s="1" t="s">
        <v>1322</v>
      </c>
      <c r="G3114" s="30" t="s">
        <v>5628</v>
      </c>
      <c r="K3114" s="1" t="s">
        <v>5643</v>
      </c>
      <c r="L3114" s="1" t="s">
        <v>1279</v>
      </c>
      <c r="M3114" s="36" t="s">
        <v>1857</v>
      </c>
      <c r="N3114" s="1" t="s">
        <v>1795</v>
      </c>
      <c r="O3114" s="1" t="s">
        <v>1286</v>
      </c>
      <c r="P3114" s="34" t="str">
        <f t="shared" si="61"/>
        <v>F010</v>
      </c>
      <c r="Q3114" s="1" t="s">
        <v>127</v>
      </c>
      <c r="S3114" s="16">
        <v>20</v>
      </c>
      <c r="T3114" s="1" t="s">
        <v>3175</v>
      </c>
      <c r="U3114" s="1" t="s">
        <v>1840</v>
      </c>
      <c r="V3114" s="1" t="s">
        <v>4649</v>
      </c>
      <c r="Y3114" s="1">
        <v>3650</v>
      </c>
      <c r="AB3114" s="1">
        <v>963.2</v>
      </c>
    </row>
    <row r="3115" spans="2:28" x14ac:dyDescent="0.2">
      <c r="B3115" s="30" t="s">
        <v>2294</v>
      </c>
      <c r="C3115" s="36"/>
      <c r="D3115" s="36"/>
      <c r="F3115" s="1" t="s">
        <v>3176</v>
      </c>
      <c r="G3115" s="30" t="s">
        <v>5628</v>
      </c>
      <c r="K3115" s="1" t="s">
        <v>5644</v>
      </c>
      <c r="L3115" s="1" t="s">
        <v>1279</v>
      </c>
      <c r="M3115" s="36" t="s">
        <v>1857</v>
      </c>
      <c r="N3115" s="1" t="s">
        <v>1637</v>
      </c>
      <c r="O3115" s="1" t="s">
        <v>1286</v>
      </c>
      <c r="P3115" s="34" t="str">
        <f t="shared" si="61"/>
        <v>F010</v>
      </c>
      <c r="Q3115" s="1" t="s">
        <v>127</v>
      </c>
      <c r="S3115" s="16">
        <v>20</v>
      </c>
      <c r="T3115" s="1" t="s">
        <v>2299</v>
      </c>
      <c r="U3115" s="1" t="s">
        <v>1840</v>
      </c>
      <c r="V3115" s="1" t="s">
        <v>4649</v>
      </c>
      <c r="Y3115" s="1">
        <v>3650</v>
      </c>
      <c r="AB3115" s="1">
        <v>963.2</v>
      </c>
    </row>
    <row r="3116" spans="2:28" x14ac:dyDescent="0.2">
      <c r="B3116" s="30" t="s">
        <v>2294</v>
      </c>
      <c r="C3116" s="36"/>
      <c r="D3116" s="36"/>
      <c r="F3116" s="1" t="s">
        <v>1322</v>
      </c>
      <c r="G3116" s="30" t="s">
        <v>5628</v>
      </c>
      <c r="K3116" s="1" t="s">
        <v>5645</v>
      </c>
      <c r="L3116" s="1" t="s">
        <v>1279</v>
      </c>
      <c r="M3116" s="36" t="s">
        <v>1857</v>
      </c>
      <c r="N3116" s="1" t="s">
        <v>1637</v>
      </c>
      <c r="O3116" s="1" t="s">
        <v>1286</v>
      </c>
      <c r="P3116" s="34" t="str">
        <f t="shared" si="61"/>
        <v>F010</v>
      </c>
      <c r="Q3116" s="1" t="s">
        <v>127</v>
      </c>
      <c r="S3116" s="16">
        <v>20</v>
      </c>
      <c r="T3116" s="1" t="s">
        <v>3191</v>
      </c>
      <c r="U3116" s="1" t="s">
        <v>1840</v>
      </c>
      <c r="V3116" s="1" t="s">
        <v>4649</v>
      </c>
      <c r="Y3116" s="1">
        <v>3650</v>
      </c>
      <c r="AB3116" s="1">
        <v>963.2</v>
      </c>
    </row>
    <row r="3117" spans="2:28" x14ac:dyDescent="0.2">
      <c r="B3117" s="30" t="s">
        <v>2294</v>
      </c>
      <c r="C3117" s="36"/>
      <c r="D3117" s="36"/>
      <c r="F3117" s="1" t="s">
        <v>3192</v>
      </c>
      <c r="G3117" s="30" t="s">
        <v>5646</v>
      </c>
      <c r="K3117" s="1" t="s">
        <v>5647</v>
      </c>
      <c r="L3117" s="1" t="s">
        <v>1279</v>
      </c>
      <c r="M3117" s="36" t="s">
        <v>1999</v>
      </c>
      <c r="N3117" s="1" t="s">
        <v>1286</v>
      </c>
      <c r="O3117" s="1" t="s">
        <v>1286</v>
      </c>
      <c r="P3117" s="34" t="str">
        <f t="shared" si="61"/>
        <v>F010</v>
      </c>
      <c r="Q3117" s="1" t="s">
        <v>138</v>
      </c>
      <c r="S3117" s="16">
        <v>20</v>
      </c>
      <c r="T3117" s="1" t="s">
        <v>2299</v>
      </c>
      <c r="U3117" s="1" t="s">
        <v>2544</v>
      </c>
      <c r="V3117" s="1" t="s">
        <v>4107</v>
      </c>
      <c r="Y3117" s="1">
        <v>4466.4399999999996</v>
      </c>
      <c r="AB3117" s="1">
        <v>3300.2</v>
      </c>
    </row>
    <row r="3118" spans="2:28" x14ac:dyDescent="0.2">
      <c r="B3118" s="30" t="s">
        <v>2294</v>
      </c>
      <c r="C3118" s="36"/>
      <c r="D3118" s="36"/>
      <c r="F3118" s="1" t="s">
        <v>1322</v>
      </c>
      <c r="G3118" s="30" t="s">
        <v>5646</v>
      </c>
      <c r="K3118" s="1" t="s">
        <v>5648</v>
      </c>
      <c r="L3118" s="1" t="s">
        <v>1279</v>
      </c>
      <c r="M3118" s="36" t="s">
        <v>1999</v>
      </c>
      <c r="N3118" s="1" t="s">
        <v>1286</v>
      </c>
      <c r="O3118" s="1" t="s">
        <v>1286</v>
      </c>
      <c r="P3118" s="34" t="str">
        <f t="shared" si="61"/>
        <v>F010</v>
      </c>
      <c r="Q3118" s="1" t="s">
        <v>138</v>
      </c>
      <c r="S3118" s="16">
        <v>20</v>
      </c>
      <c r="T3118" s="1" t="s">
        <v>5516</v>
      </c>
      <c r="U3118" s="1" t="s">
        <v>2544</v>
      </c>
      <c r="V3118" s="1" t="s">
        <v>4107</v>
      </c>
      <c r="Y3118" s="1">
        <v>4466.4399999999996</v>
      </c>
      <c r="AB3118" s="1">
        <v>3300.2</v>
      </c>
    </row>
    <row r="3119" spans="2:28" x14ac:dyDescent="0.2">
      <c r="B3119" s="30" t="s">
        <v>2294</v>
      </c>
      <c r="C3119" s="36"/>
      <c r="D3119" s="36"/>
      <c r="F3119" s="1" t="s">
        <v>5517</v>
      </c>
      <c r="G3119" s="30" t="s">
        <v>5646</v>
      </c>
      <c r="K3119" s="1" t="s">
        <v>5649</v>
      </c>
      <c r="L3119" s="1" t="s">
        <v>1279</v>
      </c>
      <c r="M3119" s="36" t="s">
        <v>1999</v>
      </c>
      <c r="N3119" s="1" t="s">
        <v>1286</v>
      </c>
      <c r="O3119" s="1" t="s">
        <v>1286</v>
      </c>
      <c r="P3119" s="34" t="str">
        <f t="shared" si="61"/>
        <v>F010</v>
      </c>
      <c r="Q3119" s="1" t="s">
        <v>138</v>
      </c>
      <c r="S3119" s="16">
        <v>20</v>
      </c>
      <c r="T3119" s="1" t="s">
        <v>2299</v>
      </c>
      <c r="U3119" s="1" t="s">
        <v>2544</v>
      </c>
      <c r="V3119" s="1" t="s">
        <v>4107</v>
      </c>
      <c r="Y3119" s="1">
        <v>4466.4399999999996</v>
      </c>
      <c r="AB3119" s="1">
        <v>3300.2</v>
      </c>
    </row>
    <row r="3120" spans="2:28" x14ac:dyDescent="0.2">
      <c r="B3120" s="30" t="s">
        <v>2294</v>
      </c>
      <c r="C3120" s="36"/>
      <c r="D3120" s="36"/>
      <c r="F3120" s="1" t="s">
        <v>1322</v>
      </c>
      <c r="G3120" s="30" t="s">
        <v>5646</v>
      </c>
      <c r="K3120" s="1" t="s">
        <v>5650</v>
      </c>
      <c r="L3120" s="1" t="s">
        <v>1279</v>
      </c>
      <c r="M3120" s="36" t="s">
        <v>1999</v>
      </c>
      <c r="N3120" s="1" t="s">
        <v>1286</v>
      </c>
      <c r="O3120" s="1" t="s">
        <v>1286</v>
      </c>
      <c r="P3120" s="34" t="str">
        <f t="shared" si="61"/>
        <v>F010</v>
      </c>
      <c r="Q3120" s="1" t="s">
        <v>138</v>
      </c>
      <c r="S3120" s="16">
        <v>20</v>
      </c>
      <c r="T3120" s="1" t="s">
        <v>3577</v>
      </c>
      <c r="U3120" s="1" t="s">
        <v>2544</v>
      </c>
      <c r="V3120" s="1" t="s">
        <v>4107</v>
      </c>
      <c r="Y3120" s="1">
        <v>4466.4399999999996</v>
      </c>
      <c r="AB3120" s="1">
        <v>3300.2</v>
      </c>
    </row>
    <row r="3121" spans="2:28" x14ac:dyDescent="0.2">
      <c r="B3121" s="30" t="s">
        <v>2294</v>
      </c>
      <c r="C3121" s="36"/>
      <c r="D3121" s="36"/>
      <c r="F3121" s="1" t="s">
        <v>3578</v>
      </c>
      <c r="G3121" s="30" t="s">
        <v>5646</v>
      </c>
      <c r="K3121" s="1" t="s">
        <v>5651</v>
      </c>
      <c r="L3121" s="1" t="s">
        <v>1279</v>
      </c>
      <c r="M3121" s="36" t="s">
        <v>1999</v>
      </c>
      <c r="N3121" s="1" t="s">
        <v>1286</v>
      </c>
      <c r="O3121" s="1" t="s">
        <v>1286</v>
      </c>
      <c r="P3121" s="34" t="str">
        <f t="shared" ref="P3121:P3184" si="62">+LEFT(Q3121,4)</f>
        <v>F010</v>
      </c>
      <c r="Q3121" s="1" t="s">
        <v>138</v>
      </c>
      <c r="S3121" s="16">
        <v>20</v>
      </c>
      <c r="T3121" s="1" t="s">
        <v>2299</v>
      </c>
      <c r="U3121" s="1" t="s">
        <v>2544</v>
      </c>
      <c r="V3121" s="1" t="s">
        <v>4107</v>
      </c>
      <c r="Y3121" s="1">
        <v>4466.4399999999996</v>
      </c>
      <c r="AB3121" s="1">
        <v>3300.2</v>
      </c>
    </row>
    <row r="3122" spans="2:28" x14ac:dyDescent="0.2">
      <c r="B3122" s="30" t="s">
        <v>2294</v>
      </c>
      <c r="C3122" s="36"/>
      <c r="D3122" s="36"/>
      <c r="F3122" s="1" t="s">
        <v>1322</v>
      </c>
      <c r="G3122" s="30" t="s">
        <v>5646</v>
      </c>
      <c r="K3122" s="1" t="s">
        <v>5652</v>
      </c>
      <c r="L3122" s="1" t="s">
        <v>1279</v>
      </c>
      <c r="M3122" s="36" t="s">
        <v>1999</v>
      </c>
      <c r="N3122" s="1" t="s">
        <v>1286</v>
      </c>
      <c r="O3122" s="1" t="s">
        <v>1286</v>
      </c>
      <c r="P3122" s="34" t="str">
        <f t="shared" si="62"/>
        <v>F010</v>
      </c>
      <c r="Q3122" s="1" t="s">
        <v>138</v>
      </c>
      <c r="S3122" s="16">
        <v>20</v>
      </c>
      <c r="T3122" s="1" t="s">
        <v>3577</v>
      </c>
      <c r="U3122" s="1" t="s">
        <v>2544</v>
      </c>
      <c r="V3122" s="1" t="s">
        <v>4107</v>
      </c>
      <c r="Y3122" s="1">
        <v>4466.4399999999996</v>
      </c>
      <c r="AB3122" s="1">
        <v>3300.2</v>
      </c>
    </row>
    <row r="3123" spans="2:28" x14ac:dyDescent="0.2">
      <c r="B3123" s="30" t="s">
        <v>2294</v>
      </c>
      <c r="C3123" s="36"/>
      <c r="D3123" s="36"/>
      <c r="F3123" s="1" t="s">
        <v>3578</v>
      </c>
      <c r="G3123" s="30" t="s">
        <v>5646</v>
      </c>
      <c r="K3123" s="1" t="s">
        <v>5653</v>
      </c>
      <c r="L3123" s="1" t="s">
        <v>1279</v>
      </c>
      <c r="M3123" s="36" t="s">
        <v>1999</v>
      </c>
      <c r="N3123" s="1" t="s">
        <v>1286</v>
      </c>
      <c r="O3123" s="1" t="s">
        <v>1286</v>
      </c>
      <c r="P3123" s="34" t="str">
        <f t="shared" si="62"/>
        <v>F010</v>
      </c>
      <c r="Q3123" s="1" t="s">
        <v>138</v>
      </c>
      <c r="S3123" s="16">
        <v>20</v>
      </c>
      <c r="T3123" s="1" t="s">
        <v>2299</v>
      </c>
      <c r="U3123" s="1" t="s">
        <v>2544</v>
      </c>
      <c r="V3123" s="1" t="s">
        <v>4107</v>
      </c>
      <c r="Y3123" s="1">
        <v>4466.4399999999996</v>
      </c>
      <c r="AB3123" s="1">
        <v>3300.2</v>
      </c>
    </row>
    <row r="3124" spans="2:28" x14ac:dyDescent="0.2">
      <c r="B3124" s="30" t="s">
        <v>2294</v>
      </c>
      <c r="C3124" s="36"/>
      <c r="D3124" s="36"/>
      <c r="F3124" s="1" t="s">
        <v>1322</v>
      </c>
      <c r="G3124" s="30" t="s">
        <v>5646</v>
      </c>
      <c r="K3124" s="1" t="s">
        <v>5654</v>
      </c>
      <c r="L3124" s="1" t="s">
        <v>1279</v>
      </c>
      <c r="M3124" s="36" t="s">
        <v>1999</v>
      </c>
      <c r="N3124" s="1" t="s">
        <v>1286</v>
      </c>
      <c r="O3124" s="1" t="s">
        <v>1286</v>
      </c>
      <c r="P3124" s="34" t="str">
        <f t="shared" si="62"/>
        <v>F010</v>
      </c>
      <c r="Q3124" s="1" t="s">
        <v>138</v>
      </c>
      <c r="S3124" s="16">
        <v>20</v>
      </c>
      <c r="T3124" s="1" t="s">
        <v>3115</v>
      </c>
      <c r="U3124" s="1" t="s">
        <v>2544</v>
      </c>
      <c r="V3124" s="1" t="s">
        <v>4107</v>
      </c>
      <c r="Y3124" s="1">
        <v>4466.4399999999996</v>
      </c>
      <c r="AB3124" s="1">
        <v>3300.2</v>
      </c>
    </row>
    <row r="3125" spans="2:28" x14ac:dyDescent="0.2">
      <c r="B3125" s="30" t="s">
        <v>2294</v>
      </c>
      <c r="C3125" s="36"/>
      <c r="D3125" s="36"/>
      <c r="F3125" s="1" t="s">
        <v>3116</v>
      </c>
      <c r="G3125" s="30" t="s">
        <v>5646</v>
      </c>
      <c r="K3125" s="1" t="s">
        <v>5655</v>
      </c>
      <c r="L3125" s="1" t="s">
        <v>1279</v>
      </c>
      <c r="M3125" s="36" t="s">
        <v>1999</v>
      </c>
      <c r="N3125" s="1" t="s">
        <v>1286</v>
      </c>
      <c r="O3125" s="1" t="s">
        <v>1286</v>
      </c>
      <c r="P3125" s="34" t="str">
        <f t="shared" si="62"/>
        <v>F010</v>
      </c>
      <c r="Q3125" s="1" t="s">
        <v>138</v>
      </c>
      <c r="S3125" s="16">
        <v>20</v>
      </c>
      <c r="T3125" s="1" t="s">
        <v>2299</v>
      </c>
      <c r="U3125" s="1" t="s">
        <v>2544</v>
      </c>
      <c r="V3125" s="1" t="s">
        <v>4107</v>
      </c>
      <c r="Y3125" s="1">
        <v>4466.4399999999996</v>
      </c>
      <c r="AB3125" s="1">
        <v>3300.2</v>
      </c>
    </row>
    <row r="3126" spans="2:28" x14ac:dyDescent="0.2">
      <c r="B3126" s="30" t="s">
        <v>2294</v>
      </c>
      <c r="C3126" s="36"/>
      <c r="D3126" s="36"/>
      <c r="F3126" s="1" t="s">
        <v>1322</v>
      </c>
      <c r="G3126" s="30" t="s">
        <v>5646</v>
      </c>
      <c r="K3126" s="1" t="s">
        <v>5656</v>
      </c>
      <c r="L3126" s="1" t="s">
        <v>1279</v>
      </c>
      <c r="M3126" s="36" t="s">
        <v>1999</v>
      </c>
      <c r="N3126" s="1" t="s">
        <v>1286</v>
      </c>
      <c r="O3126" s="1" t="s">
        <v>1286</v>
      </c>
      <c r="P3126" s="34" t="str">
        <f t="shared" si="62"/>
        <v>F010</v>
      </c>
      <c r="Q3126" s="1" t="s">
        <v>138</v>
      </c>
      <c r="S3126" s="16">
        <v>20</v>
      </c>
      <c r="T3126" s="1" t="s">
        <v>3093</v>
      </c>
      <c r="U3126" s="1" t="s">
        <v>2544</v>
      </c>
      <c r="V3126" s="1" t="s">
        <v>4107</v>
      </c>
      <c r="Y3126" s="1">
        <v>4466.4399999999996</v>
      </c>
      <c r="AB3126" s="1">
        <v>3300.2</v>
      </c>
    </row>
    <row r="3127" spans="2:28" x14ac:dyDescent="0.2">
      <c r="B3127" s="30" t="s">
        <v>2294</v>
      </c>
      <c r="C3127" s="36"/>
      <c r="D3127" s="36"/>
      <c r="F3127" s="1" t="s">
        <v>3094</v>
      </c>
      <c r="G3127" s="30" t="s">
        <v>5646</v>
      </c>
      <c r="K3127" s="1" t="s">
        <v>5657</v>
      </c>
      <c r="L3127" s="1" t="s">
        <v>1279</v>
      </c>
      <c r="M3127" s="36" t="s">
        <v>1497</v>
      </c>
      <c r="N3127" s="1" t="s">
        <v>1286</v>
      </c>
      <c r="O3127" s="1" t="s">
        <v>1286</v>
      </c>
      <c r="P3127" s="34" t="str">
        <f t="shared" si="62"/>
        <v>F010</v>
      </c>
      <c r="Q3127" s="1" t="s">
        <v>138</v>
      </c>
      <c r="S3127" s="16">
        <v>20</v>
      </c>
      <c r="T3127" s="1" t="s">
        <v>2299</v>
      </c>
      <c r="U3127" s="1" t="s">
        <v>1460</v>
      </c>
      <c r="V3127" s="1" t="s">
        <v>3495</v>
      </c>
      <c r="Y3127" s="1">
        <v>3450</v>
      </c>
      <c r="AB3127" s="1">
        <v>2184.9699999999998</v>
      </c>
    </row>
    <row r="3128" spans="2:28" x14ac:dyDescent="0.2">
      <c r="B3128" s="30" t="s">
        <v>2294</v>
      </c>
      <c r="C3128" s="36"/>
      <c r="D3128" s="36"/>
      <c r="F3128" s="1" t="s">
        <v>1322</v>
      </c>
      <c r="G3128" s="30" t="s">
        <v>5646</v>
      </c>
      <c r="K3128" s="1" t="s">
        <v>5658</v>
      </c>
      <c r="L3128" s="1" t="s">
        <v>1279</v>
      </c>
      <c r="M3128" s="36" t="s">
        <v>1497</v>
      </c>
      <c r="N3128" s="1" t="s">
        <v>1286</v>
      </c>
      <c r="O3128" s="1" t="s">
        <v>1286</v>
      </c>
      <c r="P3128" s="34" t="str">
        <f t="shared" si="62"/>
        <v>F010</v>
      </c>
      <c r="Q3128" s="1" t="s">
        <v>138</v>
      </c>
      <c r="S3128" s="16">
        <v>20</v>
      </c>
      <c r="T3128" s="1" t="s">
        <v>3333</v>
      </c>
      <c r="U3128" s="1" t="s">
        <v>1460</v>
      </c>
      <c r="V3128" s="1" t="s">
        <v>3495</v>
      </c>
      <c r="Y3128" s="1">
        <v>3450</v>
      </c>
      <c r="AB3128" s="1">
        <v>2184.9699999999998</v>
      </c>
    </row>
    <row r="3129" spans="2:28" x14ac:dyDescent="0.2">
      <c r="B3129" s="30" t="s">
        <v>2294</v>
      </c>
      <c r="C3129" s="36"/>
      <c r="D3129" s="36"/>
      <c r="F3129" s="1" t="s">
        <v>3334</v>
      </c>
      <c r="G3129" s="30" t="s">
        <v>5646</v>
      </c>
      <c r="K3129" s="1" t="s">
        <v>5659</v>
      </c>
      <c r="L3129" s="1" t="s">
        <v>1279</v>
      </c>
      <c r="M3129" s="36" t="s">
        <v>1497</v>
      </c>
      <c r="N3129" s="1" t="s">
        <v>1286</v>
      </c>
      <c r="O3129" s="1" t="s">
        <v>1286</v>
      </c>
      <c r="P3129" s="34" t="str">
        <f t="shared" si="62"/>
        <v>F010</v>
      </c>
      <c r="Q3129" s="1" t="s">
        <v>138</v>
      </c>
      <c r="S3129" s="16">
        <v>20</v>
      </c>
      <c r="T3129" s="1" t="s">
        <v>2299</v>
      </c>
      <c r="U3129" s="1" t="s">
        <v>1460</v>
      </c>
      <c r="V3129" s="1" t="s">
        <v>3495</v>
      </c>
      <c r="Y3129" s="1">
        <v>3450</v>
      </c>
      <c r="AB3129" s="1">
        <v>2184.9699999999998</v>
      </c>
    </row>
    <row r="3130" spans="2:28" x14ac:dyDescent="0.2">
      <c r="B3130" s="30" t="s">
        <v>2294</v>
      </c>
      <c r="C3130" s="36"/>
      <c r="D3130" s="36"/>
      <c r="F3130" s="1" t="s">
        <v>1322</v>
      </c>
      <c r="G3130" s="30" t="s">
        <v>5646</v>
      </c>
      <c r="K3130" s="1" t="s">
        <v>5660</v>
      </c>
      <c r="L3130" s="1" t="s">
        <v>1279</v>
      </c>
      <c r="M3130" s="36" t="s">
        <v>1497</v>
      </c>
      <c r="N3130" s="1" t="s">
        <v>1568</v>
      </c>
      <c r="O3130" s="1" t="s">
        <v>1286</v>
      </c>
      <c r="P3130" s="34" t="str">
        <f t="shared" si="62"/>
        <v>F010</v>
      </c>
      <c r="Q3130" s="1" t="s">
        <v>127</v>
      </c>
      <c r="S3130" s="16">
        <v>20</v>
      </c>
      <c r="T3130" s="1" t="s">
        <v>3633</v>
      </c>
      <c r="U3130" s="1" t="s">
        <v>1460</v>
      </c>
      <c r="V3130" s="1" t="s">
        <v>3495</v>
      </c>
      <c r="Y3130" s="1">
        <v>3450</v>
      </c>
      <c r="AB3130" s="1">
        <v>2184.9699999999998</v>
      </c>
    </row>
    <row r="3131" spans="2:28" x14ac:dyDescent="0.2">
      <c r="B3131" s="30" t="s">
        <v>2294</v>
      </c>
      <c r="C3131" s="36"/>
      <c r="D3131" s="36"/>
      <c r="F3131" s="1" t="s">
        <v>3634</v>
      </c>
      <c r="G3131" s="30" t="s">
        <v>5646</v>
      </c>
      <c r="K3131" s="1" t="s">
        <v>5661</v>
      </c>
      <c r="L3131" s="1" t="s">
        <v>1279</v>
      </c>
      <c r="M3131" s="36" t="s">
        <v>1497</v>
      </c>
      <c r="N3131" s="1" t="s">
        <v>1568</v>
      </c>
      <c r="O3131" s="1" t="s">
        <v>1286</v>
      </c>
      <c r="P3131" s="34" t="str">
        <f t="shared" si="62"/>
        <v>F010</v>
      </c>
      <c r="Q3131" s="1" t="s">
        <v>127</v>
      </c>
      <c r="S3131" s="16">
        <v>20</v>
      </c>
      <c r="T3131" s="1" t="s">
        <v>2299</v>
      </c>
      <c r="U3131" s="1" t="s">
        <v>1460</v>
      </c>
      <c r="V3131" s="1" t="s">
        <v>3495</v>
      </c>
      <c r="Y3131" s="1">
        <v>3450</v>
      </c>
      <c r="AB3131" s="1">
        <v>2184.9699999999998</v>
      </c>
    </row>
    <row r="3132" spans="2:28" x14ac:dyDescent="0.2">
      <c r="B3132" s="30" t="s">
        <v>2294</v>
      </c>
      <c r="C3132" s="36"/>
      <c r="D3132" s="36"/>
      <c r="F3132" s="1" t="s">
        <v>1322</v>
      </c>
      <c r="G3132" s="30" t="s">
        <v>5646</v>
      </c>
      <c r="K3132" s="1" t="s">
        <v>5662</v>
      </c>
      <c r="L3132" s="1" t="s">
        <v>1279</v>
      </c>
      <c r="M3132" s="36" t="s">
        <v>1497</v>
      </c>
      <c r="N3132" s="1" t="s">
        <v>1286</v>
      </c>
      <c r="O3132" s="1" t="s">
        <v>1286</v>
      </c>
      <c r="P3132" s="34" t="str">
        <f t="shared" si="62"/>
        <v>F010</v>
      </c>
      <c r="Q3132" s="1" t="s">
        <v>138</v>
      </c>
      <c r="S3132" s="16">
        <v>20</v>
      </c>
      <c r="T3132" s="1" t="s">
        <v>3511</v>
      </c>
      <c r="U3132" s="1" t="s">
        <v>1460</v>
      </c>
      <c r="V3132" s="1" t="s">
        <v>3495</v>
      </c>
      <c r="Y3132" s="1">
        <v>3450</v>
      </c>
      <c r="AB3132" s="1">
        <v>2184.9699999999998</v>
      </c>
    </row>
    <row r="3133" spans="2:28" x14ac:dyDescent="0.2">
      <c r="B3133" s="30" t="s">
        <v>2294</v>
      </c>
      <c r="C3133" s="36"/>
      <c r="D3133" s="36"/>
      <c r="F3133" s="1" t="s">
        <v>3512</v>
      </c>
      <c r="G3133" s="30" t="s">
        <v>5646</v>
      </c>
      <c r="K3133" s="1" t="s">
        <v>5663</v>
      </c>
      <c r="L3133" s="1" t="s">
        <v>1279</v>
      </c>
      <c r="M3133" s="36" t="s">
        <v>1497</v>
      </c>
      <c r="N3133" s="1" t="s">
        <v>1286</v>
      </c>
      <c r="O3133" s="1" t="s">
        <v>1286</v>
      </c>
      <c r="P3133" s="34" t="str">
        <f t="shared" si="62"/>
        <v>F010</v>
      </c>
      <c r="Q3133" s="1" t="s">
        <v>138</v>
      </c>
      <c r="S3133" s="16">
        <v>20</v>
      </c>
      <c r="T3133" s="1" t="s">
        <v>2299</v>
      </c>
      <c r="U3133" s="1" t="s">
        <v>1460</v>
      </c>
      <c r="V3133" s="1" t="s">
        <v>3495</v>
      </c>
      <c r="Y3133" s="1">
        <v>3450</v>
      </c>
      <c r="AB3133" s="1">
        <v>2184.9699999999998</v>
      </c>
    </row>
    <row r="3134" spans="2:28" x14ac:dyDescent="0.2">
      <c r="B3134" s="30" t="s">
        <v>2294</v>
      </c>
      <c r="C3134" s="36"/>
      <c r="D3134" s="36"/>
      <c r="F3134" s="1" t="s">
        <v>1322</v>
      </c>
      <c r="G3134" s="30" t="s">
        <v>5646</v>
      </c>
      <c r="K3134" s="1" t="s">
        <v>5664</v>
      </c>
      <c r="L3134" s="1" t="s">
        <v>1279</v>
      </c>
      <c r="M3134" s="36" t="s">
        <v>1497</v>
      </c>
      <c r="N3134" s="1" t="s">
        <v>1568</v>
      </c>
      <c r="O3134" s="1" t="s">
        <v>1286</v>
      </c>
      <c r="P3134" s="34" t="str">
        <f t="shared" si="62"/>
        <v>F010</v>
      </c>
      <c r="Q3134" s="1" t="s">
        <v>127</v>
      </c>
      <c r="S3134" s="16">
        <v>20</v>
      </c>
      <c r="T3134" s="1" t="s">
        <v>3620</v>
      </c>
      <c r="U3134" s="1" t="s">
        <v>1460</v>
      </c>
      <c r="V3134" s="1" t="s">
        <v>3495</v>
      </c>
      <c r="Y3134" s="1">
        <v>3450</v>
      </c>
      <c r="AB3134" s="1">
        <v>2184.9699999999998</v>
      </c>
    </row>
    <row r="3135" spans="2:28" x14ac:dyDescent="0.2">
      <c r="B3135" s="30" t="s">
        <v>2294</v>
      </c>
      <c r="C3135" s="36"/>
      <c r="D3135" s="36"/>
      <c r="F3135" s="1" t="s">
        <v>3621</v>
      </c>
      <c r="G3135" s="30" t="s">
        <v>5646</v>
      </c>
      <c r="K3135" s="1" t="s">
        <v>5665</v>
      </c>
      <c r="L3135" s="1" t="s">
        <v>1279</v>
      </c>
      <c r="M3135" s="36" t="s">
        <v>1497</v>
      </c>
      <c r="N3135" s="1" t="s">
        <v>1568</v>
      </c>
      <c r="O3135" s="1" t="s">
        <v>1286</v>
      </c>
      <c r="P3135" s="34" t="str">
        <f t="shared" si="62"/>
        <v>F010</v>
      </c>
      <c r="Q3135" s="1" t="s">
        <v>127</v>
      </c>
      <c r="S3135" s="16">
        <v>20</v>
      </c>
      <c r="T3135" s="1" t="s">
        <v>2299</v>
      </c>
      <c r="U3135" s="1" t="s">
        <v>1460</v>
      </c>
      <c r="V3135" s="1" t="s">
        <v>3495</v>
      </c>
      <c r="Y3135" s="1">
        <v>3450</v>
      </c>
      <c r="AB3135" s="1">
        <v>2184.9699999999998</v>
      </c>
    </row>
    <row r="3136" spans="2:28" x14ac:dyDescent="0.2">
      <c r="B3136" s="30" t="s">
        <v>2294</v>
      </c>
      <c r="C3136" s="36"/>
      <c r="D3136" s="36"/>
      <c r="F3136" s="1" t="s">
        <v>1322</v>
      </c>
      <c r="G3136" s="30" t="s">
        <v>5646</v>
      </c>
      <c r="K3136" s="1" t="s">
        <v>5666</v>
      </c>
      <c r="L3136" s="1" t="s">
        <v>1279</v>
      </c>
      <c r="M3136" s="36" t="s">
        <v>1497</v>
      </c>
      <c r="N3136" s="1" t="s">
        <v>1286</v>
      </c>
      <c r="O3136" s="1" t="s">
        <v>1286</v>
      </c>
      <c r="P3136" s="34" t="str">
        <f t="shared" si="62"/>
        <v>F010</v>
      </c>
      <c r="Q3136" s="1" t="s">
        <v>138</v>
      </c>
      <c r="S3136" s="16">
        <v>20</v>
      </c>
      <c r="T3136" s="1" t="s">
        <v>3280</v>
      </c>
      <c r="U3136" s="1" t="s">
        <v>1460</v>
      </c>
      <c r="V3136" s="1" t="s">
        <v>3495</v>
      </c>
      <c r="Y3136" s="1">
        <v>3450</v>
      </c>
      <c r="AB3136" s="1">
        <v>2184.9699999999998</v>
      </c>
    </row>
    <row r="3137" spans="2:28" x14ac:dyDescent="0.2">
      <c r="B3137" s="30" t="s">
        <v>2294</v>
      </c>
      <c r="C3137" s="36"/>
      <c r="D3137" s="36"/>
      <c r="F3137" s="1" t="s">
        <v>3281</v>
      </c>
      <c r="G3137" s="30" t="s">
        <v>5646</v>
      </c>
      <c r="K3137" s="1" t="s">
        <v>5667</v>
      </c>
      <c r="L3137" s="1" t="s">
        <v>1279</v>
      </c>
      <c r="M3137" s="36" t="s">
        <v>1497</v>
      </c>
      <c r="N3137" s="1" t="s">
        <v>1286</v>
      </c>
      <c r="O3137" s="1" t="s">
        <v>1286</v>
      </c>
      <c r="P3137" s="34" t="str">
        <f t="shared" si="62"/>
        <v>F010</v>
      </c>
      <c r="Q3137" s="1" t="s">
        <v>138</v>
      </c>
      <c r="S3137" s="16">
        <v>20</v>
      </c>
      <c r="T3137" s="1" t="s">
        <v>2299</v>
      </c>
      <c r="U3137" s="1" t="s">
        <v>1460</v>
      </c>
      <c r="V3137" s="1" t="s">
        <v>3495</v>
      </c>
      <c r="Y3137" s="1">
        <v>3450</v>
      </c>
      <c r="AB3137" s="1">
        <v>2184.9699999999998</v>
      </c>
    </row>
    <row r="3138" spans="2:28" x14ac:dyDescent="0.2">
      <c r="B3138" s="30" t="s">
        <v>2294</v>
      </c>
      <c r="C3138" s="36"/>
      <c r="D3138" s="36"/>
      <c r="F3138" s="1" t="s">
        <v>1322</v>
      </c>
      <c r="G3138" s="30" t="s">
        <v>5646</v>
      </c>
      <c r="K3138" s="1" t="s">
        <v>5668</v>
      </c>
      <c r="L3138" s="1" t="s">
        <v>1279</v>
      </c>
      <c r="M3138" s="36" t="s">
        <v>1497</v>
      </c>
      <c r="N3138" s="1" t="s">
        <v>1568</v>
      </c>
      <c r="O3138" s="1" t="s">
        <v>1286</v>
      </c>
      <c r="P3138" s="34" t="str">
        <f t="shared" si="62"/>
        <v>F010</v>
      </c>
      <c r="Q3138" s="1" t="s">
        <v>127</v>
      </c>
      <c r="S3138" s="16">
        <v>20</v>
      </c>
      <c r="T3138" s="1" t="s">
        <v>3079</v>
      </c>
      <c r="U3138" s="1" t="s">
        <v>1460</v>
      </c>
      <c r="V3138" s="1" t="s">
        <v>3495</v>
      </c>
      <c r="Y3138" s="1">
        <v>3450</v>
      </c>
      <c r="AB3138" s="1">
        <v>2184.9699999999998</v>
      </c>
    </row>
    <row r="3139" spans="2:28" x14ac:dyDescent="0.2">
      <c r="B3139" s="30" t="s">
        <v>2294</v>
      </c>
      <c r="C3139" s="36"/>
      <c r="D3139" s="36"/>
      <c r="F3139" s="1" t="s">
        <v>3080</v>
      </c>
      <c r="G3139" s="30" t="s">
        <v>5646</v>
      </c>
      <c r="K3139" s="1" t="s">
        <v>5669</v>
      </c>
      <c r="L3139" s="1" t="s">
        <v>1279</v>
      </c>
      <c r="M3139" s="36" t="s">
        <v>1497</v>
      </c>
      <c r="N3139" s="1" t="s">
        <v>1568</v>
      </c>
      <c r="O3139" s="1" t="s">
        <v>1286</v>
      </c>
      <c r="P3139" s="34" t="str">
        <f t="shared" si="62"/>
        <v>F010</v>
      </c>
      <c r="Q3139" s="1" t="s">
        <v>127</v>
      </c>
      <c r="S3139" s="16">
        <v>20</v>
      </c>
      <c r="T3139" s="1" t="s">
        <v>2299</v>
      </c>
      <c r="U3139" s="1" t="s">
        <v>1460</v>
      </c>
      <c r="V3139" s="1" t="s">
        <v>3495</v>
      </c>
      <c r="Y3139" s="1">
        <v>3450</v>
      </c>
      <c r="AB3139" s="1">
        <v>2184.9699999999998</v>
      </c>
    </row>
    <row r="3140" spans="2:28" x14ac:dyDescent="0.2">
      <c r="B3140" s="30" t="s">
        <v>2294</v>
      </c>
      <c r="C3140" s="36"/>
      <c r="D3140" s="36"/>
      <c r="F3140" s="1" t="s">
        <v>1322</v>
      </c>
      <c r="G3140" s="30" t="s">
        <v>5646</v>
      </c>
      <c r="K3140" s="1" t="s">
        <v>5670</v>
      </c>
      <c r="L3140" s="1" t="s">
        <v>1279</v>
      </c>
      <c r="M3140" s="36" t="s">
        <v>1497</v>
      </c>
      <c r="N3140" s="1" t="s">
        <v>1286</v>
      </c>
      <c r="O3140" s="1" t="s">
        <v>1286</v>
      </c>
      <c r="P3140" s="34" t="str">
        <f t="shared" si="62"/>
        <v>F010</v>
      </c>
      <c r="Q3140" s="1" t="s">
        <v>138</v>
      </c>
      <c r="S3140" s="16">
        <v>20</v>
      </c>
      <c r="T3140" s="1" t="s">
        <v>3533</v>
      </c>
      <c r="U3140" s="1" t="s">
        <v>1460</v>
      </c>
      <c r="V3140" s="1" t="s">
        <v>3495</v>
      </c>
      <c r="Y3140" s="1">
        <v>3450</v>
      </c>
      <c r="AB3140" s="1">
        <v>2184.9699999999998</v>
      </c>
    </row>
    <row r="3141" spans="2:28" x14ac:dyDescent="0.2">
      <c r="B3141" s="30" t="s">
        <v>2294</v>
      </c>
      <c r="C3141" s="36"/>
      <c r="D3141" s="36"/>
      <c r="F3141" s="1" t="s">
        <v>3534</v>
      </c>
      <c r="G3141" s="30" t="s">
        <v>5646</v>
      </c>
      <c r="K3141" s="1" t="s">
        <v>5671</v>
      </c>
      <c r="L3141" s="1" t="s">
        <v>1279</v>
      </c>
      <c r="M3141" s="36" t="s">
        <v>1497</v>
      </c>
      <c r="N3141" s="1" t="s">
        <v>1286</v>
      </c>
      <c r="O3141" s="1" t="s">
        <v>1286</v>
      </c>
      <c r="P3141" s="34" t="str">
        <f t="shared" si="62"/>
        <v>F010</v>
      </c>
      <c r="Q3141" s="1" t="s">
        <v>138</v>
      </c>
      <c r="S3141" s="16">
        <v>20</v>
      </c>
      <c r="T3141" s="1" t="s">
        <v>2299</v>
      </c>
      <c r="U3141" s="1" t="s">
        <v>1460</v>
      </c>
      <c r="V3141" s="1" t="s">
        <v>3495</v>
      </c>
      <c r="Y3141" s="1">
        <v>3450</v>
      </c>
      <c r="AB3141" s="1">
        <v>2184.9699999999998</v>
      </c>
    </row>
    <row r="3142" spans="2:28" x14ac:dyDescent="0.2">
      <c r="B3142" s="30" t="s">
        <v>2294</v>
      </c>
      <c r="C3142" s="36"/>
      <c r="D3142" s="36"/>
      <c r="F3142" s="1" t="s">
        <v>1322</v>
      </c>
      <c r="G3142" s="30" t="s">
        <v>5646</v>
      </c>
      <c r="K3142" s="1" t="s">
        <v>5672</v>
      </c>
      <c r="L3142" s="1" t="s">
        <v>1279</v>
      </c>
      <c r="M3142" s="36" t="s">
        <v>1497</v>
      </c>
      <c r="N3142" s="1" t="s">
        <v>1286</v>
      </c>
      <c r="O3142" s="1" t="s">
        <v>1286</v>
      </c>
      <c r="P3142" s="34" t="str">
        <f t="shared" si="62"/>
        <v>F010</v>
      </c>
      <c r="Q3142" s="1" t="s">
        <v>138</v>
      </c>
      <c r="S3142" s="16">
        <v>20</v>
      </c>
      <c r="T3142" s="1" t="s">
        <v>5460</v>
      </c>
      <c r="U3142" s="1" t="s">
        <v>1460</v>
      </c>
      <c r="V3142" s="1" t="s">
        <v>3495</v>
      </c>
      <c r="Y3142" s="1">
        <v>3450</v>
      </c>
      <c r="AB3142" s="1">
        <v>2184.9699999999998</v>
      </c>
    </row>
    <row r="3143" spans="2:28" x14ac:dyDescent="0.2">
      <c r="B3143" s="30" t="s">
        <v>2294</v>
      </c>
      <c r="C3143" s="36"/>
      <c r="D3143" s="36"/>
      <c r="F3143" s="1" t="s">
        <v>5461</v>
      </c>
      <c r="G3143" s="30" t="s">
        <v>5646</v>
      </c>
      <c r="K3143" s="1" t="s">
        <v>5673</v>
      </c>
      <c r="L3143" s="1" t="s">
        <v>1279</v>
      </c>
      <c r="M3143" s="36" t="s">
        <v>1334</v>
      </c>
      <c r="N3143" s="1" t="s">
        <v>1573</v>
      </c>
      <c r="O3143" s="1" t="s">
        <v>1286</v>
      </c>
      <c r="P3143" s="34" t="str">
        <f t="shared" si="62"/>
        <v>F010</v>
      </c>
      <c r="Q3143" s="1" t="s">
        <v>127</v>
      </c>
      <c r="S3143" s="16">
        <v>20</v>
      </c>
      <c r="T3143" s="1" t="s">
        <v>2299</v>
      </c>
      <c r="U3143" s="1" t="s">
        <v>1535</v>
      </c>
      <c r="V3143" s="1" t="s">
        <v>2553</v>
      </c>
      <c r="Y3143" s="1">
        <v>2948.72</v>
      </c>
      <c r="AB3143" s="1">
        <v>1634.06</v>
      </c>
    </row>
    <row r="3144" spans="2:28" x14ac:dyDescent="0.2">
      <c r="B3144" s="30" t="s">
        <v>2294</v>
      </c>
      <c r="C3144" s="36"/>
      <c r="D3144" s="36"/>
      <c r="F3144" s="1" t="s">
        <v>1322</v>
      </c>
      <c r="G3144" s="30" t="s">
        <v>5646</v>
      </c>
      <c r="K3144" s="1" t="s">
        <v>5674</v>
      </c>
      <c r="L3144" s="1" t="s">
        <v>1279</v>
      </c>
      <c r="M3144" s="36" t="s">
        <v>1334</v>
      </c>
      <c r="N3144" s="1" t="s">
        <v>1573</v>
      </c>
      <c r="O3144" s="1" t="s">
        <v>1286</v>
      </c>
      <c r="P3144" s="34" t="str">
        <f t="shared" si="62"/>
        <v>F010</v>
      </c>
      <c r="Q3144" s="1" t="s">
        <v>127</v>
      </c>
      <c r="S3144" s="16">
        <v>20</v>
      </c>
      <c r="T3144" s="1" t="s">
        <v>3209</v>
      </c>
      <c r="U3144" s="1" t="s">
        <v>1535</v>
      </c>
      <c r="V3144" s="1" t="s">
        <v>2553</v>
      </c>
      <c r="Y3144" s="1">
        <v>2948.72</v>
      </c>
      <c r="AB3144" s="1">
        <v>1634.06</v>
      </c>
    </row>
    <row r="3145" spans="2:28" x14ac:dyDescent="0.2">
      <c r="B3145" s="30" t="s">
        <v>2294</v>
      </c>
      <c r="C3145" s="36"/>
      <c r="D3145" s="36"/>
      <c r="F3145" s="1" t="s">
        <v>3210</v>
      </c>
      <c r="G3145" s="30" t="s">
        <v>5646</v>
      </c>
      <c r="K3145" s="1" t="s">
        <v>5675</v>
      </c>
      <c r="L3145" s="1" t="s">
        <v>1279</v>
      </c>
      <c r="M3145" s="36" t="s">
        <v>1334</v>
      </c>
      <c r="N3145" s="1" t="s">
        <v>1573</v>
      </c>
      <c r="O3145" s="1" t="s">
        <v>1286</v>
      </c>
      <c r="P3145" s="34" t="str">
        <f t="shared" si="62"/>
        <v>F010</v>
      </c>
      <c r="Q3145" s="1" t="s">
        <v>127</v>
      </c>
      <c r="S3145" s="16">
        <v>20</v>
      </c>
      <c r="T3145" s="1" t="s">
        <v>2299</v>
      </c>
      <c r="U3145" s="1" t="s">
        <v>1535</v>
      </c>
      <c r="V3145" s="1" t="s">
        <v>2553</v>
      </c>
      <c r="Y3145" s="1">
        <v>2948.72</v>
      </c>
      <c r="AB3145" s="1">
        <v>1634.06</v>
      </c>
    </row>
    <row r="3146" spans="2:28" x14ac:dyDescent="0.2">
      <c r="B3146" s="30" t="s">
        <v>2294</v>
      </c>
      <c r="C3146" s="36"/>
      <c r="D3146" s="36"/>
      <c r="F3146" s="1" t="s">
        <v>1322</v>
      </c>
      <c r="G3146" s="30" t="s">
        <v>5646</v>
      </c>
      <c r="K3146" s="1" t="s">
        <v>5676</v>
      </c>
      <c r="L3146" s="1" t="s">
        <v>1279</v>
      </c>
      <c r="M3146" s="36" t="s">
        <v>1334</v>
      </c>
      <c r="N3146" s="1" t="s">
        <v>1573</v>
      </c>
      <c r="O3146" s="1" t="s">
        <v>1286</v>
      </c>
      <c r="P3146" s="34" t="str">
        <f t="shared" si="62"/>
        <v>F010</v>
      </c>
      <c r="Q3146" s="1" t="s">
        <v>127</v>
      </c>
      <c r="S3146" s="16">
        <v>20</v>
      </c>
      <c r="T3146" s="1" t="s">
        <v>5677</v>
      </c>
      <c r="U3146" s="1" t="s">
        <v>1535</v>
      </c>
      <c r="V3146" s="1" t="s">
        <v>2553</v>
      </c>
      <c r="Y3146" s="1">
        <v>2948.72</v>
      </c>
      <c r="AB3146" s="1">
        <v>1634.06</v>
      </c>
    </row>
    <row r="3147" spans="2:28" x14ac:dyDescent="0.2">
      <c r="B3147" s="30" t="s">
        <v>2294</v>
      </c>
      <c r="C3147" s="36"/>
      <c r="D3147" s="36"/>
      <c r="F3147" s="1" t="s">
        <v>5678</v>
      </c>
      <c r="G3147" s="30" t="s">
        <v>5646</v>
      </c>
      <c r="K3147" s="1" t="s">
        <v>5679</v>
      </c>
      <c r="L3147" s="1" t="s">
        <v>1279</v>
      </c>
      <c r="M3147" s="36" t="s">
        <v>1567</v>
      </c>
      <c r="N3147" s="1" t="s">
        <v>1795</v>
      </c>
      <c r="O3147" s="1" t="s">
        <v>1286</v>
      </c>
      <c r="P3147" s="34" t="str">
        <f t="shared" si="62"/>
        <v>F010</v>
      </c>
      <c r="Q3147" s="1" t="s">
        <v>127</v>
      </c>
      <c r="S3147" s="16">
        <v>20</v>
      </c>
      <c r="T3147" s="1" t="s">
        <v>2299</v>
      </c>
      <c r="U3147" s="1" t="s">
        <v>1999</v>
      </c>
      <c r="V3147" s="1" t="s">
        <v>1606</v>
      </c>
      <c r="Y3147" s="1">
        <v>3450</v>
      </c>
      <c r="AB3147" s="1">
        <v>2112.15</v>
      </c>
    </row>
    <row r="3148" spans="2:28" x14ac:dyDescent="0.2">
      <c r="B3148" s="30" t="s">
        <v>2294</v>
      </c>
      <c r="C3148" s="36"/>
      <c r="D3148" s="36"/>
      <c r="F3148" s="1" t="s">
        <v>1322</v>
      </c>
      <c r="G3148" s="30" t="s">
        <v>5680</v>
      </c>
      <c r="K3148" s="1" t="s">
        <v>5681</v>
      </c>
      <c r="L3148" s="1" t="s">
        <v>1279</v>
      </c>
      <c r="M3148" s="36" t="s">
        <v>1497</v>
      </c>
      <c r="N3148" s="1" t="s">
        <v>1630</v>
      </c>
      <c r="O3148" s="1" t="s">
        <v>1286</v>
      </c>
      <c r="P3148" s="34" t="str">
        <f t="shared" si="62"/>
        <v>F010</v>
      </c>
      <c r="Q3148" s="1" t="s">
        <v>127</v>
      </c>
      <c r="S3148" s="16">
        <v>20</v>
      </c>
      <c r="T3148" s="1" t="s">
        <v>3084</v>
      </c>
      <c r="U3148" s="1" t="s">
        <v>1460</v>
      </c>
      <c r="V3148" s="1" t="s">
        <v>3495</v>
      </c>
      <c r="Y3148" s="1">
        <v>3995.73</v>
      </c>
      <c r="AB3148" s="1">
        <v>2530.61</v>
      </c>
    </row>
    <row r="3149" spans="2:28" x14ac:dyDescent="0.2">
      <c r="B3149" s="30" t="s">
        <v>2294</v>
      </c>
      <c r="C3149" s="36"/>
      <c r="D3149" s="36"/>
      <c r="F3149" s="1" t="s">
        <v>3085</v>
      </c>
      <c r="G3149" s="30" t="s">
        <v>5680</v>
      </c>
      <c r="K3149" s="1" t="s">
        <v>5682</v>
      </c>
      <c r="L3149" s="1" t="s">
        <v>1279</v>
      </c>
      <c r="M3149" s="36" t="s">
        <v>1497</v>
      </c>
      <c r="N3149" s="1" t="s">
        <v>1630</v>
      </c>
      <c r="O3149" s="1" t="s">
        <v>1286</v>
      </c>
      <c r="P3149" s="34" t="str">
        <f t="shared" si="62"/>
        <v>F010</v>
      </c>
      <c r="Q3149" s="1" t="s">
        <v>127</v>
      </c>
      <c r="S3149" s="16">
        <v>20</v>
      </c>
      <c r="T3149" s="1" t="s">
        <v>2299</v>
      </c>
      <c r="U3149" s="1" t="s">
        <v>1460</v>
      </c>
      <c r="V3149" s="1" t="s">
        <v>3495</v>
      </c>
      <c r="Y3149" s="1">
        <v>3995.73</v>
      </c>
      <c r="AB3149" s="1">
        <v>2530.61</v>
      </c>
    </row>
    <row r="3150" spans="2:28" x14ac:dyDescent="0.2">
      <c r="B3150" s="30" t="s">
        <v>2294</v>
      </c>
      <c r="C3150" s="36"/>
      <c r="D3150" s="36"/>
      <c r="F3150" s="1" t="s">
        <v>1322</v>
      </c>
      <c r="G3150" s="30" t="s">
        <v>5683</v>
      </c>
      <c r="K3150" s="1" t="s">
        <v>5684</v>
      </c>
      <c r="L3150" s="1" t="s">
        <v>1279</v>
      </c>
      <c r="M3150" s="36" t="s">
        <v>1497</v>
      </c>
      <c r="N3150" s="1" t="s">
        <v>1630</v>
      </c>
      <c r="O3150" s="1" t="s">
        <v>1286</v>
      </c>
      <c r="P3150" s="34" t="str">
        <f t="shared" si="62"/>
        <v>F010</v>
      </c>
      <c r="Q3150" s="1" t="s">
        <v>127</v>
      </c>
      <c r="S3150" s="16">
        <v>20</v>
      </c>
      <c r="T3150" s="1" t="s">
        <v>5516</v>
      </c>
      <c r="U3150" s="1" t="s">
        <v>1460</v>
      </c>
      <c r="V3150" s="1" t="s">
        <v>3495</v>
      </c>
      <c r="Y3150" s="1">
        <v>3995.73</v>
      </c>
      <c r="AB3150" s="1">
        <v>2530.61</v>
      </c>
    </row>
    <row r="3151" spans="2:28" x14ac:dyDescent="0.2">
      <c r="B3151" s="30" t="s">
        <v>2294</v>
      </c>
      <c r="C3151" s="36"/>
      <c r="D3151" s="36"/>
      <c r="F3151" s="1" t="s">
        <v>5517</v>
      </c>
      <c r="G3151" s="30" t="s">
        <v>5685</v>
      </c>
      <c r="K3151" s="1" t="s">
        <v>5686</v>
      </c>
      <c r="L3151" s="1" t="s">
        <v>1279</v>
      </c>
      <c r="M3151" s="36" t="s">
        <v>1497</v>
      </c>
      <c r="N3151" s="1" t="s">
        <v>1630</v>
      </c>
      <c r="O3151" s="1" t="s">
        <v>1286</v>
      </c>
      <c r="P3151" s="34" t="str">
        <f t="shared" si="62"/>
        <v>F010</v>
      </c>
      <c r="Q3151" s="1" t="s">
        <v>127</v>
      </c>
      <c r="S3151" s="16">
        <v>20</v>
      </c>
      <c r="T3151" s="1" t="s">
        <v>2299</v>
      </c>
      <c r="U3151" s="1" t="s">
        <v>1460</v>
      </c>
      <c r="V3151" s="1" t="s">
        <v>3495</v>
      </c>
      <c r="Y3151" s="1">
        <v>3995.73</v>
      </c>
      <c r="AB3151" s="1">
        <v>2530.61</v>
      </c>
    </row>
    <row r="3152" spans="2:28" x14ac:dyDescent="0.2">
      <c r="B3152" s="30" t="s">
        <v>2294</v>
      </c>
      <c r="C3152" s="36"/>
      <c r="D3152" s="36"/>
      <c r="F3152" s="1" t="s">
        <v>1322</v>
      </c>
      <c r="G3152" s="30" t="s">
        <v>5685</v>
      </c>
      <c r="K3152" s="1" t="s">
        <v>5687</v>
      </c>
      <c r="L3152" s="1" t="s">
        <v>1279</v>
      </c>
      <c r="M3152" s="36" t="s">
        <v>1497</v>
      </c>
      <c r="N3152" s="1" t="s">
        <v>1630</v>
      </c>
      <c r="O3152" s="1" t="s">
        <v>1286</v>
      </c>
      <c r="P3152" s="34" t="str">
        <f t="shared" si="62"/>
        <v>F010</v>
      </c>
      <c r="Q3152" s="1" t="s">
        <v>127</v>
      </c>
      <c r="S3152" s="16">
        <v>20</v>
      </c>
      <c r="T3152" s="1" t="s">
        <v>3115</v>
      </c>
      <c r="U3152" s="1" t="s">
        <v>1460</v>
      </c>
      <c r="V3152" s="1" t="s">
        <v>3495</v>
      </c>
      <c r="Y3152" s="1">
        <v>3995.73</v>
      </c>
      <c r="AB3152" s="1">
        <v>2530.61</v>
      </c>
    </row>
    <row r="3153" spans="2:28" x14ac:dyDescent="0.2">
      <c r="B3153" s="30" t="s">
        <v>2294</v>
      </c>
      <c r="C3153" s="36"/>
      <c r="D3153" s="36"/>
      <c r="F3153" s="1" t="s">
        <v>3116</v>
      </c>
      <c r="G3153" s="30" t="s">
        <v>5685</v>
      </c>
      <c r="K3153" s="1" t="s">
        <v>5688</v>
      </c>
      <c r="L3153" s="1" t="s">
        <v>1279</v>
      </c>
      <c r="M3153" s="36" t="s">
        <v>1497</v>
      </c>
      <c r="N3153" s="1" t="s">
        <v>1630</v>
      </c>
      <c r="O3153" s="1" t="s">
        <v>1286</v>
      </c>
      <c r="P3153" s="34" t="str">
        <f t="shared" si="62"/>
        <v>F010</v>
      </c>
      <c r="Q3153" s="1" t="s">
        <v>127</v>
      </c>
      <c r="S3153" s="16">
        <v>20</v>
      </c>
      <c r="T3153" s="1" t="s">
        <v>2299</v>
      </c>
      <c r="U3153" s="1" t="s">
        <v>1460</v>
      </c>
      <c r="V3153" s="1" t="s">
        <v>3495</v>
      </c>
      <c r="Y3153" s="1">
        <v>3995.73</v>
      </c>
      <c r="AB3153" s="1">
        <v>2530.61</v>
      </c>
    </row>
    <row r="3154" spans="2:28" x14ac:dyDescent="0.2">
      <c r="B3154" s="30" t="s">
        <v>2294</v>
      </c>
      <c r="C3154" s="36"/>
      <c r="D3154" s="36"/>
      <c r="F3154" s="1" t="s">
        <v>1322</v>
      </c>
      <c r="G3154" s="30" t="s">
        <v>5685</v>
      </c>
      <c r="K3154" s="1" t="s">
        <v>5689</v>
      </c>
      <c r="L3154" s="1" t="s">
        <v>1279</v>
      </c>
      <c r="M3154" s="36" t="s">
        <v>1497</v>
      </c>
      <c r="N3154" s="1" t="s">
        <v>1630</v>
      </c>
      <c r="O3154" s="1" t="s">
        <v>1286</v>
      </c>
      <c r="P3154" s="34" t="str">
        <f t="shared" si="62"/>
        <v>F010</v>
      </c>
      <c r="Q3154" s="1" t="s">
        <v>127</v>
      </c>
      <c r="S3154" s="16">
        <v>20</v>
      </c>
      <c r="T3154" s="1" t="s">
        <v>3175</v>
      </c>
      <c r="U3154" s="1" t="s">
        <v>1460</v>
      </c>
      <c r="V3154" s="1" t="s">
        <v>3495</v>
      </c>
      <c r="Y3154" s="1">
        <v>3995.73</v>
      </c>
      <c r="AB3154" s="1">
        <v>2530.61</v>
      </c>
    </row>
    <row r="3155" spans="2:28" x14ac:dyDescent="0.2">
      <c r="B3155" s="30" t="s">
        <v>2294</v>
      </c>
      <c r="C3155" s="36"/>
      <c r="D3155" s="36"/>
      <c r="F3155" s="1" t="s">
        <v>3176</v>
      </c>
      <c r="G3155" s="30" t="s">
        <v>5685</v>
      </c>
      <c r="K3155" s="1" t="s">
        <v>5690</v>
      </c>
      <c r="L3155" s="1" t="s">
        <v>1279</v>
      </c>
      <c r="M3155" s="36" t="s">
        <v>1497</v>
      </c>
      <c r="N3155" s="1" t="s">
        <v>1630</v>
      </c>
      <c r="O3155" s="1" t="s">
        <v>1286</v>
      </c>
      <c r="P3155" s="34" t="str">
        <f t="shared" si="62"/>
        <v>F010</v>
      </c>
      <c r="Q3155" s="1" t="s">
        <v>127</v>
      </c>
      <c r="S3155" s="16">
        <v>20</v>
      </c>
      <c r="T3155" s="1" t="s">
        <v>2299</v>
      </c>
      <c r="U3155" s="1" t="s">
        <v>1460</v>
      </c>
      <c r="V3155" s="1" t="s">
        <v>3495</v>
      </c>
      <c r="Y3155" s="1">
        <v>3995.73</v>
      </c>
      <c r="AB3155" s="1">
        <v>2530.61</v>
      </c>
    </row>
    <row r="3156" spans="2:28" x14ac:dyDescent="0.2">
      <c r="B3156" s="30" t="s">
        <v>2294</v>
      </c>
      <c r="C3156" s="36"/>
      <c r="D3156" s="36"/>
      <c r="F3156" s="1" t="s">
        <v>1322</v>
      </c>
      <c r="G3156" s="30" t="s">
        <v>5685</v>
      </c>
      <c r="K3156" s="1" t="s">
        <v>5691</v>
      </c>
      <c r="L3156" s="1" t="s">
        <v>1279</v>
      </c>
      <c r="M3156" s="36" t="s">
        <v>1497</v>
      </c>
      <c r="N3156" s="1" t="s">
        <v>1630</v>
      </c>
      <c r="O3156" s="1" t="s">
        <v>1286</v>
      </c>
      <c r="P3156" s="34" t="str">
        <f t="shared" si="62"/>
        <v>F010</v>
      </c>
      <c r="Q3156" s="1" t="s">
        <v>127</v>
      </c>
      <c r="S3156" s="16">
        <v>20</v>
      </c>
      <c r="T3156" s="1" t="s">
        <v>3191</v>
      </c>
      <c r="U3156" s="1" t="s">
        <v>1460</v>
      </c>
      <c r="V3156" s="1" t="s">
        <v>3495</v>
      </c>
      <c r="Y3156" s="1">
        <v>3995.73</v>
      </c>
      <c r="AB3156" s="1">
        <v>2530.61</v>
      </c>
    </row>
    <row r="3157" spans="2:28" x14ac:dyDescent="0.2">
      <c r="B3157" s="30" t="s">
        <v>2294</v>
      </c>
      <c r="C3157" s="36"/>
      <c r="D3157" s="36"/>
      <c r="F3157" s="1" t="s">
        <v>3192</v>
      </c>
      <c r="G3157" s="30" t="s">
        <v>5685</v>
      </c>
      <c r="K3157" s="1" t="s">
        <v>5692</v>
      </c>
      <c r="L3157" s="1" t="s">
        <v>1279</v>
      </c>
      <c r="M3157" s="36" t="s">
        <v>1497</v>
      </c>
      <c r="N3157" s="1" t="s">
        <v>1630</v>
      </c>
      <c r="O3157" s="1" t="s">
        <v>1286</v>
      </c>
      <c r="P3157" s="34" t="str">
        <f t="shared" si="62"/>
        <v>F010</v>
      </c>
      <c r="Q3157" s="1" t="s">
        <v>127</v>
      </c>
      <c r="S3157" s="16">
        <v>20</v>
      </c>
      <c r="T3157" s="1" t="s">
        <v>2299</v>
      </c>
      <c r="U3157" s="1" t="s">
        <v>1460</v>
      </c>
      <c r="V3157" s="1" t="s">
        <v>3495</v>
      </c>
      <c r="Y3157" s="1">
        <v>3995.73</v>
      </c>
      <c r="AB3157" s="1">
        <v>2530.61</v>
      </c>
    </row>
    <row r="3158" spans="2:28" x14ac:dyDescent="0.2">
      <c r="B3158" s="30" t="s">
        <v>2294</v>
      </c>
      <c r="C3158" s="36"/>
      <c r="D3158" s="36"/>
      <c r="F3158" s="1" t="s">
        <v>1322</v>
      </c>
      <c r="G3158" s="30" t="s">
        <v>5685</v>
      </c>
      <c r="K3158" s="1" t="s">
        <v>5693</v>
      </c>
      <c r="L3158" s="1" t="s">
        <v>1279</v>
      </c>
      <c r="M3158" s="36" t="s">
        <v>1497</v>
      </c>
      <c r="N3158" s="1" t="s">
        <v>1630</v>
      </c>
      <c r="O3158" s="1" t="s">
        <v>1286</v>
      </c>
      <c r="P3158" s="34" t="str">
        <f t="shared" si="62"/>
        <v>F010</v>
      </c>
      <c r="Q3158" s="1" t="s">
        <v>127</v>
      </c>
      <c r="S3158" s="16">
        <v>20</v>
      </c>
      <c r="T3158" s="1" t="s">
        <v>3152</v>
      </c>
      <c r="U3158" s="1" t="s">
        <v>1460</v>
      </c>
      <c r="V3158" s="1" t="s">
        <v>3495</v>
      </c>
      <c r="Y3158" s="1">
        <v>3995.73</v>
      </c>
      <c r="AB3158" s="1">
        <v>2530.61</v>
      </c>
    </row>
    <row r="3159" spans="2:28" x14ac:dyDescent="0.2">
      <c r="B3159" s="30" t="s">
        <v>2294</v>
      </c>
      <c r="C3159" s="36"/>
      <c r="D3159" s="36"/>
      <c r="F3159" s="1" t="s">
        <v>3153</v>
      </c>
      <c r="G3159" s="30" t="s">
        <v>5685</v>
      </c>
      <c r="K3159" s="1" t="s">
        <v>5694</v>
      </c>
      <c r="L3159" s="1" t="s">
        <v>1279</v>
      </c>
      <c r="M3159" s="36" t="s">
        <v>1497</v>
      </c>
      <c r="N3159" s="1" t="s">
        <v>1630</v>
      </c>
      <c r="O3159" s="1" t="s">
        <v>1286</v>
      </c>
      <c r="P3159" s="34" t="str">
        <f t="shared" si="62"/>
        <v>F010</v>
      </c>
      <c r="Q3159" s="1" t="s">
        <v>127</v>
      </c>
      <c r="S3159" s="16">
        <v>20</v>
      </c>
      <c r="T3159" s="1" t="s">
        <v>2299</v>
      </c>
      <c r="U3159" s="1" t="s">
        <v>1460</v>
      </c>
      <c r="V3159" s="1" t="s">
        <v>3495</v>
      </c>
      <c r="Y3159" s="1">
        <v>3995.73</v>
      </c>
      <c r="AB3159" s="1">
        <v>2530.61</v>
      </c>
    </row>
    <row r="3160" spans="2:28" x14ac:dyDescent="0.2">
      <c r="B3160" s="30" t="s">
        <v>2294</v>
      </c>
      <c r="C3160" s="36"/>
      <c r="D3160" s="36"/>
      <c r="F3160" s="1" t="s">
        <v>1322</v>
      </c>
      <c r="G3160" s="30" t="s">
        <v>5695</v>
      </c>
      <c r="K3160" s="1" t="s">
        <v>5696</v>
      </c>
      <c r="L3160" s="1" t="s">
        <v>1279</v>
      </c>
      <c r="M3160" s="36" t="s">
        <v>1497</v>
      </c>
      <c r="N3160" s="1" t="s">
        <v>1630</v>
      </c>
      <c r="O3160" s="1" t="s">
        <v>1286</v>
      </c>
      <c r="P3160" s="34" t="str">
        <f t="shared" si="62"/>
        <v>F010</v>
      </c>
      <c r="Q3160" s="1" t="s">
        <v>127</v>
      </c>
      <c r="S3160" s="16">
        <v>20</v>
      </c>
      <c r="T3160" s="1" t="s">
        <v>3657</v>
      </c>
      <c r="U3160" s="1" t="s">
        <v>1460</v>
      </c>
      <c r="V3160" s="1" t="s">
        <v>3495</v>
      </c>
      <c r="Y3160" s="1">
        <v>3995.72</v>
      </c>
      <c r="AB3160" s="1">
        <v>2530.6</v>
      </c>
    </row>
    <row r="3161" spans="2:28" x14ac:dyDescent="0.2">
      <c r="B3161" s="30" t="s">
        <v>2294</v>
      </c>
      <c r="C3161" s="36"/>
      <c r="D3161" s="36"/>
      <c r="F3161" s="1" t="s">
        <v>3658</v>
      </c>
      <c r="G3161" s="30" t="s">
        <v>5695</v>
      </c>
      <c r="K3161" s="1" t="s">
        <v>5697</v>
      </c>
      <c r="L3161" s="1" t="s">
        <v>1279</v>
      </c>
      <c r="M3161" s="36" t="s">
        <v>1497</v>
      </c>
      <c r="N3161" s="1" t="s">
        <v>1630</v>
      </c>
      <c r="O3161" s="1" t="s">
        <v>1286</v>
      </c>
      <c r="P3161" s="34" t="str">
        <f t="shared" si="62"/>
        <v>F010</v>
      </c>
      <c r="Q3161" s="1" t="s">
        <v>127</v>
      </c>
      <c r="S3161" s="16">
        <v>20</v>
      </c>
      <c r="T3161" s="1" t="s">
        <v>2299</v>
      </c>
      <c r="U3161" s="1" t="s">
        <v>1460</v>
      </c>
      <c r="V3161" s="1" t="s">
        <v>3495</v>
      </c>
      <c r="Y3161" s="1">
        <v>3995.73</v>
      </c>
      <c r="AB3161" s="1">
        <v>2530.61</v>
      </c>
    </row>
    <row r="3162" spans="2:28" x14ac:dyDescent="0.2">
      <c r="B3162" s="30" t="s">
        <v>2294</v>
      </c>
      <c r="C3162" s="36"/>
      <c r="D3162" s="36"/>
      <c r="F3162" s="1" t="s">
        <v>1322</v>
      </c>
      <c r="G3162" s="30" t="s">
        <v>5695</v>
      </c>
      <c r="K3162" s="1" t="s">
        <v>5698</v>
      </c>
      <c r="L3162" s="1" t="s">
        <v>1279</v>
      </c>
      <c r="M3162" s="36" t="s">
        <v>1497</v>
      </c>
      <c r="N3162" s="1" t="s">
        <v>1630</v>
      </c>
      <c r="O3162" s="1" t="s">
        <v>1286</v>
      </c>
      <c r="P3162" s="34" t="str">
        <f t="shared" si="62"/>
        <v>F010</v>
      </c>
      <c r="Q3162" s="1" t="s">
        <v>127</v>
      </c>
      <c r="S3162" s="16">
        <v>20</v>
      </c>
      <c r="T3162" s="1" t="s">
        <v>3233</v>
      </c>
      <c r="U3162" s="1" t="s">
        <v>1460</v>
      </c>
      <c r="V3162" s="1" t="s">
        <v>3495</v>
      </c>
      <c r="Y3162" s="1">
        <v>3995.72</v>
      </c>
      <c r="AB3162" s="1">
        <v>2530.6</v>
      </c>
    </row>
    <row r="3163" spans="2:28" x14ac:dyDescent="0.2">
      <c r="B3163" s="30" t="s">
        <v>2294</v>
      </c>
      <c r="C3163" s="36"/>
      <c r="D3163" s="36"/>
      <c r="F3163" s="1" t="s">
        <v>3234</v>
      </c>
      <c r="G3163" s="30" t="s">
        <v>5695</v>
      </c>
      <c r="K3163" s="1" t="s">
        <v>5699</v>
      </c>
      <c r="L3163" s="1" t="s">
        <v>1279</v>
      </c>
      <c r="M3163" s="36" t="s">
        <v>1497</v>
      </c>
      <c r="N3163" s="1" t="s">
        <v>1630</v>
      </c>
      <c r="O3163" s="1" t="s">
        <v>1286</v>
      </c>
      <c r="P3163" s="34" t="str">
        <f t="shared" si="62"/>
        <v>F010</v>
      </c>
      <c r="Q3163" s="1" t="s">
        <v>127</v>
      </c>
      <c r="S3163" s="16">
        <v>20</v>
      </c>
      <c r="T3163" s="1" t="s">
        <v>2299</v>
      </c>
      <c r="U3163" s="1" t="s">
        <v>1460</v>
      </c>
      <c r="V3163" s="1" t="s">
        <v>3495</v>
      </c>
      <c r="Y3163" s="1">
        <v>3995.72</v>
      </c>
      <c r="AB3163" s="1">
        <v>2530.6</v>
      </c>
    </row>
    <row r="3164" spans="2:28" x14ac:dyDescent="0.2">
      <c r="B3164" s="30" t="s">
        <v>2294</v>
      </c>
      <c r="C3164" s="36"/>
      <c r="D3164" s="36"/>
      <c r="F3164" s="1" t="s">
        <v>1322</v>
      </c>
      <c r="G3164" s="30" t="s">
        <v>5695</v>
      </c>
      <c r="K3164" s="1" t="s">
        <v>5700</v>
      </c>
      <c r="L3164" s="1" t="s">
        <v>1279</v>
      </c>
      <c r="M3164" s="36" t="s">
        <v>1497</v>
      </c>
      <c r="N3164" s="1" t="s">
        <v>1630</v>
      </c>
      <c r="O3164" s="1" t="s">
        <v>1286</v>
      </c>
      <c r="P3164" s="34" t="str">
        <f t="shared" si="62"/>
        <v>F010</v>
      </c>
      <c r="Q3164" s="1" t="s">
        <v>127</v>
      </c>
      <c r="S3164" s="16">
        <v>20</v>
      </c>
      <c r="T3164" s="1" t="s">
        <v>3239</v>
      </c>
      <c r="U3164" s="1" t="s">
        <v>1460</v>
      </c>
      <c r="V3164" s="1" t="s">
        <v>3495</v>
      </c>
      <c r="Y3164" s="1">
        <v>3995.72</v>
      </c>
      <c r="AB3164" s="1">
        <v>2530.6</v>
      </c>
    </row>
    <row r="3165" spans="2:28" x14ac:dyDescent="0.2">
      <c r="B3165" s="30" t="s">
        <v>2294</v>
      </c>
      <c r="C3165" s="36"/>
      <c r="D3165" s="36"/>
      <c r="F3165" s="1" t="s">
        <v>3240</v>
      </c>
      <c r="G3165" s="30" t="s">
        <v>5695</v>
      </c>
      <c r="K3165" s="1" t="s">
        <v>5701</v>
      </c>
      <c r="L3165" s="1" t="s">
        <v>1279</v>
      </c>
      <c r="M3165" s="36" t="s">
        <v>1497</v>
      </c>
      <c r="N3165" s="1" t="s">
        <v>1630</v>
      </c>
      <c r="O3165" s="1" t="s">
        <v>1286</v>
      </c>
      <c r="P3165" s="34" t="str">
        <f t="shared" si="62"/>
        <v>F010</v>
      </c>
      <c r="Q3165" s="1" t="s">
        <v>127</v>
      </c>
      <c r="S3165" s="16">
        <v>20</v>
      </c>
      <c r="T3165" s="1" t="s">
        <v>2299</v>
      </c>
      <c r="U3165" s="1" t="s">
        <v>1460</v>
      </c>
      <c r="V3165" s="1" t="s">
        <v>3495</v>
      </c>
      <c r="Y3165" s="1">
        <v>3995.73</v>
      </c>
      <c r="AB3165" s="1">
        <v>2530.61</v>
      </c>
    </row>
    <row r="3166" spans="2:28" x14ac:dyDescent="0.2">
      <c r="B3166" s="30" t="s">
        <v>2294</v>
      </c>
      <c r="C3166" s="36"/>
      <c r="D3166" s="36"/>
      <c r="F3166" s="1" t="s">
        <v>1322</v>
      </c>
      <c r="G3166" s="30" t="s">
        <v>5695</v>
      </c>
      <c r="K3166" s="1" t="s">
        <v>5702</v>
      </c>
      <c r="L3166" s="1" t="s">
        <v>1279</v>
      </c>
      <c r="M3166" s="36" t="s">
        <v>1497</v>
      </c>
      <c r="N3166" s="1" t="s">
        <v>1630</v>
      </c>
      <c r="O3166" s="1" t="s">
        <v>1286</v>
      </c>
      <c r="P3166" s="34" t="str">
        <f t="shared" si="62"/>
        <v>F010</v>
      </c>
      <c r="Q3166" s="1" t="s">
        <v>127</v>
      </c>
      <c r="S3166" s="16">
        <v>20</v>
      </c>
      <c r="T3166" s="1" t="s">
        <v>3407</v>
      </c>
      <c r="U3166" s="1" t="s">
        <v>1460</v>
      </c>
      <c r="V3166" s="1" t="s">
        <v>3495</v>
      </c>
      <c r="Y3166" s="1">
        <v>3995.72</v>
      </c>
      <c r="AB3166" s="1">
        <v>2530.6</v>
      </c>
    </row>
    <row r="3167" spans="2:28" x14ac:dyDescent="0.2">
      <c r="B3167" s="30" t="s">
        <v>2294</v>
      </c>
      <c r="C3167" s="36"/>
      <c r="D3167" s="36"/>
      <c r="F3167" s="1" t="s">
        <v>3408</v>
      </c>
      <c r="G3167" s="30" t="s">
        <v>5695</v>
      </c>
      <c r="K3167" s="1" t="s">
        <v>5703</v>
      </c>
      <c r="L3167" s="1" t="s">
        <v>1279</v>
      </c>
      <c r="M3167" s="36" t="s">
        <v>1497</v>
      </c>
      <c r="N3167" s="1" t="s">
        <v>1630</v>
      </c>
      <c r="O3167" s="1" t="s">
        <v>1286</v>
      </c>
      <c r="P3167" s="34" t="str">
        <f t="shared" si="62"/>
        <v>F010</v>
      </c>
      <c r="Q3167" s="1" t="s">
        <v>127</v>
      </c>
      <c r="S3167" s="16">
        <v>20</v>
      </c>
      <c r="T3167" s="1" t="s">
        <v>2299</v>
      </c>
      <c r="U3167" s="1" t="s">
        <v>1460</v>
      </c>
      <c r="V3167" s="1" t="s">
        <v>3495</v>
      </c>
      <c r="Y3167" s="1">
        <v>3995.72</v>
      </c>
      <c r="AB3167" s="1">
        <v>2530.6</v>
      </c>
    </row>
    <row r="3168" spans="2:28" x14ac:dyDescent="0.2">
      <c r="B3168" s="30" t="s">
        <v>2294</v>
      </c>
      <c r="C3168" s="36"/>
      <c r="D3168" s="36"/>
      <c r="F3168" s="1" t="s">
        <v>1322</v>
      </c>
      <c r="G3168" s="30" t="s">
        <v>5695</v>
      </c>
      <c r="K3168" s="1" t="s">
        <v>5704</v>
      </c>
      <c r="L3168" s="1" t="s">
        <v>1279</v>
      </c>
      <c r="M3168" s="36" t="s">
        <v>1497</v>
      </c>
      <c r="N3168" s="1" t="s">
        <v>1630</v>
      </c>
      <c r="O3168" s="1" t="s">
        <v>1286</v>
      </c>
      <c r="P3168" s="34" t="str">
        <f t="shared" si="62"/>
        <v>F010</v>
      </c>
      <c r="Q3168" s="1" t="s">
        <v>127</v>
      </c>
      <c r="S3168" s="16">
        <v>20</v>
      </c>
      <c r="T3168" s="1" t="s">
        <v>5460</v>
      </c>
      <c r="U3168" s="1" t="s">
        <v>1460</v>
      </c>
      <c r="V3168" s="1" t="s">
        <v>3495</v>
      </c>
      <c r="Y3168" s="1">
        <v>3995.72</v>
      </c>
      <c r="AB3168" s="1">
        <v>2530.6</v>
      </c>
    </row>
    <row r="3169" spans="2:28" x14ac:dyDescent="0.2">
      <c r="B3169" s="30" t="s">
        <v>2294</v>
      </c>
      <c r="C3169" s="36"/>
      <c r="D3169" s="36"/>
      <c r="F3169" s="1" t="s">
        <v>5461</v>
      </c>
      <c r="G3169" s="30" t="s">
        <v>5695</v>
      </c>
      <c r="K3169" s="1" t="s">
        <v>5705</v>
      </c>
      <c r="L3169" s="1" t="s">
        <v>1279</v>
      </c>
      <c r="M3169" s="36" t="s">
        <v>1497</v>
      </c>
      <c r="N3169" s="1" t="s">
        <v>1630</v>
      </c>
      <c r="O3169" s="1" t="s">
        <v>1286</v>
      </c>
      <c r="P3169" s="34" t="str">
        <f t="shared" si="62"/>
        <v>F010</v>
      </c>
      <c r="Q3169" s="1" t="s">
        <v>127</v>
      </c>
      <c r="S3169" s="16">
        <v>20</v>
      </c>
      <c r="T3169" s="1" t="s">
        <v>2299</v>
      </c>
      <c r="U3169" s="1" t="s">
        <v>1460</v>
      </c>
      <c r="V3169" s="1" t="s">
        <v>3495</v>
      </c>
      <c r="Y3169" s="1">
        <v>3995.72</v>
      </c>
      <c r="AB3169" s="1">
        <v>2530.6</v>
      </c>
    </row>
    <row r="3170" spans="2:28" x14ac:dyDescent="0.2">
      <c r="B3170" s="30" t="s">
        <v>2294</v>
      </c>
      <c r="C3170" s="36"/>
      <c r="D3170" s="36"/>
      <c r="F3170" s="1" t="s">
        <v>1322</v>
      </c>
      <c r="G3170" s="30" t="s">
        <v>5695</v>
      </c>
      <c r="K3170" s="1" t="s">
        <v>5706</v>
      </c>
      <c r="L3170" s="1" t="s">
        <v>1279</v>
      </c>
      <c r="M3170" s="36" t="s">
        <v>1497</v>
      </c>
      <c r="N3170" s="1" t="s">
        <v>1630</v>
      </c>
      <c r="O3170" s="1" t="s">
        <v>1286</v>
      </c>
      <c r="P3170" s="34" t="str">
        <f t="shared" si="62"/>
        <v>F010</v>
      </c>
      <c r="Q3170" s="1" t="s">
        <v>127</v>
      </c>
      <c r="S3170" s="16">
        <v>20</v>
      </c>
      <c r="T3170" s="1" t="s">
        <v>5527</v>
      </c>
      <c r="U3170" s="1" t="s">
        <v>1460</v>
      </c>
      <c r="V3170" s="1" t="s">
        <v>3495</v>
      </c>
      <c r="Y3170" s="1">
        <v>3995.72</v>
      </c>
      <c r="AB3170" s="1">
        <v>2530.6</v>
      </c>
    </row>
    <row r="3171" spans="2:28" x14ac:dyDescent="0.2">
      <c r="B3171" s="30" t="s">
        <v>2294</v>
      </c>
      <c r="C3171" s="36"/>
      <c r="D3171" s="36"/>
      <c r="F3171" s="1" t="s">
        <v>5528</v>
      </c>
      <c r="G3171" s="30" t="s">
        <v>5695</v>
      </c>
      <c r="K3171" s="1" t="s">
        <v>5707</v>
      </c>
      <c r="L3171" s="1" t="s">
        <v>1279</v>
      </c>
      <c r="M3171" s="36" t="s">
        <v>1497</v>
      </c>
      <c r="N3171" s="1" t="s">
        <v>1630</v>
      </c>
      <c r="O3171" s="1" t="s">
        <v>1286</v>
      </c>
      <c r="P3171" s="34" t="str">
        <f t="shared" si="62"/>
        <v>F010</v>
      </c>
      <c r="Q3171" s="1" t="s">
        <v>127</v>
      </c>
      <c r="S3171" s="16">
        <v>20</v>
      </c>
      <c r="T3171" s="1" t="s">
        <v>2299</v>
      </c>
      <c r="U3171" s="1" t="s">
        <v>1460</v>
      </c>
      <c r="V3171" s="1" t="s">
        <v>3495</v>
      </c>
      <c r="Y3171" s="1">
        <v>3995.72</v>
      </c>
      <c r="AB3171" s="1">
        <v>2530.6</v>
      </c>
    </row>
    <row r="3172" spans="2:28" x14ac:dyDescent="0.2">
      <c r="B3172" s="30" t="s">
        <v>2294</v>
      </c>
      <c r="C3172" s="36"/>
      <c r="D3172" s="36"/>
      <c r="F3172" s="1" t="s">
        <v>1322</v>
      </c>
      <c r="G3172" s="30" t="s">
        <v>5695</v>
      </c>
      <c r="K3172" s="1" t="s">
        <v>5708</v>
      </c>
      <c r="L3172" s="1" t="s">
        <v>1279</v>
      </c>
      <c r="M3172" s="36" t="s">
        <v>1497</v>
      </c>
      <c r="N3172" s="1" t="s">
        <v>1630</v>
      </c>
      <c r="O3172" s="1" t="s">
        <v>1286</v>
      </c>
      <c r="P3172" s="34" t="str">
        <f t="shared" si="62"/>
        <v>F010</v>
      </c>
      <c r="Q3172" s="1" t="s">
        <v>127</v>
      </c>
      <c r="S3172" s="16">
        <v>20</v>
      </c>
      <c r="T3172" s="1" t="s">
        <v>3407</v>
      </c>
      <c r="U3172" s="1" t="s">
        <v>1460</v>
      </c>
      <c r="V3172" s="1" t="s">
        <v>3495</v>
      </c>
      <c r="Y3172" s="1">
        <v>3995.72</v>
      </c>
      <c r="AB3172" s="1">
        <v>2530.6</v>
      </c>
    </row>
    <row r="3173" spans="2:28" x14ac:dyDescent="0.2">
      <c r="B3173" s="30" t="s">
        <v>2294</v>
      </c>
      <c r="C3173" s="36"/>
      <c r="D3173" s="36"/>
      <c r="F3173" s="1" t="s">
        <v>3408</v>
      </c>
      <c r="G3173" s="30" t="s">
        <v>5695</v>
      </c>
      <c r="K3173" s="1" t="s">
        <v>5709</v>
      </c>
      <c r="L3173" s="1" t="s">
        <v>1279</v>
      </c>
      <c r="M3173" s="36" t="s">
        <v>1497</v>
      </c>
      <c r="N3173" s="1" t="s">
        <v>1630</v>
      </c>
      <c r="O3173" s="1" t="s">
        <v>1286</v>
      </c>
      <c r="P3173" s="34" t="str">
        <f t="shared" si="62"/>
        <v>F010</v>
      </c>
      <c r="Q3173" s="1" t="s">
        <v>127</v>
      </c>
      <c r="S3173" s="16">
        <v>20</v>
      </c>
      <c r="T3173" s="1" t="s">
        <v>5507</v>
      </c>
      <c r="U3173" s="1" t="s">
        <v>1460</v>
      </c>
      <c r="V3173" s="1" t="s">
        <v>3495</v>
      </c>
      <c r="Y3173" s="1">
        <v>3995.72</v>
      </c>
      <c r="AB3173" s="1">
        <v>2530.6</v>
      </c>
    </row>
    <row r="3174" spans="2:28" x14ac:dyDescent="0.2">
      <c r="B3174" s="30" t="s">
        <v>2294</v>
      </c>
      <c r="C3174" s="36"/>
      <c r="D3174" s="36"/>
      <c r="F3174" s="1" t="s">
        <v>5508</v>
      </c>
      <c r="G3174" s="30" t="s">
        <v>5695</v>
      </c>
      <c r="K3174" s="1" t="s">
        <v>5710</v>
      </c>
      <c r="L3174" s="1" t="s">
        <v>1279</v>
      </c>
      <c r="M3174" s="36" t="s">
        <v>1497</v>
      </c>
      <c r="N3174" s="1" t="s">
        <v>1630</v>
      </c>
      <c r="O3174" s="1" t="s">
        <v>1286</v>
      </c>
      <c r="P3174" s="34" t="str">
        <f t="shared" si="62"/>
        <v>F010</v>
      </c>
      <c r="Q3174" s="1" t="s">
        <v>127</v>
      </c>
      <c r="S3174" s="16">
        <v>20</v>
      </c>
      <c r="T3174" s="1" t="s">
        <v>5640</v>
      </c>
      <c r="U3174" s="1" t="s">
        <v>1460</v>
      </c>
      <c r="V3174" s="1" t="s">
        <v>3495</v>
      </c>
      <c r="Y3174" s="1">
        <v>3995.72</v>
      </c>
      <c r="AB3174" s="1">
        <v>2530.6</v>
      </c>
    </row>
    <row r="3175" spans="2:28" x14ac:dyDescent="0.2">
      <c r="B3175" s="30" t="s">
        <v>2294</v>
      </c>
      <c r="C3175" s="36"/>
      <c r="D3175" s="36"/>
      <c r="F3175" s="1" t="s">
        <v>5641</v>
      </c>
      <c r="G3175" s="30" t="s">
        <v>5695</v>
      </c>
      <c r="K3175" s="1" t="s">
        <v>5711</v>
      </c>
      <c r="L3175" s="1" t="s">
        <v>1279</v>
      </c>
      <c r="M3175" s="36" t="s">
        <v>1497</v>
      </c>
      <c r="N3175" s="1" t="s">
        <v>1630</v>
      </c>
      <c r="O3175" s="1" t="s">
        <v>1286</v>
      </c>
      <c r="P3175" s="34" t="str">
        <f t="shared" si="62"/>
        <v>F010</v>
      </c>
      <c r="Q3175" s="1" t="s">
        <v>127</v>
      </c>
      <c r="S3175" s="16">
        <v>20</v>
      </c>
      <c r="T3175" s="1" t="s">
        <v>2299</v>
      </c>
      <c r="U3175" s="1" t="s">
        <v>1460</v>
      </c>
      <c r="V3175" s="1" t="s">
        <v>3495</v>
      </c>
      <c r="Y3175" s="1">
        <v>3995.72</v>
      </c>
      <c r="AB3175" s="1">
        <v>2530.6</v>
      </c>
    </row>
    <row r="3176" spans="2:28" x14ac:dyDescent="0.2">
      <c r="B3176" s="30" t="s">
        <v>2294</v>
      </c>
      <c r="C3176" s="36"/>
      <c r="D3176" s="36"/>
      <c r="F3176" s="1" t="s">
        <v>1322</v>
      </c>
      <c r="G3176" s="30" t="s">
        <v>5695</v>
      </c>
      <c r="K3176" s="1" t="s">
        <v>5712</v>
      </c>
      <c r="L3176" s="1" t="s">
        <v>1279</v>
      </c>
      <c r="M3176" s="36" t="s">
        <v>1497</v>
      </c>
      <c r="N3176" s="1" t="s">
        <v>1630</v>
      </c>
      <c r="O3176" s="1" t="s">
        <v>1286</v>
      </c>
      <c r="P3176" s="34" t="str">
        <f t="shared" si="62"/>
        <v>F010</v>
      </c>
      <c r="Q3176" s="1" t="s">
        <v>127</v>
      </c>
      <c r="S3176" s="16">
        <v>20</v>
      </c>
      <c r="T3176" s="1" t="s">
        <v>3362</v>
      </c>
      <c r="U3176" s="1" t="s">
        <v>1460</v>
      </c>
      <c r="V3176" s="1" t="s">
        <v>3495</v>
      </c>
      <c r="Y3176" s="1">
        <v>3995.72</v>
      </c>
      <c r="AB3176" s="1">
        <v>2530.6</v>
      </c>
    </row>
    <row r="3177" spans="2:28" x14ac:dyDescent="0.2">
      <c r="B3177" s="30" t="s">
        <v>2294</v>
      </c>
      <c r="C3177" s="36"/>
      <c r="D3177" s="36"/>
      <c r="F3177" s="1" t="s">
        <v>3363</v>
      </c>
      <c r="G3177" s="30" t="s">
        <v>5695</v>
      </c>
      <c r="K3177" s="1" t="s">
        <v>5713</v>
      </c>
      <c r="L3177" s="1" t="s">
        <v>1279</v>
      </c>
      <c r="M3177" s="36" t="s">
        <v>1497</v>
      </c>
      <c r="N3177" s="1" t="s">
        <v>1630</v>
      </c>
      <c r="O3177" s="1" t="s">
        <v>1286</v>
      </c>
      <c r="P3177" s="34" t="str">
        <f t="shared" si="62"/>
        <v>F010</v>
      </c>
      <c r="Q3177" s="1" t="s">
        <v>127</v>
      </c>
      <c r="S3177" s="16">
        <v>20</v>
      </c>
      <c r="T3177" s="1" t="s">
        <v>2299</v>
      </c>
      <c r="U3177" s="1" t="s">
        <v>1460</v>
      </c>
      <c r="V3177" s="1" t="s">
        <v>3495</v>
      </c>
      <c r="Y3177" s="1">
        <v>3995.72</v>
      </c>
      <c r="AB3177" s="1">
        <v>2530.6</v>
      </c>
    </row>
    <row r="3178" spans="2:28" x14ac:dyDescent="0.2">
      <c r="B3178" s="30" t="s">
        <v>2294</v>
      </c>
      <c r="C3178" s="36"/>
      <c r="D3178" s="36"/>
      <c r="F3178" s="1" t="s">
        <v>1322</v>
      </c>
      <c r="G3178" s="30" t="s">
        <v>5695</v>
      </c>
      <c r="K3178" s="1" t="s">
        <v>5714</v>
      </c>
      <c r="L3178" s="1" t="s">
        <v>1279</v>
      </c>
      <c r="M3178" s="36" t="s">
        <v>1497</v>
      </c>
      <c r="N3178" s="1" t="s">
        <v>1630</v>
      </c>
      <c r="O3178" s="1" t="s">
        <v>1286</v>
      </c>
      <c r="P3178" s="34" t="str">
        <f t="shared" si="62"/>
        <v>F010</v>
      </c>
      <c r="Q3178" s="1" t="s">
        <v>127</v>
      </c>
      <c r="S3178" s="16">
        <v>20</v>
      </c>
      <c r="T3178" s="1" t="s">
        <v>3119</v>
      </c>
      <c r="U3178" s="1" t="s">
        <v>1460</v>
      </c>
      <c r="V3178" s="1" t="s">
        <v>3495</v>
      </c>
      <c r="Y3178" s="1">
        <v>3995.72</v>
      </c>
      <c r="AB3178" s="1">
        <v>2530.6</v>
      </c>
    </row>
    <row r="3179" spans="2:28" x14ac:dyDescent="0.2">
      <c r="B3179" s="30" t="s">
        <v>2294</v>
      </c>
      <c r="C3179" s="36"/>
      <c r="D3179" s="36"/>
      <c r="F3179" s="1" t="s">
        <v>3120</v>
      </c>
      <c r="G3179" s="30" t="s">
        <v>5695</v>
      </c>
      <c r="K3179" s="1" t="s">
        <v>5715</v>
      </c>
      <c r="L3179" s="1" t="s">
        <v>1279</v>
      </c>
      <c r="M3179" s="36" t="s">
        <v>1497</v>
      </c>
      <c r="N3179" s="1" t="s">
        <v>1630</v>
      </c>
      <c r="O3179" s="1" t="s">
        <v>1286</v>
      </c>
      <c r="P3179" s="34" t="str">
        <f t="shared" si="62"/>
        <v>F010</v>
      </c>
      <c r="Q3179" s="1" t="s">
        <v>127</v>
      </c>
      <c r="S3179" s="16">
        <v>20</v>
      </c>
      <c r="T3179" s="1" t="s">
        <v>5507</v>
      </c>
      <c r="U3179" s="1" t="s">
        <v>1460</v>
      </c>
      <c r="V3179" s="1" t="s">
        <v>3495</v>
      </c>
      <c r="Y3179" s="1">
        <v>3995.72</v>
      </c>
      <c r="AB3179" s="1">
        <v>2530.6</v>
      </c>
    </row>
    <row r="3180" spans="2:28" x14ac:dyDescent="0.2">
      <c r="B3180" s="30" t="s">
        <v>2294</v>
      </c>
      <c r="C3180" s="36"/>
      <c r="D3180" s="36"/>
      <c r="F3180" s="1" t="s">
        <v>5508</v>
      </c>
      <c r="G3180" s="30" t="s">
        <v>5716</v>
      </c>
      <c r="K3180" s="1" t="s">
        <v>5717</v>
      </c>
      <c r="L3180" s="1" t="s">
        <v>1279</v>
      </c>
      <c r="M3180" s="36" t="s">
        <v>1497</v>
      </c>
      <c r="N3180" s="1" t="s">
        <v>1630</v>
      </c>
      <c r="O3180" s="1" t="s">
        <v>1286</v>
      </c>
      <c r="P3180" s="34" t="str">
        <f t="shared" si="62"/>
        <v>F010</v>
      </c>
      <c r="Q3180" s="1" t="s">
        <v>127</v>
      </c>
      <c r="S3180" s="16">
        <v>20</v>
      </c>
      <c r="T3180" s="1" t="s">
        <v>3407</v>
      </c>
      <c r="U3180" s="1" t="s">
        <v>1460</v>
      </c>
      <c r="V3180" s="1" t="s">
        <v>3495</v>
      </c>
      <c r="Y3180" s="1">
        <v>3995.72</v>
      </c>
      <c r="AB3180" s="1">
        <v>2530.6</v>
      </c>
    </row>
    <row r="3181" spans="2:28" x14ac:dyDescent="0.2">
      <c r="B3181" s="30" t="s">
        <v>2294</v>
      </c>
      <c r="C3181" s="36"/>
      <c r="D3181" s="36"/>
      <c r="F3181" s="1" t="s">
        <v>3408</v>
      </c>
      <c r="G3181" s="30" t="s">
        <v>5718</v>
      </c>
      <c r="K3181" s="1" t="s">
        <v>5719</v>
      </c>
      <c r="L3181" s="1" t="s">
        <v>1279</v>
      </c>
      <c r="M3181" s="36" t="s">
        <v>1497</v>
      </c>
      <c r="N3181" s="1" t="s">
        <v>1630</v>
      </c>
      <c r="O3181" s="1" t="s">
        <v>1286</v>
      </c>
      <c r="P3181" s="34" t="str">
        <f t="shared" si="62"/>
        <v>F010</v>
      </c>
      <c r="Q3181" s="1" t="s">
        <v>127</v>
      </c>
      <c r="S3181" s="16">
        <v>20</v>
      </c>
      <c r="T3181" s="1" t="s">
        <v>2299</v>
      </c>
      <c r="U3181" s="1" t="s">
        <v>1460</v>
      </c>
      <c r="V3181" s="1" t="s">
        <v>3495</v>
      </c>
      <c r="Y3181" s="1">
        <v>3995.73</v>
      </c>
      <c r="AB3181" s="1">
        <v>2530.61</v>
      </c>
    </row>
    <row r="3182" spans="2:28" x14ac:dyDescent="0.2">
      <c r="B3182" s="30" t="s">
        <v>2294</v>
      </c>
      <c r="C3182" s="36"/>
      <c r="D3182" s="36"/>
      <c r="F3182" s="1" t="s">
        <v>1322</v>
      </c>
      <c r="G3182" s="30" t="s">
        <v>5718</v>
      </c>
      <c r="K3182" s="1" t="s">
        <v>5720</v>
      </c>
      <c r="L3182" s="1" t="s">
        <v>1279</v>
      </c>
      <c r="M3182" s="36" t="s">
        <v>1497</v>
      </c>
      <c r="N3182" s="1" t="s">
        <v>1630</v>
      </c>
      <c r="O3182" s="1" t="s">
        <v>1286</v>
      </c>
      <c r="P3182" s="34" t="str">
        <f t="shared" si="62"/>
        <v>F010</v>
      </c>
      <c r="Q3182" s="1" t="s">
        <v>127</v>
      </c>
      <c r="S3182" s="16">
        <v>20</v>
      </c>
      <c r="T3182" s="1" t="s">
        <v>3088</v>
      </c>
      <c r="U3182" s="1" t="s">
        <v>1460</v>
      </c>
      <c r="V3182" s="1" t="s">
        <v>3495</v>
      </c>
      <c r="Y3182" s="1">
        <v>3995.73</v>
      </c>
      <c r="AB3182" s="1">
        <v>2530.61</v>
      </c>
    </row>
    <row r="3183" spans="2:28" x14ac:dyDescent="0.2">
      <c r="B3183" s="30" t="s">
        <v>2294</v>
      </c>
      <c r="C3183" s="36"/>
      <c r="D3183" s="36"/>
      <c r="F3183" s="1" t="s">
        <v>3089</v>
      </c>
      <c r="G3183" s="30" t="s">
        <v>5718</v>
      </c>
      <c r="K3183" s="1" t="s">
        <v>5721</v>
      </c>
      <c r="L3183" s="1" t="s">
        <v>1279</v>
      </c>
      <c r="M3183" s="36" t="s">
        <v>1497</v>
      </c>
      <c r="N3183" s="1" t="s">
        <v>1630</v>
      </c>
      <c r="O3183" s="1" t="s">
        <v>1286</v>
      </c>
      <c r="P3183" s="34" t="str">
        <f t="shared" si="62"/>
        <v>F010</v>
      </c>
      <c r="Q3183" s="1" t="s">
        <v>127</v>
      </c>
      <c r="S3183" s="16">
        <v>20</v>
      </c>
      <c r="T3183" s="1" t="s">
        <v>2299</v>
      </c>
      <c r="U3183" s="1" t="s">
        <v>1460</v>
      </c>
      <c r="V3183" s="1" t="s">
        <v>3495</v>
      </c>
      <c r="Y3183" s="1">
        <v>3995.73</v>
      </c>
      <c r="AB3183" s="1">
        <v>2530.61</v>
      </c>
    </row>
    <row r="3184" spans="2:28" x14ac:dyDescent="0.2">
      <c r="B3184" s="30" t="s">
        <v>2294</v>
      </c>
      <c r="C3184" s="36"/>
      <c r="D3184" s="36"/>
      <c r="F3184" s="1" t="s">
        <v>1322</v>
      </c>
      <c r="G3184" s="30" t="s">
        <v>5718</v>
      </c>
      <c r="K3184" s="1" t="s">
        <v>5722</v>
      </c>
      <c r="L3184" s="1" t="s">
        <v>1279</v>
      </c>
      <c r="M3184" s="36" t="s">
        <v>1497</v>
      </c>
      <c r="N3184" s="1" t="s">
        <v>1630</v>
      </c>
      <c r="O3184" s="1" t="s">
        <v>1286</v>
      </c>
      <c r="P3184" s="34" t="str">
        <f t="shared" si="62"/>
        <v>F010</v>
      </c>
      <c r="Q3184" s="1" t="s">
        <v>127</v>
      </c>
      <c r="S3184" s="16">
        <v>20</v>
      </c>
      <c r="T3184" s="1" t="s">
        <v>3633</v>
      </c>
      <c r="U3184" s="1" t="s">
        <v>1460</v>
      </c>
      <c r="V3184" s="1" t="s">
        <v>3495</v>
      </c>
      <c r="Y3184" s="1">
        <v>3995.73</v>
      </c>
      <c r="AB3184" s="1">
        <v>2530.61</v>
      </c>
    </row>
    <row r="3185" spans="2:28" x14ac:dyDescent="0.2">
      <c r="B3185" s="30" t="s">
        <v>2294</v>
      </c>
      <c r="C3185" s="36"/>
      <c r="D3185" s="36"/>
      <c r="F3185" s="1" t="s">
        <v>3634</v>
      </c>
      <c r="G3185" s="30" t="s">
        <v>5718</v>
      </c>
      <c r="K3185" s="1" t="s">
        <v>5723</v>
      </c>
      <c r="L3185" s="1" t="s">
        <v>1279</v>
      </c>
      <c r="M3185" s="36" t="s">
        <v>1497</v>
      </c>
      <c r="N3185" s="1" t="s">
        <v>1630</v>
      </c>
      <c r="O3185" s="1" t="s">
        <v>1286</v>
      </c>
      <c r="P3185" s="34" t="str">
        <f t="shared" ref="P3185:P3248" si="63">+LEFT(Q3185,4)</f>
        <v>F010</v>
      </c>
      <c r="Q3185" s="1" t="s">
        <v>127</v>
      </c>
      <c r="S3185" s="16">
        <v>20</v>
      </c>
      <c r="T3185" s="1" t="s">
        <v>2299</v>
      </c>
      <c r="U3185" s="1" t="s">
        <v>1460</v>
      </c>
      <c r="V3185" s="1" t="s">
        <v>3495</v>
      </c>
      <c r="Y3185" s="1">
        <v>3995.73</v>
      </c>
      <c r="AB3185" s="1">
        <v>2530.61</v>
      </c>
    </row>
    <row r="3186" spans="2:28" x14ac:dyDescent="0.2">
      <c r="B3186" s="30" t="s">
        <v>2294</v>
      </c>
      <c r="C3186" s="36"/>
      <c r="D3186" s="36"/>
      <c r="F3186" s="1" t="s">
        <v>1322</v>
      </c>
      <c r="G3186" s="30" t="s">
        <v>5718</v>
      </c>
      <c r="K3186" s="1" t="s">
        <v>5724</v>
      </c>
      <c r="L3186" s="1" t="s">
        <v>1279</v>
      </c>
      <c r="M3186" s="36" t="s">
        <v>1497</v>
      </c>
      <c r="N3186" s="1" t="s">
        <v>1630</v>
      </c>
      <c r="O3186" s="1" t="s">
        <v>1286</v>
      </c>
      <c r="P3186" s="34" t="str">
        <f t="shared" si="63"/>
        <v>F010</v>
      </c>
      <c r="Q3186" s="1" t="s">
        <v>127</v>
      </c>
      <c r="S3186" s="16">
        <v>20</v>
      </c>
      <c r="T3186" s="1" t="s">
        <v>3533</v>
      </c>
      <c r="U3186" s="1" t="s">
        <v>1460</v>
      </c>
      <c r="V3186" s="1" t="s">
        <v>3495</v>
      </c>
      <c r="Y3186" s="1">
        <v>3995.73</v>
      </c>
      <c r="AB3186" s="1">
        <v>2530.61</v>
      </c>
    </row>
    <row r="3187" spans="2:28" x14ac:dyDescent="0.2">
      <c r="B3187" s="30" t="s">
        <v>2294</v>
      </c>
      <c r="C3187" s="36"/>
      <c r="D3187" s="36"/>
      <c r="F3187" s="1" t="s">
        <v>3534</v>
      </c>
      <c r="G3187" s="30" t="s">
        <v>5718</v>
      </c>
      <c r="K3187" s="1" t="s">
        <v>5725</v>
      </c>
      <c r="L3187" s="1" t="s">
        <v>1279</v>
      </c>
      <c r="M3187" s="36" t="s">
        <v>1497</v>
      </c>
      <c r="N3187" s="1" t="s">
        <v>1630</v>
      </c>
      <c r="O3187" s="1" t="s">
        <v>1286</v>
      </c>
      <c r="P3187" s="34" t="str">
        <f t="shared" si="63"/>
        <v>F010</v>
      </c>
      <c r="Q3187" s="1" t="s">
        <v>127</v>
      </c>
      <c r="S3187" s="16">
        <v>20</v>
      </c>
      <c r="T3187" s="1" t="s">
        <v>2299</v>
      </c>
      <c r="U3187" s="1" t="s">
        <v>1460</v>
      </c>
      <c r="V3187" s="1" t="s">
        <v>3495</v>
      </c>
      <c r="Y3187" s="1">
        <v>3995.73</v>
      </c>
      <c r="AB3187" s="1">
        <v>2530.61</v>
      </c>
    </row>
    <row r="3188" spans="2:28" x14ac:dyDescent="0.2">
      <c r="B3188" s="30" t="s">
        <v>2294</v>
      </c>
      <c r="C3188" s="36"/>
      <c r="D3188" s="36"/>
      <c r="F3188" s="1" t="s">
        <v>1322</v>
      </c>
      <c r="G3188" s="30" t="s">
        <v>5718</v>
      </c>
      <c r="K3188" s="1" t="s">
        <v>5726</v>
      </c>
      <c r="L3188" s="1" t="s">
        <v>1279</v>
      </c>
      <c r="M3188" s="36" t="s">
        <v>1497</v>
      </c>
      <c r="N3188" s="1" t="s">
        <v>1630</v>
      </c>
      <c r="O3188" s="1" t="s">
        <v>1286</v>
      </c>
      <c r="P3188" s="34" t="str">
        <f t="shared" si="63"/>
        <v>F010</v>
      </c>
      <c r="Q3188" s="1" t="s">
        <v>127</v>
      </c>
      <c r="S3188" s="16">
        <v>20</v>
      </c>
      <c r="T3188" s="1" t="s">
        <v>3254</v>
      </c>
      <c r="U3188" s="1" t="s">
        <v>1460</v>
      </c>
      <c r="V3188" s="1" t="s">
        <v>3495</v>
      </c>
      <c r="Y3188" s="1">
        <v>3995.73</v>
      </c>
      <c r="AB3188" s="1">
        <v>2530.61</v>
      </c>
    </row>
    <row r="3189" spans="2:28" x14ac:dyDescent="0.2">
      <c r="B3189" s="30" t="s">
        <v>2294</v>
      </c>
      <c r="C3189" s="36"/>
      <c r="D3189" s="36"/>
      <c r="F3189" s="1" t="s">
        <v>3255</v>
      </c>
      <c r="G3189" s="30" t="s">
        <v>5718</v>
      </c>
      <c r="K3189" s="1" t="s">
        <v>5727</v>
      </c>
      <c r="L3189" s="1" t="s">
        <v>1279</v>
      </c>
      <c r="M3189" s="36" t="s">
        <v>1497</v>
      </c>
      <c r="N3189" s="1" t="s">
        <v>1630</v>
      </c>
      <c r="O3189" s="1" t="s">
        <v>1286</v>
      </c>
      <c r="P3189" s="34" t="str">
        <f t="shared" si="63"/>
        <v>F010</v>
      </c>
      <c r="Q3189" s="1" t="s">
        <v>127</v>
      </c>
      <c r="S3189" s="16">
        <v>20</v>
      </c>
      <c r="T3189" s="1" t="s">
        <v>2299</v>
      </c>
      <c r="U3189" s="1" t="s">
        <v>1460</v>
      </c>
      <c r="V3189" s="1" t="s">
        <v>3495</v>
      </c>
      <c r="Y3189" s="1">
        <v>3995.73</v>
      </c>
      <c r="AB3189" s="1">
        <v>2530.61</v>
      </c>
    </row>
    <row r="3190" spans="2:28" x14ac:dyDescent="0.2">
      <c r="B3190" s="30" t="s">
        <v>2294</v>
      </c>
      <c r="C3190" s="36"/>
      <c r="D3190" s="36"/>
      <c r="F3190" s="1" t="s">
        <v>1322</v>
      </c>
      <c r="G3190" s="30" t="s">
        <v>5718</v>
      </c>
      <c r="K3190" s="1" t="s">
        <v>5728</v>
      </c>
      <c r="L3190" s="1" t="s">
        <v>1279</v>
      </c>
      <c r="M3190" s="36" t="s">
        <v>1497</v>
      </c>
      <c r="N3190" s="1" t="s">
        <v>1630</v>
      </c>
      <c r="O3190" s="1" t="s">
        <v>1286</v>
      </c>
      <c r="P3190" s="34" t="str">
        <f t="shared" si="63"/>
        <v>F010</v>
      </c>
      <c r="Q3190" s="1" t="s">
        <v>127</v>
      </c>
      <c r="S3190" s="16">
        <v>20</v>
      </c>
      <c r="T3190" s="1" t="s">
        <v>3119</v>
      </c>
      <c r="U3190" s="1" t="s">
        <v>1460</v>
      </c>
      <c r="V3190" s="1" t="s">
        <v>3495</v>
      </c>
      <c r="Y3190" s="1">
        <v>3995.73</v>
      </c>
      <c r="AB3190" s="1">
        <v>2530.61</v>
      </c>
    </row>
    <row r="3191" spans="2:28" x14ac:dyDescent="0.2">
      <c r="B3191" s="30" t="s">
        <v>2294</v>
      </c>
      <c r="C3191" s="36"/>
      <c r="D3191" s="36"/>
      <c r="F3191" s="1" t="s">
        <v>3120</v>
      </c>
      <c r="G3191" s="30" t="s">
        <v>5718</v>
      </c>
      <c r="K3191" s="1" t="s">
        <v>5729</v>
      </c>
      <c r="L3191" s="1" t="s">
        <v>1279</v>
      </c>
      <c r="M3191" s="36" t="s">
        <v>1497</v>
      </c>
      <c r="N3191" s="1" t="s">
        <v>1630</v>
      </c>
      <c r="O3191" s="1" t="s">
        <v>1286</v>
      </c>
      <c r="P3191" s="34" t="str">
        <f t="shared" si="63"/>
        <v>F010</v>
      </c>
      <c r="Q3191" s="1" t="s">
        <v>127</v>
      </c>
      <c r="S3191" s="16">
        <v>20</v>
      </c>
      <c r="T3191" s="1" t="s">
        <v>2299</v>
      </c>
      <c r="U3191" s="1" t="s">
        <v>1460</v>
      </c>
      <c r="V3191" s="1" t="s">
        <v>3495</v>
      </c>
      <c r="Y3191" s="1">
        <v>3995.73</v>
      </c>
      <c r="AB3191" s="1">
        <v>2530.61</v>
      </c>
    </row>
    <row r="3192" spans="2:28" x14ac:dyDescent="0.2">
      <c r="B3192" s="30" t="s">
        <v>2294</v>
      </c>
      <c r="C3192" s="36"/>
      <c r="D3192" s="36"/>
      <c r="F3192" s="1" t="s">
        <v>1322</v>
      </c>
      <c r="G3192" s="30" t="s">
        <v>5718</v>
      </c>
      <c r="K3192" s="1" t="s">
        <v>5730</v>
      </c>
      <c r="L3192" s="1" t="s">
        <v>1279</v>
      </c>
      <c r="M3192" s="36" t="s">
        <v>1497</v>
      </c>
      <c r="N3192" s="1" t="s">
        <v>1630</v>
      </c>
      <c r="O3192" s="1" t="s">
        <v>1286</v>
      </c>
      <c r="P3192" s="34" t="str">
        <f t="shared" si="63"/>
        <v>F010</v>
      </c>
      <c r="Q3192" s="1" t="s">
        <v>127</v>
      </c>
      <c r="S3192" s="16">
        <v>20</v>
      </c>
      <c r="T3192" s="1" t="s">
        <v>3143</v>
      </c>
      <c r="U3192" s="1" t="s">
        <v>1460</v>
      </c>
      <c r="V3192" s="1" t="s">
        <v>3495</v>
      </c>
      <c r="Y3192" s="1">
        <v>3995.73</v>
      </c>
      <c r="AB3192" s="1">
        <v>2530.61</v>
      </c>
    </row>
    <row r="3193" spans="2:28" x14ac:dyDescent="0.2">
      <c r="B3193" s="30" t="s">
        <v>2294</v>
      </c>
      <c r="C3193" s="36"/>
      <c r="D3193" s="36"/>
      <c r="F3193" s="1" t="s">
        <v>3144</v>
      </c>
      <c r="G3193" s="30" t="s">
        <v>5718</v>
      </c>
      <c r="K3193" s="1" t="s">
        <v>5731</v>
      </c>
      <c r="L3193" s="1" t="s">
        <v>1279</v>
      </c>
      <c r="M3193" s="36" t="s">
        <v>1497</v>
      </c>
      <c r="N3193" s="1" t="s">
        <v>1630</v>
      </c>
      <c r="O3193" s="1" t="s">
        <v>1286</v>
      </c>
      <c r="P3193" s="34" t="str">
        <f t="shared" si="63"/>
        <v>F010</v>
      </c>
      <c r="Q3193" s="1" t="s">
        <v>127</v>
      </c>
      <c r="S3193" s="16">
        <v>20</v>
      </c>
      <c r="T3193" s="1" t="s">
        <v>2299</v>
      </c>
      <c r="U3193" s="1" t="s">
        <v>1460</v>
      </c>
      <c r="V3193" s="1" t="s">
        <v>3495</v>
      </c>
      <c r="Y3193" s="1">
        <v>3995.73</v>
      </c>
      <c r="AB3193" s="1">
        <v>2530.61</v>
      </c>
    </row>
    <row r="3194" spans="2:28" x14ac:dyDescent="0.2">
      <c r="B3194" s="30" t="s">
        <v>2294</v>
      </c>
      <c r="C3194" s="36"/>
      <c r="D3194" s="36"/>
      <c r="F3194" s="1" t="s">
        <v>1322</v>
      </c>
      <c r="G3194" s="30" t="s">
        <v>5718</v>
      </c>
      <c r="K3194" s="1" t="s">
        <v>5732</v>
      </c>
      <c r="L3194" s="1" t="s">
        <v>1279</v>
      </c>
      <c r="M3194" s="36" t="s">
        <v>1497</v>
      </c>
      <c r="N3194" s="1" t="s">
        <v>1630</v>
      </c>
      <c r="O3194" s="1" t="s">
        <v>1286</v>
      </c>
      <c r="P3194" s="34" t="str">
        <f t="shared" si="63"/>
        <v>F010</v>
      </c>
      <c r="Q3194" s="1" t="s">
        <v>127</v>
      </c>
      <c r="S3194" s="16">
        <v>20</v>
      </c>
      <c r="T3194" s="1" t="s">
        <v>3830</v>
      </c>
      <c r="U3194" s="1" t="s">
        <v>1460</v>
      </c>
      <c r="V3194" s="1" t="s">
        <v>3495</v>
      </c>
      <c r="Y3194" s="1">
        <v>3995.73</v>
      </c>
      <c r="AB3194" s="1">
        <v>2530.61</v>
      </c>
    </row>
    <row r="3195" spans="2:28" x14ac:dyDescent="0.2">
      <c r="B3195" s="30" t="s">
        <v>2294</v>
      </c>
      <c r="C3195" s="36"/>
      <c r="D3195" s="36"/>
      <c r="F3195" s="1" t="s">
        <v>3831</v>
      </c>
      <c r="G3195" s="30" t="s">
        <v>5733</v>
      </c>
      <c r="K3195" s="1" t="s">
        <v>5734</v>
      </c>
      <c r="L3195" s="1" t="s">
        <v>1279</v>
      </c>
      <c r="M3195" s="36" t="s">
        <v>1497</v>
      </c>
      <c r="N3195" s="1" t="s">
        <v>1630</v>
      </c>
      <c r="O3195" s="1" t="s">
        <v>1286</v>
      </c>
      <c r="P3195" s="34" t="str">
        <f t="shared" si="63"/>
        <v>F010</v>
      </c>
      <c r="Q3195" s="1" t="s">
        <v>127</v>
      </c>
      <c r="S3195" s="16">
        <v>20</v>
      </c>
      <c r="T3195" s="1" t="s">
        <v>2299</v>
      </c>
      <c r="U3195" s="1" t="s">
        <v>1460</v>
      </c>
      <c r="V3195" s="1" t="s">
        <v>3495</v>
      </c>
      <c r="Y3195" s="1">
        <v>3995.73</v>
      </c>
      <c r="AB3195" s="1">
        <v>2530.61</v>
      </c>
    </row>
    <row r="3196" spans="2:28" x14ac:dyDescent="0.2">
      <c r="B3196" s="30" t="s">
        <v>2294</v>
      </c>
      <c r="C3196" s="36"/>
      <c r="D3196" s="36"/>
      <c r="F3196" s="1" t="s">
        <v>1322</v>
      </c>
      <c r="G3196" s="30" t="s">
        <v>5733</v>
      </c>
      <c r="K3196" s="1" t="s">
        <v>5735</v>
      </c>
      <c r="L3196" s="1" t="s">
        <v>1279</v>
      </c>
      <c r="M3196" s="36" t="s">
        <v>1497</v>
      </c>
      <c r="N3196" s="1" t="s">
        <v>1630</v>
      </c>
      <c r="O3196" s="1" t="s">
        <v>1286</v>
      </c>
      <c r="P3196" s="34" t="str">
        <f t="shared" si="63"/>
        <v>F010</v>
      </c>
      <c r="Q3196" s="1" t="s">
        <v>127</v>
      </c>
      <c r="S3196" s="16">
        <v>20</v>
      </c>
      <c r="T3196" s="1" t="s">
        <v>3396</v>
      </c>
      <c r="U3196" s="1" t="s">
        <v>1460</v>
      </c>
      <c r="V3196" s="1" t="s">
        <v>3495</v>
      </c>
      <c r="Y3196" s="1">
        <v>3995.73</v>
      </c>
      <c r="AB3196" s="1">
        <v>2530.61</v>
      </c>
    </row>
    <row r="3197" spans="2:28" x14ac:dyDescent="0.2">
      <c r="B3197" s="30" t="s">
        <v>2294</v>
      </c>
      <c r="C3197" s="36"/>
      <c r="D3197" s="36"/>
      <c r="F3197" s="1" t="s">
        <v>3397</v>
      </c>
      <c r="G3197" s="30" t="s">
        <v>5733</v>
      </c>
      <c r="K3197" s="1" t="s">
        <v>5736</v>
      </c>
      <c r="L3197" s="1" t="s">
        <v>1279</v>
      </c>
      <c r="M3197" s="36" t="s">
        <v>1497</v>
      </c>
      <c r="N3197" s="1" t="s">
        <v>1630</v>
      </c>
      <c r="O3197" s="1" t="s">
        <v>1286</v>
      </c>
      <c r="P3197" s="34" t="str">
        <f t="shared" si="63"/>
        <v>F010</v>
      </c>
      <c r="Q3197" s="1" t="s">
        <v>127</v>
      </c>
      <c r="S3197" s="16">
        <v>20</v>
      </c>
      <c r="T3197" s="1" t="s">
        <v>2299</v>
      </c>
      <c r="U3197" s="1" t="s">
        <v>1460</v>
      </c>
      <c r="V3197" s="1" t="s">
        <v>3495</v>
      </c>
      <c r="Y3197" s="1">
        <v>3995.73</v>
      </c>
      <c r="AB3197" s="1">
        <v>2530.61</v>
      </c>
    </row>
    <row r="3198" spans="2:28" x14ac:dyDescent="0.2">
      <c r="B3198" s="30" t="s">
        <v>2294</v>
      </c>
      <c r="C3198" s="36"/>
      <c r="D3198" s="36"/>
      <c r="F3198" s="1" t="s">
        <v>1322</v>
      </c>
      <c r="G3198" s="30" t="s">
        <v>5733</v>
      </c>
      <c r="K3198" s="1" t="s">
        <v>5737</v>
      </c>
      <c r="L3198" s="1" t="s">
        <v>1279</v>
      </c>
      <c r="M3198" s="36" t="s">
        <v>1497</v>
      </c>
      <c r="N3198" s="1" t="s">
        <v>1630</v>
      </c>
      <c r="O3198" s="1" t="s">
        <v>1286</v>
      </c>
      <c r="P3198" s="34" t="str">
        <f t="shared" si="63"/>
        <v>F010</v>
      </c>
      <c r="Q3198" s="1" t="s">
        <v>127</v>
      </c>
      <c r="S3198" s="16">
        <v>20</v>
      </c>
      <c r="T3198" s="1" t="s">
        <v>3097</v>
      </c>
      <c r="U3198" s="1" t="s">
        <v>1460</v>
      </c>
      <c r="V3198" s="1" t="s">
        <v>3495</v>
      </c>
      <c r="Y3198" s="1">
        <v>3995.73</v>
      </c>
      <c r="AB3198" s="1">
        <v>2530.61</v>
      </c>
    </row>
    <row r="3199" spans="2:28" x14ac:dyDescent="0.2">
      <c r="B3199" s="30" t="s">
        <v>2294</v>
      </c>
      <c r="C3199" s="36"/>
      <c r="D3199" s="36"/>
      <c r="F3199" s="1" t="s">
        <v>3098</v>
      </c>
      <c r="G3199" s="30" t="s">
        <v>5733</v>
      </c>
      <c r="K3199" s="1" t="s">
        <v>5738</v>
      </c>
      <c r="L3199" s="1" t="s">
        <v>1279</v>
      </c>
      <c r="M3199" s="36" t="s">
        <v>1497</v>
      </c>
      <c r="N3199" s="1" t="s">
        <v>1630</v>
      </c>
      <c r="O3199" s="1" t="s">
        <v>1286</v>
      </c>
      <c r="P3199" s="34" t="str">
        <f t="shared" si="63"/>
        <v>F010</v>
      </c>
      <c r="Q3199" s="1" t="s">
        <v>127</v>
      </c>
      <c r="S3199" s="16">
        <v>20</v>
      </c>
      <c r="T3199" s="1" t="s">
        <v>2299</v>
      </c>
      <c r="U3199" s="1" t="s">
        <v>1460</v>
      </c>
      <c r="V3199" s="1" t="s">
        <v>3495</v>
      </c>
      <c r="Y3199" s="1">
        <v>3995.73</v>
      </c>
      <c r="AB3199" s="1">
        <v>2530.61</v>
      </c>
    </row>
    <row r="3200" spans="2:28" x14ac:dyDescent="0.2">
      <c r="B3200" s="30" t="s">
        <v>2294</v>
      </c>
      <c r="C3200" s="36"/>
      <c r="D3200" s="36"/>
      <c r="F3200" s="1" t="s">
        <v>1322</v>
      </c>
      <c r="G3200" s="30" t="s">
        <v>5739</v>
      </c>
      <c r="K3200" s="1" t="s">
        <v>5740</v>
      </c>
      <c r="L3200" s="1" t="s">
        <v>1279</v>
      </c>
      <c r="M3200" s="36" t="s">
        <v>1497</v>
      </c>
      <c r="N3200" s="1" t="s">
        <v>1630</v>
      </c>
      <c r="O3200" s="1" t="s">
        <v>1286</v>
      </c>
      <c r="P3200" s="34" t="str">
        <f t="shared" si="63"/>
        <v>F010</v>
      </c>
      <c r="Q3200" s="1" t="s">
        <v>127</v>
      </c>
      <c r="S3200" s="16">
        <v>20</v>
      </c>
      <c r="T3200" s="1" t="s">
        <v>3074</v>
      </c>
      <c r="U3200" s="1" t="s">
        <v>1460</v>
      </c>
      <c r="V3200" s="1" t="s">
        <v>3495</v>
      </c>
      <c r="Y3200" s="1">
        <v>3995.73</v>
      </c>
      <c r="AB3200" s="1">
        <v>2530.61</v>
      </c>
    </row>
    <row r="3201" spans="2:28" x14ac:dyDescent="0.2">
      <c r="B3201" s="30" t="s">
        <v>2294</v>
      </c>
      <c r="C3201" s="36"/>
      <c r="D3201" s="36"/>
      <c r="F3201" s="1" t="s">
        <v>3075</v>
      </c>
      <c r="G3201" s="30" t="s">
        <v>5739</v>
      </c>
      <c r="K3201" s="1" t="s">
        <v>5741</v>
      </c>
      <c r="L3201" s="1" t="s">
        <v>1279</v>
      </c>
      <c r="M3201" s="36" t="s">
        <v>1497</v>
      </c>
      <c r="N3201" s="1" t="s">
        <v>1630</v>
      </c>
      <c r="O3201" s="1" t="s">
        <v>1286</v>
      </c>
      <c r="P3201" s="34" t="str">
        <f t="shared" si="63"/>
        <v>F010</v>
      </c>
      <c r="Q3201" s="1" t="s">
        <v>127</v>
      </c>
      <c r="S3201" s="16">
        <v>20</v>
      </c>
      <c r="T3201" s="1" t="s">
        <v>2299</v>
      </c>
      <c r="U3201" s="1" t="s">
        <v>1460</v>
      </c>
      <c r="V3201" s="1" t="s">
        <v>3495</v>
      </c>
      <c r="Y3201" s="1">
        <v>3995.73</v>
      </c>
      <c r="AB3201" s="1">
        <v>2530.61</v>
      </c>
    </row>
    <row r="3202" spans="2:28" x14ac:dyDescent="0.2">
      <c r="B3202" s="30" t="s">
        <v>2294</v>
      </c>
      <c r="C3202" s="36"/>
      <c r="D3202" s="36"/>
      <c r="F3202" s="1" t="s">
        <v>1322</v>
      </c>
      <c r="G3202" s="30" t="s">
        <v>5742</v>
      </c>
      <c r="K3202" s="1" t="s">
        <v>5743</v>
      </c>
      <c r="L3202" s="1" t="s">
        <v>1279</v>
      </c>
      <c r="M3202" s="36" t="s">
        <v>2014</v>
      </c>
      <c r="N3202" s="1" t="s">
        <v>1287</v>
      </c>
      <c r="O3202" s="1" t="s">
        <v>1286</v>
      </c>
      <c r="P3202" s="34" t="str">
        <f t="shared" si="63"/>
        <v>F010</v>
      </c>
      <c r="Q3202" s="1" t="s">
        <v>138</v>
      </c>
      <c r="S3202" s="16">
        <v>20</v>
      </c>
      <c r="T3202" s="1" t="s">
        <v>5677</v>
      </c>
      <c r="U3202" s="1" t="s">
        <v>1334</v>
      </c>
      <c r="V3202" s="1" t="s">
        <v>1377</v>
      </c>
      <c r="Y3202" s="1">
        <v>7456.89</v>
      </c>
      <c r="AB3202" s="1">
        <v>4426.6400000000003</v>
      </c>
    </row>
    <row r="3203" spans="2:28" x14ac:dyDescent="0.2">
      <c r="B3203" s="30" t="s">
        <v>2294</v>
      </c>
      <c r="C3203" s="36"/>
      <c r="D3203" s="36"/>
      <c r="F3203" s="1" t="s">
        <v>5678</v>
      </c>
      <c r="G3203" s="30" t="s">
        <v>5742</v>
      </c>
      <c r="K3203" s="1" t="s">
        <v>5744</v>
      </c>
      <c r="L3203" s="1" t="s">
        <v>1279</v>
      </c>
      <c r="M3203" s="36" t="s">
        <v>2014</v>
      </c>
      <c r="N3203" s="1" t="s">
        <v>1287</v>
      </c>
      <c r="O3203" s="1" t="s">
        <v>1286</v>
      </c>
      <c r="P3203" s="34" t="str">
        <f t="shared" si="63"/>
        <v>F010</v>
      </c>
      <c r="Q3203" s="1" t="s">
        <v>138</v>
      </c>
      <c r="S3203" s="16">
        <v>20</v>
      </c>
      <c r="T3203" s="1" t="s">
        <v>2299</v>
      </c>
      <c r="U3203" s="1" t="s">
        <v>1334</v>
      </c>
      <c r="V3203" s="1" t="s">
        <v>1377</v>
      </c>
      <c r="Y3203" s="1">
        <v>7456.89</v>
      </c>
      <c r="AB3203" s="1">
        <v>4426.6400000000003</v>
      </c>
    </row>
    <row r="3204" spans="2:28" x14ac:dyDescent="0.2">
      <c r="B3204" s="30" t="s">
        <v>2294</v>
      </c>
      <c r="C3204" s="36"/>
      <c r="D3204" s="36"/>
      <c r="F3204" s="1" t="s">
        <v>1322</v>
      </c>
      <c r="G3204" s="30" t="s">
        <v>5742</v>
      </c>
      <c r="K3204" s="1" t="s">
        <v>5745</v>
      </c>
      <c r="L3204" s="1" t="s">
        <v>1279</v>
      </c>
      <c r="M3204" s="36" t="s">
        <v>2014</v>
      </c>
      <c r="N3204" s="1" t="s">
        <v>1287</v>
      </c>
      <c r="O3204" s="1" t="s">
        <v>1286</v>
      </c>
      <c r="P3204" s="34" t="str">
        <f t="shared" si="63"/>
        <v>F010</v>
      </c>
      <c r="Q3204" s="1" t="s">
        <v>138</v>
      </c>
      <c r="S3204" s="16">
        <v>20</v>
      </c>
      <c r="T3204" s="1" t="s">
        <v>5541</v>
      </c>
      <c r="U3204" s="1" t="s">
        <v>1334</v>
      </c>
      <c r="V3204" s="1" t="s">
        <v>1377</v>
      </c>
      <c r="Y3204" s="1">
        <v>7456.89</v>
      </c>
      <c r="AB3204" s="1">
        <v>4426.6400000000003</v>
      </c>
    </row>
    <row r="3205" spans="2:28" x14ac:dyDescent="0.2">
      <c r="B3205" s="30" t="s">
        <v>2294</v>
      </c>
      <c r="C3205" s="36"/>
      <c r="D3205" s="36"/>
      <c r="F3205" s="1" t="s">
        <v>5542</v>
      </c>
      <c r="G3205" s="30" t="s">
        <v>5742</v>
      </c>
      <c r="K3205" s="1" t="s">
        <v>5746</v>
      </c>
      <c r="L3205" s="1" t="s">
        <v>1279</v>
      </c>
      <c r="M3205" s="36" t="s">
        <v>2014</v>
      </c>
      <c r="N3205" s="1" t="s">
        <v>1287</v>
      </c>
      <c r="O3205" s="1" t="s">
        <v>1286</v>
      </c>
      <c r="P3205" s="34" t="str">
        <f t="shared" si="63"/>
        <v>F010</v>
      </c>
      <c r="Q3205" s="1" t="s">
        <v>138</v>
      </c>
      <c r="S3205" s="16">
        <v>20</v>
      </c>
      <c r="T3205" s="1" t="s">
        <v>2299</v>
      </c>
      <c r="U3205" s="1" t="s">
        <v>1334</v>
      </c>
      <c r="V3205" s="1" t="s">
        <v>1377</v>
      </c>
      <c r="Y3205" s="1">
        <v>7456.89</v>
      </c>
      <c r="AB3205" s="1">
        <v>4426.6400000000003</v>
      </c>
    </row>
    <row r="3206" spans="2:28" x14ac:dyDescent="0.2">
      <c r="B3206" s="30" t="s">
        <v>2294</v>
      </c>
      <c r="C3206" s="36"/>
      <c r="D3206" s="36"/>
      <c r="F3206" s="1" t="s">
        <v>1322</v>
      </c>
      <c r="G3206" s="30" t="s">
        <v>5742</v>
      </c>
      <c r="K3206" s="1" t="s">
        <v>5747</v>
      </c>
      <c r="L3206" s="1" t="s">
        <v>1279</v>
      </c>
      <c r="M3206" s="36" t="s">
        <v>2014</v>
      </c>
      <c r="N3206" s="1" t="s">
        <v>1287</v>
      </c>
      <c r="O3206" s="1" t="s">
        <v>1286</v>
      </c>
      <c r="P3206" s="34" t="str">
        <f t="shared" si="63"/>
        <v>F010</v>
      </c>
      <c r="Q3206" s="1" t="s">
        <v>138</v>
      </c>
      <c r="S3206" s="16">
        <v>20</v>
      </c>
      <c r="T3206" s="1" t="s">
        <v>3093</v>
      </c>
      <c r="U3206" s="1" t="s">
        <v>1334</v>
      </c>
      <c r="V3206" s="1" t="s">
        <v>1377</v>
      </c>
      <c r="Y3206" s="1">
        <v>4264.8900000000003</v>
      </c>
      <c r="AB3206" s="1">
        <v>2476.02</v>
      </c>
    </row>
    <row r="3207" spans="2:28" x14ac:dyDescent="0.2">
      <c r="B3207" s="30" t="s">
        <v>2294</v>
      </c>
      <c r="C3207" s="36"/>
      <c r="D3207" s="36"/>
      <c r="F3207" s="1" t="s">
        <v>3094</v>
      </c>
      <c r="G3207" s="30" t="s">
        <v>5742</v>
      </c>
      <c r="K3207" s="1" t="s">
        <v>5748</v>
      </c>
      <c r="L3207" s="1" t="s">
        <v>1279</v>
      </c>
      <c r="M3207" s="36" t="s">
        <v>2014</v>
      </c>
      <c r="N3207" s="1" t="s">
        <v>1287</v>
      </c>
      <c r="O3207" s="1" t="s">
        <v>1286</v>
      </c>
      <c r="P3207" s="34" t="str">
        <f t="shared" si="63"/>
        <v>F010</v>
      </c>
      <c r="Q3207" s="1" t="s">
        <v>138</v>
      </c>
      <c r="S3207" s="16">
        <v>20</v>
      </c>
      <c r="T3207" s="1" t="s">
        <v>2299</v>
      </c>
      <c r="U3207" s="1" t="s">
        <v>1334</v>
      </c>
      <c r="V3207" s="1" t="s">
        <v>1377</v>
      </c>
      <c r="Y3207" s="1">
        <v>4264.8900000000003</v>
      </c>
      <c r="AB3207" s="1">
        <v>2476.02</v>
      </c>
    </row>
    <row r="3208" spans="2:28" x14ac:dyDescent="0.2">
      <c r="B3208" s="30" t="s">
        <v>2294</v>
      </c>
      <c r="C3208" s="36"/>
      <c r="D3208" s="36"/>
      <c r="F3208" s="1" t="s">
        <v>1322</v>
      </c>
      <c r="G3208" s="30" t="s">
        <v>5742</v>
      </c>
      <c r="K3208" s="1" t="s">
        <v>5749</v>
      </c>
      <c r="L3208" s="1" t="s">
        <v>1279</v>
      </c>
      <c r="M3208" s="36" t="s">
        <v>2014</v>
      </c>
      <c r="N3208" s="1" t="s">
        <v>1287</v>
      </c>
      <c r="O3208" s="1" t="s">
        <v>1286</v>
      </c>
      <c r="P3208" s="34" t="str">
        <f t="shared" si="63"/>
        <v>F010</v>
      </c>
      <c r="Q3208" s="1" t="s">
        <v>138</v>
      </c>
      <c r="S3208" s="16">
        <v>20</v>
      </c>
      <c r="T3208" s="1" t="s">
        <v>3115</v>
      </c>
      <c r="U3208" s="1" t="s">
        <v>1334</v>
      </c>
      <c r="V3208" s="1" t="s">
        <v>1377</v>
      </c>
      <c r="Y3208" s="1">
        <v>4264.8900000000003</v>
      </c>
      <c r="AB3208" s="1">
        <v>2476.02</v>
      </c>
    </row>
    <row r="3209" spans="2:28" x14ac:dyDescent="0.2">
      <c r="B3209" s="30" t="s">
        <v>2294</v>
      </c>
      <c r="C3209" s="36"/>
      <c r="D3209" s="36"/>
      <c r="F3209" s="1" t="s">
        <v>3116</v>
      </c>
      <c r="G3209" s="30" t="s">
        <v>5742</v>
      </c>
      <c r="K3209" s="1" t="s">
        <v>5750</v>
      </c>
      <c r="L3209" s="1" t="s">
        <v>1279</v>
      </c>
      <c r="M3209" s="36" t="s">
        <v>2014</v>
      </c>
      <c r="N3209" s="1" t="s">
        <v>1287</v>
      </c>
      <c r="O3209" s="1" t="s">
        <v>1286</v>
      </c>
      <c r="P3209" s="34" t="str">
        <f t="shared" si="63"/>
        <v>F010</v>
      </c>
      <c r="Q3209" s="1" t="s">
        <v>138</v>
      </c>
      <c r="S3209" s="16">
        <v>20</v>
      </c>
      <c r="T3209" s="1" t="s">
        <v>2299</v>
      </c>
      <c r="U3209" s="1" t="s">
        <v>1334</v>
      </c>
      <c r="V3209" s="1" t="s">
        <v>1377</v>
      </c>
      <c r="Y3209" s="1">
        <v>4264.8900000000003</v>
      </c>
      <c r="AB3209" s="1">
        <v>2476.02</v>
      </c>
    </row>
    <row r="3210" spans="2:28" x14ac:dyDescent="0.2">
      <c r="B3210" s="30" t="s">
        <v>2294</v>
      </c>
      <c r="C3210" s="36"/>
      <c r="D3210" s="36"/>
      <c r="F3210" s="1" t="s">
        <v>1322</v>
      </c>
      <c r="G3210" s="30" t="s">
        <v>5742</v>
      </c>
      <c r="K3210" s="1" t="s">
        <v>5751</v>
      </c>
      <c r="L3210" s="1" t="s">
        <v>1279</v>
      </c>
      <c r="M3210" s="36" t="s">
        <v>2014</v>
      </c>
      <c r="N3210" s="1" t="s">
        <v>1287</v>
      </c>
      <c r="O3210" s="1" t="s">
        <v>1286</v>
      </c>
      <c r="P3210" s="34" t="str">
        <f t="shared" si="63"/>
        <v>F010</v>
      </c>
      <c r="Q3210" s="1" t="s">
        <v>138</v>
      </c>
      <c r="S3210" s="16">
        <v>20</v>
      </c>
      <c r="T3210" s="1" t="s">
        <v>3362</v>
      </c>
      <c r="U3210" s="1" t="s">
        <v>1334</v>
      </c>
      <c r="V3210" s="1" t="s">
        <v>1377</v>
      </c>
      <c r="Y3210" s="1">
        <v>4264.8900000000003</v>
      </c>
      <c r="AB3210" s="1">
        <v>2476.02</v>
      </c>
    </row>
    <row r="3211" spans="2:28" x14ac:dyDescent="0.2">
      <c r="B3211" s="30" t="s">
        <v>2294</v>
      </c>
      <c r="C3211" s="36"/>
      <c r="D3211" s="36"/>
      <c r="F3211" s="1" t="s">
        <v>3363</v>
      </c>
      <c r="G3211" s="30" t="s">
        <v>5742</v>
      </c>
      <c r="K3211" s="1" t="s">
        <v>5752</v>
      </c>
      <c r="L3211" s="1" t="s">
        <v>1279</v>
      </c>
      <c r="M3211" s="36" t="s">
        <v>2014</v>
      </c>
      <c r="N3211" s="1" t="s">
        <v>1287</v>
      </c>
      <c r="O3211" s="1" t="s">
        <v>1286</v>
      </c>
      <c r="P3211" s="34" t="str">
        <f t="shared" si="63"/>
        <v>F010</v>
      </c>
      <c r="Q3211" s="1" t="s">
        <v>138</v>
      </c>
      <c r="S3211" s="16">
        <v>20</v>
      </c>
      <c r="T3211" s="1" t="s">
        <v>5507</v>
      </c>
      <c r="U3211" s="1" t="s">
        <v>1334</v>
      </c>
      <c r="V3211" s="1" t="s">
        <v>1377</v>
      </c>
      <c r="Y3211" s="1">
        <v>4264.8900000000003</v>
      </c>
      <c r="AB3211" s="1">
        <v>2476.02</v>
      </c>
    </row>
    <row r="3212" spans="2:28" x14ac:dyDescent="0.2">
      <c r="B3212" s="30" t="s">
        <v>2294</v>
      </c>
      <c r="C3212" s="36"/>
      <c r="D3212" s="36"/>
      <c r="F3212" s="1" t="s">
        <v>5508</v>
      </c>
      <c r="G3212" s="30" t="s">
        <v>5742</v>
      </c>
      <c r="K3212" s="1" t="s">
        <v>5753</v>
      </c>
      <c r="L3212" s="1" t="s">
        <v>1279</v>
      </c>
      <c r="M3212" s="36" t="s">
        <v>2014</v>
      </c>
      <c r="N3212" s="1" t="s">
        <v>1287</v>
      </c>
      <c r="O3212" s="1" t="s">
        <v>1286</v>
      </c>
      <c r="P3212" s="34" t="str">
        <f t="shared" si="63"/>
        <v>F010</v>
      </c>
      <c r="Q3212" s="1" t="s">
        <v>138</v>
      </c>
      <c r="S3212" s="16">
        <v>20</v>
      </c>
      <c r="T3212" s="1" t="s">
        <v>3473</v>
      </c>
      <c r="U3212" s="1" t="s">
        <v>1334</v>
      </c>
      <c r="V3212" s="1" t="s">
        <v>1377</v>
      </c>
      <c r="Y3212" s="1">
        <v>4264.8900000000003</v>
      </c>
      <c r="AB3212" s="1">
        <v>2476.02</v>
      </c>
    </row>
    <row r="3213" spans="2:28" x14ac:dyDescent="0.2">
      <c r="B3213" s="30" t="s">
        <v>2294</v>
      </c>
      <c r="C3213" s="36"/>
      <c r="D3213" s="36"/>
      <c r="F3213" s="1" t="s">
        <v>3474</v>
      </c>
      <c r="G3213" s="30" t="s">
        <v>5742</v>
      </c>
      <c r="K3213" s="1" t="s">
        <v>5754</v>
      </c>
      <c r="L3213" s="1" t="s">
        <v>1279</v>
      </c>
      <c r="M3213" s="36" t="s">
        <v>2014</v>
      </c>
      <c r="N3213" s="1" t="s">
        <v>1287</v>
      </c>
      <c r="O3213" s="1" t="s">
        <v>1286</v>
      </c>
      <c r="P3213" s="34" t="str">
        <f t="shared" si="63"/>
        <v>F010</v>
      </c>
      <c r="Q3213" s="1" t="s">
        <v>138</v>
      </c>
      <c r="S3213" s="16">
        <v>20</v>
      </c>
      <c r="T3213" s="1" t="s">
        <v>2299</v>
      </c>
      <c r="U3213" s="1" t="s">
        <v>1334</v>
      </c>
      <c r="V3213" s="1" t="s">
        <v>1377</v>
      </c>
      <c r="Y3213" s="1">
        <v>4264.8900000000003</v>
      </c>
      <c r="AB3213" s="1">
        <v>2476.02</v>
      </c>
    </row>
    <row r="3214" spans="2:28" x14ac:dyDescent="0.2">
      <c r="B3214" s="30" t="s">
        <v>2294</v>
      </c>
      <c r="C3214" s="36"/>
      <c r="D3214" s="36"/>
      <c r="F3214" s="1" t="s">
        <v>1322</v>
      </c>
      <c r="G3214" s="30" t="s">
        <v>5742</v>
      </c>
      <c r="K3214" s="1" t="s">
        <v>5755</v>
      </c>
      <c r="L3214" s="1" t="s">
        <v>1279</v>
      </c>
      <c r="M3214" s="36" t="s">
        <v>2014</v>
      </c>
      <c r="N3214" s="1" t="s">
        <v>1287</v>
      </c>
      <c r="O3214" s="1" t="s">
        <v>1286</v>
      </c>
      <c r="P3214" s="34" t="str">
        <f t="shared" si="63"/>
        <v>F010</v>
      </c>
      <c r="Q3214" s="1" t="s">
        <v>138</v>
      </c>
      <c r="S3214" s="16">
        <v>20</v>
      </c>
      <c r="T3214" s="1" t="s">
        <v>3101</v>
      </c>
      <c r="U3214" s="1" t="s">
        <v>1334</v>
      </c>
      <c r="V3214" s="1" t="s">
        <v>1377</v>
      </c>
      <c r="Y3214" s="1">
        <v>4264.8900000000003</v>
      </c>
      <c r="AB3214" s="1">
        <v>2476.02</v>
      </c>
    </row>
    <row r="3215" spans="2:28" x14ac:dyDescent="0.2">
      <c r="B3215" s="30" t="s">
        <v>2294</v>
      </c>
      <c r="C3215" s="36"/>
      <c r="D3215" s="36"/>
      <c r="F3215" s="1" t="s">
        <v>3102</v>
      </c>
      <c r="G3215" s="30" t="s">
        <v>5742</v>
      </c>
      <c r="K3215" s="1" t="s">
        <v>5756</v>
      </c>
      <c r="L3215" s="1" t="s">
        <v>1279</v>
      </c>
      <c r="M3215" s="36" t="s">
        <v>2014</v>
      </c>
      <c r="N3215" s="1" t="s">
        <v>1287</v>
      </c>
      <c r="O3215" s="1" t="s">
        <v>1286</v>
      </c>
      <c r="P3215" s="34" t="str">
        <f t="shared" si="63"/>
        <v>F010</v>
      </c>
      <c r="Q3215" s="1" t="s">
        <v>138</v>
      </c>
      <c r="S3215" s="16">
        <v>20</v>
      </c>
      <c r="T3215" s="1" t="s">
        <v>2299</v>
      </c>
      <c r="U3215" s="1" t="s">
        <v>1334</v>
      </c>
      <c r="V3215" s="1" t="s">
        <v>1377</v>
      </c>
      <c r="Y3215" s="1">
        <v>4264.8900000000003</v>
      </c>
      <c r="AB3215" s="1">
        <v>2476.02</v>
      </c>
    </row>
    <row r="3216" spans="2:28" x14ac:dyDescent="0.2">
      <c r="B3216" s="30" t="s">
        <v>2294</v>
      </c>
      <c r="C3216" s="36"/>
      <c r="D3216" s="36"/>
      <c r="F3216" s="1" t="s">
        <v>1322</v>
      </c>
      <c r="G3216" s="30" t="s">
        <v>5742</v>
      </c>
      <c r="K3216" s="1" t="s">
        <v>5757</v>
      </c>
      <c r="L3216" s="1" t="s">
        <v>1279</v>
      </c>
      <c r="M3216" s="36" t="s">
        <v>2014</v>
      </c>
      <c r="N3216" s="1" t="s">
        <v>1287</v>
      </c>
      <c r="O3216" s="1" t="s">
        <v>1286</v>
      </c>
      <c r="P3216" s="34" t="str">
        <f t="shared" si="63"/>
        <v>F010</v>
      </c>
      <c r="Q3216" s="1" t="s">
        <v>138</v>
      </c>
      <c r="S3216" s="16">
        <v>20</v>
      </c>
      <c r="T3216" s="1" t="s">
        <v>3523</v>
      </c>
      <c r="U3216" s="1" t="s">
        <v>1334</v>
      </c>
      <c r="V3216" s="1" t="s">
        <v>1377</v>
      </c>
      <c r="Y3216" s="1">
        <v>4264.8900000000003</v>
      </c>
      <c r="AB3216" s="1">
        <v>2476.02</v>
      </c>
    </row>
    <row r="3217" spans="2:28" x14ac:dyDescent="0.2">
      <c r="B3217" s="30" t="s">
        <v>2294</v>
      </c>
      <c r="C3217" s="36"/>
      <c r="D3217" s="36"/>
      <c r="F3217" s="1" t="s">
        <v>3524</v>
      </c>
      <c r="G3217" s="30" t="s">
        <v>5742</v>
      </c>
      <c r="K3217" s="1" t="s">
        <v>5758</v>
      </c>
      <c r="L3217" s="1" t="s">
        <v>1279</v>
      </c>
      <c r="M3217" s="36" t="s">
        <v>2014</v>
      </c>
      <c r="N3217" s="1" t="s">
        <v>1287</v>
      </c>
      <c r="O3217" s="1" t="s">
        <v>1286</v>
      </c>
      <c r="P3217" s="34" t="str">
        <f t="shared" si="63"/>
        <v>F010</v>
      </c>
      <c r="Q3217" s="1" t="s">
        <v>138</v>
      </c>
      <c r="S3217" s="16">
        <v>20</v>
      </c>
      <c r="T3217" s="1" t="s">
        <v>5507</v>
      </c>
      <c r="U3217" s="1" t="s">
        <v>1334</v>
      </c>
      <c r="V3217" s="1" t="s">
        <v>1377</v>
      </c>
      <c r="Y3217" s="1">
        <v>4264.8900000000003</v>
      </c>
      <c r="AB3217" s="1">
        <v>2476.02</v>
      </c>
    </row>
    <row r="3218" spans="2:28" x14ac:dyDescent="0.2">
      <c r="B3218" s="30" t="s">
        <v>2294</v>
      </c>
      <c r="C3218" s="36"/>
      <c r="D3218" s="36"/>
      <c r="F3218" s="1" t="s">
        <v>5508</v>
      </c>
      <c r="G3218" s="30" t="s">
        <v>5742</v>
      </c>
      <c r="K3218" s="1" t="s">
        <v>5759</v>
      </c>
      <c r="L3218" s="1" t="s">
        <v>1279</v>
      </c>
      <c r="M3218" s="36" t="s">
        <v>2014</v>
      </c>
      <c r="N3218" s="1" t="s">
        <v>1287</v>
      </c>
      <c r="O3218" s="1" t="s">
        <v>1286</v>
      </c>
      <c r="P3218" s="34" t="str">
        <f t="shared" si="63"/>
        <v>F010</v>
      </c>
      <c r="Q3218" s="1" t="s">
        <v>138</v>
      </c>
      <c r="S3218" s="16">
        <v>20</v>
      </c>
      <c r="T3218" s="1" t="s">
        <v>3511</v>
      </c>
      <c r="U3218" s="1" t="s">
        <v>1334</v>
      </c>
      <c r="V3218" s="1" t="s">
        <v>1377</v>
      </c>
      <c r="Y3218" s="1">
        <v>4264.8900000000003</v>
      </c>
      <c r="AB3218" s="1">
        <v>2476.02</v>
      </c>
    </row>
    <row r="3219" spans="2:28" x14ac:dyDescent="0.2">
      <c r="B3219" s="30" t="s">
        <v>2294</v>
      </c>
      <c r="C3219" s="36"/>
      <c r="D3219" s="36"/>
      <c r="F3219" s="1" t="s">
        <v>3512</v>
      </c>
      <c r="G3219" s="30" t="s">
        <v>5742</v>
      </c>
      <c r="K3219" s="1" t="s">
        <v>5760</v>
      </c>
      <c r="L3219" s="1" t="s">
        <v>1279</v>
      </c>
      <c r="M3219" s="36" t="s">
        <v>2014</v>
      </c>
      <c r="N3219" s="1" t="s">
        <v>1287</v>
      </c>
      <c r="O3219" s="1" t="s">
        <v>1286</v>
      </c>
      <c r="P3219" s="34" t="str">
        <f t="shared" si="63"/>
        <v>F010</v>
      </c>
      <c r="Q3219" s="1" t="s">
        <v>138</v>
      </c>
      <c r="S3219" s="16">
        <v>20</v>
      </c>
      <c r="T3219" s="1" t="s">
        <v>2299</v>
      </c>
      <c r="U3219" s="1" t="s">
        <v>1334</v>
      </c>
      <c r="V3219" s="1" t="s">
        <v>1377</v>
      </c>
      <c r="Y3219" s="1">
        <v>4264.8900000000003</v>
      </c>
      <c r="AB3219" s="1">
        <v>2476.02</v>
      </c>
    </row>
    <row r="3220" spans="2:28" x14ac:dyDescent="0.2">
      <c r="B3220" s="30" t="s">
        <v>2294</v>
      </c>
      <c r="C3220" s="36"/>
      <c r="D3220" s="36"/>
      <c r="F3220" s="1" t="s">
        <v>1322</v>
      </c>
      <c r="G3220" s="30" t="s">
        <v>5742</v>
      </c>
      <c r="K3220" s="1" t="s">
        <v>5761</v>
      </c>
      <c r="L3220" s="1" t="s">
        <v>1279</v>
      </c>
      <c r="M3220" s="36" t="s">
        <v>2014</v>
      </c>
      <c r="N3220" s="1" t="s">
        <v>1287</v>
      </c>
      <c r="O3220" s="1" t="s">
        <v>1286</v>
      </c>
      <c r="P3220" s="34" t="str">
        <f t="shared" si="63"/>
        <v>F010</v>
      </c>
      <c r="Q3220" s="1" t="s">
        <v>138</v>
      </c>
      <c r="S3220" s="16">
        <v>20</v>
      </c>
      <c r="T3220" s="1" t="s">
        <v>5762</v>
      </c>
      <c r="U3220" s="1" t="s">
        <v>1334</v>
      </c>
      <c r="V3220" s="1" t="s">
        <v>1377</v>
      </c>
      <c r="Y3220" s="1">
        <v>4265</v>
      </c>
      <c r="AB3220" s="1">
        <v>2476.1</v>
      </c>
    </row>
    <row r="3221" spans="2:28" x14ac:dyDescent="0.2">
      <c r="B3221" s="30" t="s">
        <v>2294</v>
      </c>
      <c r="C3221" s="36"/>
      <c r="D3221" s="36"/>
      <c r="F3221" s="1" t="s">
        <v>5763</v>
      </c>
      <c r="G3221" s="30" t="s">
        <v>5764</v>
      </c>
      <c r="K3221" s="1" t="s">
        <v>5765</v>
      </c>
      <c r="L3221" s="1" t="s">
        <v>1279</v>
      </c>
      <c r="M3221" s="36" t="s">
        <v>1541</v>
      </c>
      <c r="N3221" s="1" t="s">
        <v>1556</v>
      </c>
      <c r="O3221" s="1" t="s">
        <v>1286</v>
      </c>
      <c r="P3221" s="34" t="str">
        <f t="shared" si="63"/>
        <v>F010</v>
      </c>
      <c r="Q3221" s="1" t="s">
        <v>127</v>
      </c>
      <c r="S3221" s="16">
        <v>20</v>
      </c>
      <c r="T3221" s="1" t="s">
        <v>2299</v>
      </c>
      <c r="U3221" s="1" t="s">
        <v>1567</v>
      </c>
      <c r="V3221" s="1" t="s">
        <v>1569</v>
      </c>
      <c r="Y3221" s="1">
        <v>7383</v>
      </c>
      <c r="AB3221" s="1">
        <v>3507</v>
      </c>
    </row>
    <row r="3222" spans="2:28" x14ac:dyDescent="0.2">
      <c r="B3222" s="30" t="s">
        <v>2294</v>
      </c>
      <c r="C3222" s="36"/>
      <c r="D3222" s="36"/>
      <c r="F3222" s="1" t="s">
        <v>1322</v>
      </c>
      <c r="G3222" s="30" t="s">
        <v>5766</v>
      </c>
      <c r="K3222" s="1" t="s">
        <v>5767</v>
      </c>
      <c r="L3222" s="1" t="s">
        <v>1279</v>
      </c>
      <c r="M3222" s="36" t="s">
        <v>1862</v>
      </c>
      <c r="N3222" s="1" t="s">
        <v>1283</v>
      </c>
      <c r="O3222" s="1" t="s">
        <v>1286</v>
      </c>
      <c r="P3222" s="34" t="str">
        <f t="shared" si="63"/>
        <v>F010</v>
      </c>
      <c r="Q3222" s="1" t="s">
        <v>138</v>
      </c>
      <c r="S3222" s="16">
        <v>20</v>
      </c>
      <c r="T3222" s="1" t="s">
        <v>3115</v>
      </c>
      <c r="U3222" s="1" t="s">
        <v>4146</v>
      </c>
      <c r="V3222" s="1" t="s">
        <v>1345</v>
      </c>
      <c r="Y3222" s="1">
        <v>133000</v>
      </c>
      <c r="AB3222" s="1">
        <v>126350</v>
      </c>
    </row>
    <row r="3223" spans="2:28" x14ac:dyDescent="0.2">
      <c r="B3223" s="30" t="s">
        <v>2294</v>
      </c>
      <c r="C3223" s="36"/>
      <c r="D3223" s="36"/>
      <c r="F3223" s="1" t="s">
        <v>3116</v>
      </c>
      <c r="G3223" s="30" t="s">
        <v>5768</v>
      </c>
      <c r="K3223" s="1" t="s">
        <v>5769</v>
      </c>
      <c r="L3223" s="1" t="s">
        <v>1279</v>
      </c>
      <c r="M3223" s="36" t="s">
        <v>1774</v>
      </c>
      <c r="N3223" s="1" t="s">
        <v>1289</v>
      </c>
      <c r="O3223" s="1" t="s">
        <v>1286</v>
      </c>
      <c r="P3223" s="34" t="str">
        <f t="shared" si="63"/>
        <v>F010</v>
      </c>
      <c r="Q3223" s="1" t="s">
        <v>1297</v>
      </c>
      <c r="S3223" s="16">
        <v>20</v>
      </c>
      <c r="T3223" s="1" t="s">
        <v>2299</v>
      </c>
      <c r="U3223" s="1" t="s">
        <v>5374</v>
      </c>
      <c r="V3223" s="1" t="s">
        <v>1439</v>
      </c>
      <c r="Y3223" s="1">
        <v>5900</v>
      </c>
      <c r="AB3223" s="1">
        <v>5605</v>
      </c>
    </row>
    <row r="3224" spans="2:28" x14ac:dyDescent="0.2">
      <c r="B3224" s="30" t="s">
        <v>2294</v>
      </c>
      <c r="C3224" s="36"/>
      <c r="D3224" s="36"/>
      <c r="F3224" s="1" t="s">
        <v>1322</v>
      </c>
      <c r="G3224" s="30" t="s">
        <v>5770</v>
      </c>
      <c r="K3224" s="1" t="s">
        <v>5771</v>
      </c>
      <c r="L3224" s="1" t="s">
        <v>1279</v>
      </c>
      <c r="M3224" s="36" t="s">
        <v>1737</v>
      </c>
      <c r="N3224" s="1" t="s">
        <v>1282</v>
      </c>
      <c r="O3224" s="1" t="s">
        <v>1286</v>
      </c>
      <c r="P3224" s="34" t="str">
        <f t="shared" si="63"/>
        <v>F010</v>
      </c>
      <c r="Q3224" s="1" t="s">
        <v>132</v>
      </c>
      <c r="S3224" s="16">
        <v>20</v>
      </c>
      <c r="T3224" s="1" t="s">
        <v>3620</v>
      </c>
      <c r="U3224" s="1" t="s">
        <v>1976</v>
      </c>
      <c r="V3224" s="1" t="s">
        <v>1977</v>
      </c>
      <c r="Y3224" s="1">
        <v>6200</v>
      </c>
      <c r="AB3224" s="1">
        <v>5890</v>
      </c>
    </row>
    <row r="3225" spans="2:28" x14ac:dyDescent="0.2">
      <c r="B3225" s="30" t="s">
        <v>2294</v>
      </c>
      <c r="C3225" s="36"/>
      <c r="D3225" s="36"/>
      <c r="F3225" s="1" t="s">
        <v>3621</v>
      </c>
      <c r="G3225" s="30" t="s">
        <v>5772</v>
      </c>
      <c r="K3225" s="1" t="s">
        <v>5773</v>
      </c>
      <c r="L3225" s="1" t="s">
        <v>1279</v>
      </c>
      <c r="M3225" s="36" t="s">
        <v>4507</v>
      </c>
      <c r="N3225" s="1" t="s">
        <v>1291</v>
      </c>
      <c r="O3225" s="1" t="s">
        <v>1286</v>
      </c>
      <c r="P3225" s="34" t="str">
        <f t="shared" si="63"/>
        <v>F010</v>
      </c>
      <c r="Q3225" s="1" t="s">
        <v>4330</v>
      </c>
      <c r="S3225" s="16">
        <v>20</v>
      </c>
      <c r="T3225" s="1" t="s">
        <v>2299</v>
      </c>
      <c r="U3225" s="1" t="s">
        <v>1471</v>
      </c>
      <c r="V3225" s="1" t="s">
        <v>1473</v>
      </c>
      <c r="Y3225" s="1">
        <v>13210</v>
      </c>
      <c r="AB3225" s="1">
        <v>12549.5</v>
      </c>
    </row>
    <row r="3226" spans="2:28" x14ac:dyDescent="0.2">
      <c r="B3226" s="30" t="s">
        <v>2294</v>
      </c>
      <c r="C3226" s="36"/>
      <c r="D3226" s="36"/>
      <c r="F3226" s="1" t="s">
        <v>1322</v>
      </c>
      <c r="G3226" s="30" t="s">
        <v>5774</v>
      </c>
      <c r="K3226" s="1" t="s">
        <v>5775</v>
      </c>
      <c r="L3226" s="1" t="s">
        <v>1279</v>
      </c>
      <c r="M3226" s="36" t="s">
        <v>1641</v>
      </c>
      <c r="N3226" s="1" t="s">
        <v>2543</v>
      </c>
      <c r="O3226" s="1" t="s">
        <v>1286</v>
      </c>
      <c r="P3226" s="34" t="str">
        <f t="shared" si="63"/>
        <v>F010</v>
      </c>
      <c r="Q3226" s="1" t="s">
        <v>137</v>
      </c>
      <c r="S3226" s="16">
        <v>20</v>
      </c>
      <c r="T3226" s="1" t="s">
        <v>5776</v>
      </c>
      <c r="U3226" s="1" t="s">
        <v>2236</v>
      </c>
      <c r="V3226" s="1" t="s">
        <v>1857</v>
      </c>
      <c r="Y3226" s="1">
        <v>10800</v>
      </c>
      <c r="AB3226" s="1">
        <v>10260</v>
      </c>
    </row>
    <row r="3227" spans="2:28" x14ac:dyDescent="0.2">
      <c r="B3227" s="30" t="s">
        <v>2294</v>
      </c>
      <c r="C3227" s="36"/>
      <c r="D3227" s="36"/>
      <c r="F3227" s="1" t="s">
        <v>5777</v>
      </c>
      <c r="G3227" s="30" t="s">
        <v>5774</v>
      </c>
      <c r="K3227" s="1" t="s">
        <v>5778</v>
      </c>
      <c r="L3227" s="1" t="s">
        <v>1279</v>
      </c>
      <c r="M3227" s="36" t="s">
        <v>1641</v>
      </c>
      <c r="N3227" s="1" t="s">
        <v>2543</v>
      </c>
      <c r="O3227" s="1" t="s">
        <v>1286</v>
      </c>
      <c r="P3227" s="34" t="str">
        <f t="shared" si="63"/>
        <v>F010</v>
      </c>
      <c r="Q3227" s="1" t="s">
        <v>137</v>
      </c>
      <c r="S3227" s="16">
        <v>20</v>
      </c>
      <c r="T3227" s="1" t="s">
        <v>2299</v>
      </c>
      <c r="U3227" s="1" t="s">
        <v>2236</v>
      </c>
      <c r="V3227" s="1" t="s">
        <v>1857</v>
      </c>
      <c r="Y3227" s="1">
        <v>10800</v>
      </c>
      <c r="AB3227" s="1">
        <v>10260</v>
      </c>
    </row>
    <row r="3228" spans="2:28" x14ac:dyDescent="0.2">
      <c r="B3228" s="30" t="s">
        <v>2294</v>
      </c>
      <c r="C3228" s="36"/>
      <c r="D3228" s="36"/>
      <c r="F3228" s="1" t="s">
        <v>1322</v>
      </c>
      <c r="G3228" s="30" t="s">
        <v>5774</v>
      </c>
      <c r="K3228" s="1" t="s">
        <v>5779</v>
      </c>
      <c r="L3228" s="1" t="s">
        <v>1279</v>
      </c>
      <c r="M3228" s="36" t="s">
        <v>1641</v>
      </c>
      <c r="N3228" s="1" t="s">
        <v>3242</v>
      </c>
      <c r="O3228" s="1" t="s">
        <v>1286</v>
      </c>
      <c r="P3228" s="34" t="str">
        <f t="shared" si="63"/>
        <v>F010</v>
      </c>
      <c r="Q3228" s="1" t="s">
        <v>137</v>
      </c>
      <c r="S3228" s="16">
        <v>20</v>
      </c>
      <c r="T3228" s="1" t="s">
        <v>3441</v>
      </c>
      <c r="U3228" s="1" t="s">
        <v>2236</v>
      </c>
      <c r="V3228" s="1" t="s">
        <v>1857</v>
      </c>
      <c r="Y3228" s="1">
        <v>10800</v>
      </c>
      <c r="AB3228" s="1">
        <v>10260</v>
      </c>
    </row>
    <row r="3229" spans="2:28" x14ac:dyDescent="0.2">
      <c r="B3229" s="30" t="s">
        <v>2294</v>
      </c>
      <c r="C3229" s="36"/>
      <c r="D3229" s="36"/>
      <c r="F3229" s="1" t="s">
        <v>3442</v>
      </c>
      <c r="G3229" s="30" t="s">
        <v>5780</v>
      </c>
      <c r="K3229" s="1" t="s">
        <v>5781</v>
      </c>
      <c r="L3229" s="1" t="s">
        <v>1279</v>
      </c>
      <c r="M3229" s="36" t="s">
        <v>1990</v>
      </c>
      <c r="N3229" s="1" t="s">
        <v>1287</v>
      </c>
      <c r="O3229" s="1" t="s">
        <v>1286</v>
      </c>
      <c r="P3229" s="34" t="str">
        <f t="shared" si="63"/>
        <v>F010</v>
      </c>
      <c r="Q3229" s="1" t="s">
        <v>138</v>
      </c>
      <c r="S3229" s="16">
        <v>20</v>
      </c>
      <c r="T3229" s="1" t="s">
        <v>2299</v>
      </c>
      <c r="U3229" s="1" t="s">
        <v>2368</v>
      </c>
      <c r="V3229" s="1" t="s">
        <v>2369</v>
      </c>
      <c r="Y3229" s="1">
        <v>6640</v>
      </c>
      <c r="AB3229" s="1">
        <v>350.44</v>
      </c>
    </row>
    <row r="3230" spans="2:28" x14ac:dyDescent="0.2">
      <c r="B3230" s="30" t="s">
        <v>2294</v>
      </c>
      <c r="C3230" s="36"/>
      <c r="D3230" s="36"/>
      <c r="F3230" s="1" t="s">
        <v>1322</v>
      </c>
      <c r="G3230" s="30" t="s">
        <v>5782</v>
      </c>
      <c r="K3230" s="1" t="s">
        <v>5783</v>
      </c>
      <c r="L3230" s="1" t="s">
        <v>1279</v>
      </c>
      <c r="M3230" s="36" t="s">
        <v>1862</v>
      </c>
      <c r="N3230" s="1" t="s">
        <v>1283</v>
      </c>
      <c r="O3230" s="1" t="s">
        <v>1286</v>
      </c>
      <c r="P3230" s="34" t="str">
        <f t="shared" si="63"/>
        <v>F010</v>
      </c>
      <c r="Q3230" s="1" t="s">
        <v>137</v>
      </c>
      <c r="S3230" s="16">
        <v>20</v>
      </c>
      <c r="T3230" s="1" t="s">
        <v>3179</v>
      </c>
      <c r="U3230" s="1" t="s">
        <v>4146</v>
      </c>
      <c r="V3230" s="1" t="s">
        <v>1345</v>
      </c>
      <c r="Y3230" s="1">
        <v>54435</v>
      </c>
      <c r="AB3230" s="1">
        <v>51713.25</v>
      </c>
    </row>
    <row r="3231" spans="2:28" x14ac:dyDescent="0.2">
      <c r="B3231" s="30" t="s">
        <v>2294</v>
      </c>
      <c r="C3231" s="36"/>
      <c r="D3231" s="36"/>
      <c r="F3231" s="1" t="s">
        <v>3180</v>
      </c>
      <c r="G3231" s="30" t="s">
        <v>5784</v>
      </c>
      <c r="K3231" s="1" t="s">
        <v>5785</v>
      </c>
      <c r="L3231" s="1" t="s">
        <v>1279</v>
      </c>
      <c r="M3231" s="36" t="s">
        <v>1567</v>
      </c>
      <c r="N3231" s="1" t="s">
        <v>1614</v>
      </c>
      <c r="O3231" s="1" t="s">
        <v>1286</v>
      </c>
      <c r="P3231" s="34" t="str">
        <f t="shared" si="63"/>
        <v>F010</v>
      </c>
      <c r="Q3231" s="1" t="s">
        <v>127</v>
      </c>
      <c r="S3231" s="16">
        <v>20</v>
      </c>
      <c r="T3231" s="1" t="s">
        <v>2299</v>
      </c>
      <c r="U3231" s="1" t="s">
        <v>1999</v>
      </c>
      <c r="V3231" s="1" t="s">
        <v>1526</v>
      </c>
      <c r="Y3231" s="1">
        <v>86399.89</v>
      </c>
      <c r="AB3231" s="1">
        <v>66119.94</v>
      </c>
    </row>
    <row r="3232" spans="2:28" x14ac:dyDescent="0.2">
      <c r="B3232" s="30" t="s">
        <v>2294</v>
      </c>
      <c r="C3232" s="36"/>
      <c r="D3232" s="36"/>
      <c r="F3232" s="1" t="s">
        <v>1322</v>
      </c>
      <c r="G3232" s="30" t="s">
        <v>5784</v>
      </c>
      <c r="K3232" s="1" t="s">
        <v>5786</v>
      </c>
      <c r="L3232" s="1" t="s">
        <v>1279</v>
      </c>
      <c r="M3232" s="36" t="s">
        <v>1567</v>
      </c>
      <c r="N3232" s="1" t="s">
        <v>1614</v>
      </c>
      <c r="O3232" s="1" t="s">
        <v>1286</v>
      </c>
      <c r="P3232" s="34" t="str">
        <f t="shared" si="63"/>
        <v>F010</v>
      </c>
      <c r="Q3232" s="1" t="s">
        <v>127</v>
      </c>
      <c r="S3232" s="16">
        <v>20</v>
      </c>
      <c r="T3232" s="1" t="s">
        <v>3101</v>
      </c>
      <c r="U3232" s="1" t="s">
        <v>1999</v>
      </c>
      <c r="V3232" s="1" t="s">
        <v>1526</v>
      </c>
      <c r="Y3232" s="1">
        <v>51199.95</v>
      </c>
      <c r="AB3232" s="1">
        <v>39182.19</v>
      </c>
    </row>
    <row r="3233" spans="2:28" x14ac:dyDescent="0.2">
      <c r="B3233" s="30" t="s">
        <v>2294</v>
      </c>
      <c r="C3233" s="36"/>
      <c r="D3233" s="36"/>
      <c r="F3233" s="1" t="s">
        <v>3102</v>
      </c>
      <c r="G3233" s="30" t="s">
        <v>5787</v>
      </c>
      <c r="K3233" s="1" t="s">
        <v>5788</v>
      </c>
      <c r="L3233" s="1" t="s">
        <v>1279</v>
      </c>
      <c r="M3233" s="36" t="s">
        <v>1990</v>
      </c>
      <c r="N3233" s="1" t="s">
        <v>1637</v>
      </c>
      <c r="O3233" s="1" t="s">
        <v>1286</v>
      </c>
      <c r="P3233" s="34" t="str">
        <f t="shared" si="63"/>
        <v>F010</v>
      </c>
      <c r="Q3233" s="1" t="s">
        <v>127</v>
      </c>
      <c r="S3233" s="16">
        <v>20</v>
      </c>
      <c r="T3233" s="1" t="s">
        <v>2299</v>
      </c>
      <c r="U3233" s="1" t="s">
        <v>2368</v>
      </c>
      <c r="V3233" s="1" t="s">
        <v>2369</v>
      </c>
      <c r="Y3233" s="1">
        <v>999</v>
      </c>
      <c r="AB3233" s="1">
        <v>52.72</v>
      </c>
    </row>
    <row r="3234" spans="2:28" x14ac:dyDescent="0.2">
      <c r="B3234" s="30" t="s">
        <v>2294</v>
      </c>
      <c r="C3234" s="36"/>
      <c r="D3234" s="36"/>
      <c r="F3234" s="1" t="s">
        <v>1322</v>
      </c>
      <c r="G3234" s="30" t="s">
        <v>5789</v>
      </c>
      <c r="K3234" s="1" t="s">
        <v>5790</v>
      </c>
      <c r="L3234" s="1" t="s">
        <v>1279</v>
      </c>
      <c r="M3234" s="36" t="s">
        <v>1503</v>
      </c>
      <c r="N3234" s="1" t="s">
        <v>1637</v>
      </c>
      <c r="O3234" s="1" t="s">
        <v>1286</v>
      </c>
      <c r="P3234" s="34" t="str">
        <f t="shared" si="63"/>
        <v>F010</v>
      </c>
      <c r="Q3234" s="1" t="s">
        <v>127</v>
      </c>
      <c r="S3234" s="16">
        <v>20</v>
      </c>
      <c r="T3234" s="1" t="s">
        <v>3511</v>
      </c>
      <c r="U3234" s="1" t="s">
        <v>2072</v>
      </c>
      <c r="V3234" s="1" t="s">
        <v>4225</v>
      </c>
      <c r="Y3234" s="1">
        <v>1650.98</v>
      </c>
      <c r="AB3234" s="1">
        <v>603.16999999999996</v>
      </c>
    </row>
    <row r="3235" spans="2:28" x14ac:dyDescent="0.2">
      <c r="B3235" s="30" t="s">
        <v>2294</v>
      </c>
      <c r="C3235" s="36"/>
      <c r="D3235" s="36"/>
      <c r="F3235" s="1" t="s">
        <v>3512</v>
      </c>
      <c r="G3235" s="30" t="s">
        <v>5791</v>
      </c>
      <c r="K3235" s="1" t="s">
        <v>5792</v>
      </c>
      <c r="L3235" s="1" t="s">
        <v>1279</v>
      </c>
      <c r="M3235" s="36" t="s">
        <v>2014</v>
      </c>
      <c r="N3235" s="1" t="s">
        <v>1577</v>
      </c>
      <c r="O3235" s="1" t="s">
        <v>1286</v>
      </c>
      <c r="P3235" s="34" t="str">
        <f t="shared" si="63"/>
        <v>F010</v>
      </c>
      <c r="Q3235" s="1" t="s">
        <v>138</v>
      </c>
      <c r="S3235" s="16">
        <v>20</v>
      </c>
      <c r="T3235" s="1" t="s">
        <v>2299</v>
      </c>
      <c r="U3235" s="1" t="s">
        <v>1334</v>
      </c>
      <c r="V3235" s="1" t="s">
        <v>1377</v>
      </c>
      <c r="Y3235" s="1">
        <v>13399.25</v>
      </c>
      <c r="AB3235" s="1">
        <v>7778.98</v>
      </c>
    </row>
    <row r="3236" spans="2:28" x14ac:dyDescent="0.2">
      <c r="B3236" s="30" t="s">
        <v>2294</v>
      </c>
      <c r="C3236" s="36"/>
      <c r="D3236" s="36"/>
      <c r="F3236" s="1" t="s">
        <v>1322</v>
      </c>
      <c r="G3236" s="30" t="s">
        <v>5791</v>
      </c>
      <c r="K3236" s="1" t="s">
        <v>5793</v>
      </c>
      <c r="L3236" s="1" t="s">
        <v>1279</v>
      </c>
      <c r="M3236" s="36" t="s">
        <v>2014</v>
      </c>
      <c r="N3236" s="1" t="s">
        <v>1577</v>
      </c>
      <c r="O3236" s="1" t="s">
        <v>1286</v>
      </c>
      <c r="P3236" s="34" t="str">
        <f t="shared" si="63"/>
        <v>F010</v>
      </c>
      <c r="Q3236" s="1" t="s">
        <v>138</v>
      </c>
      <c r="S3236" s="16">
        <v>20</v>
      </c>
      <c r="T3236" s="1" t="s">
        <v>5555</v>
      </c>
      <c r="U3236" s="1" t="s">
        <v>1334</v>
      </c>
      <c r="V3236" s="1" t="s">
        <v>1377</v>
      </c>
      <c r="Y3236" s="1">
        <v>13399.25</v>
      </c>
      <c r="AB3236" s="1">
        <v>7778.98</v>
      </c>
    </row>
    <row r="3237" spans="2:28" x14ac:dyDescent="0.2">
      <c r="B3237" s="30" t="s">
        <v>2294</v>
      </c>
      <c r="C3237" s="36"/>
      <c r="D3237" s="36"/>
      <c r="F3237" s="1" t="s">
        <v>5556</v>
      </c>
      <c r="G3237" s="30" t="s">
        <v>5791</v>
      </c>
      <c r="K3237" s="1" t="s">
        <v>5794</v>
      </c>
      <c r="L3237" s="1" t="s">
        <v>1279</v>
      </c>
      <c r="M3237" s="36" t="s">
        <v>2014</v>
      </c>
      <c r="N3237" s="1" t="s">
        <v>1577</v>
      </c>
      <c r="O3237" s="1" t="s">
        <v>1286</v>
      </c>
      <c r="P3237" s="34" t="str">
        <f t="shared" si="63"/>
        <v>F010</v>
      </c>
      <c r="Q3237" s="1" t="s">
        <v>138</v>
      </c>
      <c r="S3237" s="16">
        <v>20</v>
      </c>
      <c r="T3237" s="1" t="s">
        <v>2299</v>
      </c>
      <c r="U3237" s="1" t="s">
        <v>1334</v>
      </c>
      <c r="V3237" s="1" t="s">
        <v>1377</v>
      </c>
      <c r="Y3237" s="1">
        <v>13399.25</v>
      </c>
      <c r="AB3237" s="1">
        <v>7778.98</v>
      </c>
    </row>
    <row r="3238" spans="2:28" x14ac:dyDescent="0.2">
      <c r="B3238" s="30" t="s">
        <v>2294</v>
      </c>
      <c r="C3238" s="36"/>
      <c r="D3238" s="36"/>
      <c r="F3238" s="1" t="s">
        <v>1322</v>
      </c>
      <c r="G3238" s="30" t="s">
        <v>5791</v>
      </c>
      <c r="K3238" s="1" t="s">
        <v>5795</v>
      </c>
      <c r="L3238" s="1" t="s">
        <v>1279</v>
      </c>
      <c r="M3238" s="36" t="s">
        <v>2014</v>
      </c>
      <c r="N3238" s="1" t="s">
        <v>1577</v>
      </c>
      <c r="O3238" s="1" t="s">
        <v>1286</v>
      </c>
      <c r="P3238" s="34" t="str">
        <f t="shared" si="63"/>
        <v>F010</v>
      </c>
      <c r="Q3238" s="1" t="s">
        <v>138</v>
      </c>
      <c r="S3238" s="16">
        <v>20</v>
      </c>
      <c r="T3238" s="1" t="s">
        <v>3175</v>
      </c>
      <c r="U3238" s="1" t="s">
        <v>1334</v>
      </c>
      <c r="V3238" s="1" t="s">
        <v>1377</v>
      </c>
      <c r="Y3238" s="1">
        <v>13399.25</v>
      </c>
      <c r="AB3238" s="1">
        <v>7778.98</v>
      </c>
    </row>
    <row r="3239" spans="2:28" x14ac:dyDescent="0.2">
      <c r="B3239" s="30" t="s">
        <v>2294</v>
      </c>
      <c r="C3239" s="36"/>
      <c r="D3239" s="36"/>
      <c r="F3239" s="1" t="s">
        <v>3176</v>
      </c>
      <c r="G3239" s="30" t="s">
        <v>5796</v>
      </c>
      <c r="K3239" s="1" t="s">
        <v>5797</v>
      </c>
      <c r="L3239" s="1" t="s">
        <v>1279</v>
      </c>
      <c r="M3239" s="36" t="s">
        <v>2023</v>
      </c>
      <c r="N3239" s="1" t="s">
        <v>1283</v>
      </c>
      <c r="O3239" s="1" t="s">
        <v>1286</v>
      </c>
      <c r="P3239" s="34" t="str">
        <f t="shared" si="63"/>
        <v>F010</v>
      </c>
      <c r="Q3239" s="1" t="s">
        <v>137</v>
      </c>
      <c r="S3239" s="16">
        <v>20</v>
      </c>
      <c r="T3239" s="1" t="s">
        <v>2299</v>
      </c>
      <c r="U3239" s="1" t="s">
        <v>1453</v>
      </c>
      <c r="V3239" s="1" t="s">
        <v>1794</v>
      </c>
      <c r="Y3239" s="1">
        <v>73000</v>
      </c>
      <c r="AB3239" s="1">
        <v>69350</v>
      </c>
    </row>
    <row r="3240" spans="2:28" x14ac:dyDescent="0.2">
      <c r="B3240" s="30" t="s">
        <v>2294</v>
      </c>
      <c r="C3240" s="36"/>
      <c r="D3240" s="36"/>
      <c r="F3240" s="1" t="s">
        <v>1322</v>
      </c>
      <c r="G3240" s="30" t="s">
        <v>5798</v>
      </c>
      <c r="K3240" s="1" t="s">
        <v>5799</v>
      </c>
      <c r="L3240" s="1" t="s">
        <v>1279</v>
      </c>
      <c r="M3240" s="36" t="s">
        <v>1613</v>
      </c>
      <c r="N3240" s="1" t="s">
        <v>2988</v>
      </c>
      <c r="O3240" s="1" t="s">
        <v>1286</v>
      </c>
      <c r="P3240" s="34" t="str">
        <f t="shared" si="63"/>
        <v>F010</v>
      </c>
      <c r="Q3240" s="1" t="s">
        <v>137</v>
      </c>
      <c r="S3240" s="16">
        <v>20</v>
      </c>
      <c r="T3240" s="1" t="s">
        <v>3714</v>
      </c>
      <c r="U3240" s="1" t="s">
        <v>1699</v>
      </c>
      <c r="V3240" s="1" t="s">
        <v>1336</v>
      </c>
      <c r="Y3240" s="1">
        <v>7200</v>
      </c>
      <c r="AB3240" s="1">
        <v>6080</v>
      </c>
    </row>
    <row r="3241" spans="2:28" x14ac:dyDescent="0.2">
      <c r="B3241" s="30" t="s">
        <v>2294</v>
      </c>
      <c r="C3241" s="36"/>
      <c r="D3241" s="36"/>
      <c r="F3241" s="1" t="s">
        <v>3715</v>
      </c>
      <c r="G3241" s="30" t="s">
        <v>5800</v>
      </c>
      <c r="K3241" s="1" t="s">
        <v>5801</v>
      </c>
      <c r="L3241" s="1" t="s">
        <v>1279</v>
      </c>
      <c r="M3241" s="36" t="s">
        <v>1511</v>
      </c>
      <c r="N3241" s="1" t="s">
        <v>1284</v>
      </c>
      <c r="O3241" s="1" t="s">
        <v>1286</v>
      </c>
      <c r="P3241" s="34" t="str">
        <f t="shared" si="63"/>
        <v>F010</v>
      </c>
      <c r="Q3241" s="1" t="s">
        <v>127</v>
      </c>
      <c r="S3241" s="16">
        <v>20</v>
      </c>
      <c r="T3241" s="1" t="s">
        <v>2299</v>
      </c>
      <c r="U3241" s="1" t="s">
        <v>1468</v>
      </c>
      <c r="V3241" s="1" t="s">
        <v>1634</v>
      </c>
      <c r="Y3241" s="1">
        <v>15243.59</v>
      </c>
      <c r="AB3241" s="1">
        <v>7175.88</v>
      </c>
    </row>
    <row r="3242" spans="2:28" x14ac:dyDescent="0.2">
      <c r="B3242" s="30" t="s">
        <v>2294</v>
      </c>
      <c r="C3242" s="36"/>
      <c r="D3242" s="36"/>
      <c r="F3242" s="1" t="s">
        <v>1322</v>
      </c>
      <c r="G3242" s="30" t="s">
        <v>5802</v>
      </c>
      <c r="K3242" s="1" t="s">
        <v>5803</v>
      </c>
      <c r="L3242" s="1" t="s">
        <v>1279</v>
      </c>
      <c r="M3242" s="36" t="s">
        <v>2023</v>
      </c>
      <c r="N3242" s="1" t="s">
        <v>1283</v>
      </c>
      <c r="O3242" s="1" t="s">
        <v>1286</v>
      </c>
      <c r="P3242" s="34" t="str">
        <f t="shared" si="63"/>
        <v>F010</v>
      </c>
      <c r="Q3242" s="1" t="s">
        <v>138</v>
      </c>
      <c r="S3242" s="16">
        <v>20</v>
      </c>
      <c r="T3242" s="1" t="s">
        <v>5516</v>
      </c>
      <c r="U3242" s="1" t="s">
        <v>1453</v>
      </c>
      <c r="V3242" s="1" t="s">
        <v>1794</v>
      </c>
      <c r="Y3242" s="1">
        <v>44985</v>
      </c>
      <c r="AB3242" s="1">
        <v>42735.75</v>
      </c>
    </row>
    <row r="3243" spans="2:28" x14ac:dyDescent="0.2">
      <c r="B3243" s="30" t="s">
        <v>2294</v>
      </c>
      <c r="C3243" s="36"/>
      <c r="D3243" s="36"/>
      <c r="F3243" s="1" t="s">
        <v>5517</v>
      </c>
      <c r="G3243" s="30" t="s">
        <v>5804</v>
      </c>
      <c r="K3243" s="1" t="s">
        <v>5805</v>
      </c>
      <c r="L3243" s="1" t="s">
        <v>1279</v>
      </c>
      <c r="M3243" s="36" t="s">
        <v>2483</v>
      </c>
      <c r="N3243" s="1" t="s">
        <v>5806</v>
      </c>
      <c r="O3243" s="1" t="s">
        <v>1286</v>
      </c>
      <c r="P3243" s="34" t="str">
        <f t="shared" si="63"/>
        <v>F010</v>
      </c>
      <c r="Q3243" s="1" t="s">
        <v>127</v>
      </c>
      <c r="S3243" s="16">
        <v>20</v>
      </c>
      <c r="T3243" s="1" t="s">
        <v>2299</v>
      </c>
      <c r="U3243" s="1" t="s">
        <v>2084</v>
      </c>
      <c r="V3243" s="1" t="s">
        <v>2085</v>
      </c>
      <c r="Y3243" s="1">
        <v>132800</v>
      </c>
      <c r="AB3243" s="1">
        <v>126160</v>
      </c>
    </row>
    <row r="3244" spans="2:28" x14ac:dyDescent="0.2">
      <c r="B3244" s="30" t="s">
        <v>2294</v>
      </c>
      <c r="C3244" s="36"/>
      <c r="D3244" s="36"/>
      <c r="F3244" s="1" t="s">
        <v>1322</v>
      </c>
      <c r="G3244" s="30" t="s">
        <v>5807</v>
      </c>
      <c r="K3244" s="1" t="s">
        <v>5808</v>
      </c>
      <c r="L3244" s="1" t="s">
        <v>1279</v>
      </c>
      <c r="M3244" s="36" t="s">
        <v>4981</v>
      </c>
      <c r="N3244" s="1" t="s">
        <v>1286</v>
      </c>
      <c r="O3244" s="1" t="s">
        <v>1286</v>
      </c>
      <c r="P3244" s="34" t="str">
        <f t="shared" si="63"/>
        <v>F010</v>
      </c>
      <c r="Q3244" s="1" t="s">
        <v>129</v>
      </c>
      <c r="S3244" s="16">
        <v>20</v>
      </c>
      <c r="T3244" s="1" t="s">
        <v>3111</v>
      </c>
      <c r="U3244" s="1" t="s">
        <v>1737</v>
      </c>
      <c r="V3244" s="1" t="s">
        <v>1741</v>
      </c>
      <c r="Y3244" s="1">
        <v>33700</v>
      </c>
      <c r="AB3244" s="1">
        <v>32015</v>
      </c>
    </row>
    <row r="3245" spans="2:28" s="34" customFormat="1" x14ac:dyDescent="0.2">
      <c r="B3245" s="39" t="s">
        <v>5809</v>
      </c>
      <c r="C3245" s="36"/>
      <c r="D3245" s="36"/>
      <c r="F3245" s="34" t="s">
        <v>4158</v>
      </c>
      <c r="G3245" s="34" t="s">
        <v>5810</v>
      </c>
      <c r="K3245" s="34" t="s">
        <v>5811</v>
      </c>
      <c r="L3245" s="34" t="s">
        <v>1279</v>
      </c>
      <c r="M3245" s="36" t="s">
        <v>1725</v>
      </c>
      <c r="N3245" s="34" t="s">
        <v>1290</v>
      </c>
      <c r="O3245" s="34" t="s">
        <v>1286</v>
      </c>
      <c r="P3245" s="34" t="str">
        <f t="shared" si="63"/>
        <v>F010</v>
      </c>
      <c r="Q3245" s="34" t="s">
        <v>1297</v>
      </c>
      <c r="S3245" s="34">
        <v>20</v>
      </c>
      <c r="T3245" s="34" t="s">
        <v>300</v>
      </c>
      <c r="U3245" s="34" t="s">
        <v>1411</v>
      </c>
      <c r="V3245" s="34" t="s">
        <v>1861</v>
      </c>
      <c r="Y3245" s="34">
        <v>7333.35</v>
      </c>
      <c r="AB3245" s="34">
        <v>6966.68</v>
      </c>
    </row>
    <row r="3246" spans="2:28" s="54" customFormat="1" x14ac:dyDescent="0.2">
      <c r="B3246" s="37" t="s">
        <v>5809</v>
      </c>
      <c r="C3246" s="54" t="s">
        <v>5812</v>
      </c>
      <c r="E3246" s="54" t="s">
        <v>5812</v>
      </c>
      <c r="F3246" s="54" t="s">
        <v>4158</v>
      </c>
      <c r="G3246" s="54" t="s">
        <v>5813</v>
      </c>
      <c r="K3246" s="54" t="s">
        <v>5812</v>
      </c>
      <c r="L3246" s="54" t="s">
        <v>1279</v>
      </c>
      <c r="M3246" s="54" t="s">
        <v>2828</v>
      </c>
      <c r="N3246" s="54" t="s">
        <v>6096</v>
      </c>
      <c r="O3246" s="54" t="s">
        <v>1286</v>
      </c>
      <c r="P3246" s="54" t="str">
        <f t="shared" si="63"/>
        <v/>
      </c>
      <c r="S3246" s="55">
        <v>20</v>
      </c>
      <c r="T3246" s="54" t="s">
        <v>300</v>
      </c>
      <c r="U3246" s="54" t="s">
        <v>1780</v>
      </c>
      <c r="V3246" s="54" t="s">
        <v>1780</v>
      </c>
      <c r="Y3246" s="54">
        <v>1701869.09</v>
      </c>
      <c r="AB3246" s="54">
        <v>1701869.09</v>
      </c>
    </row>
    <row r="3247" spans="2:28" x14ac:dyDescent="0.2">
      <c r="B3247" s="30" t="s">
        <v>5809</v>
      </c>
      <c r="C3247" s="36"/>
      <c r="D3247" s="36"/>
      <c r="F3247" s="1" t="s">
        <v>4158</v>
      </c>
      <c r="G3247" s="1" t="s">
        <v>5814</v>
      </c>
      <c r="K3247" s="1" t="s">
        <v>5815</v>
      </c>
      <c r="L3247" s="1" t="s">
        <v>1279</v>
      </c>
      <c r="M3247" s="36" t="s">
        <v>2318</v>
      </c>
      <c r="N3247" s="1" t="s">
        <v>1837</v>
      </c>
      <c r="O3247" s="1" t="s">
        <v>1286</v>
      </c>
      <c r="P3247" s="34" t="str">
        <f t="shared" si="63"/>
        <v>F010</v>
      </c>
      <c r="Q3247" s="1" t="s">
        <v>129</v>
      </c>
      <c r="S3247" s="16">
        <v>20</v>
      </c>
      <c r="T3247" s="1" t="s">
        <v>300</v>
      </c>
      <c r="U3247" s="1" t="s">
        <v>1540</v>
      </c>
      <c r="V3247" s="1" t="s">
        <v>1994</v>
      </c>
      <c r="Y3247" s="1">
        <v>391000</v>
      </c>
      <c r="AB3247" s="1">
        <v>371450</v>
      </c>
    </row>
    <row r="3248" spans="2:28" x14ac:dyDescent="0.2">
      <c r="B3248" s="30" t="s">
        <v>5809</v>
      </c>
      <c r="C3248" s="36"/>
      <c r="D3248" s="36"/>
      <c r="F3248" s="1" t="s">
        <v>4158</v>
      </c>
      <c r="G3248" s="1" t="s">
        <v>5816</v>
      </c>
      <c r="K3248" s="1" t="s">
        <v>5817</v>
      </c>
      <c r="L3248" s="1" t="s">
        <v>1279</v>
      </c>
      <c r="M3248" s="36" t="s">
        <v>1507</v>
      </c>
      <c r="N3248" s="1" t="s">
        <v>2400</v>
      </c>
      <c r="O3248" s="1" t="s">
        <v>1286</v>
      </c>
      <c r="P3248" s="34" t="str">
        <f t="shared" si="63"/>
        <v>F010</v>
      </c>
      <c r="Q3248" s="1" t="s">
        <v>129</v>
      </c>
      <c r="S3248" s="16">
        <v>20</v>
      </c>
      <c r="T3248" s="1" t="s">
        <v>300</v>
      </c>
      <c r="U3248" s="1" t="s">
        <v>4981</v>
      </c>
      <c r="V3248" s="1" t="s">
        <v>2412</v>
      </c>
      <c r="Y3248" s="1">
        <v>345800</v>
      </c>
      <c r="AB3248" s="1">
        <v>328510</v>
      </c>
    </row>
    <row r="3249" spans="2:28" x14ac:dyDescent="0.2">
      <c r="B3249" s="30" t="s">
        <v>5809</v>
      </c>
      <c r="C3249" s="36"/>
      <c r="D3249" s="36"/>
      <c r="F3249" s="1" t="s">
        <v>4158</v>
      </c>
      <c r="G3249" s="1" t="s">
        <v>5818</v>
      </c>
      <c r="K3249" s="1" t="s">
        <v>5819</v>
      </c>
      <c r="L3249" s="1" t="s">
        <v>1279</v>
      </c>
      <c r="M3249" s="36" t="s">
        <v>1507</v>
      </c>
      <c r="N3249" s="1" t="s">
        <v>1290</v>
      </c>
      <c r="O3249" s="1" t="s">
        <v>1286</v>
      </c>
      <c r="P3249" s="34" t="str">
        <f t="shared" ref="P3249:P3312" si="64">+LEFT(Q3249,4)</f>
        <v>F010</v>
      </c>
      <c r="Q3249" s="1" t="s">
        <v>1297</v>
      </c>
      <c r="S3249" s="16">
        <v>20</v>
      </c>
      <c r="T3249" s="1" t="s">
        <v>300</v>
      </c>
      <c r="U3249" s="1" t="s">
        <v>4981</v>
      </c>
      <c r="V3249" s="1" t="s">
        <v>2412</v>
      </c>
      <c r="Y3249" s="1">
        <v>3538</v>
      </c>
      <c r="AB3249" s="1">
        <v>3361.1</v>
      </c>
    </row>
    <row r="3250" spans="2:28" x14ac:dyDescent="0.2">
      <c r="B3250" s="30" t="s">
        <v>5809</v>
      </c>
      <c r="C3250" s="36"/>
      <c r="D3250" s="36"/>
      <c r="F3250" s="1" t="s">
        <v>4158</v>
      </c>
      <c r="G3250" s="1" t="s">
        <v>5820</v>
      </c>
      <c r="K3250" s="1" t="s">
        <v>5821</v>
      </c>
      <c r="L3250" s="1" t="s">
        <v>1279</v>
      </c>
      <c r="M3250" s="36" t="s">
        <v>1737</v>
      </c>
      <c r="N3250" s="1" t="s">
        <v>2400</v>
      </c>
      <c r="O3250" s="1" t="s">
        <v>1286</v>
      </c>
      <c r="P3250" s="34" t="str">
        <f t="shared" si="64"/>
        <v>F010</v>
      </c>
      <c r="Q3250" s="1" t="s">
        <v>129</v>
      </c>
      <c r="S3250" s="16">
        <v>20</v>
      </c>
      <c r="T3250" s="1" t="s">
        <v>300</v>
      </c>
      <c r="U3250" s="1" t="s">
        <v>1976</v>
      </c>
      <c r="V3250" s="1" t="s">
        <v>1977</v>
      </c>
      <c r="Y3250" s="1">
        <v>18807.8</v>
      </c>
      <c r="AB3250" s="1">
        <v>17867.41</v>
      </c>
    </row>
    <row r="3251" spans="2:28" x14ac:dyDescent="0.2">
      <c r="B3251" s="30" t="s">
        <v>5809</v>
      </c>
      <c r="C3251" s="36"/>
      <c r="D3251" s="36"/>
      <c r="F3251" s="1" t="s">
        <v>4158</v>
      </c>
      <c r="G3251" s="1" t="s">
        <v>5822</v>
      </c>
      <c r="K3251" s="1" t="s">
        <v>5823</v>
      </c>
      <c r="L3251" s="1" t="s">
        <v>1279</v>
      </c>
      <c r="M3251" s="36" t="s">
        <v>1507</v>
      </c>
      <c r="N3251" s="1" t="s">
        <v>1290</v>
      </c>
      <c r="O3251" s="1" t="s">
        <v>1286</v>
      </c>
      <c r="P3251" s="34" t="str">
        <f t="shared" si="64"/>
        <v>F010</v>
      </c>
      <c r="Q3251" s="1" t="s">
        <v>1297</v>
      </c>
      <c r="S3251" s="16">
        <v>20</v>
      </c>
      <c r="T3251" s="1" t="s">
        <v>300</v>
      </c>
      <c r="U3251" s="1" t="s">
        <v>4981</v>
      </c>
      <c r="V3251" s="1" t="s">
        <v>2412</v>
      </c>
      <c r="Y3251" s="1">
        <v>7344</v>
      </c>
      <c r="AB3251" s="1">
        <v>6976.8</v>
      </c>
    </row>
    <row r="3252" spans="2:28" s="34" customFormat="1" x14ac:dyDescent="0.2">
      <c r="B3252" s="34" t="s">
        <v>5824</v>
      </c>
      <c r="C3252" s="36"/>
      <c r="D3252" s="36"/>
      <c r="F3252" s="34" t="s">
        <v>4158</v>
      </c>
      <c r="G3252" s="34" t="s">
        <v>5825</v>
      </c>
      <c r="K3252" s="34" t="s">
        <v>5826</v>
      </c>
      <c r="L3252" s="34" t="s">
        <v>1279</v>
      </c>
      <c r="M3252" s="36" t="s">
        <v>2323</v>
      </c>
      <c r="N3252" s="34" t="s">
        <v>1556</v>
      </c>
      <c r="O3252" s="34" t="s">
        <v>5827</v>
      </c>
      <c r="P3252" s="34" t="str">
        <f t="shared" si="64"/>
        <v>F010</v>
      </c>
      <c r="Q3252" s="34" t="s">
        <v>127</v>
      </c>
      <c r="S3252" s="34">
        <v>20</v>
      </c>
      <c r="T3252" s="34" t="s">
        <v>300</v>
      </c>
      <c r="U3252" s="34" t="s">
        <v>1724</v>
      </c>
      <c r="V3252" s="34" t="s">
        <v>5828</v>
      </c>
      <c r="Y3252" s="34">
        <v>2307.5</v>
      </c>
      <c r="AB3252" s="34">
        <v>1982.5</v>
      </c>
    </row>
    <row r="3253" spans="2:28" x14ac:dyDescent="0.2">
      <c r="B3253" s="1" t="s">
        <v>5824</v>
      </c>
      <c r="C3253" s="36"/>
      <c r="D3253" s="36"/>
      <c r="F3253" s="1" t="s">
        <v>4158</v>
      </c>
      <c r="G3253" s="1" t="s">
        <v>5829</v>
      </c>
      <c r="K3253" s="1" t="s">
        <v>5830</v>
      </c>
      <c r="L3253" s="1" t="s">
        <v>1279</v>
      </c>
      <c r="M3253" s="36" t="s">
        <v>1941</v>
      </c>
      <c r="N3253" s="1" t="s">
        <v>1944</v>
      </c>
      <c r="O3253" s="1" t="s">
        <v>1556</v>
      </c>
      <c r="P3253" s="34" t="str">
        <f t="shared" si="64"/>
        <v>F010</v>
      </c>
      <c r="Q3253" s="1" t="s">
        <v>137</v>
      </c>
      <c r="S3253" s="16">
        <v>20</v>
      </c>
      <c r="T3253" s="1" t="s">
        <v>300</v>
      </c>
      <c r="U3253" s="1" t="s">
        <v>5831</v>
      </c>
      <c r="V3253" s="1" t="s">
        <v>1870</v>
      </c>
      <c r="Y3253" s="1">
        <v>16207.82</v>
      </c>
      <c r="AB3253" s="1">
        <v>15397.43</v>
      </c>
    </row>
    <row r="3254" spans="2:28" x14ac:dyDescent="0.2">
      <c r="B3254" s="1" t="s">
        <v>5824</v>
      </c>
      <c r="C3254" s="36"/>
      <c r="D3254" s="36"/>
      <c r="F3254" s="1" t="s">
        <v>4158</v>
      </c>
      <c r="G3254" s="1" t="s">
        <v>5832</v>
      </c>
      <c r="K3254" s="1" t="s">
        <v>5833</v>
      </c>
      <c r="L3254" s="1" t="s">
        <v>1279</v>
      </c>
      <c r="M3254" s="36" t="s">
        <v>2323</v>
      </c>
      <c r="N3254" s="1" t="s">
        <v>1287</v>
      </c>
      <c r="O3254" s="1" t="s">
        <v>1556</v>
      </c>
      <c r="P3254" s="34" t="str">
        <f t="shared" si="64"/>
        <v>F010</v>
      </c>
      <c r="Q3254" s="1" t="s">
        <v>138</v>
      </c>
      <c r="S3254" s="16">
        <v>20</v>
      </c>
      <c r="T3254" s="1" t="s">
        <v>300</v>
      </c>
      <c r="U3254" s="1" t="s">
        <v>1724</v>
      </c>
      <c r="V3254" s="1" t="s">
        <v>4848</v>
      </c>
      <c r="Y3254" s="1">
        <v>9287.25</v>
      </c>
      <c r="AB3254" s="1">
        <v>8710.4</v>
      </c>
    </row>
    <row r="3255" spans="2:28" x14ac:dyDescent="0.2">
      <c r="B3255" s="1" t="s">
        <v>5824</v>
      </c>
      <c r="C3255" s="36"/>
      <c r="D3255" s="36"/>
      <c r="F3255" s="1" t="s">
        <v>4158</v>
      </c>
      <c r="G3255" s="1" t="s">
        <v>5834</v>
      </c>
      <c r="K3255" s="1" t="s">
        <v>5835</v>
      </c>
      <c r="L3255" s="1" t="s">
        <v>1279</v>
      </c>
      <c r="M3255" s="36" t="s">
        <v>1372</v>
      </c>
      <c r="N3255" s="1" t="s">
        <v>1534</v>
      </c>
      <c r="O3255" s="1" t="s">
        <v>1556</v>
      </c>
      <c r="P3255" s="34" t="str">
        <f t="shared" si="64"/>
        <v>F030</v>
      </c>
      <c r="Q3255" s="1" t="s">
        <v>149</v>
      </c>
      <c r="S3255" s="16">
        <v>20</v>
      </c>
      <c r="T3255" s="1" t="s">
        <v>300</v>
      </c>
      <c r="U3255" s="1" t="s">
        <v>2167</v>
      </c>
      <c r="V3255" s="1" t="s">
        <v>1463</v>
      </c>
      <c r="Y3255" s="1">
        <v>9985.9</v>
      </c>
      <c r="AB3255" s="1">
        <v>9486.6</v>
      </c>
    </row>
    <row r="3256" spans="2:28" x14ac:dyDescent="0.2">
      <c r="B3256" s="1" t="s">
        <v>5824</v>
      </c>
      <c r="C3256" s="36"/>
      <c r="D3256" s="36"/>
      <c r="F3256" s="1" t="s">
        <v>4158</v>
      </c>
      <c r="G3256" s="1" t="s">
        <v>5836</v>
      </c>
      <c r="K3256" s="1" t="s">
        <v>5837</v>
      </c>
      <c r="L3256" s="1" t="s">
        <v>1279</v>
      </c>
      <c r="M3256" s="36" t="s">
        <v>2323</v>
      </c>
      <c r="N3256" s="1" t="s">
        <v>1281</v>
      </c>
      <c r="O3256" s="1" t="s">
        <v>1556</v>
      </c>
      <c r="P3256" s="34" t="str">
        <f t="shared" si="64"/>
        <v>F010</v>
      </c>
      <c r="Q3256" s="1" t="s">
        <v>127</v>
      </c>
      <c r="S3256" s="16">
        <v>20</v>
      </c>
      <c r="T3256" s="1" t="s">
        <v>300</v>
      </c>
      <c r="U3256" s="1" t="s">
        <v>1724</v>
      </c>
      <c r="V3256" s="1" t="s">
        <v>4981</v>
      </c>
      <c r="Y3256" s="1">
        <v>3069.36</v>
      </c>
      <c r="AB3256" s="1">
        <v>2804.76</v>
      </c>
    </row>
    <row r="3257" spans="2:28" x14ac:dyDescent="0.2">
      <c r="B3257" s="1" t="s">
        <v>5824</v>
      </c>
      <c r="C3257" s="36"/>
      <c r="D3257" s="36"/>
      <c r="F3257" s="1" t="s">
        <v>4158</v>
      </c>
      <c r="G3257" s="1" t="s">
        <v>5836</v>
      </c>
      <c r="K3257" s="1" t="s">
        <v>5838</v>
      </c>
      <c r="L3257" s="1" t="s">
        <v>1279</v>
      </c>
      <c r="M3257" s="36" t="s">
        <v>2323</v>
      </c>
      <c r="N3257" s="1" t="s">
        <v>1573</v>
      </c>
      <c r="O3257" s="1" t="s">
        <v>1556</v>
      </c>
      <c r="P3257" s="34" t="str">
        <f t="shared" si="64"/>
        <v>F010</v>
      </c>
      <c r="Q3257" s="1" t="s">
        <v>127</v>
      </c>
      <c r="S3257" s="16">
        <v>20</v>
      </c>
      <c r="T3257" s="1" t="s">
        <v>300</v>
      </c>
      <c r="U3257" s="1" t="s">
        <v>1724</v>
      </c>
      <c r="V3257" s="1" t="s">
        <v>4981</v>
      </c>
      <c r="Y3257" s="1">
        <v>3069.36</v>
      </c>
      <c r="AB3257" s="1">
        <v>2804.76</v>
      </c>
    </row>
    <row r="3258" spans="2:28" x14ac:dyDescent="0.2">
      <c r="B3258" s="1" t="s">
        <v>5824</v>
      </c>
      <c r="C3258" s="36"/>
      <c r="D3258" s="36"/>
      <c r="F3258" s="1" t="s">
        <v>4158</v>
      </c>
      <c r="G3258" s="1" t="s">
        <v>5839</v>
      </c>
      <c r="K3258" s="1" t="s">
        <v>5840</v>
      </c>
      <c r="L3258" s="1" t="s">
        <v>1279</v>
      </c>
      <c r="M3258" s="36" t="s">
        <v>2323</v>
      </c>
      <c r="N3258" s="1" t="s">
        <v>1287</v>
      </c>
      <c r="O3258" s="1" t="s">
        <v>1556</v>
      </c>
      <c r="P3258" s="34" t="str">
        <f t="shared" si="64"/>
        <v>F010</v>
      </c>
      <c r="Q3258" s="1" t="s">
        <v>138</v>
      </c>
      <c r="S3258" s="16">
        <v>20</v>
      </c>
      <c r="T3258" s="1" t="s">
        <v>300</v>
      </c>
      <c r="U3258" s="1" t="s">
        <v>1724</v>
      </c>
      <c r="V3258" s="1" t="s">
        <v>4981</v>
      </c>
      <c r="Y3258" s="1">
        <v>9493.44</v>
      </c>
      <c r="AB3258" s="1">
        <v>8675.0400000000009</v>
      </c>
    </row>
    <row r="3259" spans="2:28" x14ac:dyDescent="0.2">
      <c r="B3259" s="1" t="s">
        <v>5824</v>
      </c>
      <c r="C3259" s="36"/>
      <c r="D3259" s="36"/>
      <c r="F3259" s="1" t="s">
        <v>4158</v>
      </c>
      <c r="G3259" s="1" t="s">
        <v>5841</v>
      </c>
      <c r="K3259" s="1" t="s">
        <v>5842</v>
      </c>
      <c r="L3259" s="1" t="s">
        <v>1279</v>
      </c>
      <c r="M3259" s="36" t="s">
        <v>1557</v>
      </c>
      <c r="N3259" s="1" t="s">
        <v>2543</v>
      </c>
      <c r="O3259" s="1" t="s">
        <v>1556</v>
      </c>
      <c r="P3259" s="34" t="str">
        <f t="shared" si="64"/>
        <v>F010</v>
      </c>
      <c r="Q3259" s="1" t="s">
        <v>137</v>
      </c>
      <c r="S3259" s="16">
        <v>20</v>
      </c>
      <c r="T3259" s="1" t="s">
        <v>300</v>
      </c>
      <c r="U3259" s="1" t="s">
        <v>1436</v>
      </c>
      <c r="V3259" s="1" t="s">
        <v>3495</v>
      </c>
      <c r="Y3259" s="1">
        <v>13949</v>
      </c>
      <c r="AB3259" s="1">
        <v>10601.28</v>
      </c>
    </row>
    <row r="3260" spans="2:28" x14ac:dyDescent="0.2">
      <c r="B3260" s="1" t="s">
        <v>5824</v>
      </c>
      <c r="C3260" s="36"/>
      <c r="D3260" s="36"/>
      <c r="F3260" s="1" t="s">
        <v>4158</v>
      </c>
      <c r="G3260" s="1" t="s">
        <v>5843</v>
      </c>
      <c r="K3260" s="1" t="s">
        <v>5844</v>
      </c>
      <c r="L3260" s="1" t="s">
        <v>1279</v>
      </c>
      <c r="M3260" s="36" t="s">
        <v>1962</v>
      </c>
      <c r="N3260" s="1" t="s">
        <v>1281</v>
      </c>
      <c r="O3260" s="1" t="s">
        <v>1556</v>
      </c>
      <c r="P3260" s="34" t="str">
        <f t="shared" si="64"/>
        <v>F010</v>
      </c>
      <c r="Q3260" s="1" t="s">
        <v>127</v>
      </c>
      <c r="S3260" s="16">
        <v>20</v>
      </c>
      <c r="T3260" s="1" t="s">
        <v>300</v>
      </c>
      <c r="U3260" s="1" t="s">
        <v>1861</v>
      </c>
      <c r="V3260" s="1" t="s">
        <v>1862</v>
      </c>
      <c r="Y3260" s="1">
        <v>2250</v>
      </c>
      <c r="AB3260" s="1">
        <v>2137.5</v>
      </c>
    </row>
    <row r="3261" spans="2:28" s="54" customFormat="1" x14ac:dyDescent="0.2">
      <c r="B3261" s="54" t="s">
        <v>5824</v>
      </c>
      <c r="C3261" s="54" t="s">
        <v>5845</v>
      </c>
      <c r="E3261" s="54" t="s">
        <v>5845</v>
      </c>
      <c r="F3261" s="54" t="s">
        <v>4158</v>
      </c>
      <c r="G3261" s="54" t="s">
        <v>5846</v>
      </c>
      <c r="K3261" s="54" t="s">
        <v>5845</v>
      </c>
      <c r="L3261" s="54" t="s">
        <v>1279</v>
      </c>
      <c r="M3261" s="54" t="s">
        <v>2828</v>
      </c>
      <c r="N3261" s="54" t="s">
        <v>6095</v>
      </c>
      <c r="O3261" s="54" t="s">
        <v>1556</v>
      </c>
      <c r="P3261" s="54" t="str">
        <f t="shared" si="64"/>
        <v/>
      </c>
      <c r="S3261" s="55">
        <v>20</v>
      </c>
      <c r="T3261" s="54" t="s">
        <v>300</v>
      </c>
      <c r="U3261" s="54" t="s">
        <v>1780</v>
      </c>
      <c r="V3261" s="54" t="s">
        <v>1780</v>
      </c>
      <c r="Y3261" s="54">
        <v>4275.8900000000003</v>
      </c>
      <c r="AB3261" s="54">
        <v>4275.8900000000003</v>
      </c>
    </row>
    <row r="3262" spans="2:28" x14ac:dyDescent="0.2">
      <c r="B3262" s="1" t="s">
        <v>5824</v>
      </c>
      <c r="C3262" s="36"/>
      <c r="D3262" s="36"/>
      <c r="F3262" s="1" t="s">
        <v>4158</v>
      </c>
      <c r="G3262" s="1" t="s">
        <v>5847</v>
      </c>
      <c r="K3262" s="1" t="s">
        <v>5848</v>
      </c>
      <c r="L3262" s="1" t="s">
        <v>1279</v>
      </c>
      <c r="M3262" s="36" t="s">
        <v>2323</v>
      </c>
      <c r="N3262" s="1" t="s">
        <v>1288</v>
      </c>
      <c r="O3262" s="1" t="s">
        <v>1556</v>
      </c>
      <c r="P3262" s="34" t="str">
        <f t="shared" si="64"/>
        <v>F010</v>
      </c>
      <c r="Q3262" s="1" t="s">
        <v>1296</v>
      </c>
      <c r="S3262" s="16">
        <v>20</v>
      </c>
      <c r="T3262" s="1" t="s">
        <v>300</v>
      </c>
      <c r="U3262" s="1" t="s">
        <v>1724</v>
      </c>
      <c r="V3262" s="1" t="s">
        <v>1878</v>
      </c>
      <c r="Y3262" s="1">
        <v>2820</v>
      </c>
      <c r="AB3262" s="1">
        <v>2670</v>
      </c>
    </row>
    <row r="3263" spans="2:28" x14ac:dyDescent="0.2">
      <c r="B3263" s="1" t="s">
        <v>5824</v>
      </c>
      <c r="C3263" s="36"/>
      <c r="D3263" s="36"/>
      <c r="F3263" s="1" t="s">
        <v>4158</v>
      </c>
      <c r="G3263" s="1" t="s">
        <v>5849</v>
      </c>
      <c r="K3263" s="1" t="s">
        <v>5850</v>
      </c>
      <c r="L3263" s="1" t="s">
        <v>1279</v>
      </c>
      <c r="M3263" s="36" t="s">
        <v>1818</v>
      </c>
      <c r="N3263" s="1" t="s">
        <v>1281</v>
      </c>
      <c r="O3263" s="1" t="s">
        <v>1556</v>
      </c>
      <c r="P3263" s="34" t="str">
        <f t="shared" si="64"/>
        <v>F010</v>
      </c>
      <c r="Q3263" s="1" t="s">
        <v>127</v>
      </c>
      <c r="S3263" s="16">
        <v>20</v>
      </c>
      <c r="T3263" s="1" t="s">
        <v>300</v>
      </c>
      <c r="U3263" s="1" t="s">
        <v>1929</v>
      </c>
      <c r="V3263" s="1" t="s">
        <v>2203</v>
      </c>
      <c r="Y3263" s="1">
        <v>16480</v>
      </c>
      <c r="AB3263" s="1">
        <v>15656</v>
      </c>
    </row>
    <row r="3264" spans="2:28" x14ac:dyDescent="0.2">
      <c r="B3264" s="1" t="s">
        <v>5824</v>
      </c>
      <c r="C3264" s="36"/>
      <c r="D3264" s="36"/>
      <c r="F3264" s="1" t="s">
        <v>4158</v>
      </c>
      <c r="G3264" s="1" t="s">
        <v>5851</v>
      </c>
      <c r="K3264" s="1" t="s">
        <v>5852</v>
      </c>
      <c r="L3264" s="1" t="s">
        <v>1279</v>
      </c>
      <c r="M3264" s="36" t="s">
        <v>1941</v>
      </c>
      <c r="N3264" s="1" t="s">
        <v>1944</v>
      </c>
      <c r="O3264" s="1" t="s">
        <v>1556</v>
      </c>
      <c r="P3264" s="34" t="str">
        <f t="shared" si="64"/>
        <v>F010</v>
      </c>
      <c r="Q3264" s="1" t="s">
        <v>137</v>
      </c>
      <c r="S3264" s="16">
        <v>20</v>
      </c>
      <c r="T3264" s="1" t="s">
        <v>300</v>
      </c>
      <c r="U3264" s="1" t="s">
        <v>5831</v>
      </c>
      <c r="V3264" s="1" t="s">
        <v>1870</v>
      </c>
      <c r="Y3264" s="1">
        <v>18691.07</v>
      </c>
      <c r="AB3264" s="1">
        <v>17756.52</v>
      </c>
    </row>
    <row r="3265" spans="2:28" x14ac:dyDescent="0.2">
      <c r="B3265" s="1" t="s">
        <v>5824</v>
      </c>
      <c r="C3265" s="36"/>
      <c r="D3265" s="36"/>
      <c r="F3265" s="1" t="s">
        <v>4158</v>
      </c>
      <c r="G3265" s="1" t="s">
        <v>5853</v>
      </c>
      <c r="K3265" s="1" t="s">
        <v>5854</v>
      </c>
      <c r="L3265" s="1" t="s">
        <v>1279</v>
      </c>
      <c r="M3265" s="36" t="s">
        <v>2323</v>
      </c>
      <c r="N3265" s="1" t="s">
        <v>1944</v>
      </c>
      <c r="O3265" s="1" t="s">
        <v>1556</v>
      </c>
      <c r="P3265" s="34" t="str">
        <f t="shared" si="64"/>
        <v>F010</v>
      </c>
      <c r="Q3265" s="1" t="s">
        <v>127</v>
      </c>
      <c r="S3265" s="16">
        <v>20</v>
      </c>
      <c r="T3265" s="1" t="s">
        <v>300</v>
      </c>
      <c r="U3265" s="1" t="s">
        <v>1724</v>
      </c>
      <c r="V3265" s="1" t="s">
        <v>1761</v>
      </c>
      <c r="Y3265" s="1">
        <v>20465.599999999999</v>
      </c>
      <c r="AB3265" s="1">
        <v>19359.349999999999</v>
      </c>
    </row>
    <row r="3266" spans="2:28" x14ac:dyDescent="0.2">
      <c r="B3266" s="1" t="s">
        <v>5824</v>
      </c>
      <c r="C3266" s="36"/>
      <c r="D3266" s="36"/>
      <c r="F3266" s="1" t="s">
        <v>4158</v>
      </c>
      <c r="G3266" s="1" t="s">
        <v>5855</v>
      </c>
      <c r="K3266" s="1" t="s">
        <v>5856</v>
      </c>
      <c r="L3266" s="1" t="s">
        <v>1279</v>
      </c>
      <c r="M3266" s="36" t="s">
        <v>2081</v>
      </c>
      <c r="N3266" s="1" t="s">
        <v>1294</v>
      </c>
      <c r="O3266" s="1" t="s">
        <v>1556</v>
      </c>
      <c r="P3266" s="34" t="str">
        <f t="shared" si="64"/>
        <v>F010</v>
      </c>
      <c r="Q3266" s="1" t="s">
        <v>127</v>
      </c>
      <c r="S3266" s="16">
        <v>20</v>
      </c>
      <c r="T3266" s="1" t="s">
        <v>300</v>
      </c>
      <c r="U3266" s="1" t="s">
        <v>2343</v>
      </c>
      <c r="V3266" s="1" t="s">
        <v>2006</v>
      </c>
      <c r="Y3266" s="1">
        <v>9699</v>
      </c>
      <c r="AB3266" s="1">
        <v>9214.0499999999993</v>
      </c>
    </row>
    <row r="3267" spans="2:28" x14ac:dyDescent="0.2">
      <c r="B3267" s="1" t="s">
        <v>5824</v>
      </c>
      <c r="C3267" s="36"/>
      <c r="D3267" s="36"/>
      <c r="F3267" s="1" t="s">
        <v>4158</v>
      </c>
      <c r="G3267" s="1" t="s">
        <v>5855</v>
      </c>
      <c r="K3267" s="1" t="s">
        <v>5857</v>
      </c>
      <c r="L3267" s="1" t="s">
        <v>1279</v>
      </c>
      <c r="M3267" s="36" t="s">
        <v>2081</v>
      </c>
      <c r="N3267" s="1" t="s">
        <v>1281</v>
      </c>
      <c r="O3267" s="1" t="s">
        <v>1556</v>
      </c>
      <c r="P3267" s="34" t="str">
        <f t="shared" si="64"/>
        <v>F010</v>
      </c>
      <c r="Q3267" s="1" t="s">
        <v>127</v>
      </c>
      <c r="S3267" s="16">
        <v>20</v>
      </c>
      <c r="T3267" s="1" t="s">
        <v>300</v>
      </c>
      <c r="U3267" s="1" t="s">
        <v>2343</v>
      </c>
      <c r="V3267" s="1" t="s">
        <v>2006</v>
      </c>
      <c r="Y3267" s="1">
        <v>9699</v>
      </c>
      <c r="AB3267" s="1">
        <v>9214.0499999999993</v>
      </c>
    </row>
    <row r="3268" spans="2:28" x14ac:dyDescent="0.2">
      <c r="B3268" s="1" t="s">
        <v>5824</v>
      </c>
      <c r="C3268" s="36"/>
      <c r="D3268" s="36"/>
      <c r="F3268" s="1" t="s">
        <v>4158</v>
      </c>
      <c r="G3268" s="1" t="s">
        <v>5858</v>
      </c>
      <c r="K3268" s="1" t="s">
        <v>5859</v>
      </c>
      <c r="L3268" s="1" t="s">
        <v>1279</v>
      </c>
      <c r="M3268" s="36" t="s">
        <v>1451</v>
      </c>
      <c r="N3268" s="1" t="s">
        <v>3226</v>
      </c>
      <c r="O3268" s="1" t="s">
        <v>1556</v>
      </c>
      <c r="P3268" s="34" t="str">
        <f t="shared" si="64"/>
        <v>F010</v>
      </c>
      <c r="Q3268" s="1" t="s">
        <v>137</v>
      </c>
      <c r="S3268" s="16">
        <v>20</v>
      </c>
      <c r="T3268" s="1" t="s">
        <v>300</v>
      </c>
      <c r="U3268" s="1" t="s">
        <v>1345</v>
      </c>
      <c r="V3268" s="1" t="s">
        <v>1654</v>
      </c>
      <c r="Y3268" s="1">
        <v>12250</v>
      </c>
      <c r="AB3268" s="1">
        <v>11637.5</v>
      </c>
    </row>
    <row r="3269" spans="2:28" x14ac:dyDescent="0.2">
      <c r="B3269" s="1" t="s">
        <v>5824</v>
      </c>
      <c r="C3269" s="36"/>
      <c r="D3269" s="36"/>
      <c r="F3269" s="1" t="s">
        <v>4158</v>
      </c>
      <c r="G3269" s="1" t="s">
        <v>5858</v>
      </c>
      <c r="K3269" s="1" t="s">
        <v>5860</v>
      </c>
      <c r="L3269" s="1" t="s">
        <v>1279</v>
      </c>
      <c r="M3269" s="36" t="s">
        <v>1451</v>
      </c>
      <c r="N3269" s="1" t="s">
        <v>3226</v>
      </c>
      <c r="O3269" s="1" t="s">
        <v>1556</v>
      </c>
      <c r="P3269" s="34" t="str">
        <f t="shared" si="64"/>
        <v>F010</v>
      </c>
      <c r="Q3269" s="1" t="s">
        <v>137</v>
      </c>
      <c r="S3269" s="16">
        <v>20</v>
      </c>
      <c r="T3269" s="1" t="s">
        <v>300</v>
      </c>
      <c r="U3269" s="1" t="s">
        <v>1345</v>
      </c>
      <c r="V3269" s="1" t="s">
        <v>1654</v>
      </c>
      <c r="Y3269" s="1">
        <v>12250</v>
      </c>
      <c r="AB3269" s="1">
        <v>11637.5</v>
      </c>
    </row>
    <row r="3270" spans="2:28" x14ac:dyDescent="0.2">
      <c r="B3270" s="1" t="s">
        <v>5824</v>
      </c>
      <c r="C3270" s="36"/>
      <c r="D3270" s="36"/>
      <c r="F3270" s="1" t="s">
        <v>4158</v>
      </c>
      <c r="G3270" s="1" t="s">
        <v>5858</v>
      </c>
      <c r="K3270" s="1" t="s">
        <v>5861</v>
      </c>
      <c r="L3270" s="1" t="s">
        <v>1279</v>
      </c>
      <c r="M3270" s="36" t="s">
        <v>1451</v>
      </c>
      <c r="N3270" s="1" t="s">
        <v>1281</v>
      </c>
      <c r="O3270" s="1" t="s">
        <v>1556</v>
      </c>
      <c r="P3270" s="34" t="str">
        <f t="shared" si="64"/>
        <v>F010</v>
      </c>
      <c r="Q3270" s="1" t="s">
        <v>137</v>
      </c>
      <c r="S3270" s="16">
        <v>20</v>
      </c>
      <c r="T3270" s="1" t="s">
        <v>300</v>
      </c>
      <c r="U3270" s="1" t="s">
        <v>1345</v>
      </c>
      <c r="V3270" s="1" t="s">
        <v>1654</v>
      </c>
      <c r="Y3270" s="1">
        <v>12250</v>
      </c>
      <c r="AB3270" s="1">
        <v>11637.5</v>
      </c>
    </row>
    <row r="3271" spans="2:28" x14ac:dyDescent="0.2">
      <c r="B3271" s="1" t="s">
        <v>5824</v>
      </c>
      <c r="C3271" s="36"/>
      <c r="D3271" s="36"/>
      <c r="F3271" s="1" t="s">
        <v>4158</v>
      </c>
      <c r="G3271" s="1" t="s">
        <v>5858</v>
      </c>
      <c r="K3271" s="1" t="s">
        <v>5862</v>
      </c>
      <c r="L3271" s="1" t="s">
        <v>1279</v>
      </c>
      <c r="M3271" s="36" t="s">
        <v>1451</v>
      </c>
      <c r="N3271" s="1" t="s">
        <v>2925</v>
      </c>
      <c r="O3271" s="1" t="s">
        <v>1556</v>
      </c>
      <c r="P3271" s="34" t="str">
        <f t="shared" si="64"/>
        <v>F010</v>
      </c>
      <c r="Q3271" s="1" t="s">
        <v>137</v>
      </c>
      <c r="S3271" s="16">
        <v>20</v>
      </c>
      <c r="T3271" s="1" t="s">
        <v>300</v>
      </c>
      <c r="U3271" s="1" t="s">
        <v>1345</v>
      </c>
      <c r="V3271" s="1" t="s">
        <v>1654</v>
      </c>
      <c r="Y3271" s="1">
        <v>8199</v>
      </c>
      <c r="AB3271" s="1">
        <v>7789.05</v>
      </c>
    </row>
    <row r="3272" spans="2:28" x14ac:dyDescent="0.2">
      <c r="B3272" s="1" t="s">
        <v>5824</v>
      </c>
      <c r="C3272" s="36"/>
      <c r="D3272" s="36"/>
      <c r="F3272" s="1" t="s">
        <v>4158</v>
      </c>
      <c r="G3272" s="1" t="s">
        <v>5863</v>
      </c>
      <c r="K3272" s="1" t="s">
        <v>5864</v>
      </c>
      <c r="L3272" s="1" t="s">
        <v>1279</v>
      </c>
      <c r="M3272" s="36" t="s">
        <v>2323</v>
      </c>
      <c r="N3272" s="1" t="s">
        <v>1288</v>
      </c>
      <c r="O3272" s="1" t="s">
        <v>1556</v>
      </c>
      <c r="P3272" s="34" t="str">
        <f t="shared" si="64"/>
        <v>F010</v>
      </c>
      <c r="Q3272" s="1" t="s">
        <v>1296</v>
      </c>
      <c r="S3272" s="16">
        <v>20</v>
      </c>
      <c r="T3272" s="1" t="s">
        <v>300</v>
      </c>
      <c r="U3272" s="1" t="s">
        <v>1724</v>
      </c>
      <c r="V3272" s="1" t="s">
        <v>1878</v>
      </c>
      <c r="Y3272" s="1">
        <v>2653.6</v>
      </c>
      <c r="AB3272" s="1">
        <v>2512.4499999999998</v>
      </c>
    </row>
    <row r="3273" spans="2:28" x14ac:dyDescent="0.2">
      <c r="B3273" s="1" t="s">
        <v>5824</v>
      </c>
      <c r="C3273" s="36"/>
      <c r="D3273" s="36"/>
      <c r="F3273" s="1" t="s">
        <v>4158</v>
      </c>
      <c r="G3273" s="1" t="s">
        <v>5865</v>
      </c>
      <c r="K3273" s="1" t="s">
        <v>5866</v>
      </c>
      <c r="L3273" s="1" t="s">
        <v>1279</v>
      </c>
      <c r="M3273" s="36" t="s">
        <v>1456</v>
      </c>
      <c r="N3273" s="1" t="s">
        <v>3242</v>
      </c>
      <c r="O3273" s="1" t="s">
        <v>1556</v>
      </c>
      <c r="P3273" s="34" t="str">
        <f t="shared" si="64"/>
        <v>F010</v>
      </c>
      <c r="Q3273" s="1" t="s">
        <v>137</v>
      </c>
      <c r="S3273" s="16">
        <v>20</v>
      </c>
      <c r="T3273" s="1" t="s">
        <v>300</v>
      </c>
      <c r="U3273" s="1" t="s">
        <v>1870</v>
      </c>
      <c r="V3273" s="1" t="s">
        <v>1871</v>
      </c>
      <c r="Y3273" s="1">
        <v>3000</v>
      </c>
      <c r="AB3273" s="1">
        <v>2850</v>
      </c>
    </row>
    <row r="3274" spans="2:28" x14ac:dyDescent="0.2">
      <c r="B3274" s="1" t="s">
        <v>5824</v>
      </c>
      <c r="C3274" s="36"/>
      <c r="D3274" s="36"/>
      <c r="F3274" s="1" t="s">
        <v>4158</v>
      </c>
      <c r="G3274" s="1" t="s">
        <v>5867</v>
      </c>
      <c r="K3274" s="1" t="s">
        <v>5868</v>
      </c>
      <c r="L3274" s="1" t="s">
        <v>1279</v>
      </c>
      <c r="M3274" s="36" t="s">
        <v>4848</v>
      </c>
      <c r="N3274" s="1" t="s">
        <v>1285</v>
      </c>
      <c r="O3274" s="1" t="s">
        <v>1556</v>
      </c>
      <c r="P3274" s="34" t="str">
        <f t="shared" si="64"/>
        <v>F010</v>
      </c>
      <c r="Q3274" s="1" t="s">
        <v>127</v>
      </c>
      <c r="S3274" s="16">
        <v>20</v>
      </c>
      <c r="T3274" s="1" t="s">
        <v>300</v>
      </c>
      <c r="U3274" s="1" t="s">
        <v>1854</v>
      </c>
      <c r="V3274" s="1" t="s">
        <v>1325</v>
      </c>
      <c r="Y3274" s="1">
        <v>2800</v>
      </c>
      <c r="AB3274" s="1">
        <v>2660</v>
      </c>
    </row>
    <row r="3275" spans="2:28" x14ac:dyDescent="0.2">
      <c r="B3275" s="1" t="s">
        <v>5824</v>
      </c>
      <c r="C3275" s="36"/>
      <c r="D3275" s="36"/>
      <c r="F3275" s="1" t="s">
        <v>4158</v>
      </c>
      <c r="G3275" s="1" t="s">
        <v>5869</v>
      </c>
      <c r="K3275" s="1" t="s">
        <v>5870</v>
      </c>
      <c r="L3275" s="1" t="s">
        <v>1279</v>
      </c>
      <c r="M3275" s="36" t="s">
        <v>1737</v>
      </c>
      <c r="N3275" s="1" t="s">
        <v>1294</v>
      </c>
      <c r="O3275" s="1" t="s">
        <v>1556</v>
      </c>
      <c r="P3275" s="34" t="str">
        <f t="shared" si="64"/>
        <v>F010</v>
      </c>
      <c r="Q3275" s="1" t="s">
        <v>127</v>
      </c>
      <c r="S3275" s="16">
        <v>20</v>
      </c>
      <c r="T3275" s="1" t="s">
        <v>300</v>
      </c>
      <c r="U3275" s="1" t="s">
        <v>1976</v>
      </c>
      <c r="V3275" s="1" t="s">
        <v>1977</v>
      </c>
      <c r="Y3275" s="1">
        <v>6054.75</v>
      </c>
      <c r="AB3275" s="1">
        <v>5752.01</v>
      </c>
    </row>
    <row r="3276" spans="2:28" x14ac:dyDescent="0.2">
      <c r="B3276" s="1" t="s">
        <v>5824</v>
      </c>
      <c r="C3276" s="36"/>
      <c r="D3276" s="36"/>
      <c r="F3276" s="1" t="s">
        <v>4158</v>
      </c>
      <c r="G3276" s="1" t="s">
        <v>5871</v>
      </c>
      <c r="K3276" s="1" t="s">
        <v>5872</v>
      </c>
      <c r="L3276" s="1" t="s">
        <v>1279</v>
      </c>
      <c r="M3276" s="36" t="s">
        <v>1476</v>
      </c>
      <c r="N3276" s="1" t="s">
        <v>1294</v>
      </c>
      <c r="O3276" s="1" t="s">
        <v>1556</v>
      </c>
      <c r="P3276" s="34" t="str">
        <f t="shared" si="64"/>
        <v>F010</v>
      </c>
      <c r="Q3276" s="1" t="s">
        <v>127</v>
      </c>
      <c r="S3276" s="16">
        <v>20</v>
      </c>
      <c r="T3276" s="1" t="s">
        <v>300</v>
      </c>
      <c r="U3276" s="1" t="s">
        <v>1330</v>
      </c>
      <c r="V3276" s="1" t="s">
        <v>1589</v>
      </c>
      <c r="Y3276" s="1">
        <v>9699</v>
      </c>
      <c r="AB3276" s="1">
        <v>767.85</v>
      </c>
    </row>
    <row r="3277" spans="2:28" x14ac:dyDescent="0.2">
      <c r="B3277" s="1" t="s">
        <v>5824</v>
      </c>
      <c r="C3277" s="36"/>
      <c r="D3277" s="36"/>
      <c r="F3277" s="1" t="s">
        <v>4158</v>
      </c>
      <c r="G3277" s="1" t="s">
        <v>5873</v>
      </c>
      <c r="K3277" s="1" t="s">
        <v>5874</v>
      </c>
      <c r="L3277" s="1" t="s">
        <v>1279</v>
      </c>
      <c r="M3277" s="36" t="s">
        <v>2203</v>
      </c>
      <c r="N3277" s="1" t="s">
        <v>1294</v>
      </c>
      <c r="O3277" s="1" t="s">
        <v>1556</v>
      </c>
      <c r="P3277" s="34" t="str">
        <f t="shared" si="64"/>
        <v>F010</v>
      </c>
      <c r="Q3277" s="1" t="s">
        <v>127</v>
      </c>
      <c r="S3277" s="16">
        <v>20</v>
      </c>
      <c r="T3277" s="1" t="s">
        <v>300</v>
      </c>
      <c r="U3277" s="1" t="s">
        <v>2037</v>
      </c>
      <c r="V3277" s="1" t="s">
        <v>2502</v>
      </c>
      <c r="Y3277" s="1">
        <v>24290</v>
      </c>
      <c r="AB3277" s="1">
        <v>23075.5</v>
      </c>
    </row>
    <row r="3278" spans="2:28" x14ac:dyDescent="0.2">
      <c r="B3278" s="1" t="s">
        <v>5824</v>
      </c>
      <c r="C3278" s="36"/>
      <c r="D3278" s="36"/>
      <c r="F3278" s="1" t="s">
        <v>4158</v>
      </c>
      <c r="G3278" s="1" t="s">
        <v>5875</v>
      </c>
      <c r="K3278" s="1" t="s">
        <v>5876</v>
      </c>
      <c r="L3278" s="1" t="s">
        <v>1279</v>
      </c>
      <c r="M3278" s="36" t="s">
        <v>1922</v>
      </c>
      <c r="N3278" s="1" t="s">
        <v>3226</v>
      </c>
      <c r="O3278" s="1" t="s">
        <v>1556</v>
      </c>
      <c r="P3278" s="34" t="str">
        <f t="shared" si="64"/>
        <v>F010</v>
      </c>
      <c r="Q3278" s="1" t="s">
        <v>129</v>
      </c>
      <c r="S3278" s="16">
        <v>20</v>
      </c>
      <c r="T3278" s="1" t="s">
        <v>300</v>
      </c>
      <c r="U3278" s="1" t="s">
        <v>1456</v>
      </c>
      <c r="V3278" s="1" t="s">
        <v>1900</v>
      </c>
      <c r="Y3278" s="1">
        <v>11480</v>
      </c>
      <c r="AB3278" s="1">
        <v>10906</v>
      </c>
    </row>
    <row r="3279" spans="2:28" x14ac:dyDescent="0.2">
      <c r="B3279" s="1" t="s">
        <v>5824</v>
      </c>
      <c r="C3279" s="36"/>
      <c r="D3279" s="36"/>
      <c r="F3279" s="1" t="s">
        <v>4158</v>
      </c>
      <c r="G3279" s="1" t="s">
        <v>5877</v>
      </c>
      <c r="K3279" s="1" t="s">
        <v>5878</v>
      </c>
      <c r="L3279" s="1" t="s">
        <v>1279</v>
      </c>
      <c r="M3279" s="36" t="s">
        <v>5112</v>
      </c>
      <c r="N3279" s="1" t="s">
        <v>1288</v>
      </c>
      <c r="O3279" s="1" t="s">
        <v>1556</v>
      </c>
      <c r="P3279" s="34" t="str">
        <f t="shared" si="64"/>
        <v>F010</v>
      </c>
      <c r="Q3279" s="1" t="s">
        <v>1296</v>
      </c>
      <c r="S3279" s="16">
        <v>20</v>
      </c>
      <c r="T3279" s="1" t="s">
        <v>300</v>
      </c>
      <c r="U3279" s="1" t="s">
        <v>5879</v>
      </c>
      <c r="V3279" s="1" t="s">
        <v>2393</v>
      </c>
      <c r="Y3279" s="1">
        <v>6000</v>
      </c>
      <c r="AB3279" s="1">
        <v>5700</v>
      </c>
    </row>
    <row r="3280" spans="2:28" x14ac:dyDescent="0.2">
      <c r="B3280" s="1" t="s">
        <v>5824</v>
      </c>
      <c r="C3280" s="36"/>
      <c r="D3280" s="36"/>
      <c r="F3280" s="1" t="s">
        <v>4158</v>
      </c>
      <c r="G3280" s="1" t="s">
        <v>5880</v>
      </c>
      <c r="K3280" s="1" t="s">
        <v>5881</v>
      </c>
      <c r="L3280" s="1" t="s">
        <v>1279</v>
      </c>
      <c r="M3280" s="36" t="s">
        <v>1994</v>
      </c>
      <c r="N3280" s="1" t="s">
        <v>3226</v>
      </c>
      <c r="O3280" s="1" t="s">
        <v>1556</v>
      </c>
      <c r="P3280" s="34" t="str">
        <f t="shared" si="64"/>
        <v>F010</v>
      </c>
      <c r="Q3280" s="1" t="s">
        <v>137</v>
      </c>
      <c r="S3280" s="16">
        <v>20</v>
      </c>
      <c r="T3280" s="1" t="s">
        <v>300</v>
      </c>
      <c r="U3280" s="1" t="s">
        <v>1691</v>
      </c>
      <c r="V3280" s="1" t="s">
        <v>1541</v>
      </c>
      <c r="Y3280" s="1">
        <v>10100</v>
      </c>
      <c r="AB3280" s="1">
        <v>9595</v>
      </c>
    </row>
    <row r="3281" spans="2:28" x14ac:dyDescent="0.2">
      <c r="B3281" s="1" t="s">
        <v>5824</v>
      </c>
      <c r="C3281" s="36"/>
      <c r="D3281" s="36"/>
      <c r="F3281" s="1" t="s">
        <v>4158</v>
      </c>
      <c r="G3281" s="1" t="s">
        <v>5882</v>
      </c>
      <c r="K3281" s="1" t="s">
        <v>5883</v>
      </c>
      <c r="L3281" s="1" t="s">
        <v>1279</v>
      </c>
      <c r="M3281" s="36" t="s">
        <v>1817</v>
      </c>
      <c r="N3281" s="1" t="s">
        <v>3092</v>
      </c>
      <c r="O3281" s="1" t="s">
        <v>1556</v>
      </c>
      <c r="P3281" s="34" t="str">
        <f t="shared" si="64"/>
        <v>F010</v>
      </c>
      <c r="Q3281" s="1" t="s">
        <v>127</v>
      </c>
      <c r="S3281" s="16">
        <v>20</v>
      </c>
      <c r="T3281" s="1" t="s">
        <v>300</v>
      </c>
      <c r="U3281" s="1" t="s">
        <v>1928</v>
      </c>
      <c r="V3281" s="1" t="s">
        <v>1929</v>
      </c>
      <c r="Y3281" s="1">
        <v>2755.2</v>
      </c>
      <c r="AB3281" s="1">
        <v>2617.44</v>
      </c>
    </row>
    <row r="3282" spans="2:28" x14ac:dyDescent="0.2">
      <c r="B3282" s="1" t="s">
        <v>5824</v>
      </c>
      <c r="C3282" s="36"/>
      <c r="D3282" s="36"/>
      <c r="F3282" s="1" t="s">
        <v>4158</v>
      </c>
      <c r="G3282" s="1" t="s">
        <v>5884</v>
      </c>
      <c r="K3282" s="1" t="s">
        <v>5885</v>
      </c>
      <c r="L3282" s="1" t="s">
        <v>1279</v>
      </c>
      <c r="M3282" s="36" t="s">
        <v>5886</v>
      </c>
      <c r="N3282" s="1" t="s">
        <v>3337</v>
      </c>
      <c r="O3282" s="1" t="s">
        <v>1556</v>
      </c>
      <c r="P3282" s="34" t="str">
        <f t="shared" si="64"/>
        <v>F010</v>
      </c>
      <c r="Q3282" s="1" t="s">
        <v>127</v>
      </c>
      <c r="S3282" s="16">
        <v>20</v>
      </c>
      <c r="T3282" s="1" t="s">
        <v>300</v>
      </c>
      <c r="U3282" s="1" t="s">
        <v>5887</v>
      </c>
      <c r="V3282" s="1" t="s">
        <v>4422</v>
      </c>
      <c r="Y3282" s="1">
        <v>2755.2</v>
      </c>
      <c r="AB3282" s="1">
        <v>2617.44</v>
      </c>
    </row>
    <row r="3283" spans="2:28" x14ac:dyDescent="0.2">
      <c r="B3283" s="1" t="s">
        <v>5824</v>
      </c>
      <c r="C3283" s="36"/>
      <c r="D3283" s="36"/>
      <c r="F3283" s="1" t="s">
        <v>4158</v>
      </c>
      <c r="G3283" s="1" t="s">
        <v>5884</v>
      </c>
      <c r="K3283" s="1" t="s">
        <v>5888</v>
      </c>
      <c r="L3283" s="1" t="s">
        <v>1279</v>
      </c>
      <c r="M3283" s="36" t="s">
        <v>5886</v>
      </c>
      <c r="N3283" s="1" t="s">
        <v>3092</v>
      </c>
      <c r="O3283" s="1" t="s">
        <v>1556</v>
      </c>
      <c r="P3283" s="34" t="str">
        <f t="shared" si="64"/>
        <v>F010</v>
      </c>
      <c r="Q3283" s="1" t="s">
        <v>127</v>
      </c>
      <c r="S3283" s="16">
        <v>20</v>
      </c>
      <c r="T3283" s="1" t="s">
        <v>300</v>
      </c>
      <c r="U3283" s="1" t="s">
        <v>5887</v>
      </c>
      <c r="V3283" s="1" t="s">
        <v>4422</v>
      </c>
      <c r="Y3283" s="1">
        <v>2755.2</v>
      </c>
      <c r="AB3283" s="1">
        <v>2617.44</v>
      </c>
    </row>
    <row r="3284" spans="2:28" x14ac:dyDescent="0.2">
      <c r="B3284" s="1" t="s">
        <v>5824</v>
      </c>
      <c r="C3284" s="36"/>
      <c r="D3284" s="36"/>
      <c r="F3284" s="1" t="s">
        <v>4158</v>
      </c>
      <c r="G3284" s="1" t="s">
        <v>5884</v>
      </c>
      <c r="K3284" s="1" t="s">
        <v>5889</v>
      </c>
      <c r="L3284" s="1" t="s">
        <v>1279</v>
      </c>
      <c r="M3284" s="36" t="s">
        <v>5886</v>
      </c>
      <c r="N3284" s="1" t="s">
        <v>3092</v>
      </c>
      <c r="O3284" s="1" t="s">
        <v>1556</v>
      </c>
      <c r="P3284" s="34" t="str">
        <f t="shared" si="64"/>
        <v>F010</v>
      </c>
      <c r="Q3284" s="1" t="s">
        <v>127</v>
      </c>
      <c r="S3284" s="16">
        <v>20</v>
      </c>
      <c r="T3284" s="1" t="s">
        <v>300</v>
      </c>
      <c r="U3284" s="1" t="s">
        <v>5887</v>
      </c>
      <c r="V3284" s="1" t="s">
        <v>4422</v>
      </c>
      <c r="Y3284" s="1">
        <v>2755.2</v>
      </c>
      <c r="AB3284" s="1">
        <v>2617.44</v>
      </c>
    </row>
    <row r="3285" spans="2:28" x14ac:dyDescent="0.2">
      <c r="B3285" s="1" t="s">
        <v>5824</v>
      </c>
      <c r="C3285" s="36"/>
      <c r="D3285" s="36"/>
      <c r="F3285" s="1" t="s">
        <v>4158</v>
      </c>
      <c r="G3285" s="1" t="s">
        <v>5884</v>
      </c>
      <c r="K3285" s="1" t="s">
        <v>5890</v>
      </c>
      <c r="L3285" s="1" t="s">
        <v>1279</v>
      </c>
      <c r="M3285" s="36" t="s">
        <v>5886</v>
      </c>
      <c r="N3285" s="1" t="s">
        <v>3092</v>
      </c>
      <c r="O3285" s="1" t="s">
        <v>1556</v>
      </c>
      <c r="P3285" s="34" t="str">
        <f t="shared" si="64"/>
        <v>F010</v>
      </c>
      <c r="Q3285" s="1" t="s">
        <v>127</v>
      </c>
      <c r="S3285" s="16">
        <v>20</v>
      </c>
      <c r="T3285" s="1" t="s">
        <v>300</v>
      </c>
      <c r="U3285" s="1" t="s">
        <v>5887</v>
      </c>
      <c r="V3285" s="1" t="s">
        <v>4422</v>
      </c>
      <c r="Y3285" s="1">
        <v>2755.2</v>
      </c>
      <c r="AB3285" s="1">
        <v>2617.44</v>
      </c>
    </row>
    <row r="3286" spans="2:28" x14ac:dyDescent="0.2">
      <c r="B3286" s="1" t="s">
        <v>5824</v>
      </c>
      <c r="C3286" s="36"/>
      <c r="D3286" s="36"/>
      <c r="F3286" s="1" t="s">
        <v>4158</v>
      </c>
      <c r="G3286" s="1" t="s">
        <v>5884</v>
      </c>
      <c r="K3286" s="1" t="s">
        <v>5891</v>
      </c>
      <c r="L3286" s="1" t="s">
        <v>1279</v>
      </c>
      <c r="M3286" s="36" t="s">
        <v>5886</v>
      </c>
      <c r="N3286" s="1" t="s">
        <v>3092</v>
      </c>
      <c r="O3286" s="1" t="s">
        <v>1556</v>
      </c>
      <c r="P3286" s="34" t="str">
        <f t="shared" si="64"/>
        <v>F010</v>
      </c>
      <c r="Q3286" s="1" t="s">
        <v>127</v>
      </c>
      <c r="S3286" s="16">
        <v>20</v>
      </c>
      <c r="T3286" s="1" t="s">
        <v>300</v>
      </c>
      <c r="U3286" s="1" t="s">
        <v>5887</v>
      </c>
      <c r="V3286" s="1" t="s">
        <v>4422</v>
      </c>
      <c r="Y3286" s="1">
        <v>2755.2</v>
      </c>
      <c r="AB3286" s="1">
        <v>2617.44</v>
      </c>
    </row>
    <row r="3287" spans="2:28" x14ac:dyDescent="0.2">
      <c r="B3287" s="1" t="s">
        <v>5824</v>
      </c>
      <c r="C3287" s="36"/>
      <c r="D3287" s="36"/>
      <c r="F3287" s="1" t="s">
        <v>4158</v>
      </c>
      <c r="G3287" s="1" t="s">
        <v>5884</v>
      </c>
      <c r="K3287" s="1" t="s">
        <v>5892</v>
      </c>
      <c r="L3287" s="1" t="s">
        <v>1279</v>
      </c>
      <c r="M3287" s="36" t="s">
        <v>5886</v>
      </c>
      <c r="N3287" s="1" t="s">
        <v>3092</v>
      </c>
      <c r="O3287" s="1" t="s">
        <v>1556</v>
      </c>
      <c r="P3287" s="34" t="str">
        <f t="shared" si="64"/>
        <v>F010</v>
      </c>
      <c r="Q3287" s="1" t="s">
        <v>127</v>
      </c>
      <c r="S3287" s="16">
        <v>20</v>
      </c>
      <c r="T3287" s="1" t="s">
        <v>300</v>
      </c>
      <c r="U3287" s="1" t="s">
        <v>5887</v>
      </c>
      <c r="V3287" s="1" t="s">
        <v>4422</v>
      </c>
      <c r="Y3287" s="1">
        <v>2755.2</v>
      </c>
      <c r="AB3287" s="1">
        <v>2617.44</v>
      </c>
    </row>
    <row r="3288" spans="2:28" x14ac:dyDescent="0.2">
      <c r="B3288" s="1" t="s">
        <v>5824</v>
      </c>
      <c r="C3288" s="36"/>
      <c r="D3288" s="36"/>
      <c r="F3288" s="1" t="s">
        <v>4158</v>
      </c>
      <c r="G3288" s="1" t="s">
        <v>5893</v>
      </c>
      <c r="K3288" s="1" t="s">
        <v>5894</v>
      </c>
      <c r="L3288" s="1" t="s">
        <v>1279</v>
      </c>
      <c r="M3288" s="36" t="s">
        <v>1510</v>
      </c>
      <c r="N3288" s="1" t="s">
        <v>1294</v>
      </c>
      <c r="O3288" s="1" t="s">
        <v>1556</v>
      </c>
      <c r="P3288" s="34" t="str">
        <f t="shared" si="64"/>
        <v>F010</v>
      </c>
      <c r="Q3288" s="1" t="s">
        <v>127</v>
      </c>
      <c r="S3288" s="16">
        <v>20</v>
      </c>
      <c r="T3288" s="1" t="s">
        <v>300</v>
      </c>
      <c r="U3288" s="1" t="s">
        <v>1413</v>
      </c>
      <c r="V3288" s="1" t="s">
        <v>1634</v>
      </c>
      <c r="Y3288" s="1">
        <v>13500</v>
      </c>
      <c r="AB3288" s="1">
        <v>8977.5</v>
      </c>
    </row>
    <row r="3289" spans="2:28" x14ac:dyDescent="0.2">
      <c r="B3289" s="1" t="s">
        <v>5824</v>
      </c>
      <c r="C3289" s="36"/>
      <c r="D3289" s="36"/>
      <c r="F3289" s="1" t="s">
        <v>4158</v>
      </c>
      <c r="G3289" s="1" t="s">
        <v>5895</v>
      </c>
      <c r="K3289" s="1" t="s">
        <v>5896</v>
      </c>
      <c r="L3289" s="1" t="s">
        <v>1279</v>
      </c>
      <c r="M3289" s="36" t="s">
        <v>1737</v>
      </c>
      <c r="N3289" s="1" t="s">
        <v>1288</v>
      </c>
      <c r="O3289" s="1" t="s">
        <v>1556</v>
      </c>
      <c r="P3289" s="34" t="str">
        <f t="shared" si="64"/>
        <v>F010</v>
      </c>
      <c r="Q3289" s="1" t="s">
        <v>1296</v>
      </c>
      <c r="S3289" s="16">
        <v>20</v>
      </c>
      <c r="T3289" s="1" t="s">
        <v>300</v>
      </c>
      <c r="U3289" s="1" t="s">
        <v>1976</v>
      </c>
      <c r="V3289" s="1" t="s">
        <v>1977</v>
      </c>
      <c r="Y3289" s="1">
        <v>13800</v>
      </c>
      <c r="AB3289" s="1">
        <v>13110</v>
      </c>
    </row>
    <row r="3290" spans="2:28" x14ac:dyDescent="0.2">
      <c r="B3290" s="1" t="s">
        <v>5824</v>
      </c>
      <c r="C3290" s="36"/>
      <c r="D3290" s="36"/>
      <c r="F3290" s="1" t="s">
        <v>4158</v>
      </c>
      <c r="G3290" s="1" t="s">
        <v>5897</v>
      </c>
      <c r="K3290" s="1" t="s">
        <v>5898</v>
      </c>
      <c r="L3290" s="1" t="s">
        <v>1279</v>
      </c>
      <c r="M3290" s="36" t="s">
        <v>1962</v>
      </c>
      <c r="N3290" s="1" t="s">
        <v>1288</v>
      </c>
      <c r="O3290" s="1" t="s">
        <v>1556</v>
      </c>
      <c r="P3290" s="34" t="str">
        <f t="shared" si="64"/>
        <v>F010</v>
      </c>
      <c r="Q3290" s="1" t="s">
        <v>1296</v>
      </c>
      <c r="S3290" s="16">
        <v>20</v>
      </c>
      <c r="T3290" s="1" t="s">
        <v>300</v>
      </c>
      <c r="U3290" s="1" t="s">
        <v>1861</v>
      </c>
      <c r="V3290" s="1" t="s">
        <v>1862</v>
      </c>
      <c r="Y3290" s="1">
        <v>2540</v>
      </c>
      <c r="AB3290" s="1">
        <v>2413</v>
      </c>
    </row>
    <row r="3291" spans="2:28" x14ac:dyDescent="0.2">
      <c r="B3291" s="1" t="s">
        <v>5824</v>
      </c>
      <c r="C3291" s="36"/>
      <c r="D3291" s="36"/>
      <c r="F3291" s="1" t="s">
        <v>4158</v>
      </c>
      <c r="G3291" s="1" t="s">
        <v>5899</v>
      </c>
      <c r="K3291" s="1" t="s">
        <v>5900</v>
      </c>
      <c r="L3291" s="1" t="s">
        <v>1279</v>
      </c>
      <c r="M3291" s="36" t="s">
        <v>5367</v>
      </c>
      <c r="N3291" s="1" t="s">
        <v>1288</v>
      </c>
      <c r="O3291" s="1" t="s">
        <v>1556</v>
      </c>
      <c r="P3291" s="34" t="str">
        <f t="shared" si="64"/>
        <v>F010</v>
      </c>
      <c r="Q3291" s="1" t="s">
        <v>1296</v>
      </c>
      <c r="S3291" s="16">
        <v>20</v>
      </c>
      <c r="T3291" s="1" t="s">
        <v>300</v>
      </c>
      <c r="U3291" s="1" t="s">
        <v>1912</v>
      </c>
      <c r="V3291" s="1" t="s">
        <v>1913</v>
      </c>
      <c r="Y3291" s="1">
        <v>4200</v>
      </c>
      <c r="AB3291" s="1">
        <v>3990</v>
      </c>
    </row>
    <row r="3292" spans="2:28" x14ac:dyDescent="0.2">
      <c r="B3292" s="1" t="s">
        <v>5824</v>
      </c>
      <c r="C3292" s="36"/>
      <c r="D3292" s="36"/>
      <c r="F3292" s="1" t="s">
        <v>4158</v>
      </c>
      <c r="G3292" s="1" t="s">
        <v>5901</v>
      </c>
      <c r="K3292" s="1" t="s">
        <v>5902</v>
      </c>
      <c r="L3292" s="1" t="s">
        <v>1279</v>
      </c>
      <c r="M3292" s="36" t="s">
        <v>3937</v>
      </c>
      <c r="N3292" s="1" t="s">
        <v>1288</v>
      </c>
      <c r="O3292" s="1" t="s">
        <v>1556</v>
      </c>
      <c r="P3292" s="34" t="str">
        <f t="shared" si="64"/>
        <v>F010</v>
      </c>
      <c r="Q3292" s="1" t="s">
        <v>1296</v>
      </c>
      <c r="S3292" s="16">
        <v>20</v>
      </c>
      <c r="T3292" s="1" t="s">
        <v>300</v>
      </c>
      <c r="U3292" s="1" t="s">
        <v>1507</v>
      </c>
      <c r="V3292" s="1" t="s">
        <v>1508</v>
      </c>
      <c r="Y3292" s="1">
        <v>15685.71</v>
      </c>
      <c r="AB3292" s="1">
        <v>14901.42</v>
      </c>
    </row>
    <row r="3293" spans="2:28" x14ac:dyDescent="0.2">
      <c r="B3293" s="1" t="s">
        <v>5824</v>
      </c>
      <c r="C3293" s="36"/>
      <c r="D3293" s="36"/>
      <c r="F3293" s="1" t="s">
        <v>4158</v>
      </c>
      <c r="G3293" s="1" t="s">
        <v>5901</v>
      </c>
      <c r="K3293" s="1" t="s">
        <v>5903</v>
      </c>
      <c r="L3293" s="1" t="s">
        <v>1279</v>
      </c>
      <c r="M3293" s="36" t="s">
        <v>3937</v>
      </c>
      <c r="N3293" s="1" t="s">
        <v>1288</v>
      </c>
      <c r="O3293" s="1" t="s">
        <v>1556</v>
      </c>
      <c r="P3293" s="34" t="str">
        <f t="shared" si="64"/>
        <v>F010</v>
      </c>
      <c r="Q3293" s="1" t="s">
        <v>1296</v>
      </c>
      <c r="S3293" s="16">
        <v>20</v>
      </c>
      <c r="T3293" s="1" t="s">
        <v>300</v>
      </c>
      <c r="U3293" s="1" t="s">
        <v>1507</v>
      </c>
      <c r="V3293" s="1" t="s">
        <v>1508</v>
      </c>
      <c r="Y3293" s="1">
        <v>15685.74</v>
      </c>
      <c r="AB3293" s="1">
        <v>14901.45</v>
      </c>
    </row>
    <row r="3294" spans="2:28" x14ac:dyDescent="0.2">
      <c r="B3294" s="1" t="s">
        <v>5824</v>
      </c>
      <c r="C3294" s="36"/>
      <c r="D3294" s="36"/>
      <c r="F3294" s="1" t="s">
        <v>4158</v>
      </c>
      <c r="G3294" s="1" t="s">
        <v>5904</v>
      </c>
      <c r="K3294" s="1" t="s">
        <v>5905</v>
      </c>
      <c r="L3294" s="1" t="s">
        <v>1279</v>
      </c>
      <c r="M3294" s="36" t="s">
        <v>2014</v>
      </c>
      <c r="N3294" s="1" t="s">
        <v>1285</v>
      </c>
      <c r="O3294" s="1" t="s">
        <v>1556</v>
      </c>
      <c r="P3294" s="34" t="str">
        <f t="shared" si="64"/>
        <v>F010</v>
      </c>
      <c r="Q3294" s="1" t="s">
        <v>137</v>
      </c>
      <c r="S3294" s="16">
        <v>20</v>
      </c>
      <c r="T3294" s="1" t="s">
        <v>300</v>
      </c>
      <c r="U3294" s="1" t="s">
        <v>1334</v>
      </c>
      <c r="V3294" s="1" t="s">
        <v>1987</v>
      </c>
      <c r="Y3294" s="1">
        <v>8500</v>
      </c>
      <c r="AB3294" s="1">
        <v>2960.79</v>
      </c>
    </row>
    <row r="3295" spans="2:28" x14ac:dyDescent="0.2">
      <c r="B3295" s="1" t="s">
        <v>5824</v>
      </c>
      <c r="C3295" s="36"/>
      <c r="D3295" s="36"/>
      <c r="F3295" s="1" t="s">
        <v>4158</v>
      </c>
      <c r="G3295" s="1" t="s">
        <v>5904</v>
      </c>
      <c r="K3295" s="1" t="s">
        <v>5906</v>
      </c>
      <c r="L3295" s="1" t="s">
        <v>1279</v>
      </c>
      <c r="M3295" s="36" t="s">
        <v>2014</v>
      </c>
      <c r="N3295" s="1" t="s">
        <v>1285</v>
      </c>
      <c r="O3295" s="1" t="s">
        <v>1556</v>
      </c>
      <c r="P3295" s="34" t="str">
        <f t="shared" si="64"/>
        <v>F010</v>
      </c>
      <c r="Q3295" s="1" t="s">
        <v>137</v>
      </c>
      <c r="S3295" s="16">
        <v>20</v>
      </c>
      <c r="T3295" s="1" t="s">
        <v>300</v>
      </c>
      <c r="U3295" s="1" t="s">
        <v>1334</v>
      </c>
      <c r="V3295" s="1" t="s">
        <v>1987</v>
      </c>
      <c r="Y3295" s="1">
        <v>8500</v>
      </c>
      <c r="AB3295" s="1">
        <v>2960.79</v>
      </c>
    </row>
    <row r="3296" spans="2:28" x14ac:dyDescent="0.2">
      <c r="B3296" s="1" t="s">
        <v>5824</v>
      </c>
      <c r="C3296" s="36"/>
      <c r="D3296" s="36"/>
      <c r="F3296" s="1" t="s">
        <v>4158</v>
      </c>
      <c r="G3296" s="1" t="s">
        <v>5904</v>
      </c>
      <c r="K3296" s="1" t="s">
        <v>5907</v>
      </c>
      <c r="L3296" s="1" t="s">
        <v>1279</v>
      </c>
      <c r="M3296" s="36" t="s">
        <v>2014</v>
      </c>
      <c r="N3296" s="1" t="s">
        <v>1285</v>
      </c>
      <c r="O3296" s="1" t="s">
        <v>1556</v>
      </c>
      <c r="P3296" s="34" t="str">
        <f t="shared" si="64"/>
        <v>F010</v>
      </c>
      <c r="Q3296" s="1" t="s">
        <v>137</v>
      </c>
      <c r="S3296" s="16">
        <v>20</v>
      </c>
      <c r="T3296" s="1" t="s">
        <v>300</v>
      </c>
      <c r="U3296" s="1" t="s">
        <v>1334</v>
      </c>
      <c r="V3296" s="1" t="s">
        <v>1987</v>
      </c>
      <c r="Y3296" s="1">
        <v>8500</v>
      </c>
      <c r="AB3296" s="1">
        <v>2960.79</v>
      </c>
    </row>
    <row r="3297" spans="2:28" x14ac:dyDescent="0.2">
      <c r="B3297" s="1" t="s">
        <v>5824</v>
      </c>
      <c r="C3297" s="36"/>
      <c r="D3297" s="36"/>
      <c r="F3297" s="1" t="s">
        <v>4158</v>
      </c>
      <c r="G3297" s="1" t="s">
        <v>5904</v>
      </c>
      <c r="K3297" s="1" t="s">
        <v>5908</v>
      </c>
      <c r="L3297" s="1" t="s">
        <v>1279</v>
      </c>
      <c r="M3297" s="36" t="s">
        <v>2014</v>
      </c>
      <c r="N3297" s="1" t="s">
        <v>1285</v>
      </c>
      <c r="O3297" s="1" t="s">
        <v>1556</v>
      </c>
      <c r="P3297" s="34" t="str">
        <f t="shared" si="64"/>
        <v>F010</v>
      </c>
      <c r="Q3297" s="1" t="s">
        <v>137</v>
      </c>
      <c r="S3297" s="16">
        <v>20</v>
      </c>
      <c r="T3297" s="1" t="s">
        <v>300</v>
      </c>
      <c r="U3297" s="1" t="s">
        <v>1334</v>
      </c>
      <c r="V3297" s="1" t="s">
        <v>1987</v>
      </c>
      <c r="Y3297" s="1">
        <v>8500</v>
      </c>
      <c r="AB3297" s="1">
        <v>2960.79</v>
      </c>
    </row>
    <row r="3298" spans="2:28" x14ac:dyDescent="0.2">
      <c r="B3298" s="1" t="s">
        <v>5824</v>
      </c>
      <c r="C3298" s="36"/>
      <c r="D3298" s="36"/>
      <c r="F3298" s="1" t="s">
        <v>4158</v>
      </c>
      <c r="G3298" s="1" t="s">
        <v>5909</v>
      </c>
      <c r="K3298" s="1" t="s">
        <v>5910</v>
      </c>
      <c r="L3298" s="1" t="s">
        <v>1279</v>
      </c>
      <c r="M3298" s="36" t="s">
        <v>1761</v>
      </c>
      <c r="N3298" s="1" t="s">
        <v>1295</v>
      </c>
      <c r="O3298" s="1" t="s">
        <v>1556</v>
      </c>
      <c r="P3298" s="34" t="str">
        <f t="shared" si="64"/>
        <v>F010</v>
      </c>
      <c r="Q3298" s="1" t="s">
        <v>1298</v>
      </c>
      <c r="S3298" s="16">
        <v>20</v>
      </c>
      <c r="T3298" s="1" t="s">
        <v>300</v>
      </c>
      <c r="U3298" s="1" t="s">
        <v>1878</v>
      </c>
      <c r="V3298" s="1" t="s">
        <v>1879</v>
      </c>
      <c r="Y3298" s="1">
        <v>2500</v>
      </c>
      <c r="AB3298" s="1">
        <v>2375</v>
      </c>
    </row>
    <row r="3299" spans="2:28" x14ac:dyDescent="0.2">
      <c r="B3299" s="1" t="s">
        <v>5824</v>
      </c>
      <c r="C3299" s="36"/>
      <c r="D3299" s="36"/>
      <c r="F3299" s="1" t="s">
        <v>4158</v>
      </c>
      <c r="G3299" s="1" t="s">
        <v>5909</v>
      </c>
      <c r="K3299" s="1" t="s">
        <v>5911</v>
      </c>
      <c r="L3299" s="1" t="s">
        <v>1279</v>
      </c>
      <c r="M3299" s="36" t="s">
        <v>1854</v>
      </c>
      <c r="N3299" s="1" t="s">
        <v>1288</v>
      </c>
      <c r="O3299" s="1" t="s">
        <v>1556</v>
      </c>
      <c r="P3299" s="34" t="str">
        <f t="shared" si="64"/>
        <v>F010</v>
      </c>
      <c r="Q3299" s="1" t="s">
        <v>1296</v>
      </c>
      <c r="S3299" s="16">
        <v>20</v>
      </c>
      <c r="T3299" s="1" t="s">
        <v>300</v>
      </c>
      <c r="U3299" s="1" t="s">
        <v>5912</v>
      </c>
      <c r="V3299" s="1" t="s">
        <v>4288</v>
      </c>
      <c r="Y3299" s="1">
        <v>2500</v>
      </c>
      <c r="AB3299" s="1">
        <v>2375</v>
      </c>
    </row>
    <row r="3300" spans="2:28" x14ac:dyDescent="0.2">
      <c r="B3300" s="1" t="s">
        <v>5824</v>
      </c>
      <c r="C3300" s="36"/>
      <c r="D3300" s="36"/>
      <c r="F3300" s="1" t="s">
        <v>4158</v>
      </c>
      <c r="G3300" s="1" t="s">
        <v>5913</v>
      </c>
      <c r="K3300" s="1" t="s">
        <v>5914</v>
      </c>
      <c r="L3300" s="1" t="s">
        <v>1279</v>
      </c>
      <c r="M3300" s="36" t="s">
        <v>1737</v>
      </c>
      <c r="N3300" s="1" t="s">
        <v>2925</v>
      </c>
      <c r="O3300" s="1" t="s">
        <v>1556</v>
      </c>
      <c r="P3300" s="34" t="str">
        <f t="shared" si="64"/>
        <v>F010</v>
      </c>
      <c r="Q3300" s="1" t="s">
        <v>129</v>
      </c>
      <c r="S3300" s="16">
        <v>20</v>
      </c>
      <c r="T3300" s="1" t="s">
        <v>300</v>
      </c>
      <c r="U3300" s="1" t="s">
        <v>1976</v>
      </c>
      <c r="V3300" s="1" t="s">
        <v>1977</v>
      </c>
      <c r="Y3300" s="1">
        <v>4236</v>
      </c>
      <c r="AB3300" s="1">
        <v>4024.2</v>
      </c>
    </row>
    <row r="3301" spans="2:28" x14ac:dyDescent="0.2">
      <c r="B3301" s="1" t="s">
        <v>5824</v>
      </c>
      <c r="C3301" s="36"/>
      <c r="D3301" s="36"/>
      <c r="F3301" s="1" t="s">
        <v>4158</v>
      </c>
      <c r="G3301" s="1" t="s">
        <v>5915</v>
      </c>
      <c r="K3301" s="1" t="s">
        <v>5916</v>
      </c>
      <c r="L3301" s="1" t="s">
        <v>1279</v>
      </c>
      <c r="M3301" s="36" t="s">
        <v>1737</v>
      </c>
      <c r="N3301" s="1" t="s">
        <v>2925</v>
      </c>
      <c r="O3301" s="1" t="s">
        <v>1556</v>
      </c>
      <c r="P3301" s="34" t="str">
        <f t="shared" si="64"/>
        <v>F010</v>
      </c>
      <c r="Q3301" s="1" t="s">
        <v>129</v>
      </c>
      <c r="S3301" s="16">
        <v>20</v>
      </c>
      <c r="T3301" s="1" t="s">
        <v>300</v>
      </c>
      <c r="U3301" s="1" t="s">
        <v>1976</v>
      </c>
      <c r="V3301" s="1" t="s">
        <v>1977</v>
      </c>
      <c r="Y3301" s="1">
        <v>3447</v>
      </c>
      <c r="AB3301" s="1">
        <v>3274.65</v>
      </c>
    </row>
    <row r="3302" spans="2:28" x14ac:dyDescent="0.2">
      <c r="B3302" s="1" t="s">
        <v>5824</v>
      </c>
      <c r="C3302" s="36"/>
      <c r="D3302" s="36"/>
      <c r="F3302" s="1" t="s">
        <v>4158</v>
      </c>
      <c r="G3302" s="1" t="s">
        <v>5915</v>
      </c>
      <c r="K3302" s="1" t="s">
        <v>5917</v>
      </c>
      <c r="L3302" s="1" t="s">
        <v>1279</v>
      </c>
      <c r="M3302" s="36" t="s">
        <v>1737</v>
      </c>
      <c r="N3302" s="1" t="s">
        <v>2925</v>
      </c>
      <c r="O3302" s="1" t="s">
        <v>1556</v>
      </c>
      <c r="P3302" s="34" t="str">
        <f t="shared" si="64"/>
        <v>F010</v>
      </c>
      <c r="Q3302" s="1" t="s">
        <v>129</v>
      </c>
      <c r="S3302" s="16">
        <v>20</v>
      </c>
      <c r="T3302" s="1" t="s">
        <v>300</v>
      </c>
      <c r="U3302" s="1" t="s">
        <v>1976</v>
      </c>
      <c r="V3302" s="1" t="s">
        <v>1977</v>
      </c>
      <c r="Y3302" s="1">
        <v>3447</v>
      </c>
      <c r="AB3302" s="1">
        <v>3274.65</v>
      </c>
    </row>
    <row r="3303" spans="2:28" x14ac:dyDescent="0.2">
      <c r="B3303" s="1" t="s">
        <v>5824</v>
      </c>
      <c r="C3303" s="36"/>
      <c r="D3303" s="36"/>
      <c r="F3303" s="1" t="s">
        <v>4158</v>
      </c>
      <c r="G3303" s="1" t="s">
        <v>5918</v>
      </c>
      <c r="K3303" s="1" t="s">
        <v>5919</v>
      </c>
      <c r="L3303" s="1" t="s">
        <v>1279</v>
      </c>
      <c r="M3303" s="36" t="s">
        <v>1560</v>
      </c>
      <c r="N3303" s="1" t="s">
        <v>3317</v>
      </c>
      <c r="O3303" s="1" t="s">
        <v>1556</v>
      </c>
      <c r="P3303" s="34" t="str">
        <f t="shared" si="64"/>
        <v>F010</v>
      </c>
      <c r="Q3303" s="1" t="s">
        <v>137</v>
      </c>
      <c r="S3303" s="16">
        <v>20</v>
      </c>
      <c r="T3303" s="1" t="s">
        <v>300</v>
      </c>
      <c r="U3303" s="1" t="s">
        <v>1476</v>
      </c>
      <c r="V3303" s="1" t="s">
        <v>1569</v>
      </c>
      <c r="Y3303" s="1">
        <v>11793.17</v>
      </c>
      <c r="AB3303" s="1">
        <v>1861.38</v>
      </c>
    </row>
    <row r="3304" spans="2:28" x14ac:dyDescent="0.2">
      <c r="B3304" s="1" t="s">
        <v>5824</v>
      </c>
      <c r="C3304" s="36"/>
      <c r="D3304" s="36"/>
      <c r="F3304" s="1" t="s">
        <v>4158</v>
      </c>
      <c r="G3304" s="1" t="s">
        <v>5920</v>
      </c>
      <c r="K3304" s="1" t="s">
        <v>5921</v>
      </c>
      <c r="L3304" s="1" t="s">
        <v>1279</v>
      </c>
      <c r="M3304" s="36" t="s">
        <v>4507</v>
      </c>
      <c r="N3304" s="1" t="s">
        <v>1281</v>
      </c>
      <c r="O3304" s="1" t="s">
        <v>1556</v>
      </c>
      <c r="P3304" s="34" t="str">
        <f t="shared" si="64"/>
        <v>F010</v>
      </c>
      <c r="Q3304" s="1" t="s">
        <v>127</v>
      </c>
      <c r="S3304" s="16">
        <v>20</v>
      </c>
      <c r="T3304" s="1" t="s">
        <v>300</v>
      </c>
      <c r="U3304" s="1" t="s">
        <v>1471</v>
      </c>
      <c r="V3304" s="1" t="s">
        <v>1670</v>
      </c>
      <c r="Y3304" s="1">
        <v>16480</v>
      </c>
      <c r="AB3304" s="1">
        <v>15656</v>
      </c>
    </row>
    <row r="3305" spans="2:28" x14ac:dyDescent="0.2">
      <c r="B3305" s="1" t="s">
        <v>5824</v>
      </c>
      <c r="C3305" s="36"/>
      <c r="D3305" s="36"/>
      <c r="F3305" s="1" t="s">
        <v>4158</v>
      </c>
      <c r="G3305" s="1" t="s">
        <v>5922</v>
      </c>
      <c r="K3305" s="1" t="s">
        <v>5923</v>
      </c>
      <c r="L3305" s="1" t="s">
        <v>1279</v>
      </c>
      <c r="M3305" s="36" t="s">
        <v>1434</v>
      </c>
      <c r="N3305" s="1" t="s">
        <v>3242</v>
      </c>
      <c r="O3305" s="1" t="s">
        <v>1556</v>
      </c>
      <c r="P3305" s="34" t="str">
        <f t="shared" si="64"/>
        <v>F010</v>
      </c>
      <c r="Q3305" s="1" t="s">
        <v>137</v>
      </c>
      <c r="S3305" s="16">
        <v>20</v>
      </c>
      <c r="T3305" s="1" t="s">
        <v>300</v>
      </c>
      <c r="U3305" s="1" t="s">
        <v>1457</v>
      </c>
      <c r="V3305" s="1" t="s">
        <v>2343</v>
      </c>
      <c r="Y3305" s="1">
        <v>12670</v>
      </c>
      <c r="AB3305" s="1">
        <v>12036.5</v>
      </c>
    </row>
    <row r="3306" spans="2:28" x14ac:dyDescent="0.2">
      <c r="B3306" s="1" t="s">
        <v>5824</v>
      </c>
      <c r="C3306" s="36"/>
      <c r="D3306" s="36"/>
      <c r="F3306" s="1" t="s">
        <v>4158</v>
      </c>
      <c r="G3306" s="1" t="s">
        <v>5924</v>
      </c>
      <c r="K3306" s="1" t="s">
        <v>5925</v>
      </c>
      <c r="L3306" s="1" t="s">
        <v>1279</v>
      </c>
      <c r="M3306" s="36" t="s">
        <v>1922</v>
      </c>
      <c r="N3306" s="1" t="s">
        <v>4166</v>
      </c>
      <c r="O3306" s="1" t="s">
        <v>1556</v>
      </c>
      <c r="P3306" s="34" t="str">
        <f t="shared" si="64"/>
        <v>F010</v>
      </c>
      <c r="Q3306" s="1" t="s">
        <v>127</v>
      </c>
      <c r="S3306" s="16">
        <v>20</v>
      </c>
      <c r="T3306" s="1" t="s">
        <v>300</v>
      </c>
      <c r="U3306" s="1" t="s">
        <v>1456</v>
      </c>
      <c r="V3306" s="1" t="s">
        <v>1900</v>
      </c>
      <c r="Y3306" s="1">
        <v>8230</v>
      </c>
      <c r="AB3306" s="1">
        <v>7818.5</v>
      </c>
    </row>
    <row r="3307" spans="2:28" x14ac:dyDescent="0.2">
      <c r="B3307" s="1" t="s">
        <v>5824</v>
      </c>
      <c r="C3307" s="36"/>
      <c r="D3307" s="36"/>
      <c r="F3307" s="1" t="s">
        <v>4158</v>
      </c>
      <c r="G3307" s="1" t="s">
        <v>5926</v>
      </c>
      <c r="K3307" s="1" t="s">
        <v>5927</v>
      </c>
      <c r="L3307" s="1" t="s">
        <v>1279</v>
      </c>
      <c r="M3307" s="36" t="s">
        <v>1878</v>
      </c>
      <c r="N3307" s="1" t="s">
        <v>1285</v>
      </c>
      <c r="O3307" s="1" t="s">
        <v>1556</v>
      </c>
      <c r="P3307" s="34" t="str">
        <f t="shared" si="64"/>
        <v>F010</v>
      </c>
      <c r="Q3307" s="1" t="s">
        <v>127</v>
      </c>
      <c r="S3307" s="16">
        <v>20</v>
      </c>
      <c r="T3307" s="1" t="s">
        <v>300</v>
      </c>
      <c r="U3307" s="1" t="s">
        <v>2569</v>
      </c>
      <c r="V3307" s="1" t="s">
        <v>1343</v>
      </c>
      <c r="Y3307" s="1">
        <v>2100</v>
      </c>
      <c r="AB3307" s="1">
        <v>1995</v>
      </c>
    </row>
    <row r="3308" spans="2:28" x14ac:dyDescent="0.2">
      <c r="B3308" s="1" t="s">
        <v>5824</v>
      </c>
      <c r="C3308" s="36"/>
      <c r="D3308" s="36"/>
      <c r="F3308" s="1" t="s">
        <v>4158</v>
      </c>
      <c r="G3308" s="1" t="s">
        <v>5928</v>
      </c>
      <c r="K3308" s="1" t="s">
        <v>5929</v>
      </c>
      <c r="L3308" s="1" t="s">
        <v>1279</v>
      </c>
      <c r="M3308" s="36" t="s">
        <v>1441</v>
      </c>
      <c r="N3308" s="1" t="s">
        <v>1294</v>
      </c>
      <c r="O3308" s="1" t="s">
        <v>1556</v>
      </c>
      <c r="P3308" s="34" t="str">
        <f t="shared" si="64"/>
        <v>F010</v>
      </c>
      <c r="Q3308" s="1" t="s">
        <v>127</v>
      </c>
      <c r="S3308" s="16">
        <v>20</v>
      </c>
      <c r="T3308" s="1" t="s">
        <v>300</v>
      </c>
      <c r="U3308" s="1" t="s">
        <v>1516</v>
      </c>
      <c r="V3308" s="1" t="s">
        <v>1796</v>
      </c>
      <c r="Y3308" s="1">
        <v>17980</v>
      </c>
      <c r="AB3308" s="1">
        <v>14234.16</v>
      </c>
    </row>
    <row r="3309" spans="2:28" x14ac:dyDescent="0.2">
      <c r="B3309" s="1" t="s">
        <v>5824</v>
      </c>
      <c r="C3309" s="36"/>
      <c r="D3309" s="36"/>
      <c r="F3309" s="1" t="s">
        <v>4158</v>
      </c>
      <c r="G3309" s="1" t="s">
        <v>5928</v>
      </c>
      <c r="K3309" s="1" t="s">
        <v>5930</v>
      </c>
      <c r="L3309" s="1" t="s">
        <v>1279</v>
      </c>
      <c r="M3309" s="36" t="s">
        <v>1654</v>
      </c>
      <c r="N3309" s="1" t="s">
        <v>1294</v>
      </c>
      <c r="O3309" s="1" t="s">
        <v>1556</v>
      </c>
      <c r="P3309" s="34" t="str">
        <f t="shared" si="64"/>
        <v>F010</v>
      </c>
      <c r="Q3309" s="1" t="s">
        <v>127</v>
      </c>
      <c r="S3309" s="16">
        <v>20</v>
      </c>
      <c r="T3309" s="1" t="s">
        <v>300</v>
      </c>
      <c r="U3309" s="1" t="s">
        <v>1560</v>
      </c>
      <c r="V3309" s="1" t="s">
        <v>1578</v>
      </c>
      <c r="Y3309" s="1">
        <v>6324.79</v>
      </c>
      <c r="AB3309" s="1">
        <v>1157.8699999999999</v>
      </c>
    </row>
    <row r="3310" spans="2:28" x14ac:dyDescent="0.2">
      <c r="B3310" s="1" t="s">
        <v>5824</v>
      </c>
      <c r="C3310" s="36"/>
      <c r="D3310" s="36"/>
      <c r="F3310" s="1" t="s">
        <v>4158</v>
      </c>
      <c r="G3310" s="1" t="s">
        <v>5764</v>
      </c>
      <c r="K3310" s="1" t="s">
        <v>5931</v>
      </c>
      <c r="L3310" s="1" t="s">
        <v>1279</v>
      </c>
      <c r="M3310" s="36" t="s">
        <v>1497</v>
      </c>
      <c r="N3310" s="1" t="s">
        <v>2400</v>
      </c>
      <c r="O3310" s="1" t="s">
        <v>1556</v>
      </c>
      <c r="P3310" s="34" t="str">
        <f t="shared" si="64"/>
        <v>F010</v>
      </c>
      <c r="Q3310" s="1" t="s">
        <v>137</v>
      </c>
      <c r="S3310" s="16">
        <v>20</v>
      </c>
      <c r="T3310" s="1" t="s">
        <v>300</v>
      </c>
      <c r="U3310" s="1" t="s">
        <v>1460</v>
      </c>
      <c r="V3310" s="1" t="s">
        <v>1755</v>
      </c>
      <c r="Y3310" s="1">
        <v>7383</v>
      </c>
      <c r="AB3310" s="1">
        <v>2805.6</v>
      </c>
    </row>
    <row r="3311" spans="2:28" x14ac:dyDescent="0.2">
      <c r="B3311" s="1" t="s">
        <v>5824</v>
      </c>
      <c r="C3311" s="36"/>
      <c r="D3311" s="36"/>
      <c r="F3311" s="1" t="s">
        <v>4158</v>
      </c>
      <c r="G3311" s="1" t="s">
        <v>5764</v>
      </c>
      <c r="K3311" s="1" t="s">
        <v>5932</v>
      </c>
      <c r="L3311" s="1" t="s">
        <v>1279</v>
      </c>
      <c r="M3311" s="36" t="s">
        <v>1497</v>
      </c>
      <c r="N3311" s="1" t="s">
        <v>2400</v>
      </c>
      <c r="O3311" s="1" t="s">
        <v>1556</v>
      </c>
      <c r="P3311" s="34" t="str">
        <f t="shared" si="64"/>
        <v>F010</v>
      </c>
      <c r="Q3311" s="1" t="s">
        <v>137</v>
      </c>
      <c r="S3311" s="16">
        <v>20</v>
      </c>
      <c r="T3311" s="1" t="s">
        <v>300</v>
      </c>
      <c r="U3311" s="1" t="s">
        <v>1460</v>
      </c>
      <c r="V3311" s="1" t="s">
        <v>1755</v>
      </c>
      <c r="Y3311" s="1">
        <v>7383</v>
      </c>
      <c r="AB3311" s="1">
        <v>2805.6</v>
      </c>
    </row>
    <row r="3312" spans="2:28" x14ac:dyDescent="0.2">
      <c r="B3312" s="1" t="s">
        <v>5824</v>
      </c>
      <c r="C3312" s="36"/>
      <c r="D3312" s="36"/>
      <c r="F3312" s="1" t="s">
        <v>4158</v>
      </c>
      <c r="G3312" s="1" t="s">
        <v>5764</v>
      </c>
      <c r="K3312" s="1" t="s">
        <v>5933</v>
      </c>
      <c r="L3312" s="1" t="s">
        <v>1279</v>
      </c>
      <c r="M3312" s="36" t="s">
        <v>1480</v>
      </c>
      <c r="N3312" s="1" t="s">
        <v>3317</v>
      </c>
      <c r="O3312" s="1" t="s">
        <v>1556</v>
      </c>
      <c r="P3312" s="34" t="str">
        <f t="shared" si="64"/>
        <v>F010</v>
      </c>
      <c r="Q3312" s="1" t="s">
        <v>137</v>
      </c>
      <c r="S3312" s="16">
        <v>20</v>
      </c>
      <c r="T3312" s="1" t="s">
        <v>300</v>
      </c>
      <c r="U3312" s="1" t="s">
        <v>1503</v>
      </c>
      <c r="V3312" s="1" t="s">
        <v>2095</v>
      </c>
      <c r="Y3312" s="1">
        <v>7277</v>
      </c>
      <c r="AB3312" s="1">
        <v>2880.45</v>
      </c>
    </row>
    <row r="3313" spans="2:28" x14ac:dyDescent="0.2">
      <c r="B3313" s="1" t="s">
        <v>5824</v>
      </c>
      <c r="C3313" s="36"/>
      <c r="D3313" s="36"/>
      <c r="F3313" s="1" t="s">
        <v>4158</v>
      </c>
      <c r="G3313" s="1" t="s">
        <v>5764</v>
      </c>
      <c r="K3313" s="1" t="s">
        <v>5934</v>
      </c>
      <c r="L3313" s="1" t="s">
        <v>1279</v>
      </c>
      <c r="M3313" s="36" t="s">
        <v>1999</v>
      </c>
      <c r="N3313" s="1" t="s">
        <v>2400</v>
      </c>
      <c r="O3313" s="1" t="s">
        <v>1556</v>
      </c>
      <c r="P3313" s="34" t="str">
        <f t="shared" ref="P3313:P3339" si="65">+LEFT(Q3313,4)</f>
        <v>F010</v>
      </c>
      <c r="Q3313" s="1" t="s">
        <v>137</v>
      </c>
      <c r="S3313" s="16">
        <v>20</v>
      </c>
      <c r="T3313" s="1" t="s">
        <v>300</v>
      </c>
      <c r="U3313" s="1" t="s">
        <v>2544</v>
      </c>
      <c r="V3313" s="1" t="s">
        <v>1766</v>
      </c>
      <c r="Y3313" s="1">
        <v>7708.75</v>
      </c>
      <c r="AB3313" s="1">
        <v>3500.62</v>
      </c>
    </row>
    <row r="3314" spans="2:28" x14ac:dyDescent="0.2">
      <c r="B3314" s="1" t="s">
        <v>5824</v>
      </c>
      <c r="C3314" s="36"/>
      <c r="D3314" s="36"/>
      <c r="F3314" s="1" t="s">
        <v>4158</v>
      </c>
      <c r="G3314" s="1" t="s">
        <v>5764</v>
      </c>
      <c r="K3314" s="1" t="s">
        <v>5935</v>
      </c>
      <c r="L3314" s="1" t="s">
        <v>1279</v>
      </c>
      <c r="M3314" s="36" t="s">
        <v>1999</v>
      </c>
      <c r="N3314" s="1" t="s">
        <v>2400</v>
      </c>
      <c r="O3314" s="1" t="s">
        <v>1556</v>
      </c>
      <c r="P3314" s="34" t="str">
        <f t="shared" si="65"/>
        <v>F010</v>
      </c>
      <c r="Q3314" s="1" t="s">
        <v>137</v>
      </c>
      <c r="S3314" s="16">
        <v>20</v>
      </c>
      <c r="T3314" s="1" t="s">
        <v>300</v>
      </c>
      <c r="U3314" s="1" t="s">
        <v>2544</v>
      </c>
      <c r="V3314" s="1" t="s">
        <v>1766</v>
      </c>
      <c r="Y3314" s="1">
        <v>7708.75</v>
      </c>
      <c r="AB3314" s="1">
        <v>3500.62</v>
      </c>
    </row>
    <row r="3315" spans="2:28" x14ac:dyDescent="0.2">
      <c r="B3315" s="1" t="s">
        <v>5824</v>
      </c>
      <c r="C3315" s="36"/>
      <c r="D3315" s="36"/>
      <c r="F3315" s="1" t="s">
        <v>4158</v>
      </c>
      <c r="G3315" s="1" t="s">
        <v>5764</v>
      </c>
      <c r="K3315" s="1" t="s">
        <v>5936</v>
      </c>
      <c r="L3315" s="1" t="s">
        <v>1279</v>
      </c>
      <c r="M3315" s="36" t="s">
        <v>1999</v>
      </c>
      <c r="N3315" s="1" t="s">
        <v>2400</v>
      </c>
      <c r="O3315" s="1" t="s">
        <v>1556</v>
      </c>
      <c r="P3315" s="34" t="str">
        <f t="shared" si="65"/>
        <v>F010</v>
      </c>
      <c r="Q3315" s="1" t="s">
        <v>137</v>
      </c>
      <c r="S3315" s="16">
        <v>20</v>
      </c>
      <c r="T3315" s="1" t="s">
        <v>300</v>
      </c>
      <c r="U3315" s="1" t="s">
        <v>2544</v>
      </c>
      <c r="V3315" s="1" t="s">
        <v>1766</v>
      </c>
      <c r="Y3315" s="1">
        <v>7708.75</v>
      </c>
      <c r="AB3315" s="1">
        <v>3500.62</v>
      </c>
    </row>
    <row r="3316" spans="2:28" x14ac:dyDescent="0.2">
      <c r="B3316" s="1" t="s">
        <v>5824</v>
      </c>
      <c r="C3316" s="36"/>
      <c r="D3316" s="36"/>
      <c r="F3316" s="1" t="s">
        <v>4158</v>
      </c>
      <c r="G3316" s="1" t="s">
        <v>5764</v>
      </c>
      <c r="K3316" s="1" t="s">
        <v>5937</v>
      </c>
      <c r="L3316" s="1" t="s">
        <v>1279</v>
      </c>
      <c r="M3316" s="36" t="s">
        <v>1999</v>
      </c>
      <c r="N3316" s="1" t="s">
        <v>2400</v>
      </c>
      <c r="O3316" s="1" t="s">
        <v>1556</v>
      </c>
      <c r="P3316" s="34" t="str">
        <f t="shared" si="65"/>
        <v>F010</v>
      </c>
      <c r="Q3316" s="1" t="s">
        <v>137</v>
      </c>
      <c r="S3316" s="16">
        <v>20</v>
      </c>
      <c r="T3316" s="1" t="s">
        <v>300</v>
      </c>
      <c r="U3316" s="1" t="s">
        <v>2544</v>
      </c>
      <c r="V3316" s="1" t="s">
        <v>1766</v>
      </c>
      <c r="Y3316" s="1">
        <v>7708.75</v>
      </c>
      <c r="AB3316" s="1">
        <v>3500.62</v>
      </c>
    </row>
    <row r="3317" spans="2:28" x14ac:dyDescent="0.2">
      <c r="B3317" s="1" t="s">
        <v>5824</v>
      </c>
      <c r="C3317" s="36"/>
      <c r="D3317" s="36"/>
      <c r="F3317" s="1" t="s">
        <v>4158</v>
      </c>
      <c r="G3317" s="1" t="s">
        <v>5764</v>
      </c>
      <c r="K3317" s="1" t="s">
        <v>5938</v>
      </c>
      <c r="L3317" s="1" t="s">
        <v>1279</v>
      </c>
      <c r="M3317" s="36" t="s">
        <v>1999</v>
      </c>
      <c r="N3317" s="1" t="s">
        <v>2400</v>
      </c>
      <c r="O3317" s="1" t="s">
        <v>1556</v>
      </c>
      <c r="P3317" s="34" t="str">
        <f t="shared" si="65"/>
        <v>F010</v>
      </c>
      <c r="Q3317" s="1" t="s">
        <v>137</v>
      </c>
      <c r="S3317" s="16">
        <v>20</v>
      </c>
      <c r="T3317" s="1" t="s">
        <v>300</v>
      </c>
      <c r="U3317" s="1" t="s">
        <v>2544</v>
      </c>
      <c r="V3317" s="1" t="s">
        <v>1766</v>
      </c>
      <c r="Y3317" s="1">
        <v>7708.75</v>
      </c>
      <c r="AB3317" s="1">
        <v>3500.62</v>
      </c>
    </row>
    <row r="3318" spans="2:28" x14ac:dyDescent="0.2">
      <c r="B3318" s="1" t="s">
        <v>5824</v>
      </c>
      <c r="C3318" s="36"/>
      <c r="D3318" s="36"/>
      <c r="F3318" s="1" t="s">
        <v>4158</v>
      </c>
      <c r="G3318" s="1" t="s">
        <v>5764</v>
      </c>
      <c r="K3318" s="1" t="s">
        <v>5939</v>
      </c>
      <c r="L3318" s="1" t="s">
        <v>1279</v>
      </c>
      <c r="M3318" s="36" t="s">
        <v>1999</v>
      </c>
      <c r="N3318" s="1" t="s">
        <v>2400</v>
      </c>
      <c r="O3318" s="1" t="s">
        <v>1556</v>
      </c>
      <c r="P3318" s="34" t="str">
        <f t="shared" si="65"/>
        <v>F010</v>
      </c>
      <c r="Q3318" s="1" t="s">
        <v>137</v>
      </c>
      <c r="S3318" s="16">
        <v>20</v>
      </c>
      <c r="T3318" s="1" t="s">
        <v>300</v>
      </c>
      <c r="U3318" s="1" t="s">
        <v>2544</v>
      </c>
      <c r="V3318" s="1" t="s">
        <v>1766</v>
      </c>
      <c r="Y3318" s="1">
        <v>7708.75</v>
      </c>
      <c r="AB3318" s="1">
        <v>3500.62</v>
      </c>
    </row>
    <row r="3319" spans="2:28" x14ac:dyDescent="0.2">
      <c r="B3319" s="1" t="s">
        <v>5824</v>
      </c>
      <c r="C3319" s="36"/>
      <c r="D3319" s="36"/>
      <c r="F3319" s="1" t="s">
        <v>4158</v>
      </c>
      <c r="G3319" s="1" t="s">
        <v>5764</v>
      </c>
      <c r="K3319" s="1" t="s">
        <v>5940</v>
      </c>
      <c r="L3319" s="1" t="s">
        <v>1279</v>
      </c>
      <c r="M3319" s="36" t="s">
        <v>1999</v>
      </c>
      <c r="N3319" s="1" t="s">
        <v>2400</v>
      </c>
      <c r="O3319" s="1" t="s">
        <v>1556</v>
      </c>
      <c r="P3319" s="34" t="str">
        <f t="shared" si="65"/>
        <v>F010</v>
      </c>
      <c r="Q3319" s="1" t="s">
        <v>137</v>
      </c>
      <c r="S3319" s="16">
        <v>20</v>
      </c>
      <c r="T3319" s="1" t="s">
        <v>300</v>
      </c>
      <c r="U3319" s="1" t="s">
        <v>2544</v>
      </c>
      <c r="V3319" s="1" t="s">
        <v>1766</v>
      </c>
      <c r="Y3319" s="1">
        <v>7708.75</v>
      </c>
      <c r="AB3319" s="1">
        <v>3500.62</v>
      </c>
    </row>
    <row r="3320" spans="2:28" x14ac:dyDescent="0.2">
      <c r="B3320" s="1" t="s">
        <v>5824</v>
      </c>
      <c r="C3320" s="36"/>
      <c r="D3320" s="36"/>
      <c r="F3320" s="1" t="s">
        <v>4158</v>
      </c>
      <c r="G3320" s="1" t="s">
        <v>5764</v>
      </c>
      <c r="K3320" s="1" t="s">
        <v>5941</v>
      </c>
      <c r="L3320" s="1" t="s">
        <v>1279</v>
      </c>
      <c r="M3320" s="36" t="s">
        <v>1999</v>
      </c>
      <c r="N3320" s="1" t="s">
        <v>2400</v>
      </c>
      <c r="O3320" s="1" t="s">
        <v>1556</v>
      </c>
      <c r="P3320" s="34" t="str">
        <f t="shared" si="65"/>
        <v>F010</v>
      </c>
      <c r="Q3320" s="1" t="s">
        <v>137</v>
      </c>
      <c r="S3320" s="16">
        <v>20</v>
      </c>
      <c r="T3320" s="1" t="s">
        <v>300</v>
      </c>
      <c r="U3320" s="1" t="s">
        <v>2544</v>
      </c>
      <c r="V3320" s="1" t="s">
        <v>1766</v>
      </c>
      <c r="Y3320" s="1">
        <v>7708.75</v>
      </c>
      <c r="AB3320" s="1">
        <v>3500.62</v>
      </c>
    </row>
    <row r="3321" spans="2:28" x14ac:dyDescent="0.2">
      <c r="B3321" s="1" t="s">
        <v>5824</v>
      </c>
      <c r="C3321" s="36"/>
      <c r="D3321" s="36"/>
      <c r="F3321" s="1" t="s">
        <v>4158</v>
      </c>
      <c r="G3321" s="1" t="s">
        <v>5764</v>
      </c>
      <c r="K3321" s="1" t="s">
        <v>5942</v>
      </c>
      <c r="L3321" s="1" t="s">
        <v>1279</v>
      </c>
      <c r="M3321" s="36" t="s">
        <v>1560</v>
      </c>
      <c r="N3321" s="1" t="s">
        <v>3317</v>
      </c>
      <c r="O3321" s="1" t="s">
        <v>1556</v>
      </c>
      <c r="P3321" s="34" t="str">
        <f t="shared" si="65"/>
        <v>F010</v>
      </c>
      <c r="Q3321" s="1" t="s">
        <v>137</v>
      </c>
      <c r="S3321" s="16">
        <v>20</v>
      </c>
      <c r="T3321" s="1" t="s">
        <v>300</v>
      </c>
      <c r="U3321" s="1" t="s">
        <v>1476</v>
      </c>
      <c r="V3321" s="1" t="s">
        <v>1610</v>
      </c>
      <c r="Y3321" s="1">
        <v>25440</v>
      </c>
      <c r="AB3321" s="1">
        <v>2416.8000000000002</v>
      </c>
    </row>
    <row r="3322" spans="2:28" x14ac:dyDescent="0.2">
      <c r="B3322" s="1" t="s">
        <v>5824</v>
      </c>
      <c r="C3322" s="36"/>
      <c r="D3322" s="36"/>
      <c r="F3322" s="1" t="s">
        <v>4158</v>
      </c>
      <c r="G3322" s="1" t="s">
        <v>5764</v>
      </c>
      <c r="K3322" s="1" t="s">
        <v>5943</v>
      </c>
      <c r="L3322" s="1" t="s">
        <v>1279</v>
      </c>
      <c r="M3322" s="36" t="s">
        <v>1560</v>
      </c>
      <c r="N3322" s="1" t="s">
        <v>3317</v>
      </c>
      <c r="O3322" s="1" t="s">
        <v>1556</v>
      </c>
      <c r="P3322" s="34" t="str">
        <f t="shared" si="65"/>
        <v>F010</v>
      </c>
      <c r="Q3322" s="1" t="s">
        <v>137</v>
      </c>
      <c r="S3322" s="16">
        <v>20</v>
      </c>
      <c r="T3322" s="1" t="s">
        <v>300</v>
      </c>
      <c r="U3322" s="1" t="s">
        <v>1476</v>
      </c>
      <c r="V3322" s="1" t="s">
        <v>1610</v>
      </c>
      <c r="Y3322" s="1">
        <v>25440</v>
      </c>
      <c r="AB3322" s="1">
        <v>2416.8000000000002</v>
      </c>
    </row>
    <row r="3323" spans="2:28" x14ac:dyDescent="0.2">
      <c r="B3323" s="1" t="s">
        <v>5824</v>
      </c>
      <c r="C3323" s="36"/>
      <c r="D3323" s="36"/>
      <c r="F3323" s="1" t="s">
        <v>4158</v>
      </c>
      <c r="G3323" s="1" t="s">
        <v>5764</v>
      </c>
      <c r="K3323" s="1" t="s">
        <v>5944</v>
      </c>
      <c r="L3323" s="1" t="s">
        <v>1279</v>
      </c>
      <c r="M3323" s="36" t="s">
        <v>1999</v>
      </c>
      <c r="N3323" s="1" t="s">
        <v>2988</v>
      </c>
      <c r="O3323" s="1" t="s">
        <v>1556</v>
      </c>
      <c r="P3323" s="34" t="str">
        <f t="shared" si="65"/>
        <v>F010</v>
      </c>
      <c r="Q3323" s="1" t="s">
        <v>137</v>
      </c>
      <c r="S3323" s="16">
        <v>20</v>
      </c>
      <c r="T3323" s="1" t="s">
        <v>300</v>
      </c>
      <c r="U3323" s="1" t="s">
        <v>2544</v>
      </c>
      <c r="V3323" s="1" t="s">
        <v>4107</v>
      </c>
      <c r="Y3323" s="1">
        <v>8666</v>
      </c>
      <c r="AB3323" s="1">
        <v>6403.22</v>
      </c>
    </row>
    <row r="3324" spans="2:28" x14ac:dyDescent="0.2">
      <c r="B3324" s="1" t="s">
        <v>5824</v>
      </c>
      <c r="C3324" s="36"/>
      <c r="D3324" s="36"/>
      <c r="F3324" s="1" t="s">
        <v>4158</v>
      </c>
      <c r="G3324" s="1" t="s">
        <v>5764</v>
      </c>
      <c r="K3324" s="1" t="s">
        <v>5945</v>
      </c>
      <c r="L3324" s="1" t="s">
        <v>1279</v>
      </c>
      <c r="M3324" s="36" t="s">
        <v>1999</v>
      </c>
      <c r="N3324" s="1" t="s">
        <v>1281</v>
      </c>
      <c r="O3324" s="1" t="s">
        <v>1556</v>
      </c>
      <c r="P3324" s="34" t="str">
        <f t="shared" si="65"/>
        <v>F010</v>
      </c>
      <c r="Q3324" s="1" t="s">
        <v>137</v>
      </c>
      <c r="S3324" s="16">
        <v>20</v>
      </c>
      <c r="T3324" s="1" t="s">
        <v>300</v>
      </c>
      <c r="U3324" s="1" t="s">
        <v>2544</v>
      </c>
      <c r="V3324" s="1" t="s">
        <v>4107</v>
      </c>
      <c r="Y3324" s="1">
        <v>13696</v>
      </c>
      <c r="AB3324" s="1">
        <v>10119.799999999999</v>
      </c>
    </row>
    <row r="3325" spans="2:28" x14ac:dyDescent="0.2">
      <c r="B3325" s="1" t="s">
        <v>5824</v>
      </c>
      <c r="C3325" s="36"/>
      <c r="D3325" s="36"/>
      <c r="F3325" s="1" t="s">
        <v>4158</v>
      </c>
      <c r="G3325" s="1" t="s">
        <v>5764</v>
      </c>
      <c r="K3325" s="1" t="s">
        <v>5946</v>
      </c>
      <c r="L3325" s="1" t="s">
        <v>1279</v>
      </c>
      <c r="M3325" s="36" t="s">
        <v>1794</v>
      </c>
      <c r="N3325" s="1" t="s">
        <v>2400</v>
      </c>
      <c r="O3325" s="1" t="s">
        <v>1556</v>
      </c>
      <c r="P3325" s="34" t="str">
        <f t="shared" si="65"/>
        <v>F010</v>
      </c>
      <c r="Q3325" s="1" t="s">
        <v>137</v>
      </c>
      <c r="S3325" s="16">
        <v>20</v>
      </c>
      <c r="T3325" s="1" t="s">
        <v>300</v>
      </c>
      <c r="U3325" s="1" t="s">
        <v>1497</v>
      </c>
      <c r="V3325" s="1" t="s">
        <v>1498</v>
      </c>
      <c r="Y3325" s="1">
        <v>7490</v>
      </c>
      <c r="AB3325" s="1">
        <v>4941.3</v>
      </c>
    </row>
    <row r="3326" spans="2:28" x14ac:dyDescent="0.2">
      <c r="B3326" s="1" t="s">
        <v>5824</v>
      </c>
      <c r="C3326" s="36"/>
      <c r="D3326" s="36"/>
      <c r="F3326" s="1" t="s">
        <v>4158</v>
      </c>
      <c r="G3326" s="1" t="s">
        <v>5764</v>
      </c>
      <c r="K3326" s="1" t="s">
        <v>5947</v>
      </c>
      <c r="L3326" s="1" t="s">
        <v>1279</v>
      </c>
      <c r="M3326" s="36" t="s">
        <v>1794</v>
      </c>
      <c r="N3326" s="1" t="s">
        <v>2400</v>
      </c>
      <c r="O3326" s="1" t="s">
        <v>1556</v>
      </c>
      <c r="P3326" s="34" t="str">
        <f t="shared" si="65"/>
        <v>F010</v>
      </c>
      <c r="Q3326" s="1" t="s">
        <v>137</v>
      </c>
      <c r="S3326" s="16">
        <v>20</v>
      </c>
      <c r="T3326" s="1" t="s">
        <v>300</v>
      </c>
      <c r="U3326" s="1" t="s">
        <v>1497</v>
      </c>
      <c r="V3326" s="1" t="s">
        <v>1498</v>
      </c>
      <c r="Y3326" s="1">
        <v>7490</v>
      </c>
      <c r="AB3326" s="1">
        <v>4941.3</v>
      </c>
    </row>
    <row r="3327" spans="2:28" x14ac:dyDescent="0.2">
      <c r="B3327" s="1" t="s">
        <v>5824</v>
      </c>
      <c r="C3327" s="36"/>
      <c r="D3327" s="36"/>
      <c r="F3327" s="1" t="s">
        <v>4158</v>
      </c>
      <c r="G3327" s="1" t="s">
        <v>5764</v>
      </c>
      <c r="K3327" s="1" t="s">
        <v>5948</v>
      </c>
      <c r="L3327" s="1" t="s">
        <v>1279</v>
      </c>
      <c r="M3327" s="36" t="s">
        <v>1794</v>
      </c>
      <c r="N3327" s="1" t="s">
        <v>2400</v>
      </c>
      <c r="O3327" s="1" t="s">
        <v>1556</v>
      </c>
      <c r="P3327" s="34" t="str">
        <f t="shared" si="65"/>
        <v>F010</v>
      </c>
      <c r="Q3327" s="1" t="s">
        <v>137</v>
      </c>
      <c r="S3327" s="16">
        <v>20</v>
      </c>
      <c r="T3327" s="1" t="s">
        <v>300</v>
      </c>
      <c r="U3327" s="1" t="s">
        <v>1497</v>
      </c>
      <c r="V3327" s="1" t="s">
        <v>1498</v>
      </c>
      <c r="Y3327" s="1">
        <v>7490</v>
      </c>
      <c r="AB3327" s="1">
        <v>4941.3</v>
      </c>
    </row>
    <row r="3328" spans="2:28" x14ac:dyDescent="0.2">
      <c r="B3328" s="1" t="s">
        <v>5824</v>
      </c>
      <c r="C3328" s="36"/>
      <c r="D3328" s="36"/>
      <c r="F3328" s="1" t="s">
        <v>4158</v>
      </c>
      <c r="G3328" s="1" t="s">
        <v>5764</v>
      </c>
      <c r="K3328" s="1" t="s">
        <v>5949</v>
      </c>
      <c r="L3328" s="1" t="s">
        <v>1279</v>
      </c>
      <c r="M3328" s="36" t="s">
        <v>1794</v>
      </c>
      <c r="N3328" s="1" t="s">
        <v>2400</v>
      </c>
      <c r="O3328" s="1" t="s">
        <v>1556</v>
      </c>
      <c r="P3328" s="34" t="str">
        <f t="shared" si="65"/>
        <v>F010</v>
      </c>
      <c r="Q3328" s="1" t="s">
        <v>137</v>
      </c>
      <c r="S3328" s="16">
        <v>20</v>
      </c>
      <c r="T3328" s="1" t="s">
        <v>300</v>
      </c>
      <c r="U3328" s="1" t="s">
        <v>1497</v>
      </c>
      <c r="V3328" s="1" t="s">
        <v>1498</v>
      </c>
      <c r="Y3328" s="1">
        <v>7490</v>
      </c>
      <c r="AB3328" s="1">
        <v>4941.3</v>
      </c>
    </row>
    <row r="3329" spans="2:28" x14ac:dyDescent="0.2">
      <c r="B3329" s="1" t="s">
        <v>5824</v>
      </c>
      <c r="C3329" s="36"/>
      <c r="D3329" s="36"/>
      <c r="F3329" s="1" t="s">
        <v>4158</v>
      </c>
      <c r="G3329" s="1" t="s">
        <v>5764</v>
      </c>
      <c r="K3329" s="1" t="s">
        <v>5950</v>
      </c>
      <c r="L3329" s="1" t="s">
        <v>1279</v>
      </c>
      <c r="M3329" s="36" t="s">
        <v>1497</v>
      </c>
      <c r="N3329" s="1" t="s">
        <v>3317</v>
      </c>
      <c r="O3329" s="1" t="s">
        <v>1556</v>
      </c>
      <c r="P3329" s="34" t="str">
        <f t="shared" si="65"/>
        <v>F010</v>
      </c>
      <c r="Q3329" s="1" t="s">
        <v>137</v>
      </c>
      <c r="S3329" s="16">
        <v>20</v>
      </c>
      <c r="T3329" s="1" t="s">
        <v>300</v>
      </c>
      <c r="U3329" s="1" t="s">
        <v>1460</v>
      </c>
      <c r="V3329" s="1" t="s">
        <v>3495</v>
      </c>
      <c r="Y3329" s="1">
        <v>7383</v>
      </c>
      <c r="AB3329" s="1">
        <v>4675.92</v>
      </c>
    </row>
    <row r="3330" spans="2:28" x14ac:dyDescent="0.2">
      <c r="B3330" s="1" t="s">
        <v>5824</v>
      </c>
      <c r="C3330" s="36"/>
      <c r="D3330" s="36"/>
      <c r="F3330" s="1" t="s">
        <v>4158</v>
      </c>
      <c r="G3330" s="1" t="s">
        <v>5764</v>
      </c>
      <c r="K3330" s="1" t="s">
        <v>5951</v>
      </c>
      <c r="L3330" s="1" t="s">
        <v>1279</v>
      </c>
      <c r="M3330" s="36" t="s">
        <v>1497</v>
      </c>
      <c r="N3330" s="1" t="s">
        <v>3317</v>
      </c>
      <c r="O3330" s="1" t="s">
        <v>1556</v>
      </c>
      <c r="P3330" s="34" t="str">
        <f t="shared" si="65"/>
        <v>F010</v>
      </c>
      <c r="Q3330" s="1" t="s">
        <v>137</v>
      </c>
      <c r="S3330" s="16">
        <v>20</v>
      </c>
      <c r="T3330" s="1" t="s">
        <v>300</v>
      </c>
      <c r="U3330" s="1" t="s">
        <v>1460</v>
      </c>
      <c r="V3330" s="1" t="s">
        <v>3495</v>
      </c>
      <c r="Y3330" s="1">
        <v>7383</v>
      </c>
      <c r="AB3330" s="1">
        <v>4675.92</v>
      </c>
    </row>
    <row r="3331" spans="2:28" x14ac:dyDescent="0.2">
      <c r="B3331" s="1" t="s">
        <v>5824</v>
      </c>
      <c r="C3331" s="36"/>
      <c r="D3331" s="36"/>
      <c r="F3331" s="1" t="s">
        <v>4158</v>
      </c>
      <c r="G3331" s="1" t="s">
        <v>5764</v>
      </c>
      <c r="K3331" s="1" t="s">
        <v>5952</v>
      </c>
      <c r="L3331" s="1" t="s">
        <v>1279</v>
      </c>
      <c r="M3331" s="36" t="s">
        <v>1436</v>
      </c>
      <c r="N3331" s="1" t="s">
        <v>2988</v>
      </c>
      <c r="O3331" s="1" t="s">
        <v>1556</v>
      </c>
      <c r="P3331" s="34" t="str">
        <f t="shared" si="65"/>
        <v>F010</v>
      </c>
      <c r="Q3331" s="1" t="s">
        <v>137</v>
      </c>
      <c r="S3331" s="16">
        <v>20</v>
      </c>
      <c r="T3331" s="1" t="s">
        <v>300</v>
      </c>
      <c r="U3331" s="1" t="s">
        <v>1641</v>
      </c>
      <c r="V3331" s="1" t="s">
        <v>2006</v>
      </c>
      <c r="Y3331" s="1">
        <v>6600</v>
      </c>
      <c r="AB3331" s="1">
        <v>6270</v>
      </c>
    </row>
    <row r="3332" spans="2:28" x14ac:dyDescent="0.2">
      <c r="B3332" s="1" t="s">
        <v>5824</v>
      </c>
      <c r="C3332" s="36"/>
      <c r="D3332" s="36"/>
      <c r="F3332" s="1" t="s">
        <v>4158</v>
      </c>
      <c r="G3332" s="1" t="s">
        <v>5953</v>
      </c>
      <c r="K3332" s="1" t="s">
        <v>5954</v>
      </c>
      <c r="L3332" s="1" t="s">
        <v>1279</v>
      </c>
      <c r="M3332" s="36" t="s">
        <v>1497</v>
      </c>
      <c r="N3332" s="1" t="s">
        <v>3317</v>
      </c>
      <c r="O3332" s="1" t="s">
        <v>1556</v>
      </c>
      <c r="P3332" s="34" t="str">
        <f t="shared" si="65"/>
        <v>F010</v>
      </c>
      <c r="Q3332" s="1" t="s">
        <v>137</v>
      </c>
      <c r="S3332" s="16">
        <v>20</v>
      </c>
      <c r="T3332" s="1" t="s">
        <v>300</v>
      </c>
      <c r="U3332" s="1" t="s">
        <v>1460</v>
      </c>
      <c r="V3332" s="1" t="s">
        <v>3495</v>
      </c>
      <c r="Y3332" s="1">
        <v>35000</v>
      </c>
      <c r="AB3332" s="1">
        <v>22166.639999999999</v>
      </c>
    </row>
    <row r="3333" spans="2:28" x14ac:dyDescent="0.2">
      <c r="B3333" s="1" t="s">
        <v>5824</v>
      </c>
      <c r="C3333" s="36"/>
      <c r="D3333" s="36"/>
      <c r="F3333" s="1" t="s">
        <v>4158</v>
      </c>
      <c r="G3333" s="1" t="s">
        <v>5955</v>
      </c>
      <c r="K3333" s="1" t="s">
        <v>5956</v>
      </c>
      <c r="L3333" s="1" t="s">
        <v>1279</v>
      </c>
      <c r="M3333" s="36" t="s">
        <v>1761</v>
      </c>
      <c r="N3333" s="1" t="s">
        <v>1295</v>
      </c>
      <c r="O3333" s="1" t="s">
        <v>1556</v>
      </c>
      <c r="P3333" s="34" t="str">
        <f t="shared" si="65"/>
        <v>F010</v>
      </c>
      <c r="Q3333" s="1" t="s">
        <v>1298</v>
      </c>
      <c r="S3333" s="16">
        <v>20</v>
      </c>
      <c r="T3333" s="1" t="s">
        <v>300</v>
      </c>
      <c r="U3333" s="1" t="s">
        <v>1878</v>
      </c>
      <c r="V3333" s="1" t="s">
        <v>1879</v>
      </c>
      <c r="Y3333" s="1">
        <v>3400</v>
      </c>
      <c r="AB3333" s="1">
        <v>3230</v>
      </c>
    </row>
    <row r="3334" spans="2:28" x14ac:dyDescent="0.2">
      <c r="B3334" s="1" t="s">
        <v>5824</v>
      </c>
      <c r="C3334" s="36"/>
      <c r="D3334" s="36"/>
      <c r="F3334" s="1" t="s">
        <v>4158</v>
      </c>
      <c r="G3334" s="1" t="s">
        <v>5955</v>
      </c>
      <c r="K3334" s="1" t="s">
        <v>5957</v>
      </c>
      <c r="L3334" s="1" t="s">
        <v>1279</v>
      </c>
      <c r="M3334" s="36" t="s">
        <v>1854</v>
      </c>
      <c r="N3334" s="1" t="s">
        <v>1288</v>
      </c>
      <c r="O3334" s="1" t="s">
        <v>1556</v>
      </c>
      <c r="P3334" s="34" t="str">
        <f t="shared" si="65"/>
        <v>F010</v>
      </c>
      <c r="Q3334" s="1" t="s">
        <v>1296</v>
      </c>
      <c r="S3334" s="16">
        <v>20</v>
      </c>
      <c r="T3334" s="1" t="s">
        <v>300</v>
      </c>
      <c r="U3334" s="1" t="s">
        <v>5912</v>
      </c>
      <c r="V3334" s="1" t="s">
        <v>4288</v>
      </c>
      <c r="Y3334" s="1">
        <v>3400</v>
      </c>
      <c r="AB3334" s="1">
        <v>3230</v>
      </c>
    </row>
    <row r="3335" spans="2:28" x14ac:dyDescent="0.2">
      <c r="B3335" s="1" t="s">
        <v>5824</v>
      </c>
      <c r="C3335" s="36"/>
      <c r="D3335" s="36"/>
      <c r="F3335" s="1" t="s">
        <v>4158</v>
      </c>
      <c r="G3335" s="1" t="s">
        <v>5958</v>
      </c>
      <c r="K3335" s="1" t="s">
        <v>5959</v>
      </c>
      <c r="L3335" s="1" t="s">
        <v>1279</v>
      </c>
      <c r="M3335" s="36" t="s">
        <v>1826</v>
      </c>
      <c r="N3335" s="1" t="s">
        <v>1903</v>
      </c>
      <c r="O3335" s="1" t="s">
        <v>1556</v>
      </c>
      <c r="P3335" s="34" t="str">
        <f t="shared" si="65"/>
        <v>F010</v>
      </c>
      <c r="Q3335" s="1" t="s">
        <v>127</v>
      </c>
      <c r="S3335" s="16">
        <v>20</v>
      </c>
      <c r="T3335" s="1" t="s">
        <v>300</v>
      </c>
      <c r="U3335" s="1" t="s">
        <v>4451</v>
      </c>
      <c r="V3335" s="1" t="s">
        <v>4533</v>
      </c>
      <c r="Y3335" s="1">
        <v>24500</v>
      </c>
      <c r="AB3335" s="1">
        <v>23275</v>
      </c>
    </row>
    <row r="3336" spans="2:28" x14ac:dyDescent="0.2">
      <c r="B3336" s="1" t="s">
        <v>5824</v>
      </c>
      <c r="C3336" s="36"/>
      <c r="D3336" s="36"/>
      <c r="F3336" s="1" t="s">
        <v>4158</v>
      </c>
      <c r="G3336" s="1" t="s">
        <v>5960</v>
      </c>
      <c r="K3336" s="1" t="s">
        <v>5961</v>
      </c>
      <c r="L3336" s="1" t="s">
        <v>1279</v>
      </c>
      <c r="M3336" s="36" t="s">
        <v>2081</v>
      </c>
      <c r="N3336" s="1" t="s">
        <v>1294</v>
      </c>
      <c r="O3336" s="1" t="s">
        <v>1556</v>
      </c>
      <c r="P3336" s="34" t="str">
        <f t="shared" si="65"/>
        <v>F010</v>
      </c>
      <c r="Q3336" s="1" t="s">
        <v>127</v>
      </c>
      <c r="S3336" s="16">
        <v>20</v>
      </c>
      <c r="T3336" s="1" t="s">
        <v>300</v>
      </c>
      <c r="U3336" s="1" t="s">
        <v>2343</v>
      </c>
      <c r="V3336" s="1" t="s">
        <v>2006</v>
      </c>
      <c r="Y3336" s="1">
        <v>19800</v>
      </c>
      <c r="AB3336" s="1">
        <v>18810</v>
      </c>
    </row>
    <row r="3337" spans="2:28" x14ac:dyDescent="0.2">
      <c r="B3337" s="1" t="s">
        <v>5962</v>
      </c>
      <c r="C3337" s="36"/>
      <c r="D3337" s="36"/>
      <c r="F3337" s="1" t="s">
        <v>4158</v>
      </c>
      <c r="G3337" s="1" t="s">
        <v>5963</v>
      </c>
      <c r="K3337" s="1" t="s">
        <v>5964</v>
      </c>
      <c r="L3337" s="1" t="s">
        <v>1279</v>
      </c>
      <c r="M3337" s="36" t="s">
        <v>5965</v>
      </c>
      <c r="N3337" s="1" t="s">
        <v>1285</v>
      </c>
      <c r="O3337" s="1" t="s">
        <v>1556</v>
      </c>
      <c r="P3337" s="34" t="str">
        <f t="shared" si="65"/>
        <v>F010</v>
      </c>
      <c r="Q3337" s="1" t="s">
        <v>127</v>
      </c>
      <c r="S3337" s="16">
        <v>20</v>
      </c>
      <c r="T3337" s="1" t="s">
        <v>300</v>
      </c>
      <c r="U3337" s="1" t="s">
        <v>1414</v>
      </c>
      <c r="V3337" s="1" t="s">
        <v>1805</v>
      </c>
      <c r="Y3337" s="1">
        <v>12876531.609999999</v>
      </c>
      <c r="AB3337" s="1">
        <v>12232705.029999999</v>
      </c>
    </row>
    <row r="3338" spans="2:28" x14ac:dyDescent="0.2">
      <c r="B3338" s="1" t="s">
        <v>5962</v>
      </c>
      <c r="C3338" s="36"/>
      <c r="D3338" s="36"/>
      <c r="F3338" s="1" t="s">
        <v>4158</v>
      </c>
      <c r="G3338" s="1" t="s">
        <v>5966</v>
      </c>
      <c r="K3338" s="1" t="s">
        <v>5967</v>
      </c>
      <c r="L3338" s="1" t="s">
        <v>1279</v>
      </c>
      <c r="M3338" s="36" t="s">
        <v>5965</v>
      </c>
      <c r="N3338" s="1" t="s">
        <v>1285</v>
      </c>
      <c r="O3338" s="1" t="s">
        <v>1556</v>
      </c>
      <c r="P3338" s="34" t="str">
        <f t="shared" si="65"/>
        <v>F010</v>
      </c>
      <c r="Q3338" s="1" t="s">
        <v>127</v>
      </c>
      <c r="S3338" s="16">
        <v>20</v>
      </c>
      <c r="T3338" s="1" t="s">
        <v>300</v>
      </c>
      <c r="U3338" s="1" t="s">
        <v>1414</v>
      </c>
      <c r="V3338" s="1" t="s">
        <v>1529</v>
      </c>
      <c r="Y3338" s="1">
        <v>19849721.600000001</v>
      </c>
      <c r="AB3338" s="1">
        <v>18857235.52</v>
      </c>
    </row>
    <row r="3339" spans="2:28" x14ac:dyDescent="0.2">
      <c r="B3339" s="1" t="s">
        <v>5962</v>
      </c>
      <c r="C3339" s="36"/>
      <c r="D3339" s="36"/>
      <c r="F3339" s="1" t="s">
        <v>4158</v>
      </c>
      <c r="G3339" s="1" t="s">
        <v>5968</v>
      </c>
      <c r="K3339" s="1" t="s">
        <v>5969</v>
      </c>
      <c r="L3339" s="1" t="s">
        <v>1279</v>
      </c>
      <c r="M3339" s="36" t="s">
        <v>1414</v>
      </c>
      <c r="N3339" s="1" t="s">
        <v>1285</v>
      </c>
      <c r="O3339" s="1" t="s">
        <v>1556</v>
      </c>
      <c r="P3339" s="34" t="str">
        <f t="shared" si="65"/>
        <v>F010</v>
      </c>
      <c r="Q3339" s="1" t="s">
        <v>127</v>
      </c>
      <c r="S3339" s="16">
        <v>20</v>
      </c>
      <c r="T3339" s="1" t="s">
        <v>300</v>
      </c>
      <c r="U3339" s="1" t="s">
        <v>1421</v>
      </c>
      <c r="V3339" s="1" t="s">
        <v>5112</v>
      </c>
      <c r="Y3339" s="1">
        <v>6396598.79</v>
      </c>
      <c r="AB3339" s="1">
        <v>6076768.8499999996</v>
      </c>
    </row>
    <row r="3340" spans="2:28" x14ac:dyDescent="0.2">
      <c r="Y3340" s="43">
        <f>SUM(Y10:Y3339)</f>
        <v>612033066.74001038</v>
      </c>
    </row>
    <row r="3341" spans="2:28" x14ac:dyDescent="0.2">
      <c r="Y3341" s="43">
        <v>612033066.74000001</v>
      </c>
    </row>
    <row r="3342" spans="2:28" x14ac:dyDescent="0.2">
      <c r="Y3342" s="43"/>
    </row>
    <row r="3343" spans="2:28" x14ac:dyDescent="0.2">
      <c r="Y3343" s="66"/>
    </row>
  </sheetData>
  <mergeCells count="1">
    <mergeCell ref="A1:H2"/>
  </mergeCells>
  <phoneticPr fontId="4" type="noConversion"/>
  <pageMargins left="0.7" right="0.7" top="0.75" bottom="0.75" header="0.3" footer="0.3"/>
  <pageSetup paperSize="9" orientation="portrait" horizontalDpi="4294967294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P34" sqref="P34"/>
    </sheetView>
  </sheetViews>
  <sheetFormatPr defaultRowHeight="14.25" x14ac:dyDescent="0.2"/>
  <sheetData/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24"/>
  <sheetViews>
    <sheetView workbookViewId="0">
      <selection activeCell="C21" sqref="C21"/>
    </sheetView>
  </sheetViews>
  <sheetFormatPr defaultRowHeight="14.25" x14ac:dyDescent="0.2"/>
  <cols>
    <col min="2" max="2" width="21.375" bestFit="1" customWidth="1"/>
    <col min="4" max="4" width="28.625" customWidth="1"/>
    <col min="5" max="5" width="17.5" customWidth="1"/>
    <col min="8" max="8" width="26" customWidth="1"/>
    <col min="10" max="10" width="7.75" bestFit="1" customWidth="1"/>
    <col min="11" max="11" width="23.5" customWidth="1"/>
    <col min="12" max="12" width="7.875" customWidth="1"/>
    <col min="13" max="13" width="26" customWidth="1"/>
  </cols>
  <sheetData>
    <row r="1" spans="1:15" ht="40.5" x14ac:dyDescent="0.2">
      <c r="A1" s="73" t="s">
        <v>122</v>
      </c>
      <c r="B1" s="74"/>
      <c r="C1" s="74"/>
      <c r="D1" s="74"/>
      <c r="E1" s="74"/>
      <c r="G1" s="2" t="s">
        <v>6007</v>
      </c>
      <c r="H1" s="2" t="s">
        <v>6008</v>
      </c>
      <c r="J1" s="2" t="s">
        <v>6009</v>
      </c>
      <c r="K1" s="2" t="s">
        <v>6062</v>
      </c>
      <c r="L1" s="2" t="s">
        <v>6009</v>
      </c>
      <c r="M1" s="2" t="s">
        <v>6062</v>
      </c>
    </row>
    <row r="2" spans="1:15" x14ac:dyDescent="0.2">
      <c r="A2" s="75" t="s">
        <v>5989</v>
      </c>
      <c r="B2" s="75"/>
      <c r="C2" s="75" t="s">
        <v>5990</v>
      </c>
      <c r="D2" s="75"/>
      <c r="E2" s="75"/>
      <c r="G2" s="67" t="s">
        <v>1294</v>
      </c>
      <c r="H2" s="67" t="s">
        <v>6010</v>
      </c>
      <c r="J2" s="67" t="s">
        <v>127</v>
      </c>
      <c r="K2" s="67" t="s">
        <v>128</v>
      </c>
      <c r="L2" s="11" t="s">
        <v>6111</v>
      </c>
      <c r="M2" s="67" t="s">
        <v>128</v>
      </c>
    </row>
    <row r="3" spans="1:15" x14ac:dyDescent="0.2">
      <c r="A3" s="69" t="s">
        <v>6063</v>
      </c>
      <c r="B3" s="70" t="s">
        <v>5970</v>
      </c>
      <c r="C3" s="68">
        <v>51000</v>
      </c>
      <c r="D3" s="68" t="s">
        <v>370</v>
      </c>
      <c r="E3" s="68" t="s">
        <v>371</v>
      </c>
      <c r="G3" s="67" t="s">
        <v>5991</v>
      </c>
      <c r="H3" s="67" t="s">
        <v>6011</v>
      </c>
      <c r="J3" s="81" t="s">
        <v>6124</v>
      </c>
      <c r="K3" s="67" t="s">
        <v>1139</v>
      </c>
      <c r="L3" s="11" t="s">
        <v>6112</v>
      </c>
      <c r="M3" s="67" t="s">
        <v>1139</v>
      </c>
    </row>
    <row r="4" spans="1:15" x14ac:dyDescent="0.2">
      <c r="A4" s="69" t="s">
        <v>6064</v>
      </c>
      <c r="B4" s="70" t="s">
        <v>5971</v>
      </c>
      <c r="C4" s="12">
        <v>80001</v>
      </c>
      <c r="D4" s="12" t="s">
        <v>121</v>
      </c>
      <c r="E4" s="12" t="s">
        <v>376</v>
      </c>
      <c r="G4" s="67" t="s">
        <v>1285</v>
      </c>
      <c r="H4" s="67" t="s">
        <v>402</v>
      </c>
      <c r="J4" s="67" t="s">
        <v>129</v>
      </c>
      <c r="K4" s="67" t="s">
        <v>94</v>
      </c>
      <c r="L4" s="11" t="s">
        <v>6113</v>
      </c>
      <c r="M4" s="67" t="s">
        <v>94</v>
      </c>
    </row>
    <row r="5" spans="1:15" x14ac:dyDescent="0.2">
      <c r="A5" s="69" t="s">
        <v>6065</v>
      </c>
      <c r="B5" s="70" t="s">
        <v>5972</v>
      </c>
      <c r="C5" s="12">
        <v>90001</v>
      </c>
      <c r="D5" s="12" t="s">
        <v>119</v>
      </c>
      <c r="E5" s="12" t="s">
        <v>120</v>
      </c>
      <c r="G5" s="67" t="s">
        <v>5992</v>
      </c>
      <c r="H5" s="67" t="s">
        <v>6012</v>
      </c>
      <c r="J5" s="67" t="s">
        <v>130</v>
      </c>
      <c r="K5" s="67" t="s">
        <v>95</v>
      </c>
      <c r="L5" s="11" t="s">
        <v>6114</v>
      </c>
      <c r="M5" s="67" t="s">
        <v>95</v>
      </c>
    </row>
    <row r="6" spans="1:15" x14ac:dyDescent="0.2">
      <c r="A6" s="71" t="s">
        <v>6066</v>
      </c>
      <c r="B6" s="72" t="s">
        <v>5973</v>
      </c>
      <c r="C6" s="12">
        <v>41000</v>
      </c>
      <c r="D6" s="12" t="s">
        <v>113</v>
      </c>
      <c r="E6" s="12" t="s">
        <v>114</v>
      </c>
      <c r="G6" s="67" t="s">
        <v>5993</v>
      </c>
      <c r="H6" s="67" t="s">
        <v>6006</v>
      </c>
      <c r="J6" s="67" t="s">
        <v>131</v>
      </c>
      <c r="K6" s="67" t="s">
        <v>96</v>
      </c>
      <c r="L6" s="11" t="s">
        <v>6115</v>
      </c>
      <c r="M6" s="67" t="s">
        <v>96</v>
      </c>
      <c r="N6" t="s">
        <v>6098</v>
      </c>
      <c r="O6" t="s">
        <v>6099</v>
      </c>
    </row>
    <row r="7" spans="1:15" x14ac:dyDescent="0.2">
      <c r="A7" s="69" t="s">
        <v>6067</v>
      </c>
      <c r="B7" s="70" t="s">
        <v>5974</v>
      </c>
      <c r="C7" s="12">
        <v>41000</v>
      </c>
      <c r="D7" s="12" t="s">
        <v>113</v>
      </c>
      <c r="E7" s="12" t="s">
        <v>114</v>
      </c>
      <c r="G7" s="67" t="s">
        <v>2094</v>
      </c>
      <c r="H7" s="67" t="s">
        <v>6013</v>
      </c>
      <c r="J7" s="67" t="s">
        <v>132</v>
      </c>
      <c r="K7" s="67" t="s">
        <v>97</v>
      </c>
      <c r="L7" s="11" t="s">
        <v>6116</v>
      </c>
      <c r="M7" s="67" t="s">
        <v>97</v>
      </c>
    </row>
    <row r="8" spans="1:15" x14ac:dyDescent="0.2">
      <c r="A8" s="69" t="s">
        <v>6068</v>
      </c>
      <c r="B8" s="70" t="s">
        <v>5975</v>
      </c>
      <c r="C8" s="12">
        <v>41001</v>
      </c>
      <c r="D8" s="12" t="s">
        <v>368</v>
      </c>
      <c r="E8" s="12" t="s">
        <v>369</v>
      </c>
      <c r="G8" s="67" t="s">
        <v>1284</v>
      </c>
      <c r="H8" s="67" t="s">
        <v>6014</v>
      </c>
      <c r="J8" s="67" t="s">
        <v>133</v>
      </c>
      <c r="K8" s="67" t="s">
        <v>98</v>
      </c>
      <c r="L8" s="11" t="s">
        <v>6117</v>
      </c>
      <c r="M8" s="67" t="s">
        <v>98</v>
      </c>
      <c r="N8" t="s">
        <v>4586</v>
      </c>
      <c r="O8" t="s">
        <v>6101</v>
      </c>
    </row>
    <row r="9" spans="1:15" x14ac:dyDescent="0.2">
      <c r="A9" s="69" t="s">
        <v>6069</v>
      </c>
      <c r="B9" s="70" t="s">
        <v>5976</v>
      </c>
      <c r="C9" s="12">
        <v>32000</v>
      </c>
      <c r="D9" s="12" t="s">
        <v>111</v>
      </c>
      <c r="E9" s="12" t="s">
        <v>112</v>
      </c>
      <c r="G9" s="67" t="s">
        <v>1564</v>
      </c>
      <c r="H9" s="67" t="s">
        <v>6015</v>
      </c>
      <c r="J9" s="67" t="s">
        <v>134</v>
      </c>
      <c r="K9" s="67" t="s">
        <v>99</v>
      </c>
      <c r="L9" s="11" t="s">
        <v>6118</v>
      </c>
      <c r="M9" s="67" t="s">
        <v>99</v>
      </c>
      <c r="N9" t="s">
        <v>1298</v>
      </c>
      <c r="O9" t="s">
        <v>6102</v>
      </c>
    </row>
    <row r="10" spans="1:15" x14ac:dyDescent="0.2">
      <c r="A10" s="69" t="s">
        <v>6070</v>
      </c>
      <c r="B10" s="70" t="s">
        <v>5977</v>
      </c>
      <c r="C10" s="67"/>
      <c r="D10" s="67"/>
      <c r="E10" s="67"/>
      <c r="G10" s="67" t="s">
        <v>3337</v>
      </c>
      <c r="H10" s="67" t="s">
        <v>430</v>
      </c>
      <c r="J10" s="67" t="s">
        <v>135</v>
      </c>
      <c r="K10" s="67" t="s">
        <v>100</v>
      </c>
      <c r="L10" s="11" t="s">
        <v>6119</v>
      </c>
      <c r="M10" s="67" t="s">
        <v>100</v>
      </c>
      <c r="N10" t="s">
        <v>1297</v>
      </c>
      <c r="O10" t="s">
        <v>6103</v>
      </c>
    </row>
    <row r="11" spans="1:15" x14ac:dyDescent="0.2">
      <c r="A11" s="69" t="s">
        <v>6071</v>
      </c>
      <c r="B11" s="70" t="s">
        <v>5978</v>
      </c>
      <c r="C11" s="67"/>
      <c r="D11" s="67"/>
      <c r="E11" s="67"/>
      <c r="G11" s="67" t="s">
        <v>2497</v>
      </c>
      <c r="H11" s="67" t="s">
        <v>6016</v>
      </c>
      <c r="J11" s="67" t="s">
        <v>136</v>
      </c>
      <c r="K11" s="67" t="s">
        <v>101</v>
      </c>
      <c r="L11" s="11" t="s">
        <v>6120</v>
      </c>
      <c r="M11" s="67" t="s">
        <v>101</v>
      </c>
      <c r="N11" t="s">
        <v>6104</v>
      </c>
      <c r="O11" t="s">
        <v>6105</v>
      </c>
    </row>
    <row r="12" spans="1:15" x14ac:dyDescent="0.2">
      <c r="A12" s="69" t="s">
        <v>6072</v>
      </c>
      <c r="B12" s="70" t="s">
        <v>5979</v>
      </c>
      <c r="C12" s="67"/>
      <c r="D12" s="67"/>
      <c r="E12" s="67"/>
      <c r="G12" s="67" t="s">
        <v>2486</v>
      </c>
      <c r="H12" s="67" t="s">
        <v>6017</v>
      </c>
      <c r="J12" s="67" t="s">
        <v>137</v>
      </c>
      <c r="K12" s="67" t="s">
        <v>1134</v>
      </c>
      <c r="L12" s="11" t="s">
        <v>6121</v>
      </c>
      <c r="M12" s="67" t="s">
        <v>1134</v>
      </c>
      <c r="N12" t="s">
        <v>6106</v>
      </c>
      <c r="O12" t="s">
        <v>6107</v>
      </c>
    </row>
    <row r="13" spans="1:15" x14ac:dyDescent="0.2">
      <c r="A13" s="69" t="s">
        <v>6073</v>
      </c>
      <c r="B13" s="70" t="s">
        <v>5980</v>
      </c>
      <c r="C13" s="12">
        <v>11001</v>
      </c>
      <c r="D13" s="12" t="s">
        <v>104</v>
      </c>
      <c r="E13" s="12" t="s">
        <v>105</v>
      </c>
      <c r="G13" s="67" t="s">
        <v>5994</v>
      </c>
      <c r="H13" s="67" t="s">
        <v>6018</v>
      </c>
      <c r="J13" s="67" t="s">
        <v>138</v>
      </c>
      <c r="K13" s="67" t="s">
        <v>1135</v>
      </c>
      <c r="L13" s="79" t="s">
        <v>6122</v>
      </c>
      <c r="M13" s="67" t="s">
        <v>1135</v>
      </c>
      <c r="N13" t="s">
        <v>6108</v>
      </c>
      <c r="O13" t="s">
        <v>6109</v>
      </c>
    </row>
    <row r="14" spans="1:15" x14ac:dyDescent="0.2">
      <c r="A14" s="69" t="s">
        <v>6074</v>
      </c>
      <c r="B14" s="70" t="s">
        <v>5981</v>
      </c>
      <c r="C14" s="12">
        <v>11002</v>
      </c>
      <c r="D14" s="12" t="s">
        <v>106</v>
      </c>
      <c r="E14" s="12" t="s">
        <v>367</v>
      </c>
      <c r="G14" s="67" t="s">
        <v>2495</v>
      </c>
      <c r="H14" s="67" t="s">
        <v>6019</v>
      </c>
      <c r="J14" s="67" t="s">
        <v>1136</v>
      </c>
      <c r="K14" s="67" t="s">
        <v>1137</v>
      </c>
      <c r="L14" s="11" t="s">
        <v>6123</v>
      </c>
      <c r="M14" s="80" t="s">
        <v>1137</v>
      </c>
    </row>
    <row r="15" spans="1:15" x14ac:dyDescent="0.2">
      <c r="A15" s="69" t="s">
        <v>6075</v>
      </c>
      <c r="B15" s="70" t="s">
        <v>5982</v>
      </c>
      <c r="C15" s="12">
        <v>11000</v>
      </c>
      <c r="D15" s="12" t="s">
        <v>102</v>
      </c>
      <c r="E15" s="12" t="s">
        <v>103</v>
      </c>
      <c r="G15" s="67" t="s">
        <v>2601</v>
      </c>
      <c r="H15" s="67" t="s">
        <v>6020</v>
      </c>
      <c r="J15" s="77" t="s">
        <v>1296</v>
      </c>
      <c r="K15" s="77" t="s">
        <v>6110</v>
      </c>
      <c r="L15" s="77" t="s">
        <v>6110</v>
      </c>
    </row>
    <row r="16" spans="1:15" x14ac:dyDescent="0.2">
      <c r="A16" s="69" t="s">
        <v>6076</v>
      </c>
      <c r="B16" s="70" t="s">
        <v>5983</v>
      </c>
      <c r="C16" s="12">
        <v>20000</v>
      </c>
      <c r="D16" s="12" t="s">
        <v>109</v>
      </c>
      <c r="E16" s="12" t="s">
        <v>110</v>
      </c>
      <c r="G16" s="67" t="s">
        <v>3242</v>
      </c>
      <c r="H16" s="67" t="s">
        <v>457</v>
      </c>
      <c r="J16" s="77" t="s">
        <v>1297</v>
      </c>
      <c r="K16" s="77" t="s">
        <v>6103</v>
      </c>
      <c r="L16" s="77" t="s">
        <v>6103</v>
      </c>
    </row>
    <row r="17" spans="1:12" x14ac:dyDescent="0.2">
      <c r="A17" s="69" t="s">
        <v>6077</v>
      </c>
      <c r="B17" s="70" t="s">
        <v>5984</v>
      </c>
      <c r="C17" s="12">
        <v>51001</v>
      </c>
      <c r="D17" s="12" t="s">
        <v>372</v>
      </c>
      <c r="E17" s="12" t="s">
        <v>373</v>
      </c>
      <c r="G17" s="67" t="s">
        <v>5995</v>
      </c>
      <c r="H17" s="67" t="s">
        <v>6021</v>
      </c>
      <c r="J17" s="77" t="s">
        <v>1298</v>
      </c>
      <c r="K17" s="77" t="s">
        <v>6102</v>
      </c>
      <c r="L17" s="77" t="s">
        <v>6102</v>
      </c>
    </row>
    <row r="18" spans="1:12" x14ac:dyDescent="0.2">
      <c r="A18" s="69" t="s">
        <v>6078</v>
      </c>
      <c r="B18" s="70" t="s">
        <v>5985</v>
      </c>
      <c r="C18" s="12">
        <v>30000</v>
      </c>
      <c r="D18" s="12" t="s">
        <v>107</v>
      </c>
      <c r="E18" s="12" t="s">
        <v>108</v>
      </c>
      <c r="G18" s="67" t="s">
        <v>5996</v>
      </c>
      <c r="H18" s="67" t="s">
        <v>463</v>
      </c>
      <c r="J18" s="77" t="s">
        <v>4330</v>
      </c>
      <c r="K18" s="77" t="s">
        <v>6100</v>
      </c>
      <c r="L18" s="77" t="s">
        <v>6100</v>
      </c>
    </row>
    <row r="19" spans="1:12" x14ac:dyDescent="0.2">
      <c r="A19" s="69" t="s">
        <v>6079</v>
      </c>
      <c r="B19" s="70" t="s">
        <v>5986</v>
      </c>
      <c r="C19" s="12">
        <v>72001</v>
      </c>
      <c r="D19" s="12" t="s">
        <v>115</v>
      </c>
      <c r="E19" s="12" t="s">
        <v>116</v>
      </c>
      <c r="G19" s="67" t="s">
        <v>2934</v>
      </c>
      <c r="H19" s="67" t="s">
        <v>6022</v>
      </c>
      <c r="J19" s="77" t="s">
        <v>4586</v>
      </c>
      <c r="K19" s="77" t="s">
        <v>6101</v>
      </c>
      <c r="L19" s="77" t="s">
        <v>6101</v>
      </c>
    </row>
    <row r="20" spans="1:12" x14ac:dyDescent="0.2">
      <c r="A20" s="69" t="s">
        <v>6080</v>
      </c>
      <c r="B20" s="70" t="s">
        <v>5987</v>
      </c>
      <c r="C20" s="12">
        <v>73000</v>
      </c>
      <c r="D20" s="12" t="s">
        <v>117</v>
      </c>
      <c r="E20" s="12" t="s">
        <v>118</v>
      </c>
      <c r="G20" s="67" t="s">
        <v>1637</v>
      </c>
      <c r="H20" s="67" t="s">
        <v>6023</v>
      </c>
    </row>
    <row r="21" spans="1:12" x14ac:dyDescent="0.2">
      <c r="A21" s="69" t="s">
        <v>6081</v>
      </c>
      <c r="B21" s="70" t="s">
        <v>5988</v>
      </c>
      <c r="C21" s="12">
        <v>73001</v>
      </c>
      <c r="D21" s="12" t="s">
        <v>374</v>
      </c>
      <c r="E21" s="12" t="s">
        <v>375</v>
      </c>
      <c r="G21" s="67" t="s">
        <v>3615</v>
      </c>
      <c r="H21" s="67" t="s">
        <v>6024</v>
      </c>
    </row>
    <row r="22" spans="1:12" x14ac:dyDescent="0.2">
      <c r="G22" s="67" t="s">
        <v>1568</v>
      </c>
      <c r="H22" s="67" t="s">
        <v>6025</v>
      </c>
    </row>
    <row r="23" spans="1:12" x14ac:dyDescent="0.2">
      <c r="G23" s="67" t="s">
        <v>2946</v>
      </c>
      <c r="H23" s="67" t="s">
        <v>6026</v>
      </c>
    </row>
    <row r="24" spans="1:12" x14ac:dyDescent="0.2">
      <c r="G24" s="67" t="s">
        <v>1715</v>
      </c>
      <c r="H24" s="67" t="s">
        <v>6027</v>
      </c>
    </row>
    <row r="25" spans="1:12" x14ac:dyDescent="0.2">
      <c r="G25" s="67" t="s">
        <v>3072</v>
      </c>
      <c r="H25" s="67" t="s">
        <v>482</v>
      </c>
    </row>
    <row r="26" spans="1:12" x14ac:dyDescent="0.2">
      <c r="G26" s="67" t="s">
        <v>1556</v>
      </c>
      <c r="H26" s="67" t="s">
        <v>6028</v>
      </c>
    </row>
    <row r="27" spans="1:12" x14ac:dyDescent="0.2">
      <c r="G27" s="67" t="s">
        <v>1281</v>
      </c>
      <c r="H27" s="67" t="s">
        <v>491</v>
      </c>
    </row>
    <row r="28" spans="1:12" x14ac:dyDescent="0.2">
      <c r="G28" s="67" t="s">
        <v>3582</v>
      </c>
      <c r="H28" s="67" t="s">
        <v>6029</v>
      </c>
    </row>
    <row r="29" spans="1:12" x14ac:dyDescent="0.2">
      <c r="G29" s="67" t="s">
        <v>1708</v>
      </c>
      <c r="H29" s="67" t="s">
        <v>6030</v>
      </c>
    </row>
    <row r="30" spans="1:12" x14ac:dyDescent="0.2">
      <c r="G30" s="67" t="s">
        <v>2866</v>
      </c>
      <c r="H30" s="67" t="s">
        <v>6031</v>
      </c>
    </row>
    <row r="31" spans="1:12" x14ac:dyDescent="0.2">
      <c r="G31" s="67" t="s">
        <v>1630</v>
      </c>
      <c r="H31" s="67" t="s">
        <v>6032</v>
      </c>
    </row>
    <row r="32" spans="1:12" x14ac:dyDescent="0.2">
      <c r="G32" s="67" t="s">
        <v>1335</v>
      </c>
      <c r="H32" s="67" t="s">
        <v>6033</v>
      </c>
    </row>
    <row r="33" spans="7:8" x14ac:dyDescent="0.2">
      <c r="G33" s="67" t="s">
        <v>1833</v>
      </c>
      <c r="H33" s="67" t="s">
        <v>6034</v>
      </c>
    </row>
    <row r="34" spans="7:8" x14ac:dyDescent="0.2">
      <c r="G34" s="67" t="s">
        <v>3222</v>
      </c>
      <c r="H34" s="67" t="s">
        <v>510</v>
      </c>
    </row>
    <row r="35" spans="7:8" x14ac:dyDescent="0.2">
      <c r="G35" s="67" t="s">
        <v>1283</v>
      </c>
      <c r="H35" s="67" t="s">
        <v>517</v>
      </c>
    </row>
    <row r="36" spans="7:8" x14ac:dyDescent="0.2">
      <c r="G36" s="67" t="s">
        <v>1287</v>
      </c>
      <c r="H36" s="67" t="s">
        <v>6035</v>
      </c>
    </row>
    <row r="37" spans="7:8" x14ac:dyDescent="0.2">
      <c r="G37" s="67" t="s">
        <v>1286</v>
      </c>
      <c r="H37" s="67" t="s">
        <v>6036</v>
      </c>
    </row>
    <row r="38" spans="7:8" x14ac:dyDescent="0.2">
      <c r="G38" s="67" t="s">
        <v>1577</v>
      </c>
      <c r="H38" s="67" t="s">
        <v>6037</v>
      </c>
    </row>
    <row r="39" spans="7:8" x14ac:dyDescent="0.2">
      <c r="G39" s="67" t="s">
        <v>2233</v>
      </c>
      <c r="H39" s="67" t="s">
        <v>6038</v>
      </c>
    </row>
    <row r="40" spans="7:8" x14ac:dyDescent="0.2">
      <c r="G40" s="67" t="s">
        <v>2611</v>
      </c>
      <c r="H40" s="67" t="s">
        <v>6039</v>
      </c>
    </row>
    <row r="41" spans="7:8" x14ac:dyDescent="0.2">
      <c r="G41" s="67" t="s">
        <v>3769</v>
      </c>
      <c r="H41" s="67" t="s">
        <v>6040</v>
      </c>
    </row>
    <row r="42" spans="7:8" x14ac:dyDescent="0.2">
      <c r="G42" s="67" t="s">
        <v>5997</v>
      </c>
      <c r="H42" s="67" t="s">
        <v>6041</v>
      </c>
    </row>
    <row r="43" spans="7:8" x14ac:dyDescent="0.2">
      <c r="G43" s="67" t="s">
        <v>5998</v>
      </c>
      <c r="H43" s="67" t="s">
        <v>6042</v>
      </c>
    </row>
    <row r="44" spans="7:8" x14ac:dyDescent="0.2">
      <c r="G44" s="67" t="s">
        <v>1573</v>
      </c>
      <c r="H44" s="67" t="s">
        <v>6043</v>
      </c>
    </row>
    <row r="45" spans="7:8" x14ac:dyDescent="0.2">
      <c r="G45" s="67" t="s">
        <v>3340</v>
      </c>
      <c r="H45" s="67" t="s">
        <v>6044</v>
      </c>
    </row>
    <row r="46" spans="7:8" x14ac:dyDescent="0.2">
      <c r="G46" s="67" t="s">
        <v>1658</v>
      </c>
      <c r="H46" s="67" t="s">
        <v>6045</v>
      </c>
    </row>
    <row r="47" spans="7:8" x14ac:dyDescent="0.2">
      <c r="G47" s="67" t="s">
        <v>1837</v>
      </c>
      <c r="H47" s="67" t="s">
        <v>6046</v>
      </c>
    </row>
    <row r="48" spans="7:8" x14ac:dyDescent="0.2">
      <c r="G48" s="67" t="s">
        <v>3092</v>
      </c>
      <c r="H48" s="67" t="s">
        <v>553</v>
      </c>
    </row>
    <row r="49" spans="7:8" x14ac:dyDescent="0.2">
      <c r="G49" s="67" t="s">
        <v>2925</v>
      </c>
      <c r="H49" s="67" t="s">
        <v>555</v>
      </c>
    </row>
    <row r="50" spans="7:8" x14ac:dyDescent="0.2">
      <c r="G50" s="67" t="s">
        <v>3083</v>
      </c>
      <c r="H50" s="67" t="s">
        <v>557</v>
      </c>
    </row>
    <row r="51" spans="7:8" x14ac:dyDescent="0.2">
      <c r="G51" s="67" t="s">
        <v>3150</v>
      </c>
      <c r="H51" s="67" t="s">
        <v>559</v>
      </c>
    </row>
    <row r="52" spans="7:8" x14ac:dyDescent="0.2">
      <c r="G52" s="67" t="s">
        <v>3504</v>
      </c>
      <c r="H52" s="67" t="s">
        <v>6047</v>
      </c>
    </row>
    <row r="53" spans="7:8" x14ac:dyDescent="0.2">
      <c r="G53" s="67" t="s">
        <v>4760</v>
      </c>
      <c r="H53" s="67" t="s">
        <v>6048</v>
      </c>
    </row>
    <row r="54" spans="7:8" x14ac:dyDescent="0.2">
      <c r="G54" s="67" t="s">
        <v>5999</v>
      </c>
      <c r="H54" s="67" t="s">
        <v>6049</v>
      </c>
    </row>
    <row r="55" spans="7:8" x14ac:dyDescent="0.2">
      <c r="G55" s="67" t="s">
        <v>1754</v>
      </c>
      <c r="H55" s="67" t="s">
        <v>6050</v>
      </c>
    </row>
    <row r="56" spans="7:8" x14ac:dyDescent="0.2">
      <c r="G56" s="67" t="s">
        <v>3289</v>
      </c>
      <c r="H56" s="67" t="s">
        <v>625</v>
      </c>
    </row>
    <row r="57" spans="7:8" x14ac:dyDescent="0.2">
      <c r="G57" s="67" t="s">
        <v>3390</v>
      </c>
      <c r="H57" s="67" t="s">
        <v>6051</v>
      </c>
    </row>
    <row r="58" spans="7:8" x14ac:dyDescent="0.2">
      <c r="G58" s="67" t="s">
        <v>6000</v>
      </c>
      <c r="H58" s="67" t="s">
        <v>658</v>
      </c>
    </row>
    <row r="59" spans="7:8" x14ac:dyDescent="0.2">
      <c r="G59" s="67" t="s">
        <v>1795</v>
      </c>
      <c r="H59" s="67" t="s">
        <v>6052</v>
      </c>
    </row>
    <row r="60" spans="7:8" x14ac:dyDescent="0.2">
      <c r="G60" s="67" t="s">
        <v>6001</v>
      </c>
      <c r="H60" s="67" t="s">
        <v>671</v>
      </c>
    </row>
    <row r="61" spans="7:8" x14ac:dyDescent="0.2">
      <c r="G61" s="67" t="s">
        <v>6002</v>
      </c>
      <c r="H61" s="67" t="s">
        <v>690</v>
      </c>
    </row>
    <row r="62" spans="7:8" x14ac:dyDescent="0.2">
      <c r="G62" s="67" t="s">
        <v>6003</v>
      </c>
      <c r="H62" s="67" t="s">
        <v>699</v>
      </c>
    </row>
    <row r="63" spans="7:8" x14ac:dyDescent="0.2">
      <c r="G63" s="67" t="s">
        <v>1788</v>
      </c>
      <c r="H63" s="67" t="s">
        <v>6053</v>
      </c>
    </row>
    <row r="64" spans="7:8" x14ac:dyDescent="0.2">
      <c r="G64" s="67" t="s">
        <v>2400</v>
      </c>
      <c r="H64" s="67" t="s">
        <v>709</v>
      </c>
    </row>
    <row r="65" spans="7:8" x14ac:dyDescent="0.2">
      <c r="G65" s="67" t="s">
        <v>1605</v>
      </c>
      <c r="H65" s="67" t="s">
        <v>6054</v>
      </c>
    </row>
    <row r="66" spans="7:8" x14ac:dyDescent="0.2">
      <c r="G66" s="67" t="s">
        <v>2546</v>
      </c>
      <c r="H66" s="67" t="s">
        <v>731</v>
      </c>
    </row>
    <row r="67" spans="7:8" x14ac:dyDescent="0.2">
      <c r="G67" s="67" t="s">
        <v>1534</v>
      </c>
      <c r="H67" s="67" t="s">
        <v>6055</v>
      </c>
    </row>
    <row r="68" spans="7:8" x14ac:dyDescent="0.2">
      <c r="G68" s="67" t="s">
        <v>3226</v>
      </c>
      <c r="H68" s="67" t="s">
        <v>758</v>
      </c>
    </row>
    <row r="69" spans="7:8" x14ac:dyDescent="0.2">
      <c r="G69" s="67" t="s">
        <v>2543</v>
      </c>
      <c r="H69" s="67" t="s">
        <v>763</v>
      </c>
    </row>
    <row r="70" spans="7:8" x14ac:dyDescent="0.2">
      <c r="G70" s="67" t="s">
        <v>3077</v>
      </c>
      <c r="H70" s="67" t="s">
        <v>781</v>
      </c>
    </row>
    <row r="71" spans="7:8" x14ac:dyDescent="0.2">
      <c r="G71" s="67" t="s">
        <v>1614</v>
      </c>
      <c r="H71" s="67" t="s">
        <v>6056</v>
      </c>
    </row>
    <row r="72" spans="7:8" x14ac:dyDescent="0.2">
      <c r="G72" s="67" t="s">
        <v>1944</v>
      </c>
      <c r="H72" s="67" t="s">
        <v>792</v>
      </c>
    </row>
    <row r="73" spans="7:8" x14ac:dyDescent="0.2">
      <c r="G73" s="67" t="s">
        <v>2957</v>
      </c>
      <c r="H73" s="67" t="s">
        <v>6057</v>
      </c>
    </row>
    <row r="74" spans="7:8" x14ac:dyDescent="0.2">
      <c r="G74" s="67" t="s">
        <v>3317</v>
      </c>
      <c r="H74" s="67" t="s">
        <v>804</v>
      </c>
    </row>
    <row r="75" spans="7:8" x14ac:dyDescent="0.2">
      <c r="G75" s="67" t="s">
        <v>2960</v>
      </c>
      <c r="H75" s="67" t="s">
        <v>6058</v>
      </c>
    </row>
    <row r="76" spans="7:8" x14ac:dyDescent="0.2">
      <c r="G76" s="67" t="s">
        <v>3592</v>
      </c>
      <c r="H76" s="67" t="s">
        <v>6059</v>
      </c>
    </row>
    <row r="77" spans="7:8" x14ac:dyDescent="0.2">
      <c r="G77" s="67" t="s">
        <v>4768</v>
      </c>
      <c r="H77" s="67" t="s">
        <v>6060</v>
      </c>
    </row>
    <row r="78" spans="7:8" x14ac:dyDescent="0.2">
      <c r="G78" s="67" t="s">
        <v>2988</v>
      </c>
      <c r="H78" s="67" t="s">
        <v>816</v>
      </c>
    </row>
    <row r="79" spans="7:8" x14ac:dyDescent="0.2">
      <c r="G79" s="67" t="s">
        <v>3957</v>
      </c>
      <c r="H79" s="67" t="s">
        <v>818</v>
      </c>
    </row>
    <row r="80" spans="7:8" x14ac:dyDescent="0.2">
      <c r="G80" s="67" t="s">
        <v>6005</v>
      </c>
      <c r="H80" s="67" t="s">
        <v>822</v>
      </c>
    </row>
    <row r="81" spans="7:8" x14ac:dyDescent="0.2">
      <c r="G81" s="67" t="s">
        <v>1642</v>
      </c>
      <c r="H81" s="67" t="s">
        <v>6061</v>
      </c>
    </row>
    <row r="82" spans="7:8" x14ac:dyDescent="0.2">
      <c r="G82" s="67" t="s">
        <v>4811</v>
      </c>
      <c r="H82" s="67" t="s">
        <v>833</v>
      </c>
    </row>
    <row r="83" spans="7:8" x14ac:dyDescent="0.2">
      <c r="G83" s="67" t="s">
        <v>4235</v>
      </c>
      <c r="H83" s="67" t="s">
        <v>840</v>
      </c>
    </row>
    <row r="84" spans="7:8" x14ac:dyDescent="0.2">
      <c r="G84" s="67" t="s">
        <v>2394</v>
      </c>
      <c r="H84" s="67" t="s">
        <v>842</v>
      </c>
    </row>
    <row r="85" spans="7:8" x14ac:dyDescent="0.2">
      <c r="G85" s="67" t="s">
        <v>1288</v>
      </c>
      <c r="H85" s="67" t="s">
        <v>844</v>
      </c>
    </row>
    <row r="86" spans="7:8" x14ac:dyDescent="0.2">
      <c r="G86" s="67" t="s">
        <v>1291</v>
      </c>
      <c r="H86" s="67" t="s">
        <v>846</v>
      </c>
    </row>
    <row r="87" spans="7:8" x14ac:dyDescent="0.2">
      <c r="G87" s="67" t="s">
        <v>4232</v>
      </c>
      <c r="H87" s="67" t="s">
        <v>848</v>
      </c>
    </row>
    <row r="88" spans="7:8" x14ac:dyDescent="0.2">
      <c r="G88" s="67" t="s">
        <v>1290</v>
      </c>
      <c r="H88" s="67" t="s">
        <v>850</v>
      </c>
    </row>
    <row r="89" spans="7:8" x14ac:dyDescent="0.2">
      <c r="G89" s="67" t="s">
        <v>1282</v>
      </c>
      <c r="H89" s="67" t="s">
        <v>852</v>
      </c>
    </row>
    <row r="90" spans="7:8" x14ac:dyDescent="0.2">
      <c r="G90" s="67" t="s">
        <v>1289</v>
      </c>
      <c r="H90" s="67" t="s">
        <v>854</v>
      </c>
    </row>
    <row r="91" spans="7:8" x14ac:dyDescent="0.2">
      <c r="G91" s="67" t="s">
        <v>1292</v>
      </c>
      <c r="H91" s="67" t="s">
        <v>856</v>
      </c>
    </row>
    <row r="92" spans="7:8" x14ac:dyDescent="0.2">
      <c r="G92" s="67" t="s">
        <v>1293</v>
      </c>
      <c r="H92" s="67" t="s">
        <v>858</v>
      </c>
    </row>
    <row r="93" spans="7:8" x14ac:dyDescent="0.2">
      <c r="G93" s="67" t="s">
        <v>1295</v>
      </c>
      <c r="H93" s="67" t="s">
        <v>860</v>
      </c>
    </row>
    <row r="94" spans="7:8" x14ac:dyDescent="0.2">
      <c r="G94" s="67" t="s">
        <v>1295</v>
      </c>
      <c r="H94" s="67" t="s">
        <v>860</v>
      </c>
    </row>
    <row r="95" spans="7:8" x14ac:dyDescent="0.2">
      <c r="G95" s="76" t="s">
        <v>6088</v>
      </c>
      <c r="H95" s="77" t="s">
        <v>1687</v>
      </c>
    </row>
    <row r="96" spans="7:8" x14ac:dyDescent="0.2">
      <c r="G96" s="76" t="s">
        <v>6082</v>
      </c>
      <c r="H96" s="77" t="s">
        <v>6082</v>
      </c>
    </row>
    <row r="97" spans="7:8" x14ac:dyDescent="0.2">
      <c r="G97" s="76" t="s">
        <v>6083</v>
      </c>
      <c r="H97" s="77" t="s">
        <v>6083</v>
      </c>
    </row>
    <row r="98" spans="7:8" x14ac:dyDescent="0.2">
      <c r="G98" s="76" t="s">
        <v>6089</v>
      </c>
      <c r="H98" s="77" t="s">
        <v>5175</v>
      </c>
    </row>
    <row r="99" spans="7:8" x14ac:dyDescent="0.2">
      <c r="G99" s="76" t="s">
        <v>6090</v>
      </c>
      <c r="H99" s="77" t="s">
        <v>6084</v>
      </c>
    </row>
    <row r="100" spans="7:8" x14ac:dyDescent="0.2">
      <c r="G100" s="76" t="s">
        <v>6091</v>
      </c>
      <c r="H100" s="77" t="s">
        <v>2271</v>
      </c>
    </row>
    <row r="101" spans="7:8" x14ac:dyDescent="0.2">
      <c r="G101" s="76" t="s">
        <v>6092</v>
      </c>
      <c r="H101" s="77" t="s">
        <v>2426</v>
      </c>
    </row>
    <row r="102" spans="7:8" x14ac:dyDescent="0.2">
      <c r="G102" s="76" t="s">
        <v>6093</v>
      </c>
      <c r="H102" s="76" t="s">
        <v>6093</v>
      </c>
    </row>
    <row r="103" spans="7:8" x14ac:dyDescent="0.2">
      <c r="G103" s="77" t="s">
        <v>1587</v>
      </c>
      <c r="H103" s="77" t="s">
        <v>1587</v>
      </c>
    </row>
    <row r="104" spans="7:8" x14ac:dyDescent="0.2">
      <c r="G104" s="77" t="s">
        <v>1609</v>
      </c>
      <c r="H104" s="77" t="s">
        <v>1609</v>
      </c>
    </row>
    <row r="105" spans="7:8" x14ac:dyDescent="0.2">
      <c r="G105" s="77" t="s">
        <v>2598</v>
      </c>
      <c r="H105" s="77" t="s">
        <v>2598</v>
      </c>
    </row>
    <row r="106" spans="7:8" x14ac:dyDescent="0.2">
      <c r="G106" s="77" t="s">
        <v>1744</v>
      </c>
      <c r="H106" s="77" t="s">
        <v>1744</v>
      </c>
    </row>
    <row r="107" spans="7:8" x14ac:dyDescent="0.2">
      <c r="G107" s="77" t="s">
        <v>6095</v>
      </c>
      <c r="H107" s="77" t="s">
        <v>6095</v>
      </c>
    </row>
    <row r="108" spans="7:8" x14ac:dyDescent="0.2">
      <c r="G108" s="77" t="s">
        <v>1903</v>
      </c>
      <c r="H108" s="77" t="s">
        <v>1903</v>
      </c>
    </row>
    <row r="109" spans="7:8" x14ac:dyDescent="0.2">
      <c r="G109" s="77" t="s">
        <v>2103</v>
      </c>
      <c r="H109" s="77" t="s">
        <v>2103</v>
      </c>
    </row>
    <row r="110" spans="7:8" x14ac:dyDescent="0.2">
      <c r="G110" s="78" t="s">
        <v>6097</v>
      </c>
      <c r="H110" s="78" t="s">
        <v>6097</v>
      </c>
    </row>
    <row r="111" spans="7:8" x14ac:dyDescent="0.2">
      <c r="G111" s="77" t="s">
        <v>2314</v>
      </c>
      <c r="H111" s="77" t="s">
        <v>2314</v>
      </c>
    </row>
    <row r="112" spans="7:8" x14ac:dyDescent="0.2">
      <c r="G112" s="77" t="s">
        <v>2914</v>
      </c>
      <c r="H112" s="77" t="s">
        <v>2914</v>
      </c>
    </row>
    <row r="113" spans="7:8" x14ac:dyDescent="0.2">
      <c r="G113" s="77" t="s">
        <v>6004</v>
      </c>
      <c r="H113" s="77" t="s">
        <v>6004</v>
      </c>
    </row>
    <row r="114" spans="7:8" x14ac:dyDescent="0.2">
      <c r="G114" s="77" t="s">
        <v>6085</v>
      </c>
      <c r="H114" s="77" t="s">
        <v>6085</v>
      </c>
    </row>
    <row r="115" spans="7:8" x14ac:dyDescent="0.2">
      <c r="G115" s="77" t="s">
        <v>4166</v>
      </c>
      <c r="H115" s="77" t="s">
        <v>4166</v>
      </c>
    </row>
    <row r="116" spans="7:8" x14ac:dyDescent="0.2">
      <c r="G116" s="77" t="s">
        <v>6086</v>
      </c>
      <c r="H116" s="77" t="s">
        <v>6086</v>
      </c>
    </row>
    <row r="117" spans="7:8" x14ac:dyDescent="0.2">
      <c r="G117" s="77" t="s">
        <v>4326</v>
      </c>
      <c r="H117" s="77" t="s">
        <v>4326</v>
      </c>
    </row>
    <row r="118" spans="7:8" x14ac:dyDescent="0.2">
      <c r="G118" s="77" t="s">
        <v>4351</v>
      </c>
      <c r="H118" s="77" t="s">
        <v>4351</v>
      </c>
    </row>
    <row r="119" spans="7:8" x14ac:dyDescent="0.2">
      <c r="G119" s="77" t="s">
        <v>4562</v>
      </c>
      <c r="H119" s="77" t="s">
        <v>4562</v>
      </c>
    </row>
    <row r="120" spans="7:8" x14ac:dyDescent="0.2">
      <c r="G120" s="77" t="s">
        <v>4585</v>
      </c>
      <c r="H120" s="77" t="s">
        <v>4585</v>
      </c>
    </row>
    <row r="121" spans="7:8" x14ac:dyDescent="0.2">
      <c r="G121" s="77" t="s">
        <v>4973</v>
      </c>
      <c r="H121" s="77" t="s">
        <v>4973</v>
      </c>
    </row>
    <row r="122" spans="7:8" x14ac:dyDescent="0.2">
      <c r="G122" s="77" t="s">
        <v>4982</v>
      </c>
      <c r="H122" s="77" t="s">
        <v>4982</v>
      </c>
    </row>
    <row r="123" spans="7:8" x14ac:dyDescent="0.2">
      <c r="G123" s="77" t="s">
        <v>5260</v>
      </c>
      <c r="H123" s="77" t="s">
        <v>5260</v>
      </c>
    </row>
    <row r="124" spans="7:8" x14ac:dyDescent="0.2">
      <c r="G124" s="77" t="s">
        <v>5806</v>
      </c>
      <c r="H124" s="77" t="s">
        <v>5806</v>
      </c>
    </row>
  </sheetData>
  <autoFilter ref="G1:H115" xr:uid="{00000000-0009-0000-0000-000004000000}"/>
  <phoneticPr fontId="4" type="noConversion"/>
  <pageMargins left="0.7" right="0.7" top="0.75" bottom="0.75" header="0.3" footer="0.3"/>
  <pageSetup paperSize="9" orientation="portrait" horizontalDpi="4294967294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43"/>
  <sheetViews>
    <sheetView workbookViewId="0">
      <selection activeCell="G31" sqref="G31"/>
    </sheetView>
  </sheetViews>
  <sheetFormatPr defaultRowHeight="14.25" x14ac:dyDescent="0.2"/>
  <cols>
    <col min="2" max="2" width="34.25" bestFit="1" customWidth="1"/>
    <col min="7" max="7" width="11.375" customWidth="1"/>
  </cols>
  <sheetData>
    <row r="1" spans="1:2" ht="20.25" x14ac:dyDescent="0.2">
      <c r="A1" s="2" t="s">
        <v>295</v>
      </c>
      <c r="B1" s="2" t="s">
        <v>296</v>
      </c>
    </row>
    <row r="2" spans="1:2" x14ac:dyDescent="0.2">
      <c r="A2" s="11" t="s">
        <v>125</v>
      </c>
      <c r="B2" s="11" t="s">
        <v>126</v>
      </c>
    </row>
    <row r="3" spans="1:2" ht="14.25" customHeight="1" x14ac:dyDescent="0.2">
      <c r="A3" s="11" t="s">
        <v>127</v>
      </c>
      <c r="B3" s="11" t="s">
        <v>128</v>
      </c>
    </row>
    <row r="4" spans="1:2" ht="14.25" customHeight="1" x14ac:dyDescent="0.2">
      <c r="A4" s="11" t="s">
        <v>129</v>
      </c>
      <c r="B4" s="11" t="s">
        <v>94</v>
      </c>
    </row>
    <row r="5" spans="1:2" ht="14.25" customHeight="1" x14ac:dyDescent="0.2">
      <c r="A5" s="11" t="s">
        <v>130</v>
      </c>
      <c r="B5" s="11" t="s">
        <v>95</v>
      </c>
    </row>
    <row r="6" spans="1:2" ht="14.25" customHeight="1" x14ac:dyDescent="0.2">
      <c r="A6" s="11" t="s">
        <v>131</v>
      </c>
      <c r="B6" s="11" t="s">
        <v>96</v>
      </c>
    </row>
    <row r="7" spans="1:2" ht="14.25" customHeight="1" x14ac:dyDescent="0.2">
      <c r="A7" s="11" t="s">
        <v>132</v>
      </c>
      <c r="B7" s="11" t="s">
        <v>97</v>
      </c>
    </row>
    <row r="8" spans="1:2" ht="14.25" customHeight="1" x14ac:dyDescent="0.2">
      <c r="A8" s="11" t="s">
        <v>133</v>
      </c>
      <c r="B8" s="11" t="s">
        <v>98</v>
      </c>
    </row>
    <row r="9" spans="1:2" ht="14.25" customHeight="1" x14ac:dyDescent="0.2">
      <c r="A9" s="11" t="s">
        <v>134</v>
      </c>
      <c r="B9" s="11" t="s">
        <v>99</v>
      </c>
    </row>
    <row r="10" spans="1:2" ht="14.25" customHeight="1" x14ac:dyDescent="0.2">
      <c r="A10" s="11" t="s">
        <v>135</v>
      </c>
      <c r="B10" s="11" t="s">
        <v>100</v>
      </c>
    </row>
    <row r="11" spans="1:2" ht="14.25" customHeight="1" x14ac:dyDescent="0.2">
      <c r="A11" s="11" t="s">
        <v>136</v>
      </c>
      <c r="B11" s="11" t="s">
        <v>101</v>
      </c>
    </row>
    <row r="12" spans="1:2" x14ac:dyDescent="0.2">
      <c r="A12" s="11" t="s">
        <v>137</v>
      </c>
      <c r="B12" s="11" t="s">
        <v>1134</v>
      </c>
    </row>
    <row r="13" spans="1:2" x14ac:dyDescent="0.2">
      <c r="A13" s="11" t="s">
        <v>138</v>
      </c>
      <c r="B13" s="11" t="s">
        <v>1135</v>
      </c>
    </row>
    <row r="14" spans="1:2" x14ac:dyDescent="0.2">
      <c r="A14" s="11" t="s">
        <v>1136</v>
      </c>
      <c r="B14" s="11" t="s">
        <v>1137</v>
      </c>
    </row>
    <row r="15" spans="1:2" x14ac:dyDescent="0.2">
      <c r="A15" s="11" t="s">
        <v>1138</v>
      </c>
      <c r="B15" s="11" t="s">
        <v>1139</v>
      </c>
    </row>
    <row r="16" spans="1:2" x14ac:dyDescent="0.2">
      <c r="A16" s="11" t="s">
        <v>139</v>
      </c>
      <c r="B16" s="11" t="s">
        <v>140</v>
      </c>
    </row>
    <row r="17" spans="1:2" x14ac:dyDescent="0.2">
      <c r="A17" s="11" t="s">
        <v>142</v>
      </c>
      <c r="B17" s="11" t="s">
        <v>143</v>
      </c>
    </row>
    <row r="18" spans="1:2" x14ac:dyDescent="0.2">
      <c r="A18" s="11" t="s">
        <v>144</v>
      </c>
      <c r="B18" s="11" t="s">
        <v>145</v>
      </c>
    </row>
    <row r="19" spans="1:2" x14ac:dyDescent="0.2">
      <c r="A19" s="11" t="s">
        <v>146</v>
      </c>
      <c r="B19" s="11" t="s">
        <v>147</v>
      </c>
    </row>
    <row r="20" spans="1:2" x14ac:dyDescent="0.2">
      <c r="A20" s="11" t="s">
        <v>1140</v>
      </c>
      <c r="B20" s="11" t="s">
        <v>148</v>
      </c>
    </row>
    <row r="21" spans="1:2" x14ac:dyDescent="0.2">
      <c r="A21" s="11" t="s">
        <v>1141</v>
      </c>
      <c r="B21" s="11" t="s">
        <v>1142</v>
      </c>
    </row>
    <row r="22" spans="1:2" x14ac:dyDescent="0.2">
      <c r="A22" s="11" t="s">
        <v>1143</v>
      </c>
      <c r="B22" s="11" t="s">
        <v>1144</v>
      </c>
    </row>
    <row r="23" spans="1:2" x14ac:dyDescent="0.2">
      <c r="A23" s="11" t="s">
        <v>149</v>
      </c>
      <c r="B23" s="11" t="s">
        <v>150</v>
      </c>
    </row>
    <row r="24" spans="1:2" x14ac:dyDescent="0.2">
      <c r="A24" s="11" t="s">
        <v>151</v>
      </c>
      <c r="B24" s="11" t="s">
        <v>152</v>
      </c>
    </row>
    <row r="25" spans="1:2" x14ac:dyDescent="0.2">
      <c r="A25" s="11" t="s">
        <v>153</v>
      </c>
      <c r="B25" s="11" t="s">
        <v>154</v>
      </c>
    </row>
    <row r="26" spans="1:2" x14ac:dyDescent="0.2">
      <c r="A26" s="11" t="s">
        <v>155</v>
      </c>
      <c r="B26" s="11" t="s">
        <v>156</v>
      </c>
    </row>
    <row r="27" spans="1:2" x14ac:dyDescent="0.2">
      <c r="A27" s="11" t="s">
        <v>157</v>
      </c>
      <c r="B27" s="11" t="s">
        <v>158</v>
      </c>
    </row>
    <row r="28" spans="1:2" x14ac:dyDescent="0.2">
      <c r="A28" s="11" t="s">
        <v>159</v>
      </c>
      <c r="B28" s="11" t="s">
        <v>160</v>
      </c>
    </row>
    <row r="29" spans="1:2" x14ac:dyDescent="0.2">
      <c r="A29" s="11" t="s">
        <v>161</v>
      </c>
      <c r="B29" s="11" t="s">
        <v>162</v>
      </c>
    </row>
    <row r="30" spans="1:2" x14ac:dyDescent="0.2">
      <c r="A30" s="11" t="s">
        <v>163</v>
      </c>
      <c r="B30" s="11" t="s">
        <v>164</v>
      </c>
    </row>
    <row r="31" spans="1:2" x14ac:dyDescent="0.2">
      <c r="A31" s="11" t="s">
        <v>165</v>
      </c>
      <c r="B31" s="11" t="s">
        <v>166</v>
      </c>
    </row>
    <row r="32" spans="1:2" x14ac:dyDescent="0.2">
      <c r="A32" s="11" t="s">
        <v>167</v>
      </c>
      <c r="B32" s="11" t="s">
        <v>168</v>
      </c>
    </row>
    <row r="33" spans="1:2" x14ac:dyDescent="0.2">
      <c r="A33" s="11" t="s">
        <v>169</v>
      </c>
      <c r="B33" s="11" t="s">
        <v>170</v>
      </c>
    </row>
    <row r="34" spans="1:2" x14ac:dyDescent="0.2">
      <c r="A34" s="11" t="s">
        <v>171</v>
      </c>
      <c r="B34" s="11" t="s">
        <v>172</v>
      </c>
    </row>
    <row r="35" spans="1:2" x14ac:dyDescent="0.2">
      <c r="A35" s="11" t="s">
        <v>173</v>
      </c>
      <c r="B35" s="11" t="s">
        <v>174</v>
      </c>
    </row>
    <row r="36" spans="1:2" x14ac:dyDescent="0.2">
      <c r="A36" s="11" t="s">
        <v>175</v>
      </c>
      <c r="B36" s="11" t="s">
        <v>176</v>
      </c>
    </row>
    <row r="37" spans="1:2" x14ac:dyDescent="0.2">
      <c r="A37" s="11" t="s">
        <v>177</v>
      </c>
      <c r="B37" s="11" t="s">
        <v>178</v>
      </c>
    </row>
    <row r="38" spans="1:2" x14ac:dyDescent="0.2">
      <c r="A38" s="11" t="s">
        <v>179</v>
      </c>
      <c r="B38" s="11" t="s">
        <v>180</v>
      </c>
    </row>
    <row r="39" spans="1:2" x14ac:dyDescent="0.2">
      <c r="A39" s="11" t="s">
        <v>181</v>
      </c>
      <c r="B39" s="11" t="s">
        <v>182</v>
      </c>
    </row>
    <row r="40" spans="1:2" x14ac:dyDescent="0.2">
      <c r="A40" s="11" t="s">
        <v>183</v>
      </c>
      <c r="B40" s="11" t="s">
        <v>184</v>
      </c>
    </row>
    <row r="41" spans="1:2" x14ac:dyDescent="0.2">
      <c r="A41" s="11" t="s">
        <v>185</v>
      </c>
      <c r="B41" s="11" t="s">
        <v>186</v>
      </c>
    </row>
    <row r="42" spans="1:2" x14ac:dyDescent="0.2">
      <c r="A42" s="11" t="s">
        <v>1145</v>
      </c>
      <c r="B42" s="11" t="s">
        <v>1146</v>
      </c>
    </row>
    <row r="43" spans="1:2" x14ac:dyDescent="0.2">
      <c r="A43" s="11" t="s">
        <v>1147</v>
      </c>
      <c r="B43" s="11" t="s">
        <v>1148</v>
      </c>
    </row>
    <row r="44" spans="1:2" x14ac:dyDescent="0.2">
      <c r="A44" s="11" t="s">
        <v>1149</v>
      </c>
      <c r="B44" s="11" t="s">
        <v>1150</v>
      </c>
    </row>
    <row r="45" spans="1:2" x14ac:dyDescent="0.2">
      <c r="A45" s="11" t="s">
        <v>1151</v>
      </c>
      <c r="B45" s="11" t="s">
        <v>1152</v>
      </c>
    </row>
    <row r="46" spans="1:2" x14ac:dyDescent="0.2">
      <c r="A46" s="11" t="s">
        <v>1153</v>
      </c>
      <c r="B46" s="11" t="s">
        <v>1154</v>
      </c>
    </row>
    <row r="47" spans="1:2" x14ac:dyDescent="0.2">
      <c r="A47" s="11" t="s">
        <v>1155</v>
      </c>
      <c r="B47" s="11" t="s">
        <v>1156</v>
      </c>
    </row>
    <row r="48" spans="1:2" x14ac:dyDescent="0.2">
      <c r="A48" s="11" t="s">
        <v>187</v>
      </c>
      <c r="B48" s="11" t="s">
        <v>1157</v>
      </c>
    </row>
    <row r="49" spans="1:2" x14ac:dyDescent="0.2">
      <c r="A49" s="11" t="s">
        <v>188</v>
      </c>
      <c r="B49" s="11" t="s">
        <v>1158</v>
      </c>
    </row>
    <row r="50" spans="1:2" x14ac:dyDescent="0.2">
      <c r="A50" s="11" t="s">
        <v>189</v>
      </c>
      <c r="B50" s="11" t="s">
        <v>1159</v>
      </c>
    </row>
    <row r="51" spans="1:2" x14ac:dyDescent="0.2">
      <c r="A51" s="11" t="s">
        <v>1160</v>
      </c>
      <c r="B51" s="11" t="s">
        <v>1161</v>
      </c>
    </row>
    <row r="52" spans="1:2" x14ac:dyDescent="0.2">
      <c r="A52" s="11" t="s">
        <v>1162</v>
      </c>
      <c r="B52" s="11" t="s">
        <v>1163</v>
      </c>
    </row>
    <row r="53" spans="1:2" x14ac:dyDescent="0.2">
      <c r="A53" s="11" t="s">
        <v>190</v>
      </c>
      <c r="B53" s="11" t="s">
        <v>1164</v>
      </c>
    </row>
    <row r="54" spans="1:2" x14ac:dyDescent="0.2">
      <c r="A54" s="11" t="s">
        <v>1165</v>
      </c>
      <c r="B54" s="11" t="s">
        <v>1166</v>
      </c>
    </row>
    <row r="55" spans="1:2" x14ac:dyDescent="0.2">
      <c r="A55" s="11" t="s">
        <v>191</v>
      </c>
      <c r="B55" s="11" t="s">
        <v>1167</v>
      </c>
    </row>
    <row r="56" spans="1:2" x14ac:dyDescent="0.2">
      <c r="A56" s="11" t="s">
        <v>1168</v>
      </c>
      <c r="B56" s="11" t="s">
        <v>1169</v>
      </c>
    </row>
    <row r="57" spans="1:2" x14ac:dyDescent="0.2">
      <c r="A57" s="11" t="s">
        <v>193</v>
      </c>
      <c r="B57" s="11" t="s">
        <v>1170</v>
      </c>
    </row>
    <row r="58" spans="1:2" x14ac:dyDescent="0.2">
      <c r="A58" s="11" t="s">
        <v>194</v>
      </c>
      <c r="B58" s="11" t="s">
        <v>1171</v>
      </c>
    </row>
    <row r="59" spans="1:2" x14ac:dyDescent="0.2">
      <c r="A59" s="11" t="s">
        <v>195</v>
      </c>
      <c r="B59" s="11" t="s">
        <v>1172</v>
      </c>
    </row>
    <row r="60" spans="1:2" x14ac:dyDescent="0.2">
      <c r="A60" s="11" t="s">
        <v>196</v>
      </c>
      <c r="B60" s="11" t="s">
        <v>1173</v>
      </c>
    </row>
    <row r="61" spans="1:2" x14ac:dyDescent="0.2">
      <c r="A61" s="11" t="s">
        <v>197</v>
      </c>
      <c r="B61" s="11" t="s">
        <v>1174</v>
      </c>
    </row>
    <row r="62" spans="1:2" x14ac:dyDescent="0.2">
      <c r="A62" s="11" t="s">
        <v>198</v>
      </c>
      <c r="B62" s="11" t="s">
        <v>1175</v>
      </c>
    </row>
    <row r="63" spans="1:2" x14ac:dyDescent="0.2">
      <c r="A63" s="11" t="s">
        <v>201</v>
      </c>
      <c r="B63" s="11" t="s">
        <v>202</v>
      </c>
    </row>
    <row r="64" spans="1:2" x14ac:dyDescent="0.2">
      <c r="A64" s="11" t="s">
        <v>203</v>
      </c>
      <c r="B64" s="11" t="s">
        <v>141</v>
      </c>
    </row>
    <row r="65" spans="1:2" x14ac:dyDescent="0.2">
      <c r="A65" s="11" t="s">
        <v>204</v>
      </c>
      <c r="B65" s="11" t="s">
        <v>1176</v>
      </c>
    </row>
    <row r="66" spans="1:2" x14ac:dyDescent="0.2">
      <c r="A66" s="11" t="s">
        <v>205</v>
      </c>
      <c r="B66" s="11" t="s">
        <v>1177</v>
      </c>
    </row>
    <row r="67" spans="1:2" x14ac:dyDescent="0.2">
      <c r="A67" s="11" t="s">
        <v>206</v>
      </c>
      <c r="B67" s="11" t="s">
        <v>1178</v>
      </c>
    </row>
    <row r="68" spans="1:2" x14ac:dyDescent="0.2">
      <c r="A68" s="11" t="s">
        <v>207</v>
      </c>
      <c r="B68" s="11" t="s">
        <v>1179</v>
      </c>
    </row>
    <row r="69" spans="1:2" x14ac:dyDescent="0.2">
      <c r="A69" s="11" t="s">
        <v>208</v>
      </c>
      <c r="B69" s="11" t="s">
        <v>1180</v>
      </c>
    </row>
    <row r="70" spans="1:2" x14ac:dyDescent="0.2">
      <c r="A70" s="11" t="s">
        <v>209</v>
      </c>
      <c r="B70" s="11" t="s">
        <v>1181</v>
      </c>
    </row>
    <row r="71" spans="1:2" x14ac:dyDescent="0.2">
      <c r="A71" s="11" t="s">
        <v>210</v>
      </c>
      <c r="B71" s="11" t="s">
        <v>1182</v>
      </c>
    </row>
    <row r="72" spans="1:2" x14ac:dyDescent="0.2">
      <c r="A72" s="11" t="s">
        <v>1183</v>
      </c>
      <c r="B72" s="11" t="s">
        <v>1184</v>
      </c>
    </row>
    <row r="73" spans="1:2" x14ac:dyDescent="0.2">
      <c r="A73" s="11" t="s">
        <v>211</v>
      </c>
      <c r="B73" s="11" t="s">
        <v>212</v>
      </c>
    </row>
    <row r="74" spans="1:2" x14ac:dyDescent="0.2">
      <c r="A74" s="11" t="s">
        <v>213</v>
      </c>
      <c r="B74" s="11" t="s">
        <v>1185</v>
      </c>
    </row>
    <row r="75" spans="1:2" x14ac:dyDescent="0.2">
      <c r="A75" s="11" t="s">
        <v>214</v>
      </c>
      <c r="B75" s="11" t="s">
        <v>1186</v>
      </c>
    </row>
    <row r="76" spans="1:2" x14ac:dyDescent="0.2">
      <c r="A76" s="11" t="s">
        <v>215</v>
      </c>
      <c r="B76" s="11" t="s">
        <v>1187</v>
      </c>
    </row>
    <row r="77" spans="1:2" x14ac:dyDescent="0.2">
      <c r="A77" s="11" t="s">
        <v>216</v>
      </c>
      <c r="B77" s="11" t="s">
        <v>1188</v>
      </c>
    </row>
    <row r="78" spans="1:2" x14ac:dyDescent="0.2">
      <c r="A78" s="11" t="s">
        <v>217</v>
      </c>
      <c r="B78" s="11" t="s">
        <v>1189</v>
      </c>
    </row>
    <row r="79" spans="1:2" x14ac:dyDescent="0.2">
      <c r="A79" s="11" t="s">
        <v>218</v>
      </c>
      <c r="B79" s="11" t="s">
        <v>1190</v>
      </c>
    </row>
    <row r="80" spans="1:2" x14ac:dyDescent="0.2">
      <c r="A80" s="11" t="s">
        <v>219</v>
      </c>
      <c r="B80" s="11" t="s">
        <v>1191</v>
      </c>
    </row>
    <row r="81" spans="1:2" x14ac:dyDescent="0.2">
      <c r="A81" s="11" t="s">
        <v>220</v>
      </c>
      <c r="B81" s="11" t="s">
        <v>221</v>
      </c>
    </row>
    <row r="82" spans="1:2" x14ac:dyDescent="0.2">
      <c r="A82" s="11" t="s">
        <v>222</v>
      </c>
      <c r="B82" s="11" t="s">
        <v>223</v>
      </c>
    </row>
    <row r="83" spans="1:2" x14ac:dyDescent="0.2">
      <c r="A83" s="11" t="s">
        <v>224</v>
      </c>
      <c r="B83" s="11" t="s">
        <v>225</v>
      </c>
    </row>
    <row r="84" spans="1:2" x14ac:dyDescent="0.2">
      <c r="A84" s="11" t="s">
        <v>226</v>
      </c>
      <c r="B84" s="11" t="s">
        <v>227</v>
      </c>
    </row>
    <row r="85" spans="1:2" x14ac:dyDescent="0.2">
      <c r="A85" s="11" t="s">
        <v>228</v>
      </c>
      <c r="B85" s="11" t="s">
        <v>229</v>
      </c>
    </row>
    <row r="86" spans="1:2" x14ac:dyDescent="0.2">
      <c r="A86" s="11" t="s">
        <v>230</v>
      </c>
      <c r="B86" s="11" t="s">
        <v>231</v>
      </c>
    </row>
    <row r="87" spans="1:2" x14ac:dyDescent="0.2">
      <c r="A87" s="11" t="s">
        <v>232</v>
      </c>
      <c r="B87" s="11" t="s">
        <v>233</v>
      </c>
    </row>
    <row r="88" spans="1:2" x14ac:dyDescent="0.2">
      <c r="A88" s="11" t="s">
        <v>234</v>
      </c>
      <c r="B88" s="11" t="s">
        <v>235</v>
      </c>
    </row>
    <row r="89" spans="1:2" x14ac:dyDescent="0.2">
      <c r="A89" s="11" t="s">
        <v>236</v>
      </c>
      <c r="B89" s="11" t="s">
        <v>237</v>
      </c>
    </row>
    <row r="90" spans="1:2" x14ac:dyDescent="0.2">
      <c r="A90" s="11" t="s">
        <v>238</v>
      </c>
      <c r="B90" s="11" t="s">
        <v>239</v>
      </c>
    </row>
    <row r="91" spans="1:2" x14ac:dyDescent="0.2">
      <c r="A91" s="11" t="s">
        <v>1192</v>
      </c>
      <c r="B91" s="11" t="s">
        <v>1193</v>
      </c>
    </row>
    <row r="92" spans="1:2" x14ac:dyDescent="0.2">
      <c r="A92" s="11"/>
      <c r="B92" s="11" t="s">
        <v>240</v>
      </c>
    </row>
    <row r="93" spans="1:2" x14ac:dyDescent="0.2">
      <c r="A93" s="11" t="s">
        <v>241</v>
      </c>
      <c r="B93" s="11" t="s">
        <v>242</v>
      </c>
    </row>
    <row r="94" spans="1:2" x14ac:dyDescent="0.2">
      <c r="A94" s="11" t="s">
        <v>243</v>
      </c>
      <c r="B94" s="11" t="s">
        <v>244</v>
      </c>
    </row>
    <row r="95" spans="1:2" x14ac:dyDescent="0.2">
      <c r="A95" s="11" t="s">
        <v>245</v>
      </c>
      <c r="B95" s="11" t="s">
        <v>246</v>
      </c>
    </row>
    <row r="96" spans="1:2" x14ac:dyDescent="0.2">
      <c r="A96" s="11" t="s">
        <v>247</v>
      </c>
      <c r="B96" s="11" t="s">
        <v>1194</v>
      </c>
    </row>
    <row r="97" spans="1:2" x14ac:dyDescent="0.2">
      <c r="A97" s="11" t="s">
        <v>248</v>
      </c>
      <c r="B97" s="11" t="s">
        <v>249</v>
      </c>
    </row>
    <row r="98" spans="1:2" x14ac:dyDescent="0.2">
      <c r="A98" s="11" t="s">
        <v>1195</v>
      </c>
      <c r="B98" s="11" t="s">
        <v>1196</v>
      </c>
    </row>
    <row r="99" spans="1:2" x14ac:dyDescent="0.2">
      <c r="A99" s="11" t="s">
        <v>250</v>
      </c>
      <c r="B99" s="11" t="s">
        <v>251</v>
      </c>
    </row>
    <row r="100" spans="1:2" x14ac:dyDescent="0.2">
      <c r="A100" s="11" t="s">
        <v>252</v>
      </c>
      <c r="B100" s="11" t="s">
        <v>253</v>
      </c>
    </row>
    <row r="101" spans="1:2" x14ac:dyDescent="0.2">
      <c r="A101" s="11" t="s">
        <v>254</v>
      </c>
      <c r="B101" s="11" t="s">
        <v>255</v>
      </c>
    </row>
    <row r="102" spans="1:2" x14ac:dyDescent="0.2">
      <c r="A102" s="11" t="s">
        <v>256</v>
      </c>
      <c r="B102" s="11" t="s">
        <v>257</v>
      </c>
    </row>
    <row r="103" spans="1:2" x14ac:dyDescent="0.2">
      <c r="A103" s="11" t="s">
        <v>258</v>
      </c>
      <c r="B103" s="11" t="s">
        <v>259</v>
      </c>
    </row>
    <row r="104" spans="1:2" x14ac:dyDescent="0.2">
      <c r="A104" s="11" t="s">
        <v>260</v>
      </c>
      <c r="B104" s="11" t="s">
        <v>261</v>
      </c>
    </row>
    <row r="105" spans="1:2" x14ac:dyDescent="0.2">
      <c r="A105" s="11" t="s">
        <v>262</v>
      </c>
      <c r="B105" s="11" t="s">
        <v>263</v>
      </c>
    </row>
    <row r="106" spans="1:2" x14ac:dyDescent="0.2">
      <c r="A106" s="11" t="s">
        <v>264</v>
      </c>
      <c r="B106" s="11" t="s">
        <v>265</v>
      </c>
    </row>
    <row r="107" spans="1:2" x14ac:dyDescent="0.2">
      <c r="A107" s="11" t="s">
        <v>266</v>
      </c>
      <c r="B107" s="11" t="s">
        <v>267</v>
      </c>
    </row>
    <row r="108" spans="1:2" x14ac:dyDescent="0.2">
      <c r="A108" s="11" t="s">
        <v>268</v>
      </c>
      <c r="B108" s="11" t="s">
        <v>269</v>
      </c>
    </row>
    <row r="109" spans="1:2" x14ac:dyDescent="0.2">
      <c r="A109" s="11" t="s">
        <v>270</v>
      </c>
      <c r="B109" s="11" t="s">
        <v>271</v>
      </c>
    </row>
    <row r="110" spans="1:2" x14ac:dyDescent="0.2">
      <c r="A110" s="11" t="s">
        <v>272</v>
      </c>
      <c r="B110" s="11" t="s">
        <v>273</v>
      </c>
    </row>
    <row r="111" spans="1:2" x14ac:dyDescent="0.2">
      <c r="A111" s="11" t="s">
        <v>274</v>
      </c>
      <c r="B111" s="11" t="s">
        <v>275</v>
      </c>
    </row>
    <row r="112" spans="1:2" x14ac:dyDescent="0.2">
      <c r="A112" s="11" t="s">
        <v>276</v>
      </c>
      <c r="B112" s="11" t="s">
        <v>277</v>
      </c>
    </row>
    <row r="113" spans="1:2" x14ac:dyDescent="0.2">
      <c r="A113" s="11" t="s">
        <v>278</v>
      </c>
      <c r="B113" s="11" t="s">
        <v>279</v>
      </c>
    </row>
    <row r="114" spans="1:2" x14ac:dyDescent="0.2">
      <c r="A114" s="11" t="s">
        <v>280</v>
      </c>
      <c r="B114" s="11" t="s">
        <v>281</v>
      </c>
    </row>
    <row r="115" spans="1:2" x14ac:dyDescent="0.2">
      <c r="A115" s="11" t="s">
        <v>1197</v>
      </c>
      <c r="B115" s="11" t="s">
        <v>1198</v>
      </c>
    </row>
    <row r="116" spans="1:2" x14ac:dyDescent="0.2">
      <c r="A116" s="11" t="s">
        <v>1199</v>
      </c>
      <c r="B116" s="11" t="s">
        <v>1200</v>
      </c>
    </row>
    <row r="117" spans="1:2" x14ac:dyDescent="0.2">
      <c r="A117" s="11" t="s">
        <v>1201</v>
      </c>
      <c r="B117" s="11" t="s">
        <v>1202</v>
      </c>
    </row>
    <row r="118" spans="1:2" x14ac:dyDescent="0.2">
      <c r="A118" s="11" t="s">
        <v>1203</v>
      </c>
      <c r="B118" s="11" t="s">
        <v>282</v>
      </c>
    </row>
    <row r="119" spans="1:2" x14ac:dyDescent="0.2">
      <c r="A119" s="11" t="s">
        <v>1204</v>
      </c>
      <c r="B119" s="11" t="s">
        <v>283</v>
      </c>
    </row>
    <row r="120" spans="1:2" x14ac:dyDescent="0.2">
      <c r="A120" s="11" t="s">
        <v>1205</v>
      </c>
      <c r="B120" s="11" t="s">
        <v>1206</v>
      </c>
    </row>
    <row r="121" spans="1:2" x14ac:dyDescent="0.2">
      <c r="A121" s="11" t="s">
        <v>1207</v>
      </c>
      <c r="B121" s="11" t="s">
        <v>1208</v>
      </c>
    </row>
    <row r="122" spans="1:2" x14ac:dyDescent="0.2">
      <c r="A122" s="11" t="s">
        <v>1209</v>
      </c>
      <c r="B122" s="11" t="s">
        <v>284</v>
      </c>
    </row>
    <row r="123" spans="1:2" x14ac:dyDescent="0.2">
      <c r="A123" s="11" t="s">
        <v>1210</v>
      </c>
      <c r="B123" s="11" t="s">
        <v>285</v>
      </c>
    </row>
    <row r="124" spans="1:2" x14ac:dyDescent="0.2">
      <c r="A124" s="11" t="s">
        <v>1211</v>
      </c>
      <c r="B124" s="11" t="s">
        <v>286</v>
      </c>
    </row>
    <row r="125" spans="1:2" x14ac:dyDescent="0.2">
      <c r="A125" s="11" t="s">
        <v>1212</v>
      </c>
      <c r="B125" s="11" t="s">
        <v>1213</v>
      </c>
    </row>
    <row r="126" spans="1:2" x14ac:dyDescent="0.2">
      <c r="A126" s="11" t="s">
        <v>1214</v>
      </c>
      <c r="B126" s="11" t="s">
        <v>287</v>
      </c>
    </row>
    <row r="127" spans="1:2" x14ac:dyDescent="0.2">
      <c r="A127" s="11" t="s">
        <v>1215</v>
      </c>
      <c r="B127" s="11" t="s">
        <v>288</v>
      </c>
    </row>
    <row r="128" spans="1:2" x14ac:dyDescent="0.2">
      <c r="A128" s="11" t="s">
        <v>1216</v>
      </c>
      <c r="B128" s="11" t="s">
        <v>1217</v>
      </c>
    </row>
    <row r="129" spans="1:2" x14ac:dyDescent="0.2">
      <c r="A129" s="11" t="s">
        <v>1218</v>
      </c>
      <c r="B129" s="11" t="s">
        <v>1219</v>
      </c>
    </row>
    <row r="130" spans="1:2" x14ac:dyDescent="0.2">
      <c r="A130" s="11" t="s">
        <v>1220</v>
      </c>
      <c r="B130" s="11" t="s">
        <v>1221</v>
      </c>
    </row>
    <row r="131" spans="1:2" x14ac:dyDescent="0.2">
      <c r="A131" s="11" t="s">
        <v>1222</v>
      </c>
      <c r="B131" s="11" t="s">
        <v>289</v>
      </c>
    </row>
    <row r="132" spans="1:2" x14ac:dyDescent="0.2">
      <c r="A132" s="11" t="s">
        <v>1223</v>
      </c>
      <c r="B132" s="11" t="s">
        <v>290</v>
      </c>
    </row>
    <row r="133" spans="1:2" x14ac:dyDescent="0.2">
      <c r="A133" s="11" t="s">
        <v>1224</v>
      </c>
      <c r="B133" s="11" t="s">
        <v>291</v>
      </c>
    </row>
    <row r="134" spans="1:2" x14ac:dyDescent="0.2">
      <c r="A134" s="11" t="s">
        <v>1225</v>
      </c>
      <c r="B134" s="11" t="s">
        <v>292</v>
      </c>
    </row>
    <row r="135" spans="1:2" x14ac:dyDescent="0.2">
      <c r="A135" s="11" t="s">
        <v>1226</v>
      </c>
      <c r="B135" s="11" t="s">
        <v>1227</v>
      </c>
    </row>
    <row r="136" spans="1:2" x14ac:dyDescent="0.2">
      <c r="A136" s="11" t="s">
        <v>1228</v>
      </c>
      <c r="B136" s="11" t="s">
        <v>293</v>
      </c>
    </row>
    <row r="137" spans="1:2" x14ac:dyDescent="0.2">
      <c r="A137" s="11" t="s">
        <v>1229</v>
      </c>
      <c r="B137" s="11" t="s">
        <v>294</v>
      </c>
    </row>
    <row r="138" spans="1:2" x14ac:dyDescent="0.2">
      <c r="A138" s="11" t="s">
        <v>1230</v>
      </c>
      <c r="B138" s="11" t="s">
        <v>1231</v>
      </c>
    </row>
    <row r="139" spans="1:2" x14ac:dyDescent="0.2">
      <c r="A139" s="11" t="s">
        <v>1232</v>
      </c>
      <c r="B139" s="11" t="s">
        <v>1233</v>
      </c>
    </row>
    <row r="140" spans="1:2" x14ac:dyDescent="0.2">
      <c r="A140" s="11" t="s">
        <v>1234</v>
      </c>
      <c r="B140" s="11" t="s">
        <v>1235</v>
      </c>
    </row>
    <row r="141" spans="1:2" x14ac:dyDescent="0.2">
      <c r="A141" s="11" t="s">
        <v>1236</v>
      </c>
      <c r="B141" s="11" t="s">
        <v>1237</v>
      </c>
    </row>
    <row r="142" spans="1:2" x14ac:dyDescent="0.2">
      <c r="A142" s="11" t="s">
        <v>1238</v>
      </c>
      <c r="B142" s="11" t="s">
        <v>1239</v>
      </c>
    </row>
    <row r="143" spans="1:2" x14ac:dyDescent="0.2">
      <c r="A143" s="11" t="s">
        <v>1240</v>
      </c>
      <c r="B143" s="11" t="s">
        <v>1241</v>
      </c>
    </row>
  </sheetData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9"/>
  <sheetViews>
    <sheetView workbookViewId="0">
      <selection activeCell="A2" sqref="A2:D9"/>
    </sheetView>
  </sheetViews>
  <sheetFormatPr defaultRowHeight="14.25" x14ac:dyDescent="0.2"/>
  <cols>
    <col min="1" max="1" width="25" customWidth="1"/>
    <col min="2" max="2" width="22.25" customWidth="1"/>
    <col min="3" max="3" width="26.25" customWidth="1"/>
    <col min="4" max="4" width="43.875" bestFit="1" customWidth="1"/>
  </cols>
  <sheetData>
    <row r="1" spans="1:4" ht="20.25" x14ac:dyDescent="0.2">
      <c r="A1" s="2" t="s">
        <v>90</v>
      </c>
      <c r="B1" s="2" t="s">
        <v>91</v>
      </c>
      <c r="C1" s="2" t="s">
        <v>92</v>
      </c>
      <c r="D1" s="2" t="s">
        <v>93</v>
      </c>
    </row>
    <row r="2" spans="1:4" ht="24.95" customHeight="1" x14ac:dyDescent="0.2">
      <c r="A2" s="11" t="s">
        <v>58</v>
      </c>
      <c r="B2" s="11" t="s">
        <v>59</v>
      </c>
      <c r="C2" s="11" t="s">
        <v>60</v>
      </c>
      <c r="D2" s="11" t="s">
        <v>61</v>
      </c>
    </row>
    <row r="3" spans="1:4" ht="24.95" customHeight="1" x14ac:dyDescent="0.2">
      <c r="A3" s="11" t="s">
        <v>62</v>
      </c>
      <c r="B3" s="11" t="s">
        <v>63</v>
      </c>
      <c r="C3" s="11" t="s">
        <v>64</v>
      </c>
      <c r="D3" s="11" t="s">
        <v>65</v>
      </c>
    </row>
    <row r="4" spans="1:4" ht="24.95" customHeight="1" x14ac:dyDescent="0.2">
      <c r="A4" s="11" t="s">
        <v>66</v>
      </c>
      <c r="B4" s="11" t="s">
        <v>67</v>
      </c>
      <c r="C4" s="11" t="s">
        <v>68</v>
      </c>
      <c r="D4" s="11" t="s">
        <v>69</v>
      </c>
    </row>
    <row r="5" spans="1:4" ht="24.95" customHeight="1" x14ac:dyDescent="0.2">
      <c r="A5" s="11" t="s">
        <v>70</v>
      </c>
      <c r="B5" s="11" t="s">
        <v>71</v>
      </c>
      <c r="C5" s="11" t="s">
        <v>72</v>
      </c>
      <c r="D5" s="11" t="s">
        <v>73</v>
      </c>
    </row>
    <row r="6" spans="1:4" ht="24.95" customHeight="1" x14ac:dyDescent="0.2">
      <c r="A6" s="11" t="s">
        <v>74</v>
      </c>
      <c r="B6" s="11" t="s">
        <v>75</v>
      </c>
      <c r="C6" s="11" t="s">
        <v>76</v>
      </c>
      <c r="D6" s="11" t="s">
        <v>77</v>
      </c>
    </row>
    <row r="7" spans="1:4" ht="24.95" customHeight="1" x14ac:dyDescent="0.2">
      <c r="A7" s="11" t="s">
        <v>78</v>
      </c>
      <c r="B7" s="11" t="s">
        <v>79</v>
      </c>
      <c r="C7" s="11" t="s">
        <v>80</v>
      </c>
      <c r="D7" s="11" t="s">
        <v>81</v>
      </c>
    </row>
    <row r="8" spans="1:4" ht="24.95" customHeight="1" x14ac:dyDescent="0.2">
      <c r="A8" s="11" t="s">
        <v>82</v>
      </c>
      <c r="B8" s="11" t="s">
        <v>83</v>
      </c>
      <c r="C8" s="11" t="s">
        <v>84</v>
      </c>
      <c r="D8" s="11" t="s">
        <v>85</v>
      </c>
    </row>
    <row r="9" spans="1:4" ht="24.95" customHeight="1" x14ac:dyDescent="0.2">
      <c r="A9" s="11" t="s">
        <v>86</v>
      </c>
      <c r="B9" s="11" t="s">
        <v>87</v>
      </c>
      <c r="C9" s="11" t="s">
        <v>88</v>
      </c>
      <c r="D9" s="11" t="s">
        <v>89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21"/>
  <sheetViews>
    <sheetView workbookViewId="0">
      <selection activeCell="A12" sqref="A12"/>
    </sheetView>
  </sheetViews>
  <sheetFormatPr defaultRowHeight="14.25" x14ac:dyDescent="0.2"/>
  <cols>
    <col min="1" max="1" width="20.75" customWidth="1"/>
    <col min="2" max="2" width="43.25" customWidth="1"/>
    <col min="3" max="3" width="20.375" customWidth="1"/>
  </cols>
  <sheetData>
    <row r="1" spans="1:8" ht="38.25" customHeight="1" x14ac:dyDescent="0.2">
      <c r="A1" s="2" t="s">
        <v>122</v>
      </c>
      <c r="B1" s="2" t="s">
        <v>123</v>
      </c>
      <c r="C1" s="2" t="s">
        <v>124</v>
      </c>
    </row>
    <row r="2" spans="1:8" x14ac:dyDescent="0.2">
      <c r="A2" s="12">
        <v>11000</v>
      </c>
      <c r="B2" s="12" t="s">
        <v>102</v>
      </c>
      <c r="C2" s="12" t="s">
        <v>103</v>
      </c>
    </row>
    <row r="3" spans="1:8" x14ac:dyDescent="0.2">
      <c r="A3" s="12">
        <v>11001</v>
      </c>
      <c r="B3" s="12" t="s">
        <v>104</v>
      </c>
      <c r="C3" s="12" t="s">
        <v>105</v>
      </c>
    </row>
    <row r="4" spans="1:8" x14ac:dyDescent="0.2">
      <c r="A4" s="12">
        <v>11002</v>
      </c>
      <c r="B4" s="12" t="s">
        <v>106</v>
      </c>
      <c r="C4" s="12" t="s">
        <v>367</v>
      </c>
    </row>
    <row r="5" spans="1:8" x14ac:dyDescent="0.2">
      <c r="A5" s="12">
        <v>20000</v>
      </c>
      <c r="B5" s="12" t="s">
        <v>109</v>
      </c>
      <c r="C5" s="12" t="s">
        <v>110</v>
      </c>
    </row>
    <row r="6" spans="1:8" x14ac:dyDescent="0.2">
      <c r="A6" s="12">
        <v>30000</v>
      </c>
      <c r="B6" s="12" t="s">
        <v>107</v>
      </c>
      <c r="C6" s="12" t="s">
        <v>108</v>
      </c>
    </row>
    <row r="7" spans="1:8" x14ac:dyDescent="0.2">
      <c r="A7" s="12">
        <v>32000</v>
      </c>
      <c r="B7" s="12" t="s">
        <v>111</v>
      </c>
      <c r="C7" s="12" t="s">
        <v>112</v>
      </c>
    </row>
    <row r="8" spans="1:8" x14ac:dyDescent="0.2">
      <c r="A8" s="12">
        <v>41000</v>
      </c>
      <c r="B8" s="12" t="s">
        <v>113</v>
      </c>
      <c r="C8" s="12" t="s">
        <v>114</v>
      </c>
    </row>
    <row r="9" spans="1:8" x14ac:dyDescent="0.2">
      <c r="A9" s="12">
        <v>41001</v>
      </c>
      <c r="B9" s="12" t="s">
        <v>368</v>
      </c>
      <c r="C9" s="12" t="s">
        <v>369</v>
      </c>
    </row>
    <row r="10" spans="1:8" x14ac:dyDescent="0.2">
      <c r="A10" s="12">
        <v>51000</v>
      </c>
      <c r="B10" s="12" t="s">
        <v>370</v>
      </c>
      <c r="C10" s="12" t="s">
        <v>371</v>
      </c>
      <c r="H10" s="14"/>
    </row>
    <row r="11" spans="1:8" x14ac:dyDescent="0.2">
      <c r="A11" s="12">
        <v>51001</v>
      </c>
      <c r="B11" s="12" t="s">
        <v>372</v>
      </c>
      <c r="C11" s="12" t="s">
        <v>373</v>
      </c>
    </row>
    <row r="12" spans="1:8" x14ac:dyDescent="0.2">
      <c r="A12" s="12">
        <v>72001</v>
      </c>
      <c r="B12" s="12" t="s">
        <v>115</v>
      </c>
      <c r="C12" s="12" t="s">
        <v>116</v>
      </c>
    </row>
    <row r="13" spans="1:8" x14ac:dyDescent="0.2">
      <c r="A13" s="12">
        <v>73000</v>
      </c>
      <c r="B13" s="12" t="s">
        <v>117</v>
      </c>
      <c r="C13" s="12" t="s">
        <v>118</v>
      </c>
    </row>
    <row r="14" spans="1:8" x14ac:dyDescent="0.2">
      <c r="A14" s="12">
        <v>73001</v>
      </c>
      <c r="B14" s="12" t="s">
        <v>374</v>
      </c>
      <c r="C14" s="12" t="s">
        <v>375</v>
      </c>
    </row>
    <row r="15" spans="1:8" x14ac:dyDescent="0.2">
      <c r="A15" s="12">
        <v>80001</v>
      </c>
      <c r="B15" s="12" t="s">
        <v>121</v>
      </c>
      <c r="C15" s="12" t="s">
        <v>376</v>
      </c>
    </row>
    <row r="16" spans="1:8" x14ac:dyDescent="0.2">
      <c r="A16" s="12">
        <v>90001</v>
      </c>
      <c r="B16" s="12" t="s">
        <v>119</v>
      </c>
      <c r="C16" s="12" t="s">
        <v>120</v>
      </c>
    </row>
    <row r="18" spans="1:2" ht="25.5" customHeight="1" x14ac:dyDescent="0.2">
      <c r="A18" s="2" t="s">
        <v>305</v>
      </c>
      <c r="B18" s="2" t="s">
        <v>306</v>
      </c>
    </row>
    <row r="19" spans="1:2" x14ac:dyDescent="0.2">
      <c r="A19" s="12" t="s">
        <v>300</v>
      </c>
      <c r="B19" s="12" t="s">
        <v>301</v>
      </c>
    </row>
    <row r="20" spans="1:2" x14ac:dyDescent="0.2">
      <c r="A20" s="12" t="s">
        <v>302</v>
      </c>
      <c r="B20" s="12" t="s">
        <v>303</v>
      </c>
    </row>
    <row r="21" spans="1:2" x14ac:dyDescent="0.2">
      <c r="A21" s="12" t="s">
        <v>304</v>
      </c>
      <c r="B21" s="12" t="s">
        <v>307</v>
      </c>
    </row>
  </sheetData>
  <phoneticPr fontId="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3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33" sqref="E33"/>
    </sheetView>
  </sheetViews>
  <sheetFormatPr defaultRowHeight="14.25" x14ac:dyDescent="0.2"/>
  <cols>
    <col min="1" max="1" width="17" customWidth="1"/>
    <col min="2" max="2" width="66.375" customWidth="1"/>
    <col min="3" max="3" width="22.375" bestFit="1" customWidth="1"/>
  </cols>
  <sheetData>
    <row r="1" spans="1:3" ht="36" customHeight="1" x14ac:dyDescent="0.2">
      <c r="A1" s="2" t="s">
        <v>319</v>
      </c>
      <c r="B1" s="2" t="s">
        <v>306</v>
      </c>
      <c r="C1" s="2" t="s">
        <v>318</v>
      </c>
    </row>
    <row r="2" spans="1:3" x14ac:dyDescent="0.2">
      <c r="A2" s="15">
        <v>1</v>
      </c>
      <c r="B2" t="s">
        <v>329</v>
      </c>
      <c r="C2" t="s">
        <v>308</v>
      </c>
    </row>
    <row r="3" spans="1:3" x14ac:dyDescent="0.2">
      <c r="A3" s="15">
        <v>2</v>
      </c>
      <c r="B3" t="s">
        <v>330</v>
      </c>
      <c r="C3" t="s">
        <v>308</v>
      </c>
    </row>
    <row r="4" spans="1:3" x14ac:dyDescent="0.2">
      <c r="A4" s="82">
        <v>3</v>
      </c>
      <c r="B4" s="77" t="s">
        <v>362</v>
      </c>
      <c r="C4" s="77" t="s">
        <v>308</v>
      </c>
    </row>
    <row r="5" spans="1:3" x14ac:dyDescent="0.2">
      <c r="A5" s="85">
        <v>4</v>
      </c>
      <c r="B5" t="s">
        <v>363</v>
      </c>
      <c r="C5" t="s">
        <v>308</v>
      </c>
    </row>
    <row r="6" spans="1:3" x14ac:dyDescent="0.2">
      <c r="A6" s="16">
        <v>10</v>
      </c>
      <c r="B6" t="s">
        <v>331</v>
      </c>
      <c r="C6" t="s">
        <v>309</v>
      </c>
    </row>
    <row r="7" spans="1:3" x14ac:dyDescent="0.2">
      <c r="A7" s="55">
        <v>11</v>
      </c>
      <c r="B7" s="77" t="s">
        <v>332</v>
      </c>
      <c r="C7" s="77" t="s">
        <v>309</v>
      </c>
    </row>
    <row r="8" spans="1:3" x14ac:dyDescent="0.2">
      <c r="A8" s="38">
        <v>12</v>
      </c>
      <c r="B8" t="s">
        <v>333</v>
      </c>
      <c r="C8" t="s">
        <v>309</v>
      </c>
    </row>
    <row r="9" spans="1:3" x14ac:dyDescent="0.2">
      <c r="A9" s="55">
        <v>20</v>
      </c>
      <c r="B9" s="77" t="s">
        <v>334</v>
      </c>
      <c r="C9" s="77" t="s">
        <v>310</v>
      </c>
    </row>
    <row r="10" spans="1:3" x14ac:dyDescent="0.2">
      <c r="A10" s="55">
        <v>21</v>
      </c>
      <c r="B10" s="77" t="s">
        <v>335</v>
      </c>
      <c r="C10" s="77" t="s">
        <v>310</v>
      </c>
    </row>
    <row r="11" spans="1:3" x14ac:dyDescent="0.2">
      <c r="A11" s="38">
        <v>22</v>
      </c>
      <c r="B11" t="s">
        <v>336</v>
      </c>
      <c r="C11" t="s">
        <v>310</v>
      </c>
    </row>
    <row r="12" spans="1:3" x14ac:dyDescent="0.2">
      <c r="A12" s="16">
        <v>23</v>
      </c>
      <c r="B12" t="s">
        <v>337</v>
      </c>
      <c r="C12" t="s">
        <v>310</v>
      </c>
    </row>
    <row r="13" spans="1:3" x14ac:dyDescent="0.2">
      <c r="A13" s="16">
        <v>26</v>
      </c>
      <c r="B13" t="s">
        <v>338</v>
      </c>
      <c r="C13" t="s">
        <v>326</v>
      </c>
    </row>
    <row r="14" spans="1:3" x14ac:dyDescent="0.2">
      <c r="A14" s="55">
        <v>27</v>
      </c>
      <c r="B14" s="77" t="s">
        <v>339</v>
      </c>
      <c r="C14" s="77" t="s">
        <v>326</v>
      </c>
    </row>
    <row r="15" spans="1:3" x14ac:dyDescent="0.2">
      <c r="A15" s="38">
        <v>28</v>
      </c>
      <c r="B15" t="s">
        <v>340</v>
      </c>
      <c r="C15" t="s">
        <v>326</v>
      </c>
    </row>
    <row r="16" spans="1:3" x14ac:dyDescent="0.2">
      <c r="A16" s="16">
        <v>30</v>
      </c>
      <c r="B16" t="s">
        <v>341</v>
      </c>
      <c r="C16" t="s">
        <v>311</v>
      </c>
    </row>
    <row r="17" spans="1:3" x14ac:dyDescent="0.2">
      <c r="A17" s="55">
        <v>31</v>
      </c>
      <c r="B17" s="77" t="s">
        <v>342</v>
      </c>
      <c r="C17" s="77" t="s">
        <v>311</v>
      </c>
    </row>
    <row r="18" spans="1:3" x14ac:dyDescent="0.2">
      <c r="A18" s="38">
        <v>32</v>
      </c>
      <c r="B18" t="s">
        <v>343</v>
      </c>
      <c r="C18" t="s">
        <v>311</v>
      </c>
    </row>
    <row r="19" spans="1:3" x14ac:dyDescent="0.2">
      <c r="A19" s="16">
        <v>40</v>
      </c>
      <c r="B19" t="s">
        <v>344</v>
      </c>
      <c r="C19" t="s">
        <v>312</v>
      </c>
    </row>
    <row r="20" spans="1:3" x14ac:dyDescent="0.2">
      <c r="A20" s="55">
        <v>41</v>
      </c>
      <c r="B20" s="77" t="s">
        <v>345</v>
      </c>
      <c r="C20" s="77" t="s">
        <v>312</v>
      </c>
    </row>
    <row r="21" spans="1:3" x14ac:dyDescent="0.2">
      <c r="A21" s="38">
        <v>42</v>
      </c>
      <c r="B21" t="s">
        <v>346</v>
      </c>
      <c r="C21" t="s">
        <v>312</v>
      </c>
    </row>
    <row r="22" spans="1:3" x14ac:dyDescent="0.2">
      <c r="A22" s="16">
        <v>46</v>
      </c>
      <c r="B22" t="s">
        <v>347</v>
      </c>
      <c r="C22" t="s">
        <v>313</v>
      </c>
    </row>
    <row r="23" spans="1:3" x14ac:dyDescent="0.2">
      <c r="A23" s="55">
        <v>47</v>
      </c>
      <c r="B23" s="77" t="s">
        <v>348</v>
      </c>
      <c r="C23" s="77" t="s">
        <v>313</v>
      </c>
    </row>
    <row r="24" spans="1:3" x14ac:dyDescent="0.2">
      <c r="A24" s="38">
        <v>48</v>
      </c>
      <c r="B24" t="s">
        <v>349</v>
      </c>
      <c r="C24" t="s">
        <v>313</v>
      </c>
    </row>
    <row r="25" spans="1:3" x14ac:dyDescent="0.2">
      <c r="A25" s="16">
        <v>50</v>
      </c>
      <c r="B25" t="s">
        <v>350</v>
      </c>
      <c r="C25" t="s">
        <v>314</v>
      </c>
    </row>
    <row r="26" spans="1:3" x14ac:dyDescent="0.2">
      <c r="A26" s="55">
        <v>51</v>
      </c>
      <c r="B26" s="77" t="s">
        <v>351</v>
      </c>
      <c r="C26" s="77" t="s">
        <v>314</v>
      </c>
    </row>
    <row r="27" spans="1:3" x14ac:dyDescent="0.2">
      <c r="A27" s="38">
        <v>52</v>
      </c>
      <c r="B27" t="s">
        <v>352</v>
      </c>
      <c r="C27" t="s">
        <v>314</v>
      </c>
    </row>
    <row r="28" spans="1:3" x14ac:dyDescent="0.2">
      <c r="A28" s="16">
        <v>60</v>
      </c>
      <c r="B28" t="s">
        <v>353</v>
      </c>
      <c r="C28" t="s">
        <v>315</v>
      </c>
    </row>
    <row r="29" spans="1:3" x14ac:dyDescent="0.2">
      <c r="A29" s="55">
        <v>61</v>
      </c>
      <c r="B29" s="77" t="s">
        <v>354</v>
      </c>
      <c r="C29" s="77" t="s">
        <v>315</v>
      </c>
    </row>
    <row r="30" spans="1:3" x14ac:dyDescent="0.2">
      <c r="A30" s="38">
        <v>62</v>
      </c>
      <c r="B30" t="s">
        <v>355</v>
      </c>
      <c r="C30" t="s">
        <v>315</v>
      </c>
    </row>
    <row r="31" spans="1:3" x14ac:dyDescent="0.2">
      <c r="A31" s="16">
        <v>70</v>
      </c>
      <c r="B31" t="s">
        <v>356</v>
      </c>
      <c r="C31" t="s">
        <v>316</v>
      </c>
    </row>
    <row r="32" spans="1:3" x14ac:dyDescent="0.2">
      <c r="A32" s="55">
        <v>71</v>
      </c>
      <c r="B32" s="77" t="s">
        <v>357</v>
      </c>
      <c r="C32" s="77" t="s">
        <v>316</v>
      </c>
    </row>
    <row r="33" spans="1:3" x14ac:dyDescent="0.2">
      <c r="A33" s="38">
        <v>72</v>
      </c>
      <c r="B33" t="s">
        <v>358</v>
      </c>
      <c r="C33" t="s">
        <v>316</v>
      </c>
    </row>
    <row r="34" spans="1:3" x14ac:dyDescent="0.2">
      <c r="A34" s="16">
        <v>80</v>
      </c>
      <c r="B34" t="s">
        <v>359</v>
      </c>
      <c r="C34" t="s">
        <v>317</v>
      </c>
    </row>
    <row r="35" spans="1:3" x14ac:dyDescent="0.2">
      <c r="A35" s="55">
        <v>81</v>
      </c>
      <c r="B35" s="77" t="s">
        <v>360</v>
      </c>
      <c r="C35" s="77" t="s">
        <v>317</v>
      </c>
    </row>
    <row r="36" spans="1:3" x14ac:dyDescent="0.2">
      <c r="A36" s="38">
        <v>82</v>
      </c>
      <c r="B36" t="s">
        <v>361</v>
      </c>
      <c r="C36" t="s">
        <v>317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439"/>
  <sheetViews>
    <sheetView workbookViewId="0">
      <selection activeCell="E24" sqref="E24"/>
    </sheetView>
  </sheetViews>
  <sheetFormatPr defaultColWidth="8" defaultRowHeight="14.25" x14ac:dyDescent="0.2"/>
  <cols>
    <col min="1" max="1" width="12.875" bestFit="1" customWidth="1"/>
    <col min="2" max="2" width="15.375" bestFit="1" customWidth="1"/>
    <col min="3" max="4" width="13" customWidth="1"/>
    <col min="5" max="5" width="34.75" bestFit="1" customWidth="1"/>
    <col min="6" max="6" width="16.75" customWidth="1"/>
    <col min="7" max="7" width="22.25" customWidth="1"/>
    <col min="8" max="8" width="13" customWidth="1"/>
    <col min="9" max="9" width="19.375" bestFit="1" customWidth="1"/>
    <col min="10" max="10" width="16.375" bestFit="1" customWidth="1"/>
    <col min="11" max="11" width="17.25" bestFit="1" customWidth="1"/>
    <col min="12" max="12" width="12.5" bestFit="1" customWidth="1"/>
    <col min="13" max="13" width="10.75" bestFit="1" customWidth="1"/>
  </cols>
  <sheetData>
    <row r="1" spans="1:13" s="19" customFormat="1" ht="38.25" x14ac:dyDescent="0.2">
      <c r="A1" s="17" t="s">
        <v>377</v>
      </c>
      <c r="B1" s="17" t="s">
        <v>378</v>
      </c>
      <c r="C1" s="17" t="s">
        <v>379</v>
      </c>
      <c r="D1" s="17" t="s">
        <v>380</v>
      </c>
      <c r="E1" s="18" t="s">
        <v>381</v>
      </c>
      <c r="F1" s="18" t="s">
        <v>382</v>
      </c>
      <c r="G1" s="17" t="s">
        <v>383</v>
      </c>
      <c r="H1" s="17" t="s">
        <v>384</v>
      </c>
      <c r="I1" s="17" t="s">
        <v>385</v>
      </c>
      <c r="J1" s="17" t="s">
        <v>386</v>
      </c>
      <c r="K1" s="18" t="s">
        <v>387</v>
      </c>
      <c r="L1" s="17" t="s">
        <v>388</v>
      </c>
      <c r="M1" s="18" t="s">
        <v>389</v>
      </c>
    </row>
    <row r="2" spans="1:13" s="21" customFormat="1" x14ac:dyDescent="0.2">
      <c r="A2" s="20" t="s">
        <v>390</v>
      </c>
      <c r="B2" s="20" t="s">
        <v>391</v>
      </c>
      <c r="C2" s="20" t="s">
        <v>392</v>
      </c>
      <c r="D2" s="20" t="s">
        <v>393</v>
      </c>
      <c r="E2" s="20" t="s">
        <v>394</v>
      </c>
      <c r="F2" s="20"/>
      <c r="G2" s="20" t="s">
        <v>395</v>
      </c>
      <c r="H2" s="20">
        <v>1</v>
      </c>
      <c r="I2" s="20" t="s">
        <v>396</v>
      </c>
      <c r="J2" s="20" t="str">
        <f>"CN"&amp;LEFT(B2,2)</f>
        <v>CN10</v>
      </c>
      <c r="K2" s="20" t="s">
        <v>397</v>
      </c>
      <c r="L2" s="20" t="s">
        <v>398</v>
      </c>
      <c r="M2" s="20" t="s">
        <v>399</v>
      </c>
    </row>
    <row r="3" spans="1:13" s="21" customFormat="1" x14ac:dyDescent="0.2">
      <c r="A3" s="20" t="s">
        <v>390</v>
      </c>
      <c r="B3" s="20" t="s">
        <v>400</v>
      </c>
      <c r="C3" s="20" t="s">
        <v>392</v>
      </c>
      <c r="D3" s="20" t="s">
        <v>393</v>
      </c>
      <c r="E3" s="20" t="s">
        <v>401</v>
      </c>
      <c r="F3" s="20"/>
      <c r="G3" s="20" t="s">
        <v>395</v>
      </c>
      <c r="H3" s="20">
        <v>1</v>
      </c>
      <c r="I3" s="20" t="s">
        <v>396</v>
      </c>
      <c r="J3" s="20" t="str">
        <f t="shared" ref="J3:J66" si="0">"CN"&amp;LEFT(B3,2)</f>
        <v>CN10</v>
      </c>
      <c r="K3" s="20" t="s">
        <v>397</v>
      </c>
      <c r="L3" s="20" t="s">
        <v>398</v>
      </c>
      <c r="M3" s="20" t="s">
        <v>399</v>
      </c>
    </row>
    <row r="4" spans="1:13" s="21" customFormat="1" x14ac:dyDescent="0.2">
      <c r="A4" s="20" t="s">
        <v>390</v>
      </c>
      <c r="B4" s="20" t="s">
        <v>402</v>
      </c>
      <c r="C4" s="20" t="s">
        <v>392</v>
      </c>
      <c r="D4" s="20" t="s">
        <v>393</v>
      </c>
      <c r="E4" s="20" t="s">
        <v>403</v>
      </c>
      <c r="F4" s="20"/>
      <c r="G4" s="20" t="s">
        <v>395</v>
      </c>
      <c r="H4" s="20">
        <v>1</v>
      </c>
      <c r="I4" s="22" t="s">
        <v>404</v>
      </c>
      <c r="J4" s="20" t="str">
        <f t="shared" si="0"/>
        <v>CN11</v>
      </c>
      <c r="K4" s="20" t="s">
        <v>397</v>
      </c>
      <c r="L4" s="20" t="s">
        <v>398</v>
      </c>
      <c r="M4" s="20" t="s">
        <v>399</v>
      </c>
    </row>
    <row r="5" spans="1:13" s="21" customFormat="1" x14ac:dyDescent="0.2">
      <c r="A5" s="20" t="s">
        <v>390</v>
      </c>
      <c r="B5" s="20" t="s">
        <v>405</v>
      </c>
      <c r="C5" s="20" t="s">
        <v>392</v>
      </c>
      <c r="D5" s="20" t="s">
        <v>393</v>
      </c>
      <c r="E5" s="20" t="s">
        <v>406</v>
      </c>
      <c r="F5" s="20"/>
      <c r="G5" s="20" t="s">
        <v>395</v>
      </c>
      <c r="H5" s="20">
        <v>1</v>
      </c>
      <c r="I5" s="22" t="s">
        <v>407</v>
      </c>
      <c r="J5" s="20" t="str">
        <f t="shared" si="0"/>
        <v>CN12</v>
      </c>
      <c r="K5" s="20" t="s">
        <v>397</v>
      </c>
      <c r="L5" s="20" t="s">
        <v>398</v>
      </c>
      <c r="M5" s="20" t="s">
        <v>399</v>
      </c>
    </row>
    <row r="6" spans="1:13" s="21" customFormat="1" x14ac:dyDescent="0.2">
      <c r="A6" s="20" t="s">
        <v>390</v>
      </c>
      <c r="B6" s="20" t="s">
        <v>408</v>
      </c>
      <c r="C6" s="20" t="s">
        <v>392</v>
      </c>
      <c r="D6" s="20" t="s">
        <v>393</v>
      </c>
      <c r="E6" s="20" t="s">
        <v>406</v>
      </c>
      <c r="F6" s="20"/>
      <c r="G6" s="20" t="s">
        <v>395</v>
      </c>
      <c r="H6" s="20">
        <v>1</v>
      </c>
      <c r="I6" s="22" t="s">
        <v>409</v>
      </c>
      <c r="J6" s="20" t="str">
        <f t="shared" si="0"/>
        <v>CN17</v>
      </c>
      <c r="K6" s="20" t="s">
        <v>397</v>
      </c>
      <c r="L6" s="20" t="s">
        <v>398</v>
      </c>
      <c r="M6" s="20" t="s">
        <v>399</v>
      </c>
    </row>
    <row r="7" spans="1:13" s="21" customFormat="1" x14ac:dyDescent="0.2">
      <c r="A7" s="20" t="s">
        <v>390</v>
      </c>
      <c r="B7" s="20" t="s">
        <v>410</v>
      </c>
      <c r="C7" s="20" t="s">
        <v>392</v>
      </c>
      <c r="D7" s="20" t="s">
        <v>393</v>
      </c>
      <c r="E7" s="20" t="s">
        <v>406</v>
      </c>
      <c r="F7" s="20"/>
      <c r="G7" s="20" t="s">
        <v>395</v>
      </c>
      <c r="H7" s="20">
        <v>1</v>
      </c>
      <c r="I7" s="22" t="s">
        <v>411</v>
      </c>
      <c r="J7" s="20" t="str">
        <f t="shared" si="0"/>
        <v>CN13</v>
      </c>
      <c r="K7" s="20" t="s">
        <v>397</v>
      </c>
      <c r="L7" s="20" t="s">
        <v>398</v>
      </c>
      <c r="M7" s="20" t="s">
        <v>399</v>
      </c>
    </row>
    <row r="8" spans="1:13" s="21" customFormat="1" x14ac:dyDescent="0.2">
      <c r="A8" s="20" t="s">
        <v>390</v>
      </c>
      <c r="B8" s="20" t="s">
        <v>412</v>
      </c>
      <c r="C8" s="20" t="s">
        <v>392</v>
      </c>
      <c r="D8" s="20" t="s">
        <v>393</v>
      </c>
      <c r="E8" s="20" t="s">
        <v>406</v>
      </c>
      <c r="F8" s="20"/>
      <c r="G8" s="20" t="s">
        <v>395</v>
      </c>
      <c r="H8" s="20">
        <v>1</v>
      </c>
      <c r="I8" s="22" t="s">
        <v>413</v>
      </c>
      <c r="J8" s="20" t="str">
        <f t="shared" si="0"/>
        <v>CN14</v>
      </c>
      <c r="K8" s="20" t="s">
        <v>397</v>
      </c>
      <c r="L8" s="20" t="s">
        <v>398</v>
      </c>
      <c r="M8" s="20" t="s">
        <v>399</v>
      </c>
    </row>
    <row r="9" spans="1:13" s="21" customFormat="1" x14ac:dyDescent="0.2">
      <c r="A9" s="20" t="s">
        <v>390</v>
      </c>
      <c r="B9" s="20" t="s">
        <v>414</v>
      </c>
      <c r="C9" s="20" t="s">
        <v>392</v>
      </c>
      <c r="D9" s="20" t="s">
        <v>393</v>
      </c>
      <c r="E9" s="20" t="s">
        <v>406</v>
      </c>
      <c r="F9" s="20"/>
      <c r="G9" s="20" t="s">
        <v>395</v>
      </c>
      <c r="H9" s="20">
        <v>1</v>
      </c>
      <c r="I9" s="22" t="s">
        <v>415</v>
      </c>
      <c r="J9" s="20" t="str">
        <f t="shared" si="0"/>
        <v>CN15</v>
      </c>
      <c r="K9" s="20" t="s">
        <v>397</v>
      </c>
      <c r="L9" s="20" t="s">
        <v>398</v>
      </c>
      <c r="M9" s="20" t="s">
        <v>399</v>
      </c>
    </row>
    <row r="10" spans="1:13" s="21" customFormat="1" x14ac:dyDescent="0.2">
      <c r="A10" s="20" t="s">
        <v>390</v>
      </c>
      <c r="B10" s="20" t="s">
        <v>416</v>
      </c>
      <c r="C10" s="20" t="s">
        <v>392</v>
      </c>
      <c r="D10" s="20" t="s">
        <v>393</v>
      </c>
      <c r="E10" s="20" t="s">
        <v>406</v>
      </c>
      <c r="F10" s="20"/>
      <c r="G10" s="20" t="s">
        <v>395</v>
      </c>
      <c r="H10" s="20">
        <v>1</v>
      </c>
      <c r="I10" s="22" t="s">
        <v>417</v>
      </c>
      <c r="J10" s="20" t="str">
        <f t="shared" si="0"/>
        <v>CN16</v>
      </c>
      <c r="K10" s="20" t="s">
        <v>397</v>
      </c>
      <c r="L10" s="20" t="s">
        <v>398</v>
      </c>
      <c r="M10" s="20" t="s">
        <v>399</v>
      </c>
    </row>
    <row r="11" spans="1:13" s="21" customFormat="1" x14ac:dyDescent="0.2">
      <c r="A11" s="20" t="s">
        <v>390</v>
      </c>
      <c r="B11" s="20" t="s">
        <v>418</v>
      </c>
      <c r="C11" s="20" t="s">
        <v>392</v>
      </c>
      <c r="D11" s="20" t="s">
        <v>393</v>
      </c>
      <c r="E11" s="20" t="s">
        <v>419</v>
      </c>
      <c r="F11" s="20"/>
      <c r="G11" s="20" t="s">
        <v>395</v>
      </c>
      <c r="H11" s="20">
        <v>1</v>
      </c>
      <c r="I11" s="20" t="s">
        <v>396</v>
      </c>
      <c r="J11" s="20" t="str">
        <f t="shared" si="0"/>
        <v>CN10</v>
      </c>
      <c r="K11" s="20" t="s">
        <v>397</v>
      </c>
      <c r="L11" s="20" t="s">
        <v>398</v>
      </c>
      <c r="M11" s="20" t="s">
        <v>399</v>
      </c>
    </row>
    <row r="12" spans="1:13" s="21" customFormat="1" x14ac:dyDescent="0.2">
      <c r="A12" s="20" t="s">
        <v>390</v>
      </c>
      <c r="B12" s="20" t="s">
        <v>420</v>
      </c>
      <c r="C12" s="20" t="s">
        <v>392</v>
      </c>
      <c r="D12" s="20" t="s">
        <v>393</v>
      </c>
      <c r="E12" s="20" t="s">
        <v>421</v>
      </c>
      <c r="F12" s="20"/>
      <c r="G12" s="20" t="s">
        <v>395</v>
      </c>
      <c r="H12" s="20">
        <v>1</v>
      </c>
      <c r="I12" s="20" t="s">
        <v>396</v>
      </c>
      <c r="J12" s="20" t="str">
        <f t="shared" si="0"/>
        <v>CN10</v>
      </c>
      <c r="K12" s="20" t="s">
        <v>397</v>
      </c>
      <c r="L12" s="20" t="s">
        <v>398</v>
      </c>
      <c r="M12" s="20" t="s">
        <v>399</v>
      </c>
    </row>
    <row r="13" spans="1:13" s="21" customFormat="1" x14ac:dyDescent="0.2">
      <c r="A13" s="20" t="s">
        <v>390</v>
      </c>
      <c r="B13" s="20" t="s">
        <v>422</v>
      </c>
      <c r="C13" s="20" t="s">
        <v>392</v>
      </c>
      <c r="D13" s="20" t="s">
        <v>393</v>
      </c>
      <c r="E13" s="20" t="s">
        <v>421</v>
      </c>
      <c r="F13" s="20"/>
      <c r="G13" s="20" t="s">
        <v>395</v>
      </c>
      <c r="H13" s="20">
        <v>1</v>
      </c>
      <c r="I13" s="22" t="s">
        <v>411</v>
      </c>
      <c r="J13" s="20" t="str">
        <f t="shared" si="0"/>
        <v>CN13</v>
      </c>
      <c r="K13" s="20" t="s">
        <v>397</v>
      </c>
      <c r="L13" s="20" t="s">
        <v>398</v>
      </c>
      <c r="M13" s="20" t="s">
        <v>399</v>
      </c>
    </row>
    <row r="14" spans="1:13" s="21" customFormat="1" x14ac:dyDescent="0.2">
      <c r="A14" s="20" t="s">
        <v>390</v>
      </c>
      <c r="B14" s="20" t="s">
        <v>423</v>
      </c>
      <c r="C14" s="20" t="s">
        <v>392</v>
      </c>
      <c r="D14" s="20" t="s">
        <v>393</v>
      </c>
      <c r="E14" s="20" t="s">
        <v>421</v>
      </c>
      <c r="F14" s="20"/>
      <c r="G14" s="20" t="s">
        <v>395</v>
      </c>
      <c r="H14" s="20">
        <v>1</v>
      </c>
      <c r="I14" s="22" t="s">
        <v>413</v>
      </c>
      <c r="J14" s="20" t="str">
        <f t="shared" si="0"/>
        <v>CN14</v>
      </c>
      <c r="K14" s="20" t="s">
        <v>397</v>
      </c>
      <c r="L14" s="20" t="s">
        <v>398</v>
      </c>
      <c r="M14" s="20" t="s">
        <v>399</v>
      </c>
    </row>
    <row r="15" spans="1:13" s="21" customFormat="1" x14ac:dyDescent="0.2">
      <c r="A15" s="20" t="s">
        <v>390</v>
      </c>
      <c r="B15" s="20" t="s">
        <v>424</v>
      </c>
      <c r="C15" s="20" t="s">
        <v>392</v>
      </c>
      <c r="D15" s="20" t="s">
        <v>393</v>
      </c>
      <c r="E15" s="20" t="s">
        <v>421</v>
      </c>
      <c r="F15" s="20"/>
      <c r="G15" s="20" t="s">
        <v>395</v>
      </c>
      <c r="H15" s="20">
        <v>1</v>
      </c>
      <c r="I15" s="22" t="s">
        <v>417</v>
      </c>
      <c r="J15" s="20" t="str">
        <f t="shared" si="0"/>
        <v>CN16</v>
      </c>
      <c r="K15" s="20" t="s">
        <v>397</v>
      </c>
      <c r="L15" s="20" t="s">
        <v>398</v>
      </c>
      <c r="M15" s="20" t="s">
        <v>399</v>
      </c>
    </row>
    <row r="16" spans="1:13" s="21" customFormat="1" x14ac:dyDescent="0.2">
      <c r="A16" s="20" t="s">
        <v>390</v>
      </c>
      <c r="B16" s="20" t="s">
        <v>425</v>
      </c>
      <c r="C16" s="20" t="s">
        <v>392</v>
      </c>
      <c r="D16" s="20" t="s">
        <v>393</v>
      </c>
      <c r="E16" s="20" t="s">
        <v>421</v>
      </c>
      <c r="F16" s="20"/>
      <c r="G16" s="20" t="s">
        <v>395</v>
      </c>
      <c r="H16" s="20">
        <v>1</v>
      </c>
      <c r="I16" s="22" t="s">
        <v>407</v>
      </c>
      <c r="J16" s="20" t="str">
        <f t="shared" si="0"/>
        <v>CN12</v>
      </c>
      <c r="K16" s="20" t="s">
        <v>397</v>
      </c>
      <c r="L16" s="20" t="s">
        <v>398</v>
      </c>
      <c r="M16" s="20" t="s">
        <v>399</v>
      </c>
    </row>
    <row r="17" spans="1:13" s="21" customFormat="1" x14ac:dyDescent="0.2">
      <c r="A17" s="20" t="s">
        <v>390</v>
      </c>
      <c r="B17" s="20" t="s">
        <v>426</v>
      </c>
      <c r="C17" s="20" t="s">
        <v>392</v>
      </c>
      <c r="D17" s="20" t="s">
        <v>393</v>
      </c>
      <c r="E17" s="20" t="s">
        <v>421</v>
      </c>
      <c r="F17" s="20"/>
      <c r="G17" s="20" t="s">
        <v>395</v>
      </c>
      <c r="H17" s="20">
        <v>1</v>
      </c>
      <c r="I17" s="22" t="s">
        <v>409</v>
      </c>
      <c r="J17" s="20" t="str">
        <f t="shared" si="0"/>
        <v>CN17</v>
      </c>
      <c r="K17" s="20" t="s">
        <v>397</v>
      </c>
      <c r="L17" s="20" t="s">
        <v>398</v>
      </c>
      <c r="M17" s="20" t="s">
        <v>399</v>
      </c>
    </row>
    <row r="18" spans="1:13" s="21" customFormat="1" x14ac:dyDescent="0.2">
      <c r="A18" s="20" t="s">
        <v>390</v>
      </c>
      <c r="B18" s="20" t="s">
        <v>427</v>
      </c>
      <c r="C18" s="20" t="s">
        <v>392</v>
      </c>
      <c r="D18" s="20" t="s">
        <v>393</v>
      </c>
      <c r="E18" s="20" t="s">
        <v>421</v>
      </c>
      <c r="F18" s="20"/>
      <c r="G18" s="20" t="s">
        <v>395</v>
      </c>
      <c r="H18" s="20">
        <v>1</v>
      </c>
      <c r="I18" s="22" t="s">
        <v>415</v>
      </c>
      <c r="J18" s="20" t="str">
        <f t="shared" si="0"/>
        <v>CN15</v>
      </c>
      <c r="K18" s="20" t="s">
        <v>397</v>
      </c>
      <c r="L18" s="20" t="s">
        <v>398</v>
      </c>
      <c r="M18" s="20" t="s">
        <v>399</v>
      </c>
    </row>
    <row r="19" spans="1:13" s="21" customFormat="1" x14ac:dyDescent="0.2">
      <c r="A19" s="20" t="s">
        <v>390</v>
      </c>
      <c r="B19" s="20" t="s">
        <v>428</v>
      </c>
      <c r="C19" s="20" t="s">
        <v>392</v>
      </c>
      <c r="D19" s="20" t="s">
        <v>393</v>
      </c>
      <c r="E19" s="20" t="s">
        <v>192</v>
      </c>
      <c r="F19" s="20"/>
      <c r="G19" s="20" t="s">
        <v>395</v>
      </c>
      <c r="H19" s="20">
        <v>1</v>
      </c>
      <c r="I19" s="20" t="s">
        <v>396</v>
      </c>
      <c r="J19" s="20" t="str">
        <f t="shared" si="0"/>
        <v>CN10</v>
      </c>
      <c r="K19" s="20" t="s">
        <v>397</v>
      </c>
      <c r="L19" s="20" t="s">
        <v>398</v>
      </c>
      <c r="M19" s="20" t="s">
        <v>399</v>
      </c>
    </row>
    <row r="20" spans="1:13" s="21" customFormat="1" x14ac:dyDescent="0.2">
      <c r="A20" s="20" t="s">
        <v>390</v>
      </c>
      <c r="B20" s="20" t="s">
        <v>429</v>
      </c>
      <c r="C20" s="20" t="s">
        <v>392</v>
      </c>
      <c r="D20" s="20" t="s">
        <v>393</v>
      </c>
      <c r="E20" s="20" t="s">
        <v>192</v>
      </c>
      <c r="F20" s="20"/>
      <c r="G20" s="20" t="s">
        <v>395</v>
      </c>
      <c r="H20" s="20">
        <v>1</v>
      </c>
      <c r="I20" s="22" t="s">
        <v>411</v>
      </c>
      <c r="J20" s="20" t="str">
        <f t="shared" si="0"/>
        <v>CN13</v>
      </c>
      <c r="K20" s="20" t="s">
        <v>397</v>
      </c>
      <c r="L20" s="20" t="s">
        <v>398</v>
      </c>
      <c r="M20" s="20" t="s">
        <v>399</v>
      </c>
    </row>
    <row r="21" spans="1:13" s="21" customFormat="1" x14ac:dyDescent="0.2">
      <c r="A21" s="20" t="s">
        <v>390</v>
      </c>
      <c r="B21" s="20" t="s">
        <v>430</v>
      </c>
      <c r="C21" s="20" t="s">
        <v>392</v>
      </c>
      <c r="D21" s="20" t="s">
        <v>393</v>
      </c>
      <c r="E21" s="20" t="s">
        <v>192</v>
      </c>
      <c r="F21" s="20"/>
      <c r="G21" s="20" t="s">
        <v>395</v>
      </c>
      <c r="H21" s="20">
        <v>1</v>
      </c>
      <c r="I21" s="22" t="s">
        <v>404</v>
      </c>
      <c r="J21" s="20" t="str">
        <f t="shared" si="0"/>
        <v>CN11</v>
      </c>
      <c r="K21" s="20" t="s">
        <v>397</v>
      </c>
      <c r="L21" s="20" t="s">
        <v>398</v>
      </c>
      <c r="M21" s="20" t="s">
        <v>399</v>
      </c>
    </row>
    <row r="22" spans="1:13" s="21" customFormat="1" x14ac:dyDescent="0.2">
      <c r="A22" s="20" t="s">
        <v>390</v>
      </c>
      <c r="B22" s="20" t="s">
        <v>431</v>
      </c>
      <c r="C22" s="20" t="s">
        <v>392</v>
      </c>
      <c r="D22" s="20" t="s">
        <v>393</v>
      </c>
      <c r="E22" s="20" t="s">
        <v>192</v>
      </c>
      <c r="F22" s="20"/>
      <c r="G22" s="20" t="s">
        <v>395</v>
      </c>
      <c r="H22" s="20">
        <v>1</v>
      </c>
      <c r="I22" s="22" t="s">
        <v>413</v>
      </c>
      <c r="J22" s="20" t="str">
        <f t="shared" si="0"/>
        <v>CN14</v>
      </c>
      <c r="K22" s="20" t="s">
        <v>397</v>
      </c>
      <c r="L22" s="20" t="s">
        <v>398</v>
      </c>
      <c r="M22" s="20" t="s">
        <v>399</v>
      </c>
    </row>
    <row r="23" spans="1:13" s="21" customFormat="1" x14ac:dyDescent="0.2">
      <c r="A23" s="20" t="s">
        <v>390</v>
      </c>
      <c r="B23" s="20" t="s">
        <v>432</v>
      </c>
      <c r="C23" s="20" t="s">
        <v>392</v>
      </c>
      <c r="D23" s="20" t="s">
        <v>393</v>
      </c>
      <c r="E23" s="20" t="s">
        <v>192</v>
      </c>
      <c r="F23" s="20"/>
      <c r="G23" s="20" t="s">
        <v>395</v>
      </c>
      <c r="H23" s="20">
        <v>1</v>
      </c>
      <c r="I23" s="22" t="s">
        <v>407</v>
      </c>
      <c r="J23" s="20" t="str">
        <f t="shared" si="0"/>
        <v>CN12</v>
      </c>
      <c r="K23" s="20" t="s">
        <v>397</v>
      </c>
      <c r="L23" s="20" t="s">
        <v>398</v>
      </c>
      <c r="M23" s="20" t="s">
        <v>399</v>
      </c>
    </row>
    <row r="24" spans="1:13" s="21" customFormat="1" x14ac:dyDescent="0.2">
      <c r="A24" s="20" t="s">
        <v>390</v>
      </c>
      <c r="B24" s="20" t="s">
        <v>433</v>
      </c>
      <c r="C24" s="20" t="s">
        <v>392</v>
      </c>
      <c r="D24" s="20" t="s">
        <v>393</v>
      </c>
      <c r="E24" s="20" t="s">
        <v>192</v>
      </c>
      <c r="F24" s="20"/>
      <c r="G24" s="20" t="s">
        <v>395</v>
      </c>
      <c r="H24" s="20">
        <v>1</v>
      </c>
      <c r="I24" s="22" t="s">
        <v>409</v>
      </c>
      <c r="J24" s="20" t="str">
        <f t="shared" si="0"/>
        <v>CN17</v>
      </c>
      <c r="K24" s="20" t="s">
        <v>397</v>
      </c>
      <c r="L24" s="20" t="s">
        <v>398</v>
      </c>
      <c r="M24" s="20" t="s">
        <v>399</v>
      </c>
    </row>
    <row r="25" spans="1:13" s="21" customFormat="1" x14ac:dyDescent="0.2">
      <c r="A25" s="20" t="s">
        <v>390</v>
      </c>
      <c r="B25" s="20" t="s">
        <v>434</v>
      </c>
      <c r="C25" s="20" t="s">
        <v>392</v>
      </c>
      <c r="D25" s="20" t="s">
        <v>393</v>
      </c>
      <c r="E25" s="20" t="s">
        <v>435</v>
      </c>
      <c r="F25" s="20"/>
      <c r="G25" s="20" t="s">
        <v>395</v>
      </c>
      <c r="H25" s="20">
        <v>1</v>
      </c>
      <c r="I25" s="20" t="s">
        <v>396</v>
      </c>
      <c r="J25" s="20" t="str">
        <f t="shared" si="0"/>
        <v>CN10</v>
      </c>
      <c r="K25" s="20" t="s">
        <v>397</v>
      </c>
      <c r="L25" s="20" t="s">
        <v>398</v>
      </c>
      <c r="M25" s="20" t="s">
        <v>399</v>
      </c>
    </row>
    <row r="26" spans="1:13" s="21" customFormat="1" x14ac:dyDescent="0.2">
      <c r="A26" s="20" t="s">
        <v>390</v>
      </c>
      <c r="B26" s="20" t="s">
        <v>436</v>
      </c>
      <c r="C26" s="20" t="s">
        <v>392</v>
      </c>
      <c r="D26" s="20" t="s">
        <v>393</v>
      </c>
      <c r="E26" s="20" t="s">
        <v>435</v>
      </c>
      <c r="F26" s="20"/>
      <c r="G26" s="20" t="s">
        <v>395</v>
      </c>
      <c r="H26" s="20">
        <v>1</v>
      </c>
      <c r="I26" s="22" t="s">
        <v>413</v>
      </c>
      <c r="J26" s="20" t="str">
        <f t="shared" si="0"/>
        <v>CN14</v>
      </c>
      <c r="K26" s="20" t="s">
        <v>397</v>
      </c>
      <c r="L26" s="20" t="s">
        <v>398</v>
      </c>
      <c r="M26" s="20" t="s">
        <v>399</v>
      </c>
    </row>
    <row r="27" spans="1:13" s="21" customFormat="1" x14ac:dyDescent="0.2">
      <c r="A27" s="20" t="s">
        <v>390</v>
      </c>
      <c r="B27" s="20" t="s">
        <v>437</v>
      </c>
      <c r="C27" s="20" t="s">
        <v>392</v>
      </c>
      <c r="D27" s="20" t="s">
        <v>393</v>
      </c>
      <c r="E27" s="20" t="s">
        <v>435</v>
      </c>
      <c r="F27" s="20"/>
      <c r="G27" s="20" t="s">
        <v>395</v>
      </c>
      <c r="H27" s="20">
        <v>1</v>
      </c>
      <c r="I27" s="22" t="s">
        <v>407</v>
      </c>
      <c r="J27" s="20" t="str">
        <f t="shared" si="0"/>
        <v>CN12</v>
      </c>
      <c r="K27" s="20" t="s">
        <v>397</v>
      </c>
      <c r="L27" s="20" t="s">
        <v>398</v>
      </c>
      <c r="M27" s="20" t="s">
        <v>399</v>
      </c>
    </row>
    <row r="28" spans="1:13" s="21" customFormat="1" x14ac:dyDescent="0.2">
      <c r="A28" s="20" t="s">
        <v>390</v>
      </c>
      <c r="B28" s="20" t="s">
        <v>438</v>
      </c>
      <c r="C28" s="20" t="s">
        <v>392</v>
      </c>
      <c r="D28" s="20" t="s">
        <v>393</v>
      </c>
      <c r="E28" s="20" t="s">
        <v>435</v>
      </c>
      <c r="F28" s="20"/>
      <c r="G28" s="20" t="s">
        <v>395</v>
      </c>
      <c r="H28" s="20">
        <v>1</v>
      </c>
      <c r="I28" s="22" t="s">
        <v>409</v>
      </c>
      <c r="J28" s="20" t="str">
        <f t="shared" si="0"/>
        <v>CN17</v>
      </c>
      <c r="K28" s="20" t="s">
        <v>397</v>
      </c>
      <c r="L28" s="20" t="s">
        <v>398</v>
      </c>
      <c r="M28" s="20" t="s">
        <v>399</v>
      </c>
    </row>
    <row r="29" spans="1:13" s="21" customFormat="1" x14ac:dyDescent="0.2">
      <c r="A29" s="20" t="s">
        <v>390</v>
      </c>
      <c r="B29" s="20" t="s">
        <v>439</v>
      </c>
      <c r="C29" s="20" t="s">
        <v>392</v>
      </c>
      <c r="D29" s="20" t="s">
        <v>393</v>
      </c>
      <c r="E29" s="20" t="s">
        <v>435</v>
      </c>
      <c r="F29" s="20"/>
      <c r="G29" s="20" t="s">
        <v>395</v>
      </c>
      <c r="H29" s="20">
        <v>1</v>
      </c>
      <c r="I29" s="22" t="s">
        <v>415</v>
      </c>
      <c r="J29" s="20" t="str">
        <f t="shared" si="0"/>
        <v>CN15</v>
      </c>
      <c r="K29" s="20" t="s">
        <v>397</v>
      </c>
      <c r="L29" s="20" t="s">
        <v>398</v>
      </c>
      <c r="M29" s="20" t="s">
        <v>399</v>
      </c>
    </row>
    <row r="30" spans="1:13" s="21" customFormat="1" x14ac:dyDescent="0.2">
      <c r="A30" s="20" t="s">
        <v>390</v>
      </c>
      <c r="B30" s="20" t="s">
        <v>440</v>
      </c>
      <c r="C30" s="20" t="s">
        <v>392</v>
      </c>
      <c r="D30" s="20" t="s">
        <v>393</v>
      </c>
      <c r="E30" s="20" t="s">
        <v>435</v>
      </c>
      <c r="F30" s="20"/>
      <c r="G30" s="20" t="s">
        <v>395</v>
      </c>
      <c r="H30" s="20">
        <v>1</v>
      </c>
      <c r="I30" s="22" t="s">
        <v>417</v>
      </c>
      <c r="J30" s="20" t="str">
        <f t="shared" si="0"/>
        <v>CN16</v>
      </c>
      <c r="K30" s="20" t="s">
        <v>397</v>
      </c>
      <c r="L30" s="20" t="s">
        <v>398</v>
      </c>
      <c r="M30" s="20" t="s">
        <v>399</v>
      </c>
    </row>
    <row r="31" spans="1:13" s="21" customFormat="1" x14ac:dyDescent="0.2">
      <c r="A31" s="20" t="s">
        <v>390</v>
      </c>
      <c r="B31" s="20" t="s">
        <v>441</v>
      </c>
      <c r="C31" s="20" t="s">
        <v>392</v>
      </c>
      <c r="D31" s="20" t="s">
        <v>393</v>
      </c>
      <c r="E31" s="20" t="s">
        <v>442</v>
      </c>
      <c r="F31" s="20"/>
      <c r="G31" s="20" t="s">
        <v>395</v>
      </c>
      <c r="H31" s="20">
        <v>1</v>
      </c>
      <c r="I31" s="20" t="s">
        <v>396</v>
      </c>
      <c r="J31" s="20" t="str">
        <f t="shared" si="0"/>
        <v>CN10</v>
      </c>
      <c r="K31" s="20" t="s">
        <v>397</v>
      </c>
      <c r="L31" s="20" t="s">
        <v>398</v>
      </c>
      <c r="M31" s="20" t="s">
        <v>399</v>
      </c>
    </row>
    <row r="32" spans="1:13" s="21" customFormat="1" x14ac:dyDescent="0.2">
      <c r="A32" s="20" t="s">
        <v>390</v>
      </c>
      <c r="B32" s="20" t="s">
        <v>443</v>
      </c>
      <c r="C32" s="20" t="s">
        <v>392</v>
      </c>
      <c r="D32" s="20" t="s">
        <v>393</v>
      </c>
      <c r="E32" s="20" t="s">
        <v>442</v>
      </c>
      <c r="F32" s="20"/>
      <c r="G32" s="20" t="s">
        <v>395</v>
      </c>
      <c r="H32" s="20">
        <v>1</v>
      </c>
      <c r="I32" s="22" t="s">
        <v>407</v>
      </c>
      <c r="J32" s="20" t="str">
        <f t="shared" si="0"/>
        <v>CN12</v>
      </c>
      <c r="K32" s="20" t="s">
        <v>397</v>
      </c>
      <c r="L32" s="20" t="s">
        <v>398</v>
      </c>
      <c r="M32" s="20" t="s">
        <v>399</v>
      </c>
    </row>
    <row r="33" spans="1:13" s="21" customFormat="1" x14ac:dyDescent="0.2">
      <c r="A33" s="20" t="s">
        <v>390</v>
      </c>
      <c r="B33" s="20" t="s">
        <v>444</v>
      </c>
      <c r="C33" s="20" t="s">
        <v>392</v>
      </c>
      <c r="D33" s="20" t="s">
        <v>393</v>
      </c>
      <c r="E33" s="20" t="s">
        <v>442</v>
      </c>
      <c r="F33" s="20"/>
      <c r="G33" s="20" t="s">
        <v>395</v>
      </c>
      <c r="H33" s="20">
        <v>1</v>
      </c>
      <c r="I33" s="22" t="s">
        <v>409</v>
      </c>
      <c r="J33" s="20" t="str">
        <f t="shared" si="0"/>
        <v>CN17</v>
      </c>
      <c r="K33" s="20" t="s">
        <v>397</v>
      </c>
      <c r="L33" s="20" t="s">
        <v>398</v>
      </c>
      <c r="M33" s="20" t="s">
        <v>399</v>
      </c>
    </row>
    <row r="34" spans="1:13" s="21" customFormat="1" x14ac:dyDescent="0.2">
      <c r="A34" s="20" t="s">
        <v>390</v>
      </c>
      <c r="B34" s="20" t="s">
        <v>445</v>
      </c>
      <c r="C34" s="20" t="s">
        <v>392</v>
      </c>
      <c r="D34" s="20" t="s">
        <v>393</v>
      </c>
      <c r="E34" s="20" t="s">
        <v>442</v>
      </c>
      <c r="F34" s="20"/>
      <c r="G34" s="20" t="s">
        <v>395</v>
      </c>
      <c r="H34" s="20">
        <v>1</v>
      </c>
      <c r="I34" s="22" t="s">
        <v>411</v>
      </c>
      <c r="J34" s="20" t="str">
        <f t="shared" si="0"/>
        <v>CN13</v>
      </c>
      <c r="K34" s="20" t="s">
        <v>397</v>
      </c>
      <c r="L34" s="20" t="s">
        <v>398</v>
      </c>
      <c r="M34" s="20" t="s">
        <v>399</v>
      </c>
    </row>
    <row r="35" spans="1:13" s="21" customFormat="1" x14ac:dyDescent="0.2">
      <c r="A35" s="20" t="s">
        <v>390</v>
      </c>
      <c r="B35" s="20" t="s">
        <v>446</v>
      </c>
      <c r="C35" s="20" t="s">
        <v>392</v>
      </c>
      <c r="D35" s="20" t="s">
        <v>393</v>
      </c>
      <c r="E35" s="20" t="s">
        <v>447</v>
      </c>
      <c r="F35" s="20"/>
      <c r="G35" s="20" t="s">
        <v>395</v>
      </c>
      <c r="H35" s="20">
        <v>1</v>
      </c>
      <c r="I35" s="20" t="s">
        <v>396</v>
      </c>
      <c r="J35" s="20" t="str">
        <f t="shared" si="0"/>
        <v>CN10</v>
      </c>
      <c r="K35" s="20" t="s">
        <v>397</v>
      </c>
      <c r="L35" s="20" t="s">
        <v>398</v>
      </c>
      <c r="M35" s="20" t="s">
        <v>399</v>
      </c>
    </row>
    <row r="36" spans="1:13" s="21" customFormat="1" x14ac:dyDescent="0.2">
      <c r="A36" s="20" t="s">
        <v>390</v>
      </c>
      <c r="B36" s="20" t="s">
        <v>448</v>
      </c>
      <c r="C36" s="20" t="s">
        <v>392</v>
      </c>
      <c r="D36" s="20" t="s">
        <v>393</v>
      </c>
      <c r="E36" s="20" t="s">
        <v>449</v>
      </c>
      <c r="F36" s="20"/>
      <c r="G36" s="20" t="s">
        <v>395</v>
      </c>
      <c r="H36" s="20">
        <v>1</v>
      </c>
      <c r="I36" s="20" t="s">
        <v>396</v>
      </c>
      <c r="J36" s="20" t="str">
        <f t="shared" si="0"/>
        <v>CN10</v>
      </c>
      <c r="K36" s="20" t="s">
        <v>397</v>
      </c>
      <c r="L36" s="20" t="s">
        <v>398</v>
      </c>
      <c r="M36" s="20" t="s">
        <v>399</v>
      </c>
    </row>
    <row r="37" spans="1:13" s="21" customFormat="1" x14ac:dyDescent="0.2">
      <c r="A37" s="20" t="s">
        <v>390</v>
      </c>
      <c r="B37" s="20" t="s">
        <v>450</v>
      </c>
      <c r="C37" s="20" t="s">
        <v>392</v>
      </c>
      <c r="D37" s="20" t="s">
        <v>393</v>
      </c>
      <c r="E37" s="20" t="s">
        <v>451</v>
      </c>
      <c r="F37" s="20"/>
      <c r="G37" s="20" t="s">
        <v>395</v>
      </c>
      <c r="H37" s="20">
        <v>1</v>
      </c>
      <c r="I37" s="22" t="s">
        <v>407</v>
      </c>
      <c r="J37" s="20" t="str">
        <f t="shared" si="0"/>
        <v>CN12</v>
      </c>
      <c r="K37" s="20" t="s">
        <v>397</v>
      </c>
      <c r="L37" s="20" t="s">
        <v>398</v>
      </c>
      <c r="M37" s="20" t="s">
        <v>399</v>
      </c>
    </row>
    <row r="38" spans="1:13" s="21" customFormat="1" x14ac:dyDescent="0.2">
      <c r="A38" s="20" t="s">
        <v>390</v>
      </c>
      <c r="B38" s="20" t="s">
        <v>452</v>
      </c>
      <c r="C38" s="20" t="s">
        <v>392</v>
      </c>
      <c r="D38" s="20" t="s">
        <v>393</v>
      </c>
      <c r="E38" s="20" t="s">
        <v>453</v>
      </c>
      <c r="F38" s="20"/>
      <c r="G38" s="20" t="s">
        <v>395</v>
      </c>
      <c r="H38" s="20">
        <v>1</v>
      </c>
      <c r="I38" s="20" t="s">
        <v>396</v>
      </c>
      <c r="J38" s="20" t="str">
        <f t="shared" si="0"/>
        <v>CN10</v>
      </c>
      <c r="K38" s="20" t="s">
        <v>397</v>
      </c>
      <c r="L38" s="20" t="s">
        <v>398</v>
      </c>
      <c r="M38" s="20" t="s">
        <v>399</v>
      </c>
    </row>
    <row r="39" spans="1:13" s="21" customFormat="1" x14ac:dyDescent="0.2">
      <c r="A39" s="20" t="s">
        <v>390</v>
      </c>
      <c r="B39" s="20" t="s">
        <v>454</v>
      </c>
      <c r="C39" s="20" t="s">
        <v>392</v>
      </c>
      <c r="D39" s="20" t="s">
        <v>393</v>
      </c>
      <c r="E39" s="20" t="s">
        <v>200</v>
      </c>
      <c r="F39" s="20"/>
      <c r="G39" s="20" t="s">
        <v>395</v>
      </c>
      <c r="H39" s="20">
        <v>1</v>
      </c>
      <c r="I39" s="22" t="s">
        <v>411</v>
      </c>
      <c r="J39" s="20" t="str">
        <f t="shared" si="0"/>
        <v>CN13</v>
      </c>
      <c r="K39" s="20" t="s">
        <v>397</v>
      </c>
      <c r="L39" s="20" t="s">
        <v>398</v>
      </c>
      <c r="M39" s="20" t="s">
        <v>399</v>
      </c>
    </row>
    <row r="40" spans="1:13" s="21" customFormat="1" x14ac:dyDescent="0.2">
      <c r="A40" s="20" t="s">
        <v>390</v>
      </c>
      <c r="B40" s="20" t="s">
        <v>455</v>
      </c>
      <c r="C40" s="20" t="s">
        <v>392</v>
      </c>
      <c r="D40" s="20" t="s">
        <v>393</v>
      </c>
      <c r="E40" s="20" t="s">
        <v>200</v>
      </c>
      <c r="F40" s="20"/>
      <c r="G40" s="20" t="s">
        <v>395</v>
      </c>
      <c r="H40" s="20">
        <v>1</v>
      </c>
      <c r="I40" s="22" t="s">
        <v>413</v>
      </c>
      <c r="J40" s="20" t="str">
        <f t="shared" si="0"/>
        <v>CN14</v>
      </c>
      <c r="K40" s="20" t="s">
        <v>397</v>
      </c>
      <c r="L40" s="20" t="s">
        <v>398</v>
      </c>
      <c r="M40" s="20" t="s">
        <v>399</v>
      </c>
    </row>
    <row r="41" spans="1:13" s="21" customFormat="1" x14ac:dyDescent="0.2">
      <c r="A41" s="20" t="s">
        <v>390</v>
      </c>
      <c r="B41" s="20" t="s">
        <v>456</v>
      </c>
      <c r="C41" s="20" t="s">
        <v>392</v>
      </c>
      <c r="D41" s="20" t="s">
        <v>393</v>
      </c>
      <c r="E41" s="20" t="s">
        <v>200</v>
      </c>
      <c r="F41" s="20"/>
      <c r="G41" s="20" t="s">
        <v>395</v>
      </c>
      <c r="H41" s="20">
        <v>1</v>
      </c>
      <c r="I41" s="22" t="s">
        <v>417</v>
      </c>
      <c r="J41" s="20" t="str">
        <f t="shared" si="0"/>
        <v>CN16</v>
      </c>
      <c r="K41" s="20" t="s">
        <v>397</v>
      </c>
      <c r="L41" s="20" t="s">
        <v>398</v>
      </c>
      <c r="M41" s="20" t="s">
        <v>399</v>
      </c>
    </row>
    <row r="42" spans="1:13" s="21" customFormat="1" x14ac:dyDescent="0.2">
      <c r="A42" s="20" t="s">
        <v>390</v>
      </c>
      <c r="B42" s="20" t="s">
        <v>457</v>
      </c>
      <c r="C42" s="20" t="s">
        <v>392</v>
      </c>
      <c r="D42" s="20" t="s">
        <v>393</v>
      </c>
      <c r="E42" s="20" t="s">
        <v>200</v>
      </c>
      <c r="F42" s="20"/>
      <c r="G42" s="20" t="s">
        <v>395</v>
      </c>
      <c r="H42" s="20">
        <v>1</v>
      </c>
      <c r="I42" s="22" t="s">
        <v>404</v>
      </c>
      <c r="J42" s="20" t="str">
        <f t="shared" si="0"/>
        <v>CN11</v>
      </c>
      <c r="K42" s="20" t="s">
        <v>397</v>
      </c>
      <c r="L42" s="20" t="s">
        <v>398</v>
      </c>
      <c r="M42" s="20" t="s">
        <v>399</v>
      </c>
    </row>
    <row r="43" spans="1:13" s="21" customFormat="1" x14ac:dyDescent="0.2">
      <c r="A43" s="20" t="s">
        <v>390</v>
      </c>
      <c r="B43" s="20" t="s">
        <v>458</v>
      </c>
      <c r="C43" s="20" t="s">
        <v>392</v>
      </c>
      <c r="D43" s="20" t="s">
        <v>393</v>
      </c>
      <c r="E43" s="20" t="s">
        <v>200</v>
      </c>
      <c r="F43" s="20"/>
      <c r="G43" s="20" t="s">
        <v>395</v>
      </c>
      <c r="H43" s="20">
        <v>1</v>
      </c>
      <c r="I43" s="22" t="s">
        <v>407</v>
      </c>
      <c r="J43" s="20" t="str">
        <f t="shared" si="0"/>
        <v>CN12</v>
      </c>
      <c r="K43" s="20" t="s">
        <v>397</v>
      </c>
      <c r="L43" s="20" t="s">
        <v>398</v>
      </c>
      <c r="M43" s="20" t="s">
        <v>399</v>
      </c>
    </row>
    <row r="44" spans="1:13" s="21" customFormat="1" x14ac:dyDescent="0.2">
      <c r="A44" s="20" t="s">
        <v>390</v>
      </c>
      <c r="B44" s="20" t="s">
        <v>459</v>
      </c>
      <c r="C44" s="20" t="s">
        <v>392</v>
      </c>
      <c r="D44" s="20" t="s">
        <v>393</v>
      </c>
      <c r="E44" s="20" t="s">
        <v>200</v>
      </c>
      <c r="F44" s="20"/>
      <c r="G44" s="20" t="s">
        <v>395</v>
      </c>
      <c r="H44" s="20">
        <v>1</v>
      </c>
      <c r="I44" s="22" t="s">
        <v>409</v>
      </c>
      <c r="J44" s="20" t="str">
        <f t="shared" si="0"/>
        <v>CN17</v>
      </c>
      <c r="K44" s="20" t="s">
        <v>397</v>
      </c>
      <c r="L44" s="20" t="s">
        <v>398</v>
      </c>
      <c r="M44" s="20" t="s">
        <v>399</v>
      </c>
    </row>
    <row r="45" spans="1:13" s="21" customFormat="1" x14ac:dyDescent="0.2">
      <c r="A45" s="20" t="s">
        <v>390</v>
      </c>
      <c r="B45" s="20" t="s">
        <v>460</v>
      </c>
      <c r="C45" s="20" t="s">
        <v>392</v>
      </c>
      <c r="D45" s="20" t="s">
        <v>393</v>
      </c>
      <c r="E45" s="20" t="s">
        <v>200</v>
      </c>
      <c r="F45" s="20"/>
      <c r="G45" s="20" t="s">
        <v>395</v>
      </c>
      <c r="H45" s="20">
        <v>1</v>
      </c>
      <c r="I45" s="22" t="s">
        <v>415</v>
      </c>
      <c r="J45" s="20" t="str">
        <f t="shared" si="0"/>
        <v>CN15</v>
      </c>
      <c r="K45" s="20" t="s">
        <v>397</v>
      </c>
      <c r="L45" s="20" t="s">
        <v>398</v>
      </c>
      <c r="M45" s="20" t="s">
        <v>399</v>
      </c>
    </row>
    <row r="46" spans="1:13" s="21" customFormat="1" x14ac:dyDescent="0.2">
      <c r="A46" s="20" t="s">
        <v>390</v>
      </c>
      <c r="B46" s="20" t="s">
        <v>461</v>
      </c>
      <c r="C46" s="20" t="s">
        <v>392</v>
      </c>
      <c r="D46" s="20" t="s">
        <v>393</v>
      </c>
      <c r="E46" s="20" t="s">
        <v>462</v>
      </c>
      <c r="F46" s="20"/>
      <c r="G46" s="20" t="s">
        <v>395</v>
      </c>
      <c r="H46" s="20">
        <v>1</v>
      </c>
      <c r="I46" s="20" t="s">
        <v>396</v>
      </c>
      <c r="J46" s="20" t="str">
        <f t="shared" si="0"/>
        <v>CN10</v>
      </c>
      <c r="K46" s="20" t="s">
        <v>397</v>
      </c>
      <c r="L46" s="20" t="s">
        <v>398</v>
      </c>
      <c r="M46" s="20" t="s">
        <v>399</v>
      </c>
    </row>
    <row r="47" spans="1:13" s="21" customFormat="1" x14ac:dyDescent="0.2">
      <c r="A47" s="20" t="s">
        <v>390</v>
      </c>
      <c r="B47" s="20" t="s">
        <v>463</v>
      </c>
      <c r="C47" s="20" t="s">
        <v>392</v>
      </c>
      <c r="D47" s="20" t="s">
        <v>393</v>
      </c>
      <c r="E47" s="20" t="s">
        <v>462</v>
      </c>
      <c r="F47" s="20"/>
      <c r="G47" s="20" t="s">
        <v>395</v>
      </c>
      <c r="H47" s="20">
        <v>1</v>
      </c>
      <c r="I47" s="22" t="s">
        <v>404</v>
      </c>
      <c r="J47" s="20" t="str">
        <f t="shared" si="0"/>
        <v>CN11</v>
      </c>
      <c r="K47" s="20" t="s">
        <v>397</v>
      </c>
      <c r="L47" s="20" t="s">
        <v>398</v>
      </c>
      <c r="M47" s="20" t="s">
        <v>399</v>
      </c>
    </row>
    <row r="48" spans="1:13" s="21" customFormat="1" x14ac:dyDescent="0.2">
      <c r="A48" s="20" t="s">
        <v>390</v>
      </c>
      <c r="B48" s="20" t="s">
        <v>464</v>
      </c>
      <c r="C48" s="20" t="s">
        <v>392</v>
      </c>
      <c r="D48" s="20" t="s">
        <v>393</v>
      </c>
      <c r="E48" s="20" t="s">
        <v>462</v>
      </c>
      <c r="F48" s="20"/>
      <c r="G48" s="20" t="s">
        <v>395</v>
      </c>
      <c r="H48" s="20">
        <v>1</v>
      </c>
      <c r="I48" s="22" t="s">
        <v>411</v>
      </c>
      <c r="J48" s="20" t="str">
        <f t="shared" si="0"/>
        <v>CN13</v>
      </c>
      <c r="K48" s="20" t="s">
        <v>397</v>
      </c>
      <c r="L48" s="20" t="s">
        <v>398</v>
      </c>
      <c r="M48" s="20" t="s">
        <v>399</v>
      </c>
    </row>
    <row r="49" spans="1:13" s="21" customFormat="1" x14ac:dyDescent="0.2">
      <c r="A49" s="20" t="s">
        <v>390</v>
      </c>
      <c r="B49" s="20" t="s">
        <v>465</v>
      </c>
      <c r="C49" s="20" t="s">
        <v>392</v>
      </c>
      <c r="D49" s="20" t="s">
        <v>393</v>
      </c>
      <c r="E49" s="20" t="s">
        <v>462</v>
      </c>
      <c r="F49" s="20"/>
      <c r="G49" s="20" t="s">
        <v>395</v>
      </c>
      <c r="H49" s="20">
        <v>1</v>
      </c>
      <c r="I49" s="22" t="s">
        <v>407</v>
      </c>
      <c r="J49" s="20" t="str">
        <f t="shared" si="0"/>
        <v>CN12</v>
      </c>
      <c r="K49" s="20" t="s">
        <v>397</v>
      </c>
      <c r="L49" s="20" t="s">
        <v>398</v>
      </c>
      <c r="M49" s="20" t="s">
        <v>399</v>
      </c>
    </row>
    <row r="50" spans="1:13" s="21" customFormat="1" x14ac:dyDescent="0.2">
      <c r="A50" s="20" t="s">
        <v>390</v>
      </c>
      <c r="B50" s="20" t="s">
        <v>466</v>
      </c>
      <c r="C50" s="20" t="s">
        <v>392</v>
      </c>
      <c r="D50" s="20" t="s">
        <v>393</v>
      </c>
      <c r="E50" s="20" t="s">
        <v>462</v>
      </c>
      <c r="F50" s="20"/>
      <c r="G50" s="20" t="s">
        <v>395</v>
      </c>
      <c r="H50" s="20">
        <v>1</v>
      </c>
      <c r="I50" s="22" t="s">
        <v>409</v>
      </c>
      <c r="J50" s="20" t="str">
        <f t="shared" si="0"/>
        <v>CN17</v>
      </c>
      <c r="K50" s="20" t="s">
        <v>397</v>
      </c>
      <c r="L50" s="20" t="s">
        <v>398</v>
      </c>
      <c r="M50" s="20" t="s">
        <v>399</v>
      </c>
    </row>
    <row r="51" spans="1:13" s="21" customFormat="1" x14ac:dyDescent="0.2">
      <c r="A51" s="20" t="s">
        <v>390</v>
      </c>
      <c r="B51" s="20" t="s">
        <v>467</v>
      </c>
      <c r="C51" s="20" t="s">
        <v>392</v>
      </c>
      <c r="D51" s="20" t="s">
        <v>393</v>
      </c>
      <c r="E51" s="20" t="s">
        <v>462</v>
      </c>
      <c r="F51" s="20"/>
      <c r="G51" s="20" t="s">
        <v>395</v>
      </c>
      <c r="H51" s="20">
        <v>1</v>
      </c>
      <c r="I51" s="22" t="s">
        <v>413</v>
      </c>
      <c r="J51" s="20" t="str">
        <f t="shared" si="0"/>
        <v>CN14</v>
      </c>
      <c r="K51" s="20" t="s">
        <v>397</v>
      </c>
      <c r="L51" s="20" t="s">
        <v>398</v>
      </c>
      <c r="M51" s="20" t="s">
        <v>399</v>
      </c>
    </row>
    <row r="52" spans="1:13" s="21" customFormat="1" x14ac:dyDescent="0.2">
      <c r="A52" s="20" t="s">
        <v>390</v>
      </c>
      <c r="B52" s="20" t="s">
        <v>468</v>
      </c>
      <c r="C52" s="20" t="s">
        <v>392</v>
      </c>
      <c r="D52" s="20" t="s">
        <v>393</v>
      </c>
      <c r="E52" s="20" t="s">
        <v>462</v>
      </c>
      <c r="F52" s="20"/>
      <c r="G52" s="20" t="s">
        <v>395</v>
      </c>
      <c r="H52" s="20">
        <v>1</v>
      </c>
      <c r="I52" s="22" t="s">
        <v>415</v>
      </c>
      <c r="J52" s="20" t="str">
        <f t="shared" si="0"/>
        <v>CN15</v>
      </c>
      <c r="K52" s="20" t="s">
        <v>397</v>
      </c>
      <c r="L52" s="20" t="s">
        <v>398</v>
      </c>
      <c r="M52" s="20" t="s">
        <v>399</v>
      </c>
    </row>
    <row r="53" spans="1:13" s="21" customFormat="1" x14ac:dyDescent="0.2">
      <c r="A53" s="20" t="s">
        <v>390</v>
      </c>
      <c r="B53" s="20" t="s">
        <v>469</v>
      </c>
      <c r="C53" s="20" t="s">
        <v>392</v>
      </c>
      <c r="D53" s="20" t="s">
        <v>393</v>
      </c>
      <c r="E53" s="20" t="s">
        <v>462</v>
      </c>
      <c r="F53" s="20"/>
      <c r="G53" s="20" t="s">
        <v>395</v>
      </c>
      <c r="H53" s="20">
        <v>1</v>
      </c>
      <c r="I53" s="22" t="s">
        <v>417</v>
      </c>
      <c r="J53" s="20" t="str">
        <f t="shared" si="0"/>
        <v>CN16</v>
      </c>
      <c r="K53" s="20" t="s">
        <v>397</v>
      </c>
      <c r="L53" s="20" t="s">
        <v>398</v>
      </c>
      <c r="M53" s="20" t="s">
        <v>399</v>
      </c>
    </row>
    <row r="54" spans="1:13" s="21" customFormat="1" x14ac:dyDescent="0.2">
      <c r="A54" s="20" t="s">
        <v>390</v>
      </c>
      <c r="B54" s="20" t="s">
        <v>470</v>
      </c>
      <c r="C54" s="20" t="s">
        <v>392</v>
      </c>
      <c r="D54" s="20" t="s">
        <v>393</v>
      </c>
      <c r="E54" s="20" t="s">
        <v>471</v>
      </c>
      <c r="F54" s="20"/>
      <c r="G54" s="20" t="s">
        <v>395</v>
      </c>
      <c r="H54" s="20">
        <v>1</v>
      </c>
      <c r="I54" s="20" t="s">
        <v>396</v>
      </c>
      <c r="J54" s="20" t="str">
        <f t="shared" si="0"/>
        <v>CN10</v>
      </c>
      <c r="K54" s="20" t="s">
        <v>397</v>
      </c>
      <c r="L54" s="20" t="s">
        <v>398</v>
      </c>
      <c r="M54" s="20" t="s">
        <v>399</v>
      </c>
    </row>
    <row r="55" spans="1:13" s="21" customFormat="1" x14ac:dyDescent="0.2">
      <c r="A55" s="20" t="s">
        <v>390</v>
      </c>
      <c r="B55" s="20" t="s">
        <v>472</v>
      </c>
      <c r="C55" s="20" t="s">
        <v>392</v>
      </c>
      <c r="D55" s="20" t="s">
        <v>393</v>
      </c>
      <c r="E55" s="20" t="s">
        <v>473</v>
      </c>
      <c r="F55" s="20"/>
      <c r="G55" s="20" t="s">
        <v>395</v>
      </c>
      <c r="H55" s="20">
        <v>1</v>
      </c>
      <c r="I55" s="20" t="s">
        <v>396</v>
      </c>
      <c r="J55" s="20" t="str">
        <f t="shared" si="0"/>
        <v>CN10</v>
      </c>
      <c r="K55" s="20" t="s">
        <v>397</v>
      </c>
      <c r="L55" s="20" t="s">
        <v>398</v>
      </c>
      <c r="M55" s="20" t="s">
        <v>399</v>
      </c>
    </row>
    <row r="56" spans="1:13" s="21" customFormat="1" x14ac:dyDescent="0.2">
      <c r="A56" s="20" t="s">
        <v>390</v>
      </c>
      <c r="B56" s="20" t="s">
        <v>474</v>
      </c>
      <c r="C56" s="20" t="s">
        <v>392</v>
      </c>
      <c r="D56" s="20" t="s">
        <v>393</v>
      </c>
      <c r="E56" s="20" t="s">
        <v>475</v>
      </c>
      <c r="F56" s="20"/>
      <c r="G56" s="20" t="s">
        <v>395</v>
      </c>
      <c r="H56" s="20">
        <v>1</v>
      </c>
      <c r="I56" s="20" t="s">
        <v>396</v>
      </c>
      <c r="J56" s="20" t="str">
        <f t="shared" si="0"/>
        <v>CN10</v>
      </c>
      <c r="K56" s="20" t="s">
        <v>397</v>
      </c>
      <c r="L56" s="20" t="s">
        <v>398</v>
      </c>
      <c r="M56" s="20" t="s">
        <v>399</v>
      </c>
    </row>
    <row r="57" spans="1:13" s="21" customFormat="1" x14ac:dyDescent="0.2">
      <c r="A57" s="20" t="s">
        <v>390</v>
      </c>
      <c r="B57" s="20" t="s">
        <v>476</v>
      </c>
      <c r="C57" s="20" t="s">
        <v>392</v>
      </c>
      <c r="D57" s="20" t="s">
        <v>393</v>
      </c>
      <c r="E57" s="20" t="s">
        <v>477</v>
      </c>
      <c r="F57" s="20"/>
      <c r="G57" s="20" t="s">
        <v>395</v>
      </c>
      <c r="H57" s="20">
        <v>1</v>
      </c>
      <c r="I57" s="20" t="s">
        <v>396</v>
      </c>
      <c r="J57" s="20" t="str">
        <f t="shared" si="0"/>
        <v>CN10</v>
      </c>
      <c r="K57" s="20" t="s">
        <v>478</v>
      </c>
      <c r="L57" s="20" t="s">
        <v>398</v>
      </c>
      <c r="M57" s="20" t="s">
        <v>399</v>
      </c>
    </row>
    <row r="58" spans="1:13" s="21" customFormat="1" x14ac:dyDescent="0.2">
      <c r="A58" s="20" t="s">
        <v>390</v>
      </c>
      <c r="B58" s="20" t="s">
        <v>479</v>
      </c>
      <c r="C58" s="20" t="s">
        <v>392</v>
      </c>
      <c r="D58" s="20" t="s">
        <v>393</v>
      </c>
      <c r="E58" s="20" t="s">
        <v>480</v>
      </c>
      <c r="F58" s="20"/>
      <c r="G58" s="20" t="s">
        <v>395</v>
      </c>
      <c r="H58" s="20">
        <v>1</v>
      </c>
      <c r="I58" s="20" t="s">
        <v>396</v>
      </c>
      <c r="J58" s="20" t="str">
        <f t="shared" si="0"/>
        <v>CN10</v>
      </c>
      <c r="K58" s="20" t="s">
        <v>397</v>
      </c>
      <c r="L58" s="20" t="s">
        <v>398</v>
      </c>
      <c r="M58" s="20" t="s">
        <v>399</v>
      </c>
    </row>
    <row r="59" spans="1:13" s="21" customFormat="1" x14ac:dyDescent="0.2">
      <c r="A59" s="20" t="s">
        <v>390</v>
      </c>
      <c r="B59" s="20" t="s">
        <v>481</v>
      </c>
      <c r="C59" s="20" t="s">
        <v>392</v>
      </c>
      <c r="D59" s="20" t="s">
        <v>393</v>
      </c>
      <c r="E59" s="20" t="s">
        <v>199</v>
      </c>
      <c r="F59" s="20"/>
      <c r="G59" s="20" t="s">
        <v>395</v>
      </c>
      <c r="H59" s="20">
        <v>1</v>
      </c>
      <c r="I59" s="20" t="s">
        <v>396</v>
      </c>
      <c r="J59" s="20" t="str">
        <f t="shared" si="0"/>
        <v>CN10</v>
      </c>
      <c r="K59" s="20" t="s">
        <v>397</v>
      </c>
      <c r="L59" s="20" t="s">
        <v>398</v>
      </c>
      <c r="M59" s="20" t="s">
        <v>399</v>
      </c>
    </row>
    <row r="60" spans="1:13" s="21" customFormat="1" x14ac:dyDescent="0.2">
      <c r="A60" s="20" t="s">
        <v>390</v>
      </c>
      <c r="B60" s="20" t="s">
        <v>482</v>
      </c>
      <c r="C60" s="20" t="s">
        <v>392</v>
      </c>
      <c r="D60" s="20" t="s">
        <v>393</v>
      </c>
      <c r="E60" s="20" t="s">
        <v>199</v>
      </c>
      <c r="F60" s="20"/>
      <c r="G60" s="20" t="s">
        <v>395</v>
      </c>
      <c r="H60" s="20">
        <v>1</v>
      </c>
      <c r="I60" s="22" t="s">
        <v>404</v>
      </c>
      <c r="J60" s="20" t="str">
        <f t="shared" si="0"/>
        <v>CN11</v>
      </c>
      <c r="K60" s="20" t="s">
        <v>397</v>
      </c>
      <c r="L60" s="20" t="s">
        <v>398</v>
      </c>
      <c r="M60" s="20" t="s">
        <v>399</v>
      </c>
    </row>
    <row r="61" spans="1:13" s="21" customFormat="1" x14ac:dyDescent="0.2">
      <c r="A61" s="20" t="s">
        <v>390</v>
      </c>
      <c r="B61" s="20" t="s">
        <v>483</v>
      </c>
      <c r="C61" s="20" t="s">
        <v>392</v>
      </c>
      <c r="D61" s="20" t="s">
        <v>393</v>
      </c>
      <c r="E61" s="20" t="s">
        <v>199</v>
      </c>
      <c r="F61" s="20"/>
      <c r="G61" s="20" t="s">
        <v>395</v>
      </c>
      <c r="H61" s="20">
        <v>1</v>
      </c>
      <c r="I61" s="22" t="s">
        <v>407</v>
      </c>
      <c r="J61" s="20" t="str">
        <f t="shared" si="0"/>
        <v>CN12</v>
      </c>
      <c r="K61" s="20" t="s">
        <v>397</v>
      </c>
      <c r="L61" s="20" t="s">
        <v>398</v>
      </c>
      <c r="M61" s="20" t="s">
        <v>399</v>
      </c>
    </row>
    <row r="62" spans="1:13" s="21" customFormat="1" x14ac:dyDescent="0.2">
      <c r="A62" s="20" t="s">
        <v>390</v>
      </c>
      <c r="B62" s="20" t="s">
        <v>484</v>
      </c>
      <c r="C62" s="20" t="s">
        <v>392</v>
      </c>
      <c r="D62" s="20" t="s">
        <v>393</v>
      </c>
      <c r="E62" s="20" t="s">
        <v>199</v>
      </c>
      <c r="F62" s="20"/>
      <c r="G62" s="20" t="s">
        <v>395</v>
      </c>
      <c r="H62" s="20">
        <v>1</v>
      </c>
      <c r="I62" s="22" t="s">
        <v>413</v>
      </c>
      <c r="J62" s="20" t="str">
        <f t="shared" si="0"/>
        <v>CN14</v>
      </c>
      <c r="K62" s="20" t="s">
        <v>397</v>
      </c>
      <c r="L62" s="20" t="s">
        <v>398</v>
      </c>
      <c r="M62" s="20" t="s">
        <v>399</v>
      </c>
    </row>
    <row r="63" spans="1:13" s="21" customFormat="1" x14ac:dyDescent="0.2">
      <c r="A63" s="20" t="s">
        <v>390</v>
      </c>
      <c r="B63" s="20" t="s">
        <v>485</v>
      </c>
      <c r="C63" s="20" t="s">
        <v>392</v>
      </c>
      <c r="D63" s="20" t="s">
        <v>393</v>
      </c>
      <c r="E63" s="20" t="s">
        <v>199</v>
      </c>
      <c r="F63" s="20"/>
      <c r="G63" s="20" t="s">
        <v>395</v>
      </c>
      <c r="H63" s="20">
        <v>1</v>
      </c>
      <c r="I63" s="22" t="s">
        <v>409</v>
      </c>
      <c r="J63" s="20" t="str">
        <f t="shared" si="0"/>
        <v>CN17</v>
      </c>
      <c r="K63" s="20" t="s">
        <v>397</v>
      </c>
      <c r="L63" s="20" t="s">
        <v>398</v>
      </c>
      <c r="M63" s="20" t="s">
        <v>399</v>
      </c>
    </row>
    <row r="64" spans="1:13" s="21" customFormat="1" x14ac:dyDescent="0.2">
      <c r="A64" s="20" t="s">
        <v>390</v>
      </c>
      <c r="B64" s="20" t="s">
        <v>486</v>
      </c>
      <c r="C64" s="20" t="s">
        <v>392</v>
      </c>
      <c r="D64" s="20" t="s">
        <v>393</v>
      </c>
      <c r="E64" s="20" t="s">
        <v>199</v>
      </c>
      <c r="F64" s="20"/>
      <c r="G64" s="20" t="s">
        <v>395</v>
      </c>
      <c r="H64" s="20">
        <v>1</v>
      </c>
      <c r="I64" s="22" t="s">
        <v>411</v>
      </c>
      <c r="J64" s="20" t="str">
        <f t="shared" si="0"/>
        <v>CN13</v>
      </c>
      <c r="K64" s="20" t="s">
        <v>397</v>
      </c>
      <c r="L64" s="20" t="s">
        <v>398</v>
      </c>
      <c r="M64" s="20" t="s">
        <v>399</v>
      </c>
    </row>
    <row r="65" spans="1:13" s="21" customFormat="1" x14ac:dyDescent="0.2">
      <c r="A65" s="20" t="s">
        <v>390</v>
      </c>
      <c r="B65" s="20" t="s">
        <v>487</v>
      </c>
      <c r="C65" s="20" t="s">
        <v>392</v>
      </c>
      <c r="D65" s="20" t="s">
        <v>393</v>
      </c>
      <c r="E65" s="20" t="s">
        <v>199</v>
      </c>
      <c r="F65" s="20"/>
      <c r="G65" s="20" t="s">
        <v>395</v>
      </c>
      <c r="H65" s="20">
        <v>1</v>
      </c>
      <c r="I65" s="22" t="s">
        <v>415</v>
      </c>
      <c r="J65" s="20" t="str">
        <f t="shared" si="0"/>
        <v>CN15</v>
      </c>
      <c r="K65" s="20" t="s">
        <v>397</v>
      </c>
      <c r="L65" s="20" t="s">
        <v>398</v>
      </c>
      <c r="M65" s="20" t="s">
        <v>399</v>
      </c>
    </row>
    <row r="66" spans="1:13" s="21" customFormat="1" x14ac:dyDescent="0.2">
      <c r="A66" s="20" t="s">
        <v>390</v>
      </c>
      <c r="B66" s="20" t="s">
        <v>488</v>
      </c>
      <c r="C66" s="20" t="s">
        <v>392</v>
      </c>
      <c r="D66" s="20" t="s">
        <v>393</v>
      </c>
      <c r="E66" s="20" t="s">
        <v>199</v>
      </c>
      <c r="F66" s="20"/>
      <c r="G66" s="20" t="s">
        <v>395</v>
      </c>
      <c r="H66" s="20">
        <v>1</v>
      </c>
      <c r="I66" s="22" t="s">
        <v>417</v>
      </c>
      <c r="J66" s="20" t="str">
        <f t="shared" si="0"/>
        <v>CN16</v>
      </c>
      <c r="K66" s="20" t="s">
        <v>397</v>
      </c>
      <c r="L66" s="20" t="s">
        <v>398</v>
      </c>
      <c r="M66" s="20" t="s">
        <v>399</v>
      </c>
    </row>
    <row r="67" spans="1:13" s="21" customFormat="1" x14ac:dyDescent="0.2">
      <c r="A67" s="20" t="s">
        <v>390</v>
      </c>
      <c r="B67" s="20" t="s">
        <v>489</v>
      </c>
      <c r="C67" s="20" t="s">
        <v>392</v>
      </c>
      <c r="D67" s="20" t="s">
        <v>393</v>
      </c>
      <c r="E67" s="20" t="s">
        <v>490</v>
      </c>
      <c r="F67" s="20"/>
      <c r="G67" s="20" t="s">
        <v>395</v>
      </c>
      <c r="H67" s="20">
        <v>1</v>
      </c>
      <c r="I67" s="20" t="s">
        <v>396</v>
      </c>
      <c r="J67" s="20" t="str">
        <f t="shared" ref="J67:J130" si="1">"CN"&amp;LEFT(B67,2)</f>
        <v>CN10</v>
      </c>
      <c r="K67" s="20" t="s">
        <v>397</v>
      </c>
      <c r="L67" s="20" t="s">
        <v>398</v>
      </c>
      <c r="M67" s="20" t="s">
        <v>399</v>
      </c>
    </row>
    <row r="68" spans="1:13" s="21" customFormat="1" x14ac:dyDescent="0.2">
      <c r="A68" s="20" t="s">
        <v>390</v>
      </c>
      <c r="B68" s="20" t="s">
        <v>491</v>
      </c>
      <c r="C68" s="20" t="s">
        <v>392</v>
      </c>
      <c r="D68" s="20" t="s">
        <v>393</v>
      </c>
      <c r="E68" s="20" t="s">
        <v>490</v>
      </c>
      <c r="F68" s="20"/>
      <c r="G68" s="20" t="s">
        <v>395</v>
      </c>
      <c r="H68" s="20">
        <v>1</v>
      </c>
      <c r="I68" s="22" t="s">
        <v>404</v>
      </c>
      <c r="J68" s="20" t="str">
        <f t="shared" si="1"/>
        <v>CN11</v>
      </c>
      <c r="K68" s="20" t="s">
        <v>397</v>
      </c>
      <c r="L68" s="20" t="s">
        <v>398</v>
      </c>
      <c r="M68" s="20" t="s">
        <v>399</v>
      </c>
    </row>
    <row r="69" spans="1:13" s="21" customFormat="1" x14ac:dyDescent="0.2">
      <c r="A69" s="20" t="s">
        <v>390</v>
      </c>
      <c r="B69" s="20" t="s">
        <v>492</v>
      </c>
      <c r="C69" s="20" t="s">
        <v>392</v>
      </c>
      <c r="D69" s="20" t="s">
        <v>393</v>
      </c>
      <c r="E69" s="20" t="s">
        <v>490</v>
      </c>
      <c r="F69" s="20"/>
      <c r="G69" s="20" t="s">
        <v>395</v>
      </c>
      <c r="H69" s="20">
        <v>1</v>
      </c>
      <c r="I69" s="22" t="s">
        <v>407</v>
      </c>
      <c r="J69" s="20" t="str">
        <f t="shared" si="1"/>
        <v>CN12</v>
      </c>
      <c r="K69" s="20" t="s">
        <v>397</v>
      </c>
      <c r="L69" s="20" t="s">
        <v>398</v>
      </c>
      <c r="M69" s="20" t="s">
        <v>399</v>
      </c>
    </row>
    <row r="70" spans="1:13" s="21" customFormat="1" x14ac:dyDescent="0.2">
      <c r="A70" s="20" t="s">
        <v>390</v>
      </c>
      <c r="B70" s="20" t="s">
        <v>493</v>
      </c>
      <c r="C70" s="20" t="s">
        <v>392</v>
      </c>
      <c r="D70" s="20" t="s">
        <v>393</v>
      </c>
      <c r="E70" s="20" t="s">
        <v>490</v>
      </c>
      <c r="F70" s="20"/>
      <c r="G70" s="20" t="s">
        <v>395</v>
      </c>
      <c r="H70" s="20">
        <v>1</v>
      </c>
      <c r="I70" s="22" t="s">
        <v>413</v>
      </c>
      <c r="J70" s="20" t="str">
        <f t="shared" si="1"/>
        <v>CN14</v>
      </c>
      <c r="K70" s="20" t="s">
        <v>397</v>
      </c>
      <c r="L70" s="20" t="s">
        <v>398</v>
      </c>
      <c r="M70" s="20" t="s">
        <v>399</v>
      </c>
    </row>
    <row r="71" spans="1:13" s="21" customFormat="1" x14ac:dyDescent="0.2">
      <c r="A71" s="20" t="s">
        <v>390</v>
      </c>
      <c r="B71" s="20" t="s">
        <v>494</v>
      </c>
      <c r="C71" s="20" t="s">
        <v>392</v>
      </c>
      <c r="D71" s="20" t="s">
        <v>393</v>
      </c>
      <c r="E71" s="20" t="s">
        <v>490</v>
      </c>
      <c r="F71" s="20"/>
      <c r="G71" s="20" t="s">
        <v>395</v>
      </c>
      <c r="H71" s="20">
        <v>1</v>
      </c>
      <c r="I71" s="22" t="s">
        <v>417</v>
      </c>
      <c r="J71" s="20" t="str">
        <f t="shared" si="1"/>
        <v>CN16</v>
      </c>
      <c r="K71" s="20" t="s">
        <v>397</v>
      </c>
      <c r="L71" s="20" t="s">
        <v>398</v>
      </c>
      <c r="M71" s="20" t="s">
        <v>399</v>
      </c>
    </row>
    <row r="72" spans="1:13" s="21" customFormat="1" x14ac:dyDescent="0.2">
      <c r="A72" s="20" t="s">
        <v>390</v>
      </c>
      <c r="B72" s="20" t="s">
        <v>495</v>
      </c>
      <c r="C72" s="20" t="s">
        <v>392</v>
      </c>
      <c r="D72" s="20" t="s">
        <v>393</v>
      </c>
      <c r="E72" s="20" t="s">
        <v>490</v>
      </c>
      <c r="F72" s="20"/>
      <c r="G72" s="20" t="s">
        <v>395</v>
      </c>
      <c r="H72" s="20">
        <v>1</v>
      </c>
      <c r="I72" s="22" t="s">
        <v>409</v>
      </c>
      <c r="J72" s="20" t="str">
        <f t="shared" si="1"/>
        <v>CN17</v>
      </c>
      <c r="K72" s="20" t="s">
        <v>397</v>
      </c>
      <c r="L72" s="20" t="s">
        <v>398</v>
      </c>
      <c r="M72" s="20" t="s">
        <v>399</v>
      </c>
    </row>
    <row r="73" spans="1:13" s="21" customFormat="1" x14ac:dyDescent="0.2">
      <c r="A73" s="20" t="s">
        <v>390</v>
      </c>
      <c r="B73" s="20" t="s">
        <v>496</v>
      </c>
      <c r="C73" s="20" t="s">
        <v>392</v>
      </c>
      <c r="D73" s="20" t="s">
        <v>393</v>
      </c>
      <c r="E73" s="20" t="s">
        <v>490</v>
      </c>
      <c r="F73" s="20"/>
      <c r="G73" s="20" t="s">
        <v>395</v>
      </c>
      <c r="H73" s="20">
        <v>1</v>
      </c>
      <c r="I73" s="22" t="s">
        <v>411</v>
      </c>
      <c r="J73" s="20" t="str">
        <f t="shared" si="1"/>
        <v>CN13</v>
      </c>
      <c r="K73" s="20" t="s">
        <v>397</v>
      </c>
      <c r="L73" s="20" t="s">
        <v>398</v>
      </c>
      <c r="M73" s="20" t="s">
        <v>399</v>
      </c>
    </row>
    <row r="74" spans="1:13" s="21" customFormat="1" x14ac:dyDescent="0.2">
      <c r="A74" s="20" t="s">
        <v>390</v>
      </c>
      <c r="B74" s="20" t="s">
        <v>497</v>
      </c>
      <c r="C74" s="20" t="s">
        <v>392</v>
      </c>
      <c r="D74" s="20" t="s">
        <v>393</v>
      </c>
      <c r="E74" s="20" t="s">
        <v>490</v>
      </c>
      <c r="F74" s="20"/>
      <c r="G74" s="20" t="s">
        <v>395</v>
      </c>
      <c r="H74" s="20">
        <v>1</v>
      </c>
      <c r="I74" s="22" t="s">
        <v>415</v>
      </c>
      <c r="J74" s="20" t="str">
        <f t="shared" si="1"/>
        <v>CN15</v>
      </c>
      <c r="K74" s="20" t="s">
        <v>397</v>
      </c>
      <c r="L74" s="20" t="s">
        <v>398</v>
      </c>
      <c r="M74" s="20" t="s">
        <v>399</v>
      </c>
    </row>
    <row r="75" spans="1:13" s="21" customFormat="1" x14ac:dyDescent="0.2">
      <c r="A75" s="20" t="s">
        <v>390</v>
      </c>
      <c r="B75" s="20" t="s">
        <v>498</v>
      </c>
      <c r="C75" s="20" t="s">
        <v>392</v>
      </c>
      <c r="D75" s="20" t="s">
        <v>393</v>
      </c>
      <c r="E75" s="20" t="s">
        <v>499</v>
      </c>
      <c r="F75" s="20"/>
      <c r="G75" s="20" t="s">
        <v>395</v>
      </c>
      <c r="H75" s="20">
        <v>1</v>
      </c>
      <c r="I75" s="20" t="s">
        <v>396</v>
      </c>
      <c r="J75" s="20" t="str">
        <f t="shared" si="1"/>
        <v>CN10</v>
      </c>
      <c r="K75" s="20" t="s">
        <v>397</v>
      </c>
      <c r="L75" s="20" t="s">
        <v>398</v>
      </c>
      <c r="M75" s="20" t="s">
        <v>399</v>
      </c>
    </row>
    <row r="76" spans="1:13" s="21" customFormat="1" x14ac:dyDescent="0.2">
      <c r="A76" s="20" t="s">
        <v>390</v>
      </c>
      <c r="B76" s="20" t="s">
        <v>500</v>
      </c>
      <c r="C76" s="20" t="s">
        <v>392</v>
      </c>
      <c r="D76" s="20" t="s">
        <v>393</v>
      </c>
      <c r="E76" s="20" t="s">
        <v>501</v>
      </c>
      <c r="F76" s="20"/>
      <c r="G76" s="20" t="s">
        <v>395</v>
      </c>
      <c r="H76" s="20">
        <v>1</v>
      </c>
      <c r="I76" s="20" t="s">
        <v>396</v>
      </c>
      <c r="J76" s="20" t="str">
        <f t="shared" si="1"/>
        <v>CN10</v>
      </c>
      <c r="K76" s="20" t="s">
        <v>397</v>
      </c>
      <c r="L76" s="20" t="s">
        <v>398</v>
      </c>
      <c r="M76" s="20" t="s">
        <v>399</v>
      </c>
    </row>
    <row r="77" spans="1:13" s="21" customFormat="1" x14ac:dyDescent="0.2">
      <c r="A77" s="20" t="s">
        <v>390</v>
      </c>
      <c r="B77" s="20" t="s">
        <v>502</v>
      </c>
      <c r="C77" s="20" t="s">
        <v>392</v>
      </c>
      <c r="D77" s="20" t="s">
        <v>393</v>
      </c>
      <c r="E77" s="20" t="s">
        <v>503</v>
      </c>
      <c r="F77" s="20"/>
      <c r="G77" s="20" t="s">
        <v>395</v>
      </c>
      <c r="H77" s="20">
        <v>1</v>
      </c>
      <c r="I77" s="20" t="s">
        <v>396</v>
      </c>
      <c r="J77" s="20" t="str">
        <f t="shared" si="1"/>
        <v>CN10</v>
      </c>
      <c r="K77" s="20" t="s">
        <v>397</v>
      </c>
      <c r="L77" s="20" t="s">
        <v>398</v>
      </c>
      <c r="M77" s="20" t="s">
        <v>399</v>
      </c>
    </row>
    <row r="78" spans="1:13" s="21" customFormat="1" x14ac:dyDescent="0.2">
      <c r="A78" s="20" t="s">
        <v>390</v>
      </c>
      <c r="B78" s="20" t="s">
        <v>504</v>
      </c>
      <c r="C78" s="20" t="s">
        <v>392</v>
      </c>
      <c r="D78" s="20" t="s">
        <v>393</v>
      </c>
      <c r="E78" s="20" t="s">
        <v>505</v>
      </c>
      <c r="F78" s="20"/>
      <c r="G78" s="20" t="s">
        <v>395</v>
      </c>
      <c r="H78" s="20">
        <v>1</v>
      </c>
      <c r="I78" s="20" t="s">
        <v>396</v>
      </c>
      <c r="J78" s="20" t="str">
        <f t="shared" si="1"/>
        <v>CN10</v>
      </c>
      <c r="K78" s="20" t="s">
        <v>397</v>
      </c>
      <c r="L78" s="20" t="s">
        <v>398</v>
      </c>
      <c r="M78" s="20" t="s">
        <v>399</v>
      </c>
    </row>
    <row r="79" spans="1:13" s="21" customFormat="1" x14ac:dyDescent="0.2">
      <c r="A79" s="20" t="s">
        <v>390</v>
      </c>
      <c r="B79" s="20" t="s">
        <v>506</v>
      </c>
      <c r="C79" s="20" t="s">
        <v>392</v>
      </c>
      <c r="D79" s="20" t="s">
        <v>393</v>
      </c>
      <c r="E79" s="20" t="s">
        <v>507</v>
      </c>
      <c r="F79" s="20"/>
      <c r="G79" s="20" t="s">
        <v>395</v>
      </c>
      <c r="H79" s="20">
        <v>1</v>
      </c>
      <c r="I79" s="20" t="s">
        <v>396</v>
      </c>
      <c r="J79" s="20" t="str">
        <f t="shared" si="1"/>
        <v>CN10</v>
      </c>
      <c r="K79" s="20" t="s">
        <v>397</v>
      </c>
      <c r="L79" s="20" t="s">
        <v>398</v>
      </c>
      <c r="M79" s="20" t="s">
        <v>399</v>
      </c>
    </row>
    <row r="80" spans="1:13" s="21" customFormat="1" x14ac:dyDescent="0.2">
      <c r="A80" s="20" t="s">
        <v>390</v>
      </c>
      <c r="B80" s="20" t="s">
        <v>508</v>
      </c>
      <c r="C80" s="20" t="s">
        <v>392</v>
      </c>
      <c r="D80" s="20" t="s">
        <v>393</v>
      </c>
      <c r="E80" s="20" t="s">
        <v>509</v>
      </c>
      <c r="F80" s="20"/>
      <c r="G80" s="20" t="s">
        <v>395</v>
      </c>
      <c r="H80" s="20">
        <v>1</v>
      </c>
      <c r="I80" s="20" t="s">
        <v>396</v>
      </c>
      <c r="J80" s="20" t="str">
        <f t="shared" si="1"/>
        <v>CN10</v>
      </c>
      <c r="K80" s="20" t="s">
        <v>397</v>
      </c>
      <c r="L80" s="20" t="s">
        <v>398</v>
      </c>
      <c r="M80" s="20" t="s">
        <v>399</v>
      </c>
    </row>
    <row r="81" spans="1:13" s="21" customFormat="1" x14ac:dyDescent="0.2">
      <c r="A81" s="20" t="s">
        <v>390</v>
      </c>
      <c r="B81" s="20" t="s">
        <v>510</v>
      </c>
      <c r="C81" s="20" t="s">
        <v>392</v>
      </c>
      <c r="D81" s="20" t="s">
        <v>393</v>
      </c>
      <c r="E81" s="20" t="s">
        <v>509</v>
      </c>
      <c r="F81" s="20"/>
      <c r="G81" s="20" t="s">
        <v>395</v>
      </c>
      <c r="H81" s="20">
        <v>1</v>
      </c>
      <c r="I81" s="22" t="s">
        <v>404</v>
      </c>
      <c r="J81" s="20" t="str">
        <f t="shared" si="1"/>
        <v>CN11</v>
      </c>
      <c r="K81" s="20" t="s">
        <v>397</v>
      </c>
      <c r="L81" s="20" t="s">
        <v>398</v>
      </c>
      <c r="M81" s="20" t="s">
        <v>399</v>
      </c>
    </row>
    <row r="82" spans="1:13" s="21" customFormat="1" x14ac:dyDescent="0.2">
      <c r="A82" s="20" t="s">
        <v>390</v>
      </c>
      <c r="B82" s="20" t="s">
        <v>511</v>
      </c>
      <c r="C82" s="20" t="s">
        <v>392</v>
      </c>
      <c r="D82" s="20" t="s">
        <v>393</v>
      </c>
      <c r="E82" s="20" t="s">
        <v>509</v>
      </c>
      <c r="F82" s="20"/>
      <c r="G82" s="20" t="s">
        <v>395</v>
      </c>
      <c r="H82" s="20">
        <v>1</v>
      </c>
      <c r="I82" s="22" t="s">
        <v>407</v>
      </c>
      <c r="J82" s="20" t="str">
        <f t="shared" si="1"/>
        <v>CN12</v>
      </c>
      <c r="K82" s="20" t="s">
        <v>397</v>
      </c>
      <c r="L82" s="20" t="s">
        <v>398</v>
      </c>
      <c r="M82" s="20" t="s">
        <v>399</v>
      </c>
    </row>
    <row r="83" spans="1:13" s="21" customFormat="1" x14ac:dyDescent="0.2">
      <c r="A83" s="20" t="s">
        <v>390</v>
      </c>
      <c r="B83" s="20" t="s">
        <v>512</v>
      </c>
      <c r="C83" s="20" t="s">
        <v>392</v>
      </c>
      <c r="D83" s="20" t="s">
        <v>393</v>
      </c>
      <c r="E83" s="20" t="s">
        <v>509</v>
      </c>
      <c r="F83" s="20"/>
      <c r="G83" s="20" t="s">
        <v>395</v>
      </c>
      <c r="H83" s="20">
        <v>1</v>
      </c>
      <c r="I83" s="22" t="s">
        <v>411</v>
      </c>
      <c r="J83" s="20" t="str">
        <f t="shared" si="1"/>
        <v>CN13</v>
      </c>
      <c r="K83" s="20" t="s">
        <v>397</v>
      </c>
      <c r="L83" s="20" t="s">
        <v>398</v>
      </c>
      <c r="M83" s="20" t="s">
        <v>399</v>
      </c>
    </row>
    <row r="84" spans="1:13" s="21" customFormat="1" x14ac:dyDescent="0.2">
      <c r="A84" s="20" t="s">
        <v>390</v>
      </c>
      <c r="B84" s="20" t="s">
        <v>513</v>
      </c>
      <c r="C84" s="20" t="s">
        <v>392</v>
      </c>
      <c r="D84" s="20" t="s">
        <v>393</v>
      </c>
      <c r="E84" s="20" t="s">
        <v>509</v>
      </c>
      <c r="F84" s="20"/>
      <c r="G84" s="20" t="s">
        <v>395</v>
      </c>
      <c r="H84" s="20">
        <v>1</v>
      </c>
      <c r="I84" s="22" t="s">
        <v>413</v>
      </c>
      <c r="J84" s="20" t="str">
        <f t="shared" si="1"/>
        <v>CN14</v>
      </c>
      <c r="K84" s="20" t="s">
        <v>397</v>
      </c>
      <c r="L84" s="20" t="s">
        <v>398</v>
      </c>
      <c r="M84" s="20" t="s">
        <v>399</v>
      </c>
    </row>
    <row r="85" spans="1:13" s="21" customFormat="1" x14ac:dyDescent="0.2">
      <c r="A85" s="20" t="s">
        <v>390</v>
      </c>
      <c r="B85" s="20" t="s">
        <v>514</v>
      </c>
      <c r="C85" s="20" t="s">
        <v>392</v>
      </c>
      <c r="D85" s="20" t="s">
        <v>393</v>
      </c>
      <c r="E85" s="20" t="s">
        <v>509</v>
      </c>
      <c r="F85" s="20"/>
      <c r="G85" s="20" t="s">
        <v>395</v>
      </c>
      <c r="H85" s="20">
        <v>1</v>
      </c>
      <c r="I85" s="22" t="s">
        <v>415</v>
      </c>
      <c r="J85" s="20" t="str">
        <f t="shared" si="1"/>
        <v>CN15</v>
      </c>
      <c r="K85" s="20" t="s">
        <v>397</v>
      </c>
      <c r="L85" s="20" t="s">
        <v>398</v>
      </c>
      <c r="M85" s="20" t="s">
        <v>399</v>
      </c>
    </row>
    <row r="86" spans="1:13" s="21" customFormat="1" x14ac:dyDescent="0.2">
      <c r="A86" s="20" t="s">
        <v>390</v>
      </c>
      <c r="B86" s="20" t="s">
        <v>515</v>
      </c>
      <c r="C86" s="20" t="s">
        <v>392</v>
      </c>
      <c r="D86" s="20" t="s">
        <v>393</v>
      </c>
      <c r="E86" s="20" t="s">
        <v>509</v>
      </c>
      <c r="F86" s="20"/>
      <c r="G86" s="20" t="s">
        <v>395</v>
      </c>
      <c r="H86" s="20">
        <v>1</v>
      </c>
      <c r="I86" s="22" t="s">
        <v>417</v>
      </c>
      <c r="J86" s="20" t="str">
        <f t="shared" si="1"/>
        <v>CN16</v>
      </c>
      <c r="K86" s="20" t="s">
        <v>397</v>
      </c>
      <c r="L86" s="20" t="s">
        <v>398</v>
      </c>
      <c r="M86" s="20" t="s">
        <v>399</v>
      </c>
    </row>
    <row r="87" spans="1:13" s="21" customFormat="1" x14ac:dyDescent="0.2">
      <c r="A87" s="20" t="s">
        <v>390</v>
      </c>
      <c r="B87" s="20" t="s">
        <v>516</v>
      </c>
      <c r="C87" s="20" t="s">
        <v>392</v>
      </c>
      <c r="D87" s="20" t="s">
        <v>393</v>
      </c>
      <c r="E87" s="20" t="s">
        <v>509</v>
      </c>
      <c r="F87" s="20"/>
      <c r="G87" s="20" t="s">
        <v>395</v>
      </c>
      <c r="H87" s="20">
        <v>1</v>
      </c>
      <c r="I87" s="22" t="s">
        <v>409</v>
      </c>
      <c r="J87" s="20" t="str">
        <f t="shared" si="1"/>
        <v>CN17</v>
      </c>
      <c r="K87" s="20" t="s">
        <v>397</v>
      </c>
      <c r="L87" s="20" t="s">
        <v>398</v>
      </c>
      <c r="M87" s="20" t="s">
        <v>399</v>
      </c>
    </row>
    <row r="88" spans="1:13" s="21" customFormat="1" x14ac:dyDescent="0.2">
      <c r="A88" s="20" t="s">
        <v>390</v>
      </c>
      <c r="B88" s="20" t="s">
        <v>517</v>
      </c>
      <c r="C88" s="20" t="s">
        <v>392</v>
      </c>
      <c r="D88" s="20" t="s">
        <v>393</v>
      </c>
      <c r="E88" s="20" t="s">
        <v>518</v>
      </c>
      <c r="F88" s="20"/>
      <c r="G88" s="20" t="s">
        <v>395</v>
      </c>
      <c r="H88" s="20">
        <v>1</v>
      </c>
      <c r="I88" s="22" t="s">
        <v>404</v>
      </c>
      <c r="J88" s="20" t="str">
        <f t="shared" si="1"/>
        <v>CN11</v>
      </c>
      <c r="K88" s="20" t="s">
        <v>397</v>
      </c>
      <c r="L88" s="20" t="s">
        <v>398</v>
      </c>
      <c r="M88" s="20" t="s">
        <v>399</v>
      </c>
    </row>
    <row r="89" spans="1:13" s="21" customFormat="1" x14ac:dyDescent="0.2">
      <c r="A89" s="20" t="s">
        <v>390</v>
      </c>
      <c r="B89" s="20" t="s">
        <v>519</v>
      </c>
      <c r="C89" s="20" t="s">
        <v>392</v>
      </c>
      <c r="D89" s="20" t="s">
        <v>393</v>
      </c>
      <c r="E89" s="20" t="s">
        <v>518</v>
      </c>
      <c r="F89" s="20"/>
      <c r="G89" s="20" t="s">
        <v>395</v>
      </c>
      <c r="H89" s="20">
        <v>1</v>
      </c>
      <c r="I89" s="22" t="s">
        <v>407</v>
      </c>
      <c r="J89" s="20" t="str">
        <f t="shared" si="1"/>
        <v>CN12</v>
      </c>
      <c r="K89" s="20" t="s">
        <v>397</v>
      </c>
      <c r="L89" s="20" t="s">
        <v>398</v>
      </c>
      <c r="M89" s="20" t="s">
        <v>399</v>
      </c>
    </row>
    <row r="90" spans="1:13" s="21" customFormat="1" x14ac:dyDescent="0.2">
      <c r="A90" s="20" t="s">
        <v>390</v>
      </c>
      <c r="B90" s="20" t="s">
        <v>520</v>
      </c>
      <c r="C90" s="20" t="s">
        <v>392</v>
      </c>
      <c r="D90" s="20" t="s">
        <v>393</v>
      </c>
      <c r="E90" s="20" t="s">
        <v>518</v>
      </c>
      <c r="F90" s="20"/>
      <c r="G90" s="20" t="s">
        <v>395</v>
      </c>
      <c r="H90" s="20">
        <v>1</v>
      </c>
      <c r="I90" s="22" t="s">
        <v>413</v>
      </c>
      <c r="J90" s="20" t="str">
        <f t="shared" si="1"/>
        <v>CN14</v>
      </c>
      <c r="K90" s="20" t="s">
        <v>397</v>
      </c>
      <c r="L90" s="20" t="s">
        <v>398</v>
      </c>
      <c r="M90" s="20" t="s">
        <v>399</v>
      </c>
    </row>
    <row r="91" spans="1:13" s="21" customFormat="1" x14ac:dyDescent="0.2">
      <c r="A91" s="20" t="s">
        <v>390</v>
      </c>
      <c r="B91" s="20" t="s">
        <v>521</v>
      </c>
      <c r="C91" s="20" t="s">
        <v>392</v>
      </c>
      <c r="D91" s="20" t="s">
        <v>393</v>
      </c>
      <c r="E91" s="20" t="s">
        <v>518</v>
      </c>
      <c r="F91" s="20"/>
      <c r="G91" s="20" t="s">
        <v>395</v>
      </c>
      <c r="H91" s="20">
        <v>1</v>
      </c>
      <c r="I91" s="22" t="s">
        <v>409</v>
      </c>
      <c r="J91" s="20" t="str">
        <f t="shared" si="1"/>
        <v>CN17</v>
      </c>
      <c r="K91" s="20" t="s">
        <v>397</v>
      </c>
      <c r="L91" s="20" t="s">
        <v>398</v>
      </c>
      <c r="M91" s="20" t="s">
        <v>399</v>
      </c>
    </row>
    <row r="92" spans="1:13" s="21" customFormat="1" x14ac:dyDescent="0.2">
      <c r="A92" s="20" t="s">
        <v>390</v>
      </c>
      <c r="B92" s="20" t="s">
        <v>522</v>
      </c>
      <c r="C92" s="20" t="s">
        <v>392</v>
      </c>
      <c r="D92" s="20" t="s">
        <v>393</v>
      </c>
      <c r="E92" s="20" t="s">
        <v>518</v>
      </c>
      <c r="F92" s="20"/>
      <c r="G92" s="20" t="s">
        <v>395</v>
      </c>
      <c r="H92" s="20">
        <v>1</v>
      </c>
      <c r="I92" s="22" t="s">
        <v>411</v>
      </c>
      <c r="J92" s="20" t="str">
        <f t="shared" si="1"/>
        <v>CN13</v>
      </c>
      <c r="K92" s="20" t="s">
        <v>397</v>
      </c>
      <c r="L92" s="20" t="s">
        <v>398</v>
      </c>
      <c r="M92" s="20" t="s">
        <v>399</v>
      </c>
    </row>
    <row r="93" spans="1:13" s="21" customFormat="1" x14ac:dyDescent="0.2">
      <c r="A93" s="20" t="s">
        <v>390</v>
      </c>
      <c r="B93" s="20" t="s">
        <v>523</v>
      </c>
      <c r="C93" s="20" t="s">
        <v>392</v>
      </c>
      <c r="D93" s="20" t="s">
        <v>393</v>
      </c>
      <c r="E93" s="20" t="s">
        <v>518</v>
      </c>
      <c r="F93" s="20"/>
      <c r="G93" s="20" t="s">
        <v>395</v>
      </c>
      <c r="H93" s="20">
        <v>1</v>
      </c>
      <c r="I93" s="22" t="s">
        <v>415</v>
      </c>
      <c r="J93" s="20" t="str">
        <f t="shared" si="1"/>
        <v>CN15</v>
      </c>
      <c r="K93" s="20" t="s">
        <v>397</v>
      </c>
      <c r="L93" s="20" t="s">
        <v>398</v>
      </c>
      <c r="M93" s="20" t="s">
        <v>399</v>
      </c>
    </row>
    <row r="94" spans="1:13" s="21" customFormat="1" x14ac:dyDescent="0.2">
      <c r="A94" s="20" t="s">
        <v>390</v>
      </c>
      <c r="B94" s="20" t="s">
        <v>524</v>
      </c>
      <c r="C94" s="20" t="s">
        <v>392</v>
      </c>
      <c r="D94" s="20" t="s">
        <v>393</v>
      </c>
      <c r="E94" s="20" t="s">
        <v>518</v>
      </c>
      <c r="F94" s="20"/>
      <c r="G94" s="20" t="s">
        <v>395</v>
      </c>
      <c r="H94" s="20">
        <v>1</v>
      </c>
      <c r="I94" s="22" t="s">
        <v>417</v>
      </c>
      <c r="J94" s="20" t="str">
        <f t="shared" si="1"/>
        <v>CN16</v>
      </c>
      <c r="K94" s="20" t="s">
        <v>397</v>
      </c>
      <c r="L94" s="20" t="s">
        <v>398</v>
      </c>
      <c r="M94" s="20" t="s">
        <v>399</v>
      </c>
    </row>
    <row r="95" spans="1:13" s="21" customFormat="1" x14ac:dyDescent="0.2">
      <c r="A95" s="20" t="s">
        <v>390</v>
      </c>
      <c r="B95" s="20" t="s">
        <v>525</v>
      </c>
      <c r="C95" s="20" t="s">
        <v>392</v>
      </c>
      <c r="D95" s="20" t="s">
        <v>393</v>
      </c>
      <c r="E95" s="20" t="s">
        <v>526</v>
      </c>
      <c r="F95" s="20"/>
      <c r="G95" s="20" t="s">
        <v>395</v>
      </c>
      <c r="H95" s="20">
        <v>1</v>
      </c>
      <c r="I95" s="20" t="s">
        <v>396</v>
      </c>
      <c r="J95" s="20" t="str">
        <f t="shared" si="1"/>
        <v>CN10</v>
      </c>
      <c r="K95" s="20" t="s">
        <v>397</v>
      </c>
      <c r="L95" s="20" t="s">
        <v>398</v>
      </c>
      <c r="M95" s="20" t="s">
        <v>399</v>
      </c>
    </row>
    <row r="96" spans="1:13" s="21" customFormat="1" x14ac:dyDescent="0.2">
      <c r="A96" s="20" t="s">
        <v>390</v>
      </c>
      <c r="B96" s="20" t="s">
        <v>527</v>
      </c>
      <c r="C96" s="20" t="s">
        <v>392</v>
      </c>
      <c r="D96" s="20" t="s">
        <v>393</v>
      </c>
      <c r="E96" s="20" t="s">
        <v>528</v>
      </c>
      <c r="F96" s="20"/>
      <c r="G96" s="20" t="s">
        <v>395</v>
      </c>
      <c r="H96" s="20">
        <v>1</v>
      </c>
      <c r="I96" s="20" t="s">
        <v>396</v>
      </c>
      <c r="J96" s="20" t="str">
        <f t="shared" si="1"/>
        <v>CN10</v>
      </c>
      <c r="K96" s="20" t="s">
        <v>397</v>
      </c>
      <c r="L96" s="20" t="s">
        <v>398</v>
      </c>
      <c r="M96" s="20" t="s">
        <v>399</v>
      </c>
    </row>
    <row r="97" spans="1:13" s="21" customFormat="1" x14ac:dyDescent="0.2">
      <c r="A97" s="20" t="s">
        <v>390</v>
      </c>
      <c r="B97" s="20" t="s">
        <v>529</v>
      </c>
      <c r="C97" s="20" t="s">
        <v>392</v>
      </c>
      <c r="D97" s="20" t="s">
        <v>393</v>
      </c>
      <c r="E97" s="20" t="s">
        <v>530</v>
      </c>
      <c r="F97" s="20"/>
      <c r="G97" s="20" t="s">
        <v>395</v>
      </c>
      <c r="H97" s="20">
        <v>1</v>
      </c>
      <c r="I97" s="20" t="s">
        <v>396</v>
      </c>
      <c r="J97" s="20" t="str">
        <f t="shared" si="1"/>
        <v>CN10</v>
      </c>
      <c r="K97" s="20" t="s">
        <v>397</v>
      </c>
      <c r="L97" s="20" t="s">
        <v>398</v>
      </c>
      <c r="M97" s="20" t="s">
        <v>399</v>
      </c>
    </row>
    <row r="98" spans="1:13" s="21" customFormat="1" x14ac:dyDescent="0.2">
      <c r="A98" s="20" t="s">
        <v>390</v>
      </c>
      <c r="B98" s="20" t="s">
        <v>531</v>
      </c>
      <c r="C98" s="20" t="s">
        <v>392</v>
      </c>
      <c r="D98" s="20" t="s">
        <v>393</v>
      </c>
      <c r="E98" s="20" t="s">
        <v>532</v>
      </c>
      <c r="F98" s="20"/>
      <c r="G98" s="20" t="s">
        <v>395</v>
      </c>
      <c r="H98" s="20">
        <v>1</v>
      </c>
      <c r="I98" s="20" t="s">
        <v>396</v>
      </c>
      <c r="J98" s="20" t="str">
        <f t="shared" si="1"/>
        <v>CN10</v>
      </c>
      <c r="K98" s="20" t="s">
        <v>397</v>
      </c>
      <c r="L98" s="20" t="s">
        <v>398</v>
      </c>
      <c r="M98" s="20" t="s">
        <v>399</v>
      </c>
    </row>
    <row r="99" spans="1:13" s="21" customFormat="1" x14ac:dyDescent="0.2">
      <c r="A99" s="20" t="s">
        <v>390</v>
      </c>
      <c r="B99" s="20" t="s">
        <v>533</v>
      </c>
      <c r="C99" s="20" t="s">
        <v>392</v>
      </c>
      <c r="D99" s="20" t="s">
        <v>393</v>
      </c>
      <c r="E99" s="20" t="s">
        <v>534</v>
      </c>
      <c r="F99" s="20"/>
      <c r="G99" s="20" t="s">
        <v>395</v>
      </c>
      <c r="H99" s="20">
        <v>1</v>
      </c>
      <c r="I99" s="20" t="s">
        <v>396</v>
      </c>
      <c r="J99" s="20" t="str">
        <f t="shared" si="1"/>
        <v>CN10</v>
      </c>
      <c r="K99" s="20" t="s">
        <v>397</v>
      </c>
      <c r="L99" s="20" t="s">
        <v>398</v>
      </c>
      <c r="M99" s="20" t="s">
        <v>399</v>
      </c>
    </row>
    <row r="100" spans="1:13" s="21" customFormat="1" x14ac:dyDescent="0.2">
      <c r="A100" s="20" t="s">
        <v>390</v>
      </c>
      <c r="B100" s="20" t="s">
        <v>535</v>
      </c>
      <c r="C100" s="20" t="s">
        <v>392</v>
      </c>
      <c r="D100" s="20" t="s">
        <v>393</v>
      </c>
      <c r="E100" s="20" t="s">
        <v>536</v>
      </c>
      <c r="F100" s="20"/>
      <c r="G100" s="20" t="s">
        <v>395</v>
      </c>
      <c r="H100" s="20">
        <v>1</v>
      </c>
      <c r="I100" s="20" t="s">
        <v>396</v>
      </c>
      <c r="J100" s="20" t="str">
        <f t="shared" si="1"/>
        <v>CN10</v>
      </c>
      <c r="K100" s="20" t="s">
        <v>397</v>
      </c>
      <c r="L100" s="20" t="s">
        <v>398</v>
      </c>
      <c r="M100" s="20" t="s">
        <v>399</v>
      </c>
    </row>
    <row r="101" spans="1:13" s="21" customFormat="1" x14ac:dyDescent="0.2">
      <c r="A101" s="20" t="s">
        <v>390</v>
      </c>
      <c r="B101" s="20" t="s">
        <v>537</v>
      </c>
      <c r="C101" s="20" t="s">
        <v>392</v>
      </c>
      <c r="D101" s="20" t="s">
        <v>393</v>
      </c>
      <c r="E101" s="20" t="s">
        <v>538</v>
      </c>
      <c r="F101" s="20"/>
      <c r="G101" s="20" t="s">
        <v>395</v>
      </c>
      <c r="H101" s="20">
        <v>1</v>
      </c>
      <c r="I101" s="20" t="s">
        <v>396</v>
      </c>
      <c r="J101" s="20" t="str">
        <f t="shared" si="1"/>
        <v>CN10</v>
      </c>
      <c r="K101" s="20" t="s">
        <v>397</v>
      </c>
      <c r="L101" s="20" t="s">
        <v>398</v>
      </c>
      <c r="M101" s="20" t="s">
        <v>399</v>
      </c>
    </row>
    <row r="102" spans="1:13" s="21" customFormat="1" x14ac:dyDescent="0.2">
      <c r="A102" s="20" t="s">
        <v>390</v>
      </c>
      <c r="B102" s="20" t="s">
        <v>539</v>
      </c>
      <c r="C102" s="20" t="s">
        <v>392</v>
      </c>
      <c r="D102" s="20" t="s">
        <v>393</v>
      </c>
      <c r="E102" s="20" t="s">
        <v>540</v>
      </c>
      <c r="F102" s="20"/>
      <c r="G102" s="20" t="s">
        <v>395</v>
      </c>
      <c r="H102" s="20">
        <v>1</v>
      </c>
      <c r="I102" s="20" t="s">
        <v>396</v>
      </c>
      <c r="J102" s="20" t="str">
        <f t="shared" si="1"/>
        <v>CN10</v>
      </c>
      <c r="K102" s="20" t="s">
        <v>541</v>
      </c>
      <c r="L102" s="20" t="s">
        <v>398</v>
      </c>
      <c r="M102" s="20" t="s">
        <v>542</v>
      </c>
    </row>
    <row r="103" spans="1:13" s="21" customFormat="1" x14ac:dyDescent="0.2">
      <c r="A103" s="20" t="s">
        <v>390</v>
      </c>
      <c r="B103" s="20" t="s">
        <v>543</v>
      </c>
      <c r="C103" s="20" t="s">
        <v>392</v>
      </c>
      <c r="D103" s="20" t="s">
        <v>393</v>
      </c>
      <c r="E103" s="20" t="s">
        <v>544</v>
      </c>
      <c r="F103" s="20"/>
      <c r="G103" s="20" t="s">
        <v>395</v>
      </c>
      <c r="H103" s="20">
        <v>1</v>
      </c>
      <c r="I103" s="20" t="s">
        <v>396</v>
      </c>
      <c r="J103" s="20" t="str">
        <f t="shared" si="1"/>
        <v>CN10</v>
      </c>
      <c r="K103" s="20" t="s">
        <v>397</v>
      </c>
      <c r="L103" s="20" t="s">
        <v>398</v>
      </c>
      <c r="M103" s="20" t="s">
        <v>399</v>
      </c>
    </row>
    <row r="104" spans="1:13" s="21" customFormat="1" x14ac:dyDescent="0.2">
      <c r="A104" s="20" t="s">
        <v>390</v>
      </c>
      <c r="B104" s="20" t="s">
        <v>545</v>
      </c>
      <c r="C104" s="20" t="s">
        <v>392</v>
      </c>
      <c r="D104" s="20" t="s">
        <v>393</v>
      </c>
      <c r="E104" s="20" t="s">
        <v>546</v>
      </c>
      <c r="F104" s="20"/>
      <c r="G104" s="20" t="s">
        <v>395</v>
      </c>
      <c r="H104" s="20">
        <v>1</v>
      </c>
      <c r="I104" s="20" t="s">
        <v>396</v>
      </c>
      <c r="J104" s="20" t="str">
        <f t="shared" si="1"/>
        <v>CN10</v>
      </c>
      <c r="K104" s="20" t="s">
        <v>397</v>
      </c>
      <c r="L104" s="20" t="s">
        <v>398</v>
      </c>
      <c r="M104" s="20" t="s">
        <v>399</v>
      </c>
    </row>
    <row r="105" spans="1:13" s="21" customFormat="1" x14ac:dyDescent="0.2">
      <c r="A105" s="20" t="s">
        <v>390</v>
      </c>
      <c r="B105" s="20" t="s">
        <v>547</v>
      </c>
      <c r="C105" s="20" t="s">
        <v>392</v>
      </c>
      <c r="D105" s="20" t="s">
        <v>393</v>
      </c>
      <c r="E105" s="20" t="s">
        <v>548</v>
      </c>
      <c r="F105" s="20"/>
      <c r="G105" s="20" t="s">
        <v>395</v>
      </c>
      <c r="H105" s="20">
        <v>1</v>
      </c>
      <c r="I105" s="20" t="s">
        <v>396</v>
      </c>
      <c r="J105" s="20" t="str">
        <f t="shared" si="1"/>
        <v>CN10</v>
      </c>
      <c r="K105" s="20" t="s">
        <v>397</v>
      </c>
      <c r="L105" s="20" t="s">
        <v>398</v>
      </c>
      <c r="M105" s="20" t="s">
        <v>399</v>
      </c>
    </row>
    <row r="106" spans="1:13" s="21" customFormat="1" x14ac:dyDescent="0.2">
      <c r="A106" s="20" t="s">
        <v>390</v>
      </c>
      <c r="B106" s="20" t="s">
        <v>549</v>
      </c>
      <c r="C106" s="20" t="s">
        <v>392</v>
      </c>
      <c r="D106" s="20" t="s">
        <v>393</v>
      </c>
      <c r="E106" s="20" t="s">
        <v>550</v>
      </c>
      <c r="F106" s="20"/>
      <c r="G106" s="20" t="s">
        <v>395</v>
      </c>
      <c r="H106" s="20">
        <v>1</v>
      </c>
      <c r="I106" s="20" t="s">
        <v>396</v>
      </c>
      <c r="J106" s="20" t="str">
        <f t="shared" si="1"/>
        <v>CN10</v>
      </c>
      <c r="K106" s="20" t="s">
        <v>397</v>
      </c>
      <c r="L106" s="20" t="s">
        <v>398</v>
      </c>
      <c r="M106" s="20" t="s">
        <v>399</v>
      </c>
    </row>
    <row r="107" spans="1:13" s="21" customFormat="1" x14ac:dyDescent="0.2">
      <c r="A107" s="20" t="s">
        <v>390</v>
      </c>
      <c r="B107" s="20" t="s">
        <v>551</v>
      </c>
      <c r="C107" s="20" t="s">
        <v>392</v>
      </c>
      <c r="D107" s="20" t="s">
        <v>393</v>
      </c>
      <c r="E107" s="20" t="s">
        <v>550</v>
      </c>
      <c r="F107" s="20"/>
      <c r="G107" s="20" t="s">
        <v>395</v>
      </c>
      <c r="H107" s="20">
        <v>1</v>
      </c>
      <c r="I107" s="22" t="s">
        <v>552</v>
      </c>
      <c r="J107" s="20" t="str">
        <f t="shared" si="1"/>
        <v>CN14</v>
      </c>
      <c r="K107" s="20" t="s">
        <v>397</v>
      </c>
      <c r="L107" s="20" t="s">
        <v>398</v>
      </c>
      <c r="M107" s="20" t="s">
        <v>399</v>
      </c>
    </row>
    <row r="108" spans="1:13" s="21" customFormat="1" x14ac:dyDescent="0.2">
      <c r="A108" s="20" t="s">
        <v>390</v>
      </c>
      <c r="B108" s="20" t="s">
        <v>553</v>
      </c>
      <c r="C108" s="20" t="s">
        <v>392</v>
      </c>
      <c r="D108" s="20" t="s">
        <v>393</v>
      </c>
      <c r="E108" s="20" t="s">
        <v>554</v>
      </c>
      <c r="F108" s="20"/>
      <c r="G108" s="20" t="s">
        <v>395</v>
      </c>
      <c r="H108" s="20">
        <v>1</v>
      </c>
      <c r="I108" s="22" t="s">
        <v>404</v>
      </c>
      <c r="J108" s="20" t="str">
        <f t="shared" si="1"/>
        <v>CN11</v>
      </c>
      <c r="K108" s="20" t="s">
        <v>397</v>
      </c>
      <c r="L108" s="20" t="s">
        <v>398</v>
      </c>
      <c r="M108" s="20" t="s">
        <v>399</v>
      </c>
    </row>
    <row r="109" spans="1:13" s="21" customFormat="1" x14ac:dyDescent="0.2">
      <c r="A109" s="20" t="s">
        <v>390</v>
      </c>
      <c r="B109" s="20" t="s">
        <v>555</v>
      </c>
      <c r="C109" s="20" t="s">
        <v>392</v>
      </c>
      <c r="D109" s="20" t="s">
        <v>393</v>
      </c>
      <c r="E109" s="20" t="s">
        <v>556</v>
      </c>
      <c r="F109" s="20"/>
      <c r="G109" s="20" t="s">
        <v>395</v>
      </c>
      <c r="H109" s="20">
        <v>1</v>
      </c>
      <c r="I109" s="22" t="s">
        <v>404</v>
      </c>
      <c r="J109" s="20" t="str">
        <f t="shared" si="1"/>
        <v>CN11</v>
      </c>
      <c r="K109" s="20" t="s">
        <v>397</v>
      </c>
      <c r="L109" s="20" t="s">
        <v>398</v>
      </c>
      <c r="M109" s="20" t="s">
        <v>399</v>
      </c>
    </row>
    <row r="110" spans="1:13" s="21" customFormat="1" x14ac:dyDescent="0.2">
      <c r="A110" s="20" t="s">
        <v>390</v>
      </c>
      <c r="B110" s="20" t="s">
        <v>557</v>
      </c>
      <c r="C110" s="20" t="s">
        <v>392</v>
      </c>
      <c r="D110" s="20" t="s">
        <v>393</v>
      </c>
      <c r="E110" s="20" t="s">
        <v>558</v>
      </c>
      <c r="F110" s="20"/>
      <c r="G110" s="20" t="s">
        <v>395</v>
      </c>
      <c r="H110" s="20">
        <v>1</v>
      </c>
      <c r="I110" s="22" t="s">
        <v>404</v>
      </c>
      <c r="J110" s="20" t="str">
        <f t="shared" si="1"/>
        <v>CN11</v>
      </c>
      <c r="K110" s="20" t="s">
        <v>397</v>
      </c>
      <c r="L110" s="20" t="s">
        <v>398</v>
      </c>
      <c r="M110" s="20" t="s">
        <v>399</v>
      </c>
    </row>
    <row r="111" spans="1:13" s="21" customFormat="1" x14ac:dyDescent="0.2">
      <c r="A111" s="20" t="s">
        <v>390</v>
      </c>
      <c r="B111" s="20" t="s">
        <v>559</v>
      </c>
      <c r="C111" s="20" t="s">
        <v>392</v>
      </c>
      <c r="D111" s="20" t="s">
        <v>393</v>
      </c>
      <c r="E111" s="20" t="s">
        <v>560</v>
      </c>
      <c r="F111" s="20"/>
      <c r="G111" s="20" t="s">
        <v>395</v>
      </c>
      <c r="H111" s="20">
        <v>1</v>
      </c>
      <c r="I111" s="22" t="s">
        <v>404</v>
      </c>
      <c r="J111" s="20" t="str">
        <f t="shared" si="1"/>
        <v>CN11</v>
      </c>
      <c r="K111" s="20" t="s">
        <v>397</v>
      </c>
      <c r="L111" s="20" t="s">
        <v>398</v>
      </c>
      <c r="M111" s="20" t="s">
        <v>399</v>
      </c>
    </row>
    <row r="112" spans="1:13" s="21" customFormat="1" x14ac:dyDescent="0.2">
      <c r="A112" s="20" t="s">
        <v>390</v>
      </c>
      <c r="B112" s="20" t="s">
        <v>561</v>
      </c>
      <c r="C112" s="20" t="s">
        <v>392</v>
      </c>
      <c r="D112" s="20" t="s">
        <v>393</v>
      </c>
      <c r="E112" s="20" t="s">
        <v>562</v>
      </c>
      <c r="F112" s="20"/>
      <c r="G112" s="20" t="s">
        <v>395</v>
      </c>
      <c r="H112" s="20">
        <v>1</v>
      </c>
      <c r="I112" s="22" t="s">
        <v>407</v>
      </c>
      <c r="J112" s="20" t="str">
        <f t="shared" si="1"/>
        <v>CN12</v>
      </c>
      <c r="K112" s="20" t="s">
        <v>397</v>
      </c>
      <c r="L112" s="20" t="s">
        <v>398</v>
      </c>
      <c r="M112" s="20" t="s">
        <v>399</v>
      </c>
    </row>
    <row r="113" spans="1:13" s="21" customFormat="1" x14ac:dyDescent="0.2">
      <c r="A113" s="20" t="s">
        <v>390</v>
      </c>
      <c r="B113" s="20" t="s">
        <v>563</v>
      </c>
      <c r="C113" s="20" t="s">
        <v>392</v>
      </c>
      <c r="D113" s="20" t="s">
        <v>393</v>
      </c>
      <c r="E113" s="20" t="s">
        <v>562</v>
      </c>
      <c r="F113" s="20"/>
      <c r="G113" s="20" t="s">
        <v>395</v>
      </c>
      <c r="H113" s="20">
        <v>1</v>
      </c>
      <c r="I113" s="22" t="s">
        <v>552</v>
      </c>
      <c r="J113" s="20" t="str">
        <f t="shared" si="1"/>
        <v>CN14</v>
      </c>
      <c r="K113" s="20" t="s">
        <v>397</v>
      </c>
      <c r="L113" s="20" t="s">
        <v>398</v>
      </c>
      <c r="M113" s="20" t="s">
        <v>399</v>
      </c>
    </row>
    <row r="114" spans="1:13" s="21" customFormat="1" x14ac:dyDescent="0.2">
      <c r="A114" s="20" t="s">
        <v>390</v>
      </c>
      <c r="B114" s="20" t="s">
        <v>564</v>
      </c>
      <c r="C114" s="20" t="s">
        <v>392</v>
      </c>
      <c r="D114" s="20" t="s">
        <v>393</v>
      </c>
      <c r="E114" s="20" t="s">
        <v>562</v>
      </c>
      <c r="F114" s="20"/>
      <c r="G114" s="20" t="s">
        <v>395</v>
      </c>
      <c r="H114" s="20">
        <v>1</v>
      </c>
      <c r="I114" s="22" t="s">
        <v>409</v>
      </c>
      <c r="J114" s="20" t="str">
        <f t="shared" si="1"/>
        <v>CN17</v>
      </c>
      <c r="K114" s="20" t="s">
        <v>397</v>
      </c>
      <c r="L114" s="20" t="s">
        <v>398</v>
      </c>
      <c r="M114" s="20" t="s">
        <v>399</v>
      </c>
    </row>
    <row r="115" spans="1:13" s="21" customFormat="1" x14ac:dyDescent="0.2">
      <c r="A115" s="20" t="s">
        <v>390</v>
      </c>
      <c r="B115" s="20" t="s">
        <v>565</v>
      </c>
      <c r="C115" s="20" t="s">
        <v>392</v>
      </c>
      <c r="D115" s="20" t="s">
        <v>393</v>
      </c>
      <c r="E115" s="20" t="s">
        <v>562</v>
      </c>
      <c r="F115" s="20"/>
      <c r="G115" s="20" t="s">
        <v>395</v>
      </c>
      <c r="H115" s="20">
        <v>1</v>
      </c>
      <c r="I115" s="22" t="s">
        <v>415</v>
      </c>
      <c r="J115" s="20" t="str">
        <f t="shared" si="1"/>
        <v>CN15</v>
      </c>
      <c r="K115" s="20" t="s">
        <v>397</v>
      </c>
      <c r="L115" s="20" t="s">
        <v>398</v>
      </c>
      <c r="M115" s="20" t="s">
        <v>399</v>
      </c>
    </row>
    <row r="116" spans="1:13" s="21" customFormat="1" x14ac:dyDescent="0.2">
      <c r="A116" s="20" t="s">
        <v>390</v>
      </c>
      <c r="B116" s="20" t="s">
        <v>566</v>
      </c>
      <c r="C116" s="20" t="s">
        <v>392</v>
      </c>
      <c r="D116" s="20" t="s">
        <v>393</v>
      </c>
      <c r="E116" s="20" t="s">
        <v>562</v>
      </c>
      <c r="F116" s="20"/>
      <c r="G116" s="20" t="s">
        <v>395</v>
      </c>
      <c r="H116" s="20">
        <v>1</v>
      </c>
      <c r="I116" s="22" t="s">
        <v>417</v>
      </c>
      <c r="J116" s="20" t="str">
        <f t="shared" si="1"/>
        <v>CN16</v>
      </c>
      <c r="K116" s="20" t="s">
        <v>397</v>
      </c>
      <c r="L116" s="20" t="s">
        <v>398</v>
      </c>
      <c r="M116" s="20" t="s">
        <v>399</v>
      </c>
    </row>
    <row r="117" spans="1:13" s="21" customFormat="1" x14ac:dyDescent="0.2">
      <c r="A117" s="20" t="s">
        <v>390</v>
      </c>
      <c r="B117" s="20" t="s">
        <v>567</v>
      </c>
      <c r="C117" s="20" t="s">
        <v>392</v>
      </c>
      <c r="D117" s="20" t="s">
        <v>393</v>
      </c>
      <c r="E117" s="20" t="s">
        <v>562</v>
      </c>
      <c r="F117" s="20"/>
      <c r="G117" s="20" t="s">
        <v>395</v>
      </c>
      <c r="H117" s="20">
        <v>1</v>
      </c>
      <c r="I117" s="22" t="s">
        <v>568</v>
      </c>
      <c r="J117" s="20" t="str">
        <f t="shared" si="1"/>
        <v>CN13</v>
      </c>
      <c r="K117" s="20" t="s">
        <v>397</v>
      </c>
      <c r="L117" s="20" t="s">
        <v>398</v>
      </c>
      <c r="M117" s="20" t="s">
        <v>399</v>
      </c>
    </row>
    <row r="118" spans="1:13" s="21" customFormat="1" x14ac:dyDescent="0.2">
      <c r="A118" s="20" t="s">
        <v>390</v>
      </c>
      <c r="B118" s="20" t="s">
        <v>569</v>
      </c>
      <c r="C118" s="20" t="s">
        <v>392</v>
      </c>
      <c r="D118" s="20" t="s">
        <v>393</v>
      </c>
      <c r="E118" s="20" t="s">
        <v>570</v>
      </c>
      <c r="F118" s="20"/>
      <c r="G118" s="20" t="s">
        <v>395</v>
      </c>
      <c r="H118" s="20">
        <v>1</v>
      </c>
      <c r="I118" s="22" t="s">
        <v>568</v>
      </c>
      <c r="J118" s="20" t="str">
        <f t="shared" si="1"/>
        <v>CN13</v>
      </c>
      <c r="K118" s="20" t="s">
        <v>397</v>
      </c>
      <c r="L118" s="20" t="s">
        <v>398</v>
      </c>
      <c r="M118" s="20" t="s">
        <v>399</v>
      </c>
    </row>
    <row r="119" spans="1:13" s="21" customFormat="1" x14ac:dyDescent="0.2">
      <c r="A119" s="20" t="s">
        <v>390</v>
      </c>
      <c r="B119" s="20" t="s">
        <v>571</v>
      </c>
      <c r="C119" s="20" t="s">
        <v>392</v>
      </c>
      <c r="D119" s="20" t="s">
        <v>393</v>
      </c>
      <c r="E119" s="20" t="s">
        <v>570</v>
      </c>
      <c r="F119" s="20"/>
      <c r="G119" s="20" t="s">
        <v>395</v>
      </c>
      <c r="H119" s="20">
        <v>1</v>
      </c>
      <c r="I119" s="22" t="s">
        <v>407</v>
      </c>
      <c r="J119" s="20" t="str">
        <f t="shared" si="1"/>
        <v>CN12</v>
      </c>
      <c r="K119" s="20" t="s">
        <v>397</v>
      </c>
      <c r="L119" s="20" t="s">
        <v>398</v>
      </c>
      <c r="M119" s="20" t="s">
        <v>399</v>
      </c>
    </row>
    <row r="120" spans="1:13" s="21" customFormat="1" x14ac:dyDescent="0.2">
      <c r="A120" s="20" t="s">
        <v>390</v>
      </c>
      <c r="B120" s="20" t="s">
        <v>572</v>
      </c>
      <c r="C120" s="20" t="s">
        <v>392</v>
      </c>
      <c r="D120" s="20" t="s">
        <v>393</v>
      </c>
      <c r="E120" s="20" t="s">
        <v>570</v>
      </c>
      <c r="F120" s="20"/>
      <c r="G120" s="20" t="s">
        <v>395</v>
      </c>
      <c r="H120" s="20">
        <v>1</v>
      </c>
      <c r="I120" s="22" t="s">
        <v>552</v>
      </c>
      <c r="J120" s="20" t="str">
        <f t="shared" si="1"/>
        <v>CN14</v>
      </c>
      <c r="K120" s="20" t="s">
        <v>397</v>
      </c>
      <c r="L120" s="20" t="s">
        <v>398</v>
      </c>
      <c r="M120" s="20" t="s">
        <v>399</v>
      </c>
    </row>
    <row r="121" spans="1:13" s="21" customFormat="1" x14ac:dyDescent="0.2">
      <c r="A121" s="20" t="s">
        <v>390</v>
      </c>
      <c r="B121" s="20" t="s">
        <v>573</v>
      </c>
      <c r="C121" s="20" t="s">
        <v>392</v>
      </c>
      <c r="D121" s="20" t="s">
        <v>393</v>
      </c>
      <c r="E121" s="20" t="s">
        <v>570</v>
      </c>
      <c r="F121" s="20"/>
      <c r="G121" s="20" t="s">
        <v>395</v>
      </c>
      <c r="H121" s="20">
        <v>1</v>
      </c>
      <c r="I121" s="22" t="s">
        <v>409</v>
      </c>
      <c r="J121" s="20" t="str">
        <f t="shared" si="1"/>
        <v>CN17</v>
      </c>
      <c r="K121" s="20" t="s">
        <v>397</v>
      </c>
      <c r="L121" s="20" t="s">
        <v>398</v>
      </c>
      <c r="M121" s="20" t="s">
        <v>399</v>
      </c>
    </row>
    <row r="122" spans="1:13" s="21" customFormat="1" x14ac:dyDescent="0.2">
      <c r="A122" s="20" t="s">
        <v>390</v>
      </c>
      <c r="B122" s="20" t="s">
        <v>574</v>
      </c>
      <c r="C122" s="20" t="s">
        <v>392</v>
      </c>
      <c r="D122" s="20" t="s">
        <v>393</v>
      </c>
      <c r="E122" s="20" t="s">
        <v>575</v>
      </c>
      <c r="F122" s="20"/>
      <c r="G122" s="20" t="s">
        <v>395</v>
      </c>
      <c r="H122" s="20">
        <v>1</v>
      </c>
      <c r="I122" s="22" t="s">
        <v>407</v>
      </c>
      <c r="J122" s="20" t="str">
        <f t="shared" si="1"/>
        <v>CN12</v>
      </c>
      <c r="K122" s="20" t="s">
        <v>397</v>
      </c>
      <c r="L122" s="20" t="s">
        <v>398</v>
      </c>
      <c r="M122" s="20" t="s">
        <v>399</v>
      </c>
    </row>
    <row r="123" spans="1:13" s="21" customFormat="1" x14ac:dyDescent="0.2">
      <c r="A123" s="20" t="s">
        <v>390</v>
      </c>
      <c r="B123" s="20" t="s">
        <v>576</v>
      </c>
      <c r="C123" s="20" t="s">
        <v>392</v>
      </c>
      <c r="D123" s="20" t="s">
        <v>393</v>
      </c>
      <c r="E123" s="20" t="s">
        <v>575</v>
      </c>
      <c r="F123" s="20"/>
      <c r="G123" s="20" t="s">
        <v>395</v>
      </c>
      <c r="H123" s="20">
        <v>1</v>
      </c>
      <c r="I123" s="22" t="s">
        <v>552</v>
      </c>
      <c r="J123" s="20" t="str">
        <f t="shared" si="1"/>
        <v>CN14</v>
      </c>
      <c r="K123" s="20" t="s">
        <v>397</v>
      </c>
      <c r="L123" s="20" t="s">
        <v>398</v>
      </c>
      <c r="M123" s="20" t="s">
        <v>399</v>
      </c>
    </row>
    <row r="124" spans="1:13" s="21" customFormat="1" x14ac:dyDescent="0.2">
      <c r="A124" s="20" t="s">
        <v>390</v>
      </c>
      <c r="B124" s="20" t="s">
        <v>577</v>
      </c>
      <c r="C124" s="20" t="s">
        <v>392</v>
      </c>
      <c r="D124" s="20" t="s">
        <v>393</v>
      </c>
      <c r="E124" s="20" t="s">
        <v>575</v>
      </c>
      <c r="F124" s="20"/>
      <c r="G124" s="20" t="s">
        <v>395</v>
      </c>
      <c r="H124" s="20">
        <v>1</v>
      </c>
      <c r="I124" s="22" t="s">
        <v>409</v>
      </c>
      <c r="J124" s="20" t="str">
        <f t="shared" si="1"/>
        <v>CN17</v>
      </c>
      <c r="K124" s="20" t="s">
        <v>397</v>
      </c>
      <c r="L124" s="20" t="s">
        <v>398</v>
      </c>
      <c r="M124" s="20" t="s">
        <v>399</v>
      </c>
    </row>
    <row r="125" spans="1:13" s="21" customFormat="1" x14ac:dyDescent="0.2">
      <c r="A125" s="20" t="s">
        <v>390</v>
      </c>
      <c r="B125" s="20" t="s">
        <v>578</v>
      </c>
      <c r="C125" s="20" t="s">
        <v>392</v>
      </c>
      <c r="D125" s="20" t="s">
        <v>393</v>
      </c>
      <c r="E125" s="20" t="s">
        <v>575</v>
      </c>
      <c r="F125" s="20"/>
      <c r="G125" s="20" t="s">
        <v>395</v>
      </c>
      <c r="H125" s="20">
        <v>1</v>
      </c>
      <c r="I125" s="22" t="s">
        <v>568</v>
      </c>
      <c r="J125" s="20" t="str">
        <f t="shared" si="1"/>
        <v>CN13</v>
      </c>
      <c r="K125" s="20" t="s">
        <v>397</v>
      </c>
      <c r="L125" s="20" t="s">
        <v>398</v>
      </c>
      <c r="M125" s="20" t="s">
        <v>399</v>
      </c>
    </row>
    <row r="126" spans="1:13" s="21" customFormat="1" x14ac:dyDescent="0.2">
      <c r="A126" s="20" t="s">
        <v>390</v>
      </c>
      <c r="B126" s="20" t="s">
        <v>579</v>
      </c>
      <c r="C126" s="20" t="s">
        <v>392</v>
      </c>
      <c r="D126" s="20" t="s">
        <v>393</v>
      </c>
      <c r="E126" s="20" t="s">
        <v>575</v>
      </c>
      <c r="F126" s="20"/>
      <c r="G126" s="20" t="s">
        <v>395</v>
      </c>
      <c r="H126" s="20">
        <v>1</v>
      </c>
      <c r="I126" s="22" t="s">
        <v>415</v>
      </c>
      <c r="J126" s="20" t="str">
        <f t="shared" si="1"/>
        <v>CN15</v>
      </c>
      <c r="K126" s="20" t="s">
        <v>397</v>
      </c>
      <c r="L126" s="20" t="s">
        <v>398</v>
      </c>
      <c r="M126" s="20" t="s">
        <v>399</v>
      </c>
    </row>
    <row r="127" spans="1:13" s="21" customFormat="1" x14ac:dyDescent="0.2">
      <c r="A127" s="20" t="s">
        <v>390</v>
      </c>
      <c r="B127" s="20" t="s">
        <v>580</v>
      </c>
      <c r="C127" s="20" t="s">
        <v>392</v>
      </c>
      <c r="D127" s="20" t="s">
        <v>393</v>
      </c>
      <c r="E127" s="20" t="s">
        <v>575</v>
      </c>
      <c r="F127" s="20"/>
      <c r="G127" s="20" t="s">
        <v>395</v>
      </c>
      <c r="H127" s="20">
        <v>1</v>
      </c>
      <c r="I127" s="22" t="s">
        <v>417</v>
      </c>
      <c r="J127" s="20" t="str">
        <f t="shared" si="1"/>
        <v>CN16</v>
      </c>
      <c r="K127" s="20" t="s">
        <v>397</v>
      </c>
      <c r="L127" s="20" t="s">
        <v>398</v>
      </c>
      <c r="M127" s="20" t="s">
        <v>399</v>
      </c>
    </row>
    <row r="128" spans="1:13" s="21" customFormat="1" x14ac:dyDescent="0.2">
      <c r="A128" s="20" t="s">
        <v>390</v>
      </c>
      <c r="B128" s="20" t="s">
        <v>581</v>
      </c>
      <c r="C128" s="20" t="s">
        <v>392</v>
      </c>
      <c r="D128" s="20" t="s">
        <v>393</v>
      </c>
      <c r="E128" s="20" t="s">
        <v>582</v>
      </c>
      <c r="F128" s="20"/>
      <c r="G128" s="20" t="s">
        <v>395</v>
      </c>
      <c r="H128" s="20">
        <v>1</v>
      </c>
      <c r="I128" s="22" t="s">
        <v>407</v>
      </c>
      <c r="J128" s="20" t="str">
        <f t="shared" si="1"/>
        <v>CN12</v>
      </c>
      <c r="K128" s="20" t="s">
        <v>397</v>
      </c>
      <c r="L128" s="20" t="s">
        <v>398</v>
      </c>
      <c r="M128" s="20" t="s">
        <v>399</v>
      </c>
    </row>
    <row r="129" spans="1:13" s="21" customFormat="1" x14ac:dyDescent="0.2">
      <c r="A129" s="20" t="s">
        <v>390</v>
      </c>
      <c r="B129" s="20" t="s">
        <v>583</v>
      </c>
      <c r="C129" s="20" t="s">
        <v>392</v>
      </c>
      <c r="D129" s="20" t="s">
        <v>393</v>
      </c>
      <c r="E129" s="20" t="s">
        <v>582</v>
      </c>
      <c r="F129" s="20"/>
      <c r="G129" s="20" t="s">
        <v>395</v>
      </c>
      <c r="H129" s="20">
        <v>1</v>
      </c>
      <c r="I129" s="22" t="s">
        <v>552</v>
      </c>
      <c r="J129" s="20" t="str">
        <f t="shared" si="1"/>
        <v>CN14</v>
      </c>
      <c r="K129" s="20" t="s">
        <v>397</v>
      </c>
      <c r="L129" s="20" t="s">
        <v>398</v>
      </c>
      <c r="M129" s="20" t="s">
        <v>399</v>
      </c>
    </row>
    <row r="130" spans="1:13" s="21" customFormat="1" x14ac:dyDescent="0.2">
      <c r="A130" s="20" t="s">
        <v>390</v>
      </c>
      <c r="B130" s="20" t="s">
        <v>584</v>
      </c>
      <c r="C130" s="20" t="s">
        <v>392</v>
      </c>
      <c r="D130" s="20" t="s">
        <v>393</v>
      </c>
      <c r="E130" s="20" t="s">
        <v>582</v>
      </c>
      <c r="F130" s="20"/>
      <c r="G130" s="20" t="s">
        <v>395</v>
      </c>
      <c r="H130" s="20">
        <v>1</v>
      </c>
      <c r="I130" s="22" t="s">
        <v>409</v>
      </c>
      <c r="J130" s="20" t="str">
        <f t="shared" si="1"/>
        <v>CN17</v>
      </c>
      <c r="K130" s="20" t="s">
        <v>397</v>
      </c>
      <c r="L130" s="20" t="s">
        <v>398</v>
      </c>
      <c r="M130" s="20" t="s">
        <v>399</v>
      </c>
    </row>
    <row r="131" spans="1:13" s="21" customFormat="1" x14ac:dyDescent="0.2">
      <c r="A131" s="20" t="s">
        <v>390</v>
      </c>
      <c r="B131" s="20" t="s">
        <v>585</v>
      </c>
      <c r="C131" s="20" t="s">
        <v>392</v>
      </c>
      <c r="D131" s="20" t="s">
        <v>393</v>
      </c>
      <c r="E131" s="20" t="s">
        <v>582</v>
      </c>
      <c r="F131" s="20"/>
      <c r="G131" s="20" t="s">
        <v>395</v>
      </c>
      <c r="H131" s="20">
        <v>1</v>
      </c>
      <c r="I131" s="22" t="s">
        <v>568</v>
      </c>
      <c r="J131" s="20" t="str">
        <f t="shared" ref="J131:J194" si="2">"CN"&amp;LEFT(B131,2)</f>
        <v>CN13</v>
      </c>
      <c r="K131" s="20" t="s">
        <v>397</v>
      </c>
      <c r="L131" s="20" t="s">
        <v>398</v>
      </c>
      <c r="M131" s="20" t="s">
        <v>399</v>
      </c>
    </row>
    <row r="132" spans="1:13" s="21" customFormat="1" x14ac:dyDescent="0.2">
      <c r="A132" s="20" t="s">
        <v>390</v>
      </c>
      <c r="B132" s="20" t="s">
        <v>586</v>
      </c>
      <c r="C132" s="20" t="s">
        <v>392</v>
      </c>
      <c r="D132" s="20" t="s">
        <v>393</v>
      </c>
      <c r="E132" s="20" t="s">
        <v>582</v>
      </c>
      <c r="F132" s="20"/>
      <c r="G132" s="20" t="s">
        <v>395</v>
      </c>
      <c r="H132" s="20">
        <v>1</v>
      </c>
      <c r="I132" s="22" t="s">
        <v>415</v>
      </c>
      <c r="J132" s="20" t="str">
        <f t="shared" si="2"/>
        <v>CN15</v>
      </c>
      <c r="K132" s="20" t="s">
        <v>397</v>
      </c>
      <c r="L132" s="20" t="s">
        <v>398</v>
      </c>
      <c r="M132" s="20" t="s">
        <v>399</v>
      </c>
    </row>
    <row r="133" spans="1:13" s="21" customFormat="1" x14ac:dyDescent="0.2">
      <c r="A133" s="20" t="s">
        <v>390</v>
      </c>
      <c r="B133" s="20" t="s">
        <v>587</v>
      </c>
      <c r="C133" s="20" t="s">
        <v>392</v>
      </c>
      <c r="D133" s="20" t="s">
        <v>393</v>
      </c>
      <c r="E133" s="20" t="s">
        <v>582</v>
      </c>
      <c r="F133" s="20"/>
      <c r="G133" s="20" t="s">
        <v>395</v>
      </c>
      <c r="H133" s="20">
        <v>1</v>
      </c>
      <c r="I133" s="22" t="s">
        <v>417</v>
      </c>
      <c r="J133" s="20" t="str">
        <f t="shared" si="2"/>
        <v>CN16</v>
      </c>
      <c r="K133" s="20" t="s">
        <v>397</v>
      </c>
      <c r="L133" s="20" t="s">
        <v>398</v>
      </c>
      <c r="M133" s="20" t="s">
        <v>399</v>
      </c>
    </row>
    <row r="134" spans="1:13" s="21" customFormat="1" x14ac:dyDescent="0.2">
      <c r="A134" s="20" t="s">
        <v>390</v>
      </c>
      <c r="B134" s="20" t="s">
        <v>588</v>
      </c>
      <c r="C134" s="20" t="s">
        <v>392</v>
      </c>
      <c r="D134" s="20" t="s">
        <v>393</v>
      </c>
      <c r="E134" s="20" t="s">
        <v>589</v>
      </c>
      <c r="F134" s="20"/>
      <c r="G134" s="20" t="s">
        <v>395</v>
      </c>
      <c r="H134" s="20">
        <v>1</v>
      </c>
      <c r="I134" s="22" t="s">
        <v>407</v>
      </c>
      <c r="J134" s="20" t="str">
        <f t="shared" si="2"/>
        <v>CN12</v>
      </c>
      <c r="K134" s="20" t="s">
        <v>397</v>
      </c>
      <c r="L134" s="20" t="s">
        <v>398</v>
      </c>
      <c r="M134" s="20" t="s">
        <v>399</v>
      </c>
    </row>
    <row r="135" spans="1:13" s="21" customFormat="1" x14ac:dyDescent="0.2">
      <c r="A135" s="20" t="s">
        <v>390</v>
      </c>
      <c r="B135" s="20" t="s">
        <v>590</v>
      </c>
      <c r="C135" s="20" t="s">
        <v>392</v>
      </c>
      <c r="D135" s="20" t="s">
        <v>393</v>
      </c>
      <c r="E135" s="20" t="s">
        <v>589</v>
      </c>
      <c r="F135" s="20"/>
      <c r="G135" s="20" t="s">
        <v>395</v>
      </c>
      <c r="H135" s="20">
        <v>1</v>
      </c>
      <c r="I135" s="22" t="s">
        <v>552</v>
      </c>
      <c r="J135" s="20" t="str">
        <f t="shared" si="2"/>
        <v>CN14</v>
      </c>
      <c r="K135" s="20" t="s">
        <v>397</v>
      </c>
      <c r="L135" s="20" t="s">
        <v>398</v>
      </c>
      <c r="M135" s="20" t="s">
        <v>399</v>
      </c>
    </row>
    <row r="136" spans="1:13" s="21" customFormat="1" x14ac:dyDescent="0.2">
      <c r="A136" s="20" t="s">
        <v>390</v>
      </c>
      <c r="B136" s="20" t="s">
        <v>591</v>
      </c>
      <c r="C136" s="20" t="s">
        <v>392</v>
      </c>
      <c r="D136" s="20" t="s">
        <v>393</v>
      </c>
      <c r="E136" s="20" t="s">
        <v>589</v>
      </c>
      <c r="F136" s="20"/>
      <c r="G136" s="20" t="s">
        <v>395</v>
      </c>
      <c r="H136" s="20">
        <v>1</v>
      </c>
      <c r="I136" s="22" t="s">
        <v>409</v>
      </c>
      <c r="J136" s="20" t="str">
        <f t="shared" si="2"/>
        <v>CN17</v>
      </c>
      <c r="K136" s="20" t="s">
        <v>397</v>
      </c>
      <c r="L136" s="20" t="s">
        <v>398</v>
      </c>
      <c r="M136" s="20" t="s">
        <v>399</v>
      </c>
    </row>
    <row r="137" spans="1:13" s="21" customFormat="1" x14ac:dyDescent="0.2">
      <c r="A137" s="20" t="s">
        <v>390</v>
      </c>
      <c r="B137" s="20" t="s">
        <v>592</v>
      </c>
      <c r="C137" s="20" t="s">
        <v>593</v>
      </c>
      <c r="D137" s="20" t="s">
        <v>393</v>
      </c>
      <c r="E137" s="20" t="s">
        <v>594</v>
      </c>
      <c r="F137" s="20"/>
      <c r="G137" s="20" t="s">
        <v>395</v>
      </c>
      <c r="H137" s="20">
        <v>1</v>
      </c>
      <c r="I137" s="22" t="s">
        <v>568</v>
      </c>
      <c r="J137" s="20" t="str">
        <f t="shared" si="2"/>
        <v>CN13</v>
      </c>
      <c r="K137" s="20" t="s">
        <v>397</v>
      </c>
      <c r="L137" s="20" t="s">
        <v>398</v>
      </c>
      <c r="M137" s="20" t="s">
        <v>399</v>
      </c>
    </row>
    <row r="138" spans="1:13" s="21" customFormat="1" x14ac:dyDescent="0.2">
      <c r="A138" s="20" t="s">
        <v>390</v>
      </c>
      <c r="B138" s="20" t="s">
        <v>595</v>
      </c>
      <c r="C138" s="20" t="s">
        <v>392</v>
      </c>
      <c r="D138" s="20" t="s">
        <v>393</v>
      </c>
      <c r="E138" s="20" t="s">
        <v>596</v>
      </c>
      <c r="F138" s="20"/>
      <c r="G138" s="20" t="s">
        <v>395</v>
      </c>
      <c r="H138" s="20">
        <v>1</v>
      </c>
      <c r="I138" s="22" t="s">
        <v>407</v>
      </c>
      <c r="J138" s="20" t="str">
        <f t="shared" si="2"/>
        <v>CN12</v>
      </c>
      <c r="K138" s="20" t="s">
        <v>397</v>
      </c>
      <c r="L138" s="20" t="s">
        <v>398</v>
      </c>
      <c r="M138" s="20" t="s">
        <v>399</v>
      </c>
    </row>
    <row r="139" spans="1:13" s="21" customFormat="1" x14ac:dyDescent="0.2">
      <c r="A139" s="20" t="s">
        <v>390</v>
      </c>
      <c r="B139" s="20" t="s">
        <v>597</v>
      </c>
      <c r="C139" s="20" t="s">
        <v>392</v>
      </c>
      <c r="D139" s="20" t="s">
        <v>393</v>
      </c>
      <c r="E139" s="20" t="s">
        <v>596</v>
      </c>
      <c r="F139" s="20"/>
      <c r="G139" s="20" t="s">
        <v>395</v>
      </c>
      <c r="H139" s="20">
        <v>1</v>
      </c>
      <c r="I139" s="22" t="s">
        <v>552</v>
      </c>
      <c r="J139" s="20" t="str">
        <f t="shared" si="2"/>
        <v>CN14</v>
      </c>
      <c r="K139" s="20" t="s">
        <v>397</v>
      </c>
      <c r="L139" s="20" t="s">
        <v>398</v>
      </c>
      <c r="M139" s="20" t="s">
        <v>399</v>
      </c>
    </row>
    <row r="140" spans="1:13" s="21" customFormat="1" x14ac:dyDescent="0.2">
      <c r="A140" s="20" t="s">
        <v>390</v>
      </c>
      <c r="B140" s="20" t="s">
        <v>598</v>
      </c>
      <c r="C140" s="20" t="s">
        <v>392</v>
      </c>
      <c r="D140" s="20" t="s">
        <v>393</v>
      </c>
      <c r="E140" s="20" t="s">
        <v>596</v>
      </c>
      <c r="F140" s="20"/>
      <c r="G140" s="20" t="s">
        <v>395</v>
      </c>
      <c r="H140" s="20">
        <v>1</v>
      </c>
      <c r="I140" s="22" t="s">
        <v>409</v>
      </c>
      <c r="J140" s="20" t="str">
        <f t="shared" si="2"/>
        <v>CN17</v>
      </c>
      <c r="K140" s="20" t="s">
        <v>397</v>
      </c>
      <c r="L140" s="20" t="s">
        <v>398</v>
      </c>
      <c r="M140" s="20" t="s">
        <v>399</v>
      </c>
    </row>
    <row r="141" spans="1:13" s="21" customFormat="1" x14ac:dyDescent="0.2">
      <c r="A141" s="20" t="s">
        <v>390</v>
      </c>
      <c r="B141" s="20" t="s">
        <v>599</v>
      </c>
      <c r="C141" s="20" t="s">
        <v>392</v>
      </c>
      <c r="D141" s="20" t="s">
        <v>393</v>
      </c>
      <c r="E141" s="20" t="s">
        <v>600</v>
      </c>
      <c r="F141" s="20"/>
      <c r="G141" s="20" t="s">
        <v>395</v>
      </c>
      <c r="H141" s="20">
        <v>1</v>
      </c>
      <c r="I141" s="22" t="s">
        <v>407</v>
      </c>
      <c r="J141" s="20" t="str">
        <f t="shared" si="2"/>
        <v>CN12</v>
      </c>
      <c r="K141" s="20" t="s">
        <v>397</v>
      </c>
      <c r="L141" s="20" t="s">
        <v>398</v>
      </c>
      <c r="M141" s="20" t="s">
        <v>399</v>
      </c>
    </row>
    <row r="142" spans="1:13" s="21" customFormat="1" x14ac:dyDescent="0.2">
      <c r="A142" s="20" t="s">
        <v>390</v>
      </c>
      <c r="B142" s="20" t="s">
        <v>601</v>
      </c>
      <c r="C142" s="20" t="s">
        <v>392</v>
      </c>
      <c r="D142" s="20" t="s">
        <v>393</v>
      </c>
      <c r="E142" s="20" t="s">
        <v>602</v>
      </c>
      <c r="F142" s="20"/>
      <c r="G142" s="20" t="s">
        <v>395</v>
      </c>
      <c r="H142" s="20">
        <v>1</v>
      </c>
      <c r="I142" s="22" t="s">
        <v>552</v>
      </c>
      <c r="J142" s="20" t="str">
        <f t="shared" si="2"/>
        <v>CN14</v>
      </c>
      <c r="K142" s="20" t="s">
        <v>397</v>
      </c>
      <c r="L142" s="20" t="s">
        <v>398</v>
      </c>
      <c r="M142" s="20" t="s">
        <v>399</v>
      </c>
    </row>
    <row r="143" spans="1:13" s="21" customFormat="1" x14ac:dyDescent="0.2">
      <c r="A143" s="20" t="s">
        <v>390</v>
      </c>
      <c r="B143" s="20" t="s">
        <v>603</v>
      </c>
      <c r="C143" s="20" t="s">
        <v>392</v>
      </c>
      <c r="D143" s="20" t="s">
        <v>393</v>
      </c>
      <c r="E143" s="20" t="s">
        <v>604</v>
      </c>
      <c r="F143" s="20"/>
      <c r="G143" s="20" t="s">
        <v>395</v>
      </c>
      <c r="H143" s="20">
        <v>1</v>
      </c>
      <c r="I143" s="22" t="s">
        <v>409</v>
      </c>
      <c r="J143" s="20" t="str">
        <f t="shared" si="2"/>
        <v>CN17</v>
      </c>
      <c r="K143" s="20" t="s">
        <v>397</v>
      </c>
      <c r="L143" s="20" t="s">
        <v>398</v>
      </c>
      <c r="M143" s="20" t="s">
        <v>399</v>
      </c>
    </row>
    <row r="144" spans="1:13" s="21" customFormat="1" x14ac:dyDescent="0.2">
      <c r="A144" s="20" t="s">
        <v>390</v>
      </c>
      <c r="B144" s="20" t="s">
        <v>605</v>
      </c>
      <c r="C144" s="20" t="s">
        <v>392</v>
      </c>
      <c r="D144" s="20" t="s">
        <v>393</v>
      </c>
      <c r="E144" s="20" t="s">
        <v>606</v>
      </c>
      <c r="F144" s="20"/>
      <c r="G144" s="20" t="s">
        <v>395</v>
      </c>
      <c r="H144" s="20">
        <v>1</v>
      </c>
      <c r="I144" s="22" t="s">
        <v>407</v>
      </c>
      <c r="J144" s="20" t="str">
        <f t="shared" si="2"/>
        <v>CN12</v>
      </c>
      <c r="K144" s="20" t="s">
        <v>397</v>
      </c>
      <c r="L144" s="20" t="s">
        <v>398</v>
      </c>
      <c r="M144" s="20" t="s">
        <v>399</v>
      </c>
    </row>
    <row r="145" spans="1:13" s="21" customFormat="1" x14ac:dyDescent="0.2">
      <c r="A145" s="20" t="s">
        <v>390</v>
      </c>
      <c r="B145" s="20" t="s">
        <v>607</v>
      </c>
      <c r="C145" s="20" t="s">
        <v>392</v>
      </c>
      <c r="D145" s="20" t="s">
        <v>393</v>
      </c>
      <c r="E145" s="20" t="s">
        <v>608</v>
      </c>
      <c r="F145" s="20"/>
      <c r="G145" s="20" t="s">
        <v>395</v>
      </c>
      <c r="H145" s="20">
        <v>1</v>
      </c>
      <c r="I145" s="22" t="s">
        <v>552</v>
      </c>
      <c r="J145" s="20" t="str">
        <f t="shared" si="2"/>
        <v>CN14</v>
      </c>
      <c r="K145" s="20" t="s">
        <v>397</v>
      </c>
      <c r="L145" s="20" t="s">
        <v>398</v>
      </c>
      <c r="M145" s="20" t="s">
        <v>399</v>
      </c>
    </row>
    <row r="146" spans="1:13" s="21" customFormat="1" x14ac:dyDescent="0.2">
      <c r="A146" s="20" t="s">
        <v>390</v>
      </c>
      <c r="B146" s="20" t="s">
        <v>609</v>
      </c>
      <c r="C146" s="20" t="s">
        <v>392</v>
      </c>
      <c r="D146" s="20" t="s">
        <v>393</v>
      </c>
      <c r="E146" s="20" t="s">
        <v>608</v>
      </c>
      <c r="F146" s="20"/>
      <c r="G146" s="20" t="s">
        <v>395</v>
      </c>
      <c r="H146" s="20">
        <v>1</v>
      </c>
      <c r="I146" s="22" t="s">
        <v>415</v>
      </c>
      <c r="J146" s="20" t="str">
        <f t="shared" si="2"/>
        <v>CN15</v>
      </c>
      <c r="K146" s="20" t="s">
        <v>397</v>
      </c>
      <c r="L146" s="20" t="s">
        <v>398</v>
      </c>
      <c r="M146" s="20" t="s">
        <v>399</v>
      </c>
    </row>
    <row r="147" spans="1:13" s="21" customFormat="1" x14ac:dyDescent="0.2">
      <c r="A147" s="20" t="s">
        <v>390</v>
      </c>
      <c r="B147" s="20" t="s">
        <v>610</v>
      </c>
      <c r="C147" s="20" t="s">
        <v>392</v>
      </c>
      <c r="D147" s="20" t="s">
        <v>393</v>
      </c>
      <c r="E147" s="20" t="s">
        <v>608</v>
      </c>
      <c r="F147" s="20"/>
      <c r="G147" s="20" t="s">
        <v>395</v>
      </c>
      <c r="H147" s="20">
        <v>1</v>
      </c>
      <c r="I147" s="22" t="s">
        <v>417</v>
      </c>
      <c r="J147" s="20" t="str">
        <f t="shared" si="2"/>
        <v>CN16</v>
      </c>
      <c r="K147" s="20" t="s">
        <v>397</v>
      </c>
      <c r="L147" s="20" t="s">
        <v>398</v>
      </c>
      <c r="M147" s="20" t="s">
        <v>399</v>
      </c>
    </row>
    <row r="148" spans="1:13" s="21" customFormat="1" x14ac:dyDescent="0.2">
      <c r="A148" s="20" t="s">
        <v>390</v>
      </c>
      <c r="B148" s="20" t="s">
        <v>611</v>
      </c>
      <c r="C148" s="20" t="s">
        <v>392</v>
      </c>
      <c r="D148" s="20" t="s">
        <v>393</v>
      </c>
      <c r="E148" s="20" t="s">
        <v>612</v>
      </c>
      <c r="F148" s="20"/>
      <c r="G148" s="20" t="s">
        <v>395</v>
      </c>
      <c r="H148" s="20">
        <v>1</v>
      </c>
      <c r="I148" s="22" t="s">
        <v>407</v>
      </c>
      <c r="J148" s="20" t="str">
        <f t="shared" si="2"/>
        <v>CN12</v>
      </c>
      <c r="K148" s="20" t="s">
        <v>541</v>
      </c>
      <c r="L148" s="20" t="s">
        <v>398</v>
      </c>
      <c r="M148" s="20" t="s">
        <v>542</v>
      </c>
    </row>
    <row r="149" spans="1:13" s="21" customFormat="1" x14ac:dyDescent="0.2">
      <c r="A149" s="20" t="s">
        <v>390</v>
      </c>
      <c r="B149" s="20" t="s">
        <v>613</v>
      </c>
      <c r="C149" s="20" t="s">
        <v>392</v>
      </c>
      <c r="D149" s="20" t="s">
        <v>393</v>
      </c>
      <c r="E149" s="20" t="s">
        <v>612</v>
      </c>
      <c r="F149" s="20"/>
      <c r="G149" s="20" t="s">
        <v>395</v>
      </c>
      <c r="H149" s="20">
        <v>1</v>
      </c>
      <c r="I149" s="22" t="s">
        <v>552</v>
      </c>
      <c r="J149" s="20" t="str">
        <f t="shared" si="2"/>
        <v>CN14</v>
      </c>
      <c r="K149" s="20" t="s">
        <v>541</v>
      </c>
      <c r="L149" s="20" t="s">
        <v>398</v>
      </c>
      <c r="M149" s="20" t="s">
        <v>542</v>
      </c>
    </row>
    <row r="150" spans="1:13" s="21" customFormat="1" x14ac:dyDescent="0.2">
      <c r="A150" s="20" t="s">
        <v>390</v>
      </c>
      <c r="B150" s="20" t="s">
        <v>614</v>
      </c>
      <c r="C150" s="20" t="s">
        <v>392</v>
      </c>
      <c r="D150" s="20" t="s">
        <v>393</v>
      </c>
      <c r="E150" s="20" t="s">
        <v>612</v>
      </c>
      <c r="F150" s="20"/>
      <c r="G150" s="20" t="s">
        <v>395</v>
      </c>
      <c r="H150" s="20">
        <v>1</v>
      </c>
      <c r="I150" s="22" t="s">
        <v>415</v>
      </c>
      <c r="J150" s="20" t="str">
        <f t="shared" si="2"/>
        <v>CN15</v>
      </c>
      <c r="K150" s="20" t="s">
        <v>541</v>
      </c>
      <c r="L150" s="20" t="s">
        <v>398</v>
      </c>
      <c r="M150" s="20" t="s">
        <v>542</v>
      </c>
    </row>
    <row r="151" spans="1:13" s="21" customFormat="1" x14ac:dyDescent="0.2">
      <c r="A151" s="20" t="s">
        <v>390</v>
      </c>
      <c r="B151" s="20" t="s">
        <v>615</v>
      </c>
      <c r="C151" s="20" t="s">
        <v>392</v>
      </c>
      <c r="D151" s="20" t="s">
        <v>393</v>
      </c>
      <c r="E151" s="20" t="s">
        <v>612</v>
      </c>
      <c r="F151" s="20"/>
      <c r="G151" s="20" t="s">
        <v>395</v>
      </c>
      <c r="H151" s="20">
        <v>1</v>
      </c>
      <c r="I151" s="22" t="s">
        <v>417</v>
      </c>
      <c r="J151" s="20" t="str">
        <f t="shared" si="2"/>
        <v>CN16</v>
      </c>
      <c r="K151" s="20" t="s">
        <v>541</v>
      </c>
      <c r="L151" s="20" t="s">
        <v>398</v>
      </c>
      <c r="M151" s="20" t="s">
        <v>542</v>
      </c>
    </row>
    <row r="152" spans="1:13" s="21" customFormat="1" x14ac:dyDescent="0.2">
      <c r="A152" s="20" t="s">
        <v>390</v>
      </c>
      <c r="B152" s="20" t="s">
        <v>616</v>
      </c>
      <c r="C152" s="20" t="s">
        <v>392</v>
      </c>
      <c r="D152" s="20" t="s">
        <v>393</v>
      </c>
      <c r="E152" s="20" t="s">
        <v>617</v>
      </c>
      <c r="F152" s="20"/>
      <c r="G152" s="20" t="s">
        <v>395</v>
      </c>
      <c r="H152" s="20">
        <v>1</v>
      </c>
      <c r="I152" s="20" t="s">
        <v>396</v>
      </c>
      <c r="J152" s="20" t="str">
        <f t="shared" si="2"/>
        <v>CN10</v>
      </c>
      <c r="K152" s="20" t="s">
        <v>397</v>
      </c>
      <c r="L152" s="20" t="s">
        <v>398</v>
      </c>
      <c r="M152" s="20" t="s">
        <v>399</v>
      </c>
    </row>
    <row r="153" spans="1:13" s="21" customFormat="1" x14ac:dyDescent="0.2">
      <c r="A153" s="20" t="s">
        <v>390</v>
      </c>
      <c r="B153" s="20" t="s">
        <v>618</v>
      </c>
      <c r="C153" s="20" t="s">
        <v>392</v>
      </c>
      <c r="D153" s="20" t="s">
        <v>393</v>
      </c>
      <c r="E153" s="20" t="s">
        <v>619</v>
      </c>
      <c r="F153" s="20"/>
      <c r="G153" s="20" t="s">
        <v>395</v>
      </c>
      <c r="H153" s="20">
        <v>1</v>
      </c>
      <c r="I153" s="20" t="s">
        <v>396</v>
      </c>
      <c r="J153" s="20" t="str">
        <f t="shared" si="2"/>
        <v>CN10</v>
      </c>
      <c r="K153" s="20" t="s">
        <v>397</v>
      </c>
      <c r="L153" s="20" t="s">
        <v>398</v>
      </c>
      <c r="M153" s="20" t="s">
        <v>399</v>
      </c>
    </row>
    <row r="154" spans="1:13" s="21" customFormat="1" x14ac:dyDescent="0.2">
      <c r="A154" s="20" t="s">
        <v>390</v>
      </c>
      <c r="B154" s="20" t="s">
        <v>620</v>
      </c>
      <c r="C154" s="20" t="s">
        <v>392</v>
      </c>
      <c r="D154" s="20" t="s">
        <v>393</v>
      </c>
      <c r="E154" s="20" t="s">
        <v>621</v>
      </c>
      <c r="F154" s="20"/>
      <c r="G154" s="20" t="s">
        <v>395</v>
      </c>
      <c r="H154" s="20">
        <v>1</v>
      </c>
      <c r="I154" s="20" t="s">
        <v>396</v>
      </c>
      <c r="J154" s="20" t="str">
        <f t="shared" si="2"/>
        <v>CN10</v>
      </c>
      <c r="K154" s="20" t="s">
        <v>397</v>
      </c>
      <c r="L154" s="20" t="s">
        <v>398</v>
      </c>
      <c r="M154" s="20" t="s">
        <v>399</v>
      </c>
    </row>
    <row r="155" spans="1:13" s="21" customFormat="1" x14ac:dyDescent="0.2">
      <c r="A155" s="20" t="s">
        <v>390</v>
      </c>
      <c r="B155" s="20" t="s">
        <v>622</v>
      </c>
      <c r="C155" s="20" t="s">
        <v>392</v>
      </c>
      <c r="D155" s="20" t="s">
        <v>393</v>
      </c>
      <c r="E155" s="20" t="s">
        <v>623</v>
      </c>
      <c r="F155" s="20"/>
      <c r="G155" s="20" t="s">
        <v>395</v>
      </c>
      <c r="H155" s="20">
        <v>1</v>
      </c>
      <c r="I155" s="20" t="s">
        <v>396</v>
      </c>
      <c r="J155" s="20" t="str">
        <f t="shared" si="2"/>
        <v>CN10</v>
      </c>
      <c r="K155" s="20" t="s">
        <v>624</v>
      </c>
      <c r="L155" s="20" t="s">
        <v>398</v>
      </c>
      <c r="M155" s="20" t="s">
        <v>399</v>
      </c>
    </row>
    <row r="156" spans="1:13" s="21" customFormat="1" x14ac:dyDescent="0.2">
      <c r="A156" s="20" t="s">
        <v>390</v>
      </c>
      <c r="B156" s="20" t="s">
        <v>625</v>
      </c>
      <c r="C156" s="20" t="s">
        <v>392</v>
      </c>
      <c r="D156" s="20" t="s">
        <v>393</v>
      </c>
      <c r="E156" s="20" t="s">
        <v>626</v>
      </c>
      <c r="F156" s="20"/>
      <c r="G156" s="20" t="s">
        <v>395</v>
      </c>
      <c r="H156" s="20">
        <v>1</v>
      </c>
      <c r="I156" s="22" t="s">
        <v>404</v>
      </c>
      <c r="J156" s="20" t="str">
        <f t="shared" si="2"/>
        <v>CN11</v>
      </c>
      <c r="K156" s="20" t="s">
        <v>624</v>
      </c>
      <c r="L156" s="20" t="s">
        <v>398</v>
      </c>
      <c r="M156" s="20" t="s">
        <v>399</v>
      </c>
    </row>
    <row r="157" spans="1:13" s="21" customFormat="1" x14ac:dyDescent="0.2">
      <c r="A157" s="20" t="s">
        <v>390</v>
      </c>
      <c r="B157" s="20" t="s">
        <v>627</v>
      </c>
      <c r="C157" s="20" t="s">
        <v>392</v>
      </c>
      <c r="D157" s="20" t="s">
        <v>393</v>
      </c>
      <c r="E157" s="20" t="s">
        <v>623</v>
      </c>
      <c r="F157" s="20"/>
      <c r="G157" s="20" t="s">
        <v>395</v>
      </c>
      <c r="H157" s="20">
        <v>1</v>
      </c>
      <c r="I157" s="22" t="s">
        <v>407</v>
      </c>
      <c r="J157" s="20" t="str">
        <f t="shared" si="2"/>
        <v>CN12</v>
      </c>
      <c r="K157" s="20" t="s">
        <v>624</v>
      </c>
      <c r="L157" s="20" t="s">
        <v>398</v>
      </c>
      <c r="M157" s="20" t="s">
        <v>399</v>
      </c>
    </row>
    <row r="158" spans="1:13" s="21" customFormat="1" x14ac:dyDescent="0.2">
      <c r="A158" s="20" t="s">
        <v>390</v>
      </c>
      <c r="B158" s="20" t="s">
        <v>628</v>
      </c>
      <c r="C158" s="20" t="s">
        <v>392</v>
      </c>
      <c r="D158" s="20" t="s">
        <v>393</v>
      </c>
      <c r="E158" s="20" t="s">
        <v>623</v>
      </c>
      <c r="F158" s="20"/>
      <c r="G158" s="20" t="s">
        <v>395</v>
      </c>
      <c r="H158" s="20">
        <v>1</v>
      </c>
      <c r="I158" s="22" t="s">
        <v>552</v>
      </c>
      <c r="J158" s="20" t="str">
        <f t="shared" si="2"/>
        <v>CN14</v>
      </c>
      <c r="K158" s="20" t="s">
        <v>624</v>
      </c>
      <c r="L158" s="20" t="s">
        <v>398</v>
      </c>
      <c r="M158" s="20" t="s">
        <v>399</v>
      </c>
    </row>
    <row r="159" spans="1:13" s="21" customFormat="1" x14ac:dyDescent="0.2">
      <c r="A159" s="20" t="s">
        <v>390</v>
      </c>
      <c r="B159" s="20" t="s">
        <v>629</v>
      </c>
      <c r="C159" s="20" t="s">
        <v>392</v>
      </c>
      <c r="D159" s="20" t="s">
        <v>393</v>
      </c>
      <c r="E159" s="20" t="s">
        <v>623</v>
      </c>
      <c r="F159" s="20"/>
      <c r="G159" s="20" t="s">
        <v>395</v>
      </c>
      <c r="H159" s="20">
        <v>1</v>
      </c>
      <c r="I159" s="22" t="s">
        <v>409</v>
      </c>
      <c r="J159" s="20" t="str">
        <f t="shared" si="2"/>
        <v>CN17</v>
      </c>
      <c r="K159" s="20" t="s">
        <v>624</v>
      </c>
      <c r="L159" s="20" t="s">
        <v>398</v>
      </c>
      <c r="M159" s="20" t="s">
        <v>399</v>
      </c>
    </row>
    <row r="160" spans="1:13" s="21" customFormat="1" x14ac:dyDescent="0.2">
      <c r="A160" s="20" t="s">
        <v>390</v>
      </c>
      <c r="B160" s="20" t="s">
        <v>630</v>
      </c>
      <c r="C160" s="20" t="s">
        <v>392</v>
      </c>
      <c r="D160" s="20" t="s">
        <v>393</v>
      </c>
      <c r="E160" s="20" t="s">
        <v>631</v>
      </c>
      <c r="F160" s="20"/>
      <c r="G160" s="20" t="s">
        <v>395</v>
      </c>
      <c r="H160" s="20">
        <v>1</v>
      </c>
      <c r="I160" s="22" t="s">
        <v>568</v>
      </c>
      <c r="J160" s="20" t="str">
        <f t="shared" si="2"/>
        <v>CN13</v>
      </c>
      <c r="K160" s="20" t="s">
        <v>624</v>
      </c>
      <c r="L160" s="20" t="s">
        <v>398</v>
      </c>
      <c r="M160" s="20" t="s">
        <v>399</v>
      </c>
    </row>
    <row r="161" spans="1:13" s="21" customFormat="1" x14ac:dyDescent="0.2">
      <c r="A161" s="20" t="s">
        <v>390</v>
      </c>
      <c r="B161" s="20" t="s">
        <v>632</v>
      </c>
      <c r="C161" s="20" t="s">
        <v>392</v>
      </c>
      <c r="D161" s="20" t="s">
        <v>393</v>
      </c>
      <c r="E161" s="20" t="s">
        <v>633</v>
      </c>
      <c r="F161" s="20"/>
      <c r="G161" s="20" t="s">
        <v>395</v>
      </c>
      <c r="H161" s="20">
        <v>1</v>
      </c>
      <c r="I161" s="20" t="s">
        <v>634</v>
      </c>
      <c r="J161" s="20" t="str">
        <f t="shared" si="2"/>
        <v>CN13</v>
      </c>
      <c r="K161" s="20" t="s">
        <v>624</v>
      </c>
      <c r="L161" s="20" t="s">
        <v>398</v>
      </c>
      <c r="M161" s="20" t="s">
        <v>399</v>
      </c>
    </row>
    <row r="162" spans="1:13" s="21" customFormat="1" x14ac:dyDescent="0.2">
      <c r="A162" s="20" t="s">
        <v>390</v>
      </c>
      <c r="B162" s="20" t="s">
        <v>635</v>
      </c>
      <c r="C162" s="20" t="s">
        <v>392</v>
      </c>
      <c r="D162" s="20" t="s">
        <v>393</v>
      </c>
      <c r="E162" s="20" t="s">
        <v>636</v>
      </c>
      <c r="F162" s="20"/>
      <c r="G162" s="20" t="s">
        <v>395</v>
      </c>
      <c r="H162" s="20">
        <v>1</v>
      </c>
      <c r="I162" s="20" t="s">
        <v>637</v>
      </c>
      <c r="J162" s="20" t="str">
        <f t="shared" si="2"/>
        <v>CN13</v>
      </c>
      <c r="K162" s="20" t="s">
        <v>624</v>
      </c>
      <c r="L162" s="20" t="s">
        <v>398</v>
      </c>
      <c r="M162" s="20" t="s">
        <v>399</v>
      </c>
    </row>
    <row r="163" spans="1:13" s="21" customFormat="1" x14ac:dyDescent="0.2">
      <c r="A163" s="20" t="s">
        <v>390</v>
      </c>
      <c r="B163" s="20" t="s">
        <v>638</v>
      </c>
      <c r="C163" s="20" t="s">
        <v>392</v>
      </c>
      <c r="D163" s="20" t="s">
        <v>393</v>
      </c>
      <c r="E163" s="20" t="s">
        <v>639</v>
      </c>
      <c r="F163" s="20"/>
      <c r="G163" s="20" t="s">
        <v>395</v>
      </c>
      <c r="H163" s="20">
        <v>1</v>
      </c>
      <c r="I163" s="20" t="s">
        <v>640</v>
      </c>
      <c r="J163" s="20" t="str">
        <f t="shared" si="2"/>
        <v>CN13</v>
      </c>
      <c r="K163" s="20" t="s">
        <v>624</v>
      </c>
      <c r="L163" s="20" t="s">
        <v>398</v>
      </c>
      <c r="M163" s="20" t="s">
        <v>399</v>
      </c>
    </row>
    <row r="164" spans="1:13" s="21" customFormat="1" x14ac:dyDescent="0.2">
      <c r="A164" s="20" t="s">
        <v>390</v>
      </c>
      <c r="B164" s="20" t="s">
        <v>641</v>
      </c>
      <c r="C164" s="20" t="s">
        <v>392</v>
      </c>
      <c r="D164" s="20" t="s">
        <v>393</v>
      </c>
      <c r="E164" s="20" t="s">
        <v>642</v>
      </c>
      <c r="F164" s="20"/>
      <c r="G164" s="20" t="s">
        <v>395</v>
      </c>
      <c r="H164" s="20">
        <v>1</v>
      </c>
      <c r="I164" s="20" t="s">
        <v>643</v>
      </c>
      <c r="J164" s="20" t="str">
        <f t="shared" si="2"/>
        <v>CN13</v>
      </c>
      <c r="K164" s="20" t="s">
        <v>624</v>
      </c>
      <c r="L164" s="20" t="s">
        <v>398</v>
      </c>
      <c r="M164" s="20" t="s">
        <v>399</v>
      </c>
    </row>
    <row r="165" spans="1:13" s="21" customFormat="1" x14ac:dyDescent="0.2">
      <c r="A165" s="20" t="s">
        <v>390</v>
      </c>
      <c r="B165" s="20" t="s">
        <v>644</v>
      </c>
      <c r="C165" s="20" t="s">
        <v>392</v>
      </c>
      <c r="D165" s="20" t="s">
        <v>393</v>
      </c>
      <c r="E165" s="20" t="s">
        <v>645</v>
      </c>
      <c r="F165" s="20"/>
      <c r="G165" s="20" t="s">
        <v>395</v>
      </c>
      <c r="H165" s="20">
        <v>1</v>
      </c>
      <c r="I165" s="20" t="s">
        <v>646</v>
      </c>
      <c r="J165" s="20" t="str">
        <f t="shared" si="2"/>
        <v>CN13</v>
      </c>
      <c r="K165" s="20" t="s">
        <v>624</v>
      </c>
      <c r="L165" s="20" t="s">
        <v>398</v>
      </c>
      <c r="M165" s="20" t="s">
        <v>399</v>
      </c>
    </row>
    <row r="166" spans="1:13" s="21" customFormat="1" x14ac:dyDescent="0.2">
      <c r="A166" s="20" t="s">
        <v>390</v>
      </c>
      <c r="B166" s="20" t="s">
        <v>647</v>
      </c>
      <c r="C166" s="20" t="s">
        <v>392</v>
      </c>
      <c r="D166" s="20" t="s">
        <v>393</v>
      </c>
      <c r="E166" s="20" t="s">
        <v>648</v>
      </c>
      <c r="F166" s="20"/>
      <c r="G166" s="20" t="s">
        <v>395</v>
      </c>
      <c r="H166" s="20">
        <v>1</v>
      </c>
      <c r="I166" s="20" t="s">
        <v>649</v>
      </c>
      <c r="J166" s="20" t="str">
        <f t="shared" si="2"/>
        <v>CN13</v>
      </c>
      <c r="K166" s="20" t="s">
        <v>624</v>
      </c>
      <c r="L166" s="20" t="s">
        <v>398</v>
      </c>
      <c r="M166" s="20" t="s">
        <v>399</v>
      </c>
    </row>
    <row r="167" spans="1:13" s="21" customFormat="1" x14ac:dyDescent="0.2">
      <c r="A167" s="20" t="s">
        <v>390</v>
      </c>
      <c r="B167" s="20" t="s">
        <v>650</v>
      </c>
      <c r="C167" s="20" t="s">
        <v>392</v>
      </c>
      <c r="D167" s="20" t="s">
        <v>393</v>
      </c>
      <c r="E167" s="20" t="s">
        <v>651</v>
      </c>
      <c r="F167" s="20"/>
      <c r="G167" s="20" t="s">
        <v>395</v>
      </c>
      <c r="H167" s="20">
        <v>1</v>
      </c>
      <c r="I167" s="20" t="s">
        <v>652</v>
      </c>
      <c r="J167" s="20" t="str">
        <f t="shared" si="2"/>
        <v>CN13</v>
      </c>
      <c r="K167" s="20" t="s">
        <v>624</v>
      </c>
      <c r="L167" s="20" t="s">
        <v>398</v>
      </c>
      <c r="M167" s="20" t="s">
        <v>399</v>
      </c>
    </row>
    <row r="168" spans="1:13" s="21" customFormat="1" x14ac:dyDescent="0.2">
      <c r="A168" s="20" t="s">
        <v>390</v>
      </c>
      <c r="B168" s="20" t="s">
        <v>653</v>
      </c>
      <c r="C168" s="20" t="s">
        <v>392</v>
      </c>
      <c r="D168" s="20" t="s">
        <v>393</v>
      </c>
      <c r="E168" s="20" t="s">
        <v>623</v>
      </c>
      <c r="F168" s="20"/>
      <c r="G168" s="20" t="s">
        <v>395</v>
      </c>
      <c r="H168" s="20">
        <v>1</v>
      </c>
      <c r="I168" s="22" t="s">
        <v>415</v>
      </c>
      <c r="J168" s="20" t="str">
        <f t="shared" si="2"/>
        <v>CN15</v>
      </c>
      <c r="K168" s="20" t="s">
        <v>624</v>
      </c>
      <c r="L168" s="20" t="s">
        <v>398</v>
      </c>
      <c r="M168" s="20" t="s">
        <v>399</v>
      </c>
    </row>
    <row r="169" spans="1:13" s="21" customFormat="1" x14ac:dyDescent="0.2">
      <c r="A169" s="20" t="s">
        <v>390</v>
      </c>
      <c r="B169" s="20" t="s">
        <v>654</v>
      </c>
      <c r="C169" s="20" t="s">
        <v>392</v>
      </c>
      <c r="D169" s="20" t="s">
        <v>393</v>
      </c>
      <c r="E169" s="20" t="s">
        <v>623</v>
      </c>
      <c r="F169" s="20"/>
      <c r="G169" s="20" t="s">
        <v>395</v>
      </c>
      <c r="H169" s="20">
        <v>1</v>
      </c>
      <c r="I169" s="22" t="s">
        <v>417</v>
      </c>
      <c r="J169" s="20" t="str">
        <f t="shared" si="2"/>
        <v>CN16</v>
      </c>
      <c r="K169" s="20" t="s">
        <v>624</v>
      </c>
      <c r="L169" s="20" t="s">
        <v>398</v>
      </c>
      <c r="M169" s="20" t="s">
        <v>399</v>
      </c>
    </row>
    <row r="170" spans="1:13" s="21" customFormat="1" x14ac:dyDescent="0.2">
      <c r="A170" s="20" t="s">
        <v>390</v>
      </c>
      <c r="B170" s="20" t="s">
        <v>655</v>
      </c>
      <c r="C170" s="20" t="s">
        <v>392</v>
      </c>
      <c r="D170" s="20" t="s">
        <v>393</v>
      </c>
      <c r="E170" s="20" t="s">
        <v>656</v>
      </c>
      <c r="F170" s="20"/>
      <c r="G170" s="20" t="s">
        <v>395</v>
      </c>
      <c r="H170" s="20">
        <v>1</v>
      </c>
      <c r="I170" s="20" t="s">
        <v>396</v>
      </c>
      <c r="J170" s="20" t="str">
        <f t="shared" si="2"/>
        <v>CN10</v>
      </c>
      <c r="K170" s="20" t="s">
        <v>657</v>
      </c>
      <c r="L170" s="20" t="s">
        <v>398</v>
      </c>
      <c r="M170" s="20" t="s">
        <v>399</v>
      </c>
    </row>
    <row r="171" spans="1:13" s="21" customFormat="1" x14ac:dyDescent="0.2">
      <c r="A171" s="20" t="s">
        <v>390</v>
      </c>
      <c r="B171" s="20" t="s">
        <v>658</v>
      </c>
      <c r="C171" s="20" t="s">
        <v>392</v>
      </c>
      <c r="D171" s="20" t="s">
        <v>393</v>
      </c>
      <c r="E171" s="20" t="s">
        <v>656</v>
      </c>
      <c r="F171" s="20"/>
      <c r="G171" s="20" t="s">
        <v>395</v>
      </c>
      <c r="H171" s="20">
        <v>1</v>
      </c>
      <c r="I171" s="22" t="s">
        <v>404</v>
      </c>
      <c r="J171" s="20" t="str">
        <f t="shared" si="2"/>
        <v>CN11</v>
      </c>
      <c r="K171" s="20" t="s">
        <v>657</v>
      </c>
      <c r="L171" s="20" t="s">
        <v>398</v>
      </c>
      <c r="M171" s="20" t="s">
        <v>399</v>
      </c>
    </row>
    <row r="172" spans="1:13" s="21" customFormat="1" x14ac:dyDescent="0.2">
      <c r="A172" s="20" t="s">
        <v>390</v>
      </c>
      <c r="B172" s="20" t="s">
        <v>659</v>
      </c>
      <c r="C172" s="20" t="s">
        <v>392</v>
      </c>
      <c r="D172" s="20" t="s">
        <v>393</v>
      </c>
      <c r="E172" s="20" t="s">
        <v>656</v>
      </c>
      <c r="F172" s="20"/>
      <c r="G172" s="20" t="s">
        <v>395</v>
      </c>
      <c r="H172" s="20">
        <v>1</v>
      </c>
      <c r="I172" s="22" t="s">
        <v>407</v>
      </c>
      <c r="J172" s="20" t="str">
        <f t="shared" si="2"/>
        <v>CN12</v>
      </c>
      <c r="K172" s="20" t="s">
        <v>657</v>
      </c>
      <c r="L172" s="20" t="s">
        <v>398</v>
      </c>
      <c r="M172" s="20" t="s">
        <v>399</v>
      </c>
    </row>
    <row r="173" spans="1:13" s="21" customFormat="1" x14ac:dyDescent="0.2">
      <c r="A173" s="20" t="s">
        <v>390</v>
      </c>
      <c r="B173" s="20" t="s">
        <v>660</v>
      </c>
      <c r="C173" s="20" t="s">
        <v>392</v>
      </c>
      <c r="D173" s="20" t="s">
        <v>393</v>
      </c>
      <c r="E173" s="20" t="s">
        <v>656</v>
      </c>
      <c r="F173" s="20"/>
      <c r="G173" s="20" t="s">
        <v>395</v>
      </c>
      <c r="H173" s="20">
        <v>1</v>
      </c>
      <c r="I173" s="22" t="s">
        <v>552</v>
      </c>
      <c r="J173" s="20" t="str">
        <f t="shared" si="2"/>
        <v>CN14</v>
      </c>
      <c r="K173" s="20" t="s">
        <v>657</v>
      </c>
      <c r="L173" s="20" t="s">
        <v>398</v>
      </c>
      <c r="M173" s="20" t="s">
        <v>399</v>
      </c>
    </row>
    <row r="174" spans="1:13" s="21" customFormat="1" x14ac:dyDescent="0.2">
      <c r="A174" s="20" t="s">
        <v>390</v>
      </c>
      <c r="B174" s="20" t="s">
        <v>661</v>
      </c>
      <c r="C174" s="20" t="s">
        <v>392</v>
      </c>
      <c r="D174" s="20" t="s">
        <v>393</v>
      </c>
      <c r="E174" s="20" t="s">
        <v>656</v>
      </c>
      <c r="F174" s="20"/>
      <c r="G174" s="20" t="s">
        <v>395</v>
      </c>
      <c r="H174" s="20">
        <v>1</v>
      </c>
      <c r="I174" s="22" t="s">
        <v>409</v>
      </c>
      <c r="J174" s="20" t="str">
        <f t="shared" si="2"/>
        <v>CN17</v>
      </c>
      <c r="K174" s="20" t="s">
        <v>657</v>
      </c>
      <c r="L174" s="20" t="s">
        <v>398</v>
      </c>
      <c r="M174" s="20" t="s">
        <v>399</v>
      </c>
    </row>
    <row r="175" spans="1:13" s="21" customFormat="1" x14ac:dyDescent="0.2">
      <c r="A175" s="20" t="s">
        <v>390</v>
      </c>
      <c r="B175" s="20" t="s">
        <v>662</v>
      </c>
      <c r="C175" s="20" t="s">
        <v>392</v>
      </c>
      <c r="D175" s="20" t="s">
        <v>393</v>
      </c>
      <c r="E175" s="20" t="s">
        <v>656</v>
      </c>
      <c r="F175" s="20"/>
      <c r="G175" s="20" t="s">
        <v>395</v>
      </c>
      <c r="H175" s="20">
        <v>1</v>
      </c>
      <c r="I175" s="22" t="s">
        <v>415</v>
      </c>
      <c r="J175" s="20" t="str">
        <f t="shared" si="2"/>
        <v>CN15</v>
      </c>
      <c r="K175" s="20" t="s">
        <v>657</v>
      </c>
      <c r="L175" s="20" t="s">
        <v>398</v>
      </c>
      <c r="M175" s="20" t="s">
        <v>399</v>
      </c>
    </row>
    <row r="176" spans="1:13" s="21" customFormat="1" x14ac:dyDescent="0.2">
      <c r="A176" s="20" t="s">
        <v>390</v>
      </c>
      <c r="B176" s="20" t="s">
        <v>663</v>
      </c>
      <c r="C176" s="20" t="s">
        <v>392</v>
      </c>
      <c r="D176" s="20" t="s">
        <v>393</v>
      </c>
      <c r="E176" s="20" t="s">
        <v>656</v>
      </c>
      <c r="F176" s="20"/>
      <c r="G176" s="20" t="s">
        <v>395</v>
      </c>
      <c r="H176" s="20">
        <v>1</v>
      </c>
      <c r="I176" s="22" t="s">
        <v>417</v>
      </c>
      <c r="J176" s="20" t="str">
        <f t="shared" si="2"/>
        <v>CN16</v>
      </c>
      <c r="K176" s="20" t="s">
        <v>657</v>
      </c>
      <c r="L176" s="20" t="s">
        <v>398</v>
      </c>
      <c r="M176" s="20" t="s">
        <v>399</v>
      </c>
    </row>
    <row r="177" spans="1:13" s="21" customFormat="1" x14ac:dyDescent="0.2">
      <c r="A177" s="20" t="s">
        <v>390</v>
      </c>
      <c r="B177" s="20" t="s">
        <v>664</v>
      </c>
      <c r="C177" s="20" t="s">
        <v>392</v>
      </c>
      <c r="D177" s="20" t="s">
        <v>393</v>
      </c>
      <c r="E177" s="20" t="s">
        <v>665</v>
      </c>
      <c r="F177" s="20"/>
      <c r="G177" s="20" t="s">
        <v>395</v>
      </c>
      <c r="H177" s="20">
        <v>1</v>
      </c>
      <c r="I177" s="20" t="s">
        <v>396</v>
      </c>
      <c r="J177" s="20" t="str">
        <f t="shared" si="2"/>
        <v>CN10</v>
      </c>
      <c r="K177" s="20" t="s">
        <v>397</v>
      </c>
      <c r="L177" s="20" t="s">
        <v>398</v>
      </c>
      <c r="M177" s="20" t="s">
        <v>399</v>
      </c>
    </row>
    <row r="178" spans="1:13" s="21" customFormat="1" x14ac:dyDescent="0.2">
      <c r="A178" s="20" t="s">
        <v>390</v>
      </c>
      <c r="B178" s="20" t="s">
        <v>666</v>
      </c>
      <c r="C178" s="20" t="s">
        <v>392</v>
      </c>
      <c r="D178" s="20" t="s">
        <v>393</v>
      </c>
      <c r="E178" s="20" t="s">
        <v>665</v>
      </c>
      <c r="F178" s="20"/>
      <c r="G178" s="20" t="s">
        <v>395</v>
      </c>
      <c r="H178" s="20">
        <v>1</v>
      </c>
      <c r="I178" s="22" t="s">
        <v>407</v>
      </c>
      <c r="J178" s="20" t="str">
        <f t="shared" si="2"/>
        <v>CN12</v>
      </c>
      <c r="K178" s="20" t="s">
        <v>397</v>
      </c>
      <c r="L178" s="20" t="s">
        <v>398</v>
      </c>
      <c r="M178" s="20" t="s">
        <v>399</v>
      </c>
    </row>
    <row r="179" spans="1:13" s="21" customFormat="1" x14ac:dyDescent="0.2">
      <c r="A179" s="20" t="s">
        <v>390</v>
      </c>
      <c r="B179" s="20" t="s">
        <v>667</v>
      </c>
      <c r="C179" s="20" t="s">
        <v>392</v>
      </c>
      <c r="D179" s="20" t="s">
        <v>393</v>
      </c>
      <c r="E179" s="20" t="s">
        <v>665</v>
      </c>
      <c r="F179" s="20"/>
      <c r="G179" s="20" t="s">
        <v>395</v>
      </c>
      <c r="H179" s="20">
        <v>1</v>
      </c>
      <c r="I179" s="22" t="s">
        <v>552</v>
      </c>
      <c r="J179" s="20" t="str">
        <f t="shared" si="2"/>
        <v>CN14</v>
      </c>
      <c r="K179" s="20" t="s">
        <v>397</v>
      </c>
      <c r="L179" s="20" t="s">
        <v>398</v>
      </c>
      <c r="M179" s="20" t="s">
        <v>399</v>
      </c>
    </row>
    <row r="180" spans="1:13" s="21" customFormat="1" x14ac:dyDescent="0.2">
      <c r="A180" s="20" t="s">
        <v>390</v>
      </c>
      <c r="B180" s="20" t="s">
        <v>668</v>
      </c>
      <c r="C180" s="20" t="s">
        <v>392</v>
      </c>
      <c r="D180" s="20" t="s">
        <v>393</v>
      </c>
      <c r="E180" s="20" t="s">
        <v>665</v>
      </c>
      <c r="F180" s="20"/>
      <c r="G180" s="20" t="s">
        <v>395</v>
      </c>
      <c r="H180" s="20">
        <v>1</v>
      </c>
      <c r="I180" s="22" t="s">
        <v>568</v>
      </c>
      <c r="J180" s="20" t="str">
        <f t="shared" si="2"/>
        <v>CN13</v>
      </c>
      <c r="K180" s="20" t="s">
        <v>397</v>
      </c>
      <c r="L180" s="20" t="s">
        <v>398</v>
      </c>
      <c r="M180" s="20" t="s">
        <v>399</v>
      </c>
    </row>
    <row r="181" spans="1:13" s="21" customFormat="1" x14ac:dyDescent="0.2">
      <c r="A181" s="20" t="s">
        <v>390</v>
      </c>
      <c r="B181" s="20" t="s">
        <v>669</v>
      </c>
      <c r="C181" s="20" t="s">
        <v>392</v>
      </c>
      <c r="D181" s="20" t="s">
        <v>393</v>
      </c>
      <c r="E181" s="20" t="s">
        <v>665</v>
      </c>
      <c r="F181" s="20"/>
      <c r="G181" s="20" t="s">
        <v>395</v>
      </c>
      <c r="H181" s="20">
        <v>1</v>
      </c>
      <c r="I181" s="22" t="s">
        <v>415</v>
      </c>
      <c r="J181" s="20" t="str">
        <f t="shared" si="2"/>
        <v>CN15</v>
      </c>
      <c r="K181" s="20" t="s">
        <v>397</v>
      </c>
      <c r="L181" s="20" t="s">
        <v>398</v>
      </c>
      <c r="M181" s="20" t="s">
        <v>399</v>
      </c>
    </row>
    <row r="182" spans="1:13" s="21" customFormat="1" x14ac:dyDescent="0.2">
      <c r="A182" s="20" t="s">
        <v>390</v>
      </c>
      <c r="B182" s="20" t="s">
        <v>670</v>
      </c>
      <c r="C182" s="20" t="s">
        <v>392</v>
      </c>
      <c r="D182" s="20" t="s">
        <v>393</v>
      </c>
      <c r="E182" s="20" t="s">
        <v>665</v>
      </c>
      <c r="F182" s="20"/>
      <c r="G182" s="20" t="s">
        <v>395</v>
      </c>
      <c r="H182" s="20">
        <v>1</v>
      </c>
      <c r="I182" s="22" t="s">
        <v>417</v>
      </c>
      <c r="J182" s="20" t="str">
        <f t="shared" si="2"/>
        <v>CN16</v>
      </c>
      <c r="K182" s="20" t="s">
        <v>397</v>
      </c>
      <c r="L182" s="20" t="s">
        <v>398</v>
      </c>
      <c r="M182" s="20" t="s">
        <v>399</v>
      </c>
    </row>
    <row r="183" spans="1:13" s="21" customFormat="1" x14ac:dyDescent="0.2">
      <c r="A183" s="20" t="s">
        <v>390</v>
      </c>
      <c r="B183" s="20" t="s">
        <v>671</v>
      </c>
      <c r="C183" s="20" t="s">
        <v>392</v>
      </c>
      <c r="D183" s="20" t="s">
        <v>393</v>
      </c>
      <c r="E183" s="20" t="s">
        <v>672</v>
      </c>
      <c r="F183" s="20"/>
      <c r="G183" s="20" t="s">
        <v>395</v>
      </c>
      <c r="H183" s="20">
        <v>1</v>
      </c>
      <c r="I183" s="22" t="s">
        <v>404</v>
      </c>
      <c r="J183" s="20" t="str">
        <f t="shared" si="2"/>
        <v>CN11</v>
      </c>
      <c r="K183" s="20" t="s">
        <v>624</v>
      </c>
      <c r="L183" s="20" t="s">
        <v>398</v>
      </c>
      <c r="M183" s="20" t="s">
        <v>399</v>
      </c>
    </row>
    <row r="184" spans="1:13" s="21" customFormat="1" x14ac:dyDescent="0.2">
      <c r="A184" s="20" t="s">
        <v>390</v>
      </c>
      <c r="B184" s="20" t="s">
        <v>673</v>
      </c>
      <c r="C184" s="20" t="s">
        <v>392</v>
      </c>
      <c r="D184" s="20" t="s">
        <v>393</v>
      </c>
      <c r="E184" s="20" t="s">
        <v>672</v>
      </c>
      <c r="F184" s="20"/>
      <c r="G184" s="20" t="s">
        <v>395</v>
      </c>
      <c r="H184" s="20">
        <v>1</v>
      </c>
      <c r="I184" s="22" t="s">
        <v>407</v>
      </c>
      <c r="J184" s="20" t="str">
        <f t="shared" si="2"/>
        <v>CN12</v>
      </c>
      <c r="K184" s="20" t="s">
        <v>624</v>
      </c>
      <c r="L184" s="20" t="s">
        <v>398</v>
      </c>
      <c r="M184" s="20" t="s">
        <v>399</v>
      </c>
    </row>
    <row r="185" spans="1:13" s="21" customFormat="1" x14ac:dyDescent="0.2">
      <c r="A185" s="20" t="s">
        <v>390</v>
      </c>
      <c r="B185" s="20" t="s">
        <v>674</v>
      </c>
      <c r="C185" s="20" t="s">
        <v>392</v>
      </c>
      <c r="D185" s="20" t="s">
        <v>393</v>
      </c>
      <c r="E185" s="20" t="s">
        <v>672</v>
      </c>
      <c r="F185" s="20"/>
      <c r="G185" s="20" t="s">
        <v>395</v>
      </c>
      <c r="H185" s="20">
        <v>1</v>
      </c>
      <c r="I185" s="22" t="s">
        <v>552</v>
      </c>
      <c r="J185" s="20" t="str">
        <f t="shared" si="2"/>
        <v>CN14</v>
      </c>
      <c r="K185" s="20" t="s">
        <v>624</v>
      </c>
      <c r="L185" s="20" t="s">
        <v>398</v>
      </c>
      <c r="M185" s="20" t="s">
        <v>399</v>
      </c>
    </row>
    <row r="186" spans="1:13" s="21" customFormat="1" x14ac:dyDescent="0.2">
      <c r="A186" s="20" t="s">
        <v>390</v>
      </c>
      <c r="B186" s="20" t="s">
        <v>675</v>
      </c>
      <c r="C186" s="20" t="s">
        <v>392</v>
      </c>
      <c r="D186" s="20" t="s">
        <v>393</v>
      </c>
      <c r="E186" s="20" t="s">
        <v>672</v>
      </c>
      <c r="F186" s="20"/>
      <c r="G186" s="20" t="s">
        <v>395</v>
      </c>
      <c r="H186" s="20">
        <v>1</v>
      </c>
      <c r="I186" s="22" t="s">
        <v>409</v>
      </c>
      <c r="J186" s="20" t="str">
        <f t="shared" si="2"/>
        <v>CN17</v>
      </c>
      <c r="K186" s="20" t="s">
        <v>624</v>
      </c>
      <c r="L186" s="20" t="s">
        <v>398</v>
      </c>
      <c r="M186" s="20" t="s">
        <v>399</v>
      </c>
    </row>
    <row r="187" spans="1:13" s="21" customFormat="1" x14ac:dyDescent="0.2">
      <c r="A187" s="20" t="s">
        <v>390</v>
      </c>
      <c r="B187" s="20" t="s">
        <v>676</v>
      </c>
      <c r="C187" s="20" t="s">
        <v>392</v>
      </c>
      <c r="D187" s="20" t="s">
        <v>393</v>
      </c>
      <c r="E187" s="20" t="s">
        <v>672</v>
      </c>
      <c r="F187" s="20"/>
      <c r="G187" s="20" t="s">
        <v>395</v>
      </c>
      <c r="H187" s="20">
        <v>1</v>
      </c>
      <c r="I187" s="22" t="s">
        <v>568</v>
      </c>
      <c r="J187" s="20" t="str">
        <f t="shared" si="2"/>
        <v>CN13</v>
      </c>
      <c r="K187" s="20" t="s">
        <v>624</v>
      </c>
      <c r="L187" s="20" t="s">
        <v>398</v>
      </c>
      <c r="M187" s="20" t="s">
        <v>399</v>
      </c>
    </row>
    <row r="188" spans="1:13" s="21" customFormat="1" x14ac:dyDescent="0.2">
      <c r="A188" s="20" t="s">
        <v>390</v>
      </c>
      <c r="B188" s="20" t="s">
        <v>677</v>
      </c>
      <c r="C188" s="20" t="s">
        <v>392</v>
      </c>
      <c r="D188" s="20" t="s">
        <v>393</v>
      </c>
      <c r="E188" s="20" t="s">
        <v>672</v>
      </c>
      <c r="F188" s="20"/>
      <c r="G188" s="20" t="s">
        <v>395</v>
      </c>
      <c r="H188" s="20">
        <v>1</v>
      </c>
      <c r="I188" s="20" t="s">
        <v>634</v>
      </c>
      <c r="J188" s="20" t="str">
        <f t="shared" si="2"/>
        <v>CN13</v>
      </c>
      <c r="K188" s="20" t="s">
        <v>624</v>
      </c>
      <c r="L188" s="20" t="s">
        <v>398</v>
      </c>
      <c r="M188" s="20" t="s">
        <v>399</v>
      </c>
    </row>
    <row r="189" spans="1:13" s="21" customFormat="1" x14ac:dyDescent="0.2">
      <c r="A189" s="20" t="s">
        <v>390</v>
      </c>
      <c r="B189" s="20" t="s">
        <v>678</v>
      </c>
      <c r="C189" s="20" t="s">
        <v>392</v>
      </c>
      <c r="D189" s="20" t="s">
        <v>393</v>
      </c>
      <c r="E189" s="20" t="s">
        <v>672</v>
      </c>
      <c r="F189" s="20"/>
      <c r="G189" s="20" t="s">
        <v>395</v>
      </c>
      <c r="H189" s="20">
        <v>1</v>
      </c>
      <c r="I189" s="20" t="s">
        <v>637</v>
      </c>
      <c r="J189" s="20" t="str">
        <f t="shared" si="2"/>
        <v>CN13</v>
      </c>
      <c r="K189" s="20" t="s">
        <v>624</v>
      </c>
      <c r="L189" s="20" t="s">
        <v>398</v>
      </c>
      <c r="M189" s="20" t="s">
        <v>399</v>
      </c>
    </row>
    <row r="190" spans="1:13" s="21" customFormat="1" x14ac:dyDescent="0.2">
      <c r="A190" s="20" t="s">
        <v>390</v>
      </c>
      <c r="B190" s="20" t="s">
        <v>679</v>
      </c>
      <c r="C190" s="20" t="s">
        <v>392</v>
      </c>
      <c r="D190" s="20" t="s">
        <v>393</v>
      </c>
      <c r="E190" s="20" t="s">
        <v>672</v>
      </c>
      <c r="F190" s="20"/>
      <c r="G190" s="20" t="s">
        <v>395</v>
      </c>
      <c r="H190" s="20">
        <v>1</v>
      </c>
      <c r="I190" s="20" t="s">
        <v>640</v>
      </c>
      <c r="J190" s="20" t="str">
        <f t="shared" si="2"/>
        <v>CN13</v>
      </c>
      <c r="K190" s="20" t="s">
        <v>624</v>
      </c>
      <c r="L190" s="20" t="s">
        <v>398</v>
      </c>
      <c r="M190" s="20" t="s">
        <v>399</v>
      </c>
    </row>
    <row r="191" spans="1:13" s="21" customFormat="1" x14ac:dyDescent="0.2">
      <c r="A191" s="20" t="s">
        <v>390</v>
      </c>
      <c r="B191" s="20" t="s">
        <v>680</v>
      </c>
      <c r="C191" s="20" t="s">
        <v>392</v>
      </c>
      <c r="D191" s="20" t="s">
        <v>393</v>
      </c>
      <c r="E191" s="20" t="s">
        <v>672</v>
      </c>
      <c r="F191" s="20"/>
      <c r="G191" s="20" t="s">
        <v>395</v>
      </c>
      <c r="H191" s="20">
        <v>1</v>
      </c>
      <c r="I191" s="20" t="s">
        <v>643</v>
      </c>
      <c r="J191" s="20" t="str">
        <f t="shared" si="2"/>
        <v>CN13</v>
      </c>
      <c r="K191" s="20" t="s">
        <v>624</v>
      </c>
      <c r="L191" s="20" t="s">
        <v>398</v>
      </c>
      <c r="M191" s="20" t="s">
        <v>399</v>
      </c>
    </row>
    <row r="192" spans="1:13" s="21" customFormat="1" x14ac:dyDescent="0.2">
      <c r="A192" s="20" t="s">
        <v>390</v>
      </c>
      <c r="B192" s="20" t="s">
        <v>681</v>
      </c>
      <c r="C192" s="20" t="s">
        <v>392</v>
      </c>
      <c r="D192" s="20" t="s">
        <v>393</v>
      </c>
      <c r="E192" s="20" t="s">
        <v>672</v>
      </c>
      <c r="F192" s="20"/>
      <c r="G192" s="20" t="s">
        <v>395</v>
      </c>
      <c r="H192" s="20">
        <v>1</v>
      </c>
      <c r="I192" s="20" t="s">
        <v>682</v>
      </c>
      <c r="J192" s="20" t="str">
        <f t="shared" si="2"/>
        <v>CN13</v>
      </c>
      <c r="K192" s="20" t="s">
        <v>624</v>
      </c>
      <c r="L192" s="20" t="s">
        <v>398</v>
      </c>
      <c r="M192" s="20" t="s">
        <v>399</v>
      </c>
    </row>
    <row r="193" spans="1:13" s="21" customFormat="1" x14ac:dyDescent="0.2">
      <c r="A193" s="20" t="s">
        <v>390</v>
      </c>
      <c r="B193" s="20" t="s">
        <v>683</v>
      </c>
      <c r="C193" s="20" t="s">
        <v>392</v>
      </c>
      <c r="D193" s="20" t="s">
        <v>393</v>
      </c>
      <c r="E193" s="20" t="s">
        <v>672</v>
      </c>
      <c r="F193" s="20"/>
      <c r="G193" s="20" t="s">
        <v>395</v>
      </c>
      <c r="H193" s="20">
        <v>1</v>
      </c>
      <c r="I193" s="20" t="s">
        <v>646</v>
      </c>
      <c r="J193" s="20" t="str">
        <f t="shared" si="2"/>
        <v>CN13</v>
      </c>
      <c r="K193" s="20" t="s">
        <v>624</v>
      </c>
      <c r="L193" s="20" t="s">
        <v>398</v>
      </c>
      <c r="M193" s="20" t="s">
        <v>399</v>
      </c>
    </row>
    <row r="194" spans="1:13" s="21" customFormat="1" x14ac:dyDescent="0.2">
      <c r="A194" s="20" t="s">
        <v>390</v>
      </c>
      <c r="B194" s="20" t="s">
        <v>684</v>
      </c>
      <c r="C194" s="20" t="s">
        <v>392</v>
      </c>
      <c r="D194" s="20" t="s">
        <v>393</v>
      </c>
      <c r="E194" s="20" t="s">
        <v>672</v>
      </c>
      <c r="F194" s="20"/>
      <c r="G194" s="20" t="s">
        <v>395</v>
      </c>
      <c r="H194" s="20">
        <v>1</v>
      </c>
      <c r="I194" s="20" t="s">
        <v>649</v>
      </c>
      <c r="J194" s="20" t="str">
        <f t="shared" si="2"/>
        <v>CN13</v>
      </c>
      <c r="K194" s="20" t="s">
        <v>624</v>
      </c>
      <c r="L194" s="20" t="s">
        <v>398</v>
      </c>
      <c r="M194" s="20" t="s">
        <v>399</v>
      </c>
    </row>
    <row r="195" spans="1:13" s="21" customFormat="1" x14ac:dyDescent="0.2">
      <c r="A195" s="20" t="s">
        <v>390</v>
      </c>
      <c r="B195" s="20" t="s">
        <v>685</v>
      </c>
      <c r="C195" s="20" t="s">
        <v>392</v>
      </c>
      <c r="D195" s="20" t="s">
        <v>393</v>
      </c>
      <c r="E195" s="20" t="s">
        <v>672</v>
      </c>
      <c r="F195" s="20"/>
      <c r="G195" s="20" t="s">
        <v>395</v>
      </c>
      <c r="H195" s="20">
        <v>1</v>
      </c>
      <c r="I195" s="20" t="s">
        <v>652</v>
      </c>
      <c r="J195" s="20" t="str">
        <f t="shared" ref="J195:J258" si="3">"CN"&amp;LEFT(B195,2)</f>
        <v>CN13</v>
      </c>
      <c r="K195" s="20" t="s">
        <v>624</v>
      </c>
      <c r="L195" s="20" t="s">
        <v>398</v>
      </c>
      <c r="M195" s="20" t="s">
        <v>399</v>
      </c>
    </row>
    <row r="196" spans="1:13" s="21" customFormat="1" x14ac:dyDescent="0.2">
      <c r="A196" s="20" t="s">
        <v>390</v>
      </c>
      <c r="B196" s="20" t="s">
        <v>686</v>
      </c>
      <c r="C196" s="20" t="s">
        <v>392</v>
      </c>
      <c r="D196" s="20" t="s">
        <v>393</v>
      </c>
      <c r="E196" s="20" t="s">
        <v>672</v>
      </c>
      <c r="F196" s="20"/>
      <c r="G196" s="20" t="s">
        <v>395</v>
      </c>
      <c r="H196" s="20">
        <v>1</v>
      </c>
      <c r="I196" s="20" t="s">
        <v>687</v>
      </c>
      <c r="J196" s="20" t="str">
        <f t="shared" si="3"/>
        <v>CN13</v>
      </c>
      <c r="K196" s="20" t="s">
        <v>624</v>
      </c>
      <c r="L196" s="20" t="s">
        <v>398</v>
      </c>
      <c r="M196" s="20" t="s">
        <v>399</v>
      </c>
    </row>
    <row r="197" spans="1:13" s="21" customFormat="1" x14ac:dyDescent="0.2">
      <c r="A197" s="20" t="s">
        <v>390</v>
      </c>
      <c r="B197" s="20" t="s">
        <v>688</v>
      </c>
      <c r="C197" s="20" t="s">
        <v>392</v>
      </c>
      <c r="D197" s="20" t="s">
        <v>393</v>
      </c>
      <c r="E197" s="20" t="s">
        <v>672</v>
      </c>
      <c r="F197" s="20"/>
      <c r="G197" s="20" t="s">
        <v>395</v>
      </c>
      <c r="H197" s="20">
        <v>1</v>
      </c>
      <c r="I197" s="22" t="s">
        <v>415</v>
      </c>
      <c r="J197" s="20" t="str">
        <f t="shared" si="3"/>
        <v>CN15</v>
      </c>
      <c r="K197" s="20" t="s">
        <v>624</v>
      </c>
      <c r="L197" s="20" t="s">
        <v>398</v>
      </c>
      <c r="M197" s="20" t="s">
        <v>399</v>
      </c>
    </row>
    <row r="198" spans="1:13" s="21" customFormat="1" x14ac:dyDescent="0.2">
      <c r="A198" s="20" t="s">
        <v>390</v>
      </c>
      <c r="B198" s="20" t="s">
        <v>689</v>
      </c>
      <c r="C198" s="20" t="s">
        <v>392</v>
      </c>
      <c r="D198" s="20" t="s">
        <v>393</v>
      </c>
      <c r="E198" s="20" t="s">
        <v>672</v>
      </c>
      <c r="F198" s="20"/>
      <c r="G198" s="20" t="s">
        <v>395</v>
      </c>
      <c r="H198" s="20">
        <v>1</v>
      </c>
      <c r="I198" s="22" t="s">
        <v>417</v>
      </c>
      <c r="J198" s="20" t="str">
        <f t="shared" si="3"/>
        <v>CN16</v>
      </c>
      <c r="K198" s="20" t="s">
        <v>624</v>
      </c>
      <c r="L198" s="20" t="s">
        <v>398</v>
      </c>
      <c r="M198" s="20" t="s">
        <v>399</v>
      </c>
    </row>
    <row r="199" spans="1:13" s="21" customFormat="1" x14ac:dyDescent="0.2">
      <c r="A199" s="20" t="s">
        <v>390</v>
      </c>
      <c r="B199" s="20" t="s">
        <v>690</v>
      </c>
      <c r="C199" s="20" t="s">
        <v>392</v>
      </c>
      <c r="D199" s="20" t="s">
        <v>393</v>
      </c>
      <c r="E199" s="20" t="s">
        <v>691</v>
      </c>
      <c r="F199" s="20"/>
      <c r="G199" s="20" t="s">
        <v>395</v>
      </c>
      <c r="H199" s="20">
        <v>1</v>
      </c>
      <c r="I199" s="22" t="s">
        <v>404</v>
      </c>
      <c r="J199" s="20" t="str">
        <f t="shared" si="3"/>
        <v>CN11</v>
      </c>
      <c r="K199" s="20" t="s">
        <v>657</v>
      </c>
      <c r="L199" s="20" t="s">
        <v>398</v>
      </c>
      <c r="M199" s="20" t="s">
        <v>399</v>
      </c>
    </row>
    <row r="200" spans="1:13" s="21" customFormat="1" x14ac:dyDescent="0.2">
      <c r="A200" s="20" t="s">
        <v>390</v>
      </c>
      <c r="B200" s="20" t="s">
        <v>692</v>
      </c>
      <c r="C200" s="20" t="s">
        <v>392</v>
      </c>
      <c r="D200" s="20" t="s">
        <v>393</v>
      </c>
      <c r="E200" s="20" t="s">
        <v>691</v>
      </c>
      <c r="F200" s="20"/>
      <c r="G200" s="20" t="s">
        <v>395</v>
      </c>
      <c r="H200" s="20">
        <v>1</v>
      </c>
      <c r="I200" s="22" t="s">
        <v>407</v>
      </c>
      <c r="J200" s="20" t="str">
        <f t="shared" si="3"/>
        <v>CN12</v>
      </c>
      <c r="K200" s="20" t="s">
        <v>657</v>
      </c>
      <c r="L200" s="20" t="s">
        <v>398</v>
      </c>
      <c r="M200" s="20" t="s">
        <v>399</v>
      </c>
    </row>
    <row r="201" spans="1:13" s="21" customFormat="1" x14ac:dyDescent="0.2">
      <c r="A201" s="20" t="s">
        <v>390</v>
      </c>
      <c r="B201" s="20" t="s">
        <v>693</v>
      </c>
      <c r="C201" s="20" t="s">
        <v>392</v>
      </c>
      <c r="D201" s="20" t="s">
        <v>393</v>
      </c>
      <c r="E201" s="20" t="s">
        <v>691</v>
      </c>
      <c r="F201" s="20"/>
      <c r="G201" s="20" t="s">
        <v>395</v>
      </c>
      <c r="H201" s="20">
        <v>1</v>
      </c>
      <c r="I201" s="22" t="s">
        <v>552</v>
      </c>
      <c r="J201" s="20" t="str">
        <f t="shared" si="3"/>
        <v>CN14</v>
      </c>
      <c r="K201" s="20" t="s">
        <v>657</v>
      </c>
      <c r="L201" s="20" t="s">
        <v>398</v>
      </c>
      <c r="M201" s="20" t="s">
        <v>399</v>
      </c>
    </row>
    <row r="202" spans="1:13" s="21" customFormat="1" x14ac:dyDescent="0.2">
      <c r="A202" s="20" t="s">
        <v>390</v>
      </c>
      <c r="B202" s="20" t="s">
        <v>694</v>
      </c>
      <c r="C202" s="20" t="s">
        <v>392</v>
      </c>
      <c r="D202" s="20" t="s">
        <v>393</v>
      </c>
      <c r="E202" s="20" t="s">
        <v>691</v>
      </c>
      <c r="F202" s="20"/>
      <c r="G202" s="20" t="s">
        <v>395</v>
      </c>
      <c r="H202" s="20">
        <v>1</v>
      </c>
      <c r="I202" s="22" t="s">
        <v>409</v>
      </c>
      <c r="J202" s="20" t="str">
        <f t="shared" si="3"/>
        <v>CN17</v>
      </c>
      <c r="K202" s="20" t="s">
        <v>657</v>
      </c>
      <c r="L202" s="20" t="s">
        <v>398</v>
      </c>
      <c r="M202" s="20" t="s">
        <v>399</v>
      </c>
    </row>
    <row r="203" spans="1:13" s="21" customFormat="1" x14ac:dyDescent="0.2">
      <c r="A203" s="20" t="s">
        <v>390</v>
      </c>
      <c r="B203" s="20" t="s">
        <v>695</v>
      </c>
      <c r="C203" s="20" t="s">
        <v>392</v>
      </c>
      <c r="D203" s="20" t="s">
        <v>393</v>
      </c>
      <c r="E203" s="20" t="s">
        <v>691</v>
      </c>
      <c r="F203" s="20"/>
      <c r="G203" s="20" t="s">
        <v>395</v>
      </c>
      <c r="H203" s="20">
        <v>1</v>
      </c>
      <c r="I203" s="22" t="s">
        <v>568</v>
      </c>
      <c r="J203" s="20" t="str">
        <f t="shared" si="3"/>
        <v>CN13</v>
      </c>
      <c r="K203" s="20" t="s">
        <v>657</v>
      </c>
      <c r="L203" s="20" t="s">
        <v>398</v>
      </c>
      <c r="M203" s="20" t="s">
        <v>399</v>
      </c>
    </row>
    <row r="204" spans="1:13" s="21" customFormat="1" x14ac:dyDescent="0.2">
      <c r="A204" s="20" t="s">
        <v>390</v>
      </c>
      <c r="B204" s="20" t="s">
        <v>696</v>
      </c>
      <c r="C204" s="20" t="s">
        <v>392</v>
      </c>
      <c r="D204" s="20" t="s">
        <v>393</v>
      </c>
      <c r="E204" s="20" t="s">
        <v>691</v>
      </c>
      <c r="F204" s="20"/>
      <c r="G204" s="20" t="s">
        <v>395</v>
      </c>
      <c r="H204" s="20">
        <v>1</v>
      </c>
      <c r="I204" s="20" t="s">
        <v>640</v>
      </c>
      <c r="J204" s="20" t="str">
        <f t="shared" si="3"/>
        <v>CN13</v>
      </c>
      <c r="K204" s="20" t="s">
        <v>657</v>
      </c>
      <c r="L204" s="20" t="s">
        <v>398</v>
      </c>
      <c r="M204" s="20" t="s">
        <v>399</v>
      </c>
    </row>
    <row r="205" spans="1:13" s="21" customFormat="1" x14ac:dyDescent="0.2">
      <c r="A205" s="20" t="s">
        <v>390</v>
      </c>
      <c r="B205" s="20" t="s">
        <v>697</v>
      </c>
      <c r="C205" s="20" t="s">
        <v>392</v>
      </c>
      <c r="D205" s="20" t="s">
        <v>393</v>
      </c>
      <c r="E205" s="20" t="s">
        <v>691</v>
      </c>
      <c r="F205" s="20"/>
      <c r="G205" s="20" t="s">
        <v>395</v>
      </c>
      <c r="H205" s="20">
        <v>1</v>
      </c>
      <c r="I205" s="22" t="s">
        <v>415</v>
      </c>
      <c r="J205" s="20" t="str">
        <f t="shared" si="3"/>
        <v>CN15</v>
      </c>
      <c r="K205" s="20" t="s">
        <v>657</v>
      </c>
      <c r="L205" s="20" t="s">
        <v>398</v>
      </c>
      <c r="M205" s="20" t="s">
        <v>399</v>
      </c>
    </row>
    <row r="206" spans="1:13" s="21" customFormat="1" x14ac:dyDescent="0.2">
      <c r="A206" s="20" t="s">
        <v>390</v>
      </c>
      <c r="B206" s="20" t="s">
        <v>698</v>
      </c>
      <c r="C206" s="20" t="s">
        <v>392</v>
      </c>
      <c r="D206" s="20" t="s">
        <v>393</v>
      </c>
      <c r="E206" s="20" t="s">
        <v>691</v>
      </c>
      <c r="F206" s="20"/>
      <c r="G206" s="20" t="s">
        <v>395</v>
      </c>
      <c r="H206" s="20">
        <v>1</v>
      </c>
      <c r="I206" s="22" t="s">
        <v>417</v>
      </c>
      <c r="J206" s="20" t="str">
        <f t="shared" si="3"/>
        <v>CN16</v>
      </c>
      <c r="K206" s="20" t="s">
        <v>657</v>
      </c>
      <c r="L206" s="20" t="s">
        <v>398</v>
      </c>
      <c r="M206" s="20" t="s">
        <v>399</v>
      </c>
    </row>
    <row r="207" spans="1:13" s="21" customFormat="1" x14ac:dyDescent="0.2">
      <c r="A207" s="20" t="s">
        <v>390</v>
      </c>
      <c r="B207" s="20" t="s">
        <v>699</v>
      </c>
      <c r="C207" s="20" t="s">
        <v>392</v>
      </c>
      <c r="D207" s="20" t="s">
        <v>393</v>
      </c>
      <c r="E207" s="20" t="s">
        <v>700</v>
      </c>
      <c r="F207" s="20"/>
      <c r="G207" s="20" t="s">
        <v>395</v>
      </c>
      <c r="H207" s="20">
        <v>1</v>
      </c>
      <c r="I207" s="22" t="s">
        <v>404</v>
      </c>
      <c r="J207" s="20" t="str">
        <f t="shared" si="3"/>
        <v>CN11</v>
      </c>
      <c r="K207" s="20" t="s">
        <v>624</v>
      </c>
      <c r="L207" s="20" t="s">
        <v>398</v>
      </c>
      <c r="M207" s="20" t="s">
        <v>399</v>
      </c>
    </row>
    <row r="208" spans="1:13" s="21" customFormat="1" x14ac:dyDescent="0.2">
      <c r="A208" s="20" t="s">
        <v>390</v>
      </c>
      <c r="B208" s="20" t="s">
        <v>701</v>
      </c>
      <c r="C208" s="20" t="s">
        <v>392</v>
      </c>
      <c r="D208" s="20" t="s">
        <v>393</v>
      </c>
      <c r="E208" s="20" t="s">
        <v>700</v>
      </c>
      <c r="F208" s="20"/>
      <c r="G208" s="20" t="s">
        <v>395</v>
      </c>
      <c r="H208" s="20">
        <v>1</v>
      </c>
      <c r="I208" s="22" t="s">
        <v>407</v>
      </c>
      <c r="J208" s="20" t="str">
        <f t="shared" si="3"/>
        <v>CN12</v>
      </c>
      <c r="K208" s="20" t="s">
        <v>624</v>
      </c>
      <c r="L208" s="20" t="s">
        <v>398</v>
      </c>
      <c r="M208" s="20" t="s">
        <v>399</v>
      </c>
    </row>
    <row r="209" spans="1:13" s="21" customFormat="1" x14ac:dyDescent="0.2">
      <c r="A209" s="20" t="s">
        <v>390</v>
      </c>
      <c r="B209" s="20" t="s">
        <v>702</v>
      </c>
      <c r="C209" s="20" t="s">
        <v>392</v>
      </c>
      <c r="D209" s="20" t="s">
        <v>393</v>
      </c>
      <c r="E209" s="20" t="s">
        <v>700</v>
      </c>
      <c r="F209" s="20"/>
      <c r="G209" s="20" t="s">
        <v>395</v>
      </c>
      <c r="H209" s="20">
        <v>1</v>
      </c>
      <c r="I209" s="22" t="s">
        <v>552</v>
      </c>
      <c r="J209" s="20" t="str">
        <f t="shared" si="3"/>
        <v>CN14</v>
      </c>
      <c r="K209" s="20" t="s">
        <v>624</v>
      </c>
      <c r="L209" s="20" t="s">
        <v>398</v>
      </c>
      <c r="M209" s="20" t="s">
        <v>399</v>
      </c>
    </row>
    <row r="210" spans="1:13" s="21" customFormat="1" x14ac:dyDescent="0.2">
      <c r="A210" s="20" t="s">
        <v>390</v>
      </c>
      <c r="B210" s="20" t="s">
        <v>703</v>
      </c>
      <c r="C210" s="20" t="s">
        <v>392</v>
      </c>
      <c r="D210" s="20" t="s">
        <v>393</v>
      </c>
      <c r="E210" s="20" t="s">
        <v>700</v>
      </c>
      <c r="F210" s="20"/>
      <c r="G210" s="20" t="s">
        <v>395</v>
      </c>
      <c r="H210" s="20">
        <v>1</v>
      </c>
      <c r="I210" s="22" t="s">
        <v>409</v>
      </c>
      <c r="J210" s="20" t="str">
        <f t="shared" si="3"/>
        <v>CN17</v>
      </c>
      <c r="K210" s="20" t="s">
        <v>624</v>
      </c>
      <c r="L210" s="20" t="s">
        <v>398</v>
      </c>
      <c r="M210" s="20" t="s">
        <v>399</v>
      </c>
    </row>
    <row r="211" spans="1:13" s="21" customFormat="1" x14ac:dyDescent="0.2">
      <c r="A211" s="20" t="s">
        <v>390</v>
      </c>
      <c r="B211" s="20" t="s">
        <v>704</v>
      </c>
      <c r="C211" s="20" t="s">
        <v>392</v>
      </c>
      <c r="D211" s="20" t="s">
        <v>393</v>
      </c>
      <c r="E211" s="20" t="s">
        <v>700</v>
      </c>
      <c r="F211" s="20"/>
      <c r="G211" s="20" t="s">
        <v>395</v>
      </c>
      <c r="H211" s="20">
        <v>1</v>
      </c>
      <c r="I211" s="22" t="s">
        <v>568</v>
      </c>
      <c r="J211" s="20" t="str">
        <f t="shared" si="3"/>
        <v>CN13</v>
      </c>
      <c r="K211" s="20" t="s">
        <v>624</v>
      </c>
      <c r="L211" s="20" t="s">
        <v>398</v>
      </c>
      <c r="M211" s="20" t="s">
        <v>399</v>
      </c>
    </row>
    <row r="212" spans="1:13" s="21" customFormat="1" x14ac:dyDescent="0.2">
      <c r="A212" s="20" t="s">
        <v>390</v>
      </c>
      <c r="B212" s="20" t="s">
        <v>705</v>
      </c>
      <c r="C212" s="20" t="s">
        <v>392</v>
      </c>
      <c r="D212" s="20" t="s">
        <v>393</v>
      </c>
      <c r="E212" s="20" t="s">
        <v>700</v>
      </c>
      <c r="F212" s="20"/>
      <c r="G212" s="20" t="s">
        <v>395</v>
      </c>
      <c r="H212" s="20">
        <v>1</v>
      </c>
      <c r="I212" s="22" t="s">
        <v>415</v>
      </c>
      <c r="J212" s="20" t="str">
        <f t="shared" si="3"/>
        <v>CN15</v>
      </c>
      <c r="K212" s="20" t="s">
        <v>624</v>
      </c>
      <c r="L212" s="20" t="s">
        <v>398</v>
      </c>
      <c r="M212" s="20" t="s">
        <v>399</v>
      </c>
    </row>
    <row r="213" spans="1:13" s="21" customFormat="1" x14ac:dyDescent="0.2">
      <c r="A213" s="20" t="s">
        <v>390</v>
      </c>
      <c r="B213" s="20" t="s">
        <v>706</v>
      </c>
      <c r="C213" s="20" t="s">
        <v>392</v>
      </c>
      <c r="D213" s="20" t="s">
        <v>393</v>
      </c>
      <c r="E213" s="20" t="s">
        <v>700</v>
      </c>
      <c r="F213" s="20"/>
      <c r="G213" s="20" t="s">
        <v>395</v>
      </c>
      <c r="H213" s="20">
        <v>1</v>
      </c>
      <c r="I213" s="22" t="s">
        <v>417</v>
      </c>
      <c r="J213" s="20" t="str">
        <f t="shared" si="3"/>
        <v>CN16</v>
      </c>
      <c r="K213" s="20" t="s">
        <v>624</v>
      </c>
      <c r="L213" s="20" t="s">
        <v>398</v>
      </c>
      <c r="M213" s="20" t="s">
        <v>399</v>
      </c>
    </row>
    <row r="214" spans="1:13" s="21" customFormat="1" x14ac:dyDescent="0.2">
      <c r="A214" s="20" t="s">
        <v>390</v>
      </c>
      <c r="B214" s="20" t="s">
        <v>707</v>
      </c>
      <c r="C214" s="20" t="s">
        <v>392</v>
      </c>
      <c r="D214" s="20" t="s">
        <v>393</v>
      </c>
      <c r="E214" s="20" t="s">
        <v>708</v>
      </c>
      <c r="F214" s="20"/>
      <c r="G214" s="20" t="s">
        <v>395</v>
      </c>
      <c r="H214" s="20">
        <v>1</v>
      </c>
      <c r="I214" s="20" t="s">
        <v>396</v>
      </c>
      <c r="J214" s="20" t="str">
        <f t="shared" si="3"/>
        <v>CN10</v>
      </c>
      <c r="K214" s="20" t="s">
        <v>397</v>
      </c>
      <c r="L214" s="20" t="s">
        <v>398</v>
      </c>
      <c r="M214" s="20" t="s">
        <v>399</v>
      </c>
    </row>
    <row r="215" spans="1:13" s="21" customFormat="1" x14ac:dyDescent="0.2">
      <c r="A215" s="20" t="s">
        <v>390</v>
      </c>
      <c r="B215" s="20" t="s">
        <v>709</v>
      </c>
      <c r="C215" s="20" t="s">
        <v>392</v>
      </c>
      <c r="D215" s="20" t="s">
        <v>393</v>
      </c>
      <c r="E215" s="20" t="s">
        <v>710</v>
      </c>
      <c r="F215" s="20"/>
      <c r="G215" s="20" t="s">
        <v>395</v>
      </c>
      <c r="H215" s="20">
        <v>1</v>
      </c>
      <c r="I215" s="22" t="s">
        <v>404</v>
      </c>
      <c r="J215" s="20" t="str">
        <f t="shared" si="3"/>
        <v>CN11</v>
      </c>
      <c r="K215" s="20" t="s">
        <v>397</v>
      </c>
      <c r="L215" s="20" t="s">
        <v>398</v>
      </c>
      <c r="M215" s="20" t="s">
        <v>399</v>
      </c>
    </row>
    <row r="216" spans="1:13" s="21" customFormat="1" x14ac:dyDescent="0.2">
      <c r="A216" s="20" t="s">
        <v>390</v>
      </c>
      <c r="B216" s="20" t="s">
        <v>711</v>
      </c>
      <c r="C216" s="20" t="s">
        <v>392</v>
      </c>
      <c r="D216" s="20" t="s">
        <v>393</v>
      </c>
      <c r="E216" s="20" t="s">
        <v>708</v>
      </c>
      <c r="F216" s="20"/>
      <c r="G216" s="20" t="s">
        <v>395</v>
      </c>
      <c r="H216" s="20">
        <v>1</v>
      </c>
      <c r="I216" s="22" t="s">
        <v>409</v>
      </c>
      <c r="J216" s="20" t="str">
        <f t="shared" si="3"/>
        <v>CN17</v>
      </c>
      <c r="K216" s="20" t="s">
        <v>397</v>
      </c>
      <c r="L216" s="20" t="s">
        <v>398</v>
      </c>
      <c r="M216" s="20" t="s">
        <v>399</v>
      </c>
    </row>
    <row r="217" spans="1:13" s="21" customFormat="1" x14ac:dyDescent="0.2">
      <c r="A217" s="20" t="s">
        <v>390</v>
      </c>
      <c r="B217" s="20" t="s">
        <v>712</v>
      </c>
      <c r="C217" s="20" t="s">
        <v>392</v>
      </c>
      <c r="D217" s="20" t="s">
        <v>393</v>
      </c>
      <c r="E217" s="20" t="s">
        <v>713</v>
      </c>
      <c r="F217" s="20"/>
      <c r="G217" s="20" t="s">
        <v>395</v>
      </c>
      <c r="H217" s="20">
        <v>1</v>
      </c>
      <c r="I217" s="22" t="s">
        <v>568</v>
      </c>
      <c r="J217" s="20" t="str">
        <f t="shared" si="3"/>
        <v>CN13</v>
      </c>
      <c r="K217" s="20" t="s">
        <v>397</v>
      </c>
      <c r="L217" s="20" t="s">
        <v>398</v>
      </c>
      <c r="M217" s="20" t="s">
        <v>399</v>
      </c>
    </row>
    <row r="218" spans="1:13" s="21" customFormat="1" x14ac:dyDescent="0.2">
      <c r="A218" s="20" t="s">
        <v>390</v>
      </c>
      <c r="B218" s="20" t="s">
        <v>714</v>
      </c>
      <c r="C218" s="20" t="s">
        <v>392</v>
      </c>
      <c r="D218" s="20" t="s">
        <v>393</v>
      </c>
      <c r="E218" s="20" t="s">
        <v>715</v>
      </c>
      <c r="F218" s="20"/>
      <c r="G218" s="20" t="s">
        <v>395</v>
      </c>
      <c r="H218" s="20">
        <v>1</v>
      </c>
      <c r="I218" s="20" t="s">
        <v>634</v>
      </c>
      <c r="J218" s="20" t="str">
        <f t="shared" si="3"/>
        <v>CN13</v>
      </c>
      <c r="K218" s="20" t="s">
        <v>397</v>
      </c>
      <c r="L218" s="20" t="s">
        <v>398</v>
      </c>
      <c r="M218" s="20" t="s">
        <v>399</v>
      </c>
    </row>
    <row r="219" spans="1:13" s="21" customFormat="1" x14ac:dyDescent="0.2">
      <c r="A219" s="20" t="s">
        <v>390</v>
      </c>
      <c r="B219" s="20" t="s">
        <v>716</v>
      </c>
      <c r="C219" s="20" t="s">
        <v>392</v>
      </c>
      <c r="D219" s="20" t="s">
        <v>393</v>
      </c>
      <c r="E219" s="20" t="s">
        <v>717</v>
      </c>
      <c r="F219" s="20"/>
      <c r="G219" s="20" t="s">
        <v>395</v>
      </c>
      <c r="H219" s="20">
        <v>1</v>
      </c>
      <c r="I219" s="20" t="s">
        <v>637</v>
      </c>
      <c r="J219" s="20" t="str">
        <f t="shared" si="3"/>
        <v>CN13</v>
      </c>
      <c r="K219" s="20" t="s">
        <v>397</v>
      </c>
      <c r="L219" s="20" t="s">
        <v>398</v>
      </c>
      <c r="M219" s="20" t="s">
        <v>399</v>
      </c>
    </row>
    <row r="220" spans="1:13" s="21" customFormat="1" x14ac:dyDescent="0.2">
      <c r="A220" s="20" t="s">
        <v>390</v>
      </c>
      <c r="B220" s="20" t="s">
        <v>718</v>
      </c>
      <c r="C220" s="20" t="s">
        <v>392</v>
      </c>
      <c r="D220" s="20" t="s">
        <v>393</v>
      </c>
      <c r="E220" s="20" t="s">
        <v>708</v>
      </c>
      <c r="F220" s="20"/>
      <c r="G220" s="20" t="s">
        <v>395</v>
      </c>
      <c r="H220" s="20">
        <v>1</v>
      </c>
      <c r="I220" s="22" t="s">
        <v>407</v>
      </c>
      <c r="J220" s="20" t="str">
        <f t="shared" si="3"/>
        <v>CN12</v>
      </c>
      <c r="K220" s="20" t="s">
        <v>397</v>
      </c>
      <c r="L220" s="20" t="s">
        <v>398</v>
      </c>
      <c r="M220" s="20" t="s">
        <v>399</v>
      </c>
    </row>
    <row r="221" spans="1:13" s="21" customFormat="1" x14ac:dyDescent="0.2">
      <c r="A221" s="20" t="s">
        <v>390</v>
      </c>
      <c r="B221" s="20" t="s">
        <v>719</v>
      </c>
      <c r="C221" s="20" t="s">
        <v>392</v>
      </c>
      <c r="D221" s="20" t="s">
        <v>393</v>
      </c>
      <c r="E221" s="20" t="s">
        <v>720</v>
      </c>
      <c r="F221" s="20"/>
      <c r="G221" s="20" t="s">
        <v>395</v>
      </c>
      <c r="H221" s="20">
        <v>1</v>
      </c>
      <c r="I221" s="20" t="s">
        <v>721</v>
      </c>
      <c r="J221" s="20" t="str">
        <f t="shared" si="3"/>
        <v>CN14</v>
      </c>
      <c r="K221" s="20" t="s">
        <v>397</v>
      </c>
      <c r="L221" s="20" t="s">
        <v>398</v>
      </c>
      <c r="M221" s="20" t="s">
        <v>399</v>
      </c>
    </row>
    <row r="222" spans="1:13" s="21" customFormat="1" x14ac:dyDescent="0.2">
      <c r="A222" s="20" t="s">
        <v>390</v>
      </c>
      <c r="B222" s="20" t="s">
        <v>722</v>
      </c>
      <c r="C222" s="20" t="s">
        <v>392</v>
      </c>
      <c r="D222" s="20" t="s">
        <v>393</v>
      </c>
      <c r="E222" s="20" t="s">
        <v>723</v>
      </c>
      <c r="F222" s="20"/>
      <c r="G222" s="20" t="s">
        <v>395</v>
      </c>
      <c r="H222" s="20">
        <v>1</v>
      </c>
      <c r="I222" s="20" t="s">
        <v>724</v>
      </c>
      <c r="J222" s="20" t="str">
        <f t="shared" si="3"/>
        <v>CN14</v>
      </c>
      <c r="K222" s="20" t="s">
        <v>397</v>
      </c>
      <c r="L222" s="20" t="s">
        <v>398</v>
      </c>
      <c r="M222" s="20" t="s">
        <v>399</v>
      </c>
    </row>
    <row r="223" spans="1:13" s="21" customFormat="1" x14ac:dyDescent="0.2">
      <c r="A223" s="20" t="s">
        <v>390</v>
      </c>
      <c r="B223" s="20" t="s">
        <v>725</v>
      </c>
      <c r="C223" s="20" t="s">
        <v>392</v>
      </c>
      <c r="D223" s="20" t="s">
        <v>393</v>
      </c>
      <c r="E223" s="20" t="s">
        <v>708</v>
      </c>
      <c r="F223" s="20"/>
      <c r="G223" s="20" t="s">
        <v>395</v>
      </c>
      <c r="H223" s="20">
        <v>1</v>
      </c>
      <c r="I223" s="22" t="s">
        <v>417</v>
      </c>
      <c r="J223" s="20" t="str">
        <f t="shared" si="3"/>
        <v>CN16</v>
      </c>
      <c r="K223" s="20" t="s">
        <v>397</v>
      </c>
      <c r="L223" s="20" t="s">
        <v>398</v>
      </c>
      <c r="M223" s="20" t="s">
        <v>399</v>
      </c>
    </row>
    <row r="224" spans="1:13" s="21" customFormat="1" x14ac:dyDescent="0.2">
      <c r="A224" s="20" t="s">
        <v>390</v>
      </c>
      <c r="B224" s="20" t="s">
        <v>726</v>
      </c>
      <c r="C224" s="20" t="s">
        <v>392</v>
      </c>
      <c r="D224" s="20" t="s">
        <v>393</v>
      </c>
      <c r="E224" s="20" t="s">
        <v>708</v>
      </c>
      <c r="F224" s="20"/>
      <c r="G224" s="20" t="s">
        <v>395</v>
      </c>
      <c r="H224" s="20">
        <v>1</v>
      </c>
      <c r="I224" s="22" t="s">
        <v>415</v>
      </c>
      <c r="J224" s="20" t="str">
        <f t="shared" si="3"/>
        <v>CN15</v>
      </c>
      <c r="K224" s="20" t="s">
        <v>397</v>
      </c>
      <c r="L224" s="20" t="s">
        <v>398</v>
      </c>
      <c r="M224" s="20" t="s">
        <v>399</v>
      </c>
    </row>
    <row r="225" spans="1:13" s="21" customFormat="1" x14ac:dyDescent="0.2">
      <c r="A225" s="20" t="s">
        <v>390</v>
      </c>
      <c r="B225" s="20" t="s">
        <v>727</v>
      </c>
      <c r="C225" s="20" t="s">
        <v>392</v>
      </c>
      <c r="D225" s="20" t="s">
        <v>393</v>
      </c>
      <c r="E225" s="20" t="s">
        <v>728</v>
      </c>
      <c r="F225" s="20"/>
      <c r="G225" s="20" t="s">
        <v>395</v>
      </c>
      <c r="H225" s="20">
        <v>1</v>
      </c>
      <c r="I225" s="22" t="s">
        <v>552</v>
      </c>
      <c r="J225" s="20" t="str">
        <f t="shared" si="3"/>
        <v>CN14</v>
      </c>
      <c r="K225" s="20" t="s">
        <v>397</v>
      </c>
      <c r="L225" s="20" t="s">
        <v>398</v>
      </c>
      <c r="M225" s="20" t="s">
        <v>399</v>
      </c>
    </row>
    <row r="226" spans="1:13" s="21" customFormat="1" x14ac:dyDescent="0.2">
      <c r="A226" s="20" t="s">
        <v>390</v>
      </c>
      <c r="B226" s="20" t="s">
        <v>729</v>
      </c>
      <c r="C226" s="20" t="s">
        <v>392</v>
      </c>
      <c r="D226" s="20" t="s">
        <v>393</v>
      </c>
      <c r="E226" s="20" t="s">
        <v>730</v>
      </c>
      <c r="F226" s="20"/>
      <c r="G226" s="20" t="s">
        <v>395</v>
      </c>
      <c r="H226" s="20">
        <v>1</v>
      </c>
      <c r="I226" s="20" t="s">
        <v>396</v>
      </c>
      <c r="J226" s="20" t="str">
        <f t="shared" si="3"/>
        <v>CN10</v>
      </c>
      <c r="K226" s="20" t="s">
        <v>397</v>
      </c>
      <c r="L226" s="20" t="s">
        <v>398</v>
      </c>
      <c r="M226" s="20" t="s">
        <v>399</v>
      </c>
    </row>
    <row r="227" spans="1:13" s="21" customFormat="1" x14ac:dyDescent="0.2">
      <c r="A227" s="20" t="s">
        <v>390</v>
      </c>
      <c r="B227" s="20" t="s">
        <v>731</v>
      </c>
      <c r="C227" s="20" t="s">
        <v>392</v>
      </c>
      <c r="D227" s="20" t="s">
        <v>393</v>
      </c>
      <c r="E227" s="20" t="s">
        <v>730</v>
      </c>
      <c r="F227" s="20"/>
      <c r="G227" s="20" t="s">
        <v>395</v>
      </c>
      <c r="H227" s="20">
        <v>1</v>
      </c>
      <c r="I227" s="22" t="s">
        <v>404</v>
      </c>
      <c r="J227" s="20" t="str">
        <f t="shared" si="3"/>
        <v>CN11</v>
      </c>
      <c r="K227" s="20" t="s">
        <v>397</v>
      </c>
      <c r="L227" s="20" t="s">
        <v>398</v>
      </c>
      <c r="M227" s="20" t="s">
        <v>399</v>
      </c>
    </row>
    <row r="228" spans="1:13" s="21" customFormat="1" x14ac:dyDescent="0.2">
      <c r="A228" s="20" t="s">
        <v>390</v>
      </c>
      <c r="B228" s="20" t="s">
        <v>732</v>
      </c>
      <c r="C228" s="20" t="s">
        <v>392</v>
      </c>
      <c r="D228" s="20" t="s">
        <v>393</v>
      </c>
      <c r="E228" s="20" t="s">
        <v>730</v>
      </c>
      <c r="F228" s="20"/>
      <c r="G228" s="20" t="s">
        <v>395</v>
      </c>
      <c r="H228" s="20">
        <v>1</v>
      </c>
      <c r="I228" s="22" t="s">
        <v>407</v>
      </c>
      <c r="J228" s="20" t="str">
        <f t="shared" si="3"/>
        <v>CN12</v>
      </c>
      <c r="K228" s="20" t="s">
        <v>397</v>
      </c>
      <c r="L228" s="20" t="s">
        <v>398</v>
      </c>
      <c r="M228" s="20" t="s">
        <v>399</v>
      </c>
    </row>
    <row r="229" spans="1:13" s="21" customFormat="1" x14ac:dyDescent="0.2">
      <c r="A229" s="20" t="s">
        <v>390</v>
      </c>
      <c r="B229" s="20" t="s">
        <v>733</v>
      </c>
      <c r="C229" s="20" t="s">
        <v>392</v>
      </c>
      <c r="D229" s="20" t="s">
        <v>393</v>
      </c>
      <c r="E229" s="20" t="s">
        <v>734</v>
      </c>
      <c r="F229" s="20"/>
      <c r="G229" s="20" t="s">
        <v>395</v>
      </c>
      <c r="H229" s="20">
        <v>1</v>
      </c>
      <c r="I229" s="22" t="s">
        <v>568</v>
      </c>
      <c r="J229" s="20" t="str">
        <f t="shared" si="3"/>
        <v>CN13</v>
      </c>
      <c r="K229" s="20" t="s">
        <v>397</v>
      </c>
      <c r="L229" s="20" t="s">
        <v>398</v>
      </c>
      <c r="M229" s="20" t="s">
        <v>399</v>
      </c>
    </row>
    <row r="230" spans="1:13" s="21" customFormat="1" x14ac:dyDescent="0.2">
      <c r="A230" s="20" t="s">
        <v>390</v>
      </c>
      <c r="B230" s="20" t="s">
        <v>735</v>
      </c>
      <c r="C230" s="20" t="s">
        <v>392</v>
      </c>
      <c r="D230" s="20" t="s">
        <v>393</v>
      </c>
      <c r="E230" s="20" t="s">
        <v>736</v>
      </c>
      <c r="F230" s="20"/>
      <c r="G230" s="20" t="s">
        <v>395</v>
      </c>
      <c r="H230" s="20">
        <v>1</v>
      </c>
      <c r="I230" s="20" t="s">
        <v>637</v>
      </c>
      <c r="J230" s="20" t="str">
        <f t="shared" si="3"/>
        <v>CN13</v>
      </c>
      <c r="K230" s="20" t="s">
        <v>397</v>
      </c>
      <c r="L230" s="20" t="s">
        <v>398</v>
      </c>
      <c r="M230" s="20" t="s">
        <v>399</v>
      </c>
    </row>
    <row r="231" spans="1:13" s="21" customFormat="1" x14ac:dyDescent="0.2">
      <c r="A231" s="20" t="s">
        <v>390</v>
      </c>
      <c r="B231" s="20" t="s">
        <v>737</v>
      </c>
      <c r="C231" s="20" t="s">
        <v>392</v>
      </c>
      <c r="D231" s="20" t="s">
        <v>393</v>
      </c>
      <c r="E231" s="20" t="s">
        <v>738</v>
      </c>
      <c r="F231" s="20"/>
      <c r="G231" s="20" t="s">
        <v>395</v>
      </c>
      <c r="H231" s="20">
        <v>1</v>
      </c>
      <c r="I231" s="22" t="s">
        <v>552</v>
      </c>
      <c r="J231" s="20" t="str">
        <f t="shared" si="3"/>
        <v>CN14</v>
      </c>
      <c r="K231" s="20" t="s">
        <v>397</v>
      </c>
      <c r="L231" s="20" t="s">
        <v>398</v>
      </c>
      <c r="M231" s="20" t="s">
        <v>399</v>
      </c>
    </row>
    <row r="232" spans="1:13" s="21" customFormat="1" x14ac:dyDescent="0.2">
      <c r="A232" s="20" t="s">
        <v>390</v>
      </c>
      <c r="B232" s="20" t="s">
        <v>739</v>
      </c>
      <c r="C232" s="20" t="s">
        <v>392</v>
      </c>
      <c r="D232" s="20" t="s">
        <v>393</v>
      </c>
      <c r="E232" s="20" t="s">
        <v>738</v>
      </c>
      <c r="F232" s="20"/>
      <c r="G232" s="20" t="s">
        <v>395</v>
      </c>
      <c r="H232" s="20">
        <v>1</v>
      </c>
      <c r="I232" s="22" t="s">
        <v>415</v>
      </c>
      <c r="J232" s="20" t="str">
        <f t="shared" si="3"/>
        <v>CN15</v>
      </c>
      <c r="K232" s="20" t="s">
        <v>397</v>
      </c>
      <c r="L232" s="20" t="s">
        <v>398</v>
      </c>
      <c r="M232" s="20" t="s">
        <v>399</v>
      </c>
    </row>
    <row r="233" spans="1:13" s="21" customFormat="1" x14ac:dyDescent="0.2">
      <c r="A233" s="20" t="s">
        <v>390</v>
      </c>
      <c r="B233" s="20" t="s">
        <v>740</v>
      </c>
      <c r="C233" s="20" t="s">
        <v>392</v>
      </c>
      <c r="D233" s="20" t="s">
        <v>393</v>
      </c>
      <c r="E233" s="20" t="s">
        <v>738</v>
      </c>
      <c r="F233" s="20"/>
      <c r="G233" s="20" t="s">
        <v>395</v>
      </c>
      <c r="H233" s="20">
        <v>1</v>
      </c>
      <c r="I233" s="22" t="s">
        <v>417</v>
      </c>
      <c r="J233" s="20" t="str">
        <f t="shared" si="3"/>
        <v>CN16</v>
      </c>
      <c r="K233" s="20" t="s">
        <v>397</v>
      </c>
      <c r="L233" s="20" t="s">
        <v>398</v>
      </c>
      <c r="M233" s="20" t="s">
        <v>399</v>
      </c>
    </row>
    <row r="234" spans="1:13" s="21" customFormat="1" x14ac:dyDescent="0.2">
      <c r="A234" s="20" t="s">
        <v>390</v>
      </c>
      <c r="B234" s="20" t="s">
        <v>741</v>
      </c>
      <c r="C234" s="20" t="s">
        <v>392</v>
      </c>
      <c r="D234" s="20" t="s">
        <v>393</v>
      </c>
      <c r="E234" s="20" t="s">
        <v>742</v>
      </c>
      <c r="F234" s="20"/>
      <c r="G234" s="20" t="s">
        <v>395</v>
      </c>
      <c r="H234" s="20">
        <v>1</v>
      </c>
      <c r="I234" s="22" t="s">
        <v>409</v>
      </c>
      <c r="J234" s="20" t="str">
        <f t="shared" si="3"/>
        <v>CN17</v>
      </c>
      <c r="K234" s="20" t="s">
        <v>397</v>
      </c>
      <c r="L234" s="20" t="s">
        <v>398</v>
      </c>
      <c r="M234" s="20" t="s">
        <v>399</v>
      </c>
    </row>
    <row r="235" spans="1:13" s="21" customFormat="1" x14ac:dyDescent="0.2">
      <c r="A235" s="20" t="s">
        <v>390</v>
      </c>
      <c r="B235" s="20" t="s">
        <v>743</v>
      </c>
      <c r="C235" s="20" t="s">
        <v>392</v>
      </c>
      <c r="D235" s="20" t="s">
        <v>393</v>
      </c>
      <c r="E235" s="20" t="s">
        <v>744</v>
      </c>
      <c r="F235" s="20"/>
      <c r="G235" s="20" t="s">
        <v>395</v>
      </c>
      <c r="H235" s="20">
        <v>1</v>
      </c>
      <c r="I235" s="20" t="s">
        <v>396</v>
      </c>
      <c r="J235" s="20" t="str">
        <f t="shared" si="3"/>
        <v>CN10</v>
      </c>
      <c r="K235" s="20" t="s">
        <v>397</v>
      </c>
      <c r="L235" s="20" t="s">
        <v>398</v>
      </c>
      <c r="M235" s="20" t="s">
        <v>399</v>
      </c>
    </row>
    <row r="236" spans="1:13" s="21" customFormat="1" x14ac:dyDescent="0.2">
      <c r="A236" s="20" t="s">
        <v>390</v>
      </c>
      <c r="B236" s="20" t="s">
        <v>745</v>
      </c>
      <c r="C236" s="20" t="s">
        <v>392</v>
      </c>
      <c r="D236" s="20" t="s">
        <v>393</v>
      </c>
      <c r="E236" s="20" t="s">
        <v>744</v>
      </c>
      <c r="F236" s="20"/>
      <c r="G236" s="20" t="s">
        <v>395</v>
      </c>
      <c r="H236" s="20">
        <v>1</v>
      </c>
      <c r="I236" s="22" t="s">
        <v>407</v>
      </c>
      <c r="J236" s="20" t="str">
        <f t="shared" si="3"/>
        <v>CN12</v>
      </c>
      <c r="K236" s="20" t="s">
        <v>397</v>
      </c>
      <c r="L236" s="20" t="s">
        <v>398</v>
      </c>
      <c r="M236" s="20" t="s">
        <v>399</v>
      </c>
    </row>
    <row r="237" spans="1:13" s="21" customFormat="1" x14ac:dyDescent="0.2">
      <c r="A237" s="20" t="s">
        <v>390</v>
      </c>
      <c r="B237" s="20" t="s">
        <v>746</v>
      </c>
      <c r="C237" s="20" t="s">
        <v>392</v>
      </c>
      <c r="D237" s="20" t="s">
        <v>393</v>
      </c>
      <c r="E237" s="20" t="s">
        <v>744</v>
      </c>
      <c r="F237" s="20"/>
      <c r="G237" s="20" t="s">
        <v>395</v>
      </c>
      <c r="H237" s="20">
        <v>1</v>
      </c>
      <c r="I237" s="22" t="s">
        <v>552</v>
      </c>
      <c r="J237" s="20" t="str">
        <f t="shared" si="3"/>
        <v>CN14</v>
      </c>
      <c r="K237" s="20" t="s">
        <v>397</v>
      </c>
      <c r="L237" s="20" t="s">
        <v>398</v>
      </c>
      <c r="M237" s="20" t="s">
        <v>399</v>
      </c>
    </row>
    <row r="238" spans="1:13" s="21" customFormat="1" x14ac:dyDescent="0.2">
      <c r="A238" s="20" t="s">
        <v>390</v>
      </c>
      <c r="B238" s="20" t="s">
        <v>747</v>
      </c>
      <c r="C238" s="20" t="s">
        <v>392</v>
      </c>
      <c r="D238" s="20" t="s">
        <v>393</v>
      </c>
      <c r="E238" s="20" t="s">
        <v>744</v>
      </c>
      <c r="F238" s="20"/>
      <c r="G238" s="20" t="s">
        <v>395</v>
      </c>
      <c r="H238" s="20">
        <v>1</v>
      </c>
      <c r="I238" s="22" t="s">
        <v>409</v>
      </c>
      <c r="J238" s="20" t="str">
        <f t="shared" si="3"/>
        <v>CN17</v>
      </c>
      <c r="K238" s="20" t="s">
        <v>397</v>
      </c>
      <c r="L238" s="20" t="s">
        <v>398</v>
      </c>
      <c r="M238" s="20" t="s">
        <v>399</v>
      </c>
    </row>
    <row r="239" spans="1:13" s="21" customFormat="1" x14ac:dyDescent="0.2">
      <c r="A239" s="20" t="s">
        <v>390</v>
      </c>
      <c r="B239" s="20" t="s">
        <v>748</v>
      </c>
      <c r="C239" s="20" t="s">
        <v>392</v>
      </c>
      <c r="D239" s="20" t="s">
        <v>393</v>
      </c>
      <c r="E239" s="20" t="s">
        <v>749</v>
      </c>
      <c r="F239" s="20"/>
      <c r="G239" s="20" t="s">
        <v>395</v>
      </c>
      <c r="H239" s="20">
        <v>1</v>
      </c>
      <c r="I239" s="22" t="s">
        <v>568</v>
      </c>
      <c r="J239" s="20" t="str">
        <f t="shared" si="3"/>
        <v>CN13</v>
      </c>
      <c r="K239" s="20" t="s">
        <v>397</v>
      </c>
      <c r="L239" s="20" t="s">
        <v>398</v>
      </c>
      <c r="M239" s="20" t="s">
        <v>399</v>
      </c>
    </row>
    <row r="240" spans="1:13" s="21" customFormat="1" x14ac:dyDescent="0.2">
      <c r="A240" s="20" t="s">
        <v>390</v>
      </c>
      <c r="B240" s="20" t="s">
        <v>750</v>
      </c>
      <c r="C240" s="20" t="s">
        <v>392</v>
      </c>
      <c r="D240" s="20" t="s">
        <v>393</v>
      </c>
      <c r="E240" s="20" t="s">
        <v>751</v>
      </c>
      <c r="F240" s="20"/>
      <c r="G240" s="20" t="s">
        <v>395</v>
      </c>
      <c r="H240" s="20">
        <v>1</v>
      </c>
      <c r="I240" s="20" t="s">
        <v>634</v>
      </c>
      <c r="J240" s="20" t="str">
        <f t="shared" si="3"/>
        <v>CN13</v>
      </c>
      <c r="K240" s="20" t="s">
        <v>397</v>
      </c>
      <c r="L240" s="20" t="s">
        <v>398</v>
      </c>
      <c r="M240" s="20" t="s">
        <v>399</v>
      </c>
    </row>
    <row r="241" spans="1:13" s="21" customFormat="1" x14ac:dyDescent="0.2">
      <c r="A241" s="20" t="s">
        <v>390</v>
      </c>
      <c r="B241" s="20" t="s">
        <v>752</v>
      </c>
      <c r="C241" s="20" t="s">
        <v>392</v>
      </c>
      <c r="D241" s="20" t="s">
        <v>393</v>
      </c>
      <c r="E241" s="20" t="s">
        <v>753</v>
      </c>
      <c r="F241" s="20"/>
      <c r="G241" s="20" t="s">
        <v>395</v>
      </c>
      <c r="H241" s="20">
        <v>1</v>
      </c>
      <c r="I241" s="20" t="s">
        <v>637</v>
      </c>
      <c r="J241" s="20" t="str">
        <f t="shared" si="3"/>
        <v>CN13</v>
      </c>
      <c r="K241" s="20" t="s">
        <v>397</v>
      </c>
      <c r="L241" s="20" t="s">
        <v>398</v>
      </c>
      <c r="M241" s="20" t="s">
        <v>399</v>
      </c>
    </row>
    <row r="242" spans="1:13" s="21" customFormat="1" x14ac:dyDescent="0.2">
      <c r="A242" s="20" t="s">
        <v>390</v>
      </c>
      <c r="B242" s="20" t="s">
        <v>754</v>
      </c>
      <c r="C242" s="20" t="s">
        <v>392</v>
      </c>
      <c r="D242" s="20" t="s">
        <v>393</v>
      </c>
      <c r="E242" s="20" t="s">
        <v>755</v>
      </c>
      <c r="F242" s="20"/>
      <c r="G242" s="20" t="s">
        <v>395</v>
      </c>
      <c r="H242" s="20">
        <v>1</v>
      </c>
      <c r="I242" s="22" t="s">
        <v>724</v>
      </c>
      <c r="J242" s="20" t="str">
        <f t="shared" si="3"/>
        <v>CN14</v>
      </c>
      <c r="K242" s="20" t="s">
        <v>397</v>
      </c>
      <c r="L242" s="20" t="s">
        <v>398</v>
      </c>
      <c r="M242" s="20" t="s">
        <v>399</v>
      </c>
    </row>
    <row r="243" spans="1:13" s="21" customFormat="1" x14ac:dyDescent="0.2">
      <c r="A243" s="20" t="s">
        <v>390</v>
      </c>
      <c r="B243" s="20" t="s">
        <v>756</v>
      </c>
      <c r="C243" s="20" t="s">
        <v>392</v>
      </c>
      <c r="D243" s="20" t="s">
        <v>393</v>
      </c>
      <c r="E243" s="20" t="s">
        <v>744</v>
      </c>
      <c r="F243" s="20"/>
      <c r="G243" s="20" t="s">
        <v>395</v>
      </c>
      <c r="H243" s="20">
        <v>1</v>
      </c>
      <c r="I243" s="22" t="s">
        <v>415</v>
      </c>
      <c r="J243" s="20" t="str">
        <f t="shared" si="3"/>
        <v>CN15</v>
      </c>
      <c r="K243" s="20" t="s">
        <v>397</v>
      </c>
      <c r="L243" s="20" t="s">
        <v>398</v>
      </c>
      <c r="M243" s="20" t="s">
        <v>399</v>
      </c>
    </row>
    <row r="244" spans="1:13" s="21" customFormat="1" x14ac:dyDescent="0.2">
      <c r="A244" s="20" t="s">
        <v>390</v>
      </c>
      <c r="B244" s="20" t="s">
        <v>757</v>
      </c>
      <c r="C244" s="20" t="s">
        <v>392</v>
      </c>
      <c r="D244" s="20" t="s">
        <v>393</v>
      </c>
      <c r="E244" s="20" t="s">
        <v>744</v>
      </c>
      <c r="F244" s="20"/>
      <c r="G244" s="20" t="s">
        <v>395</v>
      </c>
      <c r="H244" s="20">
        <v>1</v>
      </c>
      <c r="I244" s="22" t="s">
        <v>417</v>
      </c>
      <c r="J244" s="20" t="str">
        <f t="shared" si="3"/>
        <v>CN16</v>
      </c>
      <c r="K244" s="20" t="s">
        <v>397</v>
      </c>
      <c r="L244" s="20" t="s">
        <v>398</v>
      </c>
      <c r="M244" s="20" t="s">
        <v>399</v>
      </c>
    </row>
    <row r="245" spans="1:13" s="21" customFormat="1" x14ac:dyDescent="0.2">
      <c r="A245" s="20" t="s">
        <v>390</v>
      </c>
      <c r="B245" s="20" t="s">
        <v>758</v>
      </c>
      <c r="C245" s="20" t="s">
        <v>392</v>
      </c>
      <c r="D245" s="20" t="s">
        <v>393</v>
      </c>
      <c r="E245" s="20" t="s">
        <v>744</v>
      </c>
      <c r="F245" s="20"/>
      <c r="G245" s="20" t="s">
        <v>395</v>
      </c>
      <c r="H245" s="20">
        <v>1</v>
      </c>
      <c r="I245" s="22" t="s">
        <v>404</v>
      </c>
      <c r="J245" s="20" t="str">
        <f t="shared" si="3"/>
        <v>CN11</v>
      </c>
      <c r="K245" s="20" t="s">
        <v>397</v>
      </c>
      <c r="L245" s="20" t="s">
        <v>398</v>
      </c>
      <c r="M245" s="20" t="s">
        <v>399</v>
      </c>
    </row>
    <row r="246" spans="1:13" s="21" customFormat="1" x14ac:dyDescent="0.2">
      <c r="A246" s="20" t="s">
        <v>390</v>
      </c>
      <c r="B246" s="20" t="s">
        <v>747</v>
      </c>
      <c r="C246" s="20" t="s">
        <v>392</v>
      </c>
      <c r="D246" s="20" t="s">
        <v>393</v>
      </c>
      <c r="E246" s="20" t="s">
        <v>759</v>
      </c>
      <c r="F246" s="20"/>
      <c r="G246" s="20" t="s">
        <v>395</v>
      </c>
      <c r="H246" s="20">
        <v>1</v>
      </c>
      <c r="I246" s="22" t="s">
        <v>409</v>
      </c>
      <c r="J246" s="20" t="str">
        <f t="shared" si="3"/>
        <v>CN17</v>
      </c>
      <c r="K246" s="20" t="s">
        <v>397</v>
      </c>
      <c r="L246" s="20" t="s">
        <v>398</v>
      </c>
      <c r="M246" s="20" t="s">
        <v>399</v>
      </c>
    </row>
    <row r="247" spans="1:13" s="21" customFormat="1" x14ac:dyDescent="0.2">
      <c r="A247" s="20" t="s">
        <v>390</v>
      </c>
      <c r="B247" s="20" t="s">
        <v>760</v>
      </c>
      <c r="C247" s="20" t="s">
        <v>392</v>
      </c>
      <c r="D247" s="20" t="s">
        <v>393</v>
      </c>
      <c r="E247" s="20" t="s">
        <v>761</v>
      </c>
      <c r="F247" s="20"/>
      <c r="G247" s="20" t="s">
        <v>395</v>
      </c>
      <c r="H247" s="20">
        <v>1</v>
      </c>
      <c r="I247" s="22" t="s">
        <v>762</v>
      </c>
      <c r="J247" s="20" t="str">
        <f t="shared" si="3"/>
        <v>CN14</v>
      </c>
      <c r="K247" s="20" t="s">
        <v>397</v>
      </c>
      <c r="L247" s="20" t="s">
        <v>398</v>
      </c>
      <c r="M247" s="20" t="s">
        <v>399</v>
      </c>
    </row>
    <row r="248" spans="1:13" s="21" customFormat="1" x14ac:dyDescent="0.2">
      <c r="A248" s="20" t="s">
        <v>390</v>
      </c>
      <c r="B248" s="20" t="s">
        <v>763</v>
      </c>
      <c r="C248" s="20" t="s">
        <v>392</v>
      </c>
      <c r="D248" s="20" t="s">
        <v>393</v>
      </c>
      <c r="E248" s="20" t="s">
        <v>764</v>
      </c>
      <c r="F248" s="20"/>
      <c r="G248" s="20" t="s">
        <v>395</v>
      </c>
      <c r="H248" s="20">
        <v>1</v>
      </c>
      <c r="I248" s="22" t="s">
        <v>404</v>
      </c>
      <c r="J248" s="20" t="str">
        <f t="shared" si="3"/>
        <v>CN11</v>
      </c>
      <c r="K248" s="20" t="s">
        <v>397</v>
      </c>
      <c r="L248" s="20" t="s">
        <v>398</v>
      </c>
      <c r="M248" s="20" t="s">
        <v>399</v>
      </c>
    </row>
    <row r="249" spans="1:13" s="21" customFormat="1" x14ac:dyDescent="0.2">
      <c r="A249" s="20" t="s">
        <v>390</v>
      </c>
      <c r="B249" s="20" t="s">
        <v>765</v>
      </c>
      <c r="C249" s="20" t="s">
        <v>392</v>
      </c>
      <c r="D249" s="20" t="s">
        <v>393</v>
      </c>
      <c r="E249" s="20" t="s">
        <v>766</v>
      </c>
      <c r="F249" s="20"/>
      <c r="G249" s="20" t="s">
        <v>395</v>
      </c>
      <c r="H249" s="20">
        <v>1</v>
      </c>
      <c r="I249" s="22" t="s">
        <v>407</v>
      </c>
      <c r="J249" s="20" t="str">
        <f t="shared" si="3"/>
        <v>CN12</v>
      </c>
      <c r="K249" s="20" t="s">
        <v>397</v>
      </c>
      <c r="L249" s="20" t="s">
        <v>398</v>
      </c>
      <c r="M249" s="20" t="s">
        <v>399</v>
      </c>
    </row>
    <row r="250" spans="1:13" s="21" customFormat="1" x14ac:dyDescent="0.2">
      <c r="A250" s="20" t="s">
        <v>390</v>
      </c>
      <c r="B250" s="20" t="s">
        <v>767</v>
      </c>
      <c r="C250" s="20" t="s">
        <v>392</v>
      </c>
      <c r="D250" s="20" t="s">
        <v>393</v>
      </c>
      <c r="E250" s="20" t="s">
        <v>768</v>
      </c>
      <c r="F250" s="20"/>
      <c r="G250" s="20" t="s">
        <v>395</v>
      </c>
      <c r="H250" s="20">
        <v>1</v>
      </c>
      <c r="I250" s="22" t="s">
        <v>568</v>
      </c>
      <c r="J250" s="20" t="str">
        <f t="shared" si="3"/>
        <v>CN13</v>
      </c>
      <c r="K250" s="20" t="s">
        <v>397</v>
      </c>
      <c r="L250" s="20" t="s">
        <v>398</v>
      </c>
      <c r="M250" s="20" t="s">
        <v>399</v>
      </c>
    </row>
    <row r="251" spans="1:13" s="21" customFormat="1" x14ac:dyDescent="0.2">
      <c r="A251" s="20" t="s">
        <v>390</v>
      </c>
      <c r="B251" s="20" t="s">
        <v>769</v>
      </c>
      <c r="C251" s="20" t="s">
        <v>392</v>
      </c>
      <c r="D251" s="20" t="s">
        <v>393</v>
      </c>
      <c r="E251" s="20" t="s">
        <v>770</v>
      </c>
      <c r="F251" s="20"/>
      <c r="G251" s="20" t="s">
        <v>395</v>
      </c>
      <c r="H251" s="20">
        <v>1</v>
      </c>
      <c r="I251" s="20" t="s">
        <v>634</v>
      </c>
      <c r="J251" s="20" t="str">
        <f t="shared" si="3"/>
        <v>CN13</v>
      </c>
      <c r="K251" s="20" t="s">
        <v>397</v>
      </c>
      <c r="L251" s="20" t="s">
        <v>398</v>
      </c>
      <c r="M251" s="20" t="s">
        <v>399</v>
      </c>
    </row>
    <row r="252" spans="1:13" s="21" customFormat="1" x14ac:dyDescent="0.2">
      <c r="A252" s="20" t="s">
        <v>390</v>
      </c>
      <c r="B252" s="20" t="s">
        <v>771</v>
      </c>
      <c r="C252" s="20" t="s">
        <v>392</v>
      </c>
      <c r="D252" s="20" t="s">
        <v>393</v>
      </c>
      <c r="E252" s="20" t="s">
        <v>772</v>
      </c>
      <c r="F252" s="20"/>
      <c r="G252" s="20" t="s">
        <v>395</v>
      </c>
      <c r="H252" s="20">
        <v>1</v>
      </c>
      <c r="I252" s="22" t="s">
        <v>552</v>
      </c>
      <c r="J252" s="20" t="str">
        <f t="shared" si="3"/>
        <v>CN14</v>
      </c>
      <c r="K252" s="20" t="s">
        <v>397</v>
      </c>
      <c r="L252" s="20" t="s">
        <v>398</v>
      </c>
      <c r="M252" s="20" t="s">
        <v>399</v>
      </c>
    </row>
    <row r="253" spans="1:13" s="21" customFormat="1" x14ac:dyDescent="0.2">
      <c r="A253" s="20" t="s">
        <v>390</v>
      </c>
      <c r="B253" s="20" t="s">
        <v>773</v>
      </c>
      <c r="C253" s="20" t="s">
        <v>392</v>
      </c>
      <c r="D253" s="20" t="s">
        <v>393</v>
      </c>
      <c r="E253" s="23" t="s">
        <v>774</v>
      </c>
      <c r="F253" s="20"/>
      <c r="G253" s="20" t="s">
        <v>395</v>
      </c>
      <c r="H253" s="20">
        <v>1</v>
      </c>
      <c r="I253" s="22" t="s">
        <v>409</v>
      </c>
      <c r="J253" s="20" t="str">
        <f t="shared" si="3"/>
        <v>CN17</v>
      </c>
      <c r="K253" s="20" t="s">
        <v>397</v>
      </c>
      <c r="L253" s="20" t="s">
        <v>398</v>
      </c>
      <c r="M253" s="20" t="s">
        <v>399</v>
      </c>
    </row>
    <row r="254" spans="1:13" s="21" customFormat="1" x14ac:dyDescent="0.2">
      <c r="A254" s="20" t="s">
        <v>390</v>
      </c>
      <c r="B254" s="20" t="s">
        <v>775</v>
      </c>
      <c r="C254" s="20" t="s">
        <v>392</v>
      </c>
      <c r="D254" s="20" t="s">
        <v>393</v>
      </c>
      <c r="E254" s="20" t="s">
        <v>776</v>
      </c>
      <c r="F254" s="20"/>
      <c r="G254" s="20" t="s">
        <v>395</v>
      </c>
      <c r="H254" s="20">
        <v>1</v>
      </c>
      <c r="I254" s="22" t="s">
        <v>407</v>
      </c>
      <c r="J254" s="20" t="str">
        <f t="shared" si="3"/>
        <v>CN12</v>
      </c>
      <c r="K254" s="20" t="s">
        <v>397</v>
      </c>
      <c r="L254" s="20" t="s">
        <v>398</v>
      </c>
      <c r="M254" s="20" t="s">
        <v>542</v>
      </c>
    </row>
    <row r="255" spans="1:13" s="21" customFormat="1" x14ac:dyDescent="0.2">
      <c r="A255" s="20" t="s">
        <v>390</v>
      </c>
      <c r="B255" s="20" t="s">
        <v>777</v>
      </c>
      <c r="C255" s="20" t="s">
        <v>392</v>
      </c>
      <c r="D255" s="20" t="s">
        <v>393</v>
      </c>
      <c r="E255" s="20" t="s">
        <v>776</v>
      </c>
      <c r="F255" s="20"/>
      <c r="G255" s="20" t="s">
        <v>395</v>
      </c>
      <c r="H255" s="20">
        <v>1</v>
      </c>
      <c r="I255" s="22" t="s">
        <v>721</v>
      </c>
      <c r="J255" s="20" t="str">
        <f t="shared" si="3"/>
        <v>CN14</v>
      </c>
      <c r="K255" s="20" t="s">
        <v>397</v>
      </c>
      <c r="L255" s="20" t="s">
        <v>398</v>
      </c>
      <c r="M255" s="20" t="s">
        <v>542</v>
      </c>
    </row>
    <row r="256" spans="1:13" s="21" customFormat="1" x14ac:dyDescent="0.2">
      <c r="A256" s="20" t="s">
        <v>390</v>
      </c>
      <c r="B256" s="20" t="s">
        <v>778</v>
      </c>
      <c r="C256" s="20" t="s">
        <v>392</v>
      </c>
      <c r="D256" s="20" t="s">
        <v>393</v>
      </c>
      <c r="E256" s="20" t="s">
        <v>776</v>
      </c>
      <c r="F256" s="20"/>
      <c r="G256" s="20" t="s">
        <v>395</v>
      </c>
      <c r="H256" s="20">
        <v>1</v>
      </c>
      <c r="I256" s="22" t="s">
        <v>724</v>
      </c>
      <c r="J256" s="20" t="str">
        <f t="shared" si="3"/>
        <v>CN14</v>
      </c>
      <c r="K256" s="20" t="s">
        <v>397</v>
      </c>
      <c r="L256" s="20" t="s">
        <v>398</v>
      </c>
      <c r="M256" s="20" t="s">
        <v>542</v>
      </c>
    </row>
    <row r="257" spans="1:13" s="21" customFormat="1" x14ac:dyDescent="0.2">
      <c r="A257" s="20" t="s">
        <v>390</v>
      </c>
      <c r="B257" s="20" t="s">
        <v>779</v>
      </c>
      <c r="C257" s="20" t="s">
        <v>392</v>
      </c>
      <c r="D257" s="20" t="s">
        <v>393</v>
      </c>
      <c r="E257" s="20" t="s">
        <v>776</v>
      </c>
      <c r="F257" s="20"/>
      <c r="G257" s="20" t="s">
        <v>395</v>
      </c>
      <c r="H257" s="20">
        <v>1</v>
      </c>
      <c r="I257" s="22" t="s">
        <v>415</v>
      </c>
      <c r="J257" s="20" t="str">
        <f t="shared" si="3"/>
        <v>CN15</v>
      </c>
      <c r="K257" s="20" t="s">
        <v>397</v>
      </c>
      <c r="L257" s="20" t="s">
        <v>398</v>
      </c>
      <c r="M257" s="20" t="s">
        <v>542</v>
      </c>
    </row>
    <row r="258" spans="1:13" s="21" customFormat="1" x14ac:dyDescent="0.2">
      <c r="A258" s="20" t="s">
        <v>390</v>
      </c>
      <c r="B258" s="20" t="s">
        <v>780</v>
      </c>
      <c r="C258" s="20" t="s">
        <v>392</v>
      </c>
      <c r="D258" s="20" t="s">
        <v>393</v>
      </c>
      <c r="E258" s="20" t="s">
        <v>776</v>
      </c>
      <c r="F258" s="20"/>
      <c r="G258" s="20" t="s">
        <v>395</v>
      </c>
      <c r="H258" s="20">
        <v>1</v>
      </c>
      <c r="I258" s="22" t="s">
        <v>417</v>
      </c>
      <c r="J258" s="20" t="str">
        <f t="shared" si="3"/>
        <v>CN16</v>
      </c>
      <c r="K258" s="20" t="s">
        <v>397</v>
      </c>
      <c r="L258" s="20" t="s">
        <v>398</v>
      </c>
      <c r="M258" s="20" t="s">
        <v>542</v>
      </c>
    </row>
    <row r="259" spans="1:13" s="21" customFormat="1" x14ac:dyDescent="0.2">
      <c r="A259" s="20" t="s">
        <v>390</v>
      </c>
      <c r="B259" s="20" t="s">
        <v>781</v>
      </c>
      <c r="C259" s="20" t="s">
        <v>392</v>
      </c>
      <c r="D259" s="20" t="s">
        <v>393</v>
      </c>
      <c r="E259" s="20" t="s">
        <v>776</v>
      </c>
      <c r="F259" s="20"/>
      <c r="G259" s="20" t="s">
        <v>395</v>
      </c>
      <c r="H259" s="20">
        <v>1</v>
      </c>
      <c r="I259" s="22" t="s">
        <v>404</v>
      </c>
      <c r="J259" s="20" t="str">
        <f t="shared" ref="J259:J323" si="4">"CN"&amp;LEFT(B259,2)</f>
        <v>CN11</v>
      </c>
      <c r="K259" s="20" t="s">
        <v>397</v>
      </c>
      <c r="L259" s="20" t="s">
        <v>398</v>
      </c>
      <c r="M259" s="20" t="s">
        <v>542</v>
      </c>
    </row>
    <row r="260" spans="1:13" s="21" customFormat="1" x14ac:dyDescent="0.2">
      <c r="A260" s="20" t="s">
        <v>390</v>
      </c>
      <c r="B260" s="20" t="s">
        <v>782</v>
      </c>
      <c r="C260" s="20" t="s">
        <v>392</v>
      </c>
      <c r="D260" s="20" t="s">
        <v>393</v>
      </c>
      <c r="E260" s="20" t="s">
        <v>783</v>
      </c>
      <c r="F260" s="20"/>
      <c r="G260" s="20" t="s">
        <v>395</v>
      </c>
      <c r="H260" s="20">
        <v>1</v>
      </c>
      <c r="I260" s="20" t="s">
        <v>637</v>
      </c>
      <c r="J260" s="20" t="str">
        <f t="shared" si="4"/>
        <v>CN13</v>
      </c>
      <c r="K260" s="20" t="s">
        <v>397</v>
      </c>
      <c r="L260" s="20" t="s">
        <v>398</v>
      </c>
      <c r="M260" s="20" t="s">
        <v>542</v>
      </c>
    </row>
    <row r="261" spans="1:13" s="21" customFormat="1" x14ac:dyDescent="0.2">
      <c r="A261" s="20" t="s">
        <v>390</v>
      </c>
      <c r="B261" s="20" t="s">
        <v>784</v>
      </c>
      <c r="C261" s="20" t="s">
        <v>392</v>
      </c>
      <c r="D261" s="20" t="s">
        <v>393</v>
      </c>
      <c r="E261" s="20" t="s">
        <v>785</v>
      </c>
      <c r="F261" s="20"/>
      <c r="G261" s="20" t="s">
        <v>395</v>
      </c>
      <c r="H261" s="20">
        <v>1</v>
      </c>
      <c r="I261" s="20" t="s">
        <v>640</v>
      </c>
      <c r="J261" s="20" t="str">
        <f t="shared" si="4"/>
        <v>CN13</v>
      </c>
      <c r="K261" s="20" t="s">
        <v>397</v>
      </c>
      <c r="L261" s="20" t="s">
        <v>398</v>
      </c>
      <c r="M261" s="20" t="s">
        <v>542</v>
      </c>
    </row>
    <row r="262" spans="1:13" s="21" customFormat="1" x14ac:dyDescent="0.2">
      <c r="A262" s="20" t="s">
        <v>390</v>
      </c>
      <c r="B262" s="20" t="s">
        <v>786</v>
      </c>
      <c r="C262" s="20" t="s">
        <v>392</v>
      </c>
      <c r="D262" s="20" t="s">
        <v>393</v>
      </c>
      <c r="E262" s="20" t="s">
        <v>787</v>
      </c>
      <c r="F262" s="20"/>
      <c r="G262" s="20" t="s">
        <v>395</v>
      </c>
      <c r="H262" s="20">
        <v>1</v>
      </c>
      <c r="I262" s="20" t="s">
        <v>682</v>
      </c>
      <c r="J262" s="20" t="str">
        <f t="shared" si="4"/>
        <v>CN13</v>
      </c>
      <c r="K262" s="20" t="s">
        <v>397</v>
      </c>
      <c r="L262" s="20" t="s">
        <v>398</v>
      </c>
      <c r="M262" s="20" t="s">
        <v>542</v>
      </c>
    </row>
    <row r="263" spans="1:13" s="21" customFormat="1" x14ac:dyDescent="0.2">
      <c r="A263" s="20" t="s">
        <v>390</v>
      </c>
      <c r="B263" s="20" t="s">
        <v>788</v>
      </c>
      <c r="C263" s="20" t="s">
        <v>392</v>
      </c>
      <c r="D263" s="20" t="s">
        <v>393</v>
      </c>
      <c r="E263" s="20" t="s">
        <v>789</v>
      </c>
      <c r="F263" s="20"/>
      <c r="G263" s="20" t="s">
        <v>395</v>
      </c>
      <c r="H263" s="20">
        <v>1</v>
      </c>
      <c r="I263" s="20" t="s">
        <v>646</v>
      </c>
      <c r="J263" s="20" t="str">
        <f t="shared" si="4"/>
        <v>CN13</v>
      </c>
      <c r="K263" s="20" t="s">
        <v>397</v>
      </c>
      <c r="L263" s="20" t="s">
        <v>398</v>
      </c>
      <c r="M263" s="20" t="s">
        <v>542</v>
      </c>
    </row>
    <row r="264" spans="1:13" s="21" customFormat="1" x14ac:dyDescent="0.2">
      <c r="A264" s="20" t="s">
        <v>390</v>
      </c>
      <c r="B264" s="20" t="s">
        <v>790</v>
      </c>
      <c r="C264" s="20" t="s">
        <v>392</v>
      </c>
      <c r="D264" s="20" t="s">
        <v>393</v>
      </c>
      <c r="E264" s="20" t="s">
        <v>791</v>
      </c>
      <c r="F264" s="20"/>
      <c r="G264" s="20" t="s">
        <v>395</v>
      </c>
      <c r="H264" s="20">
        <v>1</v>
      </c>
      <c r="I264" s="20" t="s">
        <v>396</v>
      </c>
      <c r="J264" s="20" t="str">
        <f t="shared" si="4"/>
        <v>CN10</v>
      </c>
      <c r="K264" s="20" t="s">
        <v>541</v>
      </c>
      <c r="L264" s="20" t="s">
        <v>398</v>
      </c>
      <c r="M264" s="20" t="s">
        <v>542</v>
      </c>
    </row>
    <row r="265" spans="1:13" s="21" customFormat="1" x14ac:dyDescent="0.2">
      <c r="A265" s="20" t="s">
        <v>390</v>
      </c>
      <c r="B265" s="20" t="s">
        <v>792</v>
      </c>
      <c r="C265" s="20" t="s">
        <v>392</v>
      </c>
      <c r="D265" s="20" t="s">
        <v>393</v>
      </c>
      <c r="E265" s="20" t="s">
        <v>791</v>
      </c>
      <c r="F265" s="20"/>
      <c r="G265" s="20" t="s">
        <v>395</v>
      </c>
      <c r="H265" s="20">
        <v>1</v>
      </c>
      <c r="I265" s="22" t="s">
        <v>404</v>
      </c>
      <c r="J265" s="20" t="str">
        <f t="shared" si="4"/>
        <v>CN11</v>
      </c>
      <c r="K265" s="20" t="s">
        <v>541</v>
      </c>
      <c r="L265" s="20" t="s">
        <v>398</v>
      </c>
      <c r="M265" s="20" t="s">
        <v>542</v>
      </c>
    </row>
    <row r="266" spans="1:13" s="21" customFormat="1" x14ac:dyDescent="0.2">
      <c r="A266" s="20" t="s">
        <v>390</v>
      </c>
      <c r="B266" s="20" t="s">
        <v>793</v>
      </c>
      <c r="C266" s="20" t="s">
        <v>392</v>
      </c>
      <c r="D266" s="20" t="s">
        <v>393</v>
      </c>
      <c r="E266" s="20" t="s">
        <v>791</v>
      </c>
      <c r="F266" s="20"/>
      <c r="G266" s="20" t="s">
        <v>395</v>
      </c>
      <c r="H266" s="20">
        <v>1</v>
      </c>
      <c r="I266" s="22" t="s">
        <v>407</v>
      </c>
      <c r="J266" s="20" t="str">
        <f t="shared" si="4"/>
        <v>CN12</v>
      </c>
      <c r="K266" s="20" t="s">
        <v>541</v>
      </c>
      <c r="L266" s="20" t="s">
        <v>398</v>
      </c>
      <c r="M266" s="20" t="s">
        <v>542</v>
      </c>
    </row>
    <row r="267" spans="1:13" s="21" customFormat="1" x14ac:dyDescent="0.2">
      <c r="A267" s="20" t="s">
        <v>390</v>
      </c>
      <c r="B267" s="20" t="s">
        <v>794</v>
      </c>
      <c r="C267" s="20" t="s">
        <v>392</v>
      </c>
      <c r="D267" s="20" t="s">
        <v>393</v>
      </c>
      <c r="E267" s="20" t="s">
        <v>791</v>
      </c>
      <c r="F267" s="20"/>
      <c r="G267" s="20" t="s">
        <v>395</v>
      </c>
      <c r="H267" s="20">
        <v>1</v>
      </c>
      <c r="I267" s="22" t="s">
        <v>552</v>
      </c>
      <c r="J267" s="20" t="str">
        <f t="shared" si="4"/>
        <v>CN14</v>
      </c>
      <c r="K267" s="20" t="s">
        <v>541</v>
      </c>
      <c r="L267" s="20" t="s">
        <v>398</v>
      </c>
      <c r="M267" s="20" t="s">
        <v>542</v>
      </c>
    </row>
    <row r="268" spans="1:13" s="21" customFormat="1" x14ac:dyDescent="0.2">
      <c r="A268" s="20" t="s">
        <v>390</v>
      </c>
      <c r="B268" s="20" t="s">
        <v>795</v>
      </c>
      <c r="C268" s="20" t="s">
        <v>392</v>
      </c>
      <c r="D268" s="20" t="s">
        <v>393</v>
      </c>
      <c r="E268" s="20" t="s">
        <v>791</v>
      </c>
      <c r="F268" s="20"/>
      <c r="G268" s="20" t="s">
        <v>395</v>
      </c>
      <c r="H268" s="20">
        <v>1</v>
      </c>
      <c r="I268" s="22" t="s">
        <v>409</v>
      </c>
      <c r="J268" s="20" t="str">
        <f t="shared" si="4"/>
        <v>CN17</v>
      </c>
      <c r="K268" s="20" t="s">
        <v>541</v>
      </c>
      <c r="L268" s="20" t="s">
        <v>398</v>
      </c>
      <c r="M268" s="20" t="s">
        <v>542</v>
      </c>
    </row>
    <row r="269" spans="1:13" s="21" customFormat="1" x14ac:dyDescent="0.2">
      <c r="A269" s="20" t="s">
        <v>390</v>
      </c>
      <c r="B269" s="20" t="s">
        <v>796</v>
      </c>
      <c r="C269" s="20" t="s">
        <v>392</v>
      </c>
      <c r="D269" s="20" t="s">
        <v>393</v>
      </c>
      <c r="E269" s="20" t="s">
        <v>797</v>
      </c>
      <c r="F269" s="20"/>
      <c r="G269" s="20" t="s">
        <v>395</v>
      </c>
      <c r="H269" s="20">
        <v>1</v>
      </c>
      <c r="I269" s="22" t="s">
        <v>568</v>
      </c>
      <c r="J269" s="20" t="str">
        <f t="shared" si="4"/>
        <v>CN13</v>
      </c>
      <c r="K269" s="20" t="s">
        <v>541</v>
      </c>
      <c r="L269" s="20" t="s">
        <v>398</v>
      </c>
      <c r="M269" s="20" t="s">
        <v>542</v>
      </c>
    </row>
    <row r="270" spans="1:13" s="21" customFormat="1" x14ac:dyDescent="0.2">
      <c r="A270" s="20" t="s">
        <v>390</v>
      </c>
      <c r="B270" s="20" t="s">
        <v>798</v>
      </c>
      <c r="C270" s="20" t="s">
        <v>392</v>
      </c>
      <c r="D270" s="20" t="s">
        <v>393</v>
      </c>
      <c r="E270" s="20" t="s">
        <v>799</v>
      </c>
      <c r="F270" s="20"/>
      <c r="G270" s="20" t="s">
        <v>395</v>
      </c>
      <c r="H270" s="20">
        <v>1</v>
      </c>
      <c r="I270" s="20" t="s">
        <v>634</v>
      </c>
      <c r="J270" s="20" t="str">
        <f t="shared" si="4"/>
        <v>CN13</v>
      </c>
      <c r="K270" s="20" t="s">
        <v>541</v>
      </c>
      <c r="L270" s="20" t="s">
        <v>398</v>
      </c>
      <c r="M270" s="20" t="s">
        <v>542</v>
      </c>
    </row>
    <row r="271" spans="1:13" s="21" customFormat="1" x14ac:dyDescent="0.2">
      <c r="A271" s="20" t="s">
        <v>390</v>
      </c>
      <c r="B271" s="20" t="s">
        <v>800</v>
      </c>
      <c r="C271" s="20" t="s">
        <v>392</v>
      </c>
      <c r="D271" s="20" t="s">
        <v>393</v>
      </c>
      <c r="E271" s="20" t="s">
        <v>791</v>
      </c>
      <c r="F271" s="20"/>
      <c r="G271" s="20" t="s">
        <v>395</v>
      </c>
      <c r="H271" s="20">
        <v>1</v>
      </c>
      <c r="I271" s="22" t="s">
        <v>415</v>
      </c>
      <c r="J271" s="20" t="str">
        <f t="shared" si="4"/>
        <v>CN15</v>
      </c>
      <c r="K271" s="20" t="s">
        <v>541</v>
      </c>
      <c r="L271" s="20" t="s">
        <v>398</v>
      </c>
      <c r="M271" s="20" t="s">
        <v>542</v>
      </c>
    </row>
    <row r="272" spans="1:13" s="21" customFormat="1" x14ac:dyDescent="0.2">
      <c r="A272" s="20" t="s">
        <v>390</v>
      </c>
      <c r="B272" s="20" t="s">
        <v>801</v>
      </c>
      <c r="C272" s="20" t="s">
        <v>392</v>
      </c>
      <c r="D272" s="20" t="s">
        <v>393</v>
      </c>
      <c r="E272" s="20" t="s">
        <v>791</v>
      </c>
      <c r="F272" s="20"/>
      <c r="G272" s="20" t="s">
        <v>395</v>
      </c>
      <c r="H272" s="20">
        <v>1</v>
      </c>
      <c r="I272" s="22" t="s">
        <v>417</v>
      </c>
      <c r="J272" s="20" t="str">
        <f t="shared" si="4"/>
        <v>CN16</v>
      </c>
      <c r="K272" s="20" t="s">
        <v>541</v>
      </c>
      <c r="L272" s="20" t="s">
        <v>398</v>
      </c>
      <c r="M272" s="20" t="s">
        <v>542</v>
      </c>
    </row>
    <row r="273" spans="1:13" s="21" customFormat="1" x14ac:dyDescent="0.2">
      <c r="A273" s="20" t="s">
        <v>390</v>
      </c>
      <c r="B273" s="20" t="s">
        <v>802</v>
      </c>
      <c r="C273" s="20" t="s">
        <v>392</v>
      </c>
      <c r="D273" s="20" t="s">
        <v>393</v>
      </c>
      <c r="E273" s="20" t="s">
        <v>803</v>
      </c>
      <c r="F273" s="20"/>
      <c r="G273" s="20" t="s">
        <v>395</v>
      </c>
      <c r="H273" s="20">
        <v>1</v>
      </c>
      <c r="I273" s="20" t="s">
        <v>396</v>
      </c>
      <c r="J273" s="20" t="str">
        <f t="shared" si="4"/>
        <v>CN10</v>
      </c>
      <c r="K273" s="20" t="s">
        <v>397</v>
      </c>
      <c r="L273" s="20" t="s">
        <v>398</v>
      </c>
      <c r="M273" s="20" t="s">
        <v>399</v>
      </c>
    </row>
    <row r="274" spans="1:13" s="21" customFormat="1" x14ac:dyDescent="0.2">
      <c r="A274" s="20" t="s">
        <v>390</v>
      </c>
      <c r="B274" s="20" t="s">
        <v>804</v>
      </c>
      <c r="C274" s="20" t="s">
        <v>392</v>
      </c>
      <c r="D274" s="20" t="s">
        <v>393</v>
      </c>
      <c r="E274" s="20" t="s">
        <v>803</v>
      </c>
      <c r="F274" s="20"/>
      <c r="G274" s="20" t="s">
        <v>395</v>
      </c>
      <c r="H274" s="20">
        <v>1</v>
      </c>
      <c r="I274" s="22" t="s">
        <v>404</v>
      </c>
      <c r="J274" s="20" t="str">
        <f t="shared" si="4"/>
        <v>CN11</v>
      </c>
      <c r="K274" s="20" t="s">
        <v>397</v>
      </c>
      <c r="L274" s="20" t="s">
        <v>398</v>
      </c>
      <c r="M274" s="20" t="s">
        <v>399</v>
      </c>
    </row>
    <row r="275" spans="1:13" s="21" customFormat="1" x14ac:dyDescent="0.2">
      <c r="A275" s="20" t="s">
        <v>390</v>
      </c>
      <c r="B275" s="20" t="s">
        <v>805</v>
      </c>
      <c r="C275" s="20" t="s">
        <v>392</v>
      </c>
      <c r="D275" s="20" t="s">
        <v>393</v>
      </c>
      <c r="E275" s="20" t="s">
        <v>806</v>
      </c>
      <c r="F275" s="20"/>
      <c r="G275" s="20" t="s">
        <v>395</v>
      </c>
      <c r="H275" s="20">
        <v>1</v>
      </c>
      <c r="I275" s="22" t="s">
        <v>407</v>
      </c>
      <c r="J275" s="20" t="str">
        <f t="shared" si="4"/>
        <v>CN12</v>
      </c>
      <c r="K275" s="20" t="s">
        <v>397</v>
      </c>
      <c r="L275" s="20" t="s">
        <v>398</v>
      </c>
      <c r="M275" s="20" t="s">
        <v>399</v>
      </c>
    </row>
    <row r="276" spans="1:13" s="21" customFormat="1" x14ac:dyDescent="0.2">
      <c r="A276" s="20" t="s">
        <v>390</v>
      </c>
      <c r="B276" s="20" t="s">
        <v>807</v>
      </c>
      <c r="C276" s="20" t="s">
        <v>392</v>
      </c>
      <c r="D276" s="20" t="s">
        <v>393</v>
      </c>
      <c r="E276" s="20" t="s">
        <v>803</v>
      </c>
      <c r="F276" s="20"/>
      <c r="G276" s="20" t="s">
        <v>395</v>
      </c>
      <c r="H276" s="20">
        <v>1</v>
      </c>
      <c r="I276" s="22" t="s">
        <v>568</v>
      </c>
      <c r="J276" s="20" t="str">
        <f t="shared" si="4"/>
        <v>CN13</v>
      </c>
      <c r="K276" s="20" t="s">
        <v>397</v>
      </c>
      <c r="L276" s="20" t="s">
        <v>398</v>
      </c>
      <c r="M276" s="20" t="s">
        <v>399</v>
      </c>
    </row>
    <row r="277" spans="1:13" s="21" customFormat="1" x14ac:dyDescent="0.2">
      <c r="A277" s="20" t="s">
        <v>390</v>
      </c>
      <c r="B277" s="20" t="s">
        <v>808</v>
      </c>
      <c r="C277" s="20" t="s">
        <v>392</v>
      </c>
      <c r="D277" s="20" t="s">
        <v>393</v>
      </c>
      <c r="E277" s="20" t="s">
        <v>803</v>
      </c>
      <c r="F277" s="20"/>
      <c r="G277" s="20" t="s">
        <v>395</v>
      </c>
      <c r="H277" s="20">
        <v>1</v>
      </c>
      <c r="I277" s="22" t="s">
        <v>409</v>
      </c>
      <c r="J277" s="20" t="str">
        <f t="shared" si="4"/>
        <v>CN17</v>
      </c>
      <c r="K277" s="20" t="s">
        <v>397</v>
      </c>
      <c r="L277" s="20" t="s">
        <v>398</v>
      </c>
      <c r="M277" s="20" t="s">
        <v>399</v>
      </c>
    </row>
    <row r="278" spans="1:13" s="21" customFormat="1" x14ac:dyDescent="0.2">
      <c r="A278" s="20" t="s">
        <v>390</v>
      </c>
      <c r="B278" s="20" t="s">
        <v>809</v>
      </c>
      <c r="C278" s="20" t="s">
        <v>392</v>
      </c>
      <c r="D278" s="20" t="s">
        <v>393</v>
      </c>
      <c r="E278" s="20" t="s">
        <v>810</v>
      </c>
      <c r="F278" s="20"/>
      <c r="G278" s="20" t="s">
        <v>395</v>
      </c>
      <c r="H278" s="20">
        <v>1</v>
      </c>
      <c r="I278" s="20" t="s">
        <v>396</v>
      </c>
      <c r="J278" s="20" t="str">
        <f t="shared" si="4"/>
        <v>CN10</v>
      </c>
      <c r="K278" s="20" t="s">
        <v>397</v>
      </c>
      <c r="L278" s="20" t="s">
        <v>398</v>
      </c>
      <c r="M278" s="20" t="s">
        <v>399</v>
      </c>
    </row>
    <row r="279" spans="1:13" s="21" customFormat="1" x14ac:dyDescent="0.2">
      <c r="A279" s="20" t="s">
        <v>390</v>
      </c>
      <c r="B279" s="20" t="s">
        <v>811</v>
      </c>
      <c r="C279" s="20" t="s">
        <v>392</v>
      </c>
      <c r="D279" s="20" t="s">
        <v>393</v>
      </c>
      <c r="E279" s="20" t="s">
        <v>812</v>
      </c>
      <c r="F279" s="20"/>
      <c r="G279" s="20" t="s">
        <v>395</v>
      </c>
      <c r="H279" s="20">
        <v>1</v>
      </c>
      <c r="I279" s="20" t="s">
        <v>396</v>
      </c>
      <c r="J279" s="20" t="str">
        <f t="shared" si="4"/>
        <v>CN10</v>
      </c>
      <c r="K279" s="20" t="s">
        <v>397</v>
      </c>
      <c r="L279" s="20" t="s">
        <v>398</v>
      </c>
      <c r="M279" s="20" t="s">
        <v>399</v>
      </c>
    </row>
    <row r="280" spans="1:13" s="21" customFormat="1" x14ac:dyDescent="0.2">
      <c r="A280" s="20" t="s">
        <v>390</v>
      </c>
      <c r="B280" s="20" t="s">
        <v>813</v>
      </c>
      <c r="C280" s="20" t="s">
        <v>392</v>
      </c>
      <c r="D280" s="20" t="s">
        <v>393</v>
      </c>
      <c r="E280" s="20" t="s">
        <v>814</v>
      </c>
      <c r="F280" s="20"/>
      <c r="G280" s="20" t="s">
        <v>395</v>
      </c>
      <c r="H280" s="20">
        <v>1</v>
      </c>
      <c r="I280" s="20" t="s">
        <v>396</v>
      </c>
      <c r="J280" s="20" t="str">
        <f t="shared" si="4"/>
        <v>CN10</v>
      </c>
      <c r="K280" s="20" t="s">
        <v>541</v>
      </c>
      <c r="L280" s="20" t="s">
        <v>398</v>
      </c>
      <c r="M280" s="20" t="s">
        <v>542</v>
      </c>
    </row>
    <row r="281" spans="1:13" s="21" customFormat="1" x14ac:dyDescent="0.2">
      <c r="A281" s="20" t="s">
        <v>390</v>
      </c>
      <c r="B281" s="20" t="s">
        <v>815</v>
      </c>
      <c r="C281" s="20" t="s">
        <v>392</v>
      </c>
      <c r="D281" s="20" t="s">
        <v>393</v>
      </c>
      <c r="E281" s="20" t="s">
        <v>814</v>
      </c>
      <c r="F281" s="20"/>
      <c r="G281" s="20" t="s">
        <v>395</v>
      </c>
      <c r="H281" s="20">
        <v>1</v>
      </c>
      <c r="I281" s="22" t="s">
        <v>552</v>
      </c>
      <c r="J281" s="20" t="str">
        <f t="shared" si="4"/>
        <v>CN14</v>
      </c>
      <c r="K281" s="20" t="s">
        <v>541</v>
      </c>
      <c r="L281" s="20" t="s">
        <v>398</v>
      </c>
      <c r="M281" s="20" t="s">
        <v>542</v>
      </c>
    </row>
    <row r="282" spans="1:13" s="21" customFormat="1" x14ac:dyDescent="0.2">
      <c r="A282" s="20" t="s">
        <v>390</v>
      </c>
      <c r="B282" s="20" t="s">
        <v>816</v>
      </c>
      <c r="C282" s="20" t="s">
        <v>392</v>
      </c>
      <c r="D282" s="20" t="s">
        <v>393</v>
      </c>
      <c r="E282" s="20" t="s">
        <v>817</v>
      </c>
      <c r="F282" s="20"/>
      <c r="G282" s="20" t="s">
        <v>395</v>
      </c>
      <c r="H282" s="20">
        <v>1</v>
      </c>
      <c r="I282" s="22" t="s">
        <v>404</v>
      </c>
      <c r="J282" s="20" t="str">
        <f t="shared" si="4"/>
        <v>CN11</v>
      </c>
      <c r="K282" s="20" t="s">
        <v>397</v>
      </c>
      <c r="L282" s="20" t="s">
        <v>398</v>
      </c>
      <c r="M282" s="20" t="s">
        <v>399</v>
      </c>
    </row>
    <row r="283" spans="1:13" s="21" customFormat="1" x14ac:dyDescent="0.2">
      <c r="A283" s="20" t="s">
        <v>390</v>
      </c>
      <c r="B283" s="20" t="s">
        <v>818</v>
      </c>
      <c r="C283" s="20" t="s">
        <v>392</v>
      </c>
      <c r="D283" s="20" t="s">
        <v>393</v>
      </c>
      <c r="E283" s="20" t="s">
        <v>819</v>
      </c>
      <c r="F283" s="20"/>
      <c r="G283" s="20" t="s">
        <v>395</v>
      </c>
      <c r="H283" s="20">
        <v>1</v>
      </c>
      <c r="I283" s="22" t="s">
        <v>404</v>
      </c>
      <c r="J283" s="20" t="str">
        <f t="shared" si="4"/>
        <v>CN11</v>
      </c>
      <c r="K283" s="20" t="s">
        <v>397</v>
      </c>
      <c r="L283" s="20" t="s">
        <v>398</v>
      </c>
      <c r="M283" s="20" t="s">
        <v>399</v>
      </c>
    </row>
    <row r="284" spans="1:13" s="21" customFormat="1" x14ac:dyDescent="0.2">
      <c r="A284" s="20" t="s">
        <v>390</v>
      </c>
      <c r="B284" s="20" t="s">
        <v>820</v>
      </c>
      <c r="C284" s="20" t="s">
        <v>392</v>
      </c>
      <c r="D284" s="20" t="s">
        <v>393</v>
      </c>
      <c r="E284" s="20" t="s">
        <v>821</v>
      </c>
      <c r="F284" s="20"/>
      <c r="G284" s="20" t="s">
        <v>395</v>
      </c>
      <c r="H284" s="20">
        <v>1</v>
      </c>
      <c r="I284" s="22" t="s">
        <v>409</v>
      </c>
      <c r="J284" s="20" t="str">
        <f t="shared" si="4"/>
        <v>CN17</v>
      </c>
      <c r="K284" s="20" t="s">
        <v>397</v>
      </c>
      <c r="L284" s="20" t="s">
        <v>398</v>
      </c>
      <c r="M284" s="20" t="s">
        <v>399</v>
      </c>
    </row>
    <row r="285" spans="1:13" s="21" customFormat="1" x14ac:dyDescent="0.2">
      <c r="A285" s="20" t="s">
        <v>390</v>
      </c>
      <c r="B285" s="20" t="s">
        <v>822</v>
      </c>
      <c r="C285" s="20" t="s">
        <v>392</v>
      </c>
      <c r="D285" s="20" t="s">
        <v>393</v>
      </c>
      <c r="E285" s="20" t="s">
        <v>823</v>
      </c>
      <c r="F285" s="20"/>
      <c r="G285" s="20" t="s">
        <v>395</v>
      </c>
      <c r="H285" s="20">
        <v>1</v>
      </c>
      <c r="I285" s="22" t="s">
        <v>404</v>
      </c>
      <c r="J285" s="20" t="str">
        <f t="shared" si="4"/>
        <v>CN11</v>
      </c>
      <c r="K285" s="20" t="s">
        <v>397</v>
      </c>
      <c r="L285" s="20" t="s">
        <v>398</v>
      </c>
      <c r="M285" s="20" t="s">
        <v>399</v>
      </c>
    </row>
    <row r="286" spans="1:13" s="21" customFormat="1" x14ac:dyDescent="0.2">
      <c r="A286" s="20" t="s">
        <v>390</v>
      </c>
      <c r="B286" s="20" t="s">
        <v>824</v>
      </c>
      <c r="C286" s="20" t="s">
        <v>392</v>
      </c>
      <c r="D286" s="20" t="s">
        <v>393</v>
      </c>
      <c r="E286" s="20" t="s">
        <v>823</v>
      </c>
      <c r="F286" s="20"/>
      <c r="G286" s="20" t="s">
        <v>395</v>
      </c>
      <c r="H286" s="20">
        <v>1</v>
      </c>
      <c r="I286" s="22" t="s">
        <v>568</v>
      </c>
      <c r="J286" s="20" t="str">
        <f t="shared" si="4"/>
        <v>CN13</v>
      </c>
      <c r="K286" s="20" t="s">
        <v>397</v>
      </c>
      <c r="L286" s="20" t="s">
        <v>398</v>
      </c>
      <c r="M286" s="20" t="s">
        <v>399</v>
      </c>
    </row>
    <row r="287" spans="1:13" s="21" customFormat="1" x14ac:dyDescent="0.2">
      <c r="A287" s="20" t="s">
        <v>390</v>
      </c>
      <c r="B287" s="20" t="s">
        <v>825</v>
      </c>
      <c r="C287" s="20" t="s">
        <v>392</v>
      </c>
      <c r="D287" s="20" t="s">
        <v>393</v>
      </c>
      <c r="E287" s="20" t="s">
        <v>823</v>
      </c>
      <c r="F287" s="20"/>
      <c r="G287" s="20" t="s">
        <v>395</v>
      </c>
      <c r="H287" s="20">
        <v>1</v>
      </c>
      <c r="I287" s="22" t="s">
        <v>407</v>
      </c>
      <c r="J287" s="20" t="str">
        <f t="shared" si="4"/>
        <v>CN12</v>
      </c>
      <c r="K287" s="20" t="s">
        <v>397</v>
      </c>
      <c r="L287" s="20" t="s">
        <v>398</v>
      </c>
      <c r="M287" s="20" t="s">
        <v>399</v>
      </c>
    </row>
    <row r="288" spans="1:13" s="21" customFormat="1" x14ac:dyDescent="0.2">
      <c r="A288" s="20" t="s">
        <v>390</v>
      </c>
      <c r="B288" s="20" t="s">
        <v>826</v>
      </c>
      <c r="C288" s="20" t="s">
        <v>392</v>
      </c>
      <c r="D288" s="20" t="s">
        <v>393</v>
      </c>
      <c r="E288" s="20" t="s">
        <v>823</v>
      </c>
      <c r="F288" s="20"/>
      <c r="G288" s="20" t="s">
        <v>395</v>
      </c>
      <c r="H288" s="20">
        <v>1</v>
      </c>
      <c r="I288" s="22" t="s">
        <v>409</v>
      </c>
      <c r="J288" s="20" t="str">
        <f t="shared" si="4"/>
        <v>CN17</v>
      </c>
      <c r="K288" s="20" t="s">
        <v>397</v>
      </c>
      <c r="L288" s="20" t="s">
        <v>398</v>
      </c>
      <c r="M288" s="20" t="s">
        <v>399</v>
      </c>
    </row>
    <row r="289" spans="1:13" s="21" customFormat="1" x14ac:dyDescent="0.2">
      <c r="A289" s="20" t="s">
        <v>390</v>
      </c>
      <c r="B289" s="20" t="s">
        <v>827</v>
      </c>
      <c r="C289" s="20" t="s">
        <v>392</v>
      </c>
      <c r="D289" s="20" t="s">
        <v>393</v>
      </c>
      <c r="E289" s="20" t="s">
        <v>823</v>
      </c>
      <c r="F289" s="20"/>
      <c r="G289" s="20" t="s">
        <v>395</v>
      </c>
      <c r="H289" s="20">
        <v>1</v>
      </c>
      <c r="I289" s="22" t="s">
        <v>552</v>
      </c>
      <c r="J289" s="20" t="str">
        <f t="shared" si="4"/>
        <v>CN14</v>
      </c>
      <c r="K289" s="20" t="s">
        <v>397</v>
      </c>
      <c r="L289" s="20" t="s">
        <v>398</v>
      </c>
      <c r="M289" s="20" t="s">
        <v>399</v>
      </c>
    </row>
    <row r="290" spans="1:13" s="21" customFormat="1" x14ac:dyDescent="0.2">
      <c r="A290" s="20" t="s">
        <v>390</v>
      </c>
      <c r="B290" s="20" t="s">
        <v>828</v>
      </c>
      <c r="C290" s="20" t="s">
        <v>392</v>
      </c>
      <c r="D290" s="20" t="s">
        <v>393</v>
      </c>
      <c r="E290" s="20" t="s">
        <v>823</v>
      </c>
      <c r="F290" s="20"/>
      <c r="G290" s="20" t="s">
        <v>395</v>
      </c>
      <c r="H290" s="20">
        <v>1</v>
      </c>
      <c r="I290" s="22" t="s">
        <v>415</v>
      </c>
      <c r="J290" s="20" t="str">
        <f t="shared" si="4"/>
        <v>CN15</v>
      </c>
      <c r="K290" s="20" t="s">
        <v>397</v>
      </c>
      <c r="L290" s="20" t="s">
        <v>398</v>
      </c>
      <c r="M290" s="20" t="s">
        <v>399</v>
      </c>
    </row>
    <row r="291" spans="1:13" s="21" customFormat="1" x14ac:dyDescent="0.2">
      <c r="A291" s="20" t="s">
        <v>390</v>
      </c>
      <c r="B291" s="20" t="s">
        <v>829</v>
      </c>
      <c r="C291" s="20" t="s">
        <v>392</v>
      </c>
      <c r="D291" s="20" t="s">
        <v>393</v>
      </c>
      <c r="E291" s="20" t="s">
        <v>823</v>
      </c>
      <c r="F291" s="20"/>
      <c r="G291" s="20" t="s">
        <v>395</v>
      </c>
      <c r="H291" s="20">
        <v>1</v>
      </c>
      <c r="I291" s="22" t="s">
        <v>417</v>
      </c>
      <c r="J291" s="20" t="str">
        <f t="shared" si="4"/>
        <v>CN16</v>
      </c>
      <c r="K291" s="20" t="s">
        <v>397</v>
      </c>
      <c r="L291" s="20" t="s">
        <v>398</v>
      </c>
      <c r="M291" s="20" t="s">
        <v>399</v>
      </c>
    </row>
    <row r="292" spans="1:13" s="21" customFormat="1" x14ac:dyDescent="0.2">
      <c r="A292" s="20" t="s">
        <v>390</v>
      </c>
      <c r="B292" s="20" t="s">
        <v>830</v>
      </c>
      <c r="C292" s="20" t="s">
        <v>392</v>
      </c>
      <c r="D292" s="20" t="s">
        <v>393</v>
      </c>
      <c r="E292" s="20" t="s">
        <v>831</v>
      </c>
      <c r="F292" s="20"/>
      <c r="G292" s="20" t="s">
        <v>395</v>
      </c>
      <c r="H292" s="20">
        <v>1</v>
      </c>
      <c r="I292" s="20" t="s">
        <v>396</v>
      </c>
      <c r="J292" s="20" t="str">
        <f t="shared" si="4"/>
        <v>CN10</v>
      </c>
      <c r="K292" s="20" t="s">
        <v>832</v>
      </c>
      <c r="L292" s="20" t="s">
        <v>398</v>
      </c>
      <c r="M292" s="20" t="s">
        <v>399</v>
      </c>
    </row>
    <row r="293" spans="1:13" s="21" customFormat="1" x14ac:dyDescent="0.2">
      <c r="A293" s="20" t="s">
        <v>390</v>
      </c>
      <c r="B293" s="20" t="s">
        <v>833</v>
      </c>
      <c r="C293" s="20" t="s">
        <v>392</v>
      </c>
      <c r="D293" s="20" t="s">
        <v>393</v>
      </c>
      <c r="E293" s="20" t="s">
        <v>831</v>
      </c>
      <c r="F293" s="20"/>
      <c r="G293" s="20" t="s">
        <v>395</v>
      </c>
      <c r="H293" s="20">
        <v>1</v>
      </c>
      <c r="I293" s="22" t="s">
        <v>404</v>
      </c>
      <c r="J293" s="20" t="str">
        <f t="shared" si="4"/>
        <v>CN11</v>
      </c>
      <c r="K293" s="20" t="s">
        <v>832</v>
      </c>
      <c r="L293" s="20" t="s">
        <v>398</v>
      </c>
      <c r="M293" s="20" t="s">
        <v>399</v>
      </c>
    </row>
    <row r="294" spans="1:13" s="21" customFormat="1" x14ac:dyDescent="0.2">
      <c r="A294" s="20" t="s">
        <v>390</v>
      </c>
      <c r="B294" s="20" t="s">
        <v>834</v>
      </c>
      <c r="C294" s="20" t="s">
        <v>392</v>
      </c>
      <c r="D294" s="20" t="s">
        <v>393</v>
      </c>
      <c r="E294" s="20" t="s">
        <v>831</v>
      </c>
      <c r="F294" s="20"/>
      <c r="G294" s="20" t="s">
        <v>395</v>
      </c>
      <c r="H294" s="20">
        <v>1</v>
      </c>
      <c r="I294" s="22" t="s">
        <v>407</v>
      </c>
      <c r="J294" s="20" t="str">
        <f t="shared" si="4"/>
        <v>CN12</v>
      </c>
      <c r="K294" s="20" t="s">
        <v>832</v>
      </c>
      <c r="L294" s="20" t="s">
        <v>398</v>
      </c>
      <c r="M294" s="20" t="s">
        <v>399</v>
      </c>
    </row>
    <row r="295" spans="1:13" s="21" customFormat="1" x14ac:dyDescent="0.2">
      <c r="A295" s="20" t="s">
        <v>390</v>
      </c>
      <c r="B295" s="20" t="s">
        <v>835</v>
      </c>
      <c r="C295" s="20" t="s">
        <v>392</v>
      </c>
      <c r="D295" s="20" t="s">
        <v>393</v>
      </c>
      <c r="E295" s="20" t="s">
        <v>831</v>
      </c>
      <c r="F295" s="20"/>
      <c r="G295" s="20" t="s">
        <v>395</v>
      </c>
      <c r="H295" s="20">
        <v>1</v>
      </c>
      <c r="I295" s="22" t="s">
        <v>552</v>
      </c>
      <c r="J295" s="20" t="str">
        <f t="shared" si="4"/>
        <v>CN14</v>
      </c>
      <c r="K295" s="20" t="s">
        <v>832</v>
      </c>
      <c r="L295" s="20" t="s">
        <v>398</v>
      </c>
      <c r="M295" s="20" t="s">
        <v>399</v>
      </c>
    </row>
    <row r="296" spans="1:13" s="21" customFormat="1" x14ac:dyDescent="0.2">
      <c r="A296" s="20" t="s">
        <v>390</v>
      </c>
      <c r="B296" s="20" t="s">
        <v>836</v>
      </c>
      <c r="C296" s="20" t="s">
        <v>392</v>
      </c>
      <c r="D296" s="20" t="s">
        <v>393</v>
      </c>
      <c r="E296" s="20" t="s">
        <v>831</v>
      </c>
      <c r="F296" s="20"/>
      <c r="G296" s="20" t="s">
        <v>395</v>
      </c>
      <c r="H296" s="20">
        <v>1</v>
      </c>
      <c r="I296" s="22" t="s">
        <v>409</v>
      </c>
      <c r="J296" s="20" t="str">
        <f t="shared" si="4"/>
        <v>CN17</v>
      </c>
      <c r="K296" s="20" t="s">
        <v>832</v>
      </c>
      <c r="L296" s="20" t="s">
        <v>398</v>
      </c>
      <c r="M296" s="20" t="s">
        <v>399</v>
      </c>
    </row>
    <row r="297" spans="1:13" s="21" customFormat="1" x14ac:dyDescent="0.2">
      <c r="A297" s="20" t="s">
        <v>390</v>
      </c>
      <c r="B297" s="20" t="s">
        <v>837</v>
      </c>
      <c r="C297" s="20" t="s">
        <v>392</v>
      </c>
      <c r="D297" s="20" t="s">
        <v>393</v>
      </c>
      <c r="E297" s="20" t="s">
        <v>831</v>
      </c>
      <c r="F297" s="20"/>
      <c r="G297" s="20" t="s">
        <v>395</v>
      </c>
      <c r="H297" s="20">
        <v>1</v>
      </c>
      <c r="I297" s="22" t="s">
        <v>568</v>
      </c>
      <c r="J297" s="20" t="str">
        <f t="shared" si="4"/>
        <v>CN13</v>
      </c>
      <c r="K297" s="20" t="s">
        <v>832</v>
      </c>
      <c r="L297" s="20" t="s">
        <v>398</v>
      </c>
      <c r="M297" s="20" t="s">
        <v>399</v>
      </c>
    </row>
    <row r="298" spans="1:13" s="21" customFormat="1" x14ac:dyDescent="0.2">
      <c r="A298" s="20" t="s">
        <v>390</v>
      </c>
      <c r="B298" s="20" t="s">
        <v>838</v>
      </c>
      <c r="C298" s="20" t="s">
        <v>392</v>
      </c>
      <c r="D298" s="20" t="s">
        <v>393</v>
      </c>
      <c r="E298" s="20" t="s">
        <v>831</v>
      </c>
      <c r="F298" s="20"/>
      <c r="G298" s="20" t="s">
        <v>395</v>
      </c>
      <c r="H298" s="20">
        <v>1</v>
      </c>
      <c r="I298" s="22" t="s">
        <v>415</v>
      </c>
      <c r="J298" s="20" t="str">
        <f t="shared" si="4"/>
        <v>CN15</v>
      </c>
      <c r="K298" s="20" t="s">
        <v>832</v>
      </c>
      <c r="L298" s="20" t="s">
        <v>398</v>
      </c>
      <c r="M298" s="20" t="s">
        <v>399</v>
      </c>
    </row>
    <row r="299" spans="1:13" s="21" customFormat="1" x14ac:dyDescent="0.2">
      <c r="A299" s="20" t="s">
        <v>390</v>
      </c>
      <c r="B299" s="20" t="s">
        <v>839</v>
      </c>
      <c r="C299" s="20" t="s">
        <v>392</v>
      </c>
      <c r="D299" s="20" t="s">
        <v>393</v>
      </c>
      <c r="E299" s="20" t="s">
        <v>831</v>
      </c>
      <c r="F299" s="20"/>
      <c r="G299" s="20" t="s">
        <v>395</v>
      </c>
      <c r="H299" s="20">
        <v>1</v>
      </c>
      <c r="I299" s="22" t="s">
        <v>417</v>
      </c>
      <c r="J299" s="20" t="str">
        <f t="shared" si="4"/>
        <v>CN16</v>
      </c>
      <c r="K299" s="20" t="s">
        <v>832</v>
      </c>
      <c r="L299" s="20" t="s">
        <v>398</v>
      </c>
      <c r="M299" s="20" t="s">
        <v>399</v>
      </c>
    </row>
    <row r="300" spans="1:13" s="21" customFormat="1" x14ac:dyDescent="0.2">
      <c r="A300" s="20" t="s">
        <v>390</v>
      </c>
      <c r="B300" s="20" t="s">
        <v>840</v>
      </c>
      <c r="C300" s="20" t="s">
        <v>392</v>
      </c>
      <c r="D300" s="20" t="s">
        <v>393</v>
      </c>
      <c r="E300" s="20" t="s">
        <v>841</v>
      </c>
      <c r="F300" s="20"/>
      <c r="G300" s="20" t="s">
        <v>395</v>
      </c>
      <c r="H300" s="20">
        <v>1</v>
      </c>
      <c r="I300" s="22" t="s">
        <v>404</v>
      </c>
      <c r="J300" s="20" t="str">
        <f t="shared" si="4"/>
        <v>CN11</v>
      </c>
      <c r="K300" s="20" t="s">
        <v>397</v>
      </c>
      <c r="L300" s="20" t="s">
        <v>398</v>
      </c>
      <c r="M300" s="20" t="s">
        <v>399</v>
      </c>
    </row>
    <row r="301" spans="1:13" s="21" customFormat="1" x14ac:dyDescent="0.2">
      <c r="A301" s="20" t="s">
        <v>390</v>
      </c>
      <c r="B301" s="20" t="s">
        <v>842</v>
      </c>
      <c r="C301" s="20" t="s">
        <v>392</v>
      </c>
      <c r="D301" s="20" t="s">
        <v>393</v>
      </c>
      <c r="E301" s="20" t="s">
        <v>843</v>
      </c>
      <c r="F301" s="20"/>
      <c r="G301" s="20" t="s">
        <v>395</v>
      </c>
      <c r="H301" s="20">
        <v>1</v>
      </c>
      <c r="I301" s="22" t="s">
        <v>404</v>
      </c>
      <c r="J301" s="20" t="str">
        <f t="shared" si="4"/>
        <v>CN11</v>
      </c>
      <c r="K301" s="20" t="s">
        <v>397</v>
      </c>
      <c r="L301" s="20" t="s">
        <v>398</v>
      </c>
      <c r="M301" s="20" t="s">
        <v>399</v>
      </c>
    </row>
    <row r="302" spans="1:13" s="21" customFormat="1" x14ac:dyDescent="0.2">
      <c r="A302" s="20" t="s">
        <v>390</v>
      </c>
      <c r="B302" s="20" t="s">
        <v>844</v>
      </c>
      <c r="C302" s="20" t="s">
        <v>392</v>
      </c>
      <c r="D302" s="20" t="s">
        <v>393</v>
      </c>
      <c r="E302" s="20" t="s">
        <v>845</v>
      </c>
      <c r="F302" s="20"/>
      <c r="G302" s="20" t="s">
        <v>395</v>
      </c>
      <c r="H302" s="20">
        <v>1</v>
      </c>
      <c r="I302" s="22" t="s">
        <v>404</v>
      </c>
      <c r="J302" s="20" t="str">
        <f t="shared" si="4"/>
        <v>CN11</v>
      </c>
      <c r="K302" s="20" t="s">
        <v>397</v>
      </c>
      <c r="L302" s="20" t="s">
        <v>398</v>
      </c>
      <c r="M302" s="20" t="s">
        <v>399</v>
      </c>
    </row>
    <row r="303" spans="1:13" s="21" customFormat="1" x14ac:dyDescent="0.2">
      <c r="A303" s="20" t="s">
        <v>390</v>
      </c>
      <c r="B303" s="20" t="s">
        <v>846</v>
      </c>
      <c r="C303" s="20" t="s">
        <v>392</v>
      </c>
      <c r="D303" s="20" t="s">
        <v>393</v>
      </c>
      <c r="E303" s="20" t="s">
        <v>847</v>
      </c>
      <c r="F303" s="20"/>
      <c r="G303" s="20" t="s">
        <v>395</v>
      </c>
      <c r="H303" s="20">
        <v>1</v>
      </c>
      <c r="I303" s="22" t="s">
        <v>404</v>
      </c>
      <c r="J303" s="20" t="str">
        <f t="shared" si="4"/>
        <v>CN11</v>
      </c>
      <c r="K303" s="20" t="s">
        <v>397</v>
      </c>
      <c r="L303" s="20" t="s">
        <v>398</v>
      </c>
      <c r="M303" s="20" t="s">
        <v>399</v>
      </c>
    </row>
    <row r="304" spans="1:13" s="21" customFormat="1" x14ac:dyDescent="0.2">
      <c r="A304" s="20" t="s">
        <v>390</v>
      </c>
      <c r="B304" s="20" t="s">
        <v>848</v>
      </c>
      <c r="C304" s="20" t="s">
        <v>392</v>
      </c>
      <c r="D304" s="20" t="s">
        <v>393</v>
      </c>
      <c r="E304" s="20" t="s">
        <v>849</v>
      </c>
      <c r="F304" s="20"/>
      <c r="G304" s="20" t="s">
        <v>395</v>
      </c>
      <c r="H304" s="20">
        <v>1</v>
      </c>
      <c r="I304" s="22" t="s">
        <v>404</v>
      </c>
      <c r="J304" s="20" t="str">
        <f t="shared" si="4"/>
        <v>CN11</v>
      </c>
      <c r="K304" s="20" t="s">
        <v>397</v>
      </c>
      <c r="L304" s="20" t="s">
        <v>398</v>
      </c>
      <c r="M304" s="20" t="s">
        <v>399</v>
      </c>
    </row>
    <row r="305" spans="1:13" s="21" customFormat="1" x14ac:dyDescent="0.2">
      <c r="A305" s="20" t="s">
        <v>390</v>
      </c>
      <c r="B305" s="20" t="s">
        <v>850</v>
      </c>
      <c r="C305" s="20" t="s">
        <v>392</v>
      </c>
      <c r="D305" s="20" t="s">
        <v>393</v>
      </c>
      <c r="E305" s="20" t="s">
        <v>851</v>
      </c>
      <c r="F305" s="20"/>
      <c r="G305" s="20" t="s">
        <v>395</v>
      </c>
      <c r="H305" s="20">
        <v>1</v>
      </c>
      <c r="I305" s="22" t="s">
        <v>404</v>
      </c>
      <c r="J305" s="20" t="str">
        <f t="shared" si="4"/>
        <v>CN11</v>
      </c>
      <c r="K305" s="20" t="s">
        <v>397</v>
      </c>
      <c r="L305" s="20" t="s">
        <v>398</v>
      </c>
      <c r="M305" s="20" t="s">
        <v>399</v>
      </c>
    </row>
    <row r="306" spans="1:13" s="21" customFormat="1" x14ac:dyDescent="0.2">
      <c r="A306" s="20" t="s">
        <v>390</v>
      </c>
      <c r="B306" s="20" t="s">
        <v>852</v>
      </c>
      <c r="C306" s="20" t="s">
        <v>392</v>
      </c>
      <c r="D306" s="20" t="s">
        <v>393</v>
      </c>
      <c r="E306" s="20" t="s">
        <v>853</v>
      </c>
      <c r="F306" s="20"/>
      <c r="G306" s="20" t="s">
        <v>395</v>
      </c>
      <c r="H306" s="20">
        <v>1</v>
      </c>
      <c r="I306" s="22" t="s">
        <v>404</v>
      </c>
      <c r="J306" s="20" t="str">
        <f t="shared" si="4"/>
        <v>CN11</v>
      </c>
      <c r="K306" s="20" t="s">
        <v>397</v>
      </c>
      <c r="L306" s="20" t="s">
        <v>398</v>
      </c>
      <c r="M306" s="20" t="s">
        <v>399</v>
      </c>
    </row>
    <row r="307" spans="1:13" s="21" customFormat="1" x14ac:dyDescent="0.2">
      <c r="A307" s="20" t="s">
        <v>390</v>
      </c>
      <c r="B307" s="20" t="s">
        <v>854</v>
      </c>
      <c r="C307" s="20" t="s">
        <v>392</v>
      </c>
      <c r="D307" s="20" t="s">
        <v>393</v>
      </c>
      <c r="E307" s="20" t="s">
        <v>855</v>
      </c>
      <c r="F307" s="20"/>
      <c r="G307" s="20" t="s">
        <v>395</v>
      </c>
      <c r="H307" s="20">
        <v>1</v>
      </c>
      <c r="I307" s="22" t="s">
        <v>404</v>
      </c>
      <c r="J307" s="20" t="str">
        <f t="shared" si="4"/>
        <v>CN11</v>
      </c>
      <c r="K307" s="20" t="s">
        <v>397</v>
      </c>
      <c r="L307" s="20" t="s">
        <v>398</v>
      </c>
      <c r="M307" s="20" t="s">
        <v>399</v>
      </c>
    </row>
    <row r="308" spans="1:13" s="21" customFormat="1" x14ac:dyDescent="0.2">
      <c r="A308" s="20" t="s">
        <v>390</v>
      </c>
      <c r="B308" s="20" t="s">
        <v>856</v>
      </c>
      <c r="C308" s="20" t="s">
        <v>392</v>
      </c>
      <c r="D308" s="20" t="s">
        <v>393</v>
      </c>
      <c r="E308" s="20" t="s">
        <v>857</v>
      </c>
      <c r="F308" s="20"/>
      <c r="G308" s="20" t="s">
        <v>395</v>
      </c>
      <c r="H308" s="20">
        <v>1</v>
      </c>
      <c r="I308" s="22" t="s">
        <v>404</v>
      </c>
      <c r="J308" s="20" t="str">
        <f t="shared" si="4"/>
        <v>CN11</v>
      </c>
      <c r="K308" s="20" t="s">
        <v>397</v>
      </c>
      <c r="L308" s="20" t="s">
        <v>398</v>
      </c>
      <c r="M308" s="20" t="s">
        <v>399</v>
      </c>
    </row>
    <row r="309" spans="1:13" s="21" customFormat="1" x14ac:dyDescent="0.2">
      <c r="A309" s="20" t="s">
        <v>390</v>
      </c>
      <c r="B309" s="20" t="s">
        <v>858</v>
      </c>
      <c r="C309" s="20" t="s">
        <v>392</v>
      </c>
      <c r="D309" s="20" t="s">
        <v>393</v>
      </c>
      <c r="E309" s="20" t="s">
        <v>859</v>
      </c>
      <c r="F309" s="20"/>
      <c r="G309" s="20" t="s">
        <v>395</v>
      </c>
      <c r="H309" s="20">
        <v>1</v>
      </c>
      <c r="I309" s="22" t="s">
        <v>404</v>
      </c>
      <c r="J309" s="20" t="str">
        <f t="shared" si="4"/>
        <v>CN11</v>
      </c>
      <c r="K309" s="20" t="s">
        <v>397</v>
      </c>
      <c r="L309" s="20" t="s">
        <v>398</v>
      </c>
      <c r="M309" s="20" t="s">
        <v>399</v>
      </c>
    </row>
    <row r="310" spans="1:13" s="21" customFormat="1" x14ac:dyDescent="0.2">
      <c r="A310" s="20" t="s">
        <v>390</v>
      </c>
      <c r="B310" s="20" t="s">
        <v>860</v>
      </c>
      <c r="C310" s="20" t="s">
        <v>392</v>
      </c>
      <c r="D310" s="20" t="s">
        <v>393</v>
      </c>
      <c r="E310" s="20" t="s">
        <v>861</v>
      </c>
      <c r="F310" s="20"/>
      <c r="G310" s="20" t="s">
        <v>395</v>
      </c>
      <c r="H310" s="20">
        <v>1</v>
      </c>
      <c r="I310" s="22" t="s">
        <v>404</v>
      </c>
      <c r="J310" s="20" t="str">
        <f t="shared" si="4"/>
        <v>CN11</v>
      </c>
      <c r="K310" s="20" t="s">
        <v>397</v>
      </c>
      <c r="L310" s="20" t="s">
        <v>398</v>
      </c>
      <c r="M310" s="20" t="s">
        <v>399</v>
      </c>
    </row>
    <row r="311" spans="1:13" s="21" customFormat="1" x14ac:dyDescent="0.2">
      <c r="A311" s="20" t="s">
        <v>390</v>
      </c>
      <c r="B311" s="20" t="s">
        <v>862</v>
      </c>
      <c r="C311" s="20" t="s">
        <v>392</v>
      </c>
      <c r="D311" s="20" t="s">
        <v>393</v>
      </c>
      <c r="E311" s="20" t="s">
        <v>863</v>
      </c>
      <c r="F311" s="20"/>
      <c r="G311" s="20" t="s">
        <v>395</v>
      </c>
      <c r="H311" s="20">
        <v>1</v>
      </c>
      <c r="I311" s="22" t="s">
        <v>407</v>
      </c>
      <c r="J311" s="20" t="str">
        <f t="shared" si="4"/>
        <v>CN12</v>
      </c>
      <c r="K311" s="20" t="s">
        <v>397</v>
      </c>
      <c r="L311" s="20" t="s">
        <v>398</v>
      </c>
      <c r="M311" s="20" t="s">
        <v>399</v>
      </c>
    </row>
    <row r="312" spans="1:13" s="21" customFormat="1" x14ac:dyDescent="0.2">
      <c r="A312" s="20" t="s">
        <v>390</v>
      </c>
      <c r="B312" s="20" t="s">
        <v>864</v>
      </c>
      <c r="C312" s="20" t="s">
        <v>392</v>
      </c>
      <c r="D312" s="20" t="s">
        <v>393</v>
      </c>
      <c r="E312" s="20" t="s">
        <v>865</v>
      </c>
      <c r="F312" s="20"/>
      <c r="G312" s="20" t="s">
        <v>395</v>
      </c>
      <c r="H312" s="20">
        <v>1</v>
      </c>
      <c r="I312" s="22" t="s">
        <v>407</v>
      </c>
      <c r="J312" s="20" t="str">
        <f t="shared" si="4"/>
        <v>CN12</v>
      </c>
      <c r="K312" s="20" t="s">
        <v>397</v>
      </c>
      <c r="L312" s="20" t="s">
        <v>398</v>
      </c>
      <c r="M312" s="20" t="s">
        <v>399</v>
      </c>
    </row>
    <row r="313" spans="1:13" s="21" customFormat="1" x14ac:dyDescent="0.2">
      <c r="A313" s="20" t="s">
        <v>390</v>
      </c>
      <c r="B313" s="20" t="s">
        <v>866</v>
      </c>
      <c r="C313" s="20" t="s">
        <v>392</v>
      </c>
      <c r="D313" s="20" t="s">
        <v>393</v>
      </c>
      <c r="E313" s="20" t="s">
        <v>867</v>
      </c>
      <c r="F313" s="20"/>
      <c r="G313" s="20" t="s">
        <v>395</v>
      </c>
      <c r="H313" s="20">
        <v>1</v>
      </c>
      <c r="I313" s="22" t="s">
        <v>407</v>
      </c>
      <c r="J313" s="20" t="str">
        <f t="shared" si="4"/>
        <v>CN12</v>
      </c>
      <c r="K313" s="20" t="s">
        <v>397</v>
      </c>
      <c r="L313" s="20" t="s">
        <v>398</v>
      </c>
      <c r="M313" s="20" t="s">
        <v>399</v>
      </c>
    </row>
    <row r="314" spans="1:13" s="21" customFormat="1" x14ac:dyDescent="0.2">
      <c r="A314" s="20" t="s">
        <v>390</v>
      </c>
      <c r="B314" s="20" t="s">
        <v>868</v>
      </c>
      <c r="C314" s="20" t="s">
        <v>392</v>
      </c>
      <c r="D314" s="20" t="s">
        <v>393</v>
      </c>
      <c r="E314" s="20" t="s">
        <v>869</v>
      </c>
      <c r="F314" s="20"/>
      <c r="G314" s="20" t="s">
        <v>395</v>
      </c>
      <c r="H314" s="20">
        <v>1</v>
      </c>
      <c r="I314" s="22" t="s">
        <v>407</v>
      </c>
      <c r="J314" s="20" t="str">
        <f t="shared" si="4"/>
        <v>CN12</v>
      </c>
      <c r="K314" s="20" t="s">
        <v>397</v>
      </c>
      <c r="L314" s="20" t="s">
        <v>398</v>
      </c>
      <c r="M314" s="20" t="s">
        <v>399</v>
      </c>
    </row>
    <row r="315" spans="1:13" s="21" customFormat="1" x14ac:dyDescent="0.2">
      <c r="A315" s="20" t="s">
        <v>390</v>
      </c>
      <c r="B315" s="20" t="s">
        <v>870</v>
      </c>
      <c r="C315" s="20" t="s">
        <v>392</v>
      </c>
      <c r="D315" s="20" t="s">
        <v>393</v>
      </c>
      <c r="E315" s="20" t="s">
        <v>871</v>
      </c>
      <c r="F315" s="20"/>
      <c r="G315" s="20" t="s">
        <v>395</v>
      </c>
      <c r="H315" s="20">
        <v>1</v>
      </c>
      <c r="I315" s="22" t="s">
        <v>407</v>
      </c>
      <c r="J315" s="20" t="str">
        <f t="shared" si="4"/>
        <v>CN12</v>
      </c>
      <c r="K315" s="20" t="s">
        <v>397</v>
      </c>
      <c r="L315" s="20" t="s">
        <v>398</v>
      </c>
      <c r="M315" s="20" t="s">
        <v>399</v>
      </c>
    </row>
    <row r="316" spans="1:13" s="21" customFormat="1" x14ac:dyDescent="0.2">
      <c r="A316" s="20" t="s">
        <v>390</v>
      </c>
      <c r="B316" s="20" t="s">
        <v>872</v>
      </c>
      <c r="C316" s="20" t="s">
        <v>392</v>
      </c>
      <c r="D316" s="20" t="s">
        <v>393</v>
      </c>
      <c r="E316" s="20" t="s">
        <v>873</v>
      </c>
      <c r="F316" s="20"/>
      <c r="G316" s="20" t="s">
        <v>395</v>
      </c>
      <c r="H316" s="20">
        <v>1</v>
      </c>
      <c r="I316" s="22" t="s">
        <v>407</v>
      </c>
      <c r="J316" s="20" t="str">
        <f t="shared" si="4"/>
        <v>CN12</v>
      </c>
      <c r="K316" s="20" t="s">
        <v>397</v>
      </c>
      <c r="L316" s="20" t="s">
        <v>398</v>
      </c>
      <c r="M316" s="20" t="s">
        <v>399</v>
      </c>
    </row>
    <row r="317" spans="1:13" s="21" customFormat="1" x14ac:dyDescent="0.2">
      <c r="A317" s="20" t="s">
        <v>390</v>
      </c>
      <c r="B317" s="20" t="s">
        <v>874</v>
      </c>
      <c r="C317" s="20" t="s">
        <v>392</v>
      </c>
      <c r="D317" s="20" t="s">
        <v>393</v>
      </c>
      <c r="E317" s="20" t="s">
        <v>875</v>
      </c>
      <c r="F317" s="20"/>
      <c r="G317" s="20" t="s">
        <v>395</v>
      </c>
      <c r="H317" s="20">
        <v>1</v>
      </c>
      <c r="I317" s="22" t="s">
        <v>407</v>
      </c>
      <c r="J317" s="20" t="str">
        <f t="shared" si="4"/>
        <v>CN12</v>
      </c>
      <c r="K317" s="20" t="s">
        <v>397</v>
      </c>
      <c r="L317" s="20" t="s">
        <v>398</v>
      </c>
      <c r="M317" s="20" t="s">
        <v>399</v>
      </c>
    </row>
    <row r="318" spans="1:13" s="21" customFormat="1" x14ac:dyDescent="0.2">
      <c r="A318" s="20" t="s">
        <v>390</v>
      </c>
      <c r="B318" s="20" t="s">
        <v>876</v>
      </c>
      <c r="C318" s="20" t="s">
        <v>392</v>
      </c>
      <c r="D318" s="20" t="s">
        <v>393</v>
      </c>
      <c r="E318" s="20" t="s">
        <v>877</v>
      </c>
      <c r="F318" s="20"/>
      <c r="G318" s="20" t="s">
        <v>395</v>
      </c>
      <c r="H318" s="20">
        <v>1</v>
      </c>
      <c r="I318" s="22" t="s">
        <v>407</v>
      </c>
      <c r="J318" s="20" t="str">
        <f t="shared" si="4"/>
        <v>CN12</v>
      </c>
      <c r="K318" s="20" t="s">
        <v>397</v>
      </c>
      <c r="L318" s="20" t="s">
        <v>398</v>
      </c>
      <c r="M318" s="20" t="s">
        <v>399</v>
      </c>
    </row>
    <row r="319" spans="1:13" s="21" customFormat="1" x14ac:dyDescent="0.2">
      <c r="A319" s="20" t="s">
        <v>390</v>
      </c>
      <c r="B319" s="20" t="s">
        <v>878</v>
      </c>
      <c r="C319" s="20" t="s">
        <v>392</v>
      </c>
      <c r="D319" s="20" t="s">
        <v>393</v>
      </c>
      <c r="E319" s="20" t="s">
        <v>879</v>
      </c>
      <c r="F319" s="20"/>
      <c r="G319" s="20" t="s">
        <v>395</v>
      </c>
      <c r="H319" s="20">
        <v>1</v>
      </c>
      <c r="I319" s="22" t="s">
        <v>407</v>
      </c>
      <c r="J319" s="20" t="str">
        <f t="shared" si="4"/>
        <v>CN12</v>
      </c>
      <c r="K319" s="20" t="s">
        <v>397</v>
      </c>
      <c r="L319" s="20" t="s">
        <v>398</v>
      </c>
      <c r="M319" s="20" t="s">
        <v>399</v>
      </c>
    </row>
    <row r="320" spans="1:13" s="21" customFormat="1" x14ac:dyDescent="0.2">
      <c r="A320" s="20" t="s">
        <v>390</v>
      </c>
      <c r="B320" s="20" t="s">
        <v>880</v>
      </c>
      <c r="C320" s="20" t="s">
        <v>392</v>
      </c>
      <c r="D320" s="20" t="s">
        <v>393</v>
      </c>
      <c r="E320" s="20" t="s">
        <v>881</v>
      </c>
      <c r="F320" s="20"/>
      <c r="G320" s="20" t="s">
        <v>395</v>
      </c>
      <c r="H320" s="20">
        <v>1</v>
      </c>
      <c r="I320" s="20" t="s">
        <v>637</v>
      </c>
      <c r="J320" s="20" t="str">
        <f t="shared" si="4"/>
        <v>CN13</v>
      </c>
      <c r="K320" s="20" t="s">
        <v>397</v>
      </c>
      <c r="L320" s="20" t="s">
        <v>398</v>
      </c>
      <c r="M320" s="20" t="s">
        <v>399</v>
      </c>
    </row>
    <row r="321" spans="1:13" s="21" customFormat="1" x14ac:dyDescent="0.2">
      <c r="A321" s="20" t="s">
        <v>390</v>
      </c>
      <c r="B321" s="20" t="s">
        <v>882</v>
      </c>
      <c r="C321" s="20" t="s">
        <v>392</v>
      </c>
      <c r="D321" s="20" t="s">
        <v>393</v>
      </c>
      <c r="E321" s="20" t="s">
        <v>883</v>
      </c>
      <c r="F321" s="20"/>
      <c r="G321" s="20" t="s">
        <v>395</v>
      </c>
      <c r="H321" s="20">
        <v>1</v>
      </c>
      <c r="I321" s="20" t="s">
        <v>637</v>
      </c>
      <c r="J321" s="20" t="str">
        <f t="shared" si="4"/>
        <v>CN13</v>
      </c>
      <c r="K321" s="20" t="s">
        <v>397</v>
      </c>
      <c r="L321" s="20" t="s">
        <v>398</v>
      </c>
      <c r="M321" s="20" t="s">
        <v>399</v>
      </c>
    </row>
    <row r="322" spans="1:13" s="21" customFormat="1" x14ac:dyDescent="0.2">
      <c r="A322" s="20" t="s">
        <v>390</v>
      </c>
      <c r="B322" s="20" t="s">
        <v>884</v>
      </c>
      <c r="C322" s="20" t="s">
        <v>392</v>
      </c>
      <c r="D322" s="20" t="s">
        <v>393</v>
      </c>
      <c r="E322" s="20" t="s">
        <v>885</v>
      </c>
      <c r="F322" s="20"/>
      <c r="G322" s="20" t="s">
        <v>395</v>
      </c>
      <c r="H322" s="20">
        <v>1</v>
      </c>
      <c r="I322" s="20" t="s">
        <v>637</v>
      </c>
      <c r="J322" s="20" t="str">
        <f t="shared" si="4"/>
        <v>CN13</v>
      </c>
      <c r="K322" s="20" t="s">
        <v>397</v>
      </c>
      <c r="L322" s="20" t="s">
        <v>398</v>
      </c>
      <c r="M322" s="20" t="s">
        <v>399</v>
      </c>
    </row>
    <row r="323" spans="1:13" s="21" customFormat="1" x14ac:dyDescent="0.2">
      <c r="A323" s="20" t="s">
        <v>390</v>
      </c>
      <c r="B323" s="20" t="s">
        <v>886</v>
      </c>
      <c r="C323" s="20" t="s">
        <v>392</v>
      </c>
      <c r="D323" s="20" t="s">
        <v>393</v>
      </c>
      <c r="E323" s="20" t="s">
        <v>887</v>
      </c>
      <c r="F323" s="20"/>
      <c r="G323" s="20" t="s">
        <v>395</v>
      </c>
      <c r="H323" s="20">
        <v>1</v>
      </c>
      <c r="I323" s="20" t="s">
        <v>640</v>
      </c>
      <c r="J323" s="20" t="str">
        <f t="shared" si="4"/>
        <v>CN13</v>
      </c>
      <c r="K323" s="20" t="s">
        <v>397</v>
      </c>
      <c r="L323" s="20" t="s">
        <v>398</v>
      </c>
      <c r="M323" s="20" t="s">
        <v>399</v>
      </c>
    </row>
    <row r="324" spans="1:13" s="21" customFormat="1" x14ac:dyDescent="0.2">
      <c r="A324" s="20" t="s">
        <v>390</v>
      </c>
      <c r="B324" s="20" t="s">
        <v>888</v>
      </c>
      <c r="C324" s="20" t="s">
        <v>392</v>
      </c>
      <c r="D324" s="20" t="s">
        <v>393</v>
      </c>
      <c r="E324" s="20" t="s">
        <v>889</v>
      </c>
      <c r="F324" s="20"/>
      <c r="G324" s="20" t="s">
        <v>395</v>
      </c>
      <c r="H324" s="20">
        <v>1</v>
      </c>
      <c r="I324" s="20" t="s">
        <v>637</v>
      </c>
      <c r="J324" s="20" t="str">
        <f t="shared" ref="J324:J388" si="5">"CN"&amp;LEFT(B324,2)</f>
        <v>CN13</v>
      </c>
      <c r="K324" s="20" t="s">
        <v>397</v>
      </c>
      <c r="L324" s="20" t="s">
        <v>398</v>
      </c>
      <c r="M324" s="20" t="s">
        <v>399</v>
      </c>
    </row>
    <row r="325" spans="1:13" s="21" customFormat="1" x14ac:dyDescent="0.2">
      <c r="A325" s="20" t="s">
        <v>390</v>
      </c>
      <c r="B325" s="20" t="s">
        <v>890</v>
      </c>
      <c r="C325" s="20" t="s">
        <v>392</v>
      </c>
      <c r="D325" s="20" t="s">
        <v>393</v>
      </c>
      <c r="E325" s="20" t="s">
        <v>891</v>
      </c>
      <c r="F325" s="20"/>
      <c r="G325" s="20" t="s">
        <v>395</v>
      </c>
      <c r="H325" s="20">
        <v>1</v>
      </c>
      <c r="I325" s="20" t="s">
        <v>892</v>
      </c>
      <c r="J325" s="20" t="str">
        <f t="shared" si="5"/>
        <v>CN13</v>
      </c>
      <c r="K325" s="20" t="s">
        <v>397</v>
      </c>
      <c r="L325" s="20" t="s">
        <v>398</v>
      </c>
      <c r="M325" s="20" t="s">
        <v>399</v>
      </c>
    </row>
    <row r="326" spans="1:13" s="21" customFormat="1" x14ac:dyDescent="0.2">
      <c r="A326" s="20" t="s">
        <v>390</v>
      </c>
      <c r="B326" s="20" t="s">
        <v>893</v>
      </c>
      <c r="C326" s="20" t="s">
        <v>392</v>
      </c>
      <c r="D326" s="20" t="s">
        <v>393</v>
      </c>
      <c r="E326" s="20" t="s">
        <v>894</v>
      </c>
      <c r="F326" s="20"/>
      <c r="G326" s="20" t="s">
        <v>395</v>
      </c>
      <c r="H326" s="20">
        <v>1</v>
      </c>
      <c r="I326" s="20" t="s">
        <v>892</v>
      </c>
      <c r="J326" s="20" t="str">
        <f t="shared" si="5"/>
        <v>CN13</v>
      </c>
      <c r="K326" s="20" t="s">
        <v>397</v>
      </c>
      <c r="L326" s="20" t="s">
        <v>398</v>
      </c>
      <c r="M326" s="20" t="s">
        <v>399</v>
      </c>
    </row>
    <row r="327" spans="1:13" s="21" customFormat="1" x14ac:dyDescent="0.2">
      <c r="A327" s="20" t="s">
        <v>390</v>
      </c>
      <c r="B327" s="20" t="s">
        <v>895</v>
      </c>
      <c r="C327" s="20" t="s">
        <v>392</v>
      </c>
      <c r="D327" s="20" t="s">
        <v>393</v>
      </c>
      <c r="E327" s="20" t="s">
        <v>896</v>
      </c>
      <c r="F327" s="20"/>
      <c r="G327" s="20" t="s">
        <v>395</v>
      </c>
      <c r="H327" s="20">
        <v>1</v>
      </c>
      <c r="I327" s="20" t="s">
        <v>637</v>
      </c>
      <c r="J327" s="20" t="str">
        <f t="shared" si="5"/>
        <v>CN13</v>
      </c>
      <c r="K327" s="20" t="s">
        <v>397</v>
      </c>
      <c r="L327" s="20" t="s">
        <v>398</v>
      </c>
      <c r="M327" s="20" t="s">
        <v>399</v>
      </c>
    </row>
    <row r="328" spans="1:13" s="21" customFormat="1" x14ac:dyDescent="0.2">
      <c r="A328" s="20" t="s">
        <v>390</v>
      </c>
      <c r="B328" s="20" t="s">
        <v>897</v>
      </c>
      <c r="C328" s="20" t="s">
        <v>392</v>
      </c>
      <c r="D328" s="20" t="s">
        <v>393</v>
      </c>
      <c r="E328" s="20" t="s">
        <v>898</v>
      </c>
      <c r="F328" s="20"/>
      <c r="G328" s="20" t="s">
        <v>395</v>
      </c>
      <c r="H328" s="20">
        <v>1</v>
      </c>
      <c r="I328" s="20" t="s">
        <v>634</v>
      </c>
      <c r="J328" s="20" t="str">
        <f t="shared" si="5"/>
        <v>CN13</v>
      </c>
      <c r="K328" s="20" t="s">
        <v>397</v>
      </c>
      <c r="L328" s="20" t="s">
        <v>398</v>
      </c>
      <c r="M328" s="20" t="s">
        <v>399</v>
      </c>
    </row>
    <row r="329" spans="1:13" s="21" customFormat="1" x14ac:dyDescent="0.2">
      <c r="A329" s="20" t="s">
        <v>390</v>
      </c>
      <c r="B329" s="20" t="s">
        <v>899</v>
      </c>
      <c r="C329" s="20" t="s">
        <v>392</v>
      </c>
      <c r="D329" s="20" t="s">
        <v>393</v>
      </c>
      <c r="E329" s="20" t="s">
        <v>900</v>
      </c>
      <c r="F329" s="20"/>
      <c r="G329" s="20" t="s">
        <v>395</v>
      </c>
      <c r="H329" s="20">
        <v>1</v>
      </c>
      <c r="I329" s="20" t="s">
        <v>637</v>
      </c>
      <c r="J329" s="20" t="str">
        <f t="shared" si="5"/>
        <v>CN13</v>
      </c>
      <c r="K329" s="20" t="s">
        <v>397</v>
      </c>
      <c r="L329" s="20" t="s">
        <v>398</v>
      </c>
      <c r="M329" s="20" t="s">
        <v>399</v>
      </c>
    </row>
    <row r="330" spans="1:13" s="21" customFormat="1" x14ac:dyDescent="0.2">
      <c r="A330" s="20" t="s">
        <v>390</v>
      </c>
      <c r="B330" s="20" t="s">
        <v>901</v>
      </c>
      <c r="C330" s="20" t="s">
        <v>392</v>
      </c>
      <c r="D330" s="20" t="s">
        <v>393</v>
      </c>
      <c r="E330" s="20" t="s">
        <v>902</v>
      </c>
      <c r="F330" s="20"/>
      <c r="G330" s="20" t="s">
        <v>395</v>
      </c>
      <c r="H330" s="20">
        <v>1</v>
      </c>
      <c r="I330" s="20" t="s">
        <v>646</v>
      </c>
      <c r="J330" s="20" t="str">
        <f t="shared" si="5"/>
        <v>CN13</v>
      </c>
      <c r="K330" s="20" t="s">
        <v>397</v>
      </c>
      <c r="L330" s="20" t="s">
        <v>398</v>
      </c>
      <c r="M330" s="20" t="s">
        <v>399</v>
      </c>
    </row>
    <row r="331" spans="1:13" s="21" customFormat="1" x14ac:dyDescent="0.2">
      <c r="A331" s="20" t="s">
        <v>390</v>
      </c>
      <c r="B331" s="20" t="s">
        <v>903</v>
      </c>
      <c r="C331" s="20" t="s">
        <v>392</v>
      </c>
      <c r="D331" s="20" t="s">
        <v>393</v>
      </c>
      <c r="E331" s="20" t="s">
        <v>904</v>
      </c>
      <c r="F331" s="20"/>
      <c r="G331" s="20" t="s">
        <v>395</v>
      </c>
      <c r="H331" s="20">
        <v>1</v>
      </c>
      <c r="I331" s="20" t="s">
        <v>640</v>
      </c>
      <c r="J331" s="20" t="str">
        <f t="shared" si="5"/>
        <v>CN13</v>
      </c>
      <c r="K331" s="20" t="s">
        <v>397</v>
      </c>
      <c r="L331" s="20" t="s">
        <v>398</v>
      </c>
      <c r="M331" s="20" t="s">
        <v>399</v>
      </c>
    </row>
    <row r="332" spans="1:13" s="21" customFormat="1" x14ac:dyDescent="0.2">
      <c r="A332" s="20" t="s">
        <v>390</v>
      </c>
      <c r="B332" s="20" t="s">
        <v>905</v>
      </c>
      <c r="C332" s="20" t="s">
        <v>392</v>
      </c>
      <c r="D332" s="20" t="s">
        <v>393</v>
      </c>
      <c r="E332" s="20" t="s">
        <v>906</v>
      </c>
      <c r="F332" s="20"/>
      <c r="G332" s="20" t="s">
        <v>395</v>
      </c>
      <c r="H332" s="20">
        <v>1</v>
      </c>
      <c r="I332" s="20" t="s">
        <v>892</v>
      </c>
      <c r="J332" s="20" t="str">
        <f t="shared" si="5"/>
        <v>CN13</v>
      </c>
      <c r="K332" s="20" t="s">
        <v>397</v>
      </c>
      <c r="L332" s="20" t="s">
        <v>398</v>
      </c>
      <c r="M332" s="20" t="s">
        <v>399</v>
      </c>
    </row>
    <row r="333" spans="1:13" s="21" customFormat="1" x14ac:dyDescent="0.2">
      <c r="A333" s="20" t="s">
        <v>390</v>
      </c>
      <c r="B333" s="20" t="s">
        <v>907</v>
      </c>
      <c r="C333" s="20" t="s">
        <v>392</v>
      </c>
      <c r="D333" s="20" t="s">
        <v>393</v>
      </c>
      <c r="E333" s="20" t="s">
        <v>908</v>
      </c>
      <c r="F333" s="20"/>
      <c r="G333" s="20" t="s">
        <v>395</v>
      </c>
      <c r="H333" s="20">
        <v>1</v>
      </c>
      <c r="I333" s="20" t="s">
        <v>640</v>
      </c>
      <c r="J333" s="20" t="str">
        <f t="shared" si="5"/>
        <v>CN13</v>
      </c>
      <c r="K333" s="20" t="s">
        <v>397</v>
      </c>
      <c r="L333" s="20" t="s">
        <v>398</v>
      </c>
      <c r="M333" s="20" t="s">
        <v>399</v>
      </c>
    </row>
    <row r="334" spans="1:13" s="21" customFormat="1" x14ac:dyDescent="0.2">
      <c r="A334" s="20" t="s">
        <v>390</v>
      </c>
      <c r="B334" s="20" t="s">
        <v>909</v>
      </c>
      <c r="C334" s="20" t="s">
        <v>392</v>
      </c>
      <c r="D334" s="20" t="s">
        <v>393</v>
      </c>
      <c r="E334" s="20" t="s">
        <v>910</v>
      </c>
      <c r="F334" s="20"/>
      <c r="G334" s="20" t="s">
        <v>395</v>
      </c>
      <c r="H334" s="20">
        <v>1</v>
      </c>
      <c r="I334" s="20" t="s">
        <v>637</v>
      </c>
      <c r="J334" s="20" t="str">
        <f t="shared" si="5"/>
        <v>CN13</v>
      </c>
      <c r="K334" s="20" t="s">
        <v>397</v>
      </c>
      <c r="L334" s="20" t="s">
        <v>398</v>
      </c>
      <c r="M334" s="20" t="s">
        <v>399</v>
      </c>
    </row>
    <row r="335" spans="1:13" s="21" customFormat="1" x14ac:dyDescent="0.2">
      <c r="A335" s="20" t="s">
        <v>390</v>
      </c>
      <c r="B335" s="20" t="s">
        <v>911</v>
      </c>
      <c r="C335" s="20" t="s">
        <v>392</v>
      </c>
      <c r="D335" s="20" t="s">
        <v>393</v>
      </c>
      <c r="E335" s="20" t="s">
        <v>912</v>
      </c>
      <c r="F335" s="20"/>
      <c r="G335" s="20" t="s">
        <v>395</v>
      </c>
      <c r="H335" s="20">
        <v>1</v>
      </c>
      <c r="I335" s="20" t="s">
        <v>637</v>
      </c>
      <c r="J335" s="20" t="str">
        <f t="shared" si="5"/>
        <v>CN13</v>
      </c>
      <c r="K335" s="20" t="s">
        <v>397</v>
      </c>
      <c r="L335" s="20" t="s">
        <v>398</v>
      </c>
      <c r="M335" s="20" t="s">
        <v>399</v>
      </c>
    </row>
    <row r="336" spans="1:13" s="21" customFormat="1" x14ac:dyDescent="0.2">
      <c r="A336" s="20" t="s">
        <v>390</v>
      </c>
      <c r="B336" s="20" t="s">
        <v>913</v>
      </c>
      <c r="C336" s="20" t="s">
        <v>392</v>
      </c>
      <c r="D336" s="20" t="s">
        <v>393</v>
      </c>
      <c r="E336" s="20" t="s">
        <v>914</v>
      </c>
      <c r="F336" s="20"/>
      <c r="G336" s="20" t="s">
        <v>395</v>
      </c>
      <c r="H336" s="20">
        <v>1</v>
      </c>
      <c r="I336" s="20" t="s">
        <v>634</v>
      </c>
      <c r="J336" s="20" t="str">
        <f t="shared" si="5"/>
        <v>CN13</v>
      </c>
      <c r="K336" s="20" t="s">
        <v>397</v>
      </c>
      <c r="L336" s="20" t="s">
        <v>398</v>
      </c>
      <c r="M336" s="20" t="s">
        <v>399</v>
      </c>
    </row>
    <row r="337" spans="1:13" s="21" customFormat="1" x14ac:dyDescent="0.2">
      <c r="A337" s="20" t="s">
        <v>390</v>
      </c>
      <c r="B337" s="20" t="s">
        <v>915</v>
      </c>
      <c r="C337" s="20" t="s">
        <v>392</v>
      </c>
      <c r="D337" s="20" t="s">
        <v>393</v>
      </c>
      <c r="E337" s="20" t="s">
        <v>916</v>
      </c>
      <c r="F337" s="20"/>
      <c r="G337" s="20" t="s">
        <v>395</v>
      </c>
      <c r="H337" s="20">
        <v>1</v>
      </c>
      <c r="I337" s="20" t="s">
        <v>643</v>
      </c>
      <c r="J337" s="20" t="str">
        <f t="shared" si="5"/>
        <v>CN13</v>
      </c>
      <c r="K337" s="20" t="s">
        <v>397</v>
      </c>
      <c r="L337" s="20" t="s">
        <v>398</v>
      </c>
      <c r="M337" s="20" t="s">
        <v>399</v>
      </c>
    </row>
    <row r="338" spans="1:13" s="21" customFormat="1" x14ac:dyDescent="0.2">
      <c r="A338" s="20" t="s">
        <v>390</v>
      </c>
      <c r="B338" s="20" t="s">
        <v>917</v>
      </c>
      <c r="C338" s="20" t="s">
        <v>392</v>
      </c>
      <c r="D338" s="20" t="s">
        <v>393</v>
      </c>
      <c r="E338" s="20" t="s">
        <v>918</v>
      </c>
      <c r="F338" s="20"/>
      <c r="G338" s="20" t="s">
        <v>395</v>
      </c>
      <c r="H338" s="20">
        <v>1</v>
      </c>
      <c r="I338" s="20" t="s">
        <v>646</v>
      </c>
      <c r="J338" s="20" t="str">
        <f t="shared" si="5"/>
        <v>CN13</v>
      </c>
      <c r="K338" s="20" t="s">
        <v>397</v>
      </c>
      <c r="L338" s="20" t="s">
        <v>398</v>
      </c>
      <c r="M338" s="20" t="s">
        <v>399</v>
      </c>
    </row>
    <row r="339" spans="1:13" s="21" customFormat="1" x14ac:dyDescent="0.2">
      <c r="A339" s="20" t="s">
        <v>390</v>
      </c>
      <c r="B339" s="20" t="s">
        <v>919</v>
      </c>
      <c r="C339" s="20" t="s">
        <v>392</v>
      </c>
      <c r="D339" s="20" t="s">
        <v>393</v>
      </c>
      <c r="E339" s="20" t="s">
        <v>920</v>
      </c>
      <c r="F339" s="20"/>
      <c r="G339" s="20" t="s">
        <v>395</v>
      </c>
      <c r="H339" s="20">
        <v>1</v>
      </c>
      <c r="I339" s="20" t="s">
        <v>646</v>
      </c>
      <c r="J339" s="20" t="str">
        <f t="shared" si="5"/>
        <v>CN13</v>
      </c>
      <c r="K339" s="20" t="s">
        <v>397</v>
      </c>
      <c r="L339" s="20" t="s">
        <v>398</v>
      </c>
      <c r="M339" s="20" t="s">
        <v>399</v>
      </c>
    </row>
    <row r="340" spans="1:13" s="21" customFormat="1" x14ac:dyDescent="0.2">
      <c r="A340" s="20" t="s">
        <v>390</v>
      </c>
      <c r="B340" s="20" t="s">
        <v>921</v>
      </c>
      <c r="C340" s="20" t="s">
        <v>392</v>
      </c>
      <c r="D340" s="20" t="s">
        <v>393</v>
      </c>
      <c r="E340" s="20" t="s">
        <v>922</v>
      </c>
      <c r="F340" s="20"/>
      <c r="G340" s="20" t="s">
        <v>395</v>
      </c>
      <c r="H340" s="20">
        <v>1</v>
      </c>
      <c r="I340" s="20" t="s">
        <v>649</v>
      </c>
      <c r="J340" s="20" t="str">
        <f t="shared" si="5"/>
        <v>CN13</v>
      </c>
      <c r="K340" s="20" t="s">
        <v>397</v>
      </c>
      <c r="L340" s="20" t="s">
        <v>398</v>
      </c>
      <c r="M340" s="20" t="s">
        <v>399</v>
      </c>
    </row>
    <row r="341" spans="1:13" s="21" customFormat="1" x14ac:dyDescent="0.2">
      <c r="A341" s="20" t="s">
        <v>390</v>
      </c>
      <c r="B341" s="20" t="s">
        <v>923</v>
      </c>
      <c r="C341" s="20" t="s">
        <v>392</v>
      </c>
      <c r="D341" s="20" t="s">
        <v>393</v>
      </c>
      <c r="E341" s="20" t="s">
        <v>924</v>
      </c>
      <c r="F341" s="20"/>
      <c r="G341" s="20" t="s">
        <v>395</v>
      </c>
      <c r="H341" s="20">
        <v>1</v>
      </c>
      <c r="I341" s="20" t="s">
        <v>634</v>
      </c>
      <c r="J341" s="20" t="str">
        <f t="shared" si="5"/>
        <v>CN13</v>
      </c>
      <c r="K341" s="20" t="s">
        <v>397</v>
      </c>
      <c r="L341" s="20" t="s">
        <v>398</v>
      </c>
      <c r="M341" s="20" t="s">
        <v>399</v>
      </c>
    </row>
    <row r="342" spans="1:13" s="21" customFormat="1" x14ac:dyDescent="0.2">
      <c r="A342" s="20" t="s">
        <v>390</v>
      </c>
      <c r="B342" s="20" t="s">
        <v>925</v>
      </c>
      <c r="C342" s="20" t="s">
        <v>392</v>
      </c>
      <c r="D342" s="20" t="s">
        <v>393</v>
      </c>
      <c r="E342" s="20" t="s">
        <v>926</v>
      </c>
      <c r="F342" s="20"/>
      <c r="G342" s="20" t="s">
        <v>395</v>
      </c>
      <c r="H342" s="20">
        <v>1</v>
      </c>
      <c r="I342" s="20" t="s">
        <v>682</v>
      </c>
      <c r="J342" s="20" t="str">
        <f t="shared" si="5"/>
        <v>CN13</v>
      </c>
      <c r="K342" s="20" t="s">
        <v>397</v>
      </c>
      <c r="L342" s="20" t="s">
        <v>398</v>
      </c>
      <c r="M342" s="20" t="s">
        <v>399</v>
      </c>
    </row>
    <row r="343" spans="1:13" s="21" customFormat="1" x14ac:dyDescent="0.2">
      <c r="A343" s="20" t="s">
        <v>390</v>
      </c>
      <c r="B343" s="20" t="s">
        <v>927</v>
      </c>
      <c r="C343" s="20" t="s">
        <v>392</v>
      </c>
      <c r="D343" s="20" t="s">
        <v>393</v>
      </c>
      <c r="E343" s="20" t="s">
        <v>928</v>
      </c>
      <c r="F343" s="20"/>
      <c r="G343" s="20" t="s">
        <v>395</v>
      </c>
      <c r="H343" s="20">
        <v>1</v>
      </c>
      <c r="I343" s="20" t="s">
        <v>637</v>
      </c>
      <c r="J343" s="20" t="str">
        <f t="shared" si="5"/>
        <v>CN13</v>
      </c>
      <c r="K343" s="20" t="s">
        <v>397</v>
      </c>
      <c r="L343" s="20" t="s">
        <v>398</v>
      </c>
      <c r="M343" s="20" t="s">
        <v>399</v>
      </c>
    </row>
    <row r="344" spans="1:13" s="21" customFormat="1" x14ac:dyDescent="0.2">
      <c r="A344" s="20" t="s">
        <v>390</v>
      </c>
      <c r="B344" s="20" t="s">
        <v>929</v>
      </c>
      <c r="C344" s="20" t="s">
        <v>392</v>
      </c>
      <c r="D344" s="20" t="s">
        <v>393</v>
      </c>
      <c r="E344" s="20" t="s">
        <v>930</v>
      </c>
      <c r="F344" s="20"/>
      <c r="G344" s="20" t="s">
        <v>395</v>
      </c>
      <c r="H344" s="20">
        <v>1</v>
      </c>
      <c r="I344" s="20" t="s">
        <v>637</v>
      </c>
      <c r="J344" s="20" t="str">
        <f t="shared" si="5"/>
        <v>CN13</v>
      </c>
      <c r="K344" s="20" t="s">
        <v>397</v>
      </c>
      <c r="L344" s="20" t="s">
        <v>398</v>
      </c>
      <c r="M344" s="20" t="s">
        <v>399</v>
      </c>
    </row>
    <row r="345" spans="1:13" s="21" customFormat="1" x14ac:dyDescent="0.2">
      <c r="A345" s="20" t="s">
        <v>390</v>
      </c>
      <c r="B345" s="20" t="s">
        <v>931</v>
      </c>
      <c r="C345" s="20" t="s">
        <v>392</v>
      </c>
      <c r="D345" s="20" t="s">
        <v>393</v>
      </c>
      <c r="E345" s="20" t="s">
        <v>932</v>
      </c>
      <c r="F345" s="20"/>
      <c r="G345" s="20" t="s">
        <v>395</v>
      </c>
      <c r="H345" s="20">
        <v>1</v>
      </c>
      <c r="I345" s="20" t="s">
        <v>637</v>
      </c>
      <c r="J345" s="20" t="str">
        <f t="shared" si="5"/>
        <v>CN13</v>
      </c>
      <c r="K345" s="20" t="s">
        <v>397</v>
      </c>
      <c r="L345" s="20" t="s">
        <v>398</v>
      </c>
      <c r="M345" s="20" t="s">
        <v>399</v>
      </c>
    </row>
    <row r="346" spans="1:13" s="21" customFormat="1" x14ac:dyDescent="0.2">
      <c r="A346" s="20" t="s">
        <v>390</v>
      </c>
      <c r="B346" s="20" t="s">
        <v>933</v>
      </c>
      <c r="C346" s="20" t="s">
        <v>392</v>
      </c>
      <c r="D346" s="20" t="s">
        <v>393</v>
      </c>
      <c r="E346" s="20" t="s">
        <v>934</v>
      </c>
      <c r="F346" s="20"/>
      <c r="G346" s="20" t="s">
        <v>395</v>
      </c>
      <c r="H346" s="20">
        <v>1</v>
      </c>
      <c r="I346" s="20" t="s">
        <v>652</v>
      </c>
      <c r="J346" s="20" t="str">
        <f t="shared" si="5"/>
        <v>CN13</v>
      </c>
      <c r="K346" s="20" t="s">
        <v>397</v>
      </c>
      <c r="L346" s="20" t="s">
        <v>398</v>
      </c>
      <c r="M346" s="20" t="s">
        <v>399</v>
      </c>
    </row>
    <row r="347" spans="1:13" s="21" customFormat="1" x14ac:dyDescent="0.2">
      <c r="A347" s="20" t="s">
        <v>390</v>
      </c>
      <c r="B347" s="20" t="s">
        <v>935</v>
      </c>
      <c r="C347" s="20" t="s">
        <v>392</v>
      </c>
      <c r="D347" s="20" t="s">
        <v>393</v>
      </c>
      <c r="E347" s="20" t="s">
        <v>936</v>
      </c>
      <c r="F347" s="20"/>
      <c r="G347" s="20" t="s">
        <v>395</v>
      </c>
      <c r="H347" s="20">
        <v>1</v>
      </c>
      <c r="I347" s="20" t="s">
        <v>687</v>
      </c>
      <c r="J347" s="20" t="str">
        <f t="shared" si="5"/>
        <v>CN13</v>
      </c>
      <c r="K347" s="20" t="s">
        <v>397</v>
      </c>
      <c r="L347" s="20" t="s">
        <v>398</v>
      </c>
      <c r="M347" s="20" t="s">
        <v>399</v>
      </c>
    </row>
    <row r="348" spans="1:13" s="21" customFormat="1" x14ac:dyDescent="0.2">
      <c r="A348" s="20" t="s">
        <v>390</v>
      </c>
      <c r="B348" s="20" t="s">
        <v>937</v>
      </c>
      <c r="C348" s="20" t="s">
        <v>392</v>
      </c>
      <c r="D348" s="20" t="s">
        <v>393</v>
      </c>
      <c r="E348" s="20" t="s">
        <v>938</v>
      </c>
      <c r="F348" s="20"/>
      <c r="G348" s="20" t="s">
        <v>395</v>
      </c>
      <c r="H348" s="20">
        <v>1</v>
      </c>
      <c r="I348" s="20" t="s">
        <v>682</v>
      </c>
      <c r="J348" s="20" t="str">
        <f t="shared" si="5"/>
        <v>CN13</v>
      </c>
      <c r="K348" s="20" t="s">
        <v>397</v>
      </c>
      <c r="L348" s="20" t="s">
        <v>398</v>
      </c>
      <c r="M348" s="20" t="s">
        <v>399</v>
      </c>
    </row>
    <row r="349" spans="1:13" s="21" customFormat="1" x14ac:dyDescent="0.2">
      <c r="A349" s="20" t="s">
        <v>390</v>
      </c>
      <c r="B349" s="20" t="s">
        <v>939</v>
      </c>
      <c r="C349" s="20" t="s">
        <v>392</v>
      </c>
      <c r="D349" s="20" t="s">
        <v>393</v>
      </c>
      <c r="E349" s="20" t="s">
        <v>940</v>
      </c>
      <c r="F349" s="20"/>
      <c r="G349" s="20" t="s">
        <v>395</v>
      </c>
      <c r="H349" s="20">
        <v>1</v>
      </c>
      <c r="I349" s="20" t="s">
        <v>640</v>
      </c>
      <c r="J349" s="20" t="str">
        <f t="shared" si="5"/>
        <v>CN13</v>
      </c>
      <c r="K349" s="20" t="s">
        <v>397</v>
      </c>
      <c r="L349" s="20" t="s">
        <v>398</v>
      </c>
      <c r="M349" s="20" t="s">
        <v>399</v>
      </c>
    </row>
    <row r="350" spans="1:13" s="21" customFormat="1" x14ac:dyDescent="0.2">
      <c r="A350" s="20" t="s">
        <v>390</v>
      </c>
      <c r="B350" s="20" t="s">
        <v>941</v>
      </c>
      <c r="C350" s="20" t="s">
        <v>392</v>
      </c>
      <c r="D350" s="20" t="s">
        <v>393</v>
      </c>
      <c r="E350" s="20" t="s">
        <v>942</v>
      </c>
      <c r="F350" s="20"/>
      <c r="G350" s="20" t="s">
        <v>395</v>
      </c>
      <c r="H350" s="20">
        <v>1</v>
      </c>
      <c r="I350" s="20" t="s">
        <v>640</v>
      </c>
      <c r="J350" s="20" t="str">
        <f t="shared" si="5"/>
        <v>CN13</v>
      </c>
      <c r="K350" s="20" t="s">
        <v>397</v>
      </c>
      <c r="L350" s="20" t="s">
        <v>398</v>
      </c>
      <c r="M350" s="20" t="s">
        <v>399</v>
      </c>
    </row>
    <row r="351" spans="1:13" s="21" customFormat="1" x14ac:dyDescent="0.2">
      <c r="A351" s="20" t="s">
        <v>390</v>
      </c>
      <c r="B351" s="20" t="s">
        <v>943</v>
      </c>
      <c r="C351" s="20" t="s">
        <v>392</v>
      </c>
      <c r="D351" s="20" t="s">
        <v>393</v>
      </c>
      <c r="E351" s="20" t="s">
        <v>944</v>
      </c>
      <c r="F351" s="20"/>
      <c r="G351" s="20" t="s">
        <v>395</v>
      </c>
      <c r="H351" s="20">
        <v>1</v>
      </c>
      <c r="I351" s="20" t="s">
        <v>640</v>
      </c>
      <c r="J351" s="20" t="str">
        <f t="shared" si="5"/>
        <v>CN13</v>
      </c>
      <c r="K351" s="20" t="s">
        <v>397</v>
      </c>
      <c r="L351" s="20" t="s">
        <v>398</v>
      </c>
      <c r="M351" s="20" t="s">
        <v>399</v>
      </c>
    </row>
    <row r="352" spans="1:13" s="21" customFormat="1" x14ac:dyDescent="0.2">
      <c r="A352" s="20" t="s">
        <v>390</v>
      </c>
      <c r="B352" s="20" t="s">
        <v>945</v>
      </c>
      <c r="C352" s="20" t="s">
        <v>392</v>
      </c>
      <c r="D352" s="20" t="s">
        <v>393</v>
      </c>
      <c r="E352" s="20" t="s">
        <v>946</v>
      </c>
      <c r="F352" s="20"/>
      <c r="G352" s="20" t="s">
        <v>395</v>
      </c>
      <c r="H352" s="20">
        <v>1</v>
      </c>
      <c r="I352" s="20" t="s">
        <v>682</v>
      </c>
      <c r="J352" s="20" t="str">
        <f t="shared" si="5"/>
        <v>CN13</v>
      </c>
      <c r="K352" s="20" t="s">
        <v>397</v>
      </c>
      <c r="L352" s="20" t="s">
        <v>398</v>
      </c>
      <c r="M352" s="20" t="s">
        <v>399</v>
      </c>
    </row>
    <row r="353" spans="1:13" s="21" customFormat="1" x14ac:dyDescent="0.2">
      <c r="A353" s="20" t="s">
        <v>390</v>
      </c>
      <c r="B353" s="20" t="s">
        <v>947</v>
      </c>
      <c r="C353" s="20" t="s">
        <v>392</v>
      </c>
      <c r="D353" s="20" t="s">
        <v>393</v>
      </c>
      <c r="E353" s="20" t="s">
        <v>948</v>
      </c>
      <c r="F353" s="20"/>
      <c r="G353" s="20" t="s">
        <v>395</v>
      </c>
      <c r="H353" s="20">
        <v>1</v>
      </c>
      <c r="I353" s="20" t="s">
        <v>682</v>
      </c>
      <c r="J353" s="20" t="str">
        <f t="shared" si="5"/>
        <v>CN13</v>
      </c>
      <c r="K353" s="20" t="s">
        <v>397</v>
      </c>
      <c r="L353" s="20" t="s">
        <v>398</v>
      </c>
      <c r="M353" s="20" t="s">
        <v>399</v>
      </c>
    </row>
    <row r="354" spans="1:13" s="21" customFormat="1" x14ac:dyDescent="0.2">
      <c r="A354" s="20" t="s">
        <v>390</v>
      </c>
      <c r="B354" s="20" t="s">
        <v>949</v>
      </c>
      <c r="C354" s="20" t="s">
        <v>392</v>
      </c>
      <c r="D354" s="20" t="s">
        <v>393</v>
      </c>
      <c r="E354" s="20" t="s">
        <v>950</v>
      </c>
      <c r="F354" s="20"/>
      <c r="G354" s="20" t="s">
        <v>395</v>
      </c>
      <c r="H354" s="20">
        <v>1</v>
      </c>
      <c r="I354" s="20" t="s">
        <v>634</v>
      </c>
      <c r="J354" s="20" t="str">
        <f t="shared" si="5"/>
        <v>CN13</v>
      </c>
      <c r="K354" s="20" t="s">
        <v>397</v>
      </c>
      <c r="L354" s="20" t="s">
        <v>398</v>
      </c>
      <c r="M354" s="20" t="s">
        <v>399</v>
      </c>
    </row>
    <row r="355" spans="1:13" s="21" customFormat="1" x14ac:dyDescent="0.2">
      <c r="A355" s="20" t="s">
        <v>390</v>
      </c>
      <c r="B355" s="20" t="s">
        <v>951</v>
      </c>
      <c r="C355" s="20" t="s">
        <v>392</v>
      </c>
      <c r="D355" s="20" t="s">
        <v>393</v>
      </c>
      <c r="E355" s="20" t="s">
        <v>952</v>
      </c>
      <c r="F355" s="20"/>
      <c r="G355" s="20" t="s">
        <v>395</v>
      </c>
      <c r="H355" s="20">
        <v>1</v>
      </c>
      <c r="I355" s="20" t="s">
        <v>643</v>
      </c>
      <c r="J355" s="20" t="str">
        <f t="shared" si="5"/>
        <v>CN13</v>
      </c>
      <c r="K355" s="20" t="s">
        <v>397</v>
      </c>
      <c r="L355" s="20" t="s">
        <v>398</v>
      </c>
      <c r="M355" s="20" t="s">
        <v>399</v>
      </c>
    </row>
    <row r="356" spans="1:13" s="21" customFormat="1" x14ac:dyDescent="0.2">
      <c r="A356" s="20" t="s">
        <v>390</v>
      </c>
      <c r="B356" s="20" t="s">
        <v>953</v>
      </c>
      <c r="C356" s="20" t="s">
        <v>392</v>
      </c>
      <c r="D356" s="20" t="s">
        <v>393</v>
      </c>
      <c r="E356" s="20" t="s">
        <v>954</v>
      </c>
      <c r="F356" s="20"/>
      <c r="G356" s="20" t="s">
        <v>395</v>
      </c>
      <c r="H356" s="20">
        <v>1</v>
      </c>
      <c r="I356" s="20" t="s">
        <v>634</v>
      </c>
      <c r="J356" s="20" t="str">
        <f t="shared" si="5"/>
        <v>CN13</v>
      </c>
      <c r="K356" s="20" t="s">
        <v>397</v>
      </c>
      <c r="L356" s="20" t="s">
        <v>398</v>
      </c>
      <c r="M356" s="20" t="s">
        <v>399</v>
      </c>
    </row>
    <row r="357" spans="1:13" s="21" customFormat="1" x14ac:dyDescent="0.2">
      <c r="A357" s="20" t="s">
        <v>390</v>
      </c>
      <c r="B357" s="20" t="s">
        <v>955</v>
      </c>
      <c r="C357" s="20" t="s">
        <v>392</v>
      </c>
      <c r="D357" s="20" t="s">
        <v>393</v>
      </c>
      <c r="E357" s="20" t="s">
        <v>956</v>
      </c>
      <c r="F357" s="20"/>
      <c r="G357" s="20" t="s">
        <v>395</v>
      </c>
      <c r="H357" s="20">
        <v>1</v>
      </c>
      <c r="I357" s="20" t="s">
        <v>646</v>
      </c>
      <c r="J357" s="20" t="str">
        <f t="shared" si="5"/>
        <v>CN13</v>
      </c>
      <c r="K357" s="20" t="s">
        <v>397</v>
      </c>
      <c r="L357" s="20" t="s">
        <v>398</v>
      </c>
      <c r="M357" s="20" t="s">
        <v>399</v>
      </c>
    </row>
    <row r="358" spans="1:13" s="21" customFormat="1" x14ac:dyDescent="0.2">
      <c r="A358" s="20" t="s">
        <v>390</v>
      </c>
      <c r="B358" s="20" t="s">
        <v>957</v>
      </c>
      <c r="C358" s="20" t="s">
        <v>392</v>
      </c>
      <c r="D358" s="20" t="s">
        <v>393</v>
      </c>
      <c r="E358" s="20" t="s">
        <v>958</v>
      </c>
      <c r="F358" s="20"/>
      <c r="G358" s="20" t="s">
        <v>395</v>
      </c>
      <c r="H358" s="20">
        <v>1</v>
      </c>
      <c r="I358" s="20" t="s">
        <v>682</v>
      </c>
      <c r="J358" s="20" t="str">
        <f t="shared" si="5"/>
        <v>CN13</v>
      </c>
      <c r="K358" s="20" t="s">
        <v>397</v>
      </c>
      <c r="L358" s="20" t="s">
        <v>398</v>
      </c>
      <c r="M358" s="20" t="s">
        <v>399</v>
      </c>
    </row>
    <row r="359" spans="1:13" s="21" customFormat="1" x14ac:dyDescent="0.2">
      <c r="A359" s="20" t="s">
        <v>390</v>
      </c>
      <c r="B359" s="20" t="s">
        <v>959</v>
      </c>
      <c r="C359" s="20" t="s">
        <v>392</v>
      </c>
      <c r="D359" s="20" t="s">
        <v>393</v>
      </c>
      <c r="E359" s="20" t="s">
        <v>960</v>
      </c>
      <c r="F359" s="20"/>
      <c r="G359" s="20" t="s">
        <v>395</v>
      </c>
      <c r="H359" s="20">
        <v>1</v>
      </c>
      <c r="I359" s="20" t="s">
        <v>643</v>
      </c>
      <c r="J359" s="20" t="str">
        <f t="shared" si="5"/>
        <v>CN13</v>
      </c>
      <c r="K359" s="20" t="s">
        <v>397</v>
      </c>
      <c r="L359" s="20" t="s">
        <v>398</v>
      </c>
      <c r="M359" s="20" t="s">
        <v>399</v>
      </c>
    </row>
    <row r="360" spans="1:13" s="21" customFormat="1" x14ac:dyDescent="0.2">
      <c r="A360" s="20" t="s">
        <v>390</v>
      </c>
      <c r="B360" s="20" t="s">
        <v>961</v>
      </c>
      <c r="C360" s="20" t="s">
        <v>392</v>
      </c>
      <c r="D360" s="20" t="s">
        <v>393</v>
      </c>
      <c r="E360" s="20" t="s">
        <v>962</v>
      </c>
      <c r="F360" s="20"/>
      <c r="G360" s="20" t="s">
        <v>395</v>
      </c>
      <c r="H360" s="20">
        <v>1</v>
      </c>
      <c r="I360" s="20" t="s">
        <v>687</v>
      </c>
      <c r="J360" s="20" t="str">
        <f t="shared" si="5"/>
        <v>CN13</v>
      </c>
      <c r="K360" s="20" t="s">
        <v>397</v>
      </c>
      <c r="L360" s="20" t="s">
        <v>398</v>
      </c>
      <c r="M360" s="20" t="s">
        <v>399</v>
      </c>
    </row>
    <row r="361" spans="1:13" s="21" customFormat="1" x14ac:dyDescent="0.2">
      <c r="A361" s="20" t="s">
        <v>390</v>
      </c>
      <c r="B361" s="20" t="s">
        <v>963</v>
      </c>
      <c r="C361" s="20" t="s">
        <v>392</v>
      </c>
      <c r="D361" s="20" t="s">
        <v>393</v>
      </c>
      <c r="E361" s="20" t="s">
        <v>964</v>
      </c>
      <c r="F361" s="20"/>
      <c r="G361" s="20" t="s">
        <v>395</v>
      </c>
      <c r="H361" s="20">
        <v>1</v>
      </c>
      <c r="I361" s="20" t="s">
        <v>634</v>
      </c>
      <c r="J361" s="20" t="str">
        <f t="shared" si="5"/>
        <v>CN13</v>
      </c>
      <c r="K361" s="20" t="s">
        <v>397</v>
      </c>
      <c r="L361" s="20" t="s">
        <v>398</v>
      </c>
      <c r="M361" s="20" t="s">
        <v>399</v>
      </c>
    </row>
    <row r="362" spans="1:13" s="21" customFormat="1" x14ac:dyDescent="0.2">
      <c r="A362" s="20" t="s">
        <v>390</v>
      </c>
      <c r="B362" s="20" t="s">
        <v>965</v>
      </c>
      <c r="C362" s="20" t="s">
        <v>392</v>
      </c>
      <c r="D362" s="20" t="s">
        <v>393</v>
      </c>
      <c r="E362" s="20" t="s">
        <v>966</v>
      </c>
      <c r="F362" s="20"/>
      <c r="G362" s="20" t="s">
        <v>395</v>
      </c>
      <c r="H362" s="20">
        <v>1</v>
      </c>
      <c r="I362" s="20" t="s">
        <v>643</v>
      </c>
      <c r="J362" s="20" t="str">
        <f t="shared" si="5"/>
        <v>CN13</v>
      </c>
      <c r="K362" s="20" t="s">
        <v>397</v>
      </c>
      <c r="L362" s="20" t="s">
        <v>398</v>
      </c>
      <c r="M362" s="20" t="s">
        <v>399</v>
      </c>
    </row>
    <row r="363" spans="1:13" s="21" customFormat="1" x14ac:dyDescent="0.2">
      <c r="A363" s="20" t="s">
        <v>390</v>
      </c>
      <c r="B363" s="20" t="s">
        <v>967</v>
      </c>
      <c r="C363" s="20" t="s">
        <v>392</v>
      </c>
      <c r="D363" s="20" t="s">
        <v>393</v>
      </c>
      <c r="E363" s="20" t="s">
        <v>968</v>
      </c>
      <c r="F363" s="20"/>
      <c r="G363" s="20" t="s">
        <v>395</v>
      </c>
      <c r="H363" s="20">
        <v>1</v>
      </c>
      <c r="I363" s="20" t="s">
        <v>634</v>
      </c>
      <c r="J363" s="20" t="str">
        <f t="shared" si="5"/>
        <v>CN13</v>
      </c>
      <c r="K363" s="20" t="s">
        <v>397</v>
      </c>
      <c r="L363" s="20" t="s">
        <v>398</v>
      </c>
      <c r="M363" s="20" t="s">
        <v>399</v>
      </c>
    </row>
    <row r="364" spans="1:13" s="21" customFormat="1" x14ac:dyDescent="0.2">
      <c r="A364" s="20" t="s">
        <v>390</v>
      </c>
      <c r="B364" s="20" t="s">
        <v>969</v>
      </c>
      <c r="C364" s="20" t="s">
        <v>392</v>
      </c>
      <c r="D364" s="20" t="s">
        <v>393</v>
      </c>
      <c r="E364" s="20" t="s">
        <v>970</v>
      </c>
      <c r="F364" s="20"/>
      <c r="G364" s="20" t="s">
        <v>395</v>
      </c>
      <c r="H364" s="20">
        <v>1</v>
      </c>
      <c r="I364" s="20" t="s">
        <v>637</v>
      </c>
      <c r="J364" s="20" t="str">
        <f t="shared" si="5"/>
        <v>CN13</v>
      </c>
      <c r="K364" s="20" t="s">
        <v>397</v>
      </c>
      <c r="L364" s="20" t="s">
        <v>398</v>
      </c>
      <c r="M364" s="20" t="s">
        <v>399</v>
      </c>
    </row>
    <row r="365" spans="1:13" s="21" customFormat="1" x14ac:dyDescent="0.2">
      <c r="A365" s="20" t="s">
        <v>390</v>
      </c>
      <c r="B365" s="20" t="s">
        <v>971</v>
      </c>
      <c r="C365" s="20" t="s">
        <v>392</v>
      </c>
      <c r="D365" s="20" t="s">
        <v>393</v>
      </c>
      <c r="E365" s="20" t="s">
        <v>972</v>
      </c>
      <c r="F365" s="20"/>
      <c r="G365" s="20" t="s">
        <v>395</v>
      </c>
      <c r="H365" s="20">
        <v>1</v>
      </c>
      <c r="I365" s="20" t="s">
        <v>652</v>
      </c>
      <c r="J365" s="20" t="str">
        <f t="shared" si="5"/>
        <v>CN13</v>
      </c>
      <c r="K365" s="20" t="s">
        <v>397</v>
      </c>
      <c r="L365" s="20" t="s">
        <v>398</v>
      </c>
      <c r="M365" s="20" t="s">
        <v>399</v>
      </c>
    </row>
    <row r="366" spans="1:13" s="21" customFormat="1" x14ac:dyDescent="0.2">
      <c r="A366" s="20" t="s">
        <v>390</v>
      </c>
      <c r="B366" s="20" t="s">
        <v>973</v>
      </c>
      <c r="C366" s="20" t="s">
        <v>392</v>
      </c>
      <c r="D366" s="20" t="s">
        <v>393</v>
      </c>
      <c r="E366" s="20" t="s">
        <v>974</v>
      </c>
      <c r="F366" s="20"/>
      <c r="G366" s="20" t="s">
        <v>395</v>
      </c>
      <c r="H366" s="20">
        <v>1</v>
      </c>
      <c r="I366" s="22" t="s">
        <v>409</v>
      </c>
      <c r="J366" s="20" t="str">
        <f t="shared" si="5"/>
        <v>CN17</v>
      </c>
      <c r="K366" s="20" t="s">
        <v>397</v>
      </c>
      <c r="L366" s="20" t="s">
        <v>398</v>
      </c>
      <c r="M366" s="20" t="s">
        <v>399</v>
      </c>
    </row>
    <row r="367" spans="1:13" s="21" customFormat="1" x14ac:dyDescent="0.2">
      <c r="A367" s="20" t="s">
        <v>390</v>
      </c>
      <c r="B367" s="20" t="s">
        <v>975</v>
      </c>
      <c r="C367" s="20" t="s">
        <v>392</v>
      </c>
      <c r="D367" s="20" t="s">
        <v>393</v>
      </c>
      <c r="E367" s="20" t="s">
        <v>976</v>
      </c>
      <c r="F367" s="20"/>
      <c r="G367" s="20" t="s">
        <v>395</v>
      </c>
      <c r="H367" s="20">
        <v>1</v>
      </c>
      <c r="I367" s="22" t="s">
        <v>409</v>
      </c>
      <c r="J367" s="20" t="str">
        <f t="shared" si="5"/>
        <v>CN17</v>
      </c>
      <c r="K367" s="20" t="s">
        <v>397</v>
      </c>
      <c r="L367" s="20" t="s">
        <v>398</v>
      </c>
      <c r="M367" s="20" t="s">
        <v>399</v>
      </c>
    </row>
    <row r="368" spans="1:13" s="21" customFormat="1" x14ac:dyDescent="0.2">
      <c r="A368" s="20" t="s">
        <v>390</v>
      </c>
      <c r="B368" s="20" t="s">
        <v>977</v>
      </c>
      <c r="C368" s="20" t="s">
        <v>392</v>
      </c>
      <c r="D368" s="20" t="s">
        <v>393</v>
      </c>
      <c r="E368" s="20" t="s">
        <v>978</v>
      </c>
      <c r="F368" s="20"/>
      <c r="G368" s="20" t="s">
        <v>395</v>
      </c>
      <c r="H368" s="20">
        <v>1</v>
      </c>
      <c r="I368" s="22" t="s">
        <v>409</v>
      </c>
      <c r="J368" s="20" t="str">
        <f t="shared" si="5"/>
        <v>CN17</v>
      </c>
      <c r="K368" s="20" t="s">
        <v>397</v>
      </c>
      <c r="L368" s="20" t="s">
        <v>398</v>
      </c>
      <c r="M368" s="20" t="s">
        <v>399</v>
      </c>
    </row>
    <row r="369" spans="1:13" s="21" customFormat="1" x14ac:dyDescent="0.2">
      <c r="A369" s="20" t="s">
        <v>390</v>
      </c>
      <c r="B369" s="20" t="s">
        <v>979</v>
      </c>
      <c r="C369" s="20" t="s">
        <v>392</v>
      </c>
      <c r="D369" s="20" t="s">
        <v>393</v>
      </c>
      <c r="E369" s="20" t="s">
        <v>980</v>
      </c>
      <c r="F369" s="20"/>
      <c r="G369" s="20" t="s">
        <v>395</v>
      </c>
      <c r="H369" s="20">
        <v>1</v>
      </c>
      <c r="I369" s="22" t="s">
        <v>409</v>
      </c>
      <c r="J369" s="20" t="str">
        <f t="shared" si="5"/>
        <v>CN17</v>
      </c>
      <c r="K369" s="20" t="s">
        <v>397</v>
      </c>
      <c r="L369" s="20" t="s">
        <v>398</v>
      </c>
      <c r="M369" s="20" t="s">
        <v>399</v>
      </c>
    </row>
    <row r="370" spans="1:13" s="21" customFormat="1" x14ac:dyDescent="0.2">
      <c r="A370" s="20" t="s">
        <v>390</v>
      </c>
      <c r="B370" s="20" t="s">
        <v>981</v>
      </c>
      <c r="C370" s="20" t="s">
        <v>392</v>
      </c>
      <c r="D370" s="20" t="s">
        <v>393</v>
      </c>
      <c r="E370" s="20" t="s">
        <v>982</v>
      </c>
      <c r="F370" s="20"/>
      <c r="G370" s="20" t="s">
        <v>395</v>
      </c>
      <c r="H370" s="20">
        <v>1</v>
      </c>
      <c r="I370" s="22" t="s">
        <v>409</v>
      </c>
      <c r="J370" s="20" t="str">
        <f t="shared" si="5"/>
        <v>CN17</v>
      </c>
      <c r="K370" s="20" t="s">
        <v>397</v>
      </c>
      <c r="L370" s="20" t="s">
        <v>398</v>
      </c>
      <c r="M370" s="20" t="s">
        <v>399</v>
      </c>
    </row>
    <row r="371" spans="1:13" s="21" customFormat="1" x14ac:dyDescent="0.2">
      <c r="A371" s="20" t="s">
        <v>390</v>
      </c>
      <c r="B371" s="20" t="s">
        <v>983</v>
      </c>
      <c r="C371" s="20" t="s">
        <v>392</v>
      </c>
      <c r="D371" s="20" t="s">
        <v>393</v>
      </c>
      <c r="E371" s="20" t="s">
        <v>984</v>
      </c>
      <c r="F371" s="20"/>
      <c r="G371" s="20" t="s">
        <v>395</v>
      </c>
      <c r="H371" s="20">
        <v>1</v>
      </c>
      <c r="I371" s="22" t="s">
        <v>409</v>
      </c>
      <c r="J371" s="20" t="str">
        <f t="shared" si="5"/>
        <v>CN17</v>
      </c>
      <c r="K371" s="20" t="s">
        <v>397</v>
      </c>
      <c r="L371" s="20" t="s">
        <v>398</v>
      </c>
      <c r="M371" s="20" t="s">
        <v>399</v>
      </c>
    </row>
    <row r="372" spans="1:13" s="21" customFormat="1" x14ac:dyDescent="0.2">
      <c r="A372" s="20" t="s">
        <v>390</v>
      </c>
      <c r="B372" s="20" t="s">
        <v>985</v>
      </c>
      <c r="C372" s="20" t="s">
        <v>392</v>
      </c>
      <c r="D372" s="20" t="s">
        <v>393</v>
      </c>
      <c r="E372" s="20" t="s">
        <v>986</v>
      </c>
      <c r="F372" s="20"/>
      <c r="G372" s="20" t="s">
        <v>395</v>
      </c>
      <c r="H372" s="20">
        <v>1</v>
      </c>
      <c r="I372" s="22" t="s">
        <v>409</v>
      </c>
      <c r="J372" s="20" t="str">
        <f t="shared" si="5"/>
        <v>CN17</v>
      </c>
      <c r="K372" s="20" t="s">
        <v>397</v>
      </c>
      <c r="L372" s="20" t="s">
        <v>398</v>
      </c>
      <c r="M372" s="20" t="s">
        <v>399</v>
      </c>
    </row>
    <row r="373" spans="1:13" s="21" customFormat="1" x14ac:dyDescent="0.2">
      <c r="A373" s="20" t="s">
        <v>390</v>
      </c>
      <c r="B373" s="20" t="s">
        <v>987</v>
      </c>
      <c r="C373" s="20" t="s">
        <v>392</v>
      </c>
      <c r="D373" s="20" t="s">
        <v>393</v>
      </c>
      <c r="E373" s="20" t="s">
        <v>988</v>
      </c>
      <c r="F373" s="20"/>
      <c r="G373" s="20" t="s">
        <v>395</v>
      </c>
      <c r="H373" s="20">
        <v>1</v>
      </c>
      <c r="I373" s="22" t="s">
        <v>409</v>
      </c>
      <c r="J373" s="20" t="str">
        <f t="shared" si="5"/>
        <v>CN17</v>
      </c>
      <c r="K373" s="20" t="s">
        <v>397</v>
      </c>
      <c r="L373" s="20" t="s">
        <v>398</v>
      </c>
      <c r="M373" s="20" t="s">
        <v>399</v>
      </c>
    </row>
    <row r="374" spans="1:13" s="21" customFormat="1" x14ac:dyDescent="0.2">
      <c r="A374" s="20" t="s">
        <v>390</v>
      </c>
      <c r="B374" s="20" t="s">
        <v>989</v>
      </c>
      <c r="C374" s="20" t="s">
        <v>392</v>
      </c>
      <c r="D374" s="20" t="s">
        <v>393</v>
      </c>
      <c r="E374" s="20" t="s">
        <v>990</v>
      </c>
      <c r="F374" s="20"/>
      <c r="G374" s="20" t="s">
        <v>395</v>
      </c>
      <c r="H374" s="20">
        <v>1</v>
      </c>
      <c r="I374" s="22" t="s">
        <v>409</v>
      </c>
      <c r="J374" s="20" t="str">
        <f t="shared" si="5"/>
        <v>CN17</v>
      </c>
      <c r="K374" s="20" t="s">
        <v>397</v>
      </c>
      <c r="L374" s="20" t="s">
        <v>398</v>
      </c>
      <c r="M374" s="20" t="s">
        <v>399</v>
      </c>
    </row>
    <row r="375" spans="1:13" s="21" customFormat="1" x14ac:dyDescent="0.2">
      <c r="A375" s="20" t="s">
        <v>390</v>
      </c>
      <c r="B375" s="20" t="s">
        <v>991</v>
      </c>
      <c r="C375" s="20" t="s">
        <v>392</v>
      </c>
      <c r="D375" s="20" t="s">
        <v>393</v>
      </c>
      <c r="E375" s="20" t="s">
        <v>992</v>
      </c>
      <c r="F375" s="20"/>
      <c r="G375" s="20" t="s">
        <v>395</v>
      </c>
      <c r="H375" s="20">
        <v>1</v>
      </c>
      <c r="I375" s="22" t="s">
        <v>409</v>
      </c>
      <c r="J375" s="20" t="str">
        <f t="shared" si="5"/>
        <v>CN17</v>
      </c>
      <c r="K375" s="20" t="s">
        <v>397</v>
      </c>
      <c r="L375" s="20" t="s">
        <v>398</v>
      </c>
      <c r="M375" s="20" t="s">
        <v>399</v>
      </c>
    </row>
    <row r="376" spans="1:13" s="21" customFormat="1" x14ac:dyDescent="0.2">
      <c r="A376" s="20" t="s">
        <v>390</v>
      </c>
      <c r="B376" s="20" t="s">
        <v>993</v>
      </c>
      <c r="C376" s="20" t="s">
        <v>392</v>
      </c>
      <c r="D376" s="20" t="s">
        <v>393</v>
      </c>
      <c r="E376" s="20" t="s">
        <v>994</v>
      </c>
      <c r="F376" s="20"/>
      <c r="G376" s="20" t="s">
        <v>395</v>
      </c>
      <c r="H376" s="20">
        <v>1</v>
      </c>
      <c r="I376" s="22" t="s">
        <v>409</v>
      </c>
      <c r="J376" s="20" t="str">
        <f t="shared" si="5"/>
        <v>CN17</v>
      </c>
      <c r="K376" s="20" t="s">
        <v>397</v>
      </c>
      <c r="L376" s="20" t="s">
        <v>398</v>
      </c>
      <c r="M376" s="20" t="s">
        <v>399</v>
      </c>
    </row>
    <row r="377" spans="1:13" s="21" customFormat="1" x14ac:dyDescent="0.2">
      <c r="A377" s="20" t="s">
        <v>390</v>
      </c>
      <c r="B377" s="20" t="s">
        <v>995</v>
      </c>
      <c r="C377" s="20" t="s">
        <v>392</v>
      </c>
      <c r="D377" s="20" t="s">
        <v>393</v>
      </c>
      <c r="E377" s="20" t="s">
        <v>996</v>
      </c>
      <c r="F377" s="20"/>
      <c r="G377" s="20" t="s">
        <v>395</v>
      </c>
      <c r="H377" s="20">
        <v>1</v>
      </c>
      <c r="I377" s="22" t="s">
        <v>409</v>
      </c>
      <c r="J377" s="20" t="str">
        <f t="shared" si="5"/>
        <v>CN17</v>
      </c>
      <c r="K377" s="20" t="s">
        <v>397</v>
      </c>
      <c r="L377" s="20" t="s">
        <v>398</v>
      </c>
      <c r="M377" s="20" t="s">
        <v>399</v>
      </c>
    </row>
    <row r="378" spans="1:13" s="21" customFormat="1" x14ac:dyDescent="0.2">
      <c r="A378" s="20" t="s">
        <v>390</v>
      </c>
      <c r="B378" s="20" t="s">
        <v>997</v>
      </c>
      <c r="C378" s="20" t="s">
        <v>392</v>
      </c>
      <c r="D378" s="20" t="s">
        <v>393</v>
      </c>
      <c r="E378" s="20" t="s">
        <v>998</v>
      </c>
      <c r="F378" s="20"/>
      <c r="G378" s="20" t="s">
        <v>395</v>
      </c>
      <c r="H378" s="20">
        <v>1</v>
      </c>
      <c r="I378" s="22" t="s">
        <v>409</v>
      </c>
      <c r="J378" s="20" t="str">
        <f t="shared" si="5"/>
        <v>CN17</v>
      </c>
      <c r="K378" s="20" t="s">
        <v>397</v>
      </c>
      <c r="L378" s="20" t="s">
        <v>398</v>
      </c>
      <c r="M378" s="20" t="s">
        <v>399</v>
      </c>
    </row>
    <row r="379" spans="1:13" s="21" customFormat="1" x14ac:dyDescent="0.2">
      <c r="A379" s="20" t="s">
        <v>390</v>
      </c>
      <c r="B379" s="20" t="s">
        <v>999</v>
      </c>
      <c r="C379" s="20" t="s">
        <v>392</v>
      </c>
      <c r="D379" s="20" t="s">
        <v>393</v>
      </c>
      <c r="E379" s="20" t="s">
        <v>1000</v>
      </c>
      <c r="F379" s="20"/>
      <c r="G379" s="20" t="s">
        <v>395</v>
      </c>
      <c r="H379" s="20">
        <v>1</v>
      </c>
      <c r="I379" s="22" t="s">
        <v>409</v>
      </c>
      <c r="J379" s="20" t="str">
        <f t="shared" si="5"/>
        <v>CN17</v>
      </c>
      <c r="K379" s="20" t="s">
        <v>397</v>
      </c>
      <c r="L379" s="20" t="s">
        <v>398</v>
      </c>
      <c r="M379" s="20" t="s">
        <v>399</v>
      </c>
    </row>
    <row r="380" spans="1:13" s="21" customFormat="1" x14ac:dyDescent="0.2">
      <c r="A380" s="20" t="s">
        <v>390</v>
      </c>
      <c r="B380" s="20" t="s">
        <v>1001</v>
      </c>
      <c r="C380" s="20" t="s">
        <v>392</v>
      </c>
      <c r="D380" s="20" t="s">
        <v>393</v>
      </c>
      <c r="E380" s="20" t="s">
        <v>1002</v>
      </c>
      <c r="F380" s="20"/>
      <c r="G380" s="20" t="s">
        <v>395</v>
      </c>
      <c r="H380" s="20">
        <v>1</v>
      </c>
      <c r="I380" s="22" t="s">
        <v>409</v>
      </c>
      <c r="J380" s="20" t="str">
        <f t="shared" si="5"/>
        <v>CN17</v>
      </c>
      <c r="K380" s="20" t="s">
        <v>397</v>
      </c>
      <c r="L380" s="20" t="s">
        <v>398</v>
      </c>
      <c r="M380" s="20" t="s">
        <v>399</v>
      </c>
    </row>
    <row r="381" spans="1:13" s="21" customFormat="1" x14ac:dyDescent="0.2">
      <c r="A381" s="20" t="s">
        <v>390</v>
      </c>
      <c r="B381" s="20" t="s">
        <v>1003</v>
      </c>
      <c r="C381" s="20" t="s">
        <v>392</v>
      </c>
      <c r="D381" s="20" t="s">
        <v>393</v>
      </c>
      <c r="E381" s="20" t="s">
        <v>1004</v>
      </c>
      <c r="F381" s="20"/>
      <c r="G381" s="20" t="s">
        <v>395</v>
      </c>
      <c r="H381" s="20">
        <v>1</v>
      </c>
      <c r="I381" s="22" t="s">
        <v>409</v>
      </c>
      <c r="J381" s="20" t="str">
        <f t="shared" si="5"/>
        <v>CN17</v>
      </c>
      <c r="K381" s="20" t="s">
        <v>397</v>
      </c>
      <c r="L381" s="20" t="s">
        <v>398</v>
      </c>
      <c r="M381" s="20" t="s">
        <v>399</v>
      </c>
    </row>
    <row r="382" spans="1:13" s="21" customFormat="1" x14ac:dyDescent="0.2">
      <c r="A382" s="20" t="s">
        <v>390</v>
      </c>
      <c r="B382" s="20" t="s">
        <v>1005</v>
      </c>
      <c r="C382" s="20" t="s">
        <v>392</v>
      </c>
      <c r="D382" s="20" t="s">
        <v>393</v>
      </c>
      <c r="E382" s="20" t="s">
        <v>1006</v>
      </c>
      <c r="F382" s="20"/>
      <c r="G382" s="20" t="s">
        <v>395</v>
      </c>
      <c r="H382" s="20">
        <v>1</v>
      </c>
      <c r="I382" s="20" t="s">
        <v>721</v>
      </c>
      <c r="J382" s="20" t="str">
        <f t="shared" si="5"/>
        <v>CN14</v>
      </c>
      <c r="K382" s="20" t="s">
        <v>397</v>
      </c>
      <c r="L382" s="20" t="s">
        <v>398</v>
      </c>
      <c r="M382" s="20" t="s">
        <v>399</v>
      </c>
    </row>
    <row r="383" spans="1:13" s="21" customFormat="1" x14ac:dyDescent="0.2">
      <c r="A383" s="20" t="s">
        <v>390</v>
      </c>
      <c r="B383" s="20" t="s">
        <v>1007</v>
      </c>
      <c r="C383" s="20" t="s">
        <v>392</v>
      </c>
      <c r="D383" s="20" t="s">
        <v>393</v>
      </c>
      <c r="E383" s="20" t="s">
        <v>1008</v>
      </c>
      <c r="F383" s="20"/>
      <c r="G383" s="20" t="s">
        <v>395</v>
      </c>
      <c r="H383" s="20">
        <v>1</v>
      </c>
      <c r="I383" s="20" t="s">
        <v>721</v>
      </c>
      <c r="J383" s="20" t="str">
        <f t="shared" si="5"/>
        <v>CN14</v>
      </c>
      <c r="K383" s="20" t="s">
        <v>397</v>
      </c>
      <c r="L383" s="20" t="s">
        <v>398</v>
      </c>
      <c r="M383" s="20" t="s">
        <v>399</v>
      </c>
    </row>
    <row r="384" spans="1:13" s="21" customFormat="1" x14ac:dyDescent="0.2">
      <c r="A384" s="20" t="s">
        <v>390</v>
      </c>
      <c r="B384" s="20" t="s">
        <v>1009</v>
      </c>
      <c r="C384" s="20" t="s">
        <v>392</v>
      </c>
      <c r="D384" s="20" t="s">
        <v>393</v>
      </c>
      <c r="E384" s="20" t="s">
        <v>1010</v>
      </c>
      <c r="F384" s="20"/>
      <c r="G384" s="20" t="s">
        <v>395</v>
      </c>
      <c r="H384" s="20">
        <v>1</v>
      </c>
      <c r="I384" s="20" t="s">
        <v>721</v>
      </c>
      <c r="J384" s="20" t="str">
        <f t="shared" si="5"/>
        <v>CN14</v>
      </c>
      <c r="K384" s="20" t="s">
        <v>397</v>
      </c>
      <c r="L384" s="20" t="s">
        <v>398</v>
      </c>
      <c r="M384" s="20" t="s">
        <v>399</v>
      </c>
    </row>
    <row r="385" spans="1:13" s="21" customFormat="1" x14ac:dyDescent="0.2">
      <c r="A385" s="20" t="s">
        <v>390</v>
      </c>
      <c r="B385" s="20" t="s">
        <v>1011</v>
      </c>
      <c r="C385" s="20" t="s">
        <v>392</v>
      </c>
      <c r="D385" s="20" t="s">
        <v>393</v>
      </c>
      <c r="E385" s="20" t="s">
        <v>1012</v>
      </c>
      <c r="F385" s="20"/>
      <c r="G385" s="20" t="s">
        <v>395</v>
      </c>
      <c r="H385" s="20">
        <v>1</v>
      </c>
      <c r="I385" s="20" t="s">
        <v>721</v>
      </c>
      <c r="J385" s="20" t="str">
        <f t="shared" si="5"/>
        <v>CN14</v>
      </c>
      <c r="K385" s="20" t="s">
        <v>397</v>
      </c>
      <c r="L385" s="20" t="s">
        <v>398</v>
      </c>
      <c r="M385" s="20" t="s">
        <v>399</v>
      </c>
    </row>
    <row r="386" spans="1:13" s="21" customFormat="1" x14ac:dyDescent="0.2">
      <c r="A386" s="20" t="s">
        <v>390</v>
      </c>
      <c r="B386" s="20" t="s">
        <v>1013</v>
      </c>
      <c r="C386" s="20" t="s">
        <v>392</v>
      </c>
      <c r="D386" s="20" t="s">
        <v>393</v>
      </c>
      <c r="E386" s="20" t="s">
        <v>1014</v>
      </c>
      <c r="F386" s="20"/>
      <c r="G386" s="20" t="s">
        <v>395</v>
      </c>
      <c r="H386" s="20">
        <v>1</v>
      </c>
      <c r="I386" s="20" t="s">
        <v>721</v>
      </c>
      <c r="J386" s="20" t="str">
        <f t="shared" si="5"/>
        <v>CN14</v>
      </c>
      <c r="K386" s="20" t="s">
        <v>397</v>
      </c>
      <c r="L386" s="20" t="s">
        <v>398</v>
      </c>
      <c r="M386" s="20" t="s">
        <v>399</v>
      </c>
    </row>
    <row r="387" spans="1:13" s="21" customFormat="1" x14ac:dyDescent="0.2">
      <c r="A387" s="20" t="s">
        <v>390</v>
      </c>
      <c r="B387" s="20" t="s">
        <v>1015</v>
      </c>
      <c r="C387" s="20" t="s">
        <v>392</v>
      </c>
      <c r="D387" s="20" t="s">
        <v>393</v>
      </c>
      <c r="E387" s="20" t="s">
        <v>1016</v>
      </c>
      <c r="F387" s="20"/>
      <c r="G387" s="20" t="s">
        <v>395</v>
      </c>
      <c r="H387" s="20">
        <v>1</v>
      </c>
      <c r="I387" s="20" t="s">
        <v>721</v>
      </c>
      <c r="J387" s="20" t="str">
        <f t="shared" si="5"/>
        <v>CN14</v>
      </c>
      <c r="K387" s="20" t="s">
        <v>397</v>
      </c>
      <c r="L387" s="20" t="s">
        <v>398</v>
      </c>
      <c r="M387" s="20" t="s">
        <v>399</v>
      </c>
    </row>
    <row r="388" spans="1:13" s="21" customFormat="1" x14ac:dyDescent="0.2">
      <c r="A388" s="20" t="s">
        <v>390</v>
      </c>
      <c r="B388" s="20" t="s">
        <v>1017</v>
      </c>
      <c r="C388" s="20" t="s">
        <v>392</v>
      </c>
      <c r="D388" s="20" t="s">
        <v>393</v>
      </c>
      <c r="E388" s="20" t="s">
        <v>1018</v>
      </c>
      <c r="F388" s="20"/>
      <c r="G388" s="20" t="s">
        <v>395</v>
      </c>
      <c r="H388" s="20">
        <v>1</v>
      </c>
      <c r="I388" s="20" t="s">
        <v>721</v>
      </c>
      <c r="J388" s="20" t="str">
        <f t="shared" si="5"/>
        <v>CN14</v>
      </c>
      <c r="K388" s="20" t="s">
        <v>397</v>
      </c>
      <c r="L388" s="20" t="s">
        <v>398</v>
      </c>
      <c r="M388" s="20" t="s">
        <v>399</v>
      </c>
    </row>
    <row r="389" spans="1:13" s="21" customFormat="1" x14ac:dyDescent="0.2">
      <c r="A389" s="20" t="s">
        <v>390</v>
      </c>
      <c r="B389" s="20" t="s">
        <v>1019</v>
      </c>
      <c r="C389" s="20" t="s">
        <v>392</v>
      </c>
      <c r="D389" s="20" t="s">
        <v>393</v>
      </c>
      <c r="E389" s="20" t="s">
        <v>1020</v>
      </c>
      <c r="F389" s="20"/>
      <c r="G389" s="20" t="s">
        <v>395</v>
      </c>
      <c r="H389" s="20">
        <v>1</v>
      </c>
      <c r="I389" s="20" t="s">
        <v>721</v>
      </c>
      <c r="J389" s="20" t="str">
        <f t="shared" ref="J389:J439" si="6">"CN"&amp;LEFT(B389,2)</f>
        <v>CN14</v>
      </c>
      <c r="K389" s="20" t="s">
        <v>397</v>
      </c>
      <c r="L389" s="20" t="s">
        <v>398</v>
      </c>
      <c r="M389" s="20" t="s">
        <v>399</v>
      </c>
    </row>
    <row r="390" spans="1:13" s="21" customFormat="1" x14ac:dyDescent="0.2">
      <c r="A390" s="20" t="s">
        <v>390</v>
      </c>
      <c r="B390" s="20" t="s">
        <v>1021</v>
      </c>
      <c r="C390" s="20" t="s">
        <v>392</v>
      </c>
      <c r="D390" s="20" t="s">
        <v>393</v>
      </c>
      <c r="E390" s="20" t="s">
        <v>1022</v>
      </c>
      <c r="F390" s="20"/>
      <c r="G390" s="20" t="s">
        <v>395</v>
      </c>
      <c r="H390" s="20">
        <v>1</v>
      </c>
      <c r="I390" s="20" t="s">
        <v>721</v>
      </c>
      <c r="J390" s="20" t="str">
        <f t="shared" si="6"/>
        <v>CN14</v>
      </c>
      <c r="K390" s="20" t="s">
        <v>397</v>
      </c>
      <c r="L390" s="20" t="s">
        <v>398</v>
      </c>
      <c r="M390" s="20" t="s">
        <v>399</v>
      </c>
    </row>
    <row r="391" spans="1:13" s="21" customFormat="1" x14ac:dyDescent="0.2">
      <c r="A391" s="20" t="s">
        <v>390</v>
      </c>
      <c r="B391" s="20" t="s">
        <v>1023</v>
      </c>
      <c r="C391" s="20" t="s">
        <v>392</v>
      </c>
      <c r="D391" s="20" t="s">
        <v>393</v>
      </c>
      <c r="E391" s="20" t="s">
        <v>1024</v>
      </c>
      <c r="F391" s="20"/>
      <c r="G391" s="20" t="s">
        <v>395</v>
      </c>
      <c r="H391" s="20">
        <v>1</v>
      </c>
      <c r="I391" s="20" t="s">
        <v>721</v>
      </c>
      <c r="J391" s="20" t="str">
        <f t="shared" si="6"/>
        <v>CN14</v>
      </c>
      <c r="K391" s="20" t="s">
        <v>397</v>
      </c>
      <c r="L391" s="20" t="s">
        <v>398</v>
      </c>
      <c r="M391" s="20" t="s">
        <v>399</v>
      </c>
    </row>
    <row r="392" spans="1:13" s="21" customFormat="1" x14ac:dyDescent="0.2">
      <c r="A392" s="20" t="s">
        <v>390</v>
      </c>
      <c r="B392" s="20" t="s">
        <v>1025</v>
      </c>
      <c r="C392" s="20" t="s">
        <v>392</v>
      </c>
      <c r="D392" s="20" t="s">
        <v>393</v>
      </c>
      <c r="E392" s="20" t="s">
        <v>1026</v>
      </c>
      <c r="F392" s="20"/>
      <c r="G392" s="20" t="s">
        <v>395</v>
      </c>
      <c r="H392" s="20">
        <v>1</v>
      </c>
      <c r="I392" s="20" t="s">
        <v>1027</v>
      </c>
      <c r="J392" s="20" t="str">
        <f t="shared" si="6"/>
        <v>CN14</v>
      </c>
      <c r="K392" s="20" t="s">
        <v>397</v>
      </c>
      <c r="L392" s="20" t="s">
        <v>398</v>
      </c>
      <c r="M392" s="20" t="s">
        <v>399</v>
      </c>
    </row>
    <row r="393" spans="1:13" s="21" customFormat="1" x14ac:dyDescent="0.2">
      <c r="A393" s="20" t="s">
        <v>390</v>
      </c>
      <c r="B393" s="20" t="s">
        <v>1028</v>
      </c>
      <c r="C393" s="20" t="s">
        <v>392</v>
      </c>
      <c r="D393" s="20" t="s">
        <v>393</v>
      </c>
      <c r="E393" s="20" t="s">
        <v>1029</v>
      </c>
      <c r="F393" s="20"/>
      <c r="G393" s="20" t="s">
        <v>395</v>
      </c>
      <c r="H393" s="20">
        <v>1</v>
      </c>
      <c r="I393" s="20" t="s">
        <v>1030</v>
      </c>
      <c r="J393" s="20" t="str">
        <f t="shared" si="6"/>
        <v>CN14</v>
      </c>
      <c r="K393" s="20" t="s">
        <v>397</v>
      </c>
      <c r="L393" s="20" t="s">
        <v>398</v>
      </c>
      <c r="M393" s="20" t="s">
        <v>399</v>
      </c>
    </row>
    <row r="394" spans="1:13" s="21" customFormat="1" x14ac:dyDescent="0.2">
      <c r="A394" s="20" t="s">
        <v>390</v>
      </c>
      <c r="B394" s="20" t="s">
        <v>1031</v>
      </c>
      <c r="C394" s="20" t="s">
        <v>392</v>
      </c>
      <c r="D394" s="20" t="s">
        <v>393</v>
      </c>
      <c r="E394" s="20" t="s">
        <v>1032</v>
      </c>
      <c r="F394" s="20"/>
      <c r="G394" s="20" t="s">
        <v>395</v>
      </c>
      <c r="H394" s="20">
        <v>1</v>
      </c>
      <c r="I394" s="20" t="s">
        <v>1033</v>
      </c>
      <c r="J394" s="20" t="str">
        <f t="shared" si="6"/>
        <v>CN14</v>
      </c>
      <c r="K394" s="20" t="s">
        <v>397</v>
      </c>
      <c r="L394" s="20" t="s">
        <v>398</v>
      </c>
      <c r="M394" s="20" t="s">
        <v>399</v>
      </c>
    </row>
    <row r="395" spans="1:13" s="21" customFormat="1" x14ac:dyDescent="0.2">
      <c r="A395" s="20" t="s">
        <v>390</v>
      </c>
      <c r="B395" s="20" t="s">
        <v>1034</v>
      </c>
      <c r="C395" s="20" t="s">
        <v>392</v>
      </c>
      <c r="D395" s="20" t="s">
        <v>393</v>
      </c>
      <c r="E395" s="20" t="s">
        <v>1035</v>
      </c>
      <c r="F395" s="20"/>
      <c r="G395" s="20" t="s">
        <v>395</v>
      </c>
      <c r="H395" s="20">
        <v>1</v>
      </c>
      <c r="I395" s="20" t="s">
        <v>1036</v>
      </c>
      <c r="J395" s="20" t="str">
        <f t="shared" si="6"/>
        <v>CN14</v>
      </c>
      <c r="K395" s="20" t="s">
        <v>397</v>
      </c>
      <c r="L395" s="20" t="s">
        <v>398</v>
      </c>
      <c r="M395" s="20" t="s">
        <v>399</v>
      </c>
    </row>
    <row r="396" spans="1:13" s="21" customFormat="1" x14ac:dyDescent="0.2">
      <c r="A396" s="20" t="s">
        <v>390</v>
      </c>
      <c r="B396" s="20" t="s">
        <v>1037</v>
      </c>
      <c r="C396" s="20" t="s">
        <v>392</v>
      </c>
      <c r="D396" s="20" t="s">
        <v>393</v>
      </c>
      <c r="E396" s="20" t="s">
        <v>1038</v>
      </c>
      <c r="F396" s="20"/>
      <c r="G396" s="20" t="s">
        <v>395</v>
      </c>
      <c r="H396" s="20">
        <v>1</v>
      </c>
      <c r="I396" s="20" t="s">
        <v>1039</v>
      </c>
      <c r="J396" s="20" t="str">
        <f t="shared" si="6"/>
        <v>CN14</v>
      </c>
      <c r="K396" s="20" t="s">
        <v>397</v>
      </c>
      <c r="L396" s="20" t="s">
        <v>398</v>
      </c>
      <c r="M396" s="20" t="s">
        <v>399</v>
      </c>
    </row>
    <row r="397" spans="1:13" s="21" customFormat="1" x14ac:dyDescent="0.2">
      <c r="A397" s="20" t="s">
        <v>390</v>
      </c>
      <c r="B397" s="20" t="s">
        <v>1040</v>
      </c>
      <c r="C397" s="20" t="s">
        <v>392</v>
      </c>
      <c r="D397" s="20" t="s">
        <v>393</v>
      </c>
      <c r="E397" s="20" t="s">
        <v>1041</v>
      </c>
      <c r="F397" s="20"/>
      <c r="G397" s="20" t="s">
        <v>395</v>
      </c>
      <c r="H397" s="20">
        <v>1</v>
      </c>
      <c r="I397" s="20" t="s">
        <v>1042</v>
      </c>
      <c r="J397" s="20" t="str">
        <f t="shared" si="6"/>
        <v>CN14</v>
      </c>
      <c r="K397" s="20" t="s">
        <v>397</v>
      </c>
      <c r="L397" s="20" t="s">
        <v>398</v>
      </c>
      <c r="M397" s="20" t="s">
        <v>399</v>
      </c>
    </row>
    <row r="398" spans="1:13" s="21" customFormat="1" x14ac:dyDescent="0.2">
      <c r="A398" s="20" t="s">
        <v>390</v>
      </c>
      <c r="B398" s="20" t="s">
        <v>1043</v>
      </c>
      <c r="C398" s="20" t="s">
        <v>392</v>
      </c>
      <c r="D398" s="20" t="s">
        <v>393</v>
      </c>
      <c r="E398" s="20" t="s">
        <v>1044</v>
      </c>
      <c r="F398" s="20"/>
      <c r="G398" s="20" t="s">
        <v>395</v>
      </c>
      <c r="H398" s="20">
        <v>1</v>
      </c>
      <c r="I398" s="20" t="s">
        <v>1045</v>
      </c>
      <c r="J398" s="20" t="str">
        <f t="shared" si="6"/>
        <v>CN14</v>
      </c>
      <c r="K398" s="20" t="s">
        <v>397</v>
      </c>
      <c r="L398" s="20" t="s">
        <v>398</v>
      </c>
      <c r="M398" s="20" t="s">
        <v>399</v>
      </c>
    </row>
    <row r="399" spans="1:13" s="21" customFormat="1" x14ac:dyDescent="0.2">
      <c r="A399" s="20" t="s">
        <v>390</v>
      </c>
      <c r="B399" s="20" t="s">
        <v>1046</v>
      </c>
      <c r="C399" s="20" t="s">
        <v>392</v>
      </c>
      <c r="D399" s="20" t="s">
        <v>393</v>
      </c>
      <c r="E399" s="20" t="s">
        <v>1047</v>
      </c>
      <c r="F399" s="20"/>
      <c r="G399" s="20" t="s">
        <v>395</v>
      </c>
      <c r="H399" s="20">
        <v>1</v>
      </c>
      <c r="I399" s="20" t="s">
        <v>1048</v>
      </c>
      <c r="J399" s="20" t="str">
        <f t="shared" si="6"/>
        <v>CN14</v>
      </c>
      <c r="K399" s="20" t="s">
        <v>397</v>
      </c>
      <c r="L399" s="20" t="s">
        <v>398</v>
      </c>
      <c r="M399" s="20" t="s">
        <v>399</v>
      </c>
    </row>
    <row r="400" spans="1:13" s="21" customFormat="1" x14ac:dyDescent="0.2">
      <c r="A400" s="20" t="s">
        <v>390</v>
      </c>
      <c r="B400" s="20" t="s">
        <v>1049</v>
      </c>
      <c r="C400" s="20" t="s">
        <v>392</v>
      </c>
      <c r="D400" s="20" t="s">
        <v>393</v>
      </c>
      <c r="E400" s="20" t="s">
        <v>1050</v>
      </c>
      <c r="F400" s="20"/>
      <c r="G400" s="20" t="s">
        <v>395</v>
      </c>
      <c r="H400" s="20">
        <v>1</v>
      </c>
      <c r="I400" s="20" t="s">
        <v>1051</v>
      </c>
      <c r="J400" s="20" t="str">
        <f t="shared" si="6"/>
        <v>CN14</v>
      </c>
      <c r="K400" s="20" t="s">
        <v>397</v>
      </c>
      <c r="L400" s="20" t="s">
        <v>398</v>
      </c>
      <c r="M400" s="20" t="s">
        <v>399</v>
      </c>
    </row>
    <row r="401" spans="1:13" s="21" customFormat="1" x14ac:dyDescent="0.2">
      <c r="A401" s="20" t="s">
        <v>390</v>
      </c>
      <c r="B401" s="20" t="s">
        <v>1052</v>
      </c>
      <c r="C401" s="20" t="s">
        <v>392</v>
      </c>
      <c r="D401" s="20" t="s">
        <v>393</v>
      </c>
      <c r="E401" s="20" t="s">
        <v>1053</v>
      </c>
      <c r="F401" s="20"/>
      <c r="G401" s="20" t="s">
        <v>395</v>
      </c>
      <c r="H401" s="20">
        <v>1</v>
      </c>
      <c r="I401" s="20" t="s">
        <v>1054</v>
      </c>
      <c r="J401" s="20" t="str">
        <f t="shared" si="6"/>
        <v>CN14</v>
      </c>
      <c r="K401" s="20" t="s">
        <v>397</v>
      </c>
      <c r="L401" s="20" t="s">
        <v>398</v>
      </c>
      <c r="M401" s="20" t="s">
        <v>399</v>
      </c>
    </row>
    <row r="402" spans="1:13" s="21" customFormat="1" x14ac:dyDescent="0.2">
      <c r="A402" s="20" t="s">
        <v>390</v>
      </c>
      <c r="B402" s="20" t="s">
        <v>1055</v>
      </c>
      <c r="C402" s="20" t="s">
        <v>392</v>
      </c>
      <c r="D402" s="20" t="s">
        <v>393</v>
      </c>
      <c r="E402" s="20" t="s">
        <v>1056</v>
      </c>
      <c r="F402" s="20"/>
      <c r="G402" s="20" t="s">
        <v>395</v>
      </c>
      <c r="H402" s="20">
        <v>1</v>
      </c>
      <c r="I402" s="20" t="s">
        <v>1036</v>
      </c>
      <c r="J402" s="20" t="str">
        <f t="shared" si="6"/>
        <v>CN14</v>
      </c>
      <c r="K402" s="20" t="s">
        <v>397</v>
      </c>
      <c r="L402" s="20" t="s">
        <v>398</v>
      </c>
      <c r="M402" s="20" t="s">
        <v>399</v>
      </c>
    </row>
    <row r="403" spans="1:13" s="21" customFormat="1" x14ac:dyDescent="0.2">
      <c r="A403" s="20" t="s">
        <v>390</v>
      </c>
      <c r="B403" s="20" t="s">
        <v>1057</v>
      </c>
      <c r="C403" s="20" t="s">
        <v>392</v>
      </c>
      <c r="D403" s="20" t="s">
        <v>393</v>
      </c>
      <c r="E403" s="20" t="s">
        <v>1058</v>
      </c>
      <c r="F403" s="20"/>
      <c r="G403" s="20" t="s">
        <v>395</v>
      </c>
      <c r="H403" s="20">
        <v>1</v>
      </c>
      <c r="I403" s="20" t="s">
        <v>1036</v>
      </c>
      <c r="J403" s="20" t="str">
        <f t="shared" si="6"/>
        <v>CN14</v>
      </c>
      <c r="K403" s="20" t="s">
        <v>397</v>
      </c>
      <c r="L403" s="20" t="s">
        <v>398</v>
      </c>
      <c r="M403" s="20" t="s">
        <v>399</v>
      </c>
    </row>
    <row r="404" spans="1:13" s="21" customFormat="1" x14ac:dyDescent="0.2">
      <c r="A404" s="20" t="s">
        <v>390</v>
      </c>
      <c r="B404" s="20" t="s">
        <v>1059</v>
      </c>
      <c r="C404" s="20" t="s">
        <v>392</v>
      </c>
      <c r="D404" s="20" t="s">
        <v>393</v>
      </c>
      <c r="E404" s="20" t="s">
        <v>1060</v>
      </c>
      <c r="F404" s="20"/>
      <c r="G404" s="20" t="s">
        <v>395</v>
      </c>
      <c r="H404" s="20">
        <v>1</v>
      </c>
      <c r="I404" s="20" t="s">
        <v>1039</v>
      </c>
      <c r="J404" s="20" t="str">
        <f t="shared" si="6"/>
        <v>CN14</v>
      </c>
      <c r="K404" s="20" t="s">
        <v>397</v>
      </c>
      <c r="L404" s="20" t="s">
        <v>398</v>
      </c>
      <c r="M404" s="20" t="s">
        <v>399</v>
      </c>
    </row>
    <row r="405" spans="1:13" s="21" customFormat="1" x14ac:dyDescent="0.2">
      <c r="A405" s="20" t="s">
        <v>390</v>
      </c>
      <c r="B405" s="20" t="s">
        <v>1061</v>
      </c>
      <c r="C405" s="20" t="s">
        <v>392</v>
      </c>
      <c r="D405" s="20" t="s">
        <v>393</v>
      </c>
      <c r="E405" s="20" t="s">
        <v>1062</v>
      </c>
      <c r="F405" s="20"/>
      <c r="G405" s="20" t="s">
        <v>395</v>
      </c>
      <c r="H405" s="20">
        <v>1</v>
      </c>
      <c r="I405" s="20" t="s">
        <v>1045</v>
      </c>
      <c r="J405" s="20" t="str">
        <f t="shared" si="6"/>
        <v>CN14</v>
      </c>
      <c r="K405" s="20" t="s">
        <v>397</v>
      </c>
      <c r="L405" s="20" t="s">
        <v>398</v>
      </c>
      <c r="M405" s="20" t="s">
        <v>399</v>
      </c>
    </row>
    <row r="406" spans="1:13" s="21" customFormat="1" x14ac:dyDescent="0.2">
      <c r="A406" s="20" t="s">
        <v>390</v>
      </c>
      <c r="B406" s="20" t="s">
        <v>1063</v>
      </c>
      <c r="C406" s="20" t="s">
        <v>392</v>
      </c>
      <c r="D406" s="20" t="s">
        <v>393</v>
      </c>
      <c r="E406" s="20" t="s">
        <v>1064</v>
      </c>
      <c r="F406" s="20"/>
      <c r="G406" s="20" t="s">
        <v>395</v>
      </c>
      <c r="H406" s="20">
        <v>1</v>
      </c>
      <c r="I406" s="20" t="s">
        <v>1045</v>
      </c>
      <c r="J406" s="20" t="str">
        <f t="shared" si="6"/>
        <v>CN14</v>
      </c>
      <c r="K406" s="20" t="s">
        <v>397</v>
      </c>
      <c r="L406" s="20" t="s">
        <v>398</v>
      </c>
      <c r="M406" s="20" t="s">
        <v>399</v>
      </c>
    </row>
    <row r="407" spans="1:13" s="21" customFormat="1" x14ac:dyDescent="0.2">
      <c r="A407" s="20" t="s">
        <v>390</v>
      </c>
      <c r="B407" s="20" t="s">
        <v>1065</v>
      </c>
      <c r="C407" s="20" t="s">
        <v>392</v>
      </c>
      <c r="D407" s="20" t="s">
        <v>393</v>
      </c>
      <c r="E407" s="20" t="s">
        <v>1066</v>
      </c>
      <c r="F407" s="20"/>
      <c r="G407" s="20" t="s">
        <v>395</v>
      </c>
      <c r="H407" s="20">
        <v>1</v>
      </c>
      <c r="I407" s="20" t="s">
        <v>1027</v>
      </c>
      <c r="J407" s="20" t="str">
        <f t="shared" si="6"/>
        <v>CN14</v>
      </c>
      <c r="K407" s="20" t="s">
        <v>397</v>
      </c>
      <c r="L407" s="20" t="s">
        <v>398</v>
      </c>
      <c r="M407" s="20" t="s">
        <v>399</v>
      </c>
    </row>
    <row r="408" spans="1:13" s="21" customFormat="1" x14ac:dyDescent="0.2">
      <c r="A408" s="20" t="s">
        <v>390</v>
      </c>
      <c r="B408" s="20" t="s">
        <v>1067</v>
      </c>
      <c r="C408" s="20" t="s">
        <v>392</v>
      </c>
      <c r="D408" s="20" t="s">
        <v>393</v>
      </c>
      <c r="E408" s="20" t="s">
        <v>1068</v>
      </c>
      <c r="F408" s="20"/>
      <c r="G408" s="20" t="s">
        <v>395</v>
      </c>
      <c r="H408" s="20">
        <v>1</v>
      </c>
      <c r="I408" s="20" t="s">
        <v>1033</v>
      </c>
      <c r="J408" s="20" t="str">
        <f t="shared" si="6"/>
        <v>CN14</v>
      </c>
      <c r="K408" s="20" t="s">
        <v>397</v>
      </c>
      <c r="L408" s="20" t="s">
        <v>398</v>
      </c>
      <c r="M408" s="20" t="s">
        <v>399</v>
      </c>
    </row>
    <row r="409" spans="1:13" s="21" customFormat="1" x14ac:dyDescent="0.2">
      <c r="A409" s="20" t="s">
        <v>390</v>
      </c>
      <c r="B409" s="20" t="s">
        <v>1069</v>
      </c>
      <c r="C409" s="20" t="s">
        <v>392</v>
      </c>
      <c r="D409" s="20" t="s">
        <v>393</v>
      </c>
      <c r="E409" s="20" t="s">
        <v>1070</v>
      </c>
      <c r="F409" s="20"/>
      <c r="G409" s="20" t="s">
        <v>395</v>
      </c>
      <c r="H409" s="20">
        <v>1</v>
      </c>
      <c r="I409" s="20" t="s">
        <v>1042</v>
      </c>
      <c r="J409" s="20" t="str">
        <f t="shared" si="6"/>
        <v>CN14</v>
      </c>
      <c r="K409" s="20" t="s">
        <v>397</v>
      </c>
      <c r="L409" s="20" t="s">
        <v>398</v>
      </c>
      <c r="M409" s="20" t="s">
        <v>399</v>
      </c>
    </row>
    <row r="410" spans="1:13" s="21" customFormat="1" x14ac:dyDescent="0.2">
      <c r="A410" s="20" t="s">
        <v>390</v>
      </c>
      <c r="B410" s="20" t="s">
        <v>1071</v>
      </c>
      <c r="C410" s="20" t="s">
        <v>392</v>
      </c>
      <c r="D410" s="20" t="s">
        <v>393</v>
      </c>
      <c r="E410" s="20" t="s">
        <v>1072</v>
      </c>
      <c r="F410" s="20"/>
      <c r="G410" s="20" t="s">
        <v>395</v>
      </c>
      <c r="H410" s="20">
        <v>1</v>
      </c>
      <c r="I410" s="20" t="s">
        <v>1036</v>
      </c>
      <c r="J410" s="20" t="str">
        <f t="shared" si="6"/>
        <v>CN14</v>
      </c>
      <c r="K410" s="20" t="s">
        <v>397</v>
      </c>
      <c r="L410" s="20" t="s">
        <v>398</v>
      </c>
      <c r="M410" s="20" t="s">
        <v>399</v>
      </c>
    </row>
    <row r="411" spans="1:13" s="21" customFormat="1" x14ac:dyDescent="0.2">
      <c r="A411" s="20" t="s">
        <v>390</v>
      </c>
      <c r="B411" s="20" t="s">
        <v>1073</v>
      </c>
      <c r="C411" s="20" t="s">
        <v>392</v>
      </c>
      <c r="D411" s="20" t="s">
        <v>393</v>
      </c>
      <c r="E411" s="20" t="s">
        <v>1074</v>
      </c>
      <c r="F411" s="20"/>
      <c r="G411" s="20" t="s">
        <v>395</v>
      </c>
      <c r="H411" s="20">
        <v>1</v>
      </c>
      <c r="I411" s="20" t="s">
        <v>724</v>
      </c>
      <c r="J411" s="20" t="str">
        <f t="shared" si="6"/>
        <v>CN14</v>
      </c>
      <c r="K411" s="20" t="s">
        <v>397</v>
      </c>
      <c r="L411" s="20" t="s">
        <v>398</v>
      </c>
      <c r="M411" s="20" t="s">
        <v>399</v>
      </c>
    </row>
    <row r="412" spans="1:13" s="21" customFormat="1" x14ac:dyDescent="0.2">
      <c r="A412" s="20" t="s">
        <v>390</v>
      </c>
      <c r="B412" s="20" t="s">
        <v>1075</v>
      </c>
      <c r="C412" s="20" t="s">
        <v>392</v>
      </c>
      <c r="D412" s="20" t="s">
        <v>393</v>
      </c>
      <c r="E412" s="20" t="s">
        <v>1076</v>
      </c>
      <c r="F412" s="20"/>
      <c r="G412" s="20" t="s">
        <v>395</v>
      </c>
      <c r="H412" s="20">
        <v>1</v>
      </c>
      <c r="I412" s="20" t="s">
        <v>724</v>
      </c>
      <c r="J412" s="20" t="str">
        <f t="shared" si="6"/>
        <v>CN14</v>
      </c>
      <c r="K412" s="20" t="s">
        <v>397</v>
      </c>
      <c r="L412" s="20" t="s">
        <v>398</v>
      </c>
      <c r="M412" s="20" t="s">
        <v>399</v>
      </c>
    </row>
    <row r="413" spans="1:13" s="21" customFormat="1" x14ac:dyDescent="0.2">
      <c r="A413" s="20" t="s">
        <v>390</v>
      </c>
      <c r="B413" s="20" t="s">
        <v>1077</v>
      </c>
      <c r="C413" s="20" t="s">
        <v>392</v>
      </c>
      <c r="D413" s="20" t="s">
        <v>393</v>
      </c>
      <c r="E413" s="20" t="s">
        <v>1078</v>
      </c>
      <c r="F413" s="20"/>
      <c r="G413" s="20" t="s">
        <v>395</v>
      </c>
      <c r="H413" s="20">
        <v>1</v>
      </c>
      <c r="I413" s="20" t="s">
        <v>724</v>
      </c>
      <c r="J413" s="20" t="str">
        <f t="shared" si="6"/>
        <v>CN14</v>
      </c>
      <c r="K413" s="20" t="s">
        <v>397</v>
      </c>
      <c r="L413" s="20" t="s">
        <v>398</v>
      </c>
      <c r="M413" s="20" t="s">
        <v>399</v>
      </c>
    </row>
    <row r="414" spans="1:13" s="21" customFormat="1" x14ac:dyDescent="0.2">
      <c r="A414" s="20" t="s">
        <v>390</v>
      </c>
      <c r="B414" s="20" t="s">
        <v>1079</v>
      </c>
      <c r="C414" s="20" t="s">
        <v>392</v>
      </c>
      <c r="D414" s="20" t="s">
        <v>393</v>
      </c>
      <c r="E414" s="20" t="s">
        <v>1080</v>
      </c>
      <c r="F414" s="20"/>
      <c r="G414" s="20" t="s">
        <v>395</v>
      </c>
      <c r="H414" s="20">
        <v>1</v>
      </c>
      <c r="I414" s="20" t="s">
        <v>724</v>
      </c>
      <c r="J414" s="20" t="str">
        <f t="shared" si="6"/>
        <v>CN14</v>
      </c>
      <c r="K414" s="20" t="s">
        <v>397</v>
      </c>
      <c r="L414" s="20" t="s">
        <v>398</v>
      </c>
      <c r="M414" s="20" t="s">
        <v>399</v>
      </c>
    </row>
    <row r="415" spans="1:13" s="21" customFormat="1" x14ac:dyDescent="0.2">
      <c r="A415" s="20" t="s">
        <v>390</v>
      </c>
      <c r="B415" s="20" t="s">
        <v>1081</v>
      </c>
      <c r="C415" s="20" t="s">
        <v>392</v>
      </c>
      <c r="D415" s="20" t="s">
        <v>393</v>
      </c>
      <c r="E415" s="20" t="s">
        <v>1082</v>
      </c>
      <c r="F415" s="20"/>
      <c r="G415" s="20" t="s">
        <v>395</v>
      </c>
      <c r="H415" s="20">
        <v>1</v>
      </c>
      <c r="I415" s="20" t="s">
        <v>724</v>
      </c>
      <c r="J415" s="20" t="str">
        <f t="shared" si="6"/>
        <v>CN14</v>
      </c>
      <c r="K415" s="20" t="s">
        <v>397</v>
      </c>
      <c r="L415" s="20" t="s">
        <v>398</v>
      </c>
      <c r="M415" s="20" t="s">
        <v>399</v>
      </c>
    </row>
    <row r="416" spans="1:13" s="21" customFormat="1" x14ac:dyDescent="0.2">
      <c r="A416" s="20" t="s">
        <v>390</v>
      </c>
      <c r="B416" s="20" t="s">
        <v>1083</v>
      </c>
      <c r="C416" s="20" t="s">
        <v>392</v>
      </c>
      <c r="D416" s="20" t="s">
        <v>393</v>
      </c>
      <c r="E416" s="20" t="s">
        <v>1084</v>
      </c>
      <c r="F416" s="20"/>
      <c r="G416" s="20" t="s">
        <v>395</v>
      </c>
      <c r="H416" s="20">
        <v>1</v>
      </c>
      <c r="I416" s="20" t="s">
        <v>724</v>
      </c>
      <c r="J416" s="20" t="str">
        <f t="shared" si="6"/>
        <v>CN14</v>
      </c>
      <c r="K416" s="20" t="s">
        <v>397</v>
      </c>
      <c r="L416" s="20" t="s">
        <v>398</v>
      </c>
      <c r="M416" s="20" t="s">
        <v>399</v>
      </c>
    </row>
    <row r="417" spans="1:13" s="21" customFormat="1" x14ac:dyDescent="0.2">
      <c r="A417" s="20" t="s">
        <v>390</v>
      </c>
      <c r="B417" s="20" t="s">
        <v>1085</v>
      </c>
      <c r="C417" s="20" t="s">
        <v>392</v>
      </c>
      <c r="D417" s="20" t="s">
        <v>393</v>
      </c>
      <c r="E417" s="20" t="s">
        <v>1086</v>
      </c>
      <c r="F417" s="20"/>
      <c r="G417" s="20" t="s">
        <v>395</v>
      </c>
      <c r="H417" s="20">
        <v>1</v>
      </c>
      <c r="I417" s="20" t="s">
        <v>724</v>
      </c>
      <c r="J417" s="20" t="str">
        <f t="shared" si="6"/>
        <v>CN14</v>
      </c>
      <c r="K417" s="20" t="s">
        <v>397</v>
      </c>
      <c r="L417" s="20" t="s">
        <v>398</v>
      </c>
      <c r="M417" s="20" t="s">
        <v>399</v>
      </c>
    </row>
    <row r="418" spans="1:13" s="21" customFormat="1" x14ac:dyDescent="0.2">
      <c r="A418" s="20" t="s">
        <v>390</v>
      </c>
      <c r="B418" s="20" t="s">
        <v>1087</v>
      </c>
      <c r="C418" s="20" t="s">
        <v>392</v>
      </c>
      <c r="D418" s="20" t="s">
        <v>393</v>
      </c>
      <c r="E418" s="20" t="s">
        <v>1088</v>
      </c>
      <c r="F418" s="20"/>
      <c r="G418" s="20" t="s">
        <v>395</v>
      </c>
      <c r="H418" s="20">
        <v>1</v>
      </c>
      <c r="I418" s="20" t="s">
        <v>724</v>
      </c>
      <c r="J418" s="20" t="str">
        <f t="shared" si="6"/>
        <v>CN14</v>
      </c>
      <c r="K418" s="20" t="s">
        <v>397</v>
      </c>
      <c r="L418" s="20" t="s">
        <v>398</v>
      </c>
      <c r="M418" s="20" t="s">
        <v>399</v>
      </c>
    </row>
    <row r="419" spans="1:13" s="21" customFormat="1" x14ac:dyDescent="0.2">
      <c r="A419" s="20" t="s">
        <v>390</v>
      </c>
      <c r="B419" s="20" t="s">
        <v>1089</v>
      </c>
      <c r="C419" s="20" t="s">
        <v>392</v>
      </c>
      <c r="D419" s="20" t="s">
        <v>393</v>
      </c>
      <c r="E419" s="20" t="s">
        <v>1090</v>
      </c>
      <c r="F419" s="20"/>
      <c r="G419" s="20" t="s">
        <v>395</v>
      </c>
      <c r="H419" s="20">
        <v>1</v>
      </c>
      <c r="I419" s="20" t="s">
        <v>724</v>
      </c>
      <c r="J419" s="20" t="str">
        <f t="shared" si="6"/>
        <v>CN14</v>
      </c>
      <c r="K419" s="20" t="s">
        <v>397</v>
      </c>
      <c r="L419" s="20" t="s">
        <v>398</v>
      </c>
      <c r="M419" s="20" t="s">
        <v>399</v>
      </c>
    </row>
    <row r="420" spans="1:13" s="21" customFormat="1" x14ac:dyDescent="0.2">
      <c r="A420" s="20" t="s">
        <v>390</v>
      </c>
      <c r="B420" s="20" t="s">
        <v>1091</v>
      </c>
      <c r="C420" s="20" t="s">
        <v>392</v>
      </c>
      <c r="D420" s="20" t="s">
        <v>393</v>
      </c>
      <c r="E420" s="20" t="s">
        <v>1092</v>
      </c>
      <c r="F420" s="20"/>
      <c r="G420" s="20" t="s">
        <v>395</v>
      </c>
      <c r="H420" s="20">
        <v>1</v>
      </c>
      <c r="I420" s="20" t="s">
        <v>724</v>
      </c>
      <c r="J420" s="20" t="str">
        <f t="shared" si="6"/>
        <v>CN14</v>
      </c>
      <c r="K420" s="20" t="s">
        <v>397</v>
      </c>
      <c r="L420" s="20" t="s">
        <v>398</v>
      </c>
      <c r="M420" s="20" t="s">
        <v>399</v>
      </c>
    </row>
    <row r="421" spans="1:13" s="21" customFormat="1" x14ac:dyDescent="0.2">
      <c r="A421" s="20" t="s">
        <v>390</v>
      </c>
      <c r="B421" s="20" t="s">
        <v>1093</v>
      </c>
      <c r="C421" s="20" t="s">
        <v>392</v>
      </c>
      <c r="D421" s="20" t="s">
        <v>393</v>
      </c>
      <c r="E421" s="20" t="s">
        <v>1094</v>
      </c>
      <c r="F421" s="20"/>
      <c r="G421" s="20" t="s">
        <v>395</v>
      </c>
      <c r="H421" s="20">
        <v>1</v>
      </c>
      <c r="I421" s="20" t="s">
        <v>724</v>
      </c>
      <c r="J421" s="20" t="str">
        <f t="shared" si="6"/>
        <v>CN14</v>
      </c>
      <c r="K421" s="20" t="s">
        <v>397</v>
      </c>
      <c r="L421" s="20" t="s">
        <v>398</v>
      </c>
      <c r="M421" s="20" t="s">
        <v>399</v>
      </c>
    </row>
    <row r="422" spans="1:13" s="21" customFormat="1" x14ac:dyDescent="0.2">
      <c r="A422" s="20" t="s">
        <v>390</v>
      </c>
      <c r="B422" s="20" t="s">
        <v>1095</v>
      </c>
      <c r="C422" s="20" t="s">
        <v>392</v>
      </c>
      <c r="D422" s="20" t="s">
        <v>393</v>
      </c>
      <c r="E422" s="20" t="s">
        <v>1096</v>
      </c>
      <c r="F422" s="20"/>
      <c r="G422" s="20" t="s">
        <v>395</v>
      </c>
      <c r="H422" s="20">
        <v>1</v>
      </c>
      <c r="I422" s="20" t="s">
        <v>724</v>
      </c>
      <c r="J422" s="20" t="str">
        <f t="shared" si="6"/>
        <v>CN14</v>
      </c>
      <c r="K422" s="20" t="s">
        <v>397</v>
      </c>
      <c r="L422" s="20" t="s">
        <v>398</v>
      </c>
      <c r="M422" s="20" t="s">
        <v>399</v>
      </c>
    </row>
    <row r="423" spans="1:13" s="21" customFormat="1" x14ac:dyDescent="0.2">
      <c r="A423" s="20" t="s">
        <v>390</v>
      </c>
      <c r="B423" s="20" t="s">
        <v>1097</v>
      </c>
      <c r="C423" s="20" t="s">
        <v>392</v>
      </c>
      <c r="D423" s="20" t="s">
        <v>393</v>
      </c>
      <c r="E423" s="20" t="s">
        <v>1098</v>
      </c>
      <c r="F423" s="20"/>
      <c r="G423" s="20" t="s">
        <v>395</v>
      </c>
      <c r="H423" s="20">
        <v>1</v>
      </c>
      <c r="I423" s="20" t="s">
        <v>724</v>
      </c>
      <c r="J423" s="20" t="str">
        <f t="shared" si="6"/>
        <v>CN14</v>
      </c>
      <c r="K423" s="20" t="s">
        <v>397</v>
      </c>
      <c r="L423" s="20" t="s">
        <v>398</v>
      </c>
      <c r="M423" s="20" t="s">
        <v>399</v>
      </c>
    </row>
    <row r="424" spans="1:13" s="21" customFormat="1" x14ac:dyDescent="0.2">
      <c r="A424" s="20" t="s">
        <v>390</v>
      </c>
      <c r="B424" s="20" t="s">
        <v>1099</v>
      </c>
      <c r="C424" s="20" t="s">
        <v>392</v>
      </c>
      <c r="D424" s="20" t="s">
        <v>393</v>
      </c>
      <c r="E424" s="20" t="s">
        <v>1100</v>
      </c>
      <c r="F424" s="20"/>
      <c r="G424" s="20" t="s">
        <v>395</v>
      </c>
      <c r="H424" s="20">
        <v>1</v>
      </c>
      <c r="I424" s="20" t="s">
        <v>724</v>
      </c>
      <c r="J424" s="20" t="str">
        <f t="shared" si="6"/>
        <v>CN14</v>
      </c>
      <c r="K424" s="20" t="s">
        <v>397</v>
      </c>
      <c r="L424" s="20" t="s">
        <v>398</v>
      </c>
      <c r="M424" s="20" t="s">
        <v>399</v>
      </c>
    </row>
    <row r="425" spans="1:13" s="21" customFormat="1" x14ac:dyDescent="0.2">
      <c r="A425" s="20" t="s">
        <v>390</v>
      </c>
      <c r="B425" s="20" t="s">
        <v>1101</v>
      </c>
      <c r="C425" s="20" t="s">
        <v>392</v>
      </c>
      <c r="D425" s="20" t="s">
        <v>393</v>
      </c>
      <c r="E425" s="20" t="s">
        <v>1102</v>
      </c>
      <c r="F425" s="20"/>
      <c r="G425" s="20" t="s">
        <v>395</v>
      </c>
      <c r="H425" s="20">
        <v>1</v>
      </c>
      <c r="I425" s="22" t="s">
        <v>415</v>
      </c>
      <c r="J425" s="20" t="str">
        <f t="shared" si="6"/>
        <v>CN15</v>
      </c>
      <c r="K425" s="20" t="s">
        <v>397</v>
      </c>
      <c r="L425" s="20" t="s">
        <v>398</v>
      </c>
      <c r="M425" s="20" t="s">
        <v>399</v>
      </c>
    </row>
    <row r="426" spans="1:13" s="21" customFormat="1" x14ac:dyDescent="0.2">
      <c r="A426" s="20" t="s">
        <v>390</v>
      </c>
      <c r="B426" s="20" t="s">
        <v>1103</v>
      </c>
      <c r="C426" s="20" t="s">
        <v>392</v>
      </c>
      <c r="D426" s="20" t="s">
        <v>393</v>
      </c>
      <c r="E426" s="20" t="s">
        <v>1104</v>
      </c>
      <c r="F426" s="20"/>
      <c r="G426" s="20" t="s">
        <v>395</v>
      </c>
      <c r="H426" s="20">
        <v>1</v>
      </c>
      <c r="I426" s="22" t="s">
        <v>415</v>
      </c>
      <c r="J426" s="20" t="str">
        <f t="shared" si="6"/>
        <v>CN15</v>
      </c>
      <c r="K426" s="20" t="s">
        <v>397</v>
      </c>
      <c r="L426" s="20" t="s">
        <v>398</v>
      </c>
      <c r="M426" s="20" t="s">
        <v>399</v>
      </c>
    </row>
    <row r="427" spans="1:13" s="21" customFormat="1" x14ac:dyDescent="0.2">
      <c r="A427" s="20" t="s">
        <v>390</v>
      </c>
      <c r="B427" s="20" t="s">
        <v>1105</v>
      </c>
      <c r="C427" s="20" t="s">
        <v>392</v>
      </c>
      <c r="D427" s="20" t="s">
        <v>393</v>
      </c>
      <c r="E427" s="20" t="s">
        <v>1106</v>
      </c>
      <c r="F427" s="20"/>
      <c r="G427" s="20" t="s">
        <v>395</v>
      </c>
      <c r="H427" s="20">
        <v>1</v>
      </c>
      <c r="I427" s="22" t="s">
        <v>415</v>
      </c>
      <c r="J427" s="20" t="str">
        <f t="shared" si="6"/>
        <v>CN15</v>
      </c>
      <c r="K427" s="20" t="s">
        <v>397</v>
      </c>
      <c r="L427" s="20" t="s">
        <v>398</v>
      </c>
      <c r="M427" s="20" t="s">
        <v>399</v>
      </c>
    </row>
    <row r="428" spans="1:13" s="21" customFormat="1" x14ac:dyDescent="0.2">
      <c r="A428" s="20" t="s">
        <v>390</v>
      </c>
      <c r="B428" s="20" t="s">
        <v>1107</v>
      </c>
      <c r="C428" s="20" t="s">
        <v>392</v>
      </c>
      <c r="D428" s="20" t="s">
        <v>393</v>
      </c>
      <c r="E428" s="20" t="s">
        <v>1108</v>
      </c>
      <c r="F428" s="20"/>
      <c r="G428" s="20" t="s">
        <v>395</v>
      </c>
      <c r="H428" s="20">
        <v>1</v>
      </c>
      <c r="I428" s="22" t="s">
        <v>415</v>
      </c>
      <c r="J428" s="20" t="str">
        <f t="shared" si="6"/>
        <v>CN15</v>
      </c>
      <c r="K428" s="20" t="s">
        <v>397</v>
      </c>
      <c r="L428" s="20" t="s">
        <v>398</v>
      </c>
      <c r="M428" s="20" t="s">
        <v>399</v>
      </c>
    </row>
    <row r="429" spans="1:13" s="21" customFormat="1" x14ac:dyDescent="0.2">
      <c r="A429" s="20" t="s">
        <v>390</v>
      </c>
      <c r="B429" s="20" t="s">
        <v>1109</v>
      </c>
      <c r="C429" s="20" t="s">
        <v>392</v>
      </c>
      <c r="D429" s="20" t="s">
        <v>393</v>
      </c>
      <c r="E429" s="20" t="s">
        <v>1110</v>
      </c>
      <c r="F429" s="20"/>
      <c r="G429" s="20" t="s">
        <v>395</v>
      </c>
      <c r="H429" s="20">
        <v>1</v>
      </c>
      <c r="I429" s="22" t="s">
        <v>415</v>
      </c>
      <c r="J429" s="20" t="str">
        <f t="shared" si="6"/>
        <v>CN15</v>
      </c>
      <c r="K429" s="20" t="s">
        <v>397</v>
      </c>
      <c r="L429" s="20" t="s">
        <v>398</v>
      </c>
      <c r="M429" s="20" t="s">
        <v>399</v>
      </c>
    </row>
    <row r="430" spans="1:13" s="21" customFormat="1" x14ac:dyDescent="0.2">
      <c r="A430" s="20" t="s">
        <v>390</v>
      </c>
      <c r="B430" s="20" t="s">
        <v>1111</v>
      </c>
      <c r="C430" s="20" t="s">
        <v>392</v>
      </c>
      <c r="D430" s="20" t="s">
        <v>393</v>
      </c>
      <c r="E430" s="20" t="s">
        <v>1112</v>
      </c>
      <c r="F430" s="20"/>
      <c r="G430" s="20" t="s">
        <v>395</v>
      </c>
      <c r="H430" s="20">
        <v>1</v>
      </c>
      <c r="I430" s="22" t="s">
        <v>415</v>
      </c>
      <c r="J430" s="20" t="str">
        <f t="shared" si="6"/>
        <v>CN15</v>
      </c>
      <c r="K430" s="20" t="s">
        <v>397</v>
      </c>
      <c r="L430" s="20" t="s">
        <v>398</v>
      </c>
      <c r="M430" s="20" t="s">
        <v>399</v>
      </c>
    </row>
    <row r="431" spans="1:13" s="21" customFormat="1" x14ac:dyDescent="0.2">
      <c r="A431" s="20" t="s">
        <v>390</v>
      </c>
      <c r="B431" s="20" t="s">
        <v>1113</v>
      </c>
      <c r="C431" s="20" t="s">
        <v>392</v>
      </c>
      <c r="D431" s="20" t="s">
        <v>393</v>
      </c>
      <c r="E431" s="20" t="s">
        <v>1114</v>
      </c>
      <c r="F431" s="20"/>
      <c r="G431" s="20" t="s">
        <v>395</v>
      </c>
      <c r="H431" s="20">
        <v>1</v>
      </c>
      <c r="I431" s="22" t="s">
        <v>415</v>
      </c>
      <c r="J431" s="20" t="str">
        <f t="shared" si="6"/>
        <v>CN15</v>
      </c>
      <c r="K431" s="20" t="s">
        <v>397</v>
      </c>
      <c r="L431" s="20" t="s">
        <v>398</v>
      </c>
      <c r="M431" s="20" t="s">
        <v>399</v>
      </c>
    </row>
    <row r="432" spans="1:13" s="21" customFormat="1" x14ac:dyDescent="0.2">
      <c r="A432" s="20" t="s">
        <v>390</v>
      </c>
      <c r="B432" s="20" t="s">
        <v>1115</v>
      </c>
      <c r="C432" s="20" t="s">
        <v>392</v>
      </c>
      <c r="D432" s="20" t="s">
        <v>393</v>
      </c>
      <c r="E432" s="20" t="s">
        <v>1116</v>
      </c>
      <c r="F432" s="20"/>
      <c r="G432" s="20" t="s">
        <v>395</v>
      </c>
      <c r="H432" s="20">
        <v>1</v>
      </c>
      <c r="I432" s="22" t="s">
        <v>415</v>
      </c>
      <c r="J432" s="20" t="str">
        <f t="shared" si="6"/>
        <v>CN15</v>
      </c>
      <c r="K432" s="20" t="s">
        <v>397</v>
      </c>
      <c r="L432" s="20" t="s">
        <v>398</v>
      </c>
      <c r="M432" s="20" t="s">
        <v>399</v>
      </c>
    </row>
    <row r="433" spans="1:13" s="21" customFormat="1" x14ac:dyDescent="0.2">
      <c r="A433" s="20" t="s">
        <v>390</v>
      </c>
      <c r="B433" s="20" t="s">
        <v>1117</v>
      </c>
      <c r="C433" s="20" t="s">
        <v>392</v>
      </c>
      <c r="D433" s="20" t="s">
        <v>393</v>
      </c>
      <c r="E433" s="20" t="s">
        <v>1118</v>
      </c>
      <c r="F433" s="20"/>
      <c r="G433" s="20" t="s">
        <v>395</v>
      </c>
      <c r="H433" s="20">
        <v>1</v>
      </c>
      <c r="I433" s="22" t="s">
        <v>415</v>
      </c>
      <c r="J433" s="20" t="str">
        <f t="shared" si="6"/>
        <v>CN15</v>
      </c>
      <c r="K433" s="20" t="s">
        <v>397</v>
      </c>
      <c r="L433" s="20" t="s">
        <v>398</v>
      </c>
      <c r="M433" s="20" t="s">
        <v>399</v>
      </c>
    </row>
    <row r="434" spans="1:13" s="21" customFormat="1" x14ac:dyDescent="0.2">
      <c r="A434" s="20" t="s">
        <v>390</v>
      </c>
      <c r="B434" s="20" t="s">
        <v>1119</v>
      </c>
      <c r="C434" s="20" t="s">
        <v>392</v>
      </c>
      <c r="D434" s="20" t="s">
        <v>393</v>
      </c>
      <c r="E434" s="20" t="s">
        <v>1120</v>
      </c>
      <c r="F434" s="20"/>
      <c r="G434" s="20" t="s">
        <v>395</v>
      </c>
      <c r="H434" s="20">
        <v>1</v>
      </c>
      <c r="I434" s="22" t="s">
        <v>417</v>
      </c>
      <c r="J434" s="20" t="str">
        <f t="shared" si="6"/>
        <v>CN16</v>
      </c>
      <c r="K434" s="20" t="s">
        <v>397</v>
      </c>
      <c r="L434" s="20" t="s">
        <v>398</v>
      </c>
      <c r="M434" s="20" t="s">
        <v>399</v>
      </c>
    </row>
    <row r="435" spans="1:13" s="21" customFormat="1" x14ac:dyDescent="0.2">
      <c r="A435" s="20" t="s">
        <v>390</v>
      </c>
      <c r="B435" s="20" t="s">
        <v>1121</v>
      </c>
      <c r="C435" s="20" t="s">
        <v>392</v>
      </c>
      <c r="D435" s="20" t="s">
        <v>393</v>
      </c>
      <c r="E435" s="20" t="s">
        <v>1122</v>
      </c>
      <c r="F435" s="20"/>
      <c r="G435" s="20" t="s">
        <v>395</v>
      </c>
      <c r="H435" s="20">
        <v>1</v>
      </c>
      <c r="I435" s="22" t="s">
        <v>417</v>
      </c>
      <c r="J435" s="20" t="str">
        <f t="shared" si="6"/>
        <v>CN16</v>
      </c>
      <c r="K435" s="20" t="s">
        <v>397</v>
      </c>
      <c r="L435" s="20" t="s">
        <v>398</v>
      </c>
      <c r="M435" s="20" t="s">
        <v>399</v>
      </c>
    </row>
    <row r="436" spans="1:13" s="21" customFormat="1" x14ac:dyDescent="0.2">
      <c r="A436" s="20" t="s">
        <v>390</v>
      </c>
      <c r="B436" s="20" t="s">
        <v>1123</v>
      </c>
      <c r="C436" s="20" t="s">
        <v>392</v>
      </c>
      <c r="D436" s="20" t="s">
        <v>393</v>
      </c>
      <c r="E436" s="20" t="s">
        <v>1124</v>
      </c>
      <c r="F436" s="20"/>
      <c r="G436" s="20" t="s">
        <v>395</v>
      </c>
      <c r="H436" s="20">
        <v>1</v>
      </c>
      <c r="I436" s="22" t="s">
        <v>417</v>
      </c>
      <c r="J436" s="20" t="str">
        <f t="shared" si="6"/>
        <v>CN16</v>
      </c>
      <c r="K436" s="20" t="s">
        <v>397</v>
      </c>
      <c r="L436" s="20" t="s">
        <v>398</v>
      </c>
      <c r="M436" s="20" t="s">
        <v>399</v>
      </c>
    </row>
    <row r="437" spans="1:13" s="21" customFormat="1" x14ac:dyDescent="0.2">
      <c r="A437" s="20" t="s">
        <v>390</v>
      </c>
      <c r="B437" s="20" t="s">
        <v>1125</v>
      </c>
      <c r="C437" s="20" t="s">
        <v>392</v>
      </c>
      <c r="D437" s="20" t="s">
        <v>393</v>
      </c>
      <c r="E437" s="20" t="s">
        <v>1126</v>
      </c>
      <c r="F437" s="20"/>
      <c r="G437" s="20" t="s">
        <v>395</v>
      </c>
      <c r="H437" s="20">
        <v>1</v>
      </c>
      <c r="I437" s="22" t="s">
        <v>417</v>
      </c>
      <c r="J437" s="20" t="str">
        <f t="shared" si="6"/>
        <v>CN16</v>
      </c>
      <c r="K437" s="20" t="s">
        <v>397</v>
      </c>
      <c r="L437" s="20" t="s">
        <v>398</v>
      </c>
      <c r="M437" s="20" t="s">
        <v>399</v>
      </c>
    </row>
    <row r="438" spans="1:13" s="21" customFormat="1" x14ac:dyDescent="0.2">
      <c r="A438" s="20" t="s">
        <v>390</v>
      </c>
      <c r="B438" s="20" t="s">
        <v>1127</v>
      </c>
      <c r="C438" s="20" t="s">
        <v>392</v>
      </c>
      <c r="D438" s="20" t="s">
        <v>393</v>
      </c>
      <c r="E438" s="20" t="s">
        <v>1128</v>
      </c>
      <c r="F438" s="20"/>
      <c r="G438" s="20" t="s">
        <v>395</v>
      </c>
      <c r="H438" s="20">
        <v>1</v>
      </c>
      <c r="I438" s="22" t="s">
        <v>417</v>
      </c>
      <c r="J438" s="20" t="str">
        <f t="shared" si="6"/>
        <v>CN16</v>
      </c>
      <c r="K438" s="20" t="s">
        <v>397</v>
      </c>
      <c r="L438" s="20" t="s">
        <v>398</v>
      </c>
      <c r="M438" s="20" t="s">
        <v>399</v>
      </c>
    </row>
    <row r="439" spans="1:13" s="21" customFormat="1" x14ac:dyDescent="0.2">
      <c r="A439" s="20" t="s">
        <v>390</v>
      </c>
      <c r="B439" s="20" t="s">
        <v>1129</v>
      </c>
      <c r="C439" s="20" t="s">
        <v>392</v>
      </c>
      <c r="D439" s="20" t="s">
        <v>393</v>
      </c>
      <c r="E439" s="20" t="s">
        <v>1130</v>
      </c>
      <c r="F439" s="20"/>
      <c r="G439" s="20" t="s">
        <v>395</v>
      </c>
      <c r="H439" s="20">
        <v>1</v>
      </c>
      <c r="I439" s="20" t="s">
        <v>721</v>
      </c>
      <c r="J439" s="20" t="str">
        <f t="shared" si="6"/>
        <v>CN14</v>
      </c>
      <c r="K439" s="20" t="s">
        <v>397</v>
      </c>
      <c r="L439" s="20" t="s">
        <v>398</v>
      </c>
      <c r="M439" s="20" t="s">
        <v>399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以前年度购置的资产</vt:lpstr>
      <vt:lpstr>补行</vt:lpstr>
      <vt:lpstr>本年购置的资产 </vt:lpstr>
      <vt:lpstr>SUN</vt:lpstr>
      <vt:lpstr>13070201</vt:lpstr>
      <vt:lpstr>mapping</vt:lpstr>
      <vt:lpstr>Location</vt:lpstr>
      <vt:lpstr>Company code</vt:lpstr>
      <vt:lpstr>Asset parameter</vt:lpstr>
      <vt:lpstr>Depreciation area</vt:lpstr>
      <vt:lpstr>Cost center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2018-07-25T01:44:26Z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6cb3c200-fd74-4e6d-8cec-9f763f19670f</vt:lpwstr>
  </property>
</Properties>
</file>