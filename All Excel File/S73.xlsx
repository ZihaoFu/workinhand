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"/>
    </mc:Choice>
  </mc:AlternateContent>
  <xr:revisionPtr revIDLastSave="0" documentId="10_ncr:8100000_{BC2F11C9-C779-4DC6-B4C2-78562AFF405C}" xr6:coauthVersionLast="33" xr6:coauthVersionMax="33" xr10:uidLastSave="{00000000-0000-0000-0000-000000000000}"/>
  <bookViews>
    <workbookView xWindow="120" yWindow="15" windowWidth="28620" windowHeight="12660" firstSheet="1" activeTab="1" xr2:uid="{00000000-000D-0000-FFFF-FFFF00000000}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Sheet1!$A$2:$Q$80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Q79" i="1" l="1"/>
</calcChain>
</file>

<file path=xl/sharedStrings.xml><?xml version="1.0" encoding="utf-8"?>
<sst xmlns="http://schemas.openxmlformats.org/spreadsheetml/2006/main" count="517" uniqueCount="116">
  <si>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</si>
  <si>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</si>
  <si>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</si>
  <si>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</si>
  <si>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</si>
  <si>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</si>
  <si>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</si>
  <si>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</si>
  <si>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</si>
  <si>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</si>
  <si>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</si>
  <si>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</si>
  <si>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</si>
  <si>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</si>
  <si>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</si>
  <si>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</si>
  <si>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</si>
  <si>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</si>
  <si>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</si>
  <si>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</si>
  <si>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110103</t>
  </si>
  <si>
    <t>现金-cash clearing</t>
  </si>
  <si>
    <t>510210</t>
  </si>
  <si>
    <t>赔付支出-客户特殊补偿款</t>
  </si>
  <si>
    <t>5106050401</t>
  </si>
  <si>
    <t>佣金支出-间接-竞赛奖金及奖品-</t>
  </si>
  <si>
    <t>L</t>
  </si>
  <si>
    <t>A01</t>
  </si>
  <si>
    <t>a_ed("010+020+030+031+032+033+034+035+036+037+038+039+03A+03B+03C+03D+03E+040+041+042+043+044+045+046+047+048+049+04A","A","2018006","","PA","K=JnlSource,F='S73","Outp=DB_Name,Acc_Code,Acc_Name,JnlSource,T0,T1,T2,T3,T4,T5,T7,T9,T9Name,DrCr,Desc,TDate,Amount","SIcn=,,,,,,,,,,,,,,,,1","IncHdg=Y","","Uo=~~~~~~~~~~~~~~~~~","","Xcode=1","Sort=,,,,,,,,,,,,,,,,","Format=None,,,,,,,1","SupZ=1","FullA=0","Summ=Y","Ns=D","Top=","Opr=,,,,,,,,,,,,,,,,","Rnd=,,,,,,,,,,,,,,,,","Dp=,,,,,,,,,,,,,,,,","Rd=N0","Cr=N",",Afit=Y,APs=Y,,",",ALck=Y,,",",,","Cell=Sheet1!$A$1","PrxRCE=","","Crfile=",)</t>
  </si>
  <si>
    <t>广州</t>
  </si>
  <si>
    <t>S73</t>
  </si>
  <si>
    <t>6/4广州Cash Clearing</t>
  </si>
  <si>
    <t>6/6广州Cash Clearing</t>
  </si>
  <si>
    <t>6/7广州Cash Clearing</t>
  </si>
  <si>
    <t>6/8广州Cash Clearing</t>
  </si>
  <si>
    <t>6/11广州Cash Clearing</t>
  </si>
  <si>
    <t>6/5广州Cash Clearing</t>
  </si>
  <si>
    <t>15010404</t>
  </si>
  <si>
    <t>内部往来-资产-广东-清远</t>
  </si>
  <si>
    <t>调5月执业证工本费扣款</t>
  </si>
  <si>
    <t>15010405</t>
  </si>
  <si>
    <t>内部往来-资产-广东-汕头</t>
  </si>
  <si>
    <t>15010406</t>
  </si>
  <si>
    <t>内部往来-资产-广东-肇庆</t>
  </si>
  <si>
    <t>15010407</t>
  </si>
  <si>
    <t>内部往来-资产-广东-湛江</t>
  </si>
  <si>
    <t>15010408</t>
  </si>
  <si>
    <t>内部往来-资产-广东-茂名</t>
  </si>
  <si>
    <t>15010409</t>
  </si>
  <si>
    <t>内部往来-资产-广东-中山</t>
  </si>
  <si>
    <t>15010410</t>
  </si>
  <si>
    <t>内部往来-资产-广东-珠海</t>
  </si>
  <si>
    <t>15010411</t>
  </si>
  <si>
    <t>内部往来-资产-广东-惠州</t>
  </si>
  <si>
    <t>15010413</t>
  </si>
  <si>
    <t>内部往来-资产-广东-韶关</t>
  </si>
  <si>
    <t>15010414</t>
  </si>
  <si>
    <t>内部往来-资产-广东-揭阳</t>
  </si>
  <si>
    <t>230601</t>
  </si>
  <si>
    <t>应付赔付款-赔款支出</t>
  </si>
  <si>
    <t>P607407776扣回理赔款</t>
  </si>
  <si>
    <t>S603813490扣回理赔款</t>
  </si>
  <si>
    <t>S606603380扣回理赔款</t>
  </si>
  <si>
    <t>230607</t>
  </si>
  <si>
    <t>应付赔付款-死伤医疗给付</t>
  </si>
  <si>
    <t>L706300978扣回理赔款</t>
  </si>
  <si>
    <t>23100113</t>
  </si>
  <si>
    <t>其他应付-保险-其他应付</t>
  </si>
  <si>
    <t>L250007895扣年金</t>
  </si>
  <si>
    <t>L550000026扣减理赔款</t>
  </si>
  <si>
    <t>L606594787扣减理赔款</t>
  </si>
  <si>
    <t>L608216610扣减理赔款</t>
  </si>
  <si>
    <t>S600679051扣减理赔款</t>
  </si>
  <si>
    <t>S603226676扣减理赔款</t>
  </si>
  <si>
    <t>S605630215扣减理赔款</t>
  </si>
  <si>
    <t>15ROPFPA05</t>
  </si>
  <si>
    <t>L699839297特批补偿款</t>
  </si>
  <si>
    <t>AD2</t>
  </si>
  <si>
    <t>CY竞赛奖金发放VGZ129</t>
  </si>
  <si>
    <t>CY竞赛奖金发放VGZ206</t>
  </si>
  <si>
    <t>CY竞赛奖金发放VGZ82</t>
  </si>
  <si>
    <t>520012</t>
  </si>
  <si>
    <t>其他费用-其他服务费</t>
  </si>
  <si>
    <t>AR9</t>
  </si>
  <si>
    <t>CC/PSP测试扣款</t>
  </si>
  <si>
    <t>520044</t>
  </si>
  <si>
    <t>其他费用-营销员招募</t>
  </si>
  <si>
    <t>EOP门票扣款</t>
  </si>
  <si>
    <t>520407</t>
  </si>
  <si>
    <t>业务宣传费-市场推广费用-首年</t>
  </si>
  <si>
    <t>CYGVGD01讲座门票SGZ197</t>
  </si>
  <si>
    <t>CYGVGD01客户讲座门票SGZ78</t>
  </si>
  <si>
    <t>521601</t>
  </si>
  <si>
    <t>印刷费</t>
  </si>
  <si>
    <t>惠州</t>
  </si>
  <si>
    <t>6/5惠州Cash Clearing</t>
  </si>
  <si>
    <t>15010402</t>
  </si>
  <si>
    <t>内部往来-资产-广东-广州</t>
  </si>
  <si>
    <t>揭阳</t>
  </si>
  <si>
    <t>6/5揭阳Cash Clearing</t>
  </si>
  <si>
    <t>茂名</t>
  </si>
  <si>
    <t>6/5茂名Cash Clearing</t>
  </si>
  <si>
    <t>清远</t>
  </si>
  <si>
    <t>6/5清远Cash Clearing</t>
  </si>
  <si>
    <t>汕头</t>
  </si>
  <si>
    <t>6/5汕头Cash Clearing</t>
  </si>
  <si>
    <t>韶关</t>
  </si>
  <si>
    <t>6/5韶关Cash Clearing</t>
  </si>
  <si>
    <t>湛江</t>
  </si>
  <si>
    <t>6/5湛江Cash Clearing</t>
  </si>
  <si>
    <t>肇庆</t>
  </si>
  <si>
    <t>6/5肇庆Cash Clearing</t>
  </si>
  <si>
    <t>中山</t>
  </si>
  <si>
    <t>6/5中山Cash Clearing</t>
  </si>
  <si>
    <t>珠海</t>
  </si>
  <si>
    <t>6/5珠海Cash 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</si>
</sst>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\(#,##0.00\);0.00_);"/>
    <numFmt numFmtId="177" formatCode="yyyy/mm/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6" fontId="0" fillId="0" borderId="1" xfId="0" applyNumberFormat="1" applyBorder="1"/>
    <xf numFmtId="177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"/>
  <sheetViews>
    <sheetView workbookViewId="0"/>
  </sheetViews>
  <sheetFormatPr defaultRowHeight="13.5" x14ac:dyDescent="0.15"/>
  <sheetData>
    <row r="1" spans="1:4" x14ac:dyDescent="0.15">
      <c r="A1" t="s">
        <v>0</v>
      </c>
      <c r="B1">
        <v>1</v>
      </c>
      <c r="C1" s="1">
        <v>43265.408854166664</v>
      </c>
      <c r="D1" t="s">
        <v>28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80"/>
  <sheetViews>
    <sheetView tabSelected="1" topLeftCell="I1" workbookViewId="0">
      <pane ySplit="1" topLeftCell="A65" activePane="bottomLeft" state="frozen"/>
      <selection pane="bottomLeft" activeCell="I78" sqref="A78:XFD78"/>
    </sheetView>
  </sheetViews>
  <sheetFormatPr defaultRowHeight="13.5" x14ac:dyDescent="0.15"/>
  <cols>
    <col min="1" max="1" width="12.375" bestFit="1" customWidth="1"/>
    <col min="2" max="2" width="11" customWidth="1"/>
    <col min="3" max="3" width="31.75" customWidth="1"/>
    <col min="4" max="4" width="10.125" customWidth="1"/>
    <col min="5" max="5" width="12.125" customWidth="1"/>
    <col min="6" max="6" width="13.125" bestFit="1" customWidth="1"/>
    <col min="7" max="7" width="12.125" customWidth="1"/>
    <col min="8" max="8" width="7.625" customWidth="1"/>
    <col min="9" max="9" width="18.375" bestFit="1" customWidth="1"/>
    <col min="10" max="10" width="12.125" bestFit="1" customWidth="1"/>
    <col min="11" max="11" width="9.875" customWidth="1"/>
    <col min="12" max="12" width="21.75" customWidth="1"/>
    <col min="13" max="13" width="24.25" customWidth="1"/>
    <col min="14" max="14" width="4.25" customWidth="1"/>
    <col min="15" max="15" width="29" customWidth="1"/>
    <col min="16" max="16" width="10.125" customWidth="1"/>
    <col min="17" max="17" width="13.75" customWidth="1"/>
  </cols>
  <sheetData>
    <row r="1" spans="1:17" x14ac:dyDescent="0.15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3" t="s">
        <v>14</v>
      </c>
    </row>
    <row r="2" spans="1:17" x14ac:dyDescent="0.15">
      <c r="A2" t="s">
        <v>29</v>
      </c>
      <c r="B2" t="s">
        <v>20</v>
      </c>
      <c r="C2" t="s">
        <v>21</v>
      </c>
      <c r="D2" t="s">
        <v>30</v>
      </c>
      <c r="N2" t="s">
        <v>15</v>
      </c>
      <c r="O2" t="s">
        <v>31</v>
      </c>
      <c r="P2" s="7">
        <v>43255</v>
      </c>
      <c r="Q2" s="4">
        <v>-67421.509999999995</v>
      </c>
    </row>
    <row r="3" spans="1:17" x14ac:dyDescent="0.15">
      <c r="A3" t="s">
        <v>29</v>
      </c>
      <c r="B3" t="s">
        <v>20</v>
      </c>
      <c r="C3" t="s">
        <v>21</v>
      </c>
      <c r="D3" t="s">
        <v>30</v>
      </c>
      <c r="N3" t="s">
        <v>15</v>
      </c>
      <c r="O3" t="s">
        <v>32</v>
      </c>
      <c r="P3" s="7">
        <v>43257</v>
      </c>
      <c r="Q3" s="4">
        <v>-4921</v>
      </c>
    </row>
    <row r="4" spans="1:17" x14ac:dyDescent="0.15">
      <c r="A4" t="s">
        <v>29</v>
      </c>
      <c r="B4" t="s">
        <v>20</v>
      </c>
      <c r="C4" t="s">
        <v>21</v>
      </c>
      <c r="D4" t="s">
        <v>30</v>
      </c>
      <c r="N4" t="s">
        <v>15</v>
      </c>
      <c r="O4" t="s">
        <v>33</v>
      </c>
      <c r="P4" s="7">
        <v>43258</v>
      </c>
      <c r="Q4" s="4">
        <v>-416102</v>
      </c>
    </row>
    <row r="5" spans="1:17" x14ac:dyDescent="0.15">
      <c r="A5" t="s">
        <v>29</v>
      </c>
      <c r="B5" t="s">
        <v>20</v>
      </c>
      <c r="C5" t="s">
        <v>21</v>
      </c>
      <c r="D5" t="s">
        <v>30</v>
      </c>
      <c r="N5" t="s">
        <v>15</v>
      </c>
      <c r="O5" t="s">
        <v>34</v>
      </c>
      <c r="P5" s="7">
        <v>43259</v>
      </c>
      <c r="Q5" s="4">
        <v>-20857.22</v>
      </c>
    </row>
    <row r="6" spans="1:17" x14ac:dyDescent="0.15">
      <c r="A6" t="s">
        <v>29</v>
      </c>
      <c r="B6" t="s">
        <v>20</v>
      </c>
      <c r="C6" t="s">
        <v>21</v>
      </c>
      <c r="D6" t="s">
        <v>30</v>
      </c>
      <c r="N6" t="s">
        <v>16</v>
      </c>
      <c r="O6" t="s">
        <v>35</v>
      </c>
      <c r="P6" s="7">
        <v>43262</v>
      </c>
      <c r="Q6" s="4">
        <v>7737.71</v>
      </c>
    </row>
    <row r="7" spans="1:17" x14ac:dyDescent="0.15">
      <c r="A7" t="s">
        <v>29</v>
      </c>
      <c r="B7" t="s">
        <v>20</v>
      </c>
      <c r="C7" t="s">
        <v>21</v>
      </c>
      <c r="D7" t="s">
        <v>30</v>
      </c>
      <c r="N7" t="s">
        <v>16</v>
      </c>
      <c r="O7" t="s">
        <v>36</v>
      </c>
      <c r="P7" s="7">
        <v>43256</v>
      </c>
      <c r="Q7" s="4">
        <v>23887.01</v>
      </c>
    </row>
    <row r="8" spans="1:17" x14ac:dyDescent="0.15">
      <c r="A8" t="s">
        <v>29</v>
      </c>
      <c r="B8" t="s">
        <v>37</v>
      </c>
      <c r="C8" t="s">
        <v>38</v>
      </c>
      <c r="D8" t="s">
        <v>30</v>
      </c>
      <c r="N8" t="s">
        <v>15</v>
      </c>
      <c r="O8" t="s">
        <v>39</v>
      </c>
      <c r="P8" s="7">
        <v>43263</v>
      </c>
      <c r="Q8" s="4">
        <v>-31.5</v>
      </c>
    </row>
    <row r="9" spans="1:17" x14ac:dyDescent="0.15">
      <c r="A9" t="s">
        <v>29</v>
      </c>
      <c r="B9" t="s">
        <v>40</v>
      </c>
      <c r="C9" t="s">
        <v>41</v>
      </c>
      <c r="D9" t="s">
        <v>30</v>
      </c>
      <c r="N9" t="s">
        <v>15</v>
      </c>
      <c r="O9" t="s">
        <v>39</v>
      </c>
      <c r="P9" s="7">
        <v>43263</v>
      </c>
      <c r="Q9" s="4">
        <v>-28.5</v>
      </c>
    </row>
    <row r="10" spans="1:17" x14ac:dyDescent="0.15">
      <c r="A10" t="s">
        <v>29</v>
      </c>
      <c r="B10" t="s">
        <v>42</v>
      </c>
      <c r="C10" t="s">
        <v>43</v>
      </c>
      <c r="D10" t="s">
        <v>30</v>
      </c>
      <c r="N10" t="s">
        <v>15</v>
      </c>
      <c r="O10" t="s">
        <v>39</v>
      </c>
      <c r="P10" s="7">
        <v>43263</v>
      </c>
      <c r="Q10" s="4">
        <v>-69</v>
      </c>
    </row>
    <row r="11" spans="1:17" x14ac:dyDescent="0.15">
      <c r="A11" t="s">
        <v>29</v>
      </c>
      <c r="B11" t="s">
        <v>44</v>
      </c>
      <c r="C11" t="s">
        <v>45</v>
      </c>
      <c r="D11" t="s">
        <v>30</v>
      </c>
      <c r="N11" t="s">
        <v>15</v>
      </c>
      <c r="O11" t="s">
        <v>39</v>
      </c>
      <c r="P11" s="7">
        <v>43263</v>
      </c>
      <c r="Q11" s="4">
        <v>-57</v>
      </c>
    </row>
    <row r="12" spans="1:17" x14ac:dyDescent="0.15">
      <c r="A12" t="s">
        <v>29</v>
      </c>
      <c r="B12" t="s">
        <v>46</v>
      </c>
      <c r="C12" t="s">
        <v>47</v>
      </c>
      <c r="D12" t="s">
        <v>30</v>
      </c>
      <c r="N12" t="s">
        <v>15</v>
      </c>
      <c r="O12" t="s">
        <v>39</v>
      </c>
      <c r="P12" s="7">
        <v>43263</v>
      </c>
      <c r="Q12" s="4">
        <v>-3</v>
      </c>
    </row>
    <row r="13" spans="1:17" x14ac:dyDescent="0.15">
      <c r="A13" t="s">
        <v>29</v>
      </c>
      <c r="B13" t="s">
        <v>48</v>
      </c>
      <c r="C13" t="s">
        <v>49</v>
      </c>
      <c r="D13" t="s">
        <v>30</v>
      </c>
      <c r="N13" t="s">
        <v>15</v>
      </c>
      <c r="O13" t="s">
        <v>39</v>
      </c>
      <c r="P13" s="7">
        <v>43263</v>
      </c>
      <c r="Q13" s="4">
        <v>-79.5</v>
      </c>
    </row>
    <row r="14" spans="1:17" x14ac:dyDescent="0.15">
      <c r="A14" t="s">
        <v>29</v>
      </c>
      <c r="B14" t="s">
        <v>50</v>
      </c>
      <c r="C14" t="s">
        <v>51</v>
      </c>
      <c r="D14" t="s">
        <v>30</v>
      </c>
      <c r="N14" t="s">
        <v>15</v>
      </c>
      <c r="O14" t="s">
        <v>39</v>
      </c>
      <c r="P14" s="7">
        <v>43263</v>
      </c>
      <c r="Q14" s="4">
        <v>-10.5</v>
      </c>
    </row>
    <row r="15" spans="1:17" x14ac:dyDescent="0.15">
      <c r="A15" t="s">
        <v>29</v>
      </c>
      <c r="B15" t="s">
        <v>52</v>
      </c>
      <c r="C15" t="s">
        <v>53</v>
      </c>
      <c r="D15" t="s">
        <v>30</v>
      </c>
      <c r="N15" t="s">
        <v>15</v>
      </c>
      <c r="O15" t="s">
        <v>39</v>
      </c>
      <c r="P15" s="7">
        <v>43263</v>
      </c>
      <c r="Q15" s="4">
        <v>-54</v>
      </c>
    </row>
    <row r="16" spans="1:17" x14ac:dyDescent="0.15">
      <c r="A16" t="s">
        <v>29</v>
      </c>
      <c r="B16" t="s">
        <v>54</v>
      </c>
      <c r="C16" t="s">
        <v>55</v>
      </c>
      <c r="D16" t="s">
        <v>30</v>
      </c>
      <c r="N16" t="s">
        <v>15</v>
      </c>
      <c r="O16" t="s">
        <v>39</v>
      </c>
      <c r="P16" s="7">
        <v>43263</v>
      </c>
      <c r="Q16" s="4">
        <v>-28.5</v>
      </c>
    </row>
    <row r="17" spans="1:17" x14ac:dyDescent="0.15">
      <c r="A17" t="s">
        <v>29</v>
      </c>
      <c r="B17" t="s">
        <v>56</v>
      </c>
      <c r="C17" t="s">
        <v>57</v>
      </c>
      <c r="D17" t="s">
        <v>30</v>
      </c>
      <c r="N17" t="s">
        <v>15</v>
      </c>
      <c r="O17" t="s">
        <v>39</v>
      </c>
      <c r="P17" s="7">
        <v>43263</v>
      </c>
      <c r="Q17" s="4">
        <v>-25.5</v>
      </c>
    </row>
    <row r="18" spans="1:17" x14ac:dyDescent="0.15">
      <c r="A18" t="s">
        <v>29</v>
      </c>
      <c r="B18" t="s">
        <v>58</v>
      </c>
      <c r="C18" t="s">
        <v>59</v>
      </c>
      <c r="D18" t="s">
        <v>30</v>
      </c>
      <c r="N18" t="s">
        <v>15</v>
      </c>
      <c r="O18" t="s">
        <v>60</v>
      </c>
      <c r="P18" s="7">
        <v>43255</v>
      </c>
      <c r="Q18" s="4">
        <v>-3300.3</v>
      </c>
    </row>
    <row r="19" spans="1:17" x14ac:dyDescent="0.15">
      <c r="A19" t="s">
        <v>29</v>
      </c>
      <c r="B19" t="s">
        <v>58</v>
      </c>
      <c r="C19" t="s">
        <v>59</v>
      </c>
      <c r="D19" t="s">
        <v>30</v>
      </c>
      <c r="N19" t="s">
        <v>15</v>
      </c>
      <c r="O19" t="s">
        <v>61</v>
      </c>
      <c r="P19" s="7">
        <v>43262</v>
      </c>
      <c r="Q19" s="4">
        <v>-3477.71</v>
      </c>
    </row>
    <row r="20" spans="1:17" x14ac:dyDescent="0.15">
      <c r="A20" t="s">
        <v>29</v>
      </c>
      <c r="B20" t="s">
        <v>58</v>
      </c>
      <c r="C20" t="s">
        <v>59</v>
      </c>
      <c r="D20" t="s">
        <v>30</v>
      </c>
      <c r="N20" t="s">
        <v>15</v>
      </c>
      <c r="O20" t="s">
        <v>62</v>
      </c>
      <c r="P20" s="7">
        <v>43255</v>
      </c>
      <c r="Q20" s="4">
        <v>-6145.08</v>
      </c>
    </row>
    <row r="21" spans="1:17" x14ac:dyDescent="0.15">
      <c r="A21" t="s">
        <v>29</v>
      </c>
      <c r="B21" t="s">
        <v>63</v>
      </c>
      <c r="C21" t="s">
        <v>64</v>
      </c>
      <c r="D21" t="s">
        <v>30</v>
      </c>
      <c r="N21" t="s">
        <v>15</v>
      </c>
      <c r="O21" t="s">
        <v>65</v>
      </c>
      <c r="P21" s="7">
        <v>43255</v>
      </c>
      <c r="Q21" s="4">
        <v>-428.27</v>
      </c>
    </row>
    <row r="22" spans="1:17" x14ac:dyDescent="0.15">
      <c r="A22" t="s">
        <v>29</v>
      </c>
      <c r="B22" t="s">
        <v>66</v>
      </c>
      <c r="C22" t="s">
        <v>67</v>
      </c>
      <c r="D22" t="s">
        <v>30</v>
      </c>
      <c r="N22" t="s">
        <v>16</v>
      </c>
      <c r="O22" t="s">
        <v>68</v>
      </c>
      <c r="P22" s="7">
        <v>43257</v>
      </c>
      <c r="Q22" s="4">
        <v>2954</v>
      </c>
    </row>
    <row r="23" spans="1:17" x14ac:dyDescent="0.15">
      <c r="A23" t="s">
        <v>29</v>
      </c>
      <c r="B23" t="s">
        <v>66</v>
      </c>
      <c r="C23" t="s">
        <v>67</v>
      </c>
      <c r="D23" t="s">
        <v>30</v>
      </c>
      <c r="N23" t="s">
        <v>16</v>
      </c>
      <c r="O23" t="s">
        <v>69</v>
      </c>
      <c r="P23" s="7">
        <v>43259</v>
      </c>
      <c r="Q23" s="4">
        <v>20857.22</v>
      </c>
    </row>
    <row r="24" spans="1:17" x14ac:dyDescent="0.15">
      <c r="A24" t="s">
        <v>29</v>
      </c>
      <c r="B24" t="s">
        <v>66</v>
      </c>
      <c r="C24" t="s">
        <v>67</v>
      </c>
      <c r="D24" t="s">
        <v>30</v>
      </c>
      <c r="N24" t="s">
        <v>16</v>
      </c>
      <c r="O24" t="s">
        <v>70</v>
      </c>
      <c r="P24" s="7">
        <v>43255</v>
      </c>
      <c r="Q24" s="4">
        <v>3738</v>
      </c>
    </row>
    <row r="25" spans="1:17" x14ac:dyDescent="0.15">
      <c r="A25" t="s">
        <v>29</v>
      </c>
      <c r="B25" t="s">
        <v>66</v>
      </c>
      <c r="C25" t="s">
        <v>67</v>
      </c>
      <c r="D25" t="s">
        <v>30</v>
      </c>
      <c r="N25" t="s">
        <v>16</v>
      </c>
      <c r="O25" t="s">
        <v>71</v>
      </c>
      <c r="P25" s="7">
        <v>43258</v>
      </c>
      <c r="Q25" s="4">
        <v>5670</v>
      </c>
    </row>
    <row r="26" spans="1:17" x14ac:dyDescent="0.15">
      <c r="A26" t="s">
        <v>29</v>
      </c>
      <c r="B26" t="s">
        <v>66</v>
      </c>
      <c r="C26" t="s">
        <v>67</v>
      </c>
      <c r="D26" t="s">
        <v>30</v>
      </c>
      <c r="N26" t="s">
        <v>16</v>
      </c>
      <c r="O26" t="s">
        <v>72</v>
      </c>
      <c r="P26" s="7">
        <v>43257</v>
      </c>
      <c r="Q26" s="4">
        <v>1967</v>
      </c>
    </row>
    <row r="27" spans="1:17" x14ac:dyDescent="0.15">
      <c r="A27" t="s">
        <v>29</v>
      </c>
      <c r="B27" t="s">
        <v>66</v>
      </c>
      <c r="C27" t="s">
        <v>67</v>
      </c>
      <c r="D27" t="s">
        <v>30</v>
      </c>
      <c r="N27" t="s">
        <v>16</v>
      </c>
      <c r="O27" t="s">
        <v>73</v>
      </c>
      <c r="P27" s="7">
        <v>43258</v>
      </c>
      <c r="Q27" s="4">
        <v>984</v>
      </c>
    </row>
    <row r="28" spans="1:17" x14ac:dyDescent="0.15">
      <c r="A28" t="s">
        <v>29</v>
      </c>
      <c r="B28" t="s">
        <v>66</v>
      </c>
      <c r="C28" t="s">
        <v>67</v>
      </c>
      <c r="D28" t="s">
        <v>30</v>
      </c>
      <c r="N28" t="s">
        <v>16</v>
      </c>
      <c r="O28" t="s">
        <v>74</v>
      </c>
      <c r="P28" s="7">
        <v>43262</v>
      </c>
      <c r="Q28" s="4">
        <v>450</v>
      </c>
    </row>
    <row r="29" spans="1:17" x14ac:dyDescent="0.15">
      <c r="A29" t="s">
        <v>29</v>
      </c>
      <c r="B29" t="s">
        <v>22</v>
      </c>
      <c r="C29" t="s">
        <v>23</v>
      </c>
      <c r="D29" t="s">
        <v>30</v>
      </c>
      <c r="F29" t="s">
        <v>75</v>
      </c>
      <c r="H29" t="s">
        <v>27</v>
      </c>
      <c r="N29" t="s">
        <v>16</v>
      </c>
      <c r="O29" t="s">
        <v>76</v>
      </c>
      <c r="P29" s="7">
        <v>43255</v>
      </c>
      <c r="Q29" s="4">
        <v>20537.16</v>
      </c>
    </row>
    <row r="30" spans="1:17" x14ac:dyDescent="0.15">
      <c r="A30" t="s">
        <v>29</v>
      </c>
      <c r="B30" t="s">
        <v>24</v>
      </c>
      <c r="C30" t="s">
        <v>25</v>
      </c>
      <c r="D30" t="s">
        <v>30</v>
      </c>
      <c r="G30" t="s">
        <v>77</v>
      </c>
      <c r="J30" t="s">
        <v>26</v>
      </c>
      <c r="N30" t="s">
        <v>16</v>
      </c>
      <c r="O30" t="s">
        <v>78</v>
      </c>
      <c r="P30" s="7">
        <v>43255</v>
      </c>
      <c r="Q30" s="4">
        <v>3000</v>
      </c>
    </row>
    <row r="31" spans="1:17" x14ac:dyDescent="0.15">
      <c r="A31" t="s">
        <v>29</v>
      </c>
      <c r="B31" t="s">
        <v>24</v>
      </c>
      <c r="C31" t="s">
        <v>25</v>
      </c>
      <c r="D31" t="s">
        <v>30</v>
      </c>
      <c r="G31" t="s">
        <v>77</v>
      </c>
      <c r="J31" t="s">
        <v>26</v>
      </c>
      <c r="N31" t="s">
        <v>16</v>
      </c>
      <c r="O31" t="s">
        <v>79</v>
      </c>
      <c r="P31" s="7">
        <v>43258</v>
      </c>
      <c r="Q31" s="4">
        <v>409448</v>
      </c>
    </row>
    <row r="32" spans="1:17" x14ac:dyDescent="0.15">
      <c r="A32" t="s">
        <v>29</v>
      </c>
      <c r="B32" t="s">
        <v>24</v>
      </c>
      <c r="C32" t="s">
        <v>25</v>
      </c>
      <c r="D32" t="s">
        <v>30</v>
      </c>
      <c r="G32" t="s">
        <v>77</v>
      </c>
      <c r="J32" t="s">
        <v>26</v>
      </c>
      <c r="N32" t="s">
        <v>16</v>
      </c>
      <c r="O32" t="s">
        <v>80</v>
      </c>
      <c r="P32" s="7">
        <v>43255</v>
      </c>
      <c r="Q32" s="4">
        <v>54500</v>
      </c>
    </row>
    <row r="33" spans="1:17" x14ac:dyDescent="0.15">
      <c r="A33" t="s">
        <v>29</v>
      </c>
      <c r="B33" t="s">
        <v>81</v>
      </c>
      <c r="C33" t="s">
        <v>82</v>
      </c>
      <c r="D33" t="s">
        <v>30</v>
      </c>
      <c r="G33" t="s">
        <v>83</v>
      </c>
      <c r="N33" t="s">
        <v>15</v>
      </c>
      <c r="O33" t="s">
        <v>84</v>
      </c>
      <c r="P33" s="7">
        <v>43256</v>
      </c>
      <c r="Q33" s="4">
        <v>-23887.01</v>
      </c>
    </row>
    <row r="34" spans="1:17" x14ac:dyDescent="0.15">
      <c r="A34" t="s">
        <v>29</v>
      </c>
      <c r="B34" t="s">
        <v>85</v>
      </c>
      <c r="C34" t="s">
        <v>86</v>
      </c>
      <c r="D34" t="s">
        <v>30</v>
      </c>
      <c r="G34" t="s">
        <v>77</v>
      </c>
      <c r="N34" t="s">
        <v>15</v>
      </c>
      <c r="O34" t="s">
        <v>87</v>
      </c>
      <c r="P34" s="7">
        <v>43262</v>
      </c>
      <c r="Q34" s="4">
        <v>-4710</v>
      </c>
    </row>
    <row r="35" spans="1:17" x14ac:dyDescent="0.15">
      <c r="A35" t="s">
        <v>29</v>
      </c>
      <c r="B35" t="s">
        <v>88</v>
      </c>
      <c r="C35" t="s">
        <v>89</v>
      </c>
      <c r="D35" t="s">
        <v>30</v>
      </c>
      <c r="G35" t="s">
        <v>77</v>
      </c>
      <c r="J35" t="s">
        <v>26</v>
      </c>
      <c r="N35" t="s">
        <v>15</v>
      </c>
      <c r="O35" t="s">
        <v>90</v>
      </c>
      <c r="P35" s="7">
        <v>43255</v>
      </c>
      <c r="Q35" s="4">
        <v>-2680</v>
      </c>
    </row>
    <row r="36" spans="1:17" x14ac:dyDescent="0.15">
      <c r="A36" t="s">
        <v>29</v>
      </c>
      <c r="B36" t="s">
        <v>88</v>
      </c>
      <c r="C36" t="s">
        <v>89</v>
      </c>
      <c r="D36" t="s">
        <v>30</v>
      </c>
      <c r="G36" t="s">
        <v>77</v>
      </c>
      <c r="J36" t="s">
        <v>26</v>
      </c>
      <c r="N36" t="s">
        <v>15</v>
      </c>
      <c r="O36" t="s">
        <v>91</v>
      </c>
      <c r="P36" s="7">
        <v>43255</v>
      </c>
      <c r="Q36" s="4">
        <v>-1800</v>
      </c>
    </row>
    <row r="37" spans="1:17" x14ac:dyDescent="0.15">
      <c r="A37" t="s">
        <v>29</v>
      </c>
      <c r="B37" t="s">
        <v>92</v>
      </c>
      <c r="C37" t="s">
        <v>93</v>
      </c>
      <c r="D37" t="s">
        <v>30</v>
      </c>
      <c r="G37" t="s">
        <v>77</v>
      </c>
      <c r="N37" t="s">
        <v>15</v>
      </c>
      <c r="O37" t="s">
        <v>39</v>
      </c>
      <c r="P37" s="7">
        <v>43263</v>
      </c>
      <c r="Q37" s="4">
        <v>-471</v>
      </c>
    </row>
    <row r="38" spans="1:17" x14ac:dyDescent="0.15">
      <c r="A38" t="s">
        <v>29</v>
      </c>
      <c r="B38" t="s">
        <v>92</v>
      </c>
      <c r="C38" t="s">
        <v>93</v>
      </c>
      <c r="D38" t="s">
        <v>30</v>
      </c>
      <c r="G38" t="s">
        <v>77</v>
      </c>
      <c r="N38" t="s">
        <v>16</v>
      </c>
      <c r="O38" t="s">
        <v>39</v>
      </c>
      <c r="P38" s="7">
        <v>43263</v>
      </c>
      <c r="Q38" s="4">
        <v>858</v>
      </c>
    </row>
    <row r="39" spans="1:17" x14ac:dyDescent="0.15">
      <c r="A39" t="s">
        <v>94</v>
      </c>
      <c r="B39" t="s">
        <v>20</v>
      </c>
      <c r="C39" t="s">
        <v>21</v>
      </c>
      <c r="D39" t="s">
        <v>30</v>
      </c>
      <c r="N39" t="s">
        <v>16</v>
      </c>
      <c r="O39" t="s">
        <v>95</v>
      </c>
      <c r="P39" s="7">
        <v>43256</v>
      </c>
      <c r="Q39" s="4">
        <v>3339.35</v>
      </c>
    </row>
    <row r="40" spans="1:17" x14ac:dyDescent="0.15">
      <c r="A40" t="s">
        <v>94</v>
      </c>
      <c r="B40" t="s">
        <v>96</v>
      </c>
      <c r="C40" t="s">
        <v>97</v>
      </c>
      <c r="D40" t="s">
        <v>30</v>
      </c>
      <c r="N40" t="s">
        <v>16</v>
      </c>
      <c r="O40" t="s">
        <v>39</v>
      </c>
      <c r="P40" s="7">
        <v>43263</v>
      </c>
      <c r="Q40" s="4">
        <v>54</v>
      </c>
    </row>
    <row r="41" spans="1:17" x14ac:dyDescent="0.15">
      <c r="A41" t="s">
        <v>94</v>
      </c>
      <c r="B41" t="s">
        <v>81</v>
      </c>
      <c r="C41" t="s">
        <v>82</v>
      </c>
      <c r="D41" t="s">
        <v>30</v>
      </c>
      <c r="G41" t="s">
        <v>83</v>
      </c>
      <c r="N41" t="s">
        <v>15</v>
      </c>
      <c r="O41" t="s">
        <v>84</v>
      </c>
      <c r="P41" s="7">
        <v>43256</v>
      </c>
      <c r="Q41" s="4">
        <v>-3339.35</v>
      </c>
    </row>
    <row r="42" spans="1:17" x14ac:dyDescent="0.15">
      <c r="A42" t="s">
        <v>94</v>
      </c>
      <c r="B42" t="s">
        <v>92</v>
      </c>
      <c r="C42" t="s">
        <v>93</v>
      </c>
      <c r="D42" t="s">
        <v>30</v>
      </c>
      <c r="G42" t="s">
        <v>77</v>
      </c>
      <c r="N42" t="s">
        <v>15</v>
      </c>
      <c r="O42" t="s">
        <v>39</v>
      </c>
      <c r="P42" s="7">
        <v>43263</v>
      </c>
      <c r="Q42" s="4">
        <v>-54</v>
      </c>
    </row>
    <row r="43" spans="1:17" x14ac:dyDescent="0.15">
      <c r="A43" t="s">
        <v>98</v>
      </c>
      <c r="B43" t="s">
        <v>20</v>
      </c>
      <c r="C43" t="s">
        <v>21</v>
      </c>
      <c r="D43" t="s">
        <v>30</v>
      </c>
      <c r="N43" t="s">
        <v>16</v>
      </c>
      <c r="O43" t="s">
        <v>99</v>
      </c>
      <c r="P43" s="7">
        <v>43256</v>
      </c>
      <c r="Q43" s="4">
        <v>99.47</v>
      </c>
    </row>
    <row r="44" spans="1:17" x14ac:dyDescent="0.15">
      <c r="A44" t="s">
        <v>98</v>
      </c>
      <c r="B44" t="s">
        <v>96</v>
      </c>
      <c r="C44" t="s">
        <v>97</v>
      </c>
      <c r="D44" t="s">
        <v>30</v>
      </c>
      <c r="N44" t="s">
        <v>16</v>
      </c>
      <c r="O44" t="s">
        <v>39</v>
      </c>
      <c r="P44" s="7">
        <v>43263</v>
      </c>
      <c r="Q44" s="4">
        <v>25.5</v>
      </c>
    </row>
    <row r="45" spans="1:17" x14ac:dyDescent="0.15">
      <c r="A45" t="s">
        <v>98</v>
      </c>
      <c r="B45" t="s">
        <v>81</v>
      </c>
      <c r="C45" t="s">
        <v>82</v>
      </c>
      <c r="D45" t="s">
        <v>30</v>
      </c>
      <c r="G45" t="s">
        <v>83</v>
      </c>
      <c r="N45" t="s">
        <v>15</v>
      </c>
      <c r="O45" t="s">
        <v>84</v>
      </c>
      <c r="P45" s="7">
        <v>43256</v>
      </c>
      <c r="Q45" s="4">
        <v>-99.47</v>
      </c>
    </row>
    <row r="46" spans="1:17" x14ac:dyDescent="0.15">
      <c r="A46" t="s">
        <v>98</v>
      </c>
      <c r="B46" t="s">
        <v>92</v>
      </c>
      <c r="C46" t="s">
        <v>93</v>
      </c>
      <c r="D46" t="s">
        <v>30</v>
      </c>
      <c r="G46" t="s">
        <v>77</v>
      </c>
      <c r="N46" t="s">
        <v>15</v>
      </c>
      <c r="O46" t="s">
        <v>39</v>
      </c>
      <c r="P46" s="7">
        <v>43263</v>
      </c>
      <c r="Q46" s="4">
        <v>-25.5</v>
      </c>
    </row>
    <row r="47" spans="1:17" x14ac:dyDescent="0.15">
      <c r="A47" t="s">
        <v>100</v>
      </c>
      <c r="B47" t="s">
        <v>20</v>
      </c>
      <c r="C47" t="s">
        <v>21</v>
      </c>
      <c r="D47" t="s">
        <v>30</v>
      </c>
      <c r="N47" t="s">
        <v>16</v>
      </c>
      <c r="O47" t="s">
        <v>101</v>
      </c>
      <c r="P47" s="7">
        <v>43256</v>
      </c>
      <c r="Q47" s="4">
        <v>625.24</v>
      </c>
    </row>
    <row r="48" spans="1:17" x14ac:dyDescent="0.15">
      <c r="A48" t="s">
        <v>100</v>
      </c>
      <c r="B48" t="s">
        <v>96</v>
      </c>
      <c r="C48" t="s">
        <v>97</v>
      </c>
      <c r="D48" t="s">
        <v>30</v>
      </c>
      <c r="N48" t="s">
        <v>16</v>
      </c>
      <c r="O48" t="s">
        <v>39</v>
      </c>
      <c r="P48" s="7">
        <v>43263</v>
      </c>
      <c r="Q48" s="4">
        <v>3</v>
      </c>
    </row>
    <row r="49" spans="1:17" x14ac:dyDescent="0.15">
      <c r="A49" t="s">
        <v>100</v>
      </c>
      <c r="B49" t="s">
        <v>81</v>
      </c>
      <c r="C49" t="s">
        <v>82</v>
      </c>
      <c r="D49" t="s">
        <v>30</v>
      </c>
      <c r="G49" t="s">
        <v>83</v>
      </c>
      <c r="N49" t="s">
        <v>15</v>
      </c>
      <c r="O49" t="s">
        <v>84</v>
      </c>
      <c r="P49" s="7">
        <v>43256</v>
      </c>
      <c r="Q49" s="4">
        <v>-625.24</v>
      </c>
    </row>
    <row r="50" spans="1:17" x14ac:dyDescent="0.15">
      <c r="A50" t="s">
        <v>100</v>
      </c>
      <c r="B50" t="s">
        <v>92</v>
      </c>
      <c r="C50" t="s">
        <v>93</v>
      </c>
      <c r="D50" t="s">
        <v>30</v>
      </c>
      <c r="G50" t="s">
        <v>77</v>
      </c>
      <c r="N50" t="s">
        <v>15</v>
      </c>
      <c r="O50" t="s">
        <v>39</v>
      </c>
      <c r="P50" s="7">
        <v>43263</v>
      </c>
      <c r="Q50" s="4">
        <v>-3</v>
      </c>
    </row>
    <row r="51" spans="1:17" x14ac:dyDescent="0.15">
      <c r="A51" t="s">
        <v>102</v>
      </c>
      <c r="B51" t="s">
        <v>20</v>
      </c>
      <c r="C51" t="s">
        <v>21</v>
      </c>
      <c r="D51" t="s">
        <v>30</v>
      </c>
      <c r="N51" t="s">
        <v>16</v>
      </c>
      <c r="O51" t="s">
        <v>103</v>
      </c>
      <c r="P51" s="7">
        <v>43256</v>
      </c>
      <c r="Q51" s="4">
        <v>767.34</v>
      </c>
    </row>
    <row r="52" spans="1:17" x14ac:dyDescent="0.15">
      <c r="A52" t="s">
        <v>102</v>
      </c>
      <c r="B52" t="s">
        <v>96</v>
      </c>
      <c r="C52" t="s">
        <v>97</v>
      </c>
      <c r="D52" t="s">
        <v>30</v>
      </c>
      <c r="N52" t="s">
        <v>16</v>
      </c>
      <c r="O52" t="s">
        <v>39</v>
      </c>
      <c r="P52" s="7">
        <v>43263</v>
      </c>
      <c r="Q52" s="4">
        <v>31.5</v>
      </c>
    </row>
    <row r="53" spans="1:17" x14ac:dyDescent="0.15">
      <c r="A53" t="s">
        <v>102</v>
      </c>
      <c r="B53" t="s">
        <v>81</v>
      </c>
      <c r="C53" t="s">
        <v>82</v>
      </c>
      <c r="D53" t="s">
        <v>30</v>
      </c>
      <c r="G53" t="s">
        <v>83</v>
      </c>
      <c r="N53" t="s">
        <v>15</v>
      </c>
      <c r="O53" t="s">
        <v>84</v>
      </c>
      <c r="P53" s="7">
        <v>43256</v>
      </c>
      <c r="Q53" s="4">
        <v>-767.34</v>
      </c>
    </row>
    <row r="54" spans="1:17" x14ac:dyDescent="0.15">
      <c r="A54" t="s">
        <v>102</v>
      </c>
      <c r="B54" t="s">
        <v>92</v>
      </c>
      <c r="C54" t="s">
        <v>93</v>
      </c>
      <c r="D54" t="s">
        <v>30</v>
      </c>
      <c r="G54" t="s">
        <v>77</v>
      </c>
      <c r="N54" t="s">
        <v>15</v>
      </c>
      <c r="O54" t="s">
        <v>39</v>
      </c>
      <c r="P54" s="7">
        <v>43263</v>
      </c>
      <c r="Q54" s="4">
        <v>-31.5</v>
      </c>
    </row>
    <row r="55" spans="1:17" x14ac:dyDescent="0.15">
      <c r="A55" t="s">
        <v>104</v>
      </c>
      <c r="B55" t="s">
        <v>20</v>
      </c>
      <c r="C55" t="s">
        <v>21</v>
      </c>
      <c r="D55" t="s">
        <v>30</v>
      </c>
      <c r="N55" t="s">
        <v>16</v>
      </c>
      <c r="O55" t="s">
        <v>105</v>
      </c>
      <c r="P55" s="7">
        <v>43256</v>
      </c>
      <c r="Q55" s="4">
        <v>5257.7</v>
      </c>
    </row>
    <row r="56" spans="1:17" x14ac:dyDescent="0.15">
      <c r="A56" t="s">
        <v>104</v>
      </c>
      <c r="B56" t="s">
        <v>96</v>
      </c>
      <c r="C56" t="s">
        <v>97</v>
      </c>
      <c r="D56" t="s">
        <v>30</v>
      </c>
      <c r="N56" t="s">
        <v>16</v>
      </c>
      <c r="O56" t="s">
        <v>39</v>
      </c>
      <c r="P56" s="7">
        <v>43263</v>
      </c>
      <c r="Q56" s="4">
        <v>28.5</v>
      </c>
    </row>
    <row r="57" spans="1:17" x14ac:dyDescent="0.15">
      <c r="A57" t="s">
        <v>104</v>
      </c>
      <c r="B57" t="s">
        <v>81</v>
      </c>
      <c r="C57" t="s">
        <v>82</v>
      </c>
      <c r="D57" t="s">
        <v>30</v>
      </c>
      <c r="G57" t="s">
        <v>83</v>
      </c>
      <c r="N57" t="s">
        <v>15</v>
      </c>
      <c r="O57" t="s">
        <v>84</v>
      </c>
      <c r="P57" s="7">
        <v>43256</v>
      </c>
      <c r="Q57" s="4">
        <v>-5257.7</v>
      </c>
    </row>
    <row r="58" spans="1:17" x14ac:dyDescent="0.15">
      <c r="A58" t="s">
        <v>104</v>
      </c>
      <c r="B58" t="s">
        <v>92</v>
      </c>
      <c r="C58" t="s">
        <v>93</v>
      </c>
      <c r="D58" t="s">
        <v>30</v>
      </c>
      <c r="G58" t="s">
        <v>77</v>
      </c>
      <c r="N58" t="s">
        <v>15</v>
      </c>
      <c r="O58" t="s">
        <v>39</v>
      </c>
      <c r="P58" s="7">
        <v>43263</v>
      </c>
      <c r="Q58" s="4">
        <v>-28.5</v>
      </c>
    </row>
    <row r="59" spans="1:17" x14ac:dyDescent="0.15">
      <c r="A59" t="s">
        <v>106</v>
      </c>
      <c r="B59" t="s">
        <v>20</v>
      </c>
      <c r="C59" t="s">
        <v>21</v>
      </c>
      <c r="D59" t="s">
        <v>30</v>
      </c>
      <c r="N59" t="s">
        <v>16</v>
      </c>
      <c r="O59" t="s">
        <v>107</v>
      </c>
      <c r="P59" s="7">
        <v>43256</v>
      </c>
      <c r="Q59" s="4">
        <v>1122.5899999999999</v>
      </c>
    </row>
    <row r="60" spans="1:17" x14ac:dyDescent="0.15">
      <c r="A60" t="s">
        <v>106</v>
      </c>
      <c r="B60" t="s">
        <v>96</v>
      </c>
      <c r="C60" t="s">
        <v>97</v>
      </c>
      <c r="D60" t="s">
        <v>30</v>
      </c>
      <c r="N60" t="s">
        <v>16</v>
      </c>
      <c r="O60" t="s">
        <v>39</v>
      </c>
      <c r="P60" s="7">
        <v>43263</v>
      </c>
      <c r="Q60" s="4">
        <v>28.5</v>
      </c>
    </row>
    <row r="61" spans="1:17" x14ac:dyDescent="0.15">
      <c r="A61" t="s">
        <v>106</v>
      </c>
      <c r="B61" t="s">
        <v>81</v>
      </c>
      <c r="C61" t="s">
        <v>82</v>
      </c>
      <c r="D61" t="s">
        <v>30</v>
      </c>
      <c r="G61" t="s">
        <v>83</v>
      </c>
      <c r="N61" t="s">
        <v>15</v>
      </c>
      <c r="O61" t="s">
        <v>84</v>
      </c>
      <c r="P61" s="7">
        <v>43256</v>
      </c>
      <c r="Q61" s="4">
        <v>-1122.5899999999999</v>
      </c>
    </row>
    <row r="62" spans="1:17" x14ac:dyDescent="0.15">
      <c r="A62" t="s">
        <v>106</v>
      </c>
      <c r="B62" t="s">
        <v>92</v>
      </c>
      <c r="C62" t="s">
        <v>93</v>
      </c>
      <c r="D62" t="s">
        <v>30</v>
      </c>
      <c r="G62" t="s">
        <v>77</v>
      </c>
      <c r="N62" t="s">
        <v>15</v>
      </c>
      <c r="O62" t="s">
        <v>39</v>
      </c>
      <c r="P62" s="7">
        <v>43263</v>
      </c>
      <c r="Q62" s="4">
        <v>-28.5</v>
      </c>
    </row>
    <row r="63" spans="1:17" x14ac:dyDescent="0.15">
      <c r="A63" t="s">
        <v>108</v>
      </c>
      <c r="B63" t="s">
        <v>20</v>
      </c>
      <c r="C63" t="s">
        <v>21</v>
      </c>
      <c r="D63" t="s">
        <v>30</v>
      </c>
      <c r="N63" t="s">
        <v>16</v>
      </c>
      <c r="O63" t="s">
        <v>109</v>
      </c>
      <c r="P63" s="7">
        <v>43256</v>
      </c>
      <c r="Q63" s="4">
        <v>1790.46</v>
      </c>
    </row>
    <row r="64" spans="1:17" x14ac:dyDescent="0.15">
      <c r="A64" t="s">
        <v>108</v>
      </c>
      <c r="B64" t="s">
        <v>96</v>
      </c>
      <c r="C64" t="s">
        <v>97</v>
      </c>
      <c r="D64" t="s">
        <v>30</v>
      </c>
      <c r="N64" t="s">
        <v>16</v>
      </c>
      <c r="O64" t="s">
        <v>39</v>
      </c>
      <c r="P64" s="7">
        <v>43263</v>
      </c>
      <c r="Q64" s="4">
        <v>57</v>
      </c>
    </row>
    <row r="65" spans="1:17" x14ac:dyDescent="0.15">
      <c r="A65" t="s">
        <v>108</v>
      </c>
      <c r="B65" t="s">
        <v>81</v>
      </c>
      <c r="C65" t="s">
        <v>82</v>
      </c>
      <c r="D65" t="s">
        <v>30</v>
      </c>
      <c r="G65" t="s">
        <v>83</v>
      </c>
      <c r="N65" t="s">
        <v>15</v>
      </c>
      <c r="O65" t="s">
        <v>84</v>
      </c>
      <c r="P65" s="7">
        <v>43256</v>
      </c>
      <c r="Q65" s="4">
        <v>-1790.46</v>
      </c>
    </row>
    <row r="66" spans="1:17" x14ac:dyDescent="0.15">
      <c r="A66" t="s">
        <v>108</v>
      </c>
      <c r="B66" t="s">
        <v>92</v>
      </c>
      <c r="C66" t="s">
        <v>93</v>
      </c>
      <c r="D66" t="s">
        <v>30</v>
      </c>
      <c r="G66" t="s">
        <v>77</v>
      </c>
      <c r="N66" t="s">
        <v>15</v>
      </c>
      <c r="O66" t="s">
        <v>39</v>
      </c>
      <c r="P66" s="7">
        <v>43263</v>
      </c>
      <c r="Q66" s="4">
        <v>-57</v>
      </c>
    </row>
    <row r="67" spans="1:17" x14ac:dyDescent="0.15">
      <c r="A67" t="s">
        <v>110</v>
      </c>
      <c r="B67" t="s">
        <v>20</v>
      </c>
      <c r="C67" t="s">
        <v>21</v>
      </c>
      <c r="D67" t="s">
        <v>30</v>
      </c>
      <c r="N67" t="s">
        <v>16</v>
      </c>
      <c r="O67" t="s">
        <v>111</v>
      </c>
      <c r="P67" s="7">
        <v>43256</v>
      </c>
      <c r="Q67" s="4">
        <v>2827.79</v>
      </c>
    </row>
    <row r="68" spans="1:17" x14ac:dyDescent="0.15">
      <c r="A68" t="s">
        <v>110</v>
      </c>
      <c r="B68" t="s">
        <v>96</v>
      </c>
      <c r="C68" t="s">
        <v>97</v>
      </c>
      <c r="D68" t="s">
        <v>30</v>
      </c>
      <c r="N68" t="s">
        <v>16</v>
      </c>
      <c r="O68" t="s">
        <v>39</v>
      </c>
      <c r="P68" s="7">
        <v>43263</v>
      </c>
      <c r="Q68" s="4">
        <v>69</v>
      </c>
    </row>
    <row r="69" spans="1:17" x14ac:dyDescent="0.15">
      <c r="A69" t="s">
        <v>110</v>
      </c>
      <c r="B69" t="s">
        <v>81</v>
      </c>
      <c r="C69" t="s">
        <v>82</v>
      </c>
      <c r="D69" t="s">
        <v>30</v>
      </c>
      <c r="G69" t="s">
        <v>83</v>
      </c>
      <c r="N69" t="s">
        <v>15</v>
      </c>
      <c r="O69" t="s">
        <v>84</v>
      </c>
      <c r="P69" s="7">
        <v>43256</v>
      </c>
      <c r="Q69" s="4">
        <v>-2827.79</v>
      </c>
    </row>
    <row r="70" spans="1:17" x14ac:dyDescent="0.15">
      <c r="A70" t="s">
        <v>110</v>
      </c>
      <c r="B70" t="s">
        <v>92</v>
      </c>
      <c r="C70" t="s">
        <v>93</v>
      </c>
      <c r="D70" t="s">
        <v>30</v>
      </c>
      <c r="G70" t="s">
        <v>77</v>
      </c>
      <c r="N70" t="s">
        <v>15</v>
      </c>
      <c r="O70" t="s">
        <v>39</v>
      </c>
      <c r="P70" s="7">
        <v>43263</v>
      </c>
      <c r="Q70" s="4">
        <v>-69</v>
      </c>
    </row>
    <row r="71" spans="1:17" x14ac:dyDescent="0.15">
      <c r="A71" t="s">
        <v>112</v>
      </c>
      <c r="B71" t="s">
        <v>20</v>
      </c>
      <c r="C71" t="s">
        <v>21</v>
      </c>
      <c r="D71" t="s">
        <v>30</v>
      </c>
      <c r="N71" t="s">
        <v>16</v>
      </c>
      <c r="O71" t="s">
        <v>113</v>
      </c>
      <c r="P71" s="7">
        <v>43256</v>
      </c>
      <c r="Q71" s="4">
        <v>5101.3900000000003</v>
      </c>
    </row>
    <row r="72" spans="1:17" x14ac:dyDescent="0.15">
      <c r="A72" t="s">
        <v>112</v>
      </c>
      <c r="B72" t="s">
        <v>96</v>
      </c>
      <c r="C72" t="s">
        <v>97</v>
      </c>
      <c r="D72" t="s">
        <v>30</v>
      </c>
      <c r="N72" t="s">
        <v>16</v>
      </c>
      <c r="O72" t="s">
        <v>39</v>
      </c>
      <c r="P72" s="7">
        <v>43263</v>
      </c>
      <c r="Q72" s="4">
        <v>79.5</v>
      </c>
    </row>
    <row r="73" spans="1:17" x14ac:dyDescent="0.15">
      <c r="A73" t="s">
        <v>112</v>
      </c>
      <c r="B73" t="s">
        <v>81</v>
      </c>
      <c r="C73" t="s">
        <v>82</v>
      </c>
      <c r="D73" t="s">
        <v>30</v>
      </c>
      <c r="G73" t="s">
        <v>83</v>
      </c>
      <c r="N73" t="s">
        <v>15</v>
      </c>
      <c r="O73" t="s">
        <v>84</v>
      </c>
      <c r="P73" s="7">
        <v>43256</v>
      </c>
      <c r="Q73" s="4">
        <v>-5101.3900000000003</v>
      </c>
    </row>
    <row r="74" spans="1:17" x14ac:dyDescent="0.15">
      <c r="A74" t="s">
        <v>112</v>
      </c>
      <c r="B74" t="s">
        <v>92</v>
      </c>
      <c r="C74" t="s">
        <v>93</v>
      </c>
      <c r="D74" t="s">
        <v>30</v>
      </c>
      <c r="G74" t="s">
        <v>77</v>
      </c>
      <c r="N74" t="s">
        <v>15</v>
      </c>
      <c r="O74" t="s">
        <v>39</v>
      </c>
      <c r="P74" s="7">
        <v>43263</v>
      </c>
      <c r="Q74" s="4">
        <v>-79.5</v>
      </c>
    </row>
    <row r="75" spans="1:17" x14ac:dyDescent="0.15">
      <c r="A75" t="s">
        <v>114</v>
      </c>
      <c r="B75" t="s">
        <v>20</v>
      </c>
      <c r="C75" t="s">
        <v>21</v>
      </c>
      <c r="D75" t="s">
        <v>30</v>
      </c>
      <c r="N75" t="s">
        <v>16</v>
      </c>
      <c r="O75" t="s">
        <v>115</v>
      </c>
      <c r="P75" s="7">
        <v>43256</v>
      </c>
      <c r="Q75" s="4">
        <v>852.6</v>
      </c>
    </row>
    <row r="76" spans="1:17" x14ac:dyDescent="0.15">
      <c r="A76" t="s">
        <v>114</v>
      </c>
      <c r="B76" t="s">
        <v>96</v>
      </c>
      <c r="C76" t="s">
        <v>97</v>
      </c>
      <c r="D76" t="s">
        <v>30</v>
      </c>
      <c r="N76" t="s">
        <v>16</v>
      </c>
      <c r="O76" t="s">
        <v>39</v>
      </c>
      <c r="P76" s="7">
        <v>43263</v>
      </c>
      <c r="Q76" s="4">
        <v>10.5</v>
      </c>
    </row>
    <row r="77" spans="1:17" x14ac:dyDescent="0.15">
      <c r="A77" t="s">
        <v>114</v>
      </c>
      <c r="B77" t="s">
        <v>81</v>
      </c>
      <c r="C77" t="s">
        <v>82</v>
      </c>
      <c r="D77" t="s">
        <v>30</v>
      </c>
      <c r="G77" t="s">
        <v>83</v>
      </c>
      <c r="N77" t="s">
        <v>15</v>
      </c>
      <c r="O77" t="s">
        <v>84</v>
      </c>
      <c r="P77" s="7">
        <v>43256</v>
      </c>
      <c r="Q77" s="4">
        <v>-852.6</v>
      </c>
    </row>
    <row r="78" spans="1:17" x14ac:dyDescent="0.15">
      <c r="A78" t="s">
        <v>114</v>
      </c>
      <c r="B78" t="s">
        <v>92</v>
      </c>
      <c r="C78" t="s">
        <v>93</v>
      </c>
      <c r="D78" t="s">
        <v>30</v>
      </c>
      <c r="G78" t="s">
        <v>77</v>
      </c>
      <c r="N78" t="s">
        <v>15</v>
      </c>
      <c r="O78" t="s">
        <v>39</v>
      </c>
      <c r="P78" s="7">
        <v>43263</v>
      </c>
      <c r="Q78" s="4">
        <v>-10.5</v>
      </c>
    </row>
    <row r="79" spans="1:17" ht="14.25" thickBot="1" x14ac:dyDescent="0.2">
      <c r="O79">
        <v>77</v>
      </c>
      <c r="Q79" s="5">
        <f ca="1">SUBTOTAL(9,Q2:Q78)</f>
        <v>-4.7293724492192268E-11</v>
      </c>
    </row>
    <row r="80" spans="1:17" ht="14.25" thickTop="1" x14ac:dyDescent="0.15"/>
  </sheetData>
  <phoneticPr fontId="2" type="noConversion"/>
  <pageMargins left="0.5" right="0.5" top="0.8" bottom="0.5" header="0.5" footer="0.25"/>
  <pageSetup fitToHeight="0" orientation="landscape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Fu Zihao</cp:lastModifiedBy>
  <dcterms:created xsi:type="dcterms:W3CDTF">2018-06-04T04:56:22Z</dcterms:created>
  <dcterms:modified xsi:type="dcterms:W3CDTF">2018-06-22T07:56:57Z</dcterms:modified>
</cp:coreProperties>
</file>