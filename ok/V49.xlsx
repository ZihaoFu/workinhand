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ok\"/>
    </mc:Choice>
  </mc:AlternateContent>
  <xr:revisionPtr revIDLastSave="0" documentId="10_ncr:8100000_{CAD96C0D-F2C7-4F16-AA2B-7011FE3DB5F5}" xr6:coauthVersionLast="33" xr6:coauthVersionMax="33" xr10:uidLastSave="{00000000-0000-0000-0000-000000000000}"/>
  <bookViews>
    <workbookView xWindow="0" yWindow="0" windowWidth="16515" windowHeight="9090" firstSheet="1" activeTab="1" xr2:uid="{00000000-000D-0000-FFFF-FFFF00000000}"/>
  </bookViews>
  <sheets>
    <sheet name="AceSol" sheetId="4" state="veryHidden" r:id="rId1"/>
    <sheet name="Sheet1" sheetId="1" r:id="rId2"/>
    <sheet name="Sheet2" sheetId="2" r:id="rId3"/>
    <sheet name="Sheet3" sheetId="3" r:id="rId4"/>
  </sheets>
  <definedNames>
    <definedName name="_xlnm.Print_Area" localSheetId="1">Sheet1!$A$2:$Q$15</definedName>
    <definedName name="_xlnm.Print_Titles" localSheetId="1">Sheet1!$1:$1</definedName>
  </definedNames>
  <calcPr calcId="162913" calcMode="manual"/>
</workbook>
</file>

<file path=xl/calcChain.xml><?xml version="1.0" encoding="utf-8"?>
<calcChain xmlns="http://schemas.openxmlformats.org/spreadsheetml/2006/main">
  <c r="Q14" i="1" l="1"/>
</calcChain>
</file>

<file path=xl/sharedStrings.xml><?xml version="1.0" encoding="utf-8"?>
<sst xmlns="http://schemas.openxmlformats.org/spreadsheetml/2006/main" count="106" uniqueCount="48">
  <si>
    <t>a_ed</t>
  </si>
  <si>
    <t>科目代码</t>
  </si>
  <si>
    <t>科目名称</t>
  </si>
  <si>
    <t>分录来源</t>
  </si>
  <si>
    <t>T0现金流量</t>
  </si>
  <si>
    <t>T1险种/投资</t>
  </si>
  <si>
    <t>T2部门代码</t>
  </si>
  <si>
    <t>T3渠道</t>
  </si>
  <si>
    <t>T4专案项目/FUND</t>
  </si>
  <si>
    <t>T5费用控制</t>
  </si>
  <si>
    <t>T7关联方</t>
  </si>
  <si>
    <t>T9参考备注信息及合</t>
  </si>
  <si>
    <t>参考备注信息及合名称</t>
  </si>
  <si>
    <t>D/C</t>
  </si>
  <si>
    <t>金额</t>
  </si>
  <si>
    <t>C</t>
  </si>
  <si>
    <t>D</t>
  </si>
  <si>
    <t>摘要</t>
  </si>
  <si>
    <t>交易日期</t>
  </si>
  <si>
    <t>数据库名称</t>
  </si>
  <si>
    <t>110103</t>
  </si>
  <si>
    <t>现金-cash clearing</t>
  </si>
  <si>
    <t>1101</t>
  </si>
  <si>
    <t>510210</t>
  </si>
  <si>
    <t>赔付支出-客户特殊补偿款</t>
  </si>
  <si>
    <t>a_ed("010+020+030+031+032+033+034+035+036+037+038+039+03A+03B+03C+03D+03E+040+041+042+043+044+045+046+047+048+049+04A","A","2018006","","PA","K=JnlSource,F='V49","Outp=DB_Name,Acc_Code,Acc_Name,JnlSource,T0,T1,T2,T3,T4,T5,T7,T9,T9Name,DrCr,Desc,TDate,Amount","SIcn=,,,,,,,,,,,,,,,,1","IncHdg=Y","","Uo=~~~~~~~~~~~~~~~~~","","Xcode=1","Sort=,,,,,,,,,,,,,,,,","Format=None,,,,,,,1","SupZ=1","FullA=0","Summ=Y","Ns=D","Top=","Opr=,,,,,,,,,,,,,,,,","Rnd=,,,,,,,,,,,,,,,,","Dp=,,,,,,,,,,,,,,,,","Rd=N0","Cr=N",",Afit=Y,APs=Y,,",",ALck=Y,,",",,","Cell=Sheet1!$A$1","PrxRCE=","","Crfile=",)</t>
  </si>
  <si>
    <t>上海分公司</t>
  </si>
  <si>
    <t>V49</t>
  </si>
  <si>
    <t>Cash Clearing</t>
  </si>
  <si>
    <t>1102010183</t>
  </si>
  <si>
    <t>活期-RMB-工行-上海1021</t>
  </si>
  <si>
    <t>万欣和归还欠款冲银行账</t>
  </si>
  <si>
    <t>AIO25E</t>
  </si>
  <si>
    <t>A01</t>
  </si>
  <si>
    <t>C581819820特批补偿款</t>
  </si>
  <si>
    <t>C581819891特批补偿款</t>
  </si>
  <si>
    <t>LESRB</t>
  </si>
  <si>
    <t>C120447844特殊补偿款</t>
  </si>
  <si>
    <t>C130348056特批补偿款</t>
  </si>
  <si>
    <t>C130563129特批补偿款</t>
  </si>
  <si>
    <t>C170456144特批补偿款</t>
  </si>
  <si>
    <t>520010</t>
  </si>
  <si>
    <t>其他费用-营销员培训</t>
  </si>
  <si>
    <t>AT1</t>
  </si>
  <si>
    <t>外训学员承担费用</t>
  </si>
  <si>
    <t>540402</t>
  </si>
  <si>
    <t>营业外支出-其他-保险</t>
  </si>
  <si>
    <t>#88530发放滞留佣金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</si>
</sst>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0_);\(#,##0.00\);0.00_);"/>
    <numFmt numFmtId="177" formatCode="yyyy/mm/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176" fontId="0" fillId="0" borderId="0" xfId="0" applyNumberFormat="1"/>
    <xf numFmtId="176" fontId="0" fillId="0" borderId="1" xfId="0" applyNumberFormat="1" applyBorder="1"/>
    <xf numFmtId="177" fontId="1" fillId="0" borderId="0" xfId="0" applyNumberFormat="1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E480994C-E5DB-4A53-81B0-2934F6D866D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"/>
  <sheetViews>
    <sheetView workbookViewId="0"/>
  </sheetViews>
  <sheetFormatPr defaultRowHeight="13.5" x14ac:dyDescent="0.15"/>
  <sheetData>
    <row r="1" spans="1:4" x14ac:dyDescent="0.15">
      <c r="A1" t="s">
        <v>0</v>
      </c>
      <c r="B1">
        <v>1</v>
      </c>
      <c r="C1" s="1">
        <v>43265.40834490741</v>
      </c>
      <c r="D1" t="s">
        <v>25</v>
      </c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15"/>
  <sheetViews>
    <sheetView tabSelected="1" workbookViewId="0">
      <pane ySplit="1" topLeftCell="A2" activePane="bottomLeft" state="frozen"/>
      <selection pane="bottomLeft" activeCell="C17" sqref="C17"/>
    </sheetView>
  </sheetViews>
  <sheetFormatPr defaultRowHeight="13.5" x14ac:dyDescent="0.15"/>
  <cols>
    <col min="1" max="1" width="12.375" bestFit="1" customWidth="1"/>
    <col min="2" max="2" width="11" customWidth="1"/>
    <col min="3" max="3" width="25.875" customWidth="1"/>
    <col min="4" max="4" width="10.125" customWidth="1"/>
    <col min="5" max="5" width="12.125" customWidth="1"/>
    <col min="6" max="6" width="13.125" bestFit="1" customWidth="1"/>
    <col min="7" max="7" width="12.125" customWidth="1"/>
    <col min="8" max="8" width="7.625" customWidth="1"/>
    <col min="9" max="9" width="18.375" bestFit="1" customWidth="1"/>
    <col min="10" max="10" width="12.125" bestFit="1" customWidth="1"/>
    <col min="11" max="11" width="9.875" customWidth="1"/>
    <col min="12" max="12" width="21.75" customWidth="1"/>
    <col min="13" max="13" width="24.25" customWidth="1"/>
    <col min="14" max="14" width="4.25" customWidth="1"/>
    <col min="15" max="15" width="25" customWidth="1"/>
    <col min="16" max="16" width="10.125" customWidth="1"/>
    <col min="17" max="17" width="10.625" customWidth="1"/>
  </cols>
  <sheetData>
    <row r="1" spans="1:17" x14ac:dyDescent="0.15">
      <c r="A1" s="6" t="s">
        <v>19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3" t="s">
        <v>14</v>
      </c>
    </row>
    <row r="2" spans="1:17" x14ac:dyDescent="0.15">
      <c r="A2" t="s">
        <v>26</v>
      </c>
      <c r="B2" t="s">
        <v>20</v>
      </c>
      <c r="C2" t="s">
        <v>21</v>
      </c>
      <c r="D2" t="s">
        <v>27</v>
      </c>
      <c r="N2" t="s">
        <v>15</v>
      </c>
      <c r="O2" t="s">
        <v>28</v>
      </c>
      <c r="P2" s="7">
        <v>43256</v>
      </c>
      <c r="Q2" s="4">
        <v>-9792.91</v>
      </c>
    </row>
    <row r="3" spans="1:17" x14ac:dyDescent="0.15">
      <c r="A3" t="s">
        <v>26</v>
      </c>
      <c r="B3" t="s">
        <v>20</v>
      </c>
      <c r="C3" t="s">
        <v>21</v>
      </c>
      <c r="D3" t="s">
        <v>27</v>
      </c>
      <c r="N3" t="s">
        <v>15</v>
      </c>
      <c r="O3" t="s">
        <v>28</v>
      </c>
      <c r="P3" s="7">
        <v>43258</v>
      </c>
      <c r="Q3" s="4">
        <v>-11160.78</v>
      </c>
    </row>
    <row r="4" spans="1:17" x14ac:dyDescent="0.15">
      <c r="A4" t="s">
        <v>26</v>
      </c>
      <c r="B4" t="s">
        <v>20</v>
      </c>
      <c r="C4" t="s">
        <v>21</v>
      </c>
      <c r="D4" t="s">
        <v>27</v>
      </c>
      <c r="N4" t="s">
        <v>15</v>
      </c>
      <c r="O4" t="s">
        <v>28</v>
      </c>
      <c r="P4" s="7">
        <v>43259</v>
      </c>
      <c r="Q4" s="4">
        <v>-8000</v>
      </c>
    </row>
    <row r="5" spans="1:17" x14ac:dyDescent="0.15">
      <c r="A5" t="s">
        <v>26</v>
      </c>
      <c r="B5" t="s">
        <v>29</v>
      </c>
      <c r="C5" t="s">
        <v>30</v>
      </c>
      <c r="D5" t="s">
        <v>27</v>
      </c>
      <c r="E5" t="s">
        <v>22</v>
      </c>
      <c r="N5" t="s">
        <v>15</v>
      </c>
      <c r="O5" t="s">
        <v>31</v>
      </c>
      <c r="P5" s="7">
        <v>43258</v>
      </c>
      <c r="Q5" s="4">
        <v>-3672.9</v>
      </c>
    </row>
    <row r="6" spans="1:17" x14ac:dyDescent="0.15">
      <c r="A6" t="s">
        <v>26</v>
      </c>
      <c r="B6" t="s">
        <v>23</v>
      </c>
      <c r="C6" t="s">
        <v>24</v>
      </c>
      <c r="D6" t="s">
        <v>27</v>
      </c>
      <c r="F6" t="s">
        <v>32</v>
      </c>
      <c r="H6" t="s">
        <v>33</v>
      </c>
      <c r="N6" t="s">
        <v>16</v>
      </c>
      <c r="O6" t="s">
        <v>34</v>
      </c>
      <c r="P6" s="7">
        <v>43256</v>
      </c>
      <c r="Q6" s="4">
        <v>1907.85</v>
      </c>
    </row>
    <row r="7" spans="1:17" x14ac:dyDescent="0.15">
      <c r="A7" t="s">
        <v>26</v>
      </c>
      <c r="B7" t="s">
        <v>23</v>
      </c>
      <c r="C7" t="s">
        <v>24</v>
      </c>
      <c r="D7" t="s">
        <v>27</v>
      </c>
      <c r="F7" t="s">
        <v>32</v>
      </c>
      <c r="H7" t="s">
        <v>33</v>
      </c>
      <c r="N7" t="s">
        <v>16</v>
      </c>
      <c r="O7" t="s">
        <v>35</v>
      </c>
      <c r="P7" s="7">
        <v>43256</v>
      </c>
      <c r="Q7" s="4">
        <v>2050.35</v>
      </c>
    </row>
    <row r="8" spans="1:17" x14ac:dyDescent="0.15">
      <c r="A8" t="s">
        <v>26</v>
      </c>
      <c r="B8" t="s">
        <v>23</v>
      </c>
      <c r="C8" t="s">
        <v>24</v>
      </c>
      <c r="D8" t="s">
        <v>27</v>
      </c>
      <c r="F8" t="s">
        <v>36</v>
      </c>
      <c r="H8" t="s">
        <v>33</v>
      </c>
      <c r="N8" t="s">
        <v>16</v>
      </c>
      <c r="O8" t="s">
        <v>37</v>
      </c>
      <c r="P8" s="7">
        <v>43259</v>
      </c>
      <c r="Q8" s="4">
        <v>8000</v>
      </c>
    </row>
    <row r="9" spans="1:17" x14ac:dyDescent="0.15">
      <c r="A9" t="s">
        <v>26</v>
      </c>
      <c r="B9" t="s">
        <v>23</v>
      </c>
      <c r="C9" t="s">
        <v>24</v>
      </c>
      <c r="D9" t="s">
        <v>27</v>
      </c>
      <c r="F9" t="s">
        <v>36</v>
      </c>
      <c r="H9" t="s">
        <v>33</v>
      </c>
      <c r="N9" t="s">
        <v>16</v>
      </c>
      <c r="O9" t="s">
        <v>38</v>
      </c>
      <c r="P9" s="7">
        <v>43256</v>
      </c>
      <c r="Q9" s="4">
        <v>776.75</v>
      </c>
    </row>
    <row r="10" spans="1:17" x14ac:dyDescent="0.15">
      <c r="A10" t="s">
        <v>26</v>
      </c>
      <c r="B10" t="s">
        <v>23</v>
      </c>
      <c r="C10" t="s">
        <v>24</v>
      </c>
      <c r="D10" t="s">
        <v>27</v>
      </c>
      <c r="F10" t="s">
        <v>36</v>
      </c>
      <c r="H10" t="s">
        <v>33</v>
      </c>
      <c r="N10" t="s">
        <v>16</v>
      </c>
      <c r="O10" t="s">
        <v>39</v>
      </c>
      <c r="P10" s="7">
        <v>43256</v>
      </c>
      <c r="Q10" s="4">
        <v>1267.0999999999999</v>
      </c>
    </row>
    <row r="11" spans="1:17" x14ac:dyDescent="0.15">
      <c r="A11" t="s">
        <v>26</v>
      </c>
      <c r="B11" t="s">
        <v>23</v>
      </c>
      <c r="C11" t="s">
        <v>24</v>
      </c>
      <c r="D11" t="s">
        <v>27</v>
      </c>
      <c r="F11" t="s">
        <v>36</v>
      </c>
      <c r="H11" t="s">
        <v>33</v>
      </c>
      <c r="N11" t="s">
        <v>16</v>
      </c>
      <c r="O11" t="s">
        <v>40</v>
      </c>
      <c r="P11" s="7">
        <v>43256</v>
      </c>
      <c r="Q11" s="4">
        <v>3790.86</v>
      </c>
    </row>
    <row r="12" spans="1:17" x14ac:dyDescent="0.15">
      <c r="A12" t="s">
        <v>26</v>
      </c>
      <c r="B12" t="s">
        <v>41</v>
      </c>
      <c r="C12" t="s">
        <v>42</v>
      </c>
      <c r="D12" t="s">
        <v>27</v>
      </c>
      <c r="G12" t="s">
        <v>43</v>
      </c>
      <c r="N12" t="s">
        <v>15</v>
      </c>
      <c r="O12" t="s">
        <v>44</v>
      </c>
      <c r="P12" s="7">
        <v>43258</v>
      </c>
      <c r="Q12" s="4">
        <v>-1200</v>
      </c>
    </row>
    <row r="13" spans="1:17" x14ac:dyDescent="0.15">
      <c r="A13" t="s">
        <v>26</v>
      </c>
      <c r="B13" t="s">
        <v>45</v>
      </c>
      <c r="C13" t="s">
        <v>46</v>
      </c>
      <c r="D13" t="s">
        <v>27</v>
      </c>
      <c r="H13" t="s">
        <v>33</v>
      </c>
      <c r="N13" t="s">
        <v>16</v>
      </c>
      <c r="O13" t="s">
        <v>47</v>
      </c>
      <c r="P13" s="7">
        <v>43258</v>
      </c>
      <c r="Q13" s="4">
        <v>16033.68</v>
      </c>
    </row>
    <row r="14" spans="1:17" ht="14.25" thickBot="1" x14ac:dyDescent="0.2">
      <c r="O14">
        <v>12</v>
      </c>
      <c r="Q14" s="5">
        <f>SUBTOTAL(9,Q2:Q13)</f>
        <v>0</v>
      </c>
    </row>
    <row r="15" spans="1:17" ht="14.25" thickTop="1" x14ac:dyDescent="0.15"/>
  </sheetData>
  <phoneticPr fontId="2" type="noConversion"/>
  <pageMargins left="0.5" right="0.5" top="0.8" bottom="0.5" header="0.5" footer="0.25"/>
  <pageSetup fitToHeight="0" orientation="landscape" verticalDpi="0" r:id="rId1"/>
  <headerFooter>
    <oddFooter>&amp;C菴 &amp;P 珜ㄛ僕 &amp;N 珜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nacr150</dc:creator>
  <cp:lastModifiedBy>Fu Zihao</cp:lastModifiedBy>
  <dcterms:created xsi:type="dcterms:W3CDTF">2018-06-04T04:56:22Z</dcterms:created>
  <dcterms:modified xsi:type="dcterms:W3CDTF">2018-06-28T12:04:43Z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e12e74bf-88da-4b27-9bc4-285a673b1f9a</vt:lpwstr>
  </property>
</Properties>
</file>