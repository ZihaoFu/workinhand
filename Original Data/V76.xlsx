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20" windowHeight="12660" firstSheet="1" activeTab="1"/>
  </bookViews>
  <sheets>
    <sheet name="AceSol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Sheet1!$A$2:$Q$29</definedName>
    <definedName name="_xlnm.Print_Titles" localSheetId="1">Sheet1!$1:$1</definedName>
  </definedNames>
  <calcPr calcId="125725" calcMode="manual" calcCompleted="0" calcOnSave="0" concurrentCalc="0"/>
</workbook>
</file>

<file path=xl/calcChain.xml><?xml version="1.0" encoding="utf-8"?>
<calcChain xmlns="http://schemas.openxmlformats.org/spreadsheetml/2006/main">
  <c r="Q28" i="1"/>
</calcChain>
</file>

<file path=xl/sharedStrings.xml><?xml version="1.0" encoding="utf-8"?>
<sst xmlns="http://schemas.openxmlformats.org/spreadsheetml/2006/main" count="211" uniqueCount="75">
  <si>
    <t>a_ed</t>
  </si>
  <si>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</si>
  <si>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</si>
  <si>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</si>
  <si>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</si>
  <si>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</si>
  <si>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</si>
  <si>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</si>
  <si>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</si>
  <si>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</si>
  <si>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</si>
  <si>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</si>
  <si>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</si>
  <si>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</si>
  <si>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</si>
  <si>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北京分公司</t>
  </si>
  <si>
    <t>C</t>
  </si>
  <si>
    <t>D</t>
  </si>
  <si>
    <t>23100301</t>
  </si>
  <si>
    <t>其他应付款-日常-代理人考试费</t>
  </si>
  <si>
    <t>摘要</t>
  </si>
  <si>
    <t>交易日期</t>
  </si>
  <si>
    <t>a_ed("010+020+030+031+032+033+034+035+036+037+038+039+03A+03B+03C+03D+03E+040+041+042+043+044+045+046+047+048+049+04A","A","2018006","","PA","K=JnlSource,F='V76","Outp=DB_Name,Acc_Code,Acc_Name,JnlSource,T0,T1,T2,T3,T4,T5,T7,T9,T9Name,DrCr,Desc,TDate,Amount","SIcn=0,0,0,0,0,0,0,0,0,0,0,0,0,0,0,0,1","IncHdg=Y","","Uo=~~~~~~~~~~~~~~~~~","","Xcode=1","Sort=,,,,,,,,,,,,,,,,","Format=None,,,,,,,1","SupZ=1","FullA=0","Summ=Y","Ns=D","Top=","Opr=,,,,,,,,,,,,,,,,","Rnd=,,,,,,,,,,,,,,,,","Dp=,,,,,,,,,,,,,,,,","Rd=N0","Cr=N",",Afit=Y,APs=Y,,",",ALck=Y,,",",,","Cell=Sheet1!$A$1","PrxRCE=","","Crfile=",)</t>
  </si>
  <si>
    <t>数据库名称</t>
  </si>
  <si>
    <t>110103</t>
  </si>
  <si>
    <t>现金-cash clearing</t>
  </si>
  <si>
    <t>V76</t>
  </si>
  <si>
    <t>CASH CLEARING</t>
  </si>
  <si>
    <t>11020101A2</t>
  </si>
  <si>
    <t>活期-RMB-工行-杭州7511-收-保费</t>
  </si>
  <si>
    <t>1101</t>
  </si>
  <si>
    <t>C114803779保费调整</t>
  </si>
  <si>
    <t>报名费</t>
  </si>
  <si>
    <t>门禁卡退费</t>
  </si>
  <si>
    <t>510210</t>
  </si>
  <si>
    <t>赔付支出-客户特殊补偿款</t>
  </si>
  <si>
    <t>20ROPCIM</t>
  </si>
  <si>
    <t>B79</t>
  </si>
  <si>
    <t>C122644111</t>
  </si>
  <si>
    <t>20ROPCSVM</t>
  </si>
  <si>
    <t>C01</t>
  </si>
  <si>
    <t>H113235610</t>
  </si>
  <si>
    <t>20ROPFPAM</t>
  </si>
  <si>
    <t>C123513636</t>
  </si>
  <si>
    <t>5Y15PENC3</t>
  </si>
  <si>
    <t>B02</t>
  </si>
  <si>
    <t>C888644662</t>
  </si>
  <si>
    <t>5Y15PENC4</t>
  </si>
  <si>
    <t>C888645580</t>
  </si>
  <si>
    <t>5Y15PENC5</t>
  </si>
  <si>
    <t>C888644293</t>
  </si>
  <si>
    <t>C888645470</t>
  </si>
  <si>
    <t>C888645629</t>
  </si>
  <si>
    <t>C888645810</t>
  </si>
  <si>
    <t>C888652201</t>
  </si>
  <si>
    <t>SPEND07</t>
  </si>
  <si>
    <t>B01</t>
  </si>
  <si>
    <t>C121596273</t>
  </si>
  <si>
    <t>B11</t>
  </si>
  <si>
    <t>C122259522</t>
  </si>
  <si>
    <t>C122271209</t>
  </si>
  <si>
    <t>5106050401</t>
  </si>
  <si>
    <t>佣金支出-间接-竞赛奖金及奖品-</t>
  </si>
  <si>
    <t>AD1</t>
  </si>
  <si>
    <t>L</t>
  </si>
  <si>
    <t>CY4月团险出单奖</t>
  </si>
  <si>
    <t>CY团险出单奖</t>
  </si>
  <si>
    <t>BG9</t>
  </si>
  <si>
    <t>CY5月巡讲</t>
  </si>
  <si>
    <t>520406</t>
  </si>
  <si>
    <t>业务宣传费-宣传推广费(GOE)</t>
  </si>
  <si>
    <t>MH3</t>
  </si>
  <si>
    <t>5.15客户沙龙</t>
  </si>
  <si>
    <t>5.23客户沙龙</t>
  </si>
  <si>
    <t>5.30客户沙龙</t>
  </si>
</sst>
</file>

<file path=xl/styles.xml><?xml version="1.0" encoding="utf-8"?>
<styleSheet xmlns="http://schemas.openxmlformats.org/spreadsheetml/2006/main">
  <numFmts count="2">
    <numFmt numFmtId="164" formatCode="#,##0.00_);\(#,##0.00\);0.00_);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65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>
        <v>1</v>
      </c>
      <c r="C1" s="1">
        <v>43265.405671296299</v>
      </c>
      <c r="D1" t="s">
        <v>22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42578125" bestFit="1" customWidth="1"/>
    <col min="2" max="2" width="11.28515625" customWidth="1"/>
    <col min="3" max="3" width="32.5703125" bestFit="1" customWidth="1"/>
    <col min="4" max="4" width="10.140625" customWidth="1"/>
    <col min="5" max="5" width="12.140625" customWidth="1"/>
    <col min="6" max="6" width="13.140625" bestFit="1" customWidth="1"/>
    <col min="7" max="7" width="12.140625" customWidth="1"/>
    <col min="8" max="8" width="7.5703125" customWidth="1"/>
    <col min="9" max="9" width="18.42578125" bestFit="1" customWidth="1"/>
    <col min="10" max="10" width="12.140625" bestFit="1" customWidth="1"/>
    <col min="11" max="11" width="9.85546875" customWidth="1"/>
    <col min="12" max="12" width="21.7109375" customWidth="1"/>
    <col min="13" max="13" width="24.28515625" customWidth="1"/>
    <col min="14" max="14" width="4.28515625" customWidth="1"/>
    <col min="15" max="15" width="20" customWidth="1"/>
    <col min="16" max="16" width="10.140625" customWidth="1"/>
    <col min="17" max="17" width="11.5703125" bestFit="1" customWidth="1"/>
  </cols>
  <sheetData>
    <row r="1" spans="1:17">
      <c r="A1" s="6" t="s">
        <v>23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20</v>
      </c>
      <c r="P1" s="2" t="s">
        <v>21</v>
      </c>
      <c r="Q1" s="3" t="s">
        <v>14</v>
      </c>
    </row>
    <row r="2" spans="1:17">
      <c r="A2" t="s">
        <v>15</v>
      </c>
      <c r="B2" t="s">
        <v>24</v>
      </c>
      <c r="C2" t="s">
        <v>25</v>
      </c>
      <c r="D2" t="s">
        <v>26</v>
      </c>
      <c r="N2" t="s">
        <v>16</v>
      </c>
      <c r="O2" t="s">
        <v>27</v>
      </c>
      <c r="P2" s="7">
        <v>43255</v>
      </c>
      <c r="Q2" s="4">
        <v>-533148.49</v>
      </c>
    </row>
    <row r="3" spans="1:17">
      <c r="A3" t="s">
        <v>15</v>
      </c>
      <c r="B3" t="s">
        <v>24</v>
      </c>
      <c r="C3" t="s">
        <v>25</v>
      </c>
      <c r="D3" t="s">
        <v>26</v>
      </c>
      <c r="N3" t="s">
        <v>16</v>
      </c>
      <c r="O3" t="s">
        <v>27</v>
      </c>
      <c r="P3" s="7">
        <v>43256</v>
      </c>
      <c r="Q3" s="4">
        <v>-640</v>
      </c>
    </row>
    <row r="4" spans="1:17">
      <c r="A4" t="s">
        <v>15</v>
      </c>
      <c r="B4" t="s">
        <v>24</v>
      </c>
      <c r="C4" t="s">
        <v>25</v>
      </c>
      <c r="D4" t="s">
        <v>26</v>
      </c>
      <c r="N4" t="s">
        <v>16</v>
      </c>
      <c r="O4" t="s">
        <v>27</v>
      </c>
      <c r="P4" s="7">
        <v>43262</v>
      </c>
      <c r="Q4" s="4">
        <v>-84800</v>
      </c>
    </row>
    <row r="5" spans="1:17">
      <c r="A5" t="s">
        <v>15</v>
      </c>
      <c r="B5" t="s">
        <v>24</v>
      </c>
      <c r="C5" t="s">
        <v>25</v>
      </c>
      <c r="D5" t="s">
        <v>26</v>
      </c>
      <c r="N5" t="s">
        <v>17</v>
      </c>
      <c r="O5" t="s">
        <v>27</v>
      </c>
      <c r="P5" s="7">
        <v>43262</v>
      </c>
      <c r="Q5" s="4">
        <v>572702</v>
      </c>
    </row>
    <row r="6" spans="1:17">
      <c r="A6" t="s">
        <v>15</v>
      </c>
      <c r="B6" t="s">
        <v>28</v>
      </c>
      <c r="C6" t="s">
        <v>29</v>
      </c>
      <c r="D6" t="s">
        <v>26</v>
      </c>
      <c r="E6" t="s">
        <v>30</v>
      </c>
      <c r="N6" t="s">
        <v>16</v>
      </c>
      <c r="O6" t="s">
        <v>31</v>
      </c>
      <c r="P6" s="7">
        <v>43262</v>
      </c>
      <c r="Q6" s="4">
        <v>-564102</v>
      </c>
    </row>
    <row r="7" spans="1:17">
      <c r="A7" t="s">
        <v>15</v>
      </c>
      <c r="B7" t="s">
        <v>18</v>
      </c>
      <c r="C7" t="s">
        <v>19</v>
      </c>
      <c r="D7" t="s">
        <v>26</v>
      </c>
      <c r="N7" t="s">
        <v>17</v>
      </c>
      <c r="O7" t="s">
        <v>32</v>
      </c>
      <c r="P7" s="7">
        <v>43256</v>
      </c>
      <c r="Q7" s="4">
        <v>360</v>
      </c>
    </row>
    <row r="8" spans="1:17">
      <c r="A8" t="s">
        <v>15</v>
      </c>
      <c r="B8" t="s">
        <v>18</v>
      </c>
      <c r="C8" t="s">
        <v>19</v>
      </c>
      <c r="D8" t="s">
        <v>26</v>
      </c>
      <c r="N8" t="s">
        <v>17</v>
      </c>
      <c r="O8" t="s">
        <v>33</v>
      </c>
      <c r="P8" s="7">
        <v>43256</v>
      </c>
      <c r="Q8" s="4">
        <v>40</v>
      </c>
    </row>
    <row r="9" spans="1:17">
      <c r="A9" t="s">
        <v>15</v>
      </c>
      <c r="B9" t="s">
        <v>34</v>
      </c>
      <c r="C9" t="s">
        <v>35</v>
      </c>
      <c r="D9" t="s">
        <v>26</v>
      </c>
      <c r="F9" t="s">
        <v>36</v>
      </c>
      <c r="H9" t="s">
        <v>37</v>
      </c>
      <c r="N9" t="s">
        <v>17</v>
      </c>
      <c r="O9" t="s">
        <v>38</v>
      </c>
      <c r="P9" s="7">
        <v>43255</v>
      </c>
      <c r="Q9" s="4">
        <v>17211</v>
      </c>
    </row>
    <row r="10" spans="1:17">
      <c r="A10" t="s">
        <v>15</v>
      </c>
      <c r="B10" t="s">
        <v>34</v>
      </c>
      <c r="C10" t="s">
        <v>35</v>
      </c>
      <c r="D10" t="s">
        <v>26</v>
      </c>
      <c r="F10" t="s">
        <v>39</v>
      </c>
      <c r="H10" t="s">
        <v>40</v>
      </c>
      <c r="N10" t="s">
        <v>17</v>
      </c>
      <c r="O10" t="s">
        <v>41</v>
      </c>
      <c r="P10" s="7">
        <v>43255</v>
      </c>
      <c r="Q10" s="4">
        <v>6737</v>
      </c>
    </row>
    <row r="11" spans="1:17">
      <c r="A11" t="s">
        <v>15</v>
      </c>
      <c r="B11" t="s">
        <v>34</v>
      </c>
      <c r="C11" t="s">
        <v>35</v>
      </c>
      <c r="D11" t="s">
        <v>26</v>
      </c>
      <c r="F11" t="s">
        <v>42</v>
      </c>
      <c r="H11" t="s">
        <v>40</v>
      </c>
      <c r="N11" t="s">
        <v>17</v>
      </c>
      <c r="O11" t="s">
        <v>43</v>
      </c>
      <c r="P11" s="7">
        <v>43255</v>
      </c>
      <c r="Q11" s="4">
        <v>6253.18</v>
      </c>
    </row>
    <row r="12" spans="1:17">
      <c r="A12" t="s">
        <v>15</v>
      </c>
      <c r="B12" t="s">
        <v>34</v>
      </c>
      <c r="C12" t="s">
        <v>35</v>
      </c>
      <c r="D12" t="s">
        <v>26</v>
      </c>
      <c r="F12" t="s">
        <v>44</v>
      </c>
      <c r="H12" t="s">
        <v>45</v>
      </c>
      <c r="N12" t="s">
        <v>17</v>
      </c>
      <c r="O12" t="s">
        <v>46</v>
      </c>
      <c r="P12" s="7">
        <v>43255</v>
      </c>
      <c r="Q12" s="4">
        <v>41612.97</v>
      </c>
    </row>
    <row r="13" spans="1:17">
      <c r="A13" t="s">
        <v>15</v>
      </c>
      <c r="B13" t="s">
        <v>34</v>
      </c>
      <c r="C13" t="s">
        <v>35</v>
      </c>
      <c r="D13" t="s">
        <v>26</v>
      </c>
      <c r="F13" t="s">
        <v>47</v>
      </c>
      <c r="H13" t="s">
        <v>45</v>
      </c>
      <c r="N13" t="s">
        <v>17</v>
      </c>
      <c r="O13" t="s">
        <v>48</v>
      </c>
      <c r="P13" s="7">
        <v>43255</v>
      </c>
      <c r="Q13" s="4">
        <v>41758.129999999997</v>
      </c>
    </row>
    <row r="14" spans="1:17">
      <c r="A14" t="s">
        <v>15</v>
      </c>
      <c r="B14" t="s">
        <v>34</v>
      </c>
      <c r="C14" t="s">
        <v>35</v>
      </c>
      <c r="D14" t="s">
        <v>26</v>
      </c>
      <c r="F14" t="s">
        <v>49</v>
      </c>
      <c r="H14" t="s">
        <v>45</v>
      </c>
      <c r="N14" t="s">
        <v>17</v>
      </c>
      <c r="O14" t="s">
        <v>50</v>
      </c>
      <c r="P14" s="7">
        <v>43255</v>
      </c>
      <c r="Q14" s="4">
        <v>39382.559999999998</v>
      </c>
    </row>
    <row r="15" spans="1:17">
      <c r="A15" t="s">
        <v>15</v>
      </c>
      <c r="B15" t="s">
        <v>34</v>
      </c>
      <c r="C15" t="s">
        <v>35</v>
      </c>
      <c r="D15" t="s">
        <v>26</v>
      </c>
      <c r="F15" t="s">
        <v>49</v>
      </c>
      <c r="H15" t="s">
        <v>45</v>
      </c>
      <c r="N15" t="s">
        <v>17</v>
      </c>
      <c r="O15" t="s">
        <v>51</v>
      </c>
      <c r="P15" s="7">
        <v>43255</v>
      </c>
      <c r="Q15" s="4">
        <v>37966.449999999997</v>
      </c>
    </row>
    <row r="16" spans="1:17">
      <c r="A16" t="s">
        <v>15</v>
      </c>
      <c r="B16" t="s">
        <v>34</v>
      </c>
      <c r="C16" t="s">
        <v>35</v>
      </c>
      <c r="D16" t="s">
        <v>26</v>
      </c>
      <c r="F16" t="s">
        <v>49</v>
      </c>
      <c r="H16" t="s">
        <v>45</v>
      </c>
      <c r="N16" t="s">
        <v>17</v>
      </c>
      <c r="O16" t="s">
        <v>52</v>
      </c>
      <c r="P16" s="7">
        <v>43255</v>
      </c>
      <c r="Q16" s="4">
        <v>101437.18</v>
      </c>
    </row>
    <row r="17" spans="1:17">
      <c r="A17" t="s">
        <v>15</v>
      </c>
      <c r="B17" t="s">
        <v>34</v>
      </c>
      <c r="C17" t="s">
        <v>35</v>
      </c>
      <c r="D17" t="s">
        <v>26</v>
      </c>
      <c r="F17" t="s">
        <v>49</v>
      </c>
      <c r="H17" t="s">
        <v>45</v>
      </c>
      <c r="N17" t="s">
        <v>17</v>
      </c>
      <c r="O17" t="s">
        <v>53</v>
      </c>
      <c r="P17" s="7">
        <v>43255</v>
      </c>
      <c r="Q17" s="4">
        <v>14651.68</v>
      </c>
    </row>
    <row r="18" spans="1:17">
      <c r="A18" t="s">
        <v>15</v>
      </c>
      <c r="B18" t="s">
        <v>34</v>
      </c>
      <c r="C18" t="s">
        <v>35</v>
      </c>
      <c r="D18" t="s">
        <v>26</v>
      </c>
      <c r="F18" t="s">
        <v>49</v>
      </c>
      <c r="H18" t="s">
        <v>45</v>
      </c>
      <c r="N18" t="s">
        <v>17</v>
      </c>
      <c r="O18" t="s">
        <v>54</v>
      </c>
      <c r="P18" s="7">
        <v>43255</v>
      </c>
      <c r="Q18" s="4">
        <v>118603.95</v>
      </c>
    </row>
    <row r="19" spans="1:17">
      <c r="A19" t="s">
        <v>15</v>
      </c>
      <c r="B19" t="s">
        <v>34</v>
      </c>
      <c r="C19" t="s">
        <v>35</v>
      </c>
      <c r="D19" t="s">
        <v>26</v>
      </c>
      <c r="F19" t="s">
        <v>55</v>
      </c>
      <c r="H19" t="s">
        <v>56</v>
      </c>
      <c r="N19" t="s">
        <v>17</v>
      </c>
      <c r="O19" t="s">
        <v>57</v>
      </c>
      <c r="P19" s="7">
        <v>43255</v>
      </c>
      <c r="Q19" s="4">
        <v>9775.7999999999993</v>
      </c>
    </row>
    <row r="20" spans="1:17">
      <c r="A20" t="s">
        <v>15</v>
      </c>
      <c r="B20" t="s">
        <v>34</v>
      </c>
      <c r="C20" t="s">
        <v>35</v>
      </c>
      <c r="D20" t="s">
        <v>26</v>
      </c>
      <c r="F20" t="s">
        <v>55</v>
      </c>
      <c r="H20" t="s">
        <v>58</v>
      </c>
      <c r="N20" t="s">
        <v>17</v>
      </c>
      <c r="O20" t="s">
        <v>59</v>
      </c>
      <c r="P20" s="7">
        <v>43255</v>
      </c>
      <c r="Q20" s="4">
        <v>42940.13</v>
      </c>
    </row>
    <row r="21" spans="1:17">
      <c r="A21" t="s">
        <v>15</v>
      </c>
      <c r="B21" t="s">
        <v>34</v>
      </c>
      <c r="C21" t="s">
        <v>35</v>
      </c>
      <c r="D21" t="s">
        <v>26</v>
      </c>
      <c r="F21" t="s">
        <v>55</v>
      </c>
      <c r="H21" t="s">
        <v>58</v>
      </c>
      <c r="N21" t="s">
        <v>17</v>
      </c>
      <c r="O21" t="s">
        <v>60</v>
      </c>
      <c r="P21" s="7">
        <v>43255</v>
      </c>
      <c r="Q21" s="4">
        <v>54818.46</v>
      </c>
    </row>
    <row r="22" spans="1:17">
      <c r="A22" t="s">
        <v>15</v>
      </c>
      <c r="B22" t="s">
        <v>61</v>
      </c>
      <c r="C22" t="s">
        <v>62</v>
      </c>
      <c r="D22" t="s">
        <v>26</v>
      </c>
      <c r="G22" t="s">
        <v>63</v>
      </c>
      <c r="J22" t="s">
        <v>64</v>
      </c>
      <c r="N22" t="s">
        <v>17</v>
      </c>
      <c r="O22" t="s">
        <v>65</v>
      </c>
      <c r="P22" s="7">
        <v>43262</v>
      </c>
      <c r="Q22" s="4">
        <v>15300</v>
      </c>
    </row>
    <row r="23" spans="1:17">
      <c r="A23" t="s">
        <v>15</v>
      </c>
      <c r="B23" t="s">
        <v>61</v>
      </c>
      <c r="C23" t="s">
        <v>62</v>
      </c>
      <c r="D23" t="s">
        <v>26</v>
      </c>
      <c r="G23" t="s">
        <v>63</v>
      </c>
      <c r="J23" t="s">
        <v>64</v>
      </c>
      <c r="N23" t="s">
        <v>17</v>
      </c>
      <c r="O23" t="s">
        <v>66</v>
      </c>
      <c r="P23" s="7">
        <v>43262</v>
      </c>
      <c r="Q23" s="4">
        <v>69500</v>
      </c>
    </row>
    <row r="24" spans="1:17">
      <c r="A24" t="s">
        <v>15</v>
      </c>
      <c r="B24" t="s">
        <v>61</v>
      </c>
      <c r="C24" t="s">
        <v>62</v>
      </c>
      <c r="D24" t="s">
        <v>26</v>
      </c>
      <c r="G24" t="s">
        <v>67</v>
      </c>
      <c r="J24" t="s">
        <v>64</v>
      </c>
      <c r="N24" t="s">
        <v>17</v>
      </c>
      <c r="O24" t="s">
        <v>68</v>
      </c>
      <c r="P24" s="7">
        <v>43256</v>
      </c>
      <c r="Q24" s="4">
        <v>240</v>
      </c>
    </row>
    <row r="25" spans="1:17">
      <c r="A25" t="s">
        <v>15</v>
      </c>
      <c r="B25" t="s">
        <v>69</v>
      </c>
      <c r="C25" t="s">
        <v>70</v>
      </c>
      <c r="D25" t="s">
        <v>26</v>
      </c>
      <c r="G25" t="s">
        <v>71</v>
      </c>
      <c r="N25" t="s">
        <v>16</v>
      </c>
      <c r="O25" t="s">
        <v>72</v>
      </c>
      <c r="P25" s="7">
        <v>43262</v>
      </c>
      <c r="Q25" s="4">
        <v>-2750</v>
      </c>
    </row>
    <row r="26" spans="1:17">
      <c r="A26" t="s">
        <v>15</v>
      </c>
      <c r="B26" t="s">
        <v>69</v>
      </c>
      <c r="C26" t="s">
        <v>70</v>
      </c>
      <c r="D26" t="s">
        <v>26</v>
      </c>
      <c r="G26" t="s">
        <v>71</v>
      </c>
      <c r="N26" t="s">
        <v>16</v>
      </c>
      <c r="O26" t="s">
        <v>73</v>
      </c>
      <c r="P26" s="7">
        <v>43262</v>
      </c>
      <c r="Q26" s="4">
        <v>-2950</v>
      </c>
    </row>
    <row r="27" spans="1:17">
      <c r="A27" t="s">
        <v>15</v>
      </c>
      <c r="B27" t="s">
        <v>69</v>
      </c>
      <c r="C27" t="s">
        <v>70</v>
      </c>
      <c r="D27" t="s">
        <v>26</v>
      </c>
      <c r="G27" t="s">
        <v>71</v>
      </c>
      <c r="N27" t="s">
        <v>16</v>
      </c>
      <c r="O27" t="s">
        <v>74</v>
      </c>
      <c r="P27" s="7">
        <v>43262</v>
      </c>
      <c r="Q27" s="4">
        <v>-2900</v>
      </c>
    </row>
    <row r="28" spans="1:17" ht="15.75" thickBot="1">
      <c r="O28">
        <v>26</v>
      </c>
      <c r="Q28" s="5">
        <f ca="1">SUBTOTAL(9,Q2:Q27)</f>
        <v>2.9103830456733704E-11</v>
      </c>
    </row>
    <row r="29" spans="1:17" ht="15.75" thickTop="1"/>
  </sheetData>
  <pageMargins left="0.5" right="0.5" top="0.8" bottom="0.5" header="0.5" footer="0.25"/>
  <pageSetup fitToHeight="0" orientation="landscape" verticalDpi="0" r:id="rId1"/>
  <headerFooter>
    <oddFooter>&amp;C菴 &amp;P 珜ㄛ僕 &amp;N 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nacr150</dc:creator>
  <cp:lastModifiedBy>nacr150</cp:lastModifiedBy>
  <dcterms:created xsi:type="dcterms:W3CDTF">2018-06-04T04:56:22Z</dcterms:created>
  <dcterms:modified xsi:type="dcterms:W3CDTF">2018-06-14T01:44:36Z</dcterms:modified>
</cp:coreProperties>
</file>