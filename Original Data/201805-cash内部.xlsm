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00000_{E1FB490F-F9B1-4653-BFD6-321E195280AD}" xr6:coauthVersionLast="33" xr6:coauthVersionMax="33" xr10:uidLastSave="{00000000-0000-0000-0000-000000000000}"/>
  <bookViews>
    <workbookView minimized="1" xWindow="5970" yWindow="120" windowWidth="15135" windowHeight="9300" tabRatio="410" activeTab="1" xr2:uid="{00000000-000D-0000-FFFF-FFFF00000000}"/>
  </bookViews>
  <sheets>
    <sheet name="Parameters" sheetId="5" r:id="rId1"/>
    <sheet name="凭证录入" sheetId="11" r:id="rId2"/>
    <sheet name="AceSol" sheetId="4" state="veryHidden" r:id="rId3"/>
    <sheet name="updated" sheetId="12" r:id="rId4"/>
  </sheets>
  <definedNames>
    <definedName name="_xlnm._FilterDatabase" localSheetId="1" hidden="1">凭证录入!$A$2:$AG$360</definedName>
    <definedName name="Branch">#REF!</definedName>
    <definedName name="ERROR_086">Parameters!$G$27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凭证录入!$1:$1</definedName>
  </definedNames>
  <calcPr calcId="162913"/>
</workbook>
</file>

<file path=xl/calcChain.xml><?xml version="1.0" encoding="utf-8"?>
<calcChain xmlns="http://schemas.openxmlformats.org/spreadsheetml/2006/main">
  <c r="N35" i="11" l="1"/>
  <c r="N33" i="11"/>
  <c r="N31" i="11"/>
  <c r="N29" i="11"/>
  <c r="N27" i="11"/>
  <c r="N25" i="11"/>
  <c r="N23" i="11"/>
  <c r="N21" i="11"/>
  <c r="N19" i="11"/>
  <c r="N17" i="11"/>
  <c r="O9" i="12"/>
  <c r="O7" i="12"/>
  <c r="O6" i="12"/>
  <c r="O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ntcs100</author>
  </authors>
  <commentList>
    <comment ref="A35" authorId="0" shapeId="0" xr:uid="{00000000-0006-0000-0100-000001000000}">
      <text>
        <r>
          <rPr>
            <sz val="8"/>
            <color indexed="81"/>
            <rFont val="Tahoma"/>
            <family val="2"/>
          </rPr>
          <t>_x000D_
批次号码 0126784 成功过账到 Budget E 的 CDT 数据库 (JI_budget)_x000D_
日期 = 2018/6/1 15:50:39
_x000D_
借方合计  =       666,617,937.56  _x000D_
贷方合计 =       666,617,937.56  _x000D_
差异         =                       0.00  _x000D_
_x000D_
外币借方合计  =      666,617,937.560  _x000D_
外币贷方合计 =      666,617,937.560  _x000D_
外币差异         =                     0.000  _x000D_
_x000D_
错误笔数:       =                0  _x000D_
交易笔数:       =                33  _x000D_
_x000D_
花费的时间 = 00:01_x000D_
日期 = 2018/6/1 15:50:40</t>
        </r>
      </text>
    </comment>
  </commentList>
</comments>
</file>

<file path=xl/sharedStrings.xml><?xml version="1.0" encoding="utf-8"?>
<sst xmlns="http://schemas.openxmlformats.org/spreadsheetml/2006/main" count="362" uniqueCount="161">
  <si>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</si>
  <si>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</si>
  <si>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</si>
  <si>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</si>
  <si>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</si>
  <si>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5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</si>
  <si>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</si>
  <si>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</si>
  <si>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</si>
  <si>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</si>
  <si>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5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</si>
  <si>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</si>
  <si>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</si>
  <si>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</si>
  <si>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</si>
  <si>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</si>
  <si>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</si>
  <si>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</si>
  <si>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</si>
  <si>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</si>
  <si>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</si>
  <si>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</si>
  <si>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5" type="noConversion"/>
  </si>
  <si>
    <t xml:space="preserve">a_rp(M_DB,"'T1","Output=T1_Code,T1_Name,T1_Lkup,T1_PPost,T1_Upd","K=T1_Code,F={P1}",M_T1,"Sortfld=,,,,","","Extcode=T1","Lk=""","Dx=0""Ws=凭证录入!","Bt=T1","" )_x000D_
</t>
    <phoneticPr fontId="5" type="noConversion"/>
  </si>
  <si>
    <t xml:space="preserve">a_rp(M_DB,"'T4","Output=T4_Code,T4_Name,T4_Lkup,T4_PPost,T4_Upd","K=T4_Code,F={P1}",M_T4,"Sortfld=,,,,","","Extcode=T4","Lk=""","Dx=0""Ws=凭证录入!","Bt=T4","" )_x000D_
</t>
    <phoneticPr fontId="5" type="noConversion"/>
  </si>
  <si>
    <t xml:space="preserve">a_rp(M_DB,"'T3","Output=T3_Code,T3_Name,T3_Lkup,T3_PPost,T3_Upd","K=T3_Code,F={P1}",M_T3,"Sortfld=,,,,","","Extcode=T3","Lk=""","Dx=0""Ws=凭证录入!","Bt=T3","" )_x000D_
</t>
    <phoneticPr fontId="5" type="noConversion"/>
  </si>
  <si>
    <t xml:space="preserve">a_rp(M_DB,"'T2","Output=T2_Code,T2_Name,T2_Lkup,T2_PPost,T2_Upd","K=T2_Code,F={P1}",M_T2,"Sortfld=,,,,","","Extcode=T2","Lk=""","Dx=0""Ws=凭证录入!","Bt=T2","" )_x000D_
</t>
    <phoneticPr fontId="5" type="noConversion"/>
  </si>
  <si>
    <t xml:space="preserve">a_rp(M_DB,"'T5","Output=T5_Code,T5_Name,T5_Lkup,T5_PPost,T5_Upd","K=T5_Code,F={P1}",M_T5,"Sortfld=,,,,","","Extcode=T5","Lk=""","Dx=0""Ws=凭证录入!","Bt=T5","" )_x000D_
</t>
    <phoneticPr fontId="5" type="noConversion"/>
  </si>
  <si>
    <t xml:space="preserve">a_rp(M_DB,"'T6","Output=T6_Code,T6_Name,T6_Lkup,T6_PPost,T6_Upd","K=T6_Code,F={P1}",M_T6,"Sortfld=,,,,","","Extcode=T6","Lk=""","Dx=0""Ws=凭证录入!","Bt=T6","" )_x000D_
</t>
    <phoneticPr fontId="5" type="noConversion"/>
  </si>
  <si>
    <t xml:space="preserve">a_rp(M_DB,"'T7","Output=T7_Name,T7_Lkup,T7_PPost,T7_Code,T7_Upd","K=T7_Code,F={P1}",M_T7,"Sortfld=,,,,","","Extcode=T7","Lk=""","Dx=0""Ws=凭证录入!","Bt=T7","" )_x000D_
</t>
    <phoneticPr fontId="5" type="noConversion"/>
  </si>
  <si>
    <t xml:space="preserve">a_rp(M_DB,"'T8","Output=T8_Code,T8_Name,T8_Lkup,T8_PPost,T8_Upd","K=T8_Code,F={P1}",M_T8,"Sortfld=,,,,","","Extcode=T8","Lk=""","Dx=0""Ws=凭证录入!","Bt=T8","" )_x000D_
</t>
    <phoneticPr fontId="5" type="noConversion"/>
  </si>
  <si>
    <t xml:space="preserve">a_rp(M_DB,"'T9","Output=T9_Code,T9_Name,T9_Lkup,T9_PPost,T9_Upd","K=T9_Code,F={P1}",M_T9,"Sortfld=,,,,","","Extcode=T9","Lk=""","Dx=0""Ws=凭证录入!","Bt=T9","" )_x000D_
</t>
    <phoneticPr fontId="5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</si>
  <si>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</si>
  <si>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</si>
  <si>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</si>
  <si>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</si>
  <si>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</si>
  <si>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</si>
  <si>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</si>
  <si>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</si>
  <si>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</si>
  <si>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</si>
  <si>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</si>
  <si>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</si>
  <si>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</si>
  <si>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5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</si>
  <si>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</si>
  <si>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</si>
  <si>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5" type="noConversion"/>
  </si>
  <si>
    <t>M_Preview</t>
  </si>
  <si>
    <t xml:space="preserve">a_gm("K=Run_JI_Prv,T=,F=凭证录入,S=JI_E",,"Button=预览错误信息","Macro=M_Preview","","Extcode=M_Preview")_x000D_
</t>
    <phoneticPr fontId="5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</si>
  <si>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</si>
  <si>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</si>
  <si>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5" type="noConversion"/>
  </si>
  <si>
    <t>当前期间：</t>
    <phoneticPr fontId="8" type="noConversion"/>
  </si>
  <si>
    <t>科目</t>
    <phoneticPr fontId="8" type="noConversion"/>
  </si>
  <si>
    <t>T0</t>
    <phoneticPr fontId="8" type="noConversion"/>
  </si>
  <si>
    <t>T1</t>
    <phoneticPr fontId="8" type="noConversion"/>
  </si>
  <si>
    <t>T2</t>
    <phoneticPr fontId="8" type="noConversion"/>
  </si>
  <si>
    <t>T3</t>
    <phoneticPr fontId="8" type="noConversion"/>
  </si>
  <si>
    <t>T4</t>
    <phoneticPr fontId="8" type="noConversion"/>
  </si>
  <si>
    <t>T5</t>
    <phoneticPr fontId="8" type="noConversion"/>
  </si>
  <si>
    <t>T6</t>
    <phoneticPr fontId="8" type="noConversion"/>
  </si>
  <si>
    <t>T7</t>
    <phoneticPr fontId="8" type="noConversion"/>
  </si>
  <si>
    <t>T8</t>
    <phoneticPr fontId="8" type="noConversion"/>
  </si>
  <si>
    <t>T9</t>
    <phoneticPr fontId="8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</si>
  <si>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8" type="noConversion"/>
  </si>
  <si>
    <t>D:\TEST.SAF</t>
    <phoneticPr fontId="8" type="noConversion"/>
  </si>
  <si>
    <t>账务（过账）：</t>
    <phoneticPr fontId="8" type="noConversion"/>
  </si>
  <si>
    <t>凭证基本信息</t>
    <phoneticPr fontId="5" type="noConversion"/>
  </si>
  <si>
    <t>科目名称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</si>
  <si>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</si>
  <si>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</si>
  <si>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</si>
  <si>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</si>
  <si>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</si>
  <si>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</si>
  <si>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</si>
  <si>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交易日期</t>
    <phoneticPr fontId="5" type="noConversion"/>
  </si>
  <si>
    <t>摘要</t>
    <phoneticPr fontId="5" type="noConversion"/>
  </si>
  <si>
    <t>外币代码</t>
    <phoneticPr fontId="5" type="noConversion"/>
  </si>
  <si>
    <t>外币金额</t>
    <phoneticPr fontId="5" type="noConversion"/>
  </si>
  <si>
    <t>本币金额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</si>
  <si>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</si>
  <si>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</si>
  <si>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</si>
  <si>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t>1.在“Parameter”表中设置参数，如数据库、期间、凭证类型和制单员等</t>
    <phoneticPr fontId="8" type="noConversion"/>
  </si>
  <si>
    <t>2.设置“凭证录入”表中K1单元格的目标帐套</t>
    <phoneticPr fontId="8" type="noConversion"/>
  </si>
  <si>
    <t>3.在“凭证录入”表输入账务信息</t>
    <phoneticPr fontId="8" type="noConversion"/>
  </si>
  <si>
    <t>4.凭证输入完成后可点击“预览错误信息”查看错误</t>
    <phoneticPr fontId="8" type="noConversion"/>
  </si>
  <si>
    <t>5.可点击“生成SAF档”或“凭证直接转入预算档（K/E/H/G)”</t>
    <phoneticPr fontId="8" type="noConversion"/>
  </si>
  <si>
    <t>使用说明：</t>
    <phoneticPr fontId="8" type="noConversion"/>
  </si>
  <si>
    <t>凭证类型：</t>
    <phoneticPr fontId="8" type="noConversion"/>
  </si>
  <si>
    <t>制单员：</t>
    <phoneticPr fontId="8" type="noConversion"/>
  </si>
  <si>
    <t xml:space="preserve">a_rp(M_DB,"JD","Output=JD_Code,JD_Name","",,"Sortfld=,","","Extcode=JD","Lk=$C$10","Dx=0""Ws=Parameters!","","Noflds=","","" )_x000D_
</t>
    <phoneticPr fontId="5" type="noConversion"/>
  </si>
  <si>
    <t xml:space="preserve">a_rp(M_DB,"CA","Output=CA_Ac,CA_Nme,CA_AT","",,"Sortfld=,,","","Extcode=CA_Para","Lk=$C$11","Dx=1""Ws=Parameters!","","Noflds=","","" )_x000D_
</t>
    <phoneticPr fontId="5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</si>
  <si>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5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</si>
  <si>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5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</si>
  <si>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5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</si>
  <si>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5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</si>
  <si>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5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</si>
  <si>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5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</si>
  <si>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5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</si>
  <si>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5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</si>
  <si>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5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</si>
  <si>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5" type="noConversion"/>
  </si>
  <si>
    <t xml:space="preserve">a_rp(M_DB,"AP","Output=AP_Code","",,"Sortfld=","","Extcode=AP","Lk=$C$7","Dx=1""Ws=Parameters!","","Noflds=","","" )_x000D_
</t>
    <phoneticPr fontId="5" type="noConversion"/>
  </si>
  <si>
    <t>预算账务</t>
    <phoneticPr fontId="5" type="noConversion"/>
  </si>
  <si>
    <t>传票号码</t>
    <phoneticPr fontId="5" type="noConversion"/>
  </si>
  <si>
    <t>JI_budget</t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</si>
  <si>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  <phoneticPr fontId="5" type="noConversion"/>
  </si>
  <si>
    <t xml:space="preserve">{P12},K=T2,F={P13},K=T3,F={P14},K=T4,F={P15},K=T5,F={P16},K=T6,F={P17},K=T9,F={P18}",A3,M_JT,M_CP,J3,K3,L3,JNLSOURCE,O3,N3,M3,P3,Q3,R3,S3,T3,U3,V3,Y3,"Setup=","Extcode=JI_A","Cell=凭证录入!$O$17","ChkErO=Y","","","Misc=1,0,0,1,0,0,0,1,1,0,1,1")_x000D_
</t>
    <phoneticPr fontId="5" type="noConversion"/>
  </si>
  <si>
    <t>CDT</t>
    <phoneticPr fontId="8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</si>
  <si>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</si>
  <si>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</si>
  <si>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</si>
  <si>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8" type="noConversion"/>
  </si>
  <si>
    <t>E</t>
    <phoneticPr fontId="5" type="noConversion"/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</si>
  <si>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  <phoneticPr fontId="5" type="noConversion"/>
  </si>
  <si>
    <t>=T2,F={P13},K=T3,F={P14},K=T4,F={P15},K=T5,F={P16},K=T6,F={P17},K=T9,F={P18}",A3,M_JT,M_CP,J3,K3,L3,JNLSOURCE,O3,N3,M3,P3,Q3,R3,S3,T3,U3,V3,Y3,"Setup=","Extcode=JI_budget","Cell=凭证录入!$L$12","ChkErO=Y","","MandConv=Y","","","Misc=1,0,1,1,0,0,0,1,1,0,1,1")_x000D_</t>
    <phoneticPr fontId="5" type="noConversion"/>
  </si>
  <si>
    <t xml:space="preserve">
</t>
    <phoneticPr fontId="5" type="noConversion"/>
  </si>
  <si>
    <t>传票号码不能为空</t>
    <phoneticPr fontId="8" type="noConversion"/>
  </si>
  <si>
    <t>外币代码不能为空</t>
    <phoneticPr fontId="8" type="noConversion"/>
  </si>
  <si>
    <t>外币金额不能为空</t>
    <phoneticPr fontId="8" type="noConversion"/>
  </si>
  <si>
    <t>本币金额不能为空</t>
    <phoneticPr fontId="8" type="noConversion"/>
  </si>
  <si>
    <t>请检查下列单元格的信息</t>
    <phoneticPr fontId="8" type="noConversion"/>
  </si>
  <si>
    <t>E</t>
    <phoneticPr fontId="8" type="noConversion"/>
  </si>
  <si>
    <t>UA0</t>
  </si>
  <si>
    <t>010</t>
  </si>
  <si>
    <t>O160229009</t>
    <phoneticPr fontId="5" type="noConversion"/>
  </si>
  <si>
    <t>52010218</t>
    <phoneticPr fontId="5" type="noConversion"/>
  </si>
  <si>
    <t>ACC ESPP CHO 1602</t>
    <phoneticPr fontId="5" type="noConversion"/>
  </si>
  <si>
    <t>001</t>
    <phoneticPr fontId="5" type="noConversion"/>
  </si>
  <si>
    <t>001</t>
    <phoneticPr fontId="5" type="noConversion"/>
  </si>
  <si>
    <t>086</t>
    <phoneticPr fontId="5" type="noConversion"/>
  </si>
  <si>
    <t>320308</t>
    <phoneticPr fontId="5" type="noConversion"/>
  </si>
  <si>
    <t>320308</t>
    <phoneticPr fontId="5" type="noConversion"/>
  </si>
  <si>
    <t>各币种须各自结平</t>
  </si>
  <si>
    <t>科目代码</t>
    <phoneticPr fontId="5" type="noConversion"/>
  </si>
  <si>
    <t>外币=本币（086）</t>
    <phoneticPr fontId="8" type="noConversion"/>
  </si>
  <si>
    <t>S75</t>
    <phoneticPr fontId="8" type="noConversion"/>
  </si>
  <si>
    <t>AB</t>
    <phoneticPr fontId="8" type="noConversion"/>
  </si>
  <si>
    <t>110103</t>
  </si>
  <si>
    <t>AB</t>
    <phoneticPr fontId="5" type="noConversion"/>
  </si>
  <si>
    <t>佣金退费EVDO卡押金</t>
    <phoneticPr fontId="5" type="noConversion"/>
  </si>
  <si>
    <t>086</t>
    <phoneticPr fontId="5" type="noConversion"/>
  </si>
  <si>
    <t>040</t>
    <phoneticPr fontId="5" type="noConversion"/>
  </si>
  <si>
    <t>AB</t>
    <phoneticPr fontId="5" type="noConversion"/>
  </si>
  <si>
    <t>OLAS PREM-cityadj</t>
  </si>
  <si>
    <t>086</t>
    <phoneticPr fontId="5" type="noConversion"/>
  </si>
  <si>
    <t>040</t>
    <phoneticPr fontId="5" type="noConversion"/>
  </si>
  <si>
    <t>041</t>
    <phoneticPr fontId="5" type="noConversion"/>
  </si>
  <si>
    <t>042</t>
    <phoneticPr fontId="5" type="noConversion"/>
  </si>
  <si>
    <t>043</t>
    <phoneticPr fontId="5" type="noConversion"/>
  </si>
  <si>
    <t>044</t>
    <phoneticPr fontId="5" type="noConversion"/>
  </si>
  <si>
    <t>045</t>
    <phoneticPr fontId="5" type="noConversion"/>
  </si>
  <si>
    <t>046</t>
    <phoneticPr fontId="5" type="noConversion"/>
  </si>
  <si>
    <t>047</t>
    <phoneticPr fontId="5" type="noConversion"/>
  </si>
  <si>
    <t>048</t>
    <phoneticPr fontId="5" type="noConversion"/>
  </si>
  <si>
    <t>049</t>
    <phoneticPr fontId="5" type="noConversion"/>
  </si>
  <si>
    <t>04A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</si>
</sst>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_-[$€-2]* #,##0.00_-;\-[$€-2]* #,##0.00_-;_-[$€-2]* &quot;-&quot;??_-"/>
    <numFmt numFmtId="210" formatCode="&quot;$&quot;#,##0\ ;\(&quot;$&quot;#,##0\)"/>
    <numFmt numFmtId="211" formatCode="&quot;$&quot;#,##0\ ;[Red]\(&quot;$&quot;#,##0\)"/>
    <numFmt numFmtId="212" formatCode="#,##0.00_);[Red]\(#,##0.00\)"/>
    <numFmt numFmtId="213" formatCode="_(* #,##0_);_(* \(#,##0\);_(* &quot;-&quot;??_);_(@_)"/>
    <numFmt numFmtId="214" formatCode="0.00_);\(0.00\)"/>
  </numFmts>
  <fonts count="145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b/>
      <sz val="10"/>
      <name val="Arial"/>
      <family val="2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b/>
      <sz val="18"/>
      <color indexed="56"/>
      <name val="新細明體"/>
      <family val="1"/>
      <charset val="136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52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name val="仿宋_GB2312"/>
      <family val="3"/>
    </font>
    <font>
      <sz val="9"/>
      <name val="Arial"/>
      <family val="2"/>
    </font>
    <font>
      <b/>
      <sz val="8"/>
      <name val="Helv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20"/>
      <name val="Calibri"/>
      <family val="2"/>
    </font>
    <font>
      <u/>
      <sz val="10"/>
      <color indexed="12"/>
      <name val="Arial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12"/>
      <color indexed="20"/>
      <name val="宋体"/>
      <family val="3"/>
      <charset val="134"/>
    </font>
    <font>
      <sz val="12"/>
      <color indexed="17"/>
      <name val="宋体"/>
      <family val="3"/>
      <charset val="134"/>
    </font>
    <font>
      <sz val="11"/>
      <color indexed="8"/>
      <name val="新細明體"/>
      <family val="1"/>
      <charset val="136"/>
    </font>
    <font>
      <sz val="11"/>
      <color indexed="9"/>
      <name val="新細明體"/>
      <family val="1"/>
      <charset val="136"/>
    </font>
    <font>
      <sz val="11"/>
      <color indexed="20"/>
      <name val="新細明體"/>
      <family val="1"/>
      <charset val="136"/>
    </font>
    <font>
      <b/>
      <sz val="11"/>
      <color indexed="52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i/>
      <sz val="11"/>
      <color indexed="23"/>
      <name val="新細明體"/>
      <family val="1"/>
      <charset val="136"/>
    </font>
    <font>
      <sz val="11"/>
      <color indexed="17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1"/>
      <color indexed="62"/>
      <name val="新細明體"/>
      <family val="1"/>
      <charset val="136"/>
    </font>
    <font>
      <sz val="11"/>
      <color indexed="52"/>
      <name val="新細明體"/>
      <family val="1"/>
      <charset val="136"/>
    </font>
    <font>
      <sz val="11"/>
      <color indexed="60"/>
      <name val="新細明體"/>
      <family val="1"/>
      <charset val="136"/>
    </font>
    <font>
      <b/>
      <sz val="11"/>
      <color indexed="63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11"/>
      <color indexed="10"/>
      <name val="新細明體"/>
      <family val="1"/>
      <charset val="136"/>
    </font>
    <font>
      <sz val="12"/>
      <color indexed="24"/>
      <name val="Arial"/>
      <family val="2"/>
    </font>
    <font>
      <sz val="12"/>
      <name val="Tms Rmn"/>
      <family val="1"/>
    </font>
    <font>
      <sz val="12"/>
      <name val="Univers"/>
      <family val="2"/>
    </font>
    <font>
      <sz val="12"/>
      <name val="新細明體"/>
      <family val="1"/>
    </font>
    <font>
      <sz val="12"/>
      <name val="Courier"/>
      <family val="3"/>
    </font>
    <font>
      <sz val="11"/>
      <name val="宋体"/>
      <family val="3"/>
      <charset val="134"/>
    </font>
    <font>
      <sz val="11"/>
      <color indexed="8"/>
      <name val="Arial"/>
      <family val="2"/>
    </font>
    <font>
      <sz val="8"/>
      <color indexed="8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125">
        <fgColor indexed="8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8"/>
      </bottom>
      <diagonal/>
    </border>
  </borders>
  <cellStyleXfs count="1322">
    <xf numFmtId="0" fontId="0" fillId="0" borderId="0" applyNumberFormat="0" applyFill="0" applyBorder="0" applyAlignment="0" applyProtection="0"/>
    <xf numFmtId="0" fontId="6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0" fontId="26" fillId="0" borderId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6" fillId="0" borderId="0"/>
    <xf numFmtId="0" fontId="26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>
      <protection locked="0"/>
    </xf>
    <xf numFmtId="0" fontId="23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26" fillId="0" borderId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2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3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6" fillId="0" borderId="0"/>
    <xf numFmtId="0" fontId="26" fillId="0" borderId="0"/>
    <xf numFmtId="0" fontId="26" fillId="0" borderId="0"/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/>
    <xf numFmtId="0" fontId="4" fillId="0" borderId="0"/>
    <xf numFmtId="0" fontId="23" fillId="0" borderId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" fillId="0" borderId="0" applyNumberFormat="0" applyFill="0" applyBorder="0" applyAlignment="0" applyProtection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26" fillId="0" borderId="0"/>
    <xf numFmtId="0" fontId="4" fillId="0" borderId="0"/>
    <xf numFmtId="0" fontId="4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23" fillId="0" borderId="0">
      <protection locked="0"/>
    </xf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0" fontId="26" fillId="0" borderId="0"/>
    <xf numFmtId="0" fontId="26" fillId="0" borderId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6" fillId="0" borderId="0">
      <protection locked="0"/>
    </xf>
    <xf numFmtId="0" fontId="4" fillId="0" borderId="0"/>
    <xf numFmtId="0" fontId="26" fillId="0" borderId="0"/>
    <xf numFmtId="0" fontId="26" fillId="0" borderId="0">
      <protection locked="0"/>
    </xf>
    <xf numFmtId="0" fontId="26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2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>
      <protection locked="0"/>
    </xf>
    <xf numFmtId="0" fontId="4" fillId="0" borderId="0" applyNumberForma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>
      <protection locked="0"/>
    </xf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>
      <protection locked="0"/>
    </xf>
    <xf numFmtId="0" fontId="4" fillId="0" borderId="0" applyNumberFormat="0" applyFill="0" applyBorder="0" applyAlignment="0" applyProtection="0"/>
    <xf numFmtId="0" fontId="2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26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6" fillId="0" borderId="0">
      <protection locked="0"/>
    </xf>
    <xf numFmtId="183" fontId="25" fillId="0" borderId="0" applyFill="0" applyBorder="0" applyProtection="0">
      <alignment horizontal="right"/>
    </xf>
    <xf numFmtId="184" fontId="25" fillId="0" borderId="0" applyFill="0" applyBorder="0" applyProtection="0">
      <alignment horizontal="right"/>
    </xf>
    <xf numFmtId="185" fontId="28" fillId="0" borderId="0" applyFill="0" applyBorder="0" applyProtection="0">
      <alignment horizontal="center"/>
    </xf>
    <xf numFmtId="186" fontId="28" fillId="0" borderId="0" applyFill="0" applyBorder="0" applyProtection="0">
      <alignment horizontal="center"/>
    </xf>
    <xf numFmtId="187" fontId="29" fillId="0" borderId="0" applyFill="0" applyBorder="0" applyProtection="0">
      <alignment horizontal="right"/>
    </xf>
    <xf numFmtId="188" fontId="25" fillId="0" borderId="0" applyFill="0" applyBorder="0" applyProtection="0">
      <alignment horizontal="right"/>
    </xf>
    <xf numFmtId="189" fontId="25" fillId="0" borderId="0" applyFill="0" applyBorder="0" applyProtection="0">
      <alignment horizontal="right"/>
    </xf>
    <xf numFmtId="190" fontId="25" fillId="0" borderId="0" applyFill="0" applyBorder="0" applyProtection="0">
      <alignment horizontal="right"/>
    </xf>
    <xf numFmtId="191" fontId="25" fillId="0" borderId="0" applyFill="0" applyBorder="0" applyProtection="0">
      <alignment horizontal="right"/>
    </xf>
    <xf numFmtId="0" fontId="4" fillId="0" borderId="0" applyNumberFormat="0" applyFill="0" applyBorder="0" applyAlignment="0" applyProtection="0"/>
    <xf numFmtId="192" fontId="30" fillId="0" borderId="0">
      <alignment horizontal="centerContinuous"/>
    </xf>
    <xf numFmtId="193" fontId="31" fillId="0" borderId="0" applyFill="0" applyBorder="0" applyAlignment="0"/>
    <xf numFmtId="194" fontId="12" fillId="0" borderId="0" applyFill="0" applyBorder="0" applyAlignment="0"/>
    <xf numFmtId="182" fontId="12" fillId="0" borderId="0" applyFill="0" applyBorder="0" applyAlignment="0"/>
    <xf numFmtId="195" fontId="4" fillId="0" borderId="0" applyFill="0" applyBorder="0" applyAlignment="0"/>
    <xf numFmtId="196" fontId="4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2" fillId="0" borderId="0"/>
    <xf numFmtId="178" fontId="12" fillId="0" borderId="0" applyFont="0" applyFill="0" applyBorder="0" applyAlignment="0" applyProtection="0"/>
    <xf numFmtId="198" fontId="33" fillId="0" borderId="0">
      <protection locked="0"/>
    </xf>
    <xf numFmtId="194" fontId="12" fillId="0" borderId="0" applyFont="0" applyFill="0" applyBorder="0" applyAlignment="0" applyProtection="0"/>
    <xf numFmtId="198" fontId="33" fillId="0" borderId="0">
      <protection locked="0"/>
    </xf>
    <xf numFmtId="198" fontId="33" fillId="0" borderId="0">
      <protection locked="0"/>
    </xf>
    <xf numFmtId="14" fontId="27" fillId="0" borderId="0" applyFill="0" applyBorder="0" applyAlignment="0"/>
    <xf numFmtId="0" fontId="3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199" fontId="25" fillId="0" borderId="0" applyFont="0" applyFill="0" applyBorder="0" applyAlignment="0" applyProtection="0"/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200" fontId="4" fillId="0" borderId="0">
      <protection locked="0"/>
    </xf>
    <xf numFmtId="198" fontId="33" fillId="0" borderId="0">
      <protection locked="0"/>
    </xf>
    <xf numFmtId="38" fontId="8" fillId="2" borderId="0" applyNumberFormat="0" applyBorder="0" applyAlignment="0" applyProtection="0"/>
    <xf numFmtId="0" fontId="35" fillId="0" borderId="0">
      <alignment horizontal="left"/>
    </xf>
    <xf numFmtId="0" fontId="36" fillId="0" borderId="1" applyNumberFormat="0" applyAlignment="0" applyProtection="0">
      <alignment horizontal="left" vertical="center"/>
    </xf>
    <xf numFmtId="0" fontId="36" fillId="0" borderId="2">
      <alignment horizontal="left" vertical="center"/>
    </xf>
    <xf numFmtId="200" fontId="4" fillId="0" borderId="0">
      <protection locked="0"/>
    </xf>
    <xf numFmtId="200" fontId="4" fillId="0" borderId="0">
      <protection locked="0"/>
    </xf>
    <xf numFmtId="10" fontId="8" fillId="3" borderId="3" applyNumberFormat="0" applyBorder="0" applyAlignment="0" applyProtection="0"/>
    <xf numFmtId="44" fontId="37" fillId="0" borderId="0">
      <alignment horizontal="center" vertical="center"/>
      <protection locked="0"/>
    </xf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0" fontId="38" fillId="0" borderId="4"/>
    <xf numFmtId="176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39" fillId="4" borderId="5">
      <alignment horizontal="center"/>
    </xf>
    <xf numFmtId="37" fontId="40" fillId="0" borderId="0"/>
    <xf numFmtId="0" fontId="4" fillId="0" borderId="0"/>
    <xf numFmtId="0" fontId="41" fillId="0" borderId="0"/>
    <xf numFmtId="0" fontId="4" fillId="0" borderId="0"/>
    <xf numFmtId="196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78" fontId="12" fillId="0" borderId="0" applyFill="0" applyBorder="0" applyAlignment="0"/>
    <xf numFmtId="194" fontId="12" fillId="0" borderId="0" applyFill="0" applyBorder="0" applyAlignment="0"/>
    <xf numFmtId="178" fontId="12" fillId="0" borderId="0" applyFill="0" applyBorder="0" applyAlignment="0"/>
    <xf numFmtId="197" fontId="12" fillId="0" borderId="0" applyFill="0" applyBorder="0" applyAlignment="0"/>
    <xf numFmtId="194" fontId="12" fillId="0" borderId="0" applyFill="0" applyBorder="0" applyAlignment="0"/>
    <xf numFmtId="202" fontId="10" fillId="0" borderId="0"/>
    <xf numFmtId="0" fontId="12" fillId="0" borderId="0"/>
    <xf numFmtId="0" fontId="24" fillId="0" borderId="0"/>
    <xf numFmtId="0" fontId="38" fillId="0" borderId="0"/>
    <xf numFmtId="49" fontId="27" fillId="0" borderId="0" applyFill="0" applyBorder="0" applyAlignment="0"/>
    <xf numFmtId="203" fontId="4" fillId="0" borderId="0" applyFill="0" applyBorder="0" applyAlignment="0"/>
    <xf numFmtId="204" fontId="4" fillId="0" borderId="0" applyFill="0" applyBorder="0" applyAlignment="0"/>
    <xf numFmtId="18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205" fontId="4" fillId="0" borderId="0" applyFont="0" applyFill="0" applyBorder="0" applyAlignment="0" applyProtection="0"/>
    <xf numFmtId="206" fontId="4" fillId="0" borderId="0" applyFont="0" applyFill="0" applyBorder="0" applyAlignment="0" applyProtection="0"/>
    <xf numFmtId="0" fontId="18" fillId="0" borderId="0"/>
    <xf numFmtId="0" fontId="6" fillId="0" borderId="0" applyNumberFormat="0" applyFill="0" applyBorder="0" applyAlignment="0" applyProtection="0"/>
    <xf numFmtId="177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4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39" fontId="44" fillId="0" borderId="0" applyFill="0" applyBorder="0" applyProtection="0"/>
    <xf numFmtId="0" fontId="6" fillId="0" borderId="0"/>
    <xf numFmtId="0" fontId="4" fillId="0" borderId="0"/>
    <xf numFmtId="0" fontId="6" fillId="0" borderId="0">
      <alignment vertical="center"/>
    </xf>
    <xf numFmtId="9" fontId="42" fillId="0" borderId="0" applyFont="0" applyFill="0" applyBorder="0" applyAlignment="0" applyProtection="0"/>
    <xf numFmtId="0" fontId="45" fillId="0" borderId="0"/>
    <xf numFmtId="0" fontId="25" fillId="0" borderId="0"/>
    <xf numFmtId="0" fontId="4" fillId="0" borderId="0" applyNumberFormat="0" applyFill="0" applyBorder="0" applyAlignment="0" applyProtection="0"/>
    <xf numFmtId="179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14" fillId="0" borderId="0"/>
    <xf numFmtId="207" fontId="42" fillId="0" borderId="0" applyFont="0" applyFill="0" applyBorder="0" applyAlignment="0" applyProtection="0"/>
    <xf numFmtId="208" fontId="42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42" fillId="0" borderId="0"/>
    <xf numFmtId="41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77" fillId="13" borderId="0" applyNumberFormat="0" applyBorder="0" applyAlignment="0" applyProtection="0">
      <alignment vertical="center"/>
    </xf>
    <xf numFmtId="0" fontId="77" fillId="14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20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5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6" fillId="0" borderId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0" fontId="26" fillId="0" borderId="0"/>
    <xf numFmtId="0" fontId="4" fillId="32" borderId="28" applyNumberFormat="0" applyFont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64" fillId="0" borderId="25" applyNumberFormat="0" applyFill="0" applyAlignment="0" applyProtection="0">
      <alignment vertical="center"/>
    </xf>
    <xf numFmtId="0" fontId="65" fillId="0" borderId="2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0" borderId="24" applyNumberFormat="0" applyFill="0" applyAlignment="0" applyProtection="0">
      <alignment vertical="center"/>
    </xf>
    <xf numFmtId="0" fontId="87" fillId="0" borderId="25" applyNumberFormat="0" applyFill="0" applyAlignment="0" applyProtection="0">
      <alignment vertical="center"/>
    </xf>
    <xf numFmtId="0" fontId="88" fillId="0" borderId="26" applyNumberFormat="0" applyFill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4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81" fillId="24" borderId="0" applyNumberFormat="0" applyBorder="0" applyAlignment="0" applyProtection="0">
      <alignment vertical="center"/>
    </xf>
    <xf numFmtId="0" fontId="81" fillId="28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79" fillId="0" borderId="30" applyNumberFormat="0" applyFill="0" applyAlignment="0" applyProtection="0">
      <alignment vertical="center"/>
    </xf>
    <xf numFmtId="0" fontId="83" fillId="13" borderId="0" applyNumberFormat="0" applyBorder="0" applyAlignment="0" applyProtection="0">
      <alignment vertical="center"/>
    </xf>
    <xf numFmtId="0" fontId="75" fillId="0" borderId="30" applyNumberFormat="0" applyFill="0" applyAlignment="0" applyProtection="0">
      <alignment vertical="center"/>
    </xf>
    <xf numFmtId="0" fontId="71" fillId="29" borderId="22" applyNumberFormat="0" applyAlignment="0" applyProtection="0">
      <alignment vertical="center"/>
    </xf>
    <xf numFmtId="0" fontId="89" fillId="29" borderId="22" applyNumberFormat="0" applyAlignment="0" applyProtection="0">
      <alignment vertical="center"/>
    </xf>
    <xf numFmtId="0" fontId="21" fillId="30" borderId="23" applyNumberFormat="0" applyAlignment="0" applyProtection="0">
      <alignment vertical="center"/>
    </xf>
    <xf numFmtId="0" fontId="80" fillId="30" borderId="23" applyNumberFormat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91" fillId="0" borderId="27" applyNumberFormat="0" applyFill="0" applyAlignment="0" applyProtection="0">
      <alignment vertical="center"/>
    </xf>
    <xf numFmtId="0" fontId="72" fillId="0" borderId="27" applyNumberFormat="0" applyFill="0" applyAlignment="0" applyProtection="0">
      <alignment vertical="center"/>
    </xf>
    <xf numFmtId="0" fontId="76" fillId="26" borderId="0" applyNumberFormat="0" applyBorder="0" applyAlignment="0" applyProtection="0">
      <alignment vertical="center"/>
    </xf>
    <xf numFmtId="0" fontId="76" fillId="4" borderId="0" applyNumberFormat="0" applyBorder="0" applyAlignment="0" applyProtection="0">
      <alignment vertical="center"/>
    </xf>
    <xf numFmtId="0" fontId="76" fillId="27" borderId="0" applyNumberFormat="0" applyBorder="0" applyAlignment="0" applyProtection="0">
      <alignment vertical="center"/>
    </xf>
    <xf numFmtId="0" fontId="76" fillId="23" borderId="0" applyNumberFormat="0" applyBorder="0" applyAlignment="0" applyProtection="0">
      <alignment vertical="center"/>
    </xf>
    <xf numFmtId="0" fontId="76" fillId="24" borderId="0" applyNumberFormat="0" applyBorder="0" applyAlignment="0" applyProtection="0">
      <alignment vertical="center"/>
    </xf>
    <xf numFmtId="0" fontId="76" fillId="28" borderId="0" applyNumberFormat="0" applyBorder="0" applyAlignment="0" applyProtection="0">
      <alignment vertical="center"/>
    </xf>
    <xf numFmtId="0" fontId="68" fillId="31" borderId="0" applyNumberFormat="0" applyBorder="0" applyAlignment="0" applyProtection="0">
      <alignment vertical="center"/>
    </xf>
    <xf numFmtId="0" fontId="70" fillId="29" borderId="29" applyNumberFormat="0" applyAlignment="0" applyProtection="0">
      <alignment vertical="center"/>
    </xf>
    <xf numFmtId="0" fontId="69" fillId="17" borderId="22" applyNumberFormat="0" applyAlignment="0" applyProtection="0">
      <alignment vertical="center"/>
    </xf>
    <xf numFmtId="0" fontId="47" fillId="29" borderId="29" applyNumberFormat="0" applyAlignment="0" applyProtection="0">
      <alignment vertical="center"/>
    </xf>
    <xf numFmtId="0" fontId="56" fillId="17" borderId="22" applyNumberFormat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82" fillId="31" borderId="0" applyNumberFormat="0" applyBorder="0" applyAlignment="0" applyProtection="0">
      <alignment vertical="center"/>
    </xf>
    <xf numFmtId="0" fontId="6" fillId="32" borderId="28" applyNumberFormat="0" applyFont="0" applyAlignment="0" applyProtection="0">
      <alignment vertical="center"/>
    </xf>
    <xf numFmtId="0" fontId="3" fillId="0" borderId="0">
      <alignment vertical="center"/>
    </xf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0" fontId="97" fillId="0" borderId="0"/>
    <xf numFmtId="209" fontId="6" fillId="0" borderId="0">
      <alignment vertical="center"/>
    </xf>
    <xf numFmtId="209" fontId="4" fillId="0" borderId="0"/>
    <xf numFmtId="0" fontId="4" fillId="0" borderId="0"/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49" fontId="25" fillId="0" borderId="0" applyProtection="0">
      <alignment horizontal="left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3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3" fillId="0" borderId="0"/>
    <xf numFmtId="0" fontId="23" fillId="0" borderId="0"/>
    <xf numFmtId="209" fontId="27" fillId="0" borderId="0">
      <alignment vertical="top"/>
    </xf>
    <xf numFmtId="0" fontId="26" fillId="0" borderId="0"/>
    <xf numFmtId="0" fontId="27" fillId="0" borderId="0">
      <alignment vertical="top"/>
    </xf>
    <xf numFmtId="0" fontId="27" fillId="0" borderId="0">
      <alignment vertical="top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26" fillId="0" borderId="0"/>
    <xf numFmtId="0" fontId="26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  <xf numFmtId="209" fontId="23" fillId="0" borderId="0"/>
    <xf numFmtId="0" fontId="23" fillId="0" borderId="0"/>
    <xf numFmtId="209" fontId="26" fillId="0" borderId="0"/>
    <xf numFmtId="0" fontId="4" fillId="0" borderId="0">
      <protection locked="0"/>
    </xf>
    <xf numFmtId="0" fontId="4" fillId="0" borderId="0" applyNumberFormat="0" applyFill="0" applyBorder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26" fillId="0" borderId="0"/>
    <xf numFmtId="0" fontId="26" fillId="0" borderId="0"/>
    <xf numFmtId="0" fontId="4" fillId="0" borderId="0"/>
    <xf numFmtId="0" fontId="12" fillId="0" borderId="0"/>
    <xf numFmtId="209" fontId="4" fillId="0" borderId="0">
      <protection locked="0"/>
    </xf>
    <xf numFmtId="0" fontId="4" fillId="0" borderId="0">
      <protection locked="0"/>
    </xf>
    <xf numFmtId="0" fontId="4" fillId="0" borderId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209" fontId="4" fillId="0" borderId="0">
      <protection locked="0"/>
    </xf>
    <xf numFmtId="0" fontId="4" fillId="0" borderId="0">
      <protection locked="0"/>
    </xf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1" fillId="12" borderId="0" applyNumberFormat="0" applyBorder="0" applyAlignment="0" applyProtection="0">
      <alignment vertical="center"/>
    </xf>
    <xf numFmtId="0" fontId="121" fillId="13" borderId="0" applyNumberFormat="0" applyBorder="0" applyAlignment="0" applyProtection="0">
      <alignment vertical="center"/>
    </xf>
    <xf numFmtId="0" fontId="121" fillId="14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6" borderId="0" applyNumberFormat="0" applyBorder="0" applyAlignment="0" applyProtection="0">
      <alignment vertical="center"/>
    </xf>
    <xf numFmtId="0" fontId="121" fillId="17" borderId="0" applyNumberFormat="0" applyBorder="0" applyAlignment="0" applyProtection="0">
      <alignment vertical="center"/>
    </xf>
    <xf numFmtId="0" fontId="101" fillId="12" borderId="0" applyNumberFormat="0" applyBorder="0" applyAlignment="0" applyProtection="0"/>
    <xf numFmtId="0" fontId="101" fillId="13" borderId="0" applyNumberFormat="0" applyBorder="0" applyAlignment="0" applyProtection="0"/>
    <xf numFmtId="0" fontId="101" fillId="14" borderId="0" applyNumberFormat="0" applyBorder="0" applyAlignment="0" applyProtection="0"/>
    <xf numFmtId="0" fontId="101" fillId="15" borderId="0" applyNumberFormat="0" applyBorder="0" applyAlignment="0" applyProtection="0"/>
    <xf numFmtId="0" fontId="101" fillId="16" borderId="0" applyNumberFormat="0" applyBorder="0" applyAlignment="0" applyProtection="0"/>
    <xf numFmtId="0" fontId="101" fillId="17" borderId="0" applyNumberFormat="0" applyBorder="0" applyAlignment="0" applyProtection="0"/>
    <xf numFmtId="0" fontId="121" fillId="18" borderId="0" applyNumberFormat="0" applyBorder="0" applyAlignment="0" applyProtection="0">
      <alignment vertical="center"/>
    </xf>
    <xf numFmtId="0" fontId="121" fillId="19" borderId="0" applyNumberFormat="0" applyBorder="0" applyAlignment="0" applyProtection="0">
      <alignment vertical="center"/>
    </xf>
    <xf numFmtId="0" fontId="121" fillId="20" borderId="0" applyNumberFormat="0" applyBorder="0" applyAlignment="0" applyProtection="0">
      <alignment vertical="center"/>
    </xf>
    <xf numFmtId="0" fontId="121" fillId="15" borderId="0" applyNumberFormat="0" applyBorder="0" applyAlignment="0" applyProtection="0">
      <alignment vertical="center"/>
    </xf>
    <xf numFmtId="0" fontId="121" fillId="18" borderId="0" applyNumberFormat="0" applyBorder="0" applyAlignment="0" applyProtection="0">
      <alignment vertical="center"/>
    </xf>
    <xf numFmtId="0" fontId="121" fillId="21" borderId="0" applyNumberFormat="0" applyBorder="0" applyAlignment="0" applyProtection="0">
      <alignment vertical="center"/>
    </xf>
    <xf numFmtId="0" fontId="101" fillId="18" borderId="0" applyNumberFormat="0" applyBorder="0" applyAlignment="0" applyProtection="0"/>
    <xf numFmtId="0" fontId="101" fillId="19" borderId="0" applyNumberFormat="0" applyBorder="0" applyAlignment="0" applyProtection="0"/>
    <xf numFmtId="0" fontId="101" fillId="20" borderId="0" applyNumberFormat="0" applyBorder="0" applyAlignment="0" applyProtection="0"/>
    <xf numFmtId="0" fontId="101" fillId="15" borderId="0" applyNumberFormat="0" applyBorder="0" applyAlignment="0" applyProtection="0"/>
    <xf numFmtId="0" fontId="101" fillId="18" borderId="0" applyNumberFormat="0" applyBorder="0" applyAlignment="0" applyProtection="0"/>
    <xf numFmtId="0" fontId="101" fillId="21" borderId="0" applyNumberFormat="0" applyBorder="0" applyAlignment="0" applyProtection="0"/>
    <xf numFmtId="0" fontId="122" fillId="22" borderId="0" applyNumberFormat="0" applyBorder="0" applyAlignment="0" applyProtection="0">
      <alignment vertical="center"/>
    </xf>
    <xf numFmtId="0" fontId="122" fillId="19" borderId="0" applyNumberFormat="0" applyBorder="0" applyAlignment="0" applyProtection="0">
      <alignment vertical="center"/>
    </xf>
    <xf numFmtId="0" fontId="122" fillId="20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5" borderId="0" applyNumberFormat="0" applyBorder="0" applyAlignment="0" applyProtection="0">
      <alignment vertical="center"/>
    </xf>
    <xf numFmtId="0" fontId="102" fillId="22" borderId="0" applyNumberFormat="0" applyBorder="0" applyAlignment="0" applyProtection="0"/>
    <xf numFmtId="0" fontId="102" fillId="19" borderId="0" applyNumberFormat="0" applyBorder="0" applyAlignment="0" applyProtection="0"/>
    <xf numFmtId="0" fontId="102" fillId="20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5" borderId="0" applyNumberFormat="0" applyBorder="0" applyAlignment="0" applyProtection="0"/>
    <xf numFmtId="0" fontId="122" fillId="26" borderId="0" applyNumberFormat="0" applyBorder="0" applyAlignment="0" applyProtection="0">
      <alignment vertical="center"/>
    </xf>
    <xf numFmtId="0" fontId="122" fillId="4" borderId="0" applyNumberFormat="0" applyBorder="0" applyAlignment="0" applyProtection="0">
      <alignment vertical="center"/>
    </xf>
    <xf numFmtId="0" fontId="122" fillId="27" borderId="0" applyNumberFormat="0" applyBorder="0" applyAlignment="0" applyProtection="0">
      <alignment vertical="center"/>
    </xf>
    <xf numFmtId="0" fontId="122" fillId="23" borderId="0" applyNumberFormat="0" applyBorder="0" applyAlignment="0" applyProtection="0">
      <alignment vertical="center"/>
    </xf>
    <xf numFmtId="0" fontId="122" fillId="24" borderId="0" applyNumberFormat="0" applyBorder="0" applyAlignment="0" applyProtection="0">
      <alignment vertical="center"/>
    </xf>
    <xf numFmtId="0" fontId="122" fillId="28" borderId="0" applyNumberFormat="0" applyBorder="0" applyAlignment="0" applyProtection="0">
      <alignment vertical="center"/>
    </xf>
    <xf numFmtId="0" fontId="123" fillId="13" borderId="0" applyNumberFormat="0" applyBorder="0" applyAlignment="0" applyProtection="0">
      <alignment vertical="center"/>
    </xf>
    <xf numFmtId="193" fontId="98" fillId="0" borderId="0" applyFill="0" applyBorder="0" applyAlignment="0"/>
    <xf numFmtId="0" fontId="124" fillId="29" borderId="22" applyNumberFormat="0" applyAlignment="0" applyProtection="0">
      <alignment vertical="center"/>
    </xf>
    <xf numFmtId="0" fontId="125" fillId="30" borderId="23" applyNumberForma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43" fontId="92" fillId="0" borderId="0" applyFont="0" applyFill="0" applyBorder="0" applyAlignment="0" applyProtection="0">
      <alignment vertical="center"/>
    </xf>
    <xf numFmtId="3" fontId="137" fillId="0" borderId="0" applyFont="0" applyFill="0" applyBorder="0" applyAlignment="0" applyProtection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21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209" fontId="99" fillId="0" borderId="0" applyFont="0" applyFill="0" applyBorder="0" applyAlignment="0" applyProtection="0"/>
    <xf numFmtId="199" fontId="25" fillId="0" borderId="0" applyFont="0" applyFill="0" applyBorder="0" applyAlignment="0" applyProtection="0"/>
    <xf numFmtId="0" fontId="126" fillId="0" borderId="0" applyNumberFormat="0" applyFill="0" applyBorder="0" applyAlignment="0" applyProtection="0">
      <alignment vertical="center"/>
    </xf>
    <xf numFmtId="2" fontId="137" fillId="0" borderId="0" applyFont="0" applyFill="0" applyBorder="0" applyAlignment="0" applyProtection="0"/>
    <xf numFmtId="0" fontId="127" fillId="14" borderId="0" applyNumberFormat="0" applyBorder="0" applyAlignment="0" applyProtection="0">
      <alignment vertical="center"/>
    </xf>
    <xf numFmtId="209" fontId="36" fillId="0" borderId="1" applyNumberFormat="0" applyAlignment="0" applyProtection="0">
      <alignment horizontal="left" vertical="center"/>
    </xf>
    <xf numFmtId="0" fontId="36" fillId="0" borderId="1" applyNumberFormat="0" applyAlignment="0" applyProtection="0">
      <alignment horizontal="left" vertical="center"/>
    </xf>
    <xf numFmtId="209" fontId="36" fillId="0" borderId="2">
      <alignment horizontal="left" vertical="center"/>
    </xf>
    <xf numFmtId="0" fontId="36" fillId="0" borderId="2">
      <alignment horizontal="left" vertical="center"/>
    </xf>
    <xf numFmtId="0" fontId="128" fillId="0" borderId="24" applyNumberFormat="0" applyFill="0" applyAlignment="0" applyProtection="0">
      <alignment vertical="center"/>
    </xf>
    <xf numFmtId="0" fontId="129" fillId="0" borderId="25" applyNumberFormat="0" applyFill="0" applyAlignment="0" applyProtection="0">
      <alignment vertical="center"/>
    </xf>
    <xf numFmtId="0" fontId="130" fillId="0" borderId="26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31" fillId="17" borderId="22" applyNumberFormat="0" applyAlignment="0" applyProtection="0">
      <alignment vertical="center"/>
    </xf>
    <xf numFmtId="0" fontId="132" fillId="0" borderId="27" applyNumberFormat="0" applyFill="0" applyAlignment="0" applyProtection="0">
      <alignment vertical="center"/>
    </xf>
    <xf numFmtId="0" fontId="133" fillId="31" borderId="0" applyNumberFormat="0" applyBorder="0" applyAlignment="0" applyProtection="0">
      <alignment vertical="center"/>
    </xf>
    <xf numFmtId="209" fontId="100" fillId="33" borderId="31"/>
    <xf numFmtId="0" fontId="100" fillId="33" borderId="31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6" fillId="0" borderId="0" applyNumberFormat="0" applyFill="0" applyBorder="0" applyAlignment="0" applyProtection="0"/>
    <xf numFmtId="0" fontId="93" fillId="0" borderId="0">
      <alignment vertical="center"/>
    </xf>
    <xf numFmtId="0" fontId="4" fillId="0" borderId="0"/>
    <xf numFmtId="0" fontId="6" fillId="0" borderId="0" applyNumberFormat="0" applyFill="0" applyBorder="0" applyAlignment="0" applyProtection="0"/>
    <xf numFmtId="0" fontId="4" fillId="0" borderId="0"/>
    <xf numFmtId="0" fontId="4" fillId="0" borderId="0"/>
    <xf numFmtId="0" fontId="92" fillId="0" borderId="0">
      <alignment vertical="center"/>
    </xf>
    <xf numFmtId="0" fontId="92" fillId="0" borderId="0">
      <alignment vertical="center"/>
    </xf>
    <xf numFmtId="0" fontId="92" fillId="0" borderId="0">
      <alignment vertical="center"/>
    </xf>
    <xf numFmtId="0" fontId="4" fillId="32" borderId="28" applyNumberFormat="0" applyFont="0" applyAlignment="0" applyProtection="0">
      <alignment vertical="center"/>
    </xf>
    <xf numFmtId="0" fontId="134" fillId="29" borderId="29" applyNumberFormat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23" fillId="0" borderId="0"/>
    <xf numFmtId="0" fontId="4" fillId="0" borderId="0"/>
    <xf numFmtId="0" fontId="85" fillId="0" borderId="0" applyNumberFormat="0" applyFill="0" applyBorder="0" applyAlignment="0" applyProtection="0">
      <alignment vertical="center"/>
    </xf>
    <xf numFmtId="0" fontId="135" fillId="0" borderId="30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03" fillId="0" borderId="0" applyNumberFormat="0" applyFill="0" applyBorder="0" applyAlignment="0" applyProtection="0"/>
    <xf numFmtId="0" fontId="104" fillId="0" borderId="24" applyNumberFormat="0" applyFill="0" applyAlignment="0" applyProtection="0"/>
    <xf numFmtId="0" fontId="105" fillId="0" borderId="25" applyNumberFormat="0" applyFill="0" applyAlignment="0" applyProtection="0"/>
    <xf numFmtId="0" fontId="106" fillId="0" borderId="26" applyNumberFormat="0" applyFill="0" applyAlignment="0" applyProtection="0"/>
    <xf numFmtId="0" fontId="106" fillId="0" borderId="0" applyNumberFormat="0" applyFill="0" applyBorder="0" applyAlignment="0" applyProtection="0"/>
    <xf numFmtId="0" fontId="107" fillId="13" borderId="0" applyNumberFormat="0" applyBorder="0" applyAlignment="0" applyProtection="0"/>
    <xf numFmtId="0" fontId="119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/>
    <xf numFmtId="0" fontId="107" fillId="13" borderId="0" applyNumberFormat="0" applyBorder="0" applyAlignment="0" applyProtection="0"/>
    <xf numFmtId="0" fontId="67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209" fontId="6" fillId="0" borderId="0">
      <alignment vertical="center"/>
    </xf>
    <xf numFmtId="0" fontId="6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09" fillId="14" borderId="0" applyNumberFormat="0" applyBorder="0" applyAlignment="0" applyProtection="0"/>
    <xf numFmtId="0" fontId="120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09" fillId="14" borderId="0" applyNumberFormat="0" applyBorder="0" applyAlignment="0" applyProtection="0"/>
    <xf numFmtId="0" fontId="109" fillId="14" borderId="0" applyNumberFormat="0" applyBorder="0" applyAlignment="0" applyProtection="0"/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110" fillId="0" borderId="30" applyNumberFormat="0" applyFill="0" applyAlignment="0" applyProtection="0"/>
    <xf numFmtId="0" fontId="111" fillId="29" borderId="22" applyNumberFormat="0" applyAlignment="0" applyProtection="0"/>
    <xf numFmtId="0" fontId="112" fillId="30" borderId="23" applyNumberFormat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27" applyNumberFormat="0" applyFill="0" applyAlignment="0" applyProtection="0"/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102" fillId="26" borderId="0" applyNumberFormat="0" applyBorder="0" applyAlignment="0" applyProtection="0"/>
    <xf numFmtId="0" fontId="102" fillId="4" borderId="0" applyNumberFormat="0" applyBorder="0" applyAlignment="0" applyProtection="0"/>
    <xf numFmtId="0" fontId="102" fillId="27" borderId="0" applyNumberFormat="0" applyBorder="0" applyAlignment="0" applyProtection="0"/>
    <xf numFmtId="0" fontId="102" fillId="23" borderId="0" applyNumberFormat="0" applyBorder="0" applyAlignment="0" applyProtection="0"/>
    <xf numFmtId="0" fontId="102" fillId="24" borderId="0" applyNumberFormat="0" applyBorder="0" applyAlignment="0" applyProtection="0"/>
    <xf numFmtId="0" fontId="102" fillId="28" borderId="0" applyNumberFormat="0" applyBorder="0" applyAlignment="0" applyProtection="0"/>
    <xf numFmtId="0" fontId="116" fillId="31" borderId="0" applyNumberFormat="0" applyBorder="0" applyAlignment="0" applyProtection="0"/>
    <xf numFmtId="0" fontId="117" fillId="29" borderId="29" applyNumberFormat="0" applyAlignment="0" applyProtection="0"/>
    <xf numFmtId="0" fontId="118" fillId="17" borderId="22" applyNumberFormat="0" applyAlignment="0" applyProtection="0"/>
    <xf numFmtId="209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32" borderId="28" applyNumberFormat="0" applyFont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20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138" fillId="0" borderId="0" applyNumberFormat="0" applyFill="0" applyBorder="0" applyAlignment="0" applyProtection="0"/>
    <xf numFmtId="43" fontId="2" fillId="0" borderId="0" applyFont="0" applyFill="0" applyBorder="0" applyAlignment="0" applyProtection="0">
      <alignment vertical="center"/>
    </xf>
    <xf numFmtId="211" fontId="139" fillId="0" borderId="0"/>
    <xf numFmtId="0" fontId="141" fillId="0" borderId="0"/>
    <xf numFmtId="9" fontId="4" fillId="0" borderId="0" applyFont="0" applyFill="0" applyBorder="0" applyAlignment="0" applyProtection="0"/>
    <xf numFmtId="205" fontId="140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2" fillId="0" borderId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79" fontId="4" fillId="0" borderId="0" applyFont="0" applyFill="0" applyBorder="0" applyAlignment="0" applyProtection="0">
      <alignment vertical="center"/>
    </xf>
    <xf numFmtId="0" fontId="23" fillId="0" borderId="0"/>
    <xf numFmtId="0" fontId="4" fillId="0" borderId="0" applyNumberFormat="0" applyFill="0" applyBorder="0" applyAlignment="0" applyProtection="0"/>
  </cellStyleXfs>
  <cellXfs count="157">
    <xf numFmtId="0" fontId="0" fillId="0" borderId="0" xfId="0"/>
    <xf numFmtId="0" fontId="55" fillId="0" borderId="0" xfId="0" applyFont="1" applyAlignment="1"/>
    <xf numFmtId="0" fontId="55" fillId="0" borderId="0" xfId="0" applyFont="1" applyAlignment="1">
      <alignment vertical="center"/>
    </xf>
    <xf numFmtId="0" fontId="54" fillId="0" borderId="0" xfId="941" applyFont="1" applyAlignment="1">
      <alignment horizontal="left" vertical="center"/>
    </xf>
    <xf numFmtId="20" fontId="54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6" fillId="0" borderId="0" xfId="941">
      <alignment vertical="center"/>
    </xf>
    <xf numFmtId="49" fontId="0" fillId="0" borderId="0" xfId="0" applyNumberFormat="1" applyAlignment="1">
      <alignment wrapText="1"/>
    </xf>
    <xf numFmtId="0" fontId="19" fillId="5" borderId="0" xfId="908" applyFont="1" applyFill="1" applyBorder="1"/>
    <xf numFmtId="0" fontId="20" fillId="5" borderId="0" xfId="908" applyFont="1" applyFill="1" applyBorder="1"/>
    <xf numFmtId="0" fontId="6" fillId="0" borderId="0" xfId="941" applyBorder="1">
      <alignment vertical="center"/>
    </xf>
    <xf numFmtId="0" fontId="15" fillId="5" borderId="6" xfId="908" applyFont="1" applyFill="1" applyBorder="1"/>
    <xf numFmtId="0" fontId="21" fillId="6" borderId="7" xfId="940" applyFont="1" applyFill="1" applyBorder="1" applyAlignment="1">
      <alignment horizontal="left" indent="1"/>
    </xf>
    <xf numFmtId="0" fontId="9" fillId="6" borderId="8" xfId="940" applyFont="1" applyFill="1" applyBorder="1"/>
    <xf numFmtId="0" fontId="9" fillId="6" borderId="9" xfId="940" applyFont="1" applyFill="1" applyBorder="1"/>
    <xf numFmtId="0" fontId="11" fillId="7" borderId="10" xfId="940" applyFont="1" applyFill="1" applyBorder="1" applyAlignment="1">
      <alignment horizontal="left" indent="1"/>
    </xf>
    <xf numFmtId="49" fontId="11" fillId="7" borderId="10" xfId="940" applyNumberFormat="1" applyFont="1" applyFill="1" applyBorder="1" applyAlignment="1">
      <alignment horizontal="left" indent="1"/>
    </xf>
    <xf numFmtId="0" fontId="34" fillId="0" borderId="0" xfId="941" applyFont="1" applyBorder="1">
      <alignment vertical="center"/>
    </xf>
    <xf numFmtId="0" fontId="22" fillId="0" borderId="10" xfId="940" applyFont="1" applyBorder="1"/>
    <xf numFmtId="0" fontId="22" fillId="0" borderId="0" xfId="940" applyFont="1" applyBorder="1"/>
    <xf numFmtId="0" fontId="22" fillId="0" borderId="11" xfId="940" applyFont="1" applyBorder="1"/>
    <xf numFmtId="0" fontId="46" fillId="7" borderId="12" xfId="940" applyFont="1" applyFill="1" applyBorder="1"/>
    <xf numFmtId="0" fontId="46" fillId="7" borderId="13" xfId="940" applyFont="1" applyFill="1" applyBorder="1"/>
    <xf numFmtId="0" fontId="46" fillId="7" borderId="14" xfId="940" applyFont="1" applyFill="1" applyBorder="1"/>
    <xf numFmtId="0" fontId="48" fillId="7" borderId="11" xfId="940" applyFont="1" applyFill="1" applyBorder="1"/>
    <xf numFmtId="0" fontId="48" fillId="5" borderId="15" xfId="940" quotePrefix="1" applyNumberFormat="1" applyFont="1" applyFill="1" applyBorder="1" applyAlignment="1">
      <alignment horizontal="center"/>
    </xf>
    <xf numFmtId="0" fontId="34" fillId="7" borderId="11" xfId="941" applyFont="1" applyFill="1" applyBorder="1">
      <alignment vertical="center"/>
    </xf>
    <xf numFmtId="0" fontId="48" fillId="5" borderId="15" xfId="941" applyFont="1" applyFill="1" applyBorder="1" applyAlignment="1">
      <alignment vertical="center"/>
    </xf>
    <xf numFmtId="0" fontId="47" fillId="7" borderId="10" xfId="940" applyFont="1" applyFill="1" applyBorder="1" applyAlignment="1">
      <alignment horizontal="left" indent="1"/>
    </xf>
    <xf numFmtId="0" fontId="49" fillId="7" borderId="10" xfId="940" applyFont="1" applyFill="1" applyBorder="1" applyAlignment="1">
      <alignment horizontal="left" indent="1"/>
    </xf>
    <xf numFmtId="0" fontId="50" fillId="5" borderId="15" xfId="941" applyFont="1" applyFill="1" applyBorder="1" applyAlignment="1">
      <alignment vertical="center"/>
    </xf>
    <xf numFmtId="0" fontId="47" fillId="7" borderId="16" xfId="940" applyFont="1" applyFill="1" applyBorder="1" applyAlignment="1">
      <alignment horizontal="left" indent="1"/>
    </xf>
    <xf numFmtId="0" fontId="48" fillId="5" borderId="17" xfId="941" applyFont="1" applyFill="1" applyBorder="1" applyAlignment="1">
      <alignment vertical="center"/>
    </xf>
    <xf numFmtId="0" fontId="34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3" fillId="0" borderId="0" xfId="941" applyFont="1" applyBorder="1">
      <alignment vertical="center"/>
    </xf>
    <xf numFmtId="0" fontId="56" fillId="0" borderId="0" xfId="941" applyFont="1" applyAlignment="1">
      <alignment vertical="center"/>
    </xf>
    <xf numFmtId="0" fontId="6" fillId="0" borderId="0" xfId="941" applyFill="1" applyBorder="1">
      <alignment vertical="center"/>
    </xf>
    <xf numFmtId="0" fontId="46" fillId="0" borderId="0" xfId="940" applyFont="1" applyFill="1" applyBorder="1"/>
    <xf numFmtId="0" fontId="34" fillId="0" borderId="0" xfId="941" applyFont="1" applyFill="1" applyBorder="1">
      <alignment vertical="center"/>
    </xf>
    <xf numFmtId="0" fontId="21" fillId="0" borderId="0" xfId="940" applyFont="1" applyFill="1" applyBorder="1" applyAlignment="1">
      <alignment horizontal="left" indent="1"/>
    </xf>
    <xf numFmtId="0" fontId="9" fillId="0" borderId="0" xfId="940" applyFont="1" applyFill="1" applyBorder="1"/>
    <xf numFmtId="0" fontId="11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11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4" fillId="0" borderId="0" xfId="941" applyFont="1" applyFill="1" applyBorder="1" applyAlignment="1">
      <alignment horizontal="center" vertical="center"/>
    </xf>
    <xf numFmtId="0" fontId="14" fillId="5" borderId="0" xfId="0" applyFont="1" applyFill="1" applyAlignment="1" applyProtection="1">
      <alignment horizontal="left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Alignment="1" applyProtection="1">
      <protection locked="0"/>
    </xf>
    <xf numFmtId="179" fontId="14" fillId="5" borderId="0" xfId="932" applyFont="1" applyFill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0" fontId="52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3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3" xfId="0" applyNumberFormat="1" applyFont="1" applyFill="1" applyBorder="1" applyAlignment="1" applyProtection="1">
      <alignment horizontal="center" vertical="center" wrapText="1"/>
      <protection locked="0"/>
    </xf>
    <xf numFmtId="179" fontId="13" fillId="8" borderId="3" xfId="932" applyFont="1" applyFill="1" applyBorder="1" applyAlignment="1" applyProtection="1">
      <alignment horizontal="center" vertical="center" wrapText="1"/>
      <protection locked="0"/>
    </xf>
    <xf numFmtId="0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2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5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Alignment="1" applyProtection="1">
      <alignment wrapText="1"/>
      <protection locked="0"/>
    </xf>
    <xf numFmtId="0" fontId="14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protection locked="0"/>
    </xf>
    <xf numFmtId="179" fontId="14" fillId="0" borderId="0" xfId="932" applyFont="1" applyAlignment="1" applyProtection="1">
      <protection locked="0"/>
    </xf>
    <xf numFmtId="0" fontId="57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4" fillId="5" borderId="0" xfId="0" applyNumberFormat="1" applyFont="1" applyFill="1" applyAlignment="1" applyProtection="1">
      <alignment horizontal="left"/>
      <protection locked="0"/>
    </xf>
    <xf numFmtId="49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4" fillId="0" borderId="0" xfId="0" applyNumberFormat="1" applyFont="1" applyAlignment="1" applyProtection="1">
      <alignment horizontal="left"/>
      <protection locked="0"/>
    </xf>
    <xf numFmtId="0" fontId="34" fillId="0" borderId="0" xfId="941" applyFont="1" applyBorder="1" applyAlignment="1">
      <alignment vertical="center"/>
    </xf>
    <xf numFmtId="0" fontId="54" fillId="0" borderId="0" xfId="941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941" applyFont="1" applyAlignment="1">
      <alignment vertical="center"/>
    </xf>
    <xf numFmtId="0" fontId="6" fillId="0" borderId="0" xfId="941" applyBorder="1" applyAlignment="1">
      <alignment vertical="center"/>
    </xf>
    <xf numFmtId="20" fontId="58" fillId="0" borderId="0" xfId="941" applyNumberFormat="1" applyFont="1" applyAlignment="1">
      <alignment vertical="center"/>
    </xf>
    <xf numFmtId="0" fontId="59" fillId="0" borderId="0" xfId="941" applyFont="1">
      <alignment vertical="center"/>
    </xf>
    <xf numFmtId="0" fontId="60" fillId="0" borderId="0" xfId="941" applyFont="1" applyBorder="1">
      <alignment vertical="center"/>
    </xf>
    <xf numFmtId="0" fontId="59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0" fontId="14" fillId="0" borderId="0" xfId="0" applyFont="1" applyFill="1" applyAlignment="1" applyProtection="1">
      <alignment horizontal="left"/>
      <protection locked="0"/>
    </xf>
    <xf numFmtId="14" fontId="14" fillId="0" borderId="0" xfId="1008" applyNumberFormat="1" applyFont="1" applyFill="1" applyAlignment="1" applyProtection="1">
      <alignment horizontal="left"/>
      <protection locked="0"/>
    </xf>
    <xf numFmtId="0" fontId="93" fillId="0" borderId="0" xfId="0" applyFont="1" applyFill="1" applyAlignment="1" applyProtection="1">
      <protection locked="0"/>
    </xf>
    <xf numFmtId="49" fontId="93" fillId="0" borderId="0" xfId="1009" applyNumberFormat="1" applyFont="1" applyFill="1" applyProtection="1">
      <alignment vertical="center"/>
      <protection locked="0"/>
    </xf>
    <xf numFmtId="0" fontId="93" fillId="0" borderId="0" xfId="1008" applyFont="1" applyFill="1" applyAlignment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14" fillId="0" borderId="0" xfId="0" applyFont="1" applyFill="1" applyBorder="1" applyAlignment="1" applyProtection="1">
      <alignment wrapText="1"/>
      <protection locked="0"/>
    </xf>
    <xf numFmtId="179" fontId="14" fillId="0" borderId="0" xfId="932" applyFont="1" applyFill="1" applyAlignment="1" applyProtection="1">
      <protection locked="0"/>
    </xf>
    <xf numFmtId="14" fontId="93" fillId="0" borderId="0" xfId="1008" quotePrefix="1" applyNumberFormat="1" applyFont="1" applyFill="1" applyAlignment="1" applyProtection="1">
      <alignment vertical="center"/>
      <protection locked="0"/>
    </xf>
    <xf numFmtId="0" fontId="14" fillId="0" borderId="0" xfId="0" quotePrefix="1" applyFont="1" applyFill="1" applyAlignment="1" applyProtection="1">
      <alignment horizontal="left"/>
      <protection locked="0"/>
    </xf>
    <xf numFmtId="49" fontId="14" fillId="0" borderId="0" xfId="0" applyNumberFormat="1" applyFont="1" applyFill="1" applyAlignment="1" applyProtection="1">
      <alignment horizontal="left"/>
      <protection locked="0"/>
    </xf>
    <xf numFmtId="179" fontId="14" fillId="5" borderId="0" xfId="932" applyFont="1" applyFill="1" applyAlignment="1" applyProtection="1">
      <alignment horizontal="left"/>
      <protection locked="0"/>
    </xf>
    <xf numFmtId="179" fontId="14" fillId="0" borderId="0" xfId="932" applyFont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wrapText="1"/>
      <protection locked="0"/>
    </xf>
    <xf numFmtId="0" fontId="14" fillId="0" borderId="0" xfId="0" quotePrefix="1" applyFont="1" applyFill="1" applyAlignment="1" applyProtection="1">
      <protection locked="0"/>
    </xf>
    <xf numFmtId="14" fontId="51" fillId="10" borderId="21" xfId="0" applyNumberFormat="1" applyFont="1" applyFill="1" applyBorder="1" applyAlignment="1" applyProtection="1">
      <alignment horizontal="center" vertical="center"/>
    </xf>
    <xf numFmtId="14" fontId="13" fillId="8" borderId="3" xfId="0" applyNumberFormat="1" applyFont="1" applyFill="1" applyBorder="1" applyAlignment="1" applyProtection="1">
      <alignment horizontal="left" vertical="center" wrapText="1"/>
      <protection locked="0"/>
    </xf>
    <xf numFmtId="14" fontId="14" fillId="0" borderId="0" xfId="0" applyNumberFormat="1" applyFont="1" applyAlignment="1" applyProtection="1">
      <alignment horizontal="left"/>
      <protection locked="0"/>
    </xf>
    <xf numFmtId="0" fontId="14" fillId="0" borderId="0" xfId="932" applyNumberFormat="1" applyFont="1" applyFill="1" applyAlignment="1" applyProtection="1">
      <protection locked="0"/>
    </xf>
    <xf numFmtId="0" fontId="14" fillId="5" borderId="0" xfId="0" applyNumberFormat="1" applyFont="1" applyFill="1" applyAlignment="1" applyProtection="1">
      <protection locked="0"/>
    </xf>
    <xf numFmtId="0" fontId="14" fillId="0" borderId="0" xfId="932" applyNumberFormat="1" applyFont="1" applyAlignment="1" applyProtection="1">
      <protection locked="0"/>
    </xf>
    <xf numFmtId="179" fontId="14" fillId="0" borderId="0" xfId="932" applyFont="1" applyFill="1" applyAlignment="1" applyProtection="1">
      <alignment horizontal="right"/>
      <protection locked="0"/>
    </xf>
    <xf numFmtId="49" fontId="14" fillId="0" borderId="0" xfId="932" applyNumberFormat="1" applyFont="1" applyFill="1" applyAlignment="1" applyProtection="1">
      <protection locked="0"/>
    </xf>
    <xf numFmtId="179" fontId="14" fillId="0" borderId="0" xfId="932" applyFont="1" applyFill="1" applyAlignment="1" applyProtection="1">
      <alignment horizontal="left"/>
      <protection locked="0"/>
    </xf>
    <xf numFmtId="0" fontId="14" fillId="0" borderId="0" xfId="0" applyFont="1" applyFill="1" applyAlignment="1" applyProtection="1">
      <protection locked="0"/>
    </xf>
    <xf numFmtId="0" fontId="14" fillId="0" borderId="0" xfId="0" applyFont="1" applyFill="1" applyAlignment="1" applyProtection="1">
      <alignment horizontal="left"/>
      <protection locked="0"/>
    </xf>
    <xf numFmtId="179" fontId="14" fillId="0" borderId="0" xfId="932" applyFont="1" applyFill="1" applyAlignment="1" applyProtection="1">
      <protection locked="0"/>
    </xf>
    <xf numFmtId="0" fontId="14" fillId="0" borderId="0" xfId="0" quotePrefix="1" applyFont="1" applyFill="1" applyAlignment="1" applyProtection="1">
      <alignment horizontal="left"/>
      <protection locked="0"/>
    </xf>
    <xf numFmtId="14" fontId="14" fillId="0" borderId="0" xfId="0" applyNumberFormat="1" applyFont="1" applyFill="1" applyAlignment="1" applyProtection="1">
      <alignment horizontal="left"/>
      <protection locked="0"/>
    </xf>
    <xf numFmtId="0" fontId="14" fillId="0" borderId="0" xfId="0" quotePrefix="1" applyFont="1" applyFill="1" applyAlignment="1" applyProtection="1">
      <protection locked="0"/>
    </xf>
    <xf numFmtId="0" fontId="14" fillId="0" borderId="0" xfId="932" applyNumberFormat="1" applyFont="1" applyFill="1" applyAlignment="1" applyProtection="1">
      <protection locked="0"/>
    </xf>
    <xf numFmtId="0" fontId="14" fillId="0" borderId="0" xfId="0" applyFont="1" applyFill="1"/>
    <xf numFmtId="179" fontId="14" fillId="0" borderId="0" xfId="932" applyFont="1" applyFill="1"/>
    <xf numFmtId="0" fontId="0" fillId="0" borderId="0" xfId="0" applyFill="1"/>
    <xf numFmtId="0" fontId="14" fillId="0" borderId="0" xfId="0" applyNumberFormat="1" applyFont="1" applyFill="1" applyAlignment="1" applyProtection="1">
      <alignment horizontal="left"/>
      <protection locked="0"/>
    </xf>
    <xf numFmtId="179" fontId="14" fillId="0" borderId="0" xfId="932" quotePrefix="1" applyFont="1" applyFill="1" applyAlignment="1" applyProtection="1">
      <alignment horizontal="left"/>
      <protection locked="0"/>
    </xf>
    <xf numFmtId="0" fontId="2" fillId="0" borderId="0" xfId="1312" applyFill="1" applyAlignment="1"/>
    <xf numFmtId="0" fontId="2" fillId="0" borderId="0" xfId="1312" applyAlignment="1"/>
    <xf numFmtId="0" fontId="14" fillId="0" borderId="0" xfId="1009" applyNumberFormat="1" applyFont="1" applyFill="1" applyAlignment="1" applyProtection="1">
      <alignment horizontal="left" vertical="center"/>
      <protection locked="0"/>
    </xf>
    <xf numFmtId="0" fontId="14" fillId="0" borderId="0" xfId="1008" applyFont="1" applyFill="1" applyAlignment="1" applyProtection="1">
      <alignment horizontal="center" vertical="center"/>
      <protection locked="0"/>
    </xf>
    <xf numFmtId="14" fontId="14" fillId="0" borderId="0" xfId="1008" applyNumberFormat="1" applyFont="1" applyFill="1" applyAlignment="1">
      <alignment horizontal="center" vertical="center"/>
    </xf>
    <xf numFmtId="0" fontId="142" fillId="0" borderId="0" xfId="1008" applyFont="1" applyFill="1" applyAlignment="1" applyProtection="1">
      <protection locked="0"/>
    </xf>
    <xf numFmtId="0" fontId="143" fillId="0" borderId="0" xfId="1320" quotePrefix="1" applyNumberFormat="1" applyFont="1" applyFill="1" applyAlignment="1">
      <alignment horizontal="left"/>
    </xf>
    <xf numFmtId="212" fontId="93" fillId="0" borderId="0" xfId="1229" applyNumberFormat="1" applyFill="1">
      <alignment vertical="center"/>
    </xf>
    <xf numFmtId="0" fontId="92" fillId="0" borderId="0" xfId="1000">
      <alignment vertical="center"/>
    </xf>
    <xf numFmtId="179" fontId="14" fillId="0" borderId="0" xfId="918" applyNumberFormat="1" applyFont="1" applyFill="1" applyAlignment="1" applyProtection="1">
      <alignment vertical="center"/>
      <protection locked="0"/>
    </xf>
    <xf numFmtId="49" fontId="14" fillId="0" borderId="0" xfId="1008" applyNumberFormat="1" applyFont="1" applyFill="1" applyAlignment="1" applyProtection="1">
      <protection locked="0"/>
    </xf>
    <xf numFmtId="49" fontId="14" fillId="0" borderId="0" xfId="1008" quotePrefix="1" applyNumberFormat="1" applyFont="1" applyFill="1" applyAlignment="1" applyProtection="1">
      <protection locked="0"/>
    </xf>
    <xf numFmtId="0" fontId="6" fillId="0" borderId="0" xfId="939" applyFill="1" applyAlignment="1">
      <alignment vertical="center"/>
    </xf>
    <xf numFmtId="0" fontId="14" fillId="34" borderId="0" xfId="1009" applyNumberFormat="1" applyFont="1" applyFill="1" applyAlignment="1" applyProtection="1">
      <alignment horizontal="left" vertical="center"/>
      <protection locked="0"/>
    </xf>
    <xf numFmtId="0" fontId="14" fillId="34" borderId="0" xfId="1008" quotePrefix="1" applyFont="1" applyFill="1" applyAlignment="1" applyProtection="1">
      <alignment vertical="center"/>
      <protection locked="0"/>
    </xf>
    <xf numFmtId="0" fontId="14" fillId="34" borderId="0" xfId="1008" applyFont="1" applyFill="1" applyAlignment="1" applyProtection="1">
      <alignment horizontal="center" vertical="center"/>
      <protection locked="0"/>
    </xf>
    <xf numFmtId="0" fontId="6" fillId="34" borderId="0" xfId="939" applyFill="1" applyAlignment="1">
      <alignment vertical="center"/>
    </xf>
    <xf numFmtId="0" fontId="143" fillId="34" borderId="0" xfId="1320" quotePrefix="1" applyNumberFormat="1" applyFont="1" applyFill="1" applyAlignment="1">
      <alignment horizontal="left"/>
    </xf>
    <xf numFmtId="213" fontId="14" fillId="34" borderId="0" xfId="932" applyNumberFormat="1" applyFont="1" applyFill="1" applyAlignment="1" applyProtection="1">
      <alignment vertical="center"/>
      <protection locked="0"/>
    </xf>
    <xf numFmtId="213" fontId="143" fillId="34" borderId="0" xfId="1320" applyNumberFormat="1" applyFont="1" applyFill="1" applyAlignment="1" applyProtection="1">
      <alignment horizontal="left"/>
      <protection locked="0"/>
    </xf>
    <xf numFmtId="0" fontId="14" fillId="34" borderId="0" xfId="1008" applyFont="1" applyFill="1" applyProtection="1">
      <protection locked="0"/>
    </xf>
    <xf numFmtId="179" fontId="14" fillId="34" borderId="0" xfId="918" applyNumberFormat="1" applyFont="1" applyFill="1" applyAlignment="1" applyProtection="1">
      <alignment vertical="center"/>
      <protection locked="0"/>
    </xf>
    <xf numFmtId="0" fontId="14" fillId="34" borderId="0" xfId="918" applyFont="1" applyFill="1" applyAlignment="1" applyProtection="1">
      <alignment vertical="center"/>
      <protection locked="0"/>
    </xf>
    <xf numFmtId="0" fontId="14" fillId="34" borderId="0" xfId="0" applyFont="1" applyFill="1" applyAlignment="1" applyProtection="1">
      <protection locked="0"/>
    </xf>
    <xf numFmtId="0" fontId="14" fillId="34" borderId="0" xfId="1321" applyFont="1" applyFill="1" applyAlignment="1" applyProtection="1">
      <protection locked="0"/>
    </xf>
    <xf numFmtId="49" fontId="14" fillId="34" borderId="0" xfId="1008" applyNumberFormat="1" applyFont="1" applyFill="1" applyAlignment="1" applyProtection="1">
      <protection locked="0"/>
    </xf>
    <xf numFmtId="0" fontId="6" fillId="0" borderId="0" xfId="939" applyFill="1" applyAlignment="1">
      <alignment horizontal="left" vertical="center"/>
    </xf>
    <xf numFmtId="0" fontId="14" fillId="0" borderId="0" xfId="1008" quotePrefix="1" applyFont="1" applyFill="1" applyAlignment="1" applyProtection="1">
      <alignment vertical="center"/>
      <protection locked="0"/>
    </xf>
    <xf numFmtId="214" fontId="142" fillId="0" borderId="0" xfId="1008" applyNumberFormat="1" applyFont="1" applyFill="1" applyAlignment="1" applyProtection="1">
      <protection locked="0"/>
    </xf>
    <xf numFmtId="213" fontId="14" fillId="0" borderId="0" xfId="932" applyNumberFormat="1" applyFont="1" applyFill="1" applyAlignment="1" applyProtection="1">
      <alignment vertical="center"/>
      <protection locked="0"/>
    </xf>
    <xf numFmtId="213" fontId="143" fillId="0" borderId="0" xfId="1320" applyNumberFormat="1" applyFont="1" applyFill="1" applyAlignment="1" applyProtection="1">
      <alignment horizontal="left"/>
      <protection locked="0"/>
    </xf>
    <xf numFmtId="0" fontId="14" fillId="0" borderId="0" xfId="1008" applyFont="1" applyFill="1" applyProtection="1">
      <protection locked="0"/>
    </xf>
    <xf numFmtId="0" fontId="14" fillId="0" borderId="0" xfId="918" applyFont="1" applyFill="1" applyAlignment="1" applyProtection="1">
      <alignment vertical="center"/>
      <protection locked="0"/>
    </xf>
    <xf numFmtId="0" fontId="14" fillId="0" borderId="0" xfId="1321" applyFont="1" applyFill="1" applyAlignment="1" applyProtection="1">
      <protection locked="0"/>
    </xf>
    <xf numFmtId="214" fontId="14" fillId="0" borderId="0" xfId="932" applyNumberFormat="1" applyFont="1" applyAlignment="1" applyProtection="1">
      <protection locked="0"/>
    </xf>
    <xf numFmtId="0" fontId="6" fillId="10" borderId="0" xfId="939" applyFill="1" applyAlignment="1">
      <alignment horizontal="left" vertical="center"/>
    </xf>
    <xf numFmtId="0" fontId="16" fillId="5" borderId="6" xfId="908" applyFont="1" applyFill="1" applyBorder="1" applyAlignment="1">
      <alignment vertical="center" wrapText="1"/>
    </xf>
  </cellXfs>
  <cellStyles count="1322">
    <cellStyle name="??" xfId="1" xr:uid="{00000000-0005-0000-0000-000000000000}"/>
    <cellStyle name="?鹎%U龡&amp;H?_x0008_e_x0005_9_x0006__x0007__x0001__x0001_" xfId="2" xr:uid="{00000000-0005-0000-0000-000001000000}"/>
    <cellStyle name="?鹎%U龡&amp;H?_x0008_e_x0005_9_x0006__x0007__x0001__x0001_ 2" xfId="1069" xr:uid="{00000000-0005-0000-0000-000002000000}"/>
    <cellStyle name="?鹎%U龡&amp;H?_x0008_e_x0005_9_x0006__x0007__x0001__x0001_ 3" xfId="1068" xr:uid="{00000000-0005-0000-0000-000003000000}"/>
    <cellStyle name="@_text" xfId="3" xr:uid="{00000000-0005-0000-0000-000004000000}"/>
    <cellStyle name="@_text_A9_0623" xfId="1070" xr:uid="{00000000-0005-0000-0000-000005000000}"/>
    <cellStyle name="@_text_Chart of Account" xfId="1071" xr:uid="{00000000-0005-0000-0000-000006000000}"/>
    <cellStyle name="@_text_Deferred tax final voucher-SH" xfId="4" xr:uid="{00000000-0005-0000-0000-000007000000}"/>
    <cellStyle name="@_text_Deferred tax final voucher-template-SH" xfId="5" xr:uid="{00000000-0005-0000-0000-000008000000}"/>
    <cellStyle name="@_text_Department Code T2" xfId="1072" xr:uid="{00000000-0005-0000-0000-000009000000}"/>
    <cellStyle name="@_text_Department Code T2 (2)" xfId="1073" xr:uid="{00000000-0005-0000-0000-00000A000000}"/>
    <cellStyle name="@_text_F-CODE-090410" xfId="1074" xr:uid="{00000000-0005-0000-0000-00000B000000}"/>
    <cellStyle name="@_text_GAAP Voucher Template_ZA_CY0110" xfId="6" xr:uid="{00000000-0005-0000-0000-00000C000000}"/>
    <cellStyle name="@_text_Reconciliation for B659&amp;A295 on TB level" xfId="7" xr:uid="{00000000-0005-0000-0000-00000D000000}"/>
    <cellStyle name="@_text_Sheet1" xfId="8" xr:uid="{00000000-0005-0000-0000-00000E000000}"/>
    <cellStyle name="@_text_SunMaster_0825_COA-v1" xfId="1075" xr:uid="{00000000-0005-0000-0000-00000F000000}"/>
    <cellStyle name="@_text_SunMaster_1202" xfId="1076" xr:uid="{00000000-0005-0000-0000-000010000000}"/>
    <cellStyle name="@_text_T2-FINAL" xfId="1077" xr:uid="{00000000-0005-0000-0000-000011000000}"/>
    <cellStyle name="@_text_VERSION-new" xfId="1078" xr:uid="{00000000-0005-0000-0000-000012000000}"/>
    <cellStyle name="_~1538174" xfId="9" xr:uid="{00000000-0005-0000-0000-000013000000}"/>
    <cellStyle name="_~1894191" xfId="10" xr:uid="{00000000-0005-0000-0000-000014000000}"/>
    <cellStyle name="_~2779875" xfId="11" xr:uid="{00000000-0005-0000-0000-000015000000}"/>
    <cellStyle name="_~2779875_~1894191" xfId="12" xr:uid="{00000000-0005-0000-0000-000016000000}"/>
    <cellStyle name="_~2779875_~1894191_reserve" xfId="13" xr:uid="{00000000-0005-0000-0000-000017000000}"/>
    <cellStyle name="_~2779875_DT-wp" xfId="14" xr:uid="{00000000-0005-0000-0000-000018000000}"/>
    <cellStyle name="_~2779875_FA openning balance-2005" xfId="15" xr:uid="{00000000-0005-0000-0000-000019000000}"/>
    <cellStyle name="_~2779875_FA openning balance-2005_~1894191" xfId="16" xr:uid="{00000000-0005-0000-0000-00001A000000}"/>
    <cellStyle name="_~2779875_FA openning balance-2005_~1894191_reserve" xfId="17" xr:uid="{00000000-0005-0000-0000-00001B000000}"/>
    <cellStyle name="_~2779875_FA openning balance-2005_Opening Balance 2006_AIA SZ 0310 WP" xfId="18" xr:uid="{00000000-0005-0000-0000-00001C000000}"/>
    <cellStyle name="_~2779875_FA openning balance-2005_Opening Balance 2006_AIA SZ 0310 WP_reserve" xfId="19" xr:uid="{00000000-0005-0000-0000-00001D000000}"/>
    <cellStyle name="_~2779875_FA openning balance-2005_Opening Balance 2006_AIA SZ 0310 WP_Spreadsheet AIA BJ 2007_20080408_v2" xfId="20" xr:uid="{00000000-0005-0000-0000-00001E000000}"/>
    <cellStyle name="_~2779875_FA openning balance-2005_Spreadsheet AIA BJ 2007_20080312_V3" xfId="21" xr:uid="{00000000-0005-0000-0000-00001F000000}"/>
    <cellStyle name="_~2779875_FA openning balance-2005_Spreadsheet AIA BJ 2007_20080312_V3_reserve" xfId="22" xr:uid="{00000000-0005-0000-0000-000020000000}"/>
    <cellStyle name="_~2779875_FA openning balance-2005_Spreadsheet AIA BJ 2007_20080312_V3_Spreadsheet AIA BJ 2007_20080408_v2" xfId="23" xr:uid="{00000000-0005-0000-0000-000021000000}"/>
    <cellStyle name="_~2779875_FA openning balance-2005_Spreadsheet AIA BJ 2007_20080328" xfId="24" xr:uid="{00000000-0005-0000-0000-000022000000}"/>
    <cellStyle name="_~2779875_FA openning balance-2005_Spreadsheet AIA BJ 2007_20080328_reserve" xfId="25" xr:uid="{00000000-0005-0000-0000-000023000000}"/>
    <cellStyle name="_~2779875_FA openning balance-2005_Spreadsheet AIA BJ 2007_20080328_v1" xfId="26" xr:uid="{00000000-0005-0000-0000-000024000000}"/>
    <cellStyle name="_~2779875_FA openning balance-2005_Spreadsheet AIA BJ 2007_20080328_v1_reserve" xfId="27" xr:uid="{00000000-0005-0000-0000-000025000000}"/>
    <cellStyle name="_~2779875_FA openning balance-2005_Working Paper of AIABJ 2008 - DT - V2" xfId="28" xr:uid="{00000000-0005-0000-0000-000026000000}"/>
    <cellStyle name="_~2779875_FA openning balance-2005_Working Paper of AIABJ 2008 - DT - V2_reserve" xfId="29" xr:uid="{00000000-0005-0000-0000-000027000000}"/>
    <cellStyle name="_~2779875_FA openning balance-2005_Working Paper of AIABJ 2008 - DT - V2_Spreadsheet AIA BJ 2007_20080408_v2" xfId="30" xr:uid="{00000000-0005-0000-0000-000028000000}"/>
    <cellStyle name="_~2779875_FA openning balance-2006" xfId="31" xr:uid="{00000000-0005-0000-0000-000029000000}"/>
    <cellStyle name="_~2779875_FA openning balance-2006_~1894191" xfId="32" xr:uid="{00000000-0005-0000-0000-00002A000000}"/>
    <cellStyle name="_~2779875_FA openning balance-2006_~1894191_reserve" xfId="33" xr:uid="{00000000-0005-0000-0000-00002B000000}"/>
    <cellStyle name="_~2779875_FA openning balance-2006_Opening Balance 2006_AIA SZ 0310 WP" xfId="34" xr:uid="{00000000-0005-0000-0000-00002C000000}"/>
    <cellStyle name="_~2779875_FA openning balance-2006_Opening Balance 2006_AIA SZ 0310 WP_reserve" xfId="35" xr:uid="{00000000-0005-0000-0000-00002D000000}"/>
    <cellStyle name="_~2779875_FA openning balance-2006_Opening Balance 2006_AIA SZ 0310 WP_Spreadsheet AIA BJ 2007_20080408_v2" xfId="36" xr:uid="{00000000-0005-0000-0000-00002E000000}"/>
    <cellStyle name="_~2779875_FA openning balance-2006_Spreadsheet AIA BJ 2007_20080312_V3" xfId="37" xr:uid="{00000000-0005-0000-0000-00002F000000}"/>
    <cellStyle name="_~2779875_FA openning balance-2006_Spreadsheet AIA BJ 2007_20080312_V3_reserve" xfId="38" xr:uid="{00000000-0005-0000-0000-000030000000}"/>
    <cellStyle name="_~2779875_FA openning balance-2006_Spreadsheet AIA BJ 2007_20080312_V3_Spreadsheet AIA BJ 2007_20080408_v2" xfId="39" xr:uid="{00000000-0005-0000-0000-000031000000}"/>
    <cellStyle name="_~2779875_FA openning balance-2006_Spreadsheet AIA BJ 2007_20080328" xfId="40" xr:uid="{00000000-0005-0000-0000-000032000000}"/>
    <cellStyle name="_~2779875_FA openning balance-2006_Spreadsheet AIA BJ 2007_20080328_reserve" xfId="41" xr:uid="{00000000-0005-0000-0000-000033000000}"/>
    <cellStyle name="_~2779875_FA openning balance-2006_Spreadsheet AIA BJ 2007_20080328_v1" xfId="42" xr:uid="{00000000-0005-0000-0000-000034000000}"/>
    <cellStyle name="_~2779875_FA openning balance-2006_Spreadsheet AIA BJ 2007_20080328_v1_reserve" xfId="43" xr:uid="{00000000-0005-0000-0000-000035000000}"/>
    <cellStyle name="_~2779875_FA openning balance-2006_Working Paper of AIABJ 2008 - DT - V2" xfId="44" xr:uid="{00000000-0005-0000-0000-000036000000}"/>
    <cellStyle name="_~2779875_FA openning balance-2006_Working Paper of AIABJ 2008 - DT - V2_reserve" xfId="45" xr:uid="{00000000-0005-0000-0000-000037000000}"/>
    <cellStyle name="_~2779875_FA openning balance-2006_Working Paper of AIABJ 2008 - DT - V2_Spreadsheet AIA BJ 2007_20080408_v2" xfId="46" xr:uid="{00000000-0005-0000-0000-000038000000}"/>
    <cellStyle name="_~2779875_OP balance" xfId="47" xr:uid="{00000000-0005-0000-0000-000039000000}"/>
    <cellStyle name="_~2779875_OP balance_~1894191" xfId="48" xr:uid="{00000000-0005-0000-0000-00003A000000}"/>
    <cellStyle name="_~2779875_OP balance_~1894191_reserve" xfId="49" xr:uid="{00000000-0005-0000-0000-00003B000000}"/>
    <cellStyle name="_~2779875_OP balance_Opening Balance 2006_AIA SZ 0310 WP" xfId="50" xr:uid="{00000000-0005-0000-0000-00003C000000}"/>
    <cellStyle name="_~2779875_OP balance_Opening Balance 2006_AIA SZ 0310 WP_reserve" xfId="51" xr:uid="{00000000-0005-0000-0000-00003D000000}"/>
    <cellStyle name="_~2779875_OP balance_Opening Balance 2006_AIA SZ 0310 WP_Spreadsheet AIA BJ 2007_20080408_v2" xfId="52" xr:uid="{00000000-0005-0000-0000-00003E000000}"/>
    <cellStyle name="_~2779875_OP balance_Spreadsheet AIA BJ 2007_20080312_V3" xfId="53" xr:uid="{00000000-0005-0000-0000-00003F000000}"/>
    <cellStyle name="_~2779875_OP balance_Spreadsheet AIA BJ 2007_20080312_V3_reserve" xfId="54" xr:uid="{00000000-0005-0000-0000-000040000000}"/>
    <cellStyle name="_~2779875_OP balance_Spreadsheet AIA BJ 2007_20080312_V3_Spreadsheet AIA BJ 2007_20080408_v2" xfId="55" xr:uid="{00000000-0005-0000-0000-000041000000}"/>
    <cellStyle name="_~2779875_OP balance_Spreadsheet AIA BJ 2007_20080328" xfId="56" xr:uid="{00000000-0005-0000-0000-000042000000}"/>
    <cellStyle name="_~2779875_OP balance_Spreadsheet AIA BJ 2007_20080328_reserve" xfId="57" xr:uid="{00000000-0005-0000-0000-000043000000}"/>
    <cellStyle name="_~2779875_OP balance_Spreadsheet AIA BJ 2007_20080328_v1" xfId="58" xr:uid="{00000000-0005-0000-0000-000044000000}"/>
    <cellStyle name="_~2779875_OP balance_Spreadsheet AIA BJ 2007_20080328_v1_reserve" xfId="59" xr:uid="{00000000-0005-0000-0000-000045000000}"/>
    <cellStyle name="_~2779875_OP balance_Working Paper of AIABJ 2008 - DT - V2" xfId="60" xr:uid="{00000000-0005-0000-0000-000046000000}"/>
    <cellStyle name="_~2779875_OP balance_Working Paper of AIABJ 2008 - DT - V2_reserve" xfId="61" xr:uid="{00000000-0005-0000-0000-000047000000}"/>
    <cellStyle name="_~2779875_OP balance_Working Paper of AIABJ 2008 - DT - V2_Spreadsheet AIA BJ 2007_20080408_v2" xfId="62" xr:uid="{00000000-0005-0000-0000-000048000000}"/>
    <cellStyle name="_~2779875_Spreadsheet AIA BJ 2007_20080328" xfId="63" xr:uid="{00000000-0005-0000-0000-000049000000}"/>
    <cellStyle name="_~2779875_Spreadsheet AIA BJ 2007_20080328_reserve" xfId="64" xr:uid="{00000000-0005-0000-0000-00004A000000}"/>
    <cellStyle name="_~2779875_Spreadsheet AIA BJ 2007_20080328_v1" xfId="65" xr:uid="{00000000-0005-0000-0000-00004B000000}"/>
    <cellStyle name="_~2779875_Spreadsheet AIA BJ 2007_20080328_v1_reserve" xfId="66" xr:uid="{00000000-0005-0000-0000-00004C000000}"/>
    <cellStyle name="_~2779875_Spreadsheet AIA BJ 2007_20080408_v2" xfId="67" xr:uid="{00000000-0005-0000-0000-00004D000000}"/>
    <cellStyle name="_~2779875_Tax projection 20080331" xfId="68" xr:uid="{00000000-0005-0000-0000-00004E000000}"/>
    <cellStyle name="_~2779875_所得税调整BJ" xfId="69" xr:uid="{00000000-0005-0000-0000-00004F000000}"/>
    <cellStyle name="_~2779875_所得税调整BJ_Opening Balance 2006_AIA SZ 0310 WP" xfId="70" xr:uid="{00000000-0005-0000-0000-000050000000}"/>
    <cellStyle name="_~2779875_所得税调整BJ_Opening Balance 2006_AIA SZ 0310 WP_reserve" xfId="71" xr:uid="{00000000-0005-0000-0000-000051000000}"/>
    <cellStyle name="_~2779875_所得税调整BJ_Opening Balance 2006_AIA SZ 0310 WP_Spreadsheet AIA BJ 2007_20080408_v2" xfId="72" xr:uid="{00000000-0005-0000-0000-000052000000}"/>
    <cellStyle name="_~2779875_所得税调整BJ_reserve" xfId="73" xr:uid="{00000000-0005-0000-0000-000053000000}"/>
    <cellStyle name="_~3458097" xfId="74" xr:uid="{00000000-0005-0000-0000-000054000000}"/>
    <cellStyle name="_~3458097_GAAP Voucher Template_ZA_CY0110" xfId="75" xr:uid="{00000000-0005-0000-0000-000055000000}"/>
    <cellStyle name="_~8808434" xfId="76" xr:uid="{00000000-0005-0000-0000-000056000000}"/>
    <cellStyle name="_~8808434_~1894191" xfId="77" xr:uid="{00000000-0005-0000-0000-000057000000}"/>
    <cellStyle name="_~8808434_~1894191_reserve" xfId="78" xr:uid="{00000000-0005-0000-0000-000058000000}"/>
    <cellStyle name="_~8808434_DT-wp" xfId="79" xr:uid="{00000000-0005-0000-0000-000059000000}"/>
    <cellStyle name="_~8808434_Spreadsheet AIA BJ 2007_20080328" xfId="80" xr:uid="{00000000-0005-0000-0000-00005A000000}"/>
    <cellStyle name="_~8808434_Spreadsheet AIA BJ 2007_20080328_reserve" xfId="81" xr:uid="{00000000-0005-0000-0000-00005B000000}"/>
    <cellStyle name="_~8808434_Spreadsheet AIA BJ 2007_20080328_v1" xfId="82" xr:uid="{00000000-0005-0000-0000-00005C000000}"/>
    <cellStyle name="_~8808434_Spreadsheet AIA BJ 2007_20080328_v1_reserve" xfId="83" xr:uid="{00000000-0005-0000-0000-00005D000000}"/>
    <cellStyle name="_~8808434_Spreadsheet AIA BJ 2007_20080408_v2" xfId="84" xr:uid="{00000000-0005-0000-0000-00005E000000}"/>
    <cellStyle name="_~8808434_Tax projection 20080331" xfId="85" xr:uid="{00000000-0005-0000-0000-00005F000000}"/>
    <cellStyle name="_~8808434_所得税调整BJ" xfId="86" xr:uid="{00000000-0005-0000-0000-000060000000}"/>
    <cellStyle name="_~8808434_所得税调整BJ_Opening Balance 2006_AIA SZ 0310 WP" xfId="87" xr:uid="{00000000-0005-0000-0000-000061000000}"/>
    <cellStyle name="_~8808434_所得税调整BJ_Opening Balance 2006_AIA SZ 0310 WP_reserve" xfId="88" xr:uid="{00000000-0005-0000-0000-000062000000}"/>
    <cellStyle name="_~8808434_所得税调整BJ_Opening Balance 2006_AIA SZ 0310 WP_Spreadsheet AIA BJ 2007_20080408_v2" xfId="89" xr:uid="{00000000-0005-0000-0000-000063000000}"/>
    <cellStyle name="_~8808434_所得税调整BJ_reserve" xfId="90" xr:uid="{00000000-0005-0000-0000-000064000000}"/>
    <cellStyle name="_~9415781" xfId="91" xr:uid="{00000000-0005-0000-0000-000065000000}"/>
    <cellStyle name="_00-纳税调整2005012" xfId="92" xr:uid="{00000000-0005-0000-0000-000066000000}"/>
    <cellStyle name="_00-纳税调整2005012v" xfId="93" xr:uid="{00000000-0005-0000-0000-000067000000}"/>
    <cellStyle name="_01-纳税调整2006012" xfId="94" xr:uid="{00000000-0005-0000-0000-000068000000}"/>
    <cellStyle name="_1.Reserve variance detail-GZCY0308" xfId="1079" xr:uid="{00000000-0005-0000-0000-000069000000}"/>
    <cellStyle name="_1.Reserve variance detail-GZCY0308 2" xfId="1080" xr:uid="{00000000-0005-0000-0000-00006A000000}"/>
    <cellStyle name="_1.偿付能力报表2006wkg" xfId="95" xr:uid="{00000000-0005-0000-0000-00006B000000}"/>
    <cellStyle name="_1.偿付能力报表2006wkg_~1894191" xfId="96" xr:uid="{00000000-0005-0000-0000-00006C000000}"/>
    <cellStyle name="_1.偿付能力报表2006wkg_~1894191_reserve" xfId="97" xr:uid="{00000000-0005-0000-0000-00006D000000}"/>
    <cellStyle name="_1.偿付能力报表2006wkg_DT-wp" xfId="98" xr:uid="{00000000-0005-0000-0000-00006E000000}"/>
    <cellStyle name="_1.偿付能力报表2006wkg_Spreadsheet AIA BJ 2007_20080328" xfId="99" xr:uid="{00000000-0005-0000-0000-00006F000000}"/>
    <cellStyle name="_1.偿付能力报表2006wkg_Spreadsheet AIA BJ 2007_20080328_reserve" xfId="100" xr:uid="{00000000-0005-0000-0000-000070000000}"/>
    <cellStyle name="_1.偿付能力报表2006wkg_Spreadsheet AIA BJ 2007_20080328_v1" xfId="101" xr:uid="{00000000-0005-0000-0000-000071000000}"/>
    <cellStyle name="_1.偿付能力报表2006wkg_Spreadsheet AIA BJ 2007_20080328_v1_reserve" xfId="102" xr:uid="{00000000-0005-0000-0000-000072000000}"/>
    <cellStyle name="_1.偿付能力报表2006wkg_Spreadsheet AIA BJ 2007_20080408_v2" xfId="103" xr:uid="{00000000-0005-0000-0000-000073000000}"/>
    <cellStyle name="_1.偿付能力报表2006wkg_Tax projection 20080331" xfId="104" xr:uid="{00000000-0005-0000-0000-000074000000}"/>
    <cellStyle name="_1.偿付能力报表2006wkg_所得税调整BJ" xfId="105" xr:uid="{00000000-0005-0000-0000-000075000000}"/>
    <cellStyle name="_1.偿付能力报表2006wkg_所得税调整BJ_Opening Balance 2006_AIA SZ 0310 WP" xfId="106" xr:uid="{00000000-0005-0000-0000-000076000000}"/>
    <cellStyle name="_1.偿付能力报表2006wkg_所得税调整BJ_Opening Balance 2006_AIA SZ 0310 WP_reserve" xfId="107" xr:uid="{00000000-0005-0000-0000-000077000000}"/>
    <cellStyle name="_1.偿付能力报表2006wkg_所得税调整BJ_Opening Balance 2006_AIA SZ 0310 WP_Spreadsheet AIA BJ 2007_20080408_v2" xfId="108" xr:uid="{00000000-0005-0000-0000-000078000000}"/>
    <cellStyle name="_1.偿付能力报表2006wkg_所得税调整BJ_reserve" xfId="109" xr:uid="{00000000-0005-0000-0000-000079000000}"/>
    <cellStyle name="_11 (2)" xfId="110" xr:uid="{00000000-0005-0000-0000-00007A000000}"/>
    <cellStyle name="_1300411004" xfId="111" xr:uid="{00000000-0005-0000-0000-00007B000000}"/>
    <cellStyle name="_2005" xfId="112" xr:uid="{00000000-0005-0000-0000-00007C000000}"/>
    <cellStyle name="_2005 Annual report wkf(Final)" xfId="113" xr:uid="{00000000-0005-0000-0000-00007D000000}"/>
    <cellStyle name="_2005 Annual report wkf(Final)_~1894191" xfId="114" xr:uid="{00000000-0005-0000-0000-00007E000000}"/>
    <cellStyle name="_2005 Annual report wkf(Final)_~1894191_reserve" xfId="115" xr:uid="{00000000-0005-0000-0000-00007F000000}"/>
    <cellStyle name="_2005 Annual report wkf(Final)_DT-wp" xfId="116" xr:uid="{00000000-0005-0000-0000-000080000000}"/>
    <cellStyle name="_2005 Annual report wkf(Final)_Spreadsheet AIA BJ 2007_20080328" xfId="117" xr:uid="{00000000-0005-0000-0000-000081000000}"/>
    <cellStyle name="_2005 Annual report wkf(Final)_Spreadsheet AIA BJ 2007_20080328_reserve" xfId="118" xr:uid="{00000000-0005-0000-0000-000082000000}"/>
    <cellStyle name="_2005 Annual report wkf(Final)_Spreadsheet AIA BJ 2007_20080328_v1" xfId="119" xr:uid="{00000000-0005-0000-0000-000083000000}"/>
    <cellStyle name="_2005 Annual report wkf(Final)_Spreadsheet AIA BJ 2007_20080328_v1_reserve" xfId="120" xr:uid="{00000000-0005-0000-0000-000084000000}"/>
    <cellStyle name="_2005 Annual report wkf(Final)_Spreadsheet AIA BJ 2007_20080408_v2" xfId="121" xr:uid="{00000000-0005-0000-0000-000085000000}"/>
    <cellStyle name="_2005 Annual report wkf(Final)_Tax projection 20080331" xfId="122" xr:uid="{00000000-0005-0000-0000-000086000000}"/>
    <cellStyle name="_2005 Annual report wkf(Final)_所得税调整BJ" xfId="123" xr:uid="{00000000-0005-0000-0000-000087000000}"/>
    <cellStyle name="_2005 Annual report wkf(Final)_所得税调整BJ_Opening Balance 2006_AIA SZ 0310 WP" xfId="124" xr:uid="{00000000-0005-0000-0000-000088000000}"/>
    <cellStyle name="_2005 Annual report wkf(Final)_所得税调整BJ_Opening Balance 2006_AIA SZ 0310 WP_reserve" xfId="125" xr:uid="{00000000-0005-0000-0000-000089000000}"/>
    <cellStyle name="_2005 Annual report wkf(Final)_所得税调整BJ_Opening Balance 2006_AIA SZ 0310 WP_Spreadsheet AIA BJ 2007_20080408_v2" xfId="126" xr:uid="{00000000-0005-0000-0000-00008A000000}"/>
    <cellStyle name="_2005 Annual report wkf(Final)_所得税调整BJ_reserve" xfId="127" xr:uid="{00000000-0005-0000-0000-00008B000000}"/>
    <cellStyle name="_2006 AIA Beijing Spreadsheet20070326" xfId="128" xr:uid="{00000000-0005-0000-0000-00008C000000}"/>
    <cellStyle name="_2006 AIA Beijing Spreadsheet20070326_~1894191" xfId="129" xr:uid="{00000000-0005-0000-0000-00008D000000}"/>
    <cellStyle name="_2006 AIA Beijing Spreadsheet20070326_~1894191_reserve" xfId="130" xr:uid="{00000000-0005-0000-0000-00008E000000}"/>
    <cellStyle name="_2006 AIA Beijing Spreadsheet20070326_DT-wp" xfId="131" xr:uid="{00000000-0005-0000-0000-00008F000000}"/>
    <cellStyle name="_2006 AIA Beijing Spreadsheet20070326_Spreadsheet AIA BJ 2007_20080328" xfId="132" xr:uid="{00000000-0005-0000-0000-000090000000}"/>
    <cellStyle name="_2006 AIA Beijing Spreadsheet20070326_Spreadsheet AIA BJ 2007_20080328_reserve" xfId="133" xr:uid="{00000000-0005-0000-0000-000091000000}"/>
    <cellStyle name="_2006 AIA Beijing Spreadsheet20070326_Spreadsheet AIA BJ 2007_20080328_v1" xfId="134" xr:uid="{00000000-0005-0000-0000-000092000000}"/>
    <cellStyle name="_2006 AIA Beijing Spreadsheet20070326_Spreadsheet AIA BJ 2007_20080328_v1_reserve" xfId="135" xr:uid="{00000000-0005-0000-0000-000093000000}"/>
    <cellStyle name="_2006 AIA Beijing Spreadsheet20070326_Spreadsheet AIA BJ 2007_20080408_v2" xfId="136" xr:uid="{00000000-0005-0000-0000-000094000000}"/>
    <cellStyle name="_2006 AIA Beijing Spreadsheet20070326_Tax projection 20080331" xfId="137" xr:uid="{00000000-0005-0000-0000-000095000000}"/>
    <cellStyle name="_2006 AIA Beijing Spreadsheet20070326_所得税调整BJ" xfId="138" xr:uid="{00000000-0005-0000-0000-000096000000}"/>
    <cellStyle name="_2006 AIA Beijing Spreadsheet20070326_所得税调整BJ_Opening Balance 2006_AIA SZ 0310 WP" xfId="139" xr:uid="{00000000-0005-0000-0000-000097000000}"/>
    <cellStyle name="_2006 AIA Beijing Spreadsheet20070326_所得税调整BJ_Opening Balance 2006_AIA SZ 0310 WP_reserve" xfId="140" xr:uid="{00000000-0005-0000-0000-000098000000}"/>
    <cellStyle name="_2006 AIA Beijing Spreadsheet20070326_所得税调整BJ_Opening Balance 2006_AIA SZ 0310 WP_Spreadsheet AIA BJ 2007_20080408_v2" xfId="141" xr:uid="{00000000-0005-0000-0000-000099000000}"/>
    <cellStyle name="_2006 AIA Beijing Spreadsheet20070326_所得税调整BJ_reserve" xfId="142" xr:uid="{00000000-0005-0000-0000-00009A000000}"/>
    <cellStyle name="_2006 AIA Beijing Spreadsheet20070423" xfId="143" xr:uid="{00000000-0005-0000-0000-00009B000000}"/>
    <cellStyle name="_2006 AIA Beijing Spreadsheet20070423_~1894191" xfId="144" xr:uid="{00000000-0005-0000-0000-00009C000000}"/>
    <cellStyle name="_2006 AIA Beijing Spreadsheet20070423_~1894191_reserve" xfId="145" xr:uid="{00000000-0005-0000-0000-00009D000000}"/>
    <cellStyle name="_2006 AIA Beijing Spreadsheet20070423_DT-wp" xfId="146" xr:uid="{00000000-0005-0000-0000-00009E000000}"/>
    <cellStyle name="_2006 AIA Beijing Spreadsheet20070423_Spreadsheet AIA BJ 2007_20080328" xfId="147" xr:uid="{00000000-0005-0000-0000-00009F000000}"/>
    <cellStyle name="_2006 AIA Beijing Spreadsheet20070423_Spreadsheet AIA BJ 2007_20080328_reserve" xfId="148" xr:uid="{00000000-0005-0000-0000-0000A0000000}"/>
    <cellStyle name="_2006 AIA Beijing Spreadsheet20070423_Spreadsheet AIA BJ 2007_20080328_v1" xfId="149" xr:uid="{00000000-0005-0000-0000-0000A1000000}"/>
    <cellStyle name="_2006 AIA Beijing Spreadsheet20070423_Spreadsheet AIA BJ 2007_20080328_v1_reserve" xfId="150" xr:uid="{00000000-0005-0000-0000-0000A2000000}"/>
    <cellStyle name="_2006 AIA Beijing Spreadsheet20070423_Spreadsheet AIA BJ 2007_20080408_v2" xfId="151" xr:uid="{00000000-0005-0000-0000-0000A3000000}"/>
    <cellStyle name="_2006 AIA Beijing Spreadsheet20070423_Tax projection 20080331" xfId="152" xr:uid="{00000000-0005-0000-0000-0000A4000000}"/>
    <cellStyle name="_2006 AIA Beijing Spreadsheet20070423_所得税调整BJ" xfId="153" xr:uid="{00000000-0005-0000-0000-0000A5000000}"/>
    <cellStyle name="_2006 AIA Beijing Spreadsheet20070423_所得税调整BJ_Opening Balance 2006_AIA SZ 0310 WP" xfId="154" xr:uid="{00000000-0005-0000-0000-0000A6000000}"/>
    <cellStyle name="_2006 AIA Beijing Spreadsheet20070423_所得税调整BJ_Opening Balance 2006_AIA SZ 0310 WP_reserve" xfId="155" xr:uid="{00000000-0005-0000-0000-0000A7000000}"/>
    <cellStyle name="_2006 AIA Beijing Spreadsheet20070423_所得税调整BJ_Opening Balance 2006_AIA SZ 0310 WP_Spreadsheet AIA BJ 2007_20080408_v2" xfId="156" xr:uid="{00000000-0005-0000-0000-0000A8000000}"/>
    <cellStyle name="_2006 AIA Beijing Spreadsheet20070423_所得税调整BJ_reserve" xfId="157" xr:uid="{00000000-0005-0000-0000-0000A9000000}"/>
    <cellStyle name="_2006 AIA JM Sol WP 200704018" xfId="158" xr:uid="{00000000-0005-0000-0000-0000AA000000}"/>
    <cellStyle name="_2006 AIA JM Sol WP 200704018_GAAP Voucher Template_ZA_CY0110" xfId="159" xr:uid="{00000000-0005-0000-0000-0000AB000000}"/>
    <cellStyle name="_2006 AIA SU Sol WP_200604018" xfId="160" xr:uid="{00000000-0005-0000-0000-0000AC000000}"/>
    <cellStyle name="_2006 AIA SU Sol WP_200604018_GAAP Voucher Template_ZA_CY0110" xfId="161" xr:uid="{00000000-0005-0000-0000-0000AD000000}"/>
    <cellStyle name="_2006年度资产负债表及利润表(new CAS)" xfId="162" xr:uid="{00000000-0005-0000-0000-0000AE000000}"/>
    <cellStyle name="_2006年申报表" xfId="163" xr:uid="{00000000-0005-0000-0000-0000AF000000}"/>
    <cellStyle name="_2007 ESTIMED- GOE" xfId="164" xr:uid="{00000000-0005-0000-0000-0000B0000000}"/>
    <cellStyle name="_2007年1-12月TB Debit&amp;Credit-u" xfId="165" xr:uid="{00000000-0005-0000-0000-0000B1000000}"/>
    <cellStyle name="_2007年1-12月TB Debit&amp;Credit-u_reserve" xfId="166" xr:uid="{00000000-0005-0000-0000-0000B2000000}"/>
    <cellStyle name="_2007年1-12月TB Debit&amp;Credit-u_Spreadsheet AIA BJ 2007_20080408_v2" xfId="167" xr:uid="{00000000-0005-0000-0000-0000B3000000}"/>
    <cellStyle name="_2007年度CIRC workingsheet" xfId="168" xr:uid="{00000000-0005-0000-0000-0000B4000000}"/>
    <cellStyle name="_3000 cash wp-sz" xfId="169" xr:uid="{00000000-0005-0000-0000-0000B5000000}"/>
    <cellStyle name="_3000 cash wp-sz_~1894191" xfId="170" xr:uid="{00000000-0005-0000-0000-0000B6000000}"/>
    <cellStyle name="_3000 cash wp-sz_~1894191_reserve" xfId="171" xr:uid="{00000000-0005-0000-0000-0000B7000000}"/>
    <cellStyle name="_3000 cash wp-sz_DT-wp" xfId="172" xr:uid="{00000000-0005-0000-0000-0000B8000000}"/>
    <cellStyle name="_3000 cash wp-sz_Spreadsheet AIA BJ 2007_20080328" xfId="173" xr:uid="{00000000-0005-0000-0000-0000B9000000}"/>
    <cellStyle name="_3000 cash wp-sz_Spreadsheet AIA BJ 2007_20080328_reserve" xfId="174" xr:uid="{00000000-0005-0000-0000-0000BA000000}"/>
    <cellStyle name="_3000 cash wp-sz_Spreadsheet AIA BJ 2007_20080328_v1" xfId="175" xr:uid="{00000000-0005-0000-0000-0000BB000000}"/>
    <cellStyle name="_3000 cash wp-sz_Spreadsheet AIA BJ 2007_20080328_v1_reserve" xfId="176" xr:uid="{00000000-0005-0000-0000-0000BC000000}"/>
    <cellStyle name="_3000 cash wp-sz_Spreadsheet AIA BJ 2007_20080408_v2" xfId="177" xr:uid="{00000000-0005-0000-0000-0000BD000000}"/>
    <cellStyle name="_3000 cash wp-sz_Tax projection 20080331" xfId="178" xr:uid="{00000000-0005-0000-0000-0000BE000000}"/>
    <cellStyle name="_3000 cash wp-sz_所得税调整BJ" xfId="179" xr:uid="{00000000-0005-0000-0000-0000BF000000}"/>
    <cellStyle name="_3000 cash wp-sz_所得税调整BJ_Opening Balance 2006_AIA SZ 0310 WP" xfId="180" xr:uid="{00000000-0005-0000-0000-0000C0000000}"/>
    <cellStyle name="_3000 cash wp-sz_所得税调整BJ_Opening Balance 2006_AIA SZ 0310 WP_reserve" xfId="181" xr:uid="{00000000-0005-0000-0000-0000C1000000}"/>
    <cellStyle name="_3000 cash wp-sz_所得税调整BJ_Opening Balance 2006_AIA SZ 0310 WP_Spreadsheet AIA BJ 2007_20080408_v2" xfId="182" xr:uid="{00000000-0005-0000-0000-0000C2000000}"/>
    <cellStyle name="_3000 cash wp-sz_所得税调整BJ_reserve" xfId="183" xr:uid="{00000000-0005-0000-0000-0000C3000000}"/>
    <cellStyle name="_3070011003" xfId="184" xr:uid="{00000000-0005-0000-0000-0000C4000000}"/>
    <cellStyle name="_4250 - Accruals, provisions and other liabilities" xfId="185" xr:uid="{00000000-0005-0000-0000-0000C5000000}"/>
    <cellStyle name="_5080011000" xfId="1081" xr:uid="{00000000-0005-0000-0000-0000C6000000}"/>
    <cellStyle name="_6100 G&amp;A Disclosure" xfId="186" xr:uid="{00000000-0005-0000-0000-0000C7000000}"/>
    <cellStyle name="_6372937000" xfId="1082" xr:uid="{00000000-0005-0000-0000-0000C8000000}"/>
    <cellStyle name="_6380010002" xfId="1083" xr:uid="{00000000-0005-0000-0000-0000C9000000}"/>
    <cellStyle name="_6380010005" xfId="1084" xr:uid="{00000000-0005-0000-0000-0000CA000000}"/>
    <cellStyle name="_6AB38000" xfId="187" xr:uid="{00000000-0005-0000-0000-0000CB000000}"/>
    <cellStyle name="_7400110003" xfId="188" xr:uid="{00000000-0005-0000-0000-0000CC000000}"/>
    <cellStyle name="_7470013004" xfId="189" xr:uid="{00000000-0005-0000-0000-0000CD000000}"/>
    <cellStyle name="_7470013013" xfId="190" xr:uid="{00000000-0005-0000-0000-0000CE000000}"/>
    <cellStyle name="_7470013014" xfId="191" xr:uid="{00000000-0005-0000-0000-0000CF000000}"/>
    <cellStyle name="_7522313000" xfId="1085" xr:uid="{00000000-0005-0000-0000-0000D0000000}"/>
    <cellStyle name="_A code summary v2" xfId="192" xr:uid="{00000000-0005-0000-0000-0000D1000000}"/>
    <cellStyle name="_a1 Marketable securities" xfId="193" xr:uid="{00000000-0005-0000-0000-0000D2000000}"/>
    <cellStyle name="_a10 Marketable securities" xfId="194" xr:uid="{00000000-0005-0000-0000-0000D3000000}"/>
    <cellStyle name="_a10 Marketable securities_Opening balance 2006_AIA DG 0321 WP" xfId="195" xr:uid="{00000000-0005-0000-0000-0000D4000000}"/>
    <cellStyle name="_a10 Marketable securities_reserve" xfId="196" xr:uid="{00000000-0005-0000-0000-0000D5000000}"/>
    <cellStyle name="_a10 Marketable securities_Spreadsheet AIA BJ 2007_20080408_v2" xfId="197" xr:uid="{00000000-0005-0000-0000-0000D6000000}"/>
    <cellStyle name="_a10 Marketable securities_首次执行_v2" xfId="198" xr:uid="{00000000-0005-0000-0000-0000D7000000}"/>
    <cellStyle name="_A1-SHAIA SHANGHAI-Total Operation" xfId="199" xr:uid="{00000000-0005-0000-0000-0000D8000000}"/>
    <cellStyle name="_A1-SZ000AIA SHENZHEN-AGENCY TRAINING       (TB)" xfId="200" xr:uid="{00000000-0005-0000-0000-0000D9000000}"/>
    <cellStyle name="_A1-SZ000AIA SHENZHEN-FUTIAN AGENCY OFFICE   (DB)" xfId="201" xr:uid="{00000000-0005-0000-0000-0000DA000000}"/>
    <cellStyle name="_A1-SZ000AIA SHENZHEN-LONGGANG AGENCY OFFICE (IB)" xfId="202" xr:uid="{00000000-0005-0000-0000-0000DB000000}"/>
    <cellStyle name="_A1-SZ000AIA SHENZHEN-MIS             (QD)" xfId="203" xr:uid="{00000000-0005-0000-0000-0000DC000000}"/>
    <cellStyle name="_A1-SZ000AIA SHENZHEN-RENWEN AGENCY OFFICE (KB)" xfId="204" xr:uid="{00000000-0005-0000-0000-0000DD000000}"/>
    <cellStyle name="_A1-SZAIA SHENZHEN-Total Operation" xfId="205" xr:uid="{00000000-0005-0000-0000-0000DE000000}"/>
    <cellStyle name="_A1差异分析" xfId="206" xr:uid="{00000000-0005-0000-0000-0000DF000000}"/>
    <cellStyle name="_a2 Spread Sheet of AIA Dongguan 2007" xfId="207" xr:uid="{00000000-0005-0000-0000-0000E0000000}"/>
    <cellStyle name="_a2 Spread Sheet of AIA Dongguan 2007_~1894191" xfId="208" xr:uid="{00000000-0005-0000-0000-0000E1000000}"/>
    <cellStyle name="_a2 Spread Sheet of AIA Dongguan 2007_~1894191_reserve" xfId="209" xr:uid="{00000000-0005-0000-0000-0000E2000000}"/>
    <cellStyle name="_a2 Spread Sheet of AIA Dongguan 2007_Spreadsheet AIA BJ 2007_20080328" xfId="210" xr:uid="{00000000-0005-0000-0000-0000E3000000}"/>
    <cellStyle name="_a2 Spread Sheet of AIA Dongguan 2007_Spreadsheet AIA BJ 2007_20080328_reserve" xfId="211" xr:uid="{00000000-0005-0000-0000-0000E4000000}"/>
    <cellStyle name="_a2 Spread Sheet of AIA Dongguan 2007_Spreadsheet AIA BJ 2007_20080328_v1" xfId="212" xr:uid="{00000000-0005-0000-0000-0000E5000000}"/>
    <cellStyle name="_a2 Spread Sheet of AIA Dongguan 2007_Spreadsheet AIA BJ 2007_20080328_v1_reserve" xfId="213" xr:uid="{00000000-0005-0000-0000-0000E6000000}"/>
    <cellStyle name="_a2 Spread Sheet of AIA Dongguan 2007_Spreadsheet AIA BJ 2007_20080408_v2" xfId="214" xr:uid="{00000000-0005-0000-0000-0000E7000000}"/>
    <cellStyle name="_a2 Spreadsheet_AIA SZ_updated" xfId="215" xr:uid="{00000000-0005-0000-0000-0000E8000000}"/>
    <cellStyle name="_a2 Spreadsheet_AIA SZ_updated_~1894191" xfId="216" xr:uid="{00000000-0005-0000-0000-0000E9000000}"/>
    <cellStyle name="_a2 Spreadsheet_AIA SZ_updated_~1894191_reserve" xfId="217" xr:uid="{00000000-0005-0000-0000-0000EA000000}"/>
    <cellStyle name="_a2 Spreadsheet_AIA SZ_updated_Spreadsheet AIA BJ 2007_20080328" xfId="218" xr:uid="{00000000-0005-0000-0000-0000EB000000}"/>
    <cellStyle name="_a2 Spreadsheet_AIA SZ_updated_Spreadsheet AIA BJ 2007_20080328_reserve" xfId="219" xr:uid="{00000000-0005-0000-0000-0000EC000000}"/>
    <cellStyle name="_a2 Spreadsheet_AIA SZ_updated_Spreadsheet AIA BJ 2007_20080328_v1" xfId="220" xr:uid="{00000000-0005-0000-0000-0000ED000000}"/>
    <cellStyle name="_a2 Spreadsheet_AIA SZ_updated_Spreadsheet AIA BJ 2007_20080328_v1_reserve" xfId="221" xr:uid="{00000000-0005-0000-0000-0000EE000000}"/>
    <cellStyle name="_a2 Spreadsheet_AIA SZ_updated_Spreadsheet AIA BJ 2007_20080408_v2" xfId="222" xr:uid="{00000000-0005-0000-0000-0000EF000000}"/>
    <cellStyle name="_a3 Solvency WP_AIA SH_2006" xfId="223" xr:uid="{00000000-0005-0000-0000-0000F0000000}"/>
    <cellStyle name="_A9_0623" xfId="1086" xr:uid="{00000000-0005-0000-0000-0000F1000000}"/>
    <cellStyle name="_Admitted(A)" xfId="224" xr:uid="{00000000-0005-0000-0000-0000F2000000}"/>
    <cellStyle name="_Admitted(A) 2" xfId="1088" xr:uid="{00000000-0005-0000-0000-0000F3000000}"/>
    <cellStyle name="_Admitted(A) 3" xfId="1087" xr:uid="{00000000-0005-0000-0000-0000F4000000}"/>
    <cellStyle name="_AIA BJ OP Dis" xfId="225" xr:uid="{00000000-0005-0000-0000-0000F5000000}"/>
    <cellStyle name="_AIA JM Spreadsheet 2006(20070326)" xfId="226" xr:uid="{00000000-0005-0000-0000-0000F6000000}"/>
    <cellStyle name="_AIA JM Spreadsheet 2006(20070326)_reserve" xfId="227" xr:uid="{00000000-0005-0000-0000-0000F7000000}"/>
    <cellStyle name="_AIA JM Spreadsheet 2006(20070326)_Spreadsheet AIA BJ 2007_20080408_v2" xfId="228" xr:uid="{00000000-0005-0000-0000-0000F8000000}"/>
    <cellStyle name="_AIA JM Spreadsheet 2006(20070326)_UL DG_0318" xfId="229" xr:uid="{00000000-0005-0000-0000-0000F9000000}"/>
    <cellStyle name="_AIA JM Spreadsheet 2006(20070326)_UL DG_0318_Opening balance 2006_AIA DG 0321 WP" xfId="230" xr:uid="{00000000-0005-0000-0000-0000FA000000}"/>
    <cellStyle name="_AIA JM Spreadsheet 2006(20070326)_UL DG_0318_首次执行_v2" xfId="231" xr:uid="{00000000-0005-0000-0000-0000FB000000}"/>
    <cellStyle name="_AIA SH OP WP" xfId="232" xr:uid="{00000000-0005-0000-0000-0000FC000000}"/>
    <cellStyle name="_AIA SH Spreadsheet_20070304" xfId="233" xr:uid="{00000000-0005-0000-0000-0000FD000000}"/>
    <cellStyle name="_AIA SH Spreadsheet_20070304 2" xfId="1090" xr:uid="{00000000-0005-0000-0000-0000FE000000}"/>
    <cellStyle name="_AIA SH Spreadsheet_20070304 3" xfId="1089" xr:uid="{00000000-0005-0000-0000-0000FF000000}"/>
    <cellStyle name="_AIA TAX summary_V12_0428" xfId="234" xr:uid="{00000000-0005-0000-0000-000000010000}"/>
    <cellStyle name="_AL" xfId="235" xr:uid="{00000000-0005-0000-0000-000001010000}"/>
    <cellStyle name="_AL 2" xfId="1092" xr:uid="{00000000-0005-0000-0000-000002010000}"/>
    <cellStyle name="_AL 3" xfId="1091" xr:uid="{00000000-0005-0000-0000-000003010000}"/>
    <cellStyle name="_AL_1" xfId="236" xr:uid="{00000000-0005-0000-0000-000004010000}"/>
    <cellStyle name="_AL_VERSION" xfId="1093" xr:uid="{00000000-0005-0000-0000-000005010000}"/>
    <cellStyle name="_AL_VERSION-new" xfId="1094" xr:uid="{00000000-0005-0000-0000-000006010000}"/>
    <cellStyle name="_BALANCE" xfId="237" xr:uid="{00000000-0005-0000-0000-000007010000}"/>
    <cellStyle name="_Balance Sheet 2007.12--diff" xfId="238" xr:uid="{00000000-0005-0000-0000-000008010000}"/>
    <cellStyle name="_Balance Sheet 2007.12--Group Premium调整 10" xfId="239" xr:uid="{00000000-0005-0000-0000-000009010000}"/>
    <cellStyle name="_Balance Sheet 2007.12--ILP调整 7" xfId="240" xr:uid="{00000000-0005-0000-0000-00000A010000}"/>
    <cellStyle name="_Balance Sheet 2007.12--调整Par special reserve 2" xfId="241" xr:uid="{00000000-0005-0000-0000-00000B010000}"/>
    <cellStyle name="_BALANCE_1" xfId="242" xr:uid="{00000000-0005-0000-0000-00000C010000}"/>
    <cellStyle name="_Bank confirmation control sheet" xfId="243" xr:uid="{00000000-0005-0000-0000-00000D010000}"/>
    <cellStyle name="_BJ" xfId="244" xr:uid="{00000000-0005-0000-0000-00000E010000}"/>
    <cellStyle name="_BJ Solvency WP 20070418" xfId="245" xr:uid="{00000000-0005-0000-0000-00000F010000}"/>
    <cellStyle name="_Book1" xfId="246" xr:uid="{00000000-0005-0000-0000-000010010000}"/>
    <cellStyle name="_Book1_reserve" xfId="247" xr:uid="{00000000-0005-0000-0000-000011010000}"/>
    <cellStyle name="_Book1_Spreadsheet AIA BJ 2007_20080408_v2" xfId="248" xr:uid="{00000000-0005-0000-0000-000012010000}"/>
    <cellStyle name="_Book1_UL DG_0318" xfId="249" xr:uid="{00000000-0005-0000-0000-000013010000}"/>
    <cellStyle name="_Book1_UL DG_0318_Opening balance 2006_AIA DG 0321 WP" xfId="250" xr:uid="{00000000-0005-0000-0000-000014010000}"/>
    <cellStyle name="_Book1_UL DG_0318_首次执行_v2" xfId="251" xr:uid="{00000000-0005-0000-0000-000015010000}"/>
    <cellStyle name="_Book2" xfId="252" xr:uid="{00000000-0005-0000-0000-000016010000}"/>
    <cellStyle name="_Book2 (6)" xfId="1095" xr:uid="{00000000-0005-0000-0000-000017010000}"/>
    <cellStyle name="_Book2_2007 v6" xfId="253" xr:uid="{00000000-0005-0000-0000-000018010000}"/>
    <cellStyle name="_Book2_Cashflow_2007year" xfId="254" xr:uid="{00000000-0005-0000-0000-000019010000}"/>
    <cellStyle name="_Book2_Opening balance 2006_AIA DG 0321 WP" xfId="255" xr:uid="{00000000-0005-0000-0000-00001A010000}"/>
    <cellStyle name="_Book2_Spreadsheet AIA DG 2007_20080313_V6" xfId="256" xr:uid="{00000000-0005-0000-0000-00001B010000}"/>
    <cellStyle name="_Book2_首次执行_v2" xfId="257" xr:uid="{00000000-0005-0000-0000-00001C010000}"/>
    <cellStyle name="_branch code" xfId="258" xr:uid="{00000000-0005-0000-0000-00001D010000}"/>
    <cellStyle name="_Breakdown(Business Tax)" xfId="259" xr:uid="{00000000-0005-0000-0000-00001E010000}"/>
    <cellStyle name="_Breakdown(Business Tax)_~1894191" xfId="260" xr:uid="{00000000-0005-0000-0000-00001F010000}"/>
    <cellStyle name="_Breakdown(Business Tax)_~1894191_reserve" xfId="261" xr:uid="{00000000-0005-0000-0000-000020010000}"/>
    <cellStyle name="_Breakdown(Business Tax)_DT-wp" xfId="262" xr:uid="{00000000-0005-0000-0000-000021010000}"/>
    <cellStyle name="_Breakdown(Business Tax)_Spreadsheet AIA BJ 2007_20080328" xfId="263" xr:uid="{00000000-0005-0000-0000-000022010000}"/>
    <cellStyle name="_Breakdown(Business Tax)_Spreadsheet AIA BJ 2007_20080328_reserve" xfId="264" xr:uid="{00000000-0005-0000-0000-000023010000}"/>
    <cellStyle name="_Breakdown(Business Tax)_Spreadsheet AIA BJ 2007_20080328_v1" xfId="265" xr:uid="{00000000-0005-0000-0000-000024010000}"/>
    <cellStyle name="_Breakdown(Business Tax)_Spreadsheet AIA BJ 2007_20080328_v1_reserve" xfId="266" xr:uid="{00000000-0005-0000-0000-000025010000}"/>
    <cellStyle name="_Breakdown(Business Tax)_Spreadsheet AIA BJ 2007_20080408_v2" xfId="267" xr:uid="{00000000-0005-0000-0000-000026010000}"/>
    <cellStyle name="_Breakdown(Business Tax)_Tax projection 20080331" xfId="268" xr:uid="{00000000-0005-0000-0000-000027010000}"/>
    <cellStyle name="_Breakdown(Business Tax)_所得税调整BJ" xfId="269" xr:uid="{00000000-0005-0000-0000-000028010000}"/>
    <cellStyle name="_Breakdown(Business Tax)_所得税调整BJ_Opening Balance 2006_AIA SZ 0310 WP" xfId="270" xr:uid="{00000000-0005-0000-0000-000029010000}"/>
    <cellStyle name="_Breakdown(Business Tax)_所得税调整BJ_Opening Balance 2006_AIA SZ 0310 WP_reserve" xfId="271" xr:uid="{00000000-0005-0000-0000-00002A010000}"/>
    <cellStyle name="_Breakdown(Business Tax)_所得税调整BJ_Opening Balance 2006_AIA SZ 0310 WP_Spreadsheet AIA BJ 2007_20080408_v2" xfId="272" xr:uid="{00000000-0005-0000-0000-00002B010000}"/>
    <cellStyle name="_Breakdown(Business Tax)_所得税调整BJ_reserve" xfId="273" xr:uid="{00000000-0005-0000-0000-00002C010000}"/>
    <cellStyle name="_Bs_080121" xfId="274" xr:uid="{00000000-0005-0000-0000-00002D010000}"/>
    <cellStyle name="_BSRecon.for Tax&amp;AP other&amp;accrue-April 2008new." xfId="275" xr:uid="{00000000-0005-0000-0000-00002E010000}"/>
    <cellStyle name="_BSRecon.for Tax&amp;AP other&amp;accrue-Nov 2007" xfId="276" xr:uid="{00000000-0005-0000-0000-00002F010000}"/>
    <cellStyle name="_BT" xfId="277" xr:uid="{00000000-0005-0000-0000-000030010000}"/>
    <cellStyle name="_BT 2" xfId="1097" xr:uid="{00000000-0005-0000-0000-000031010000}"/>
    <cellStyle name="_BT 3" xfId="1096" xr:uid="{00000000-0005-0000-0000-000032010000}"/>
    <cellStyle name="_BUD_GOE_B7_REPORT1" xfId="278" xr:uid="{00000000-0005-0000-0000-000033010000}"/>
    <cellStyle name="_CA" xfId="279" xr:uid="{00000000-0005-0000-0000-000034010000}"/>
    <cellStyle name="_CAGIUL4" xfId="280" xr:uid="{00000000-0005-0000-0000-000035010000}"/>
    <cellStyle name="_CA-GIUL4" xfId="281" xr:uid="{00000000-0005-0000-0000-000036010000}"/>
    <cellStyle name="_CAinput" xfId="282" xr:uid="{00000000-0005-0000-0000-000037010000}"/>
    <cellStyle name="_CCR to By-Line 0712" xfId="283" xr:uid="{00000000-0005-0000-0000-000038010000}"/>
    <cellStyle name="_Central A1" xfId="284" xr:uid="{00000000-0005-0000-0000-000039010000}"/>
    <cellStyle name="_CF(Final)" xfId="285" xr:uid="{00000000-0005-0000-0000-00003A010000}"/>
    <cellStyle name="_CF(Final)_~1894191" xfId="286" xr:uid="{00000000-0005-0000-0000-00003B010000}"/>
    <cellStyle name="_CF(Final)_~1894191_reserve" xfId="287" xr:uid="{00000000-0005-0000-0000-00003C010000}"/>
    <cellStyle name="_CF(Final)_Spreadsheet AIA BJ 2007_20080328" xfId="288" xr:uid="{00000000-0005-0000-0000-00003D010000}"/>
    <cellStyle name="_CF(Final)_Spreadsheet AIA BJ 2007_20080328_reserve" xfId="289" xr:uid="{00000000-0005-0000-0000-00003E010000}"/>
    <cellStyle name="_CF(Final)_Spreadsheet AIA BJ 2007_20080328_v1" xfId="290" xr:uid="{00000000-0005-0000-0000-00003F010000}"/>
    <cellStyle name="_CF(Final)_Spreadsheet AIA BJ 2007_20080328_v1_reserve" xfId="291" xr:uid="{00000000-0005-0000-0000-000040010000}"/>
    <cellStyle name="_CF(Final)_Spreadsheet AIA BJ 2007_20080408_v2" xfId="292" xr:uid="{00000000-0005-0000-0000-000041010000}"/>
    <cellStyle name="_CF-WP" xfId="293" xr:uid="{00000000-0005-0000-0000-000042010000}"/>
    <cellStyle name="_CF-WP_~1894191" xfId="294" xr:uid="{00000000-0005-0000-0000-000043010000}"/>
    <cellStyle name="_CF-WP_~1894191_reserve" xfId="295" xr:uid="{00000000-0005-0000-0000-000044010000}"/>
    <cellStyle name="_CF-WP_Spreadsheet AIA BJ 2007_20080328" xfId="296" xr:uid="{00000000-0005-0000-0000-000045010000}"/>
    <cellStyle name="_CF-WP_Spreadsheet AIA BJ 2007_20080328_reserve" xfId="297" xr:uid="{00000000-0005-0000-0000-000046010000}"/>
    <cellStyle name="_CF-WP_Spreadsheet AIA BJ 2007_20080328_v1" xfId="298" xr:uid="{00000000-0005-0000-0000-000047010000}"/>
    <cellStyle name="_CF-WP_Spreadsheet AIA BJ 2007_20080328_v1_reserve" xfId="299" xr:uid="{00000000-0005-0000-0000-000048010000}"/>
    <cellStyle name="_CF-WP_Spreadsheet AIA BJ 2007_20080408_v2" xfId="300" xr:uid="{00000000-0005-0000-0000-000049010000}"/>
    <cellStyle name="_China Headcount 2008" xfId="301" xr:uid="{00000000-0005-0000-0000-00004A010000}"/>
    <cellStyle name="_CIRC_Group(20100305)" xfId="1098" xr:uid="{00000000-0005-0000-0000-00004B010000}"/>
    <cellStyle name="_CNProduction" xfId="1099" xr:uid="{00000000-0005-0000-0000-00004C010000}"/>
    <cellStyle name="_Commmission" xfId="302" xr:uid="{00000000-0005-0000-0000-00004D010000}"/>
    <cellStyle name="_Copy of portia总表0612" xfId="303" xr:uid="{00000000-0005-0000-0000-00004E010000}"/>
    <cellStyle name="_Copy of Q_SI Workbook 0308_BN" xfId="304" xr:uid="{00000000-0005-0000-0000-00004F010000}"/>
    <cellStyle name="_corporate tax booking -FS 2007  2008.01.08" xfId="305" xr:uid="{00000000-0005-0000-0000-000050010000}"/>
    <cellStyle name="_corporate tax booking worksheetV3" xfId="306" xr:uid="{00000000-0005-0000-0000-000051010000}"/>
    <cellStyle name="_Daily FYP - GD-Jul.08" xfId="1100" xr:uid="{00000000-0005-0000-0000-000052010000}"/>
    <cellStyle name="_database for daily by channel report" xfId="1101" xr:uid="{00000000-0005-0000-0000-000053010000}"/>
    <cellStyle name="_Defer tax" xfId="307" xr:uid="{00000000-0005-0000-0000-000054010000}"/>
    <cellStyle name="_Defer tax-GZ 20071231" xfId="308" xr:uid="{00000000-0005-0000-0000-000055010000}"/>
    <cellStyle name="_DEFERED TAX -ASSET 2006.12.31" xfId="309" xr:uid="{00000000-0005-0000-0000-000056010000}"/>
    <cellStyle name="_DEFERED TAX -ASSET 2006.12.31考虑提前报废" xfId="310" xr:uid="{00000000-0005-0000-0000-000057010000}"/>
    <cellStyle name="_Deferred tax assets&amp;Valuation allowance" xfId="311" xr:uid="{00000000-0005-0000-0000-000058010000}"/>
    <cellStyle name="_Deferred tax final voucher-SH" xfId="312" xr:uid="{00000000-0005-0000-0000-000059010000}"/>
    <cellStyle name="_Deferred tax final voucher-template-SH" xfId="313" xr:uid="{00000000-0005-0000-0000-00005A010000}"/>
    <cellStyle name="_deferred tax wkg-2q08" xfId="314" xr:uid="{00000000-0005-0000-0000-00005B010000}"/>
    <cellStyle name="_deferred tax working" xfId="315" xr:uid="{00000000-0005-0000-0000-00005C010000}"/>
    <cellStyle name="_Detail" xfId="316" xr:uid="{00000000-0005-0000-0000-00005D010000}"/>
    <cellStyle name="_DG OP AR" xfId="317" xr:uid="{00000000-0005-0000-0000-00005E010000}"/>
    <cellStyle name="_DG_ILP" xfId="318" xr:uid="{00000000-0005-0000-0000-00005F010000}"/>
    <cellStyle name="_Disclosure-JJGF" xfId="319" xr:uid="{00000000-0005-0000-0000-000060010000}"/>
    <cellStyle name="_DT" xfId="320" xr:uid="{00000000-0005-0000-0000-000061010000}"/>
    <cellStyle name="_East A1" xfId="321" xr:uid="{00000000-0005-0000-0000-000062010000}"/>
    <cellStyle name="_East BE" xfId="322" xr:uid="{00000000-0005-0000-0000-000063010000}"/>
    <cellStyle name="_FA openning balance-2005" xfId="323" xr:uid="{00000000-0005-0000-0000-000064010000}"/>
    <cellStyle name="_FA openning balance-2005_~1894191" xfId="324" xr:uid="{00000000-0005-0000-0000-000065010000}"/>
    <cellStyle name="_FA openning balance-2005_~1894191_reserve" xfId="325" xr:uid="{00000000-0005-0000-0000-000066010000}"/>
    <cellStyle name="_FA openning balance-2005_Opening Balance 2006_AIA SZ 0310 WP" xfId="326" xr:uid="{00000000-0005-0000-0000-000067010000}"/>
    <cellStyle name="_FA openning balance-2005_Opening Balance 2006_AIA SZ 0310 WP_reserve" xfId="327" xr:uid="{00000000-0005-0000-0000-000068010000}"/>
    <cellStyle name="_FA openning balance-2005_Opening Balance 2006_AIA SZ 0310 WP_Spreadsheet AIA BJ 2007_20080408_v2" xfId="328" xr:uid="{00000000-0005-0000-0000-000069010000}"/>
    <cellStyle name="_FA openning balance-2005_Spreadsheet AIA BJ 2007_20080312_V3" xfId="329" xr:uid="{00000000-0005-0000-0000-00006A010000}"/>
    <cellStyle name="_FA openning balance-2005_Spreadsheet AIA BJ 2007_20080312_V3_reserve" xfId="330" xr:uid="{00000000-0005-0000-0000-00006B010000}"/>
    <cellStyle name="_FA openning balance-2005_Spreadsheet AIA BJ 2007_20080312_V3_Spreadsheet AIA BJ 2007_20080408_v2" xfId="331" xr:uid="{00000000-0005-0000-0000-00006C010000}"/>
    <cellStyle name="_FA openning balance-2005_Spreadsheet AIA BJ 2007_20080328" xfId="332" xr:uid="{00000000-0005-0000-0000-00006D010000}"/>
    <cellStyle name="_FA openning balance-2005_Spreadsheet AIA BJ 2007_20080328_reserve" xfId="333" xr:uid="{00000000-0005-0000-0000-00006E010000}"/>
    <cellStyle name="_FA openning balance-2005_Spreadsheet AIA BJ 2007_20080328_v1" xfId="334" xr:uid="{00000000-0005-0000-0000-00006F010000}"/>
    <cellStyle name="_FA openning balance-2005_Spreadsheet AIA BJ 2007_20080328_v1_reserve" xfId="335" xr:uid="{00000000-0005-0000-0000-000070010000}"/>
    <cellStyle name="_FA openning balance-2005_Working Paper of AIABJ 2008 - DT - V2" xfId="336" xr:uid="{00000000-0005-0000-0000-000071010000}"/>
    <cellStyle name="_FA openning balance-2005_Working Paper of AIABJ 2008 - DT - V2_reserve" xfId="337" xr:uid="{00000000-0005-0000-0000-000072010000}"/>
    <cellStyle name="_FA openning balance-2005_Working Paper of AIABJ 2008 - DT - V2_Spreadsheet AIA BJ 2007_20080408_v2" xfId="338" xr:uid="{00000000-0005-0000-0000-000073010000}"/>
    <cellStyle name="_FA openning balance-2006" xfId="339" xr:uid="{00000000-0005-0000-0000-000074010000}"/>
    <cellStyle name="_FA openning balance-2006_~1894191" xfId="340" xr:uid="{00000000-0005-0000-0000-000075010000}"/>
    <cellStyle name="_FA openning balance-2006_~1894191_reserve" xfId="341" xr:uid="{00000000-0005-0000-0000-000076010000}"/>
    <cellStyle name="_FA openning balance-2006_Opening Balance 2006_AIA SZ 0310 WP" xfId="342" xr:uid="{00000000-0005-0000-0000-000077010000}"/>
    <cellStyle name="_FA openning balance-2006_Opening Balance 2006_AIA SZ 0310 WP_reserve" xfId="343" xr:uid="{00000000-0005-0000-0000-000078010000}"/>
    <cellStyle name="_FA openning balance-2006_Opening Balance 2006_AIA SZ 0310 WP_Spreadsheet AIA BJ 2007_20080408_v2" xfId="344" xr:uid="{00000000-0005-0000-0000-000079010000}"/>
    <cellStyle name="_FA openning balance-2006_Spreadsheet AIA BJ 2007_20080312_V3" xfId="345" xr:uid="{00000000-0005-0000-0000-00007A010000}"/>
    <cellStyle name="_FA openning balance-2006_Spreadsheet AIA BJ 2007_20080312_V3_reserve" xfId="346" xr:uid="{00000000-0005-0000-0000-00007B010000}"/>
    <cellStyle name="_FA openning balance-2006_Spreadsheet AIA BJ 2007_20080312_V3_Spreadsheet AIA BJ 2007_20080408_v2" xfId="347" xr:uid="{00000000-0005-0000-0000-00007C010000}"/>
    <cellStyle name="_FA openning balance-2006_Spreadsheet AIA BJ 2007_20080328" xfId="348" xr:uid="{00000000-0005-0000-0000-00007D010000}"/>
    <cellStyle name="_FA openning balance-2006_Spreadsheet AIA BJ 2007_20080328_reserve" xfId="349" xr:uid="{00000000-0005-0000-0000-00007E010000}"/>
    <cellStyle name="_FA openning balance-2006_Spreadsheet AIA BJ 2007_20080328_v1" xfId="350" xr:uid="{00000000-0005-0000-0000-00007F010000}"/>
    <cellStyle name="_FA openning balance-2006_Spreadsheet AIA BJ 2007_20080328_v1_reserve" xfId="351" xr:uid="{00000000-0005-0000-0000-000080010000}"/>
    <cellStyle name="_FA openning balance-2006_Working Paper of AIABJ 2008 - DT - V2" xfId="352" xr:uid="{00000000-0005-0000-0000-000081010000}"/>
    <cellStyle name="_FA openning balance-2006_Working Paper of AIABJ 2008 - DT - V2_reserve" xfId="353" xr:uid="{00000000-0005-0000-0000-000082010000}"/>
    <cellStyle name="_FA openning balance-2006_Working Paper of AIABJ 2008 - DT - V2_Spreadsheet AIA BJ 2007_20080408_v2" xfId="354" xr:uid="{00000000-0005-0000-0000-000083010000}"/>
    <cellStyle name="_F-CODE-090410" xfId="1102" xr:uid="{00000000-0005-0000-0000-000084010000}"/>
    <cellStyle name="_FEIT - Fixed Assets" xfId="355" xr:uid="{00000000-0005-0000-0000-000085010000}"/>
    <cellStyle name="_FEIT - Fixed Assets_reserve" xfId="356" xr:uid="{00000000-0005-0000-0000-000086010000}"/>
    <cellStyle name="_FEIT - Fixed Assets_Spreadsheet AIA BJ 2007_20080408_v2" xfId="357" xr:uid="{00000000-0005-0000-0000-000087010000}"/>
    <cellStyle name="_FEIT - Fixed Assets_UL DG_0318" xfId="358" xr:uid="{00000000-0005-0000-0000-000088010000}"/>
    <cellStyle name="_FEIT - Fixed Assets_UL DG_0318_Opening balance 2006_AIA DG 0321 WP" xfId="359" xr:uid="{00000000-0005-0000-0000-000089010000}"/>
    <cellStyle name="_FEIT - Fixed Assets_UL DG_0318_首次执行_v2" xfId="360" xr:uid="{00000000-0005-0000-0000-00008A010000}"/>
    <cellStyle name="_Financial Report-final(3.22)" xfId="361" xr:uid="{00000000-0005-0000-0000-00008B010000}"/>
    <cellStyle name="_Financial Report-final(3.22)_~1894191" xfId="362" xr:uid="{00000000-0005-0000-0000-00008C010000}"/>
    <cellStyle name="_Financial Report-final(3.22)_~1894191_reserve" xfId="363" xr:uid="{00000000-0005-0000-0000-00008D010000}"/>
    <cellStyle name="_Financial Report-final(3.22)_DT-wp" xfId="364" xr:uid="{00000000-0005-0000-0000-00008E010000}"/>
    <cellStyle name="_Financial Report-final(3.22)_Spreadsheet AIA BJ 2007_20080328" xfId="365" xr:uid="{00000000-0005-0000-0000-00008F010000}"/>
    <cellStyle name="_Financial Report-final(3.22)_Spreadsheet AIA BJ 2007_20080328_reserve" xfId="366" xr:uid="{00000000-0005-0000-0000-000090010000}"/>
    <cellStyle name="_Financial Report-final(3.22)_Spreadsheet AIA BJ 2007_20080328_v1" xfId="367" xr:uid="{00000000-0005-0000-0000-000091010000}"/>
    <cellStyle name="_Financial Report-final(3.22)_Spreadsheet AIA BJ 2007_20080328_v1_reserve" xfId="368" xr:uid="{00000000-0005-0000-0000-000092010000}"/>
    <cellStyle name="_Financial Report-final(3.22)_Spreadsheet AIA BJ 2007_20080408_v2" xfId="369" xr:uid="{00000000-0005-0000-0000-000093010000}"/>
    <cellStyle name="_Financial Report-final(3.22)_Tax projection 20080331" xfId="370" xr:uid="{00000000-0005-0000-0000-000094010000}"/>
    <cellStyle name="_Financial Report-final(3.22)_所得税调整BJ" xfId="371" xr:uid="{00000000-0005-0000-0000-000095010000}"/>
    <cellStyle name="_Financial Report-final(3.22)_所得税调整BJ_Opening Balance 2006_AIA SZ 0310 WP" xfId="372" xr:uid="{00000000-0005-0000-0000-000096010000}"/>
    <cellStyle name="_Financial Report-final(3.22)_所得税调整BJ_Opening Balance 2006_AIA SZ 0310 WP_reserve" xfId="373" xr:uid="{00000000-0005-0000-0000-000097010000}"/>
    <cellStyle name="_Financial Report-final(3.22)_所得税调整BJ_Opening Balance 2006_AIA SZ 0310 WP_Spreadsheet AIA BJ 2007_20080408_v2" xfId="374" xr:uid="{00000000-0005-0000-0000-000098010000}"/>
    <cellStyle name="_Financial Report-final(3.22)_所得税调整BJ_reserve" xfId="375" xr:uid="{00000000-0005-0000-0000-000099010000}"/>
    <cellStyle name="_Financial Report-final(3.22)-wkf" xfId="376" xr:uid="{00000000-0005-0000-0000-00009A010000}"/>
    <cellStyle name="_Financial Report-final(3.22)-wkf_~1894191" xfId="377" xr:uid="{00000000-0005-0000-0000-00009B010000}"/>
    <cellStyle name="_Financial Report-final(3.22)-wkf_~1894191_reserve" xfId="378" xr:uid="{00000000-0005-0000-0000-00009C010000}"/>
    <cellStyle name="_Financial Report-final(3.22)-wkf_a10 Marketable securities" xfId="379" xr:uid="{00000000-0005-0000-0000-00009D010000}"/>
    <cellStyle name="_Financial Report-final(3.22)-wkf_a10 Marketable securities_Opening balance 2006_AIA DG 0321 WP" xfId="380" xr:uid="{00000000-0005-0000-0000-00009E010000}"/>
    <cellStyle name="_Financial Report-final(3.22)-wkf_a10 Marketable securities_首次执行_v2" xfId="381" xr:uid="{00000000-0005-0000-0000-00009F010000}"/>
    <cellStyle name="_Financial Report-final(3.22)-wkf_Spreadsheet AIA BJ 2007_20080328" xfId="382" xr:uid="{00000000-0005-0000-0000-0000A0010000}"/>
    <cellStyle name="_Financial Report-final(3.22)-wkf_Spreadsheet AIA BJ 2007_20080328_reserve" xfId="383" xr:uid="{00000000-0005-0000-0000-0000A1010000}"/>
    <cellStyle name="_Financial Report-final(3.22)-wkf_Spreadsheet AIA BJ 2007_20080328_v1" xfId="384" xr:uid="{00000000-0005-0000-0000-0000A2010000}"/>
    <cellStyle name="_Financial Report-final(3.22)-wkf_Spreadsheet AIA BJ 2007_20080328_v1_reserve" xfId="385" xr:uid="{00000000-0005-0000-0000-0000A3010000}"/>
    <cellStyle name="_Financial Report-final(3.22)-wkf_Spreadsheet AIA BJ 2007_20080408_v2" xfId="386" xr:uid="{00000000-0005-0000-0000-0000A4010000}"/>
    <cellStyle name="_Financial Report-final(3.22)-wkf_UL DG_0318" xfId="387" xr:uid="{00000000-0005-0000-0000-0000A5010000}"/>
    <cellStyle name="_Financial Report-final(3.22)-wkf_UL DG_0318_Opening balance 2006_AIA DG 0321 WP" xfId="388" xr:uid="{00000000-0005-0000-0000-0000A6010000}"/>
    <cellStyle name="_Financial Report-final(3.22)-wkf_UL DG_0318_首次执行_v2" xfId="389" xr:uid="{00000000-0005-0000-0000-0000A7010000}"/>
    <cellStyle name="_Financial Report-final(3.28)" xfId="390" xr:uid="{00000000-0005-0000-0000-0000A8010000}"/>
    <cellStyle name="_Financial Report-final(3.28)_reserve" xfId="391" xr:uid="{00000000-0005-0000-0000-0000A9010000}"/>
    <cellStyle name="_Financial Report-final(3.28)_Spreadsheet AIA BJ 2007_20080408_v2" xfId="392" xr:uid="{00000000-0005-0000-0000-0000AA010000}"/>
    <cellStyle name="_FS Nor" xfId="393" xr:uid="{00000000-0005-0000-0000-0000AB010000}"/>
    <cellStyle name="_FS opening balance 080407" xfId="394" xr:uid="{00000000-0005-0000-0000-0000AC010000}"/>
    <cellStyle name="_FS ver 0330" xfId="395" xr:uid="{00000000-0005-0000-0000-0000AD010000}"/>
    <cellStyle name="_Fund" xfId="396" xr:uid="{00000000-0005-0000-0000-0000AE010000}"/>
    <cellStyle name="_Fund 2" xfId="1104" xr:uid="{00000000-0005-0000-0000-0000AF010000}"/>
    <cellStyle name="_Fund 3" xfId="1103" xr:uid="{00000000-0005-0000-0000-0000B0010000}"/>
    <cellStyle name="_General Income(2007)" xfId="397" xr:uid="{00000000-0005-0000-0000-0000B1010000}"/>
    <cellStyle name="_General Income(2007) 2" xfId="1106" xr:uid="{00000000-0005-0000-0000-0000B2010000}"/>
    <cellStyle name="_General Income(2007) 3" xfId="1105" xr:uid="{00000000-0005-0000-0000-0000B3010000}"/>
    <cellStyle name="_GIUL4" xfId="398" xr:uid="{00000000-0005-0000-0000-0000B4010000}"/>
    <cellStyle name="_GM presentation (2009 budget template) V3 0 (2)" xfId="399" xr:uid="{00000000-0005-0000-0000-0000B5010000}"/>
    <cellStyle name="_GOE" xfId="400" xr:uid="{00000000-0005-0000-0000-0000B6010000}"/>
    <cellStyle name="_GOE_BE_GD 0709updated" xfId="401" xr:uid="{00000000-0005-0000-0000-0000B7010000}"/>
    <cellStyle name="_GUIL split-JS" xfId="402" xr:uid="{00000000-0005-0000-0000-0000B8010000}"/>
    <cellStyle name="_GUL" xfId="403" xr:uid="{00000000-0005-0000-0000-0000B9010000}"/>
    <cellStyle name="_GZ SSC" xfId="404" xr:uid="{00000000-0005-0000-0000-0000BA010000}"/>
    <cellStyle name="_insurance deck" xfId="405" xr:uid="{00000000-0005-0000-0000-0000BB010000}"/>
    <cellStyle name="_Investment defer tax(wkg)2005.12.31" xfId="406" xr:uid="{00000000-0005-0000-0000-0000BC010000}"/>
    <cellStyle name="_Investment inc." xfId="407" xr:uid="{00000000-0005-0000-0000-0000BD010000}"/>
    <cellStyle name="_Investment inc._~1894191" xfId="408" xr:uid="{00000000-0005-0000-0000-0000BE010000}"/>
    <cellStyle name="_Investment inc._~1894191_reserve" xfId="409" xr:uid="{00000000-0005-0000-0000-0000BF010000}"/>
    <cellStyle name="_Investment inc._Spreadsheet AIA BJ 2007_20080328" xfId="410" xr:uid="{00000000-0005-0000-0000-0000C0010000}"/>
    <cellStyle name="_Investment inc._Spreadsheet AIA BJ 2007_20080328_reserve" xfId="411" xr:uid="{00000000-0005-0000-0000-0000C1010000}"/>
    <cellStyle name="_Investment inc._Spreadsheet AIA BJ 2007_20080328_v1" xfId="412" xr:uid="{00000000-0005-0000-0000-0000C2010000}"/>
    <cellStyle name="_Investment inc._Spreadsheet AIA BJ 2007_20080328_v1_reserve" xfId="413" xr:uid="{00000000-0005-0000-0000-0000C3010000}"/>
    <cellStyle name="_Investment inc._Spreadsheet AIA BJ 2007_20080408_v2" xfId="414" xr:uid="{00000000-0005-0000-0000-0000C4010000}"/>
    <cellStyle name="_JSB7" xfId="415" xr:uid="{00000000-0005-0000-0000-0000C5010000}"/>
    <cellStyle name="_Life 2008 IT Budget Template_v2 0-sz-12.10" xfId="1107" xr:uid="{00000000-0005-0000-0000-0000C6010000}"/>
    <cellStyle name="_LP" xfId="416" xr:uid="{00000000-0005-0000-0000-0000C7010000}"/>
    <cellStyle name="_LS&amp;BD_USD" xfId="417" xr:uid="{00000000-0005-0000-0000-0000C8010000}"/>
    <cellStyle name="_LS&amp;BD_USD_~1894191" xfId="418" xr:uid="{00000000-0005-0000-0000-0000C9010000}"/>
    <cellStyle name="_LS&amp;BD_USD_~1894191_reserve" xfId="419" xr:uid="{00000000-0005-0000-0000-0000CA010000}"/>
    <cellStyle name="_LS&amp;BD_USD_Spreadsheet AIA BJ 2007_20080328" xfId="420" xr:uid="{00000000-0005-0000-0000-0000CB010000}"/>
    <cellStyle name="_LS&amp;BD_USD_Spreadsheet AIA BJ 2007_20080328_reserve" xfId="421" xr:uid="{00000000-0005-0000-0000-0000CC010000}"/>
    <cellStyle name="_LS&amp;BD_USD_Spreadsheet AIA BJ 2007_20080328_v1" xfId="422" xr:uid="{00000000-0005-0000-0000-0000CD010000}"/>
    <cellStyle name="_LS&amp;BD_USD_Spreadsheet AIA BJ 2007_20080328_v1_reserve" xfId="423" xr:uid="{00000000-0005-0000-0000-0000CE010000}"/>
    <cellStyle name="_LS&amp;BD_USD_Spreadsheet AIA BJ 2007_20080408_v2" xfId="424" xr:uid="{00000000-0005-0000-0000-0000CF010000}"/>
    <cellStyle name="_LVSU0209" xfId="425" xr:uid="{00000000-0005-0000-0000-0000D0010000}"/>
    <cellStyle name="_LVSU0509" xfId="426" xr:uid="{00000000-0005-0000-0000-0000D1010000}"/>
    <cellStyle name="_Marketable securities" xfId="427" xr:uid="{00000000-0005-0000-0000-0000D2010000}"/>
    <cellStyle name="_Marketable securities_~1894191" xfId="428" xr:uid="{00000000-0005-0000-0000-0000D3010000}"/>
    <cellStyle name="_Marketable securities_~1894191_reserve" xfId="429" xr:uid="{00000000-0005-0000-0000-0000D4010000}"/>
    <cellStyle name="_Marketable securities_Spreadsheet AIA BJ 2007_20080328" xfId="430" xr:uid="{00000000-0005-0000-0000-0000D5010000}"/>
    <cellStyle name="_Marketable securities_Spreadsheet AIA BJ 2007_20080328_reserve" xfId="431" xr:uid="{00000000-0005-0000-0000-0000D6010000}"/>
    <cellStyle name="_Marketable securities_Spreadsheet AIA BJ 2007_20080328_v1" xfId="432" xr:uid="{00000000-0005-0000-0000-0000D7010000}"/>
    <cellStyle name="_Marketable securities_Spreadsheet AIA BJ 2007_20080328_v1_reserve" xfId="433" xr:uid="{00000000-0005-0000-0000-0000D8010000}"/>
    <cellStyle name="_Marketable securities_Spreadsheet AIA BJ 2007_20080408_v2" xfId="434" xr:uid="{00000000-0005-0000-0000-0000D9010000}"/>
    <cellStyle name="_Mgt Exp disclosure" xfId="435" xr:uid="{00000000-0005-0000-0000-0000DA010000}"/>
    <cellStyle name="_MOE working paper SHA_2006" xfId="436" xr:uid="{00000000-0005-0000-0000-0000DB010000}"/>
    <cellStyle name="_MOE working paper SHA_2006 2" xfId="1109" xr:uid="{00000000-0005-0000-0000-0000DC010000}"/>
    <cellStyle name="_MOE working paper SHA_2006 3" xfId="1108" xr:uid="{00000000-0005-0000-0000-0000DD010000}"/>
    <cellStyle name="_monthly report CY06.12--新准则下的" xfId="437" xr:uid="{00000000-0005-0000-0000-0000DE010000}"/>
    <cellStyle name="_notes pwc&amp;aia DIF" xfId="438" xr:uid="{00000000-0005-0000-0000-0000DF010000}"/>
    <cellStyle name="_notes pwc&amp;aia DIF_~1894191" xfId="439" xr:uid="{00000000-0005-0000-0000-0000E0010000}"/>
    <cellStyle name="_notes pwc&amp;aia DIF_~1894191_reserve" xfId="440" xr:uid="{00000000-0005-0000-0000-0000E1010000}"/>
    <cellStyle name="_notes pwc&amp;aia DIF_DT-wp" xfId="441" xr:uid="{00000000-0005-0000-0000-0000E2010000}"/>
    <cellStyle name="_notes pwc&amp;aia DIF_Spreadsheet AIA BJ 2007_20080328" xfId="442" xr:uid="{00000000-0005-0000-0000-0000E3010000}"/>
    <cellStyle name="_notes pwc&amp;aia DIF_Spreadsheet AIA BJ 2007_20080328_reserve" xfId="443" xr:uid="{00000000-0005-0000-0000-0000E4010000}"/>
    <cellStyle name="_notes pwc&amp;aia DIF_Spreadsheet AIA BJ 2007_20080328_v1" xfId="444" xr:uid="{00000000-0005-0000-0000-0000E5010000}"/>
    <cellStyle name="_notes pwc&amp;aia DIF_Spreadsheet AIA BJ 2007_20080328_v1_reserve" xfId="445" xr:uid="{00000000-0005-0000-0000-0000E6010000}"/>
    <cellStyle name="_notes pwc&amp;aia DIF_Spreadsheet AIA BJ 2007_20080408_v2" xfId="446" xr:uid="{00000000-0005-0000-0000-0000E7010000}"/>
    <cellStyle name="_notes pwc&amp;aia DIF_Tax projection 20080331" xfId="447" xr:uid="{00000000-0005-0000-0000-0000E8010000}"/>
    <cellStyle name="_notes pwc&amp;aia DIF_所得税调整BJ" xfId="448" xr:uid="{00000000-0005-0000-0000-0000E9010000}"/>
    <cellStyle name="_notes pwc&amp;aia DIF_所得税调整BJ_Opening Balance 2006_AIA SZ 0310 WP" xfId="449" xr:uid="{00000000-0005-0000-0000-0000EA010000}"/>
    <cellStyle name="_notes pwc&amp;aia DIF_所得税调整BJ_Opening Balance 2006_AIA SZ 0310 WP_reserve" xfId="450" xr:uid="{00000000-0005-0000-0000-0000EB010000}"/>
    <cellStyle name="_notes pwc&amp;aia DIF_所得税调整BJ_Opening Balance 2006_AIA SZ 0310 WP_Spreadsheet AIA BJ 2007_20080408_v2" xfId="451" xr:uid="{00000000-0005-0000-0000-0000EC010000}"/>
    <cellStyle name="_notes pwc&amp;aia DIF_所得税调整BJ_reserve" xfId="452" xr:uid="{00000000-0005-0000-0000-0000ED010000}"/>
    <cellStyle name="_OP balance" xfId="453" xr:uid="{00000000-0005-0000-0000-0000EE010000}"/>
    <cellStyle name="_op disclosure" xfId="454" xr:uid="{00000000-0005-0000-0000-0000EF010000}"/>
    <cellStyle name="_op shenzhen disclosure (2)" xfId="455" xr:uid="{00000000-0005-0000-0000-0000F0010000}"/>
    <cellStyle name="_Opening balance 2006_AIA BJ 0420_DT WP" xfId="456" xr:uid="{00000000-0005-0000-0000-0000F1010000}"/>
    <cellStyle name="_Opening balance 2006_AIA DG 0310 WP" xfId="457" xr:uid="{00000000-0005-0000-0000-0000F2010000}"/>
    <cellStyle name="_Opening balance 2006_AIA DG 0321 WP" xfId="458" xr:uid="{00000000-0005-0000-0000-0000F3010000}"/>
    <cellStyle name="_Opening balance 2006_AIA SH 0424 WP" xfId="459" xr:uid="{00000000-0005-0000-0000-0000F4010000}"/>
    <cellStyle name="_Opening Balance 2006_AIA SZ 0423_v1" xfId="460" xr:uid="{00000000-0005-0000-0000-0000F5010000}"/>
    <cellStyle name="_opening balance adjustment" xfId="461" xr:uid="{00000000-0005-0000-0000-0000F6010000}"/>
    <cellStyle name="_opening balance adjustment 022508" xfId="462" xr:uid="{00000000-0005-0000-0000-0000F7010000}"/>
    <cellStyle name="_opening balance adjustment TO CHO" xfId="463" xr:uid="{00000000-0005-0000-0000-0000F8010000}"/>
    <cellStyle name="_Opening balance AIA DG 1023" xfId="464" xr:uid="{00000000-0005-0000-0000-0000F9010000}"/>
    <cellStyle name="_Opening balance AIA GD 20080407" xfId="465" xr:uid="{00000000-0005-0000-0000-0000FA010000}"/>
    <cellStyle name="_Opening balance AIA SU 080331" xfId="466" xr:uid="{00000000-0005-0000-0000-0000FB010000}"/>
    <cellStyle name="_P&amp;A" xfId="467" xr:uid="{00000000-0005-0000-0000-0000FC010000}"/>
    <cellStyle name="_par GOE Dec-Feb" xfId="1110" xr:uid="{00000000-0005-0000-0000-0000FD010000}"/>
    <cellStyle name="_Portia 20061231" xfId="468" xr:uid="{00000000-0005-0000-0000-0000FE010000}"/>
    <cellStyle name="_portia总表0612" xfId="469" xr:uid="{00000000-0005-0000-0000-0000FF010000}"/>
    <cellStyle name="_portia总表0612_Opening balance 2006_AIA DG 0321 WP" xfId="470" xr:uid="{00000000-0005-0000-0000-000000020000}"/>
    <cellStyle name="_portia总表0612_reserve" xfId="471" xr:uid="{00000000-0005-0000-0000-000001020000}"/>
    <cellStyle name="_portia总表0612_Spreadsheet AIA BJ 2007_20080408_v2" xfId="472" xr:uid="{00000000-0005-0000-0000-000002020000}"/>
    <cellStyle name="_portia总表0612_首次执行_v2" xfId="473" xr:uid="{00000000-0005-0000-0000-000003020000}"/>
    <cellStyle name="_Premium reconcilation" xfId="474" xr:uid="{00000000-0005-0000-0000-000004020000}"/>
    <cellStyle name="_Premium reconcilation_~1894191" xfId="475" xr:uid="{00000000-0005-0000-0000-000005020000}"/>
    <cellStyle name="_Premium reconcilation_~1894191_reserve" xfId="476" xr:uid="{00000000-0005-0000-0000-000006020000}"/>
    <cellStyle name="_Premium reconcilation_DT-wp" xfId="477" xr:uid="{00000000-0005-0000-0000-000007020000}"/>
    <cellStyle name="_Premium reconcilation_Spreadsheet AIA BJ 2007_20080328" xfId="478" xr:uid="{00000000-0005-0000-0000-000008020000}"/>
    <cellStyle name="_Premium reconcilation_Spreadsheet AIA BJ 2007_20080328_reserve" xfId="479" xr:uid="{00000000-0005-0000-0000-000009020000}"/>
    <cellStyle name="_Premium reconcilation_Spreadsheet AIA BJ 2007_20080328_v1" xfId="480" xr:uid="{00000000-0005-0000-0000-00000A020000}"/>
    <cellStyle name="_Premium reconcilation_Spreadsheet AIA BJ 2007_20080328_v1_reserve" xfId="481" xr:uid="{00000000-0005-0000-0000-00000B020000}"/>
    <cellStyle name="_Premium reconcilation_Spreadsheet AIA BJ 2007_20080408_v2" xfId="482" xr:uid="{00000000-0005-0000-0000-00000C020000}"/>
    <cellStyle name="_Premium reconcilation_Tax projection 20080331" xfId="483" xr:uid="{00000000-0005-0000-0000-00000D020000}"/>
    <cellStyle name="_Premium reconcilation_所得税调整BJ" xfId="484" xr:uid="{00000000-0005-0000-0000-00000E020000}"/>
    <cellStyle name="_Premium reconcilation_所得税调整BJ_Opening Balance 2006_AIA SZ 0310 WP" xfId="485" xr:uid="{00000000-0005-0000-0000-00000F020000}"/>
    <cellStyle name="_Premium reconcilation_所得税调整BJ_Opening Balance 2006_AIA SZ 0310 WP_reserve" xfId="486" xr:uid="{00000000-0005-0000-0000-000010020000}"/>
    <cellStyle name="_Premium reconcilation_所得税调整BJ_Opening Balance 2006_AIA SZ 0310 WP_Spreadsheet AIA BJ 2007_20080408_v2" xfId="487" xr:uid="{00000000-0005-0000-0000-000011020000}"/>
    <cellStyle name="_Premium reconcilation_所得税调整BJ_reserve" xfId="488" xr:uid="{00000000-0005-0000-0000-000012020000}"/>
    <cellStyle name="_Q_SI Workbook PPYY_TT" xfId="489" xr:uid="{00000000-0005-0000-0000-000013020000}"/>
    <cellStyle name="_Q_SI Workbook PPYY_TT_20080529" xfId="490" xr:uid="{00000000-0005-0000-0000-000014020000}"/>
    <cellStyle name="_Q_SI Workbook PPYY_TT-1" xfId="491" xr:uid="{00000000-0005-0000-0000-000015020000}"/>
    <cellStyle name="_Q_SI Workbook PPYY_TT-3" xfId="492" xr:uid="{00000000-0005-0000-0000-000016020000}"/>
    <cellStyle name="_Q_SI Workbook PPYY_TT-4" xfId="493" xr:uid="{00000000-0005-0000-0000-000017020000}"/>
    <cellStyle name="_Reconciliation for B659&amp;A295 on TB level" xfId="494" xr:uid="{00000000-0005-0000-0000-000018020000}"/>
    <cellStyle name="_reserve" xfId="495" xr:uid="{00000000-0005-0000-0000-000019020000}"/>
    <cellStyle name="_Sample1" xfId="496" xr:uid="{00000000-0005-0000-0000-00001A020000}"/>
    <cellStyle name="_Sample2" xfId="497" xr:uid="{00000000-0005-0000-0000-00001B020000}"/>
    <cellStyle name="_SH Par Template-06-3 New method 0424" xfId="498" xr:uid="{00000000-0005-0000-0000-00001C020000}"/>
    <cellStyle name="_Sheet1" xfId="499" xr:uid="{00000000-0005-0000-0000-00001D020000}"/>
    <cellStyle name="_Sheet1 2" xfId="1111" xr:uid="{00000000-0005-0000-0000-00001E020000}"/>
    <cellStyle name="_Sheet1_~1894191" xfId="500" xr:uid="{00000000-0005-0000-0000-00001F020000}"/>
    <cellStyle name="_Sheet1_~1894191_reserve" xfId="501" xr:uid="{00000000-0005-0000-0000-000020020000}"/>
    <cellStyle name="_Sheet1_1" xfId="1112" xr:uid="{00000000-0005-0000-0000-000021020000}"/>
    <cellStyle name="_Sheet1_Spreadsheet AIA BJ 2007_20080328" xfId="502" xr:uid="{00000000-0005-0000-0000-000022020000}"/>
    <cellStyle name="_Sheet1_Spreadsheet AIA BJ 2007_20080328_reserve" xfId="503" xr:uid="{00000000-0005-0000-0000-000023020000}"/>
    <cellStyle name="_Sheet1_Spreadsheet AIA BJ 2007_20080328_v1" xfId="504" xr:uid="{00000000-0005-0000-0000-000024020000}"/>
    <cellStyle name="_Sheet1_Spreadsheet AIA BJ 2007_20080328_v1_reserve" xfId="505" xr:uid="{00000000-0005-0000-0000-000025020000}"/>
    <cellStyle name="_Sheet1_Spreadsheet AIA BJ 2007_20080408_v2" xfId="506" xr:uid="{00000000-0005-0000-0000-000026020000}"/>
    <cellStyle name="_Sheet1_UL" xfId="507" xr:uid="{00000000-0005-0000-0000-000027020000}"/>
    <cellStyle name="_Sheet1_凭证" xfId="508" xr:uid="{00000000-0005-0000-0000-000028020000}"/>
    <cellStyle name="_Sheet2" xfId="509" xr:uid="{00000000-0005-0000-0000-000029020000}"/>
    <cellStyle name="_Sheet2 2" xfId="1114" xr:uid="{00000000-0005-0000-0000-00002A020000}"/>
    <cellStyle name="_Sheet2 3" xfId="1113" xr:uid="{00000000-0005-0000-0000-00002B020000}"/>
    <cellStyle name="_Sheet2_LJ0517-0SU" xfId="510" xr:uid="{00000000-0005-0000-0000-00002C020000}"/>
    <cellStyle name="_Sheet2_LJ0518-PSU" xfId="511" xr:uid="{00000000-0005-0000-0000-00002D020000}"/>
    <cellStyle name="_Sheet2_LVSU0409" xfId="512" xr:uid="{00000000-0005-0000-0000-00002E020000}"/>
    <cellStyle name="_Sheet2_Sheet3" xfId="513" xr:uid="{00000000-0005-0000-0000-00002F020000}"/>
    <cellStyle name="_Sheet2_Sheet8" xfId="514" xr:uid="{00000000-0005-0000-0000-000030020000}"/>
    <cellStyle name="_Sheet2_UL" xfId="515" xr:uid="{00000000-0005-0000-0000-000031020000}"/>
    <cellStyle name="_Sheet2_概要联结" xfId="517" xr:uid="{00000000-0005-0000-0000-000032020000}"/>
    <cellStyle name="_Sheet2_凭证" xfId="516" xr:uid="{00000000-0005-0000-0000-000033020000}"/>
    <cellStyle name="_Sheet3" xfId="518" xr:uid="{00000000-0005-0000-0000-000034020000}"/>
    <cellStyle name="_Sheet4" xfId="519" xr:uid="{00000000-0005-0000-0000-000035020000}"/>
    <cellStyle name="_Sheet4_reserve" xfId="520" xr:uid="{00000000-0005-0000-0000-000036020000}"/>
    <cellStyle name="_Sheet4_Spreadsheet AIA BJ 2007_20080408_v2" xfId="521" xr:uid="{00000000-0005-0000-0000-000037020000}"/>
    <cellStyle name="_Sheet5" xfId="1115" xr:uid="{00000000-0005-0000-0000-000038020000}"/>
    <cellStyle name="_SI Workbook (Quarterly Schedules)-1" xfId="522" xr:uid="{00000000-0005-0000-0000-000039020000}"/>
    <cellStyle name="_Solvency Report Working-V10" xfId="523" xr:uid="{00000000-0005-0000-0000-00003A020000}"/>
    <cellStyle name="_Solvency Report Working-V10 2" xfId="1117" xr:uid="{00000000-0005-0000-0000-00003B020000}"/>
    <cellStyle name="_Solvency Report Working-V10 3" xfId="1116" xr:uid="{00000000-0005-0000-0000-00003C020000}"/>
    <cellStyle name="_solvency worksheet-1206" xfId="524" xr:uid="{00000000-0005-0000-0000-00003D020000}"/>
    <cellStyle name="_Solvency WP_AIA DG_Final" xfId="525" xr:uid="{00000000-0005-0000-0000-00003E020000}"/>
    <cellStyle name="_Solvency WP_AIA DG_Final_reserve" xfId="526" xr:uid="{00000000-0005-0000-0000-00003F020000}"/>
    <cellStyle name="_Solvency WP_AIA DG_Final_Spreadsheet AIA BJ 2007_20080408_v2" xfId="527" xr:uid="{00000000-0005-0000-0000-000040020000}"/>
    <cellStyle name="_Solvency WP_AIA DG_Final_UL DG_0318" xfId="528" xr:uid="{00000000-0005-0000-0000-000041020000}"/>
    <cellStyle name="_Solvency WP_AIA DG_Final_UL DG_0318_Opening balance 2006_AIA DG 0321 WP" xfId="529" xr:uid="{00000000-0005-0000-0000-000042020000}"/>
    <cellStyle name="_Solvency WP_AIA DG_Final_UL DG_0318_首次执行_v2" xfId="530" xr:uid="{00000000-0005-0000-0000-000043020000}"/>
    <cellStyle name="_Solvency WP_AIA GD_2006_Final" xfId="531" xr:uid="{00000000-0005-0000-0000-000044020000}"/>
    <cellStyle name="_Solvency WP_AIA GD_2006_Final_reserve" xfId="532" xr:uid="{00000000-0005-0000-0000-000045020000}"/>
    <cellStyle name="_Solvency WP_AIA GD_2006_Final_Spreadsheet AIA BJ 2007_20080408_v2" xfId="533" xr:uid="{00000000-0005-0000-0000-000046020000}"/>
    <cellStyle name="_Solvency WP_AIA GD_2006_Final_UL DG_0318" xfId="534" xr:uid="{00000000-0005-0000-0000-000047020000}"/>
    <cellStyle name="_Solvency WP_AIA GD_2006_Final_UL DG_0318_Opening balance 2006_AIA DG 0321 WP" xfId="535" xr:uid="{00000000-0005-0000-0000-000048020000}"/>
    <cellStyle name="_Solvency WP_AIA GD_2006_Final_UL DG_0318_首次执行_v2" xfId="536" xr:uid="{00000000-0005-0000-0000-000049020000}"/>
    <cellStyle name="_Solvency WP_AIA SH_2006" xfId="537" xr:uid="{00000000-0005-0000-0000-00004A020000}"/>
    <cellStyle name="_Solvency WP_AIA SH_2006 2" xfId="1119" xr:uid="{00000000-0005-0000-0000-00004B020000}"/>
    <cellStyle name="_Solvency WP_AIA SH_2006 3" xfId="1118" xr:uid="{00000000-0005-0000-0000-00004C020000}"/>
    <cellStyle name="_Southwest A1" xfId="538" xr:uid="{00000000-0005-0000-0000-00004D020000}"/>
    <cellStyle name="_Southwest BE" xfId="539" xr:uid="{00000000-0005-0000-0000-00004E020000}"/>
    <cellStyle name="_Sovency draft_AIA_SZ0703" xfId="540" xr:uid="{00000000-0005-0000-0000-00004F020000}"/>
    <cellStyle name="_Sovency draft_AIA_SZ0703 V3" xfId="541" xr:uid="{00000000-0005-0000-0000-000050020000}"/>
    <cellStyle name="_Sovency draft_AIA_SZ0703 V3_~1894191" xfId="542" xr:uid="{00000000-0005-0000-0000-000051020000}"/>
    <cellStyle name="_Sovency draft_AIA_SZ0703 V3_~1894191_reserve" xfId="543" xr:uid="{00000000-0005-0000-0000-000052020000}"/>
    <cellStyle name="_Sovency draft_AIA_SZ0703 V3_DT-wp" xfId="544" xr:uid="{00000000-0005-0000-0000-000053020000}"/>
    <cellStyle name="_Sovency draft_AIA_SZ0703 V3_Spreadsheet AIA BJ 2007_20080328" xfId="545" xr:uid="{00000000-0005-0000-0000-000054020000}"/>
    <cellStyle name="_Sovency draft_AIA_SZ0703 V3_Spreadsheet AIA BJ 2007_20080328_reserve" xfId="546" xr:uid="{00000000-0005-0000-0000-000055020000}"/>
    <cellStyle name="_Sovency draft_AIA_SZ0703 V3_Spreadsheet AIA BJ 2007_20080328_v1" xfId="547" xr:uid="{00000000-0005-0000-0000-000056020000}"/>
    <cellStyle name="_Sovency draft_AIA_SZ0703 V3_Spreadsheet AIA BJ 2007_20080328_v1_reserve" xfId="548" xr:uid="{00000000-0005-0000-0000-000057020000}"/>
    <cellStyle name="_Sovency draft_AIA_SZ0703 V3_Spreadsheet AIA BJ 2007_20080408_v2" xfId="549" xr:uid="{00000000-0005-0000-0000-000058020000}"/>
    <cellStyle name="_Sovency draft_AIA_SZ0703 V3_Tax projection 20080331" xfId="550" xr:uid="{00000000-0005-0000-0000-000059020000}"/>
    <cellStyle name="_Sovency draft_AIA_SZ0703 V3_所得税调整BJ" xfId="551" xr:uid="{00000000-0005-0000-0000-00005A020000}"/>
    <cellStyle name="_Sovency draft_AIA_SZ0703 V3_所得税调整BJ_Opening Balance 2006_AIA SZ 0310 WP" xfId="552" xr:uid="{00000000-0005-0000-0000-00005B020000}"/>
    <cellStyle name="_Sovency draft_AIA_SZ0703 V3_所得税调整BJ_Opening Balance 2006_AIA SZ 0310 WP_reserve" xfId="553" xr:uid="{00000000-0005-0000-0000-00005C020000}"/>
    <cellStyle name="_Sovency draft_AIA_SZ0703 V3_所得税调整BJ_Opening Balance 2006_AIA SZ 0310 WP_Spreadsheet AIA BJ 2007_20080408_v2" xfId="554" xr:uid="{00000000-0005-0000-0000-00005D020000}"/>
    <cellStyle name="_Sovency draft_AIA_SZ0703 V3_所得税调整BJ_reserve" xfId="555" xr:uid="{00000000-0005-0000-0000-00005E020000}"/>
    <cellStyle name="_Sovency draft_AIA_SZ0703_~1894191" xfId="556" xr:uid="{00000000-0005-0000-0000-00005F020000}"/>
    <cellStyle name="_Sovency draft_AIA_SZ0703_~1894191_reserve" xfId="557" xr:uid="{00000000-0005-0000-0000-000060020000}"/>
    <cellStyle name="_Sovency draft_AIA_SZ0703_DT-wp" xfId="558" xr:uid="{00000000-0005-0000-0000-000061020000}"/>
    <cellStyle name="_Sovency draft_AIA_SZ0703_Spreadsheet AIA BJ 2007_20080328" xfId="559" xr:uid="{00000000-0005-0000-0000-000062020000}"/>
    <cellStyle name="_Sovency draft_AIA_SZ0703_Spreadsheet AIA BJ 2007_20080328_reserve" xfId="560" xr:uid="{00000000-0005-0000-0000-000063020000}"/>
    <cellStyle name="_Sovency draft_AIA_SZ0703_Spreadsheet AIA BJ 2007_20080328_v1" xfId="561" xr:uid="{00000000-0005-0000-0000-000064020000}"/>
    <cellStyle name="_Sovency draft_AIA_SZ0703_Spreadsheet AIA BJ 2007_20080328_v1_reserve" xfId="562" xr:uid="{00000000-0005-0000-0000-000065020000}"/>
    <cellStyle name="_Sovency draft_AIA_SZ0703_Spreadsheet AIA BJ 2007_20080408_v2" xfId="563" xr:uid="{00000000-0005-0000-0000-000066020000}"/>
    <cellStyle name="_Sovency draft_AIA_SZ0703_Tax projection 20080331" xfId="564" xr:uid="{00000000-0005-0000-0000-000067020000}"/>
    <cellStyle name="_Sovency draft_AIA_SZ0703_所得税调整BJ" xfId="565" xr:uid="{00000000-0005-0000-0000-000068020000}"/>
    <cellStyle name="_Sovency draft_AIA_SZ0703_所得税调整BJ_Opening Balance 2006_AIA SZ 0310 WP" xfId="566" xr:uid="{00000000-0005-0000-0000-000069020000}"/>
    <cellStyle name="_Sovency draft_AIA_SZ0703_所得税调整BJ_Opening Balance 2006_AIA SZ 0310 WP_reserve" xfId="567" xr:uid="{00000000-0005-0000-0000-00006A020000}"/>
    <cellStyle name="_Sovency draft_AIA_SZ0703_所得税调整BJ_Opening Balance 2006_AIA SZ 0310 WP_Spreadsheet AIA BJ 2007_20080408_v2" xfId="568" xr:uid="{00000000-0005-0000-0000-00006B020000}"/>
    <cellStyle name="_Sovency draft_AIA_SZ0703_所得税调整BJ_reserve" xfId="569" xr:uid="{00000000-0005-0000-0000-00006C020000}"/>
    <cellStyle name="_Sovency Final_AIA_SZ 2006 Final" xfId="570" xr:uid="{00000000-0005-0000-0000-00006D020000}"/>
    <cellStyle name="_Spreadsheet" xfId="571" xr:uid="{00000000-0005-0000-0000-00006E020000}"/>
    <cellStyle name="_Spreadsheet AIA BJ 2007_20080312_V3" xfId="572" xr:uid="{00000000-0005-0000-0000-00006F020000}"/>
    <cellStyle name="_Spreadsheet AIA BJ 2007_20080312_V3_reserve" xfId="573" xr:uid="{00000000-0005-0000-0000-000070020000}"/>
    <cellStyle name="_Spreadsheet AIA BJ 2007_20080312_V3_Spreadsheet AIA BJ 2007_20080408_v2" xfId="574" xr:uid="{00000000-0005-0000-0000-000071020000}"/>
    <cellStyle name="_Spreadsheet AIA BJ 2007_20080328" xfId="575" xr:uid="{00000000-0005-0000-0000-000072020000}"/>
    <cellStyle name="_Spreadsheet AIA BJ 2007_20080328_reserve" xfId="576" xr:uid="{00000000-0005-0000-0000-000073020000}"/>
    <cellStyle name="_Spreadsheet AIA BJ 2007_20080328_v1" xfId="577" xr:uid="{00000000-0005-0000-0000-000074020000}"/>
    <cellStyle name="_Spreadsheet AIA BJ 2007_20080328_v1_reserve" xfId="578" xr:uid="{00000000-0005-0000-0000-000075020000}"/>
    <cellStyle name="_Spreadsheet AIA BJ 2007_20080408_v2" xfId="579" xr:uid="{00000000-0005-0000-0000-000076020000}"/>
    <cellStyle name="_Spreadsheet AIA DG 2007_20080311" xfId="580" xr:uid="{00000000-0005-0000-0000-000077020000}"/>
    <cellStyle name="_Spreadsheet AIA DG 2007_combined opening_V1" xfId="581" xr:uid="{00000000-0005-0000-0000-000078020000}"/>
    <cellStyle name="_Spreadsheet AIA DG 2007_combined opening_V11_final" xfId="582" xr:uid="{00000000-0005-0000-0000-000079020000}"/>
    <cellStyle name="_Spreadsheet AIA SH 2007_20080312_V3" xfId="583" xr:uid="{00000000-0005-0000-0000-00007A020000}"/>
    <cellStyle name="_Spreadsheet AIA SZ 2007_20080312_V3" xfId="584" xr:uid="{00000000-0005-0000-0000-00007B020000}"/>
    <cellStyle name="_Spreadsheet_~1894191" xfId="585" xr:uid="{00000000-0005-0000-0000-00007C020000}"/>
    <cellStyle name="_Spreadsheet_~1894191_reserve" xfId="586" xr:uid="{00000000-0005-0000-0000-00007D020000}"/>
    <cellStyle name="_Spreadsheet_1" xfId="587" xr:uid="{00000000-0005-0000-0000-00007E020000}"/>
    <cellStyle name="_Spreadsheet_AIA GD (include FS) 2006 Final" xfId="588" xr:uid="{00000000-0005-0000-0000-00007F020000}"/>
    <cellStyle name="_Spreadsheet_Spreadsheet AIA BJ 2007_20080328" xfId="589" xr:uid="{00000000-0005-0000-0000-000080020000}"/>
    <cellStyle name="_Spreadsheet_Spreadsheet AIA BJ 2007_20080328_reserve" xfId="590" xr:uid="{00000000-0005-0000-0000-000081020000}"/>
    <cellStyle name="_Spreadsheet_Spreadsheet AIA BJ 2007_20080328_v1" xfId="591" xr:uid="{00000000-0005-0000-0000-000082020000}"/>
    <cellStyle name="_Spreadsheet_Spreadsheet AIA BJ 2007_20080328_v1_reserve" xfId="592" xr:uid="{00000000-0005-0000-0000-000083020000}"/>
    <cellStyle name="_Spreadsheet_Spreadsheet AIA BJ 2007_20080408_v2" xfId="593" xr:uid="{00000000-0005-0000-0000-000084020000}"/>
    <cellStyle name="_Spreadsheet-AIA Shanghai 2007" xfId="594" xr:uid="{00000000-0005-0000-0000-000085020000}"/>
    <cellStyle name="_Spreadsheet-JM07-0414-opening-V2" xfId="595" xr:uid="{00000000-0005-0000-0000-000086020000}"/>
    <cellStyle name="_SSC budget" xfId="596" xr:uid="{00000000-0005-0000-0000-000087020000}"/>
    <cellStyle name="_SSC_XPAB 2008 GD PLAN " xfId="597" xr:uid="{00000000-0005-0000-0000-000088020000}"/>
    <cellStyle name="_SSPF" xfId="598" xr:uid="{00000000-0005-0000-0000-000089020000}"/>
    <cellStyle name="_Statutory report 2006 restate" xfId="599" xr:uid="{00000000-0005-0000-0000-00008A020000}"/>
    <cellStyle name="_Statutory report 2006 restate_reserve" xfId="600" xr:uid="{00000000-0005-0000-0000-00008B020000}"/>
    <cellStyle name="_Statutory report 2006 restate_Spreadsheet AIA BJ 2007_20080408_v2" xfId="601" xr:uid="{00000000-0005-0000-0000-00008C020000}"/>
    <cellStyle name="_Statutory report 2006 restate_UL DG_0318" xfId="602" xr:uid="{00000000-0005-0000-0000-00008D020000}"/>
    <cellStyle name="_Statutory report 2006 restate_UL DG_0318_Opening balance 2006_AIA DG 0321 WP" xfId="603" xr:uid="{00000000-0005-0000-0000-00008E020000}"/>
    <cellStyle name="_Statutory report 2006 restate_UL DG_0318_首次执行_v2" xfId="604" xr:uid="{00000000-0005-0000-0000-00008F020000}"/>
    <cellStyle name="_SUD" xfId="605" xr:uid="{00000000-0005-0000-0000-000090020000}"/>
    <cellStyle name="_Sun All v10" xfId="1120" xr:uid="{00000000-0005-0000-0000-000091020000}"/>
    <cellStyle name="_sunmaster_20050425（上海广州）" xfId="1121" xr:uid="{00000000-0005-0000-0000-000092020000}"/>
    <cellStyle name="_Supplementary Information-AR(from Irene)" xfId="606" xr:uid="{00000000-0005-0000-0000-000093020000}"/>
    <cellStyle name="_Supplementary Information-FA(from wilson)" xfId="607" xr:uid="{00000000-0005-0000-0000-000094020000}"/>
    <cellStyle name="_SZ Prem AR" xfId="608" xr:uid="{00000000-0005-0000-0000-000095020000}"/>
    <cellStyle name="_SZ Prem AR_reserve" xfId="609" xr:uid="{00000000-0005-0000-0000-000096020000}"/>
    <cellStyle name="_SZ Prem AR_Spreadsheet AIA BJ 2007_20080408_v2" xfId="610" xr:uid="{00000000-0005-0000-0000-000097020000}"/>
    <cellStyle name="_SZ Prem AR_UL DG_0318" xfId="611" xr:uid="{00000000-0005-0000-0000-000098020000}"/>
    <cellStyle name="_SZ Prem AR_UL DG_0318_Opening balance 2006_AIA DG 0321 WP" xfId="612" xr:uid="{00000000-0005-0000-0000-000099020000}"/>
    <cellStyle name="_SZ Prem AR_UL DG_0318_首次执行_v2" xfId="613" xr:uid="{00000000-0005-0000-0000-00009A020000}"/>
    <cellStyle name="_SZ_ Par checking_2005" xfId="614" xr:uid="{00000000-0005-0000-0000-00009B020000}"/>
    <cellStyle name="_SZ_ Par checking_2005_~1894191" xfId="615" xr:uid="{00000000-0005-0000-0000-00009C020000}"/>
    <cellStyle name="_SZ_ Par checking_2005_~1894191_reserve" xfId="616" xr:uid="{00000000-0005-0000-0000-00009D020000}"/>
    <cellStyle name="_SZ_ Par checking_2005_DT-wp" xfId="617" xr:uid="{00000000-0005-0000-0000-00009E020000}"/>
    <cellStyle name="_SZ_ Par checking_2005_Spreadsheet AIA BJ 2007_20080328" xfId="618" xr:uid="{00000000-0005-0000-0000-00009F020000}"/>
    <cellStyle name="_SZ_ Par checking_2005_Spreadsheet AIA BJ 2007_20080328_reserve" xfId="619" xr:uid="{00000000-0005-0000-0000-0000A0020000}"/>
    <cellStyle name="_SZ_ Par checking_2005_Spreadsheet AIA BJ 2007_20080328_v1" xfId="620" xr:uid="{00000000-0005-0000-0000-0000A1020000}"/>
    <cellStyle name="_SZ_ Par checking_2005_Spreadsheet AIA BJ 2007_20080328_v1_reserve" xfId="621" xr:uid="{00000000-0005-0000-0000-0000A2020000}"/>
    <cellStyle name="_SZ_ Par checking_2005_Spreadsheet AIA BJ 2007_20080408_v2" xfId="622" xr:uid="{00000000-0005-0000-0000-0000A3020000}"/>
    <cellStyle name="_SZ_ Par checking_2005_Tax projection 20080331" xfId="623" xr:uid="{00000000-0005-0000-0000-0000A4020000}"/>
    <cellStyle name="_SZ_ Par checking_2005_所得税调整BJ" xfId="624" xr:uid="{00000000-0005-0000-0000-0000A5020000}"/>
    <cellStyle name="_SZ_ Par checking_2005_所得税调整BJ_Opening Balance 2006_AIA SZ 0310 WP" xfId="625" xr:uid="{00000000-0005-0000-0000-0000A6020000}"/>
    <cellStyle name="_SZ_ Par checking_2005_所得税调整BJ_Opening Balance 2006_AIA SZ 0310 WP_reserve" xfId="626" xr:uid="{00000000-0005-0000-0000-0000A7020000}"/>
    <cellStyle name="_SZ_ Par checking_2005_所得税调整BJ_Opening Balance 2006_AIA SZ 0310 WP_Spreadsheet AIA BJ 2007_20080408_v2" xfId="627" xr:uid="{00000000-0005-0000-0000-0000A8020000}"/>
    <cellStyle name="_SZ_ Par checking_2005_所得税调整BJ_reserve" xfId="628" xr:uid="{00000000-0005-0000-0000-0000A9020000}"/>
    <cellStyle name="_Tax computation template - P&amp;L - Branches (SH)" xfId="629" xr:uid="{00000000-0005-0000-0000-0000AA020000}"/>
    <cellStyle name="_Tax computation template - P&amp;L - Branches (SU)" xfId="630" xr:uid="{00000000-0005-0000-0000-0000AB020000}"/>
    <cellStyle name="_Tax projection 20080331" xfId="631" xr:uid="{00000000-0005-0000-0000-0000AC020000}"/>
    <cellStyle name="_Tax Saving Calculation_2007 &amp; Onwards" xfId="632" xr:uid="{00000000-0005-0000-0000-0000AD020000}"/>
    <cellStyle name="_TB 2006.01--2006.12" xfId="633" xr:uid="{00000000-0005-0000-0000-0000AE020000}"/>
    <cellStyle name="_TB20080325" xfId="634" xr:uid="{00000000-0005-0000-0000-0000AF020000}"/>
    <cellStyle name="_TBFMT0018" xfId="635" xr:uid="{00000000-0005-0000-0000-0000B0020000}"/>
    <cellStyle name="_UL" xfId="636" xr:uid="{00000000-0005-0000-0000-0000B1020000}"/>
    <cellStyle name="_UL DG_0318" xfId="637" xr:uid="{00000000-0005-0000-0000-0000B2020000}"/>
    <cellStyle name="_UL DG_0318_Opening balance 2006_AIA DG 0321 WP" xfId="638" xr:uid="{00000000-0005-0000-0000-0000B3020000}"/>
    <cellStyle name="_UL DG_0318_首次执行_v2" xfId="639" xr:uid="{00000000-0005-0000-0000-0000B4020000}"/>
    <cellStyle name="_v1 2007 12 PORTIA" xfId="640" xr:uid="{00000000-0005-0000-0000-0000B5020000}"/>
    <cellStyle name="_v1 2007 12 PORTIA_~1894191" xfId="641" xr:uid="{00000000-0005-0000-0000-0000B6020000}"/>
    <cellStyle name="_v1 2007 12 PORTIA_~1894191_reserve" xfId="642" xr:uid="{00000000-0005-0000-0000-0000B7020000}"/>
    <cellStyle name="_v1 2007 12 PORTIA_Spreadsheet AIA BJ 2007_20080328" xfId="643" xr:uid="{00000000-0005-0000-0000-0000B8020000}"/>
    <cellStyle name="_v1 2007 12 PORTIA_Spreadsheet AIA BJ 2007_20080328_reserve" xfId="644" xr:uid="{00000000-0005-0000-0000-0000B9020000}"/>
    <cellStyle name="_v1 2007 12 PORTIA_Spreadsheet AIA BJ 2007_20080328_v1" xfId="645" xr:uid="{00000000-0005-0000-0000-0000BA020000}"/>
    <cellStyle name="_v1 2007 12 PORTIA_Spreadsheet AIA BJ 2007_20080328_v1_reserve" xfId="646" xr:uid="{00000000-0005-0000-0000-0000BB020000}"/>
    <cellStyle name="_v1 2007 12 PORTIA_Spreadsheet AIA BJ 2007_20080408_v2" xfId="647" xr:uid="{00000000-0005-0000-0000-0000BC020000}"/>
    <cellStyle name="_v18 Rico_Marketable securities" xfId="648" xr:uid="{00000000-0005-0000-0000-0000BD020000}"/>
    <cellStyle name="_v40 Spreadsheet_AIA SZ 2006(PWC Final)" xfId="649" xr:uid="{00000000-0005-0000-0000-0000BE020000}"/>
    <cellStyle name="_v40 Spreadsheet_AIA SZ 2006(PWC Final)_~1894191" xfId="650" xr:uid="{00000000-0005-0000-0000-0000BF020000}"/>
    <cellStyle name="_v40 Spreadsheet_AIA SZ 2006(PWC Final)_~1894191_reserve" xfId="651" xr:uid="{00000000-0005-0000-0000-0000C0020000}"/>
    <cellStyle name="_v40 Spreadsheet_AIA SZ 2006(PWC Final)_Spreadsheet AIA BJ 2007_20080328" xfId="652" xr:uid="{00000000-0005-0000-0000-0000C1020000}"/>
    <cellStyle name="_v40 Spreadsheet_AIA SZ 2006(PWC Final)_Spreadsheet AIA BJ 2007_20080328_reserve" xfId="653" xr:uid="{00000000-0005-0000-0000-0000C2020000}"/>
    <cellStyle name="_v40 Spreadsheet_AIA SZ 2006(PWC Final)_Spreadsheet AIA BJ 2007_20080328_v1" xfId="654" xr:uid="{00000000-0005-0000-0000-0000C3020000}"/>
    <cellStyle name="_v40 Spreadsheet_AIA SZ 2006(PWC Final)_Spreadsheet AIA BJ 2007_20080328_v1_reserve" xfId="655" xr:uid="{00000000-0005-0000-0000-0000C4020000}"/>
    <cellStyle name="_v40 Spreadsheet_AIA SZ 2006(PWC Final)_Spreadsheet AIA BJ 2007_20080408_v2" xfId="656" xr:uid="{00000000-0005-0000-0000-0000C5020000}"/>
    <cellStyle name="_v42 Spreadsheet_AIA SZ 2006" xfId="657" xr:uid="{00000000-0005-0000-0000-0000C6020000}"/>
    <cellStyle name="_v42 Spreadsheet_AIA SZ 2006_reserve" xfId="658" xr:uid="{00000000-0005-0000-0000-0000C7020000}"/>
    <cellStyle name="_v42 Spreadsheet_AIA SZ 2006_Spreadsheet AIA BJ 2007_20080408_v2" xfId="659" xr:uid="{00000000-0005-0000-0000-0000C8020000}"/>
    <cellStyle name="_v8 Solvency WP_AIA GZ_2006_draft" xfId="660" xr:uid="{00000000-0005-0000-0000-0000C9020000}"/>
    <cellStyle name="_v8 Solvency WP_AIA GZ_2006_draft 2" xfId="1123" xr:uid="{00000000-0005-0000-0000-0000CA020000}"/>
    <cellStyle name="_v8 Solvency WP_AIA GZ_2006_draft 3" xfId="1122" xr:uid="{00000000-0005-0000-0000-0000CB020000}"/>
    <cellStyle name="_vision" xfId="661" xr:uid="{00000000-0005-0000-0000-0000CC020000}"/>
    <cellStyle name="_Working Paper of AIABJ 2008 - DT - V2" xfId="662" xr:uid="{00000000-0005-0000-0000-0000CD020000}"/>
    <cellStyle name="_XPAB summary combined 2008 to CHO" xfId="663" xr:uid="{00000000-0005-0000-0000-0000CE020000}"/>
    <cellStyle name="_XPAB-BJ080031-EDP-CSC TELEPHONE" xfId="664" xr:uid="{00000000-0005-0000-0000-0000CF020000}"/>
    <cellStyle name="_Zone List" xfId="1124" xr:uid="{00000000-0005-0000-0000-0000D0020000}"/>
    <cellStyle name="_偿付能力报表2005wkg" xfId="667" xr:uid="{00000000-0005-0000-0000-0000D1020000}"/>
    <cellStyle name="_偿付能力报表2005wkg_~1894191" xfId="668" xr:uid="{00000000-0005-0000-0000-0000D2020000}"/>
    <cellStyle name="_偿付能力报表2005wkg_~1894191_reserve" xfId="669" xr:uid="{00000000-0005-0000-0000-0000D3020000}"/>
    <cellStyle name="_偿付能力报表2005wkg_DT-wp" xfId="670" xr:uid="{00000000-0005-0000-0000-0000D4020000}"/>
    <cellStyle name="_偿付能力报表2005wkg_Spreadsheet AIA BJ 2007_20080328" xfId="671" xr:uid="{00000000-0005-0000-0000-0000D5020000}"/>
    <cellStyle name="_偿付能力报表2005wkg_Spreadsheet AIA BJ 2007_20080328_reserve" xfId="672" xr:uid="{00000000-0005-0000-0000-0000D6020000}"/>
    <cellStyle name="_偿付能力报表2005wkg_Spreadsheet AIA BJ 2007_20080328_v1" xfId="673" xr:uid="{00000000-0005-0000-0000-0000D7020000}"/>
    <cellStyle name="_偿付能力报表2005wkg_Spreadsheet AIA BJ 2007_20080328_v1_reserve" xfId="674" xr:uid="{00000000-0005-0000-0000-0000D8020000}"/>
    <cellStyle name="_偿付能力报表2005wkg_Spreadsheet AIA BJ 2007_20080408_v2" xfId="675" xr:uid="{00000000-0005-0000-0000-0000D9020000}"/>
    <cellStyle name="_偿付能力报表2005wkg_Tax projection 20080331" xfId="676" xr:uid="{00000000-0005-0000-0000-0000DA020000}"/>
    <cellStyle name="_偿付能力报表2005wkg_所得税调整BJ" xfId="677" xr:uid="{00000000-0005-0000-0000-0000DB020000}"/>
    <cellStyle name="_偿付能力报表2005wkg_所得税调整BJ_Opening Balance 2006_AIA SZ 0310 WP" xfId="678" xr:uid="{00000000-0005-0000-0000-0000DC020000}"/>
    <cellStyle name="_偿付能力报表2005wkg_所得税调整BJ_Opening Balance 2006_AIA SZ 0310 WP_reserve" xfId="679" xr:uid="{00000000-0005-0000-0000-0000DD020000}"/>
    <cellStyle name="_偿付能力报表2005wkg_所得税调整BJ_Opening Balance 2006_AIA SZ 0310 WP_Spreadsheet AIA BJ 2007_20080408_v2" xfId="680" xr:uid="{00000000-0005-0000-0000-0000DE020000}"/>
    <cellStyle name="_偿付能力报表2005wkg_所得税调整BJ_reserve" xfId="681" xr:uid="{00000000-0005-0000-0000-0000DF020000}"/>
    <cellStyle name="_偿付能力报告worksheet-06年报" xfId="665" xr:uid="{00000000-0005-0000-0000-0000E0020000}"/>
    <cellStyle name="_偿付能力报告worksheet-06年报 V1" xfId="666" xr:uid="{00000000-0005-0000-0000-0000E1020000}"/>
    <cellStyle name="_待摊费用摊销200712-1240015001" xfId="715" xr:uid="{00000000-0005-0000-0000-0000E2020000}"/>
    <cellStyle name="_递延所得税-期初调整 v2--AFS adj HTM" xfId="758" xr:uid="{00000000-0005-0000-0000-0000E3020000}"/>
    <cellStyle name="_递延所得税-期初调整 v2--AFS adj HTM_~1894191" xfId="759" xr:uid="{00000000-0005-0000-0000-0000E4020000}"/>
    <cellStyle name="_递延所得税-期初调整 v2--AFS adj HTM_~1894191_reserve" xfId="760" xr:uid="{00000000-0005-0000-0000-0000E5020000}"/>
    <cellStyle name="_递延所得税-期初调整 v2--AFS adj HTM_a10 Marketable securities" xfId="761" xr:uid="{00000000-0005-0000-0000-0000E6020000}"/>
    <cellStyle name="_递延所得税-期初调整 v2--AFS adj HTM_a10 Marketable securities_Opening balance 2006_AIA DG 0321 WP" xfId="762" xr:uid="{00000000-0005-0000-0000-0000E7020000}"/>
    <cellStyle name="_递延所得税-期初调整 v2--AFS adj HTM_a10 Marketable securities_首次执行_v2" xfId="763" xr:uid="{00000000-0005-0000-0000-0000E8020000}"/>
    <cellStyle name="_递延所得税-期初调整 v2--AFS adj HTM_Spreadsheet AIA BJ 2007_20080328" xfId="764" xr:uid="{00000000-0005-0000-0000-0000E9020000}"/>
    <cellStyle name="_递延所得税-期初调整 v2--AFS adj HTM_Spreadsheet AIA BJ 2007_20080328_reserve" xfId="765" xr:uid="{00000000-0005-0000-0000-0000EA020000}"/>
    <cellStyle name="_递延所得税-期初调整 v2--AFS adj HTM_Spreadsheet AIA BJ 2007_20080328_v1" xfId="766" xr:uid="{00000000-0005-0000-0000-0000EB020000}"/>
    <cellStyle name="_递延所得税-期初调整 v2--AFS adj HTM_Spreadsheet AIA BJ 2007_20080328_v1_reserve" xfId="767" xr:uid="{00000000-0005-0000-0000-0000EC020000}"/>
    <cellStyle name="_递延所得税-期初调整 v2--AFS adj HTM_Spreadsheet AIA BJ 2007_20080408_v2" xfId="768" xr:uid="{00000000-0005-0000-0000-0000ED020000}"/>
    <cellStyle name="_递延所得税-期初调整 v2--AFS adj HTM_UL DG_0318" xfId="769" xr:uid="{00000000-0005-0000-0000-0000EE020000}"/>
    <cellStyle name="_递延所得税-期初调整 v2--AFS adj HTM_UL DG_0318_Opening balance 2006_AIA DG 0321 WP" xfId="770" xr:uid="{00000000-0005-0000-0000-0000EF020000}"/>
    <cellStyle name="_递延所得税-期初调整 v2--AFS adj HTM_UL DG_0318_首次执行_v2" xfId="771" xr:uid="{00000000-0005-0000-0000-0000F0020000}"/>
    <cellStyle name="_概要联结" xfId="752" xr:uid="{00000000-0005-0000-0000-0000F1020000}"/>
    <cellStyle name="_概要联结_1" xfId="753" xr:uid="{00000000-0005-0000-0000-0000F2020000}"/>
    <cellStyle name="_汇兑损益" xfId="754" xr:uid="{00000000-0005-0000-0000-0000F3020000}"/>
    <cellStyle name="_汇兑损益_reserve" xfId="755" xr:uid="{00000000-0005-0000-0000-0000F4020000}"/>
    <cellStyle name="_汇兑损益_Spreadsheet AIA BJ 2007_20080408_v2" xfId="756" xr:uid="{00000000-0005-0000-0000-0000F5020000}"/>
    <cellStyle name="_凭证" xfId="682" xr:uid="{00000000-0005-0000-0000-0000F6020000}"/>
    <cellStyle name="_凭证录入" xfId="683" xr:uid="{00000000-0005-0000-0000-0000F7020000}"/>
    <cellStyle name="_手续费2006" xfId="718" xr:uid="{00000000-0005-0000-0000-0000F8020000}"/>
    <cellStyle name="_手续费2006_~1894191" xfId="719" xr:uid="{00000000-0005-0000-0000-0000F9020000}"/>
    <cellStyle name="_手续费2006_~1894191_reserve" xfId="720" xr:uid="{00000000-0005-0000-0000-0000FA020000}"/>
    <cellStyle name="_手续费2006_DT-wp" xfId="721" xr:uid="{00000000-0005-0000-0000-0000FB020000}"/>
    <cellStyle name="_手续费2006_Spreadsheet AIA BJ 2007_20080328" xfId="722" xr:uid="{00000000-0005-0000-0000-0000FC020000}"/>
    <cellStyle name="_手续费2006_Spreadsheet AIA BJ 2007_20080328_reserve" xfId="723" xr:uid="{00000000-0005-0000-0000-0000FD020000}"/>
    <cellStyle name="_手续费2006_Spreadsheet AIA BJ 2007_20080328_v1" xfId="724" xr:uid="{00000000-0005-0000-0000-0000FE020000}"/>
    <cellStyle name="_手续费2006_Spreadsheet AIA BJ 2007_20080328_v1_reserve" xfId="725" xr:uid="{00000000-0005-0000-0000-0000FF020000}"/>
    <cellStyle name="_手续费2006_Spreadsheet AIA BJ 2007_20080408_v2" xfId="726" xr:uid="{00000000-0005-0000-0000-000000030000}"/>
    <cellStyle name="_手续费2006_Tax projection 20080331" xfId="727" xr:uid="{00000000-0005-0000-0000-000001030000}"/>
    <cellStyle name="_手续费2006_所得税调整BJ" xfId="728" xr:uid="{00000000-0005-0000-0000-000002030000}"/>
    <cellStyle name="_手续费2006_所得税调整BJ_Opening Balance 2006_AIA SZ 0310 WP" xfId="729" xr:uid="{00000000-0005-0000-0000-000003030000}"/>
    <cellStyle name="_手续费2006_所得税调整BJ_Opening Balance 2006_AIA SZ 0310 WP_reserve" xfId="730" xr:uid="{00000000-0005-0000-0000-000004030000}"/>
    <cellStyle name="_手续费2006_所得税调整BJ_Opening Balance 2006_AIA SZ 0310 WP_Spreadsheet AIA BJ 2007_20080408_v2" xfId="731" xr:uid="{00000000-0005-0000-0000-000005030000}"/>
    <cellStyle name="_手续费2006_所得税调整BJ_reserve" xfId="732" xr:uid="{00000000-0005-0000-0000-000006030000}"/>
    <cellStyle name="_所得税调整BJ-CATHY" xfId="716" xr:uid="{00000000-0005-0000-0000-000007030000}"/>
    <cellStyle name="_所得税调整BJ-CATHY (2)" xfId="717" xr:uid="{00000000-0005-0000-0000-000008030000}"/>
    <cellStyle name="_未决赔款准备金-短期（精算）" xfId="751" xr:uid="{00000000-0005-0000-0000-000009030000}"/>
    <cellStyle name="_未决赔款准备金-短期（精算） 2" xfId="1126" xr:uid="{00000000-0005-0000-0000-00000A030000}"/>
    <cellStyle name="_未决赔款准备金-短期（精算） 3" xfId="1125" xr:uid="{00000000-0005-0000-0000-00000B030000}"/>
    <cellStyle name="_详细报告" xfId="757" xr:uid="{00000000-0005-0000-0000-00000C030000}"/>
    <cellStyle name="_小于8000" xfId="684" xr:uid="{00000000-0005-0000-0000-00000D030000}"/>
    <cellStyle name="_小于8000_~1894191" xfId="685" xr:uid="{00000000-0005-0000-0000-00000E030000}"/>
    <cellStyle name="_小于8000_~1894191_reserve" xfId="686" xr:uid="{00000000-0005-0000-0000-00000F030000}"/>
    <cellStyle name="_小于8000_Opening Balance 2006_AIA SZ 0310 WP" xfId="687" xr:uid="{00000000-0005-0000-0000-000010030000}"/>
    <cellStyle name="_小于8000_Opening Balance 2006_AIA SZ 0310 WP_reserve" xfId="688" xr:uid="{00000000-0005-0000-0000-000011030000}"/>
    <cellStyle name="_小于8000_Opening Balance 2006_AIA SZ 0310 WP_Spreadsheet AIA BJ 2007_20080408_v2" xfId="689" xr:uid="{00000000-0005-0000-0000-000012030000}"/>
    <cellStyle name="_小于8000_Spreadsheet AIA BJ 2007_20080312_V3" xfId="690" xr:uid="{00000000-0005-0000-0000-000013030000}"/>
    <cellStyle name="_小于8000_Spreadsheet AIA BJ 2007_20080312_V3_reserve" xfId="691" xr:uid="{00000000-0005-0000-0000-000014030000}"/>
    <cellStyle name="_小于8000_Spreadsheet AIA BJ 2007_20080312_V3_Spreadsheet AIA BJ 2007_20080408_v2" xfId="692" xr:uid="{00000000-0005-0000-0000-000015030000}"/>
    <cellStyle name="_小于8000_Spreadsheet AIA BJ 2007_20080328" xfId="693" xr:uid="{00000000-0005-0000-0000-000016030000}"/>
    <cellStyle name="_小于8000_Spreadsheet AIA BJ 2007_20080328_reserve" xfId="694" xr:uid="{00000000-0005-0000-0000-000017030000}"/>
    <cellStyle name="_小于8000_Spreadsheet AIA BJ 2007_20080328_v1" xfId="695" xr:uid="{00000000-0005-0000-0000-000018030000}"/>
    <cellStyle name="_小于8000_Spreadsheet AIA BJ 2007_20080328_v1_reserve" xfId="696" xr:uid="{00000000-0005-0000-0000-000019030000}"/>
    <cellStyle name="_小于8000_Working Paper of AIABJ 2008 - DT - V2" xfId="697" xr:uid="{00000000-0005-0000-0000-00001A030000}"/>
    <cellStyle name="_小于8000_Working Paper of AIABJ 2008 - DT - V2_reserve" xfId="698" xr:uid="{00000000-0005-0000-0000-00001B030000}"/>
    <cellStyle name="_小于8000_Working Paper of AIABJ 2008 - DT - V2_Spreadsheet AIA BJ 2007_20080408_v2" xfId="699" xr:uid="{00000000-0005-0000-0000-00001C030000}"/>
    <cellStyle name="_新旧准则对比V2" xfId="733" xr:uid="{00000000-0005-0000-0000-00001D030000}"/>
    <cellStyle name="_新旧准则对比V2_reserve" xfId="734" xr:uid="{00000000-0005-0000-0000-00001E030000}"/>
    <cellStyle name="_新旧准则对比V2_Spreadsheet AIA BJ 2007_20080408_v2" xfId="735" xr:uid="{00000000-0005-0000-0000-00001F030000}"/>
    <cellStyle name="_新旧准则对比-v2--AFS adj HTM" xfId="736" xr:uid="{00000000-0005-0000-0000-000020030000}"/>
    <cellStyle name="_新旧准则对比-v2--AFS adj HTM_~1894191" xfId="737" xr:uid="{00000000-0005-0000-0000-000021030000}"/>
    <cellStyle name="_新旧准则对比-v2--AFS adj HTM_~1894191_reserve" xfId="738" xr:uid="{00000000-0005-0000-0000-000022030000}"/>
    <cellStyle name="_新旧准则对比-v2--AFS adj HTM_a10 Marketable securities" xfId="739" xr:uid="{00000000-0005-0000-0000-000023030000}"/>
    <cellStyle name="_新旧准则对比-v2--AFS adj HTM_a10 Marketable securities_Opening balance 2006_AIA DG 0321 WP" xfId="740" xr:uid="{00000000-0005-0000-0000-000024030000}"/>
    <cellStyle name="_新旧准则对比-v2--AFS adj HTM_a10 Marketable securities_首次执行_v2" xfId="741" xr:uid="{00000000-0005-0000-0000-000025030000}"/>
    <cellStyle name="_新旧准则对比-v2--AFS adj HTM_Spreadsheet AIA BJ 2007_20080328" xfId="742" xr:uid="{00000000-0005-0000-0000-000026030000}"/>
    <cellStyle name="_新旧准则对比-v2--AFS adj HTM_Spreadsheet AIA BJ 2007_20080328_reserve" xfId="743" xr:uid="{00000000-0005-0000-0000-000027030000}"/>
    <cellStyle name="_新旧准则对比-v2--AFS adj HTM_Spreadsheet AIA BJ 2007_20080328_v1" xfId="744" xr:uid="{00000000-0005-0000-0000-000028030000}"/>
    <cellStyle name="_新旧准则对比-v2--AFS adj HTM_Spreadsheet AIA BJ 2007_20080328_v1_reserve" xfId="745" xr:uid="{00000000-0005-0000-0000-000029030000}"/>
    <cellStyle name="_新旧准则对比-v2--AFS adj HTM_Spreadsheet AIA BJ 2007_20080408_v2" xfId="746" xr:uid="{00000000-0005-0000-0000-00002A030000}"/>
    <cellStyle name="_新旧准则对比-v2--AFS adj HTM_UL DG_0318" xfId="747" xr:uid="{00000000-0005-0000-0000-00002B030000}"/>
    <cellStyle name="_新旧准则对比-v2--AFS adj HTM_UL DG_0318_Opening balance 2006_AIA DG 0321 WP" xfId="748" xr:uid="{00000000-0005-0000-0000-00002C030000}"/>
    <cellStyle name="_新旧准则对比-v2--AFS adj HTM_UL DG_0318_首次执行_v2" xfId="749" xr:uid="{00000000-0005-0000-0000-00002D030000}"/>
    <cellStyle name="_应收利息 AIA SZ" xfId="700" xr:uid="{00000000-0005-0000-0000-00002E030000}"/>
    <cellStyle name="_应收利息 AIA SZ_~1894191" xfId="701" xr:uid="{00000000-0005-0000-0000-00002F030000}"/>
    <cellStyle name="_应收利息 AIA SZ_~1894191_reserve" xfId="702" xr:uid="{00000000-0005-0000-0000-000030030000}"/>
    <cellStyle name="_应收利息 AIA SZ_DT-wp" xfId="703" xr:uid="{00000000-0005-0000-0000-000031030000}"/>
    <cellStyle name="_应收利息 AIA SZ_Spreadsheet AIA BJ 2007_20080328" xfId="704" xr:uid="{00000000-0005-0000-0000-000032030000}"/>
    <cellStyle name="_应收利息 AIA SZ_Spreadsheet AIA BJ 2007_20080328_reserve" xfId="705" xr:uid="{00000000-0005-0000-0000-000033030000}"/>
    <cellStyle name="_应收利息 AIA SZ_Spreadsheet AIA BJ 2007_20080328_v1" xfId="706" xr:uid="{00000000-0005-0000-0000-000034030000}"/>
    <cellStyle name="_应收利息 AIA SZ_Spreadsheet AIA BJ 2007_20080328_v1_reserve" xfId="707" xr:uid="{00000000-0005-0000-0000-000035030000}"/>
    <cellStyle name="_应收利息 AIA SZ_Spreadsheet AIA BJ 2007_20080408_v2" xfId="708" xr:uid="{00000000-0005-0000-0000-000036030000}"/>
    <cellStyle name="_应收利息 AIA SZ_Tax projection 20080331" xfId="709" xr:uid="{00000000-0005-0000-0000-000037030000}"/>
    <cellStyle name="_应收利息 AIA SZ_所得税调整BJ" xfId="710" xr:uid="{00000000-0005-0000-0000-000038030000}"/>
    <cellStyle name="_应收利息 AIA SZ_所得税调整BJ_Opening Balance 2006_AIA SZ 0310 WP" xfId="711" xr:uid="{00000000-0005-0000-0000-000039030000}"/>
    <cellStyle name="_应收利息 AIA SZ_所得税调整BJ_Opening Balance 2006_AIA SZ 0310 WP_reserve" xfId="712" xr:uid="{00000000-0005-0000-0000-00003A030000}"/>
    <cellStyle name="_应收利息 AIA SZ_所得税调整BJ_Opening Balance 2006_AIA SZ 0310 WP_Spreadsheet AIA BJ 2007_20080408_v2" xfId="713" xr:uid="{00000000-0005-0000-0000-00003B030000}"/>
    <cellStyle name="_应收利息 AIA SZ_所得税调整BJ_reserve" xfId="714" xr:uid="{00000000-0005-0000-0000-00003C030000}"/>
    <cellStyle name="_预提费用调增" xfId="846" xr:uid="{00000000-0005-0000-0000-00003D030000}"/>
    <cellStyle name="_长期待摊wp" xfId="772" xr:uid="{00000000-0005-0000-0000-00003E030000}"/>
    <cellStyle name="_长期待摊费用" xfId="773" xr:uid="{00000000-0005-0000-0000-00003F030000}"/>
    <cellStyle name="_长期待摊费用的合理性测" xfId="775" xr:uid="{00000000-0005-0000-0000-000040030000}"/>
    <cellStyle name="_长期待摊费用的合理性测_~1894191" xfId="776" xr:uid="{00000000-0005-0000-0000-000041030000}"/>
    <cellStyle name="_长期待摊费用的合理性测_~1894191_reserve" xfId="777" xr:uid="{00000000-0005-0000-0000-000042030000}"/>
    <cellStyle name="_长期待摊费用的合理性测_DT-wp" xfId="778" xr:uid="{00000000-0005-0000-0000-000043030000}"/>
    <cellStyle name="_长期待摊费用的合理性测_EDP" xfId="779" xr:uid="{00000000-0005-0000-0000-000044030000}"/>
    <cellStyle name="_长期待摊费用的合理性测_EDP_reserve" xfId="780" xr:uid="{00000000-0005-0000-0000-000045030000}"/>
    <cellStyle name="_长期待摊费用的合理性测_EDP_Spreadsheet AIA BJ 2007_20080408_v2" xfId="781" xr:uid="{00000000-0005-0000-0000-000046030000}"/>
    <cellStyle name="_长期待摊费用的合理性测_EDP_UL DG_0318" xfId="782" xr:uid="{00000000-0005-0000-0000-000047030000}"/>
    <cellStyle name="_长期待摊费用的合理性测_EDP_UL DG_0318_Opening balance 2006_AIA DG 0321 WP" xfId="783" xr:uid="{00000000-0005-0000-0000-000048030000}"/>
    <cellStyle name="_长期待摊费用的合理性测_EDP_UL DG_0318_首次执行_v2" xfId="784" xr:uid="{00000000-0005-0000-0000-000049030000}"/>
    <cellStyle name="_长期待摊费用的合理性测_Opening balance 2006_AIA DG 0310 WP" xfId="785" xr:uid="{00000000-0005-0000-0000-00004A030000}"/>
    <cellStyle name="_长期待摊费用的合理性测_Opening balance AIA GD 0918" xfId="786" xr:uid="{00000000-0005-0000-0000-00004B030000}"/>
    <cellStyle name="_长期待摊费用的合理性测_Opening balance AIA GD 0918_reserve" xfId="787" xr:uid="{00000000-0005-0000-0000-00004C030000}"/>
    <cellStyle name="_长期待摊费用的合理性测_Opening balance AIA GD 0918_Spreadsheet AIA BJ 2007_20080408_v2" xfId="788" xr:uid="{00000000-0005-0000-0000-00004D030000}"/>
    <cellStyle name="_长期待摊费用的合理性测_Opening balance AIA GD 0918_UL DG_0318" xfId="789" xr:uid="{00000000-0005-0000-0000-00004E030000}"/>
    <cellStyle name="_长期待摊费用的合理性测_Opening balance AIA GD 0918_UL DG_0318_Opening balance 2006_AIA DG 0321 WP" xfId="790" xr:uid="{00000000-0005-0000-0000-00004F030000}"/>
    <cellStyle name="_长期待摊费用的合理性测_Opening balance AIA GD 0918_UL DG_0318_首次执行_v2" xfId="791" xr:uid="{00000000-0005-0000-0000-000050030000}"/>
    <cellStyle name="_长期待摊费用的合理性测_Opening balance AIA GD 0924" xfId="792" xr:uid="{00000000-0005-0000-0000-000051030000}"/>
    <cellStyle name="_长期待摊费用的合理性测_Opening balance AIA GD 20080321" xfId="793" xr:uid="{00000000-0005-0000-0000-000052030000}"/>
    <cellStyle name="_长期待摊费用的合理性测_Opening balance AIA GD 20080324-Irene" xfId="794" xr:uid="{00000000-0005-0000-0000-000053030000}"/>
    <cellStyle name="_长期待摊费用的合理性测_Opening balance AIA SH 0813" xfId="795" xr:uid="{00000000-0005-0000-0000-000054030000}"/>
    <cellStyle name="_长期待摊费用的合理性测_Opening balance AIA SH 0813_~1894191" xfId="796" xr:uid="{00000000-0005-0000-0000-000055030000}"/>
    <cellStyle name="_长期待摊费用的合理性测_Opening balance AIA SH 0813_~1894191_reserve" xfId="797" xr:uid="{00000000-0005-0000-0000-000056030000}"/>
    <cellStyle name="_长期待摊费用的合理性测_Opening balance AIA SH 0813_Opening Balance 2006_AIA SZ 0310 WP" xfId="798" xr:uid="{00000000-0005-0000-0000-000057030000}"/>
    <cellStyle name="_长期待摊费用的合理性测_Opening balance AIA SH 0813_Opening Balance 2006_AIA SZ 0310 WP_reserve" xfId="799" xr:uid="{00000000-0005-0000-0000-000058030000}"/>
    <cellStyle name="_长期待摊费用的合理性测_Opening balance AIA SH 0813_Opening Balance 2006_AIA SZ 0310 WP_Spreadsheet AIA BJ 2007_20080408_v2" xfId="800" xr:uid="{00000000-0005-0000-0000-000059030000}"/>
    <cellStyle name="_长期待摊费用的合理性测_Opening balance AIA SH 0813_Spreadsheet AIA BJ 2007_20080312_V3" xfId="801" xr:uid="{00000000-0005-0000-0000-00005A030000}"/>
    <cellStyle name="_长期待摊费用的合理性测_Opening balance AIA SH 0813_Spreadsheet AIA BJ 2007_20080312_V3_reserve" xfId="802" xr:uid="{00000000-0005-0000-0000-00005B030000}"/>
    <cellStyle name="_长期待摊费用的合理性测_Opening balance AIA SH 0813_Spreadsheet AIA BJ 2007_20080312_V3_Spreadsheet AIA BJ 2007_20080408_v2" xfId="803" xr:uid="{00000000-0005-0000-0000-00005C030000}"/>
    <cellStyle name="_长期待摊费用的合理性测_Opening balance AIA SH 0813_Spreadsheet AIA BJ 2007_20080328" xfId="804" xr:uid="{00000000-0005-0000-0000-00005D030000}"/>
    <cellStyle name="_长期待摊费用的合理性测_Opening balance AIA SH 0813_Spreadsheet AIA BJ 2007_20080328_reserve" xfId="805" xr:uid="{00000000-0005-0000-0000-00005E030000}"/>
    <cellStyle name="_长期待摊费用的合理性测_Opening balance AIA SH 0813_Spreadsheet AIA BJ 2007_20080328_v1" xfId="806" xr:uid="{00000000-0005-0000-0000-00005F030000}"/>
    <cellStyle name="_长期待摊费用的合理性测_Opening balance AIA SH 0813_Spreadsheet AIA BJ 2007_20080328_v1_reserve" xfId="807" xr:uid="{00000000-0005-0000-0000-000060030000}"/>
    <cellStyle name="_长期待摊费用的合理性测_Opening balance AIA SH 0813_Working Paper of AIABJ 2008 - DT - V2" xfId="808" xr:uid="{00000000-0005-0000-0000-000061030000}"/>
    <cellStyle name="_长期待摊费用的合理性测_Opening balance AIA SH 0813_Working Paper of AIABJ 2008 - DT - V2_reserve" xfId="809" xr:uid="{00000000-0005-0000-0000-000062030000}"/>
    <cellStyle name="_长期待摊费用的合理性测_Opening balance AIA SH 0813_Working Paper of AIABJ 2008 - DT - V2_Spreadsheet AIA BJ 2007_20080408_v2" xfId="810" xr:uid="{00000000-0005-0000-0000-000063030000}"/>
    <cellStyle name="_长期待摊费用的合理性测_Opening balance AIA SH 0821" xfId="811" xr:uid="{00000000-0005-0000-0000-000064030000}"/>
    <cellStyle name="_长期待摊费用的合理性测_Opening balance AIA SH 0821_reserve" xfId="812" xr:uid="{00000000-0005-0000-0000-000065030000}"/>
    <cellStyle name="_长期待摊费用的合理性测_Opening balance AIA SH 0821_Spreadsheet AIA BJ 2007_20080408_v2" xfId="813" xr:uid="{00000000-0005-0000-0000-000066030000}"/>
    <cellStyle name="_长期待摊费用的合理性测_Opening balance AIA SH 0821_UL DG_0318" xfId="814" xr:uid="{00000000-0005-0000-0000-000067030000}"/>
    <cellStyle name="_长期待摊费用的合理性测_Opening balance AIA SH 0821_UL DG_0318_Opening balance 2006_AIA DG 0321 WP" xfId="815" xr:uid="{00000000-0005-0000-0000-000068030000}"/>
    <cellStyle name="_长期待摊费用的合理性测_Opening balance AIA SH 0821_UL DG_0318_首次执行_v2" xfId="816" xr:uid="{00000000-0005-0000-0000-000069030000}"/>
    <cellStyle name="_长期待摊费用的合理性测_Opening balance AIA SU 0823" xfId="817" xr:uid="{00000000-0005-0000-0000-00006A030000}"/>
    <cellStyle name="_长期待摊费用的合理性测_Opening balance AIA SU 0823_reserve" xfId="818" xr:uid="{00000000-0005-0000-0000-00006B030000}"/>
    <cellStyle name="_长期待摊费用的合理性测_Opening balance AIA SU 0823_Spreadsheet AIA BJ 2007_20080408_v2" xfId="819" xr:uid="{00000000-0005-0000-0000-00006C030000}"/>
    <cellStyle name="_长期待摊费用的合理性测_Opening balance AIA SU 0823_UL DG_0318" xfId="820" xr:uid="{00000000-0005-0000-0000-00006D030000}"/>
    <cellStyle name="_长期待摊费用的合理性测_Opening balance AIA SU 0823_UL DG_0318_Opening balance 2006_AIA DG 0321 WP" xfId="821" xr:uid="{00000000-0005-0000-0000-00006E030000}"/>
    <cellStyle name="_长期待摊费用的合理性测_Opening balance AIA SU 0823_UL DG_0318_首次执行_v2" xfId="822" xr:uid="{00000000-0005-0000-0000-00006F030000}"/>
    <cellStyle name="_长期待摊费用的合理性测_PPE-Irene" xfId="823" xr:uid="{00000000-0005-0000-0000-000070030000}"/>
    <cellStyle name="_长期待摊费用的合理性测_PPE-Irene_reserve" xfId="824" xr:uid="{00000000-0005-0000-0000-000071030000}"/>
    <cellStyle name="_长期待摊费用的合理性测_PPE-Irene_Spreadsheet AIA BJ 2007_20080408_v2" xfId="825" xr:uid="{00000000-0005-0000-0000-000072030000}"/>
    <cellStyle name="_长期待摊费用的合理性测_PPE-Irene_UL DG_0318" xfId="826" xr:uid="{00000000-0005-0000-0000-000073030000}"/>
    <cellStyle name="_长期待摊费用的合理性测_PPE-Irene_UL DG_0318_Opening balance 2006_AIA DG 0321 WP" xfId="827" xr:uid="{00000000-0005-0000-0000-000074030000}"/>
    <cellStyle name="_长期待摊费用的合理性测_PPE-Irene_UL DG_0318_首次执行_v2" xfId="828" xr:uid="{00000000-0005-0000-0000-000075030000}"/>
    <cellStyle name="_长期待摊费用的合理性测_Reserve Mapping-0325" xfId="829" xr:uid="{00000000-0005-0000-0000-000076030000}"/>
    <cellStyle name="_长期待摊费用的合理性测_Spreadsheet AIA BJ 2007_20080328" xfId="830" xr:uid="{00000000-0005-0000-0000-000077030000}"/>
    <cellStyle name="_长期待摊费用的合理性测_Spreadsheet AIA BJ 2007_20080328_reserve" xfId="831" xr:uid="{00000000-0005-0000-0000-000078030000}"/>
    <cellStyle name="_长期待摊费用的合理性测_Spreadsheet AIA BJ 2007_20080328_v1" xfId="832" xr:uid="{00000000-0005-0000-0000-000079030000}"/>
    <cellStyle name="_长期待摊费用的合理性测_Spreadsheet AIA BJ 2007_20080328_v1_reserve" xfId="833" xr:uid="{00000000-0005-0000-0000-00007A030000}"/>
    <cellStyle name="_长期待摊费用的合理性测_Spreadsheet AIA BJ 2007_20080408_v2" xfId="834" xr:uid="{00000000-0005-0000-0000-00007B030000}"/>
    <cellStyle name="_长期待摊费用的合理性测_Spreadsheet AIA DG 2007_combined opening_V1" xfId="835" xr:uid="{00000000-0005-0000-0000-00007C030000}"/>
    <cellStyle name="_长期待摊费用的合理性测_Spreadsheet AIA JS 2007_20080402" xfId="836" xr:uid="{00000000-0005-0000-0000-00007D030000}"/>
    <cellStyle name="_长期待摊费用的合理性测_Tax projection 20080331" xfId="837" xr:uid="{00000000-0005-0000-0000-00007E030000}"/>
    <cellStyle name="_长期待摊费用的合理性测_UL DG_0318" xfId="838" xr:uid="{00000000-0005-0000-0000-00007F030000}"/>
    <cellStyle name="_长期待摊费用的合理性测_UL DG_0318_Opening balance 2006_AIA DG 0321 WP" xfId="839" xr:uid="{00000000-0005-0000-0000-000080030000}"/>
    <cellStyle name="_长期待摊费用的合理性测_UL DG_0318_首次执行_v2" xfId="840" xr:uid="{00000000-0005-0000-0000-000081030000}"/>
    <cellStyle name="_长期待摊费用的合理性测_所得税调整BJ" xfId="841" xr:uid="{00000000-0005-0000-0000-000082030000}"/>
    <cellStyle name="_长期待摊费用的合理性测_所得税调整BJ_Opening Balance 2006_AIA SZ 0310 WP" xfId="842" xr:uid="{00000000-0005-0000-0000-000083030000}"/>
    <cellStyle name="_长期待摊费用的合理性测_所得税调整BJ_Opening Balance 2006_AIA SZ 0310 WP_reserve" xfId="843" xr:uid="{00000000-0005-0000-0000-000084030000}"/>
    <cellStyle name="_长期待摊费用的合理性测_所得税调整BJ_Opening Balance 2006_AIA SZ 0310 WP_Spreadsheet AIA BJ 2007_20080408_v2" xfId="844" xr:uid="{00000000-0005-0000-0000-000085030000}"/>
    <cellStyle name="_长期待摊费用的合理性测_所得税调整BJ_reserve" xfId="845" xr:uid="{00000000-0005-0000-0000-000086030000}"/>
    <cellStyle name="_长期待摊费用合理性测试" xfId="774" xr:uid="{00000000-0005-0000-0000-000087030000}"/>
    <cellStyle name="_最低偿付能力 (2)" xfId="750" xr:uid="{00000000-0005-0000-0000-000088030000}"/>
    <cellStyle name="_最低偿付能力 (2) 2" xfId="1128" xr:uid="{00000000-0005-0000-0000-000089030000}"/>
    <cellStyle name="_最低偿付能力 (2) 3" xfId="1127" xr:uid="{00000000-0005-0000-0000-00008A030000}"/>
    <cellStyle name="{Comma [0]}" xfId="847" xr:uid="{00000000-0005-0000-0000-00008B030000}"/>
    <cellStyle name="{Comma}" xfId="848" xr:uid="{00000000-0005-0000-0000-00008C030000}"/>
    <cellStyle name="{Date}" xfId="849" xr:uid="{00000000-0005-0000-0000-00008D030000}"/>
    <cellStyle name="{Month}" xfId="850" xr:uid="{00000000-0005-0000-0000-00008E030000}"/>
    <cellStyle name="{Percent}" xfId="851" xr:uid="{00000000-0005-0000-0000-00008F030000}"/>
    <cellStyle name="{Thousand [0]}" xfId="852" xr:uid="{00000000-0005-0000-0000-000090030000}"/>
    <cellStyle name="{Thousand}" xfId="853" xr:uid="{00000000-0005-0000-0000-000091030000}"/>
    <cellStyle name="{Z'0000(1 dec)}" xfId="854" xr:uid="{00000000-0005-0000-0000-000092030000}"/>
    <cellStyle name="{Z'0000(4 dec)}" xfId="855" xr:uid="{00000000-0005-0000-0000-000093030000}"/>
    <cellStyle name="=C:\WINNT\SYSTEM32\COMMAND.COM" xfId="856" xr:uid="{00000000-0005-0000-0000-000094030000}"/>
    <cellStyle name="=C:\WINNT\SYSTEM32\COMMAND.COM 2" xfId="1130" xr:uid="{00000000-0005-0000-0000-000095030000}"/>
    <cellStyle name="=C:\WINNT\SYSTEM32\COMMAND.COM 3" xfId="1129" xr:uid="{00000000-0005-0000-0000-000096030000}"/>
    <cellStyle name="20% - Accent1 2" xfId="1131" xr:uid="{00000000-0005-0000-0000-000097030000}"/>
    <cellStyle name="20% - Accent2 2" xfId="1132" xr:uid="{00000000-0005-0000-0000-000098030000}"/>
    <cellStyle name="20% - Accent3 2" xfId="1133" xr:uid="{00000000-0005-0000-0000-000099030000}"/>
    <cellStyle name="20% - Accent4 2" xfId="1134" xr:uid="{00000000-0005-0000-0000-00009A030000}"/>
    <cellStyle name="20% - Accent5 2" xfId="1135" xr:uid="{00000000-0005-0000-0000-00009B030000}"/>
    <cellStyle name="20% - Accent6 2" xfId="1136" xr:uid="{00000000-0005-0000-0000-00009C030000}"/>
    <cellStyle name="20% - 輔色1" xfId="956" xr:uid="{00000000-0005-0000-0000-00009D030000}"/>
    <cellStyle name="20% - 輔色2" xfId="957" xr:uid="{00000000-0005-0000-0000-00009E030000}"/>
    <cellStyle name="20% - 輔色3" xfId="958" xr:uid="{00000000-0005-0000-0000-00009F030000}"/>
    <cellStyle name="20% - 輔色4" xfId="959" xr:uid="{00000000-0005-0000-0000-0000A0030000}"/>
    <cellStyle name="20% - 輔色5" xfId="960" xr:uid="{00000000-0005-0000-0000-0000A1030000}"/>
    <cellStyle name="20% - 輔色6" xfId="961" xr:uid="{00000000-0005-0000-0000-0000A2030000}"/>
    <cellStyle name="20% - 强调文字颜色 1" xfId="962" xr:uid="{00000000-0005-0000-0000-0000A3030000}"/>
    <cellStyle name="20% - 强调文字颜色 1 2" xfId="1137" xr:uid="{00000000-0005-0000-0000-0000A4030000}"/>
    <cellStyle name="20% - 强调文字颜色 2" xfId="963" xr:uid="{00000000-0005-0000-0000-0000A5030000}"/>
    <cellStyle name="20% - 强调文字颜色 2 2" xfId="1138" xr:uid="{00000000-0005-0000-0000-0000A6030000}"/>
    <cellStyle name="20% - 强调文字颜色 3" xfId="964" xr:uid="{00000000-0005-0000-0000-0000A7030000}"/>
    <cellStyle name="20% - 强调文字颜色 3 2" xfId="1139" xr:uid="{00000000-0005-0000-0000-0000A8030000}"/>
    <cellStyle name="20% - 强调文字颜色 4" xfId="965" xr:uid="{00000000-0005-0000-0000-0000A9030000}"/>
    <cellStyle name="20% - 强调文字颜色 4 2" xfId="1140" xr:uid="{00000000-0005-0000-0000-0000AA030000}"/>
    <cellStyle name="20% - 强调文字颜色 5" xfId="966" xr:uid="{00000000-0005-0000-0000-0000AB030000}"/>
    <cellStyle name="20% - 强调文字颜色 5 2" xfId="1141" xr:uid="{00000000-0005-0000-0000-0000AC030000}"/>
    <cellStyle name="20% - 强调文字颜色 6" xfId="967" xr:uid="{00000000-0005-0000-0000-0000AD030000}"/>
    <cellStyle name="20% - 强调文字颜色 6 2" xfId="1142" xr:uid="{00000000-0005-0000-0000-0000AE030000}"/>
    <cellStyle name="40% - Accent1 2" xfId="1143" xr:uid="{00000000-0005-0000-0000-0000AF030000}"/>
    <cellStyle name="40% - Accent2 2" xfId="1144" xr:uid="{00000000-0005-0000-0000-0000B0030000}"/>
    <cellStyle name="40% - Accent3 2" xfId="1145" xr:uid="{00000000-0005-0000-0000-0000B1030000}"/>
    <cellStyle name="40% - Accent4 2" xfId="1146" xr:uid="{00000000-0005-0000-0000-0000B2030000}"/>
    <cellStyle name="40% - Accent5 2" xfId="1147" xr:uid="{00000000-0005-0000-0000-0000B3030000}"/>
    <cellStyle name="40% - Accent6 2" xfId="1148" xr:uid="{00000000-0005-0000-0000-0000B4030000}"/>
    <cellStyle name="40% - 輔色1" xfId="968" xr:uid="{00000000-0005-0000-0000-0000B5030000}"/>
    <cellStyle name="40% - 輔色2" xfId="969" xr:uid="{00000000-0005-0000-0000-0000B6030000}"/>
    <cellStyle name="40% - 輔色3" xfId="970" xr:uid="{00000000-0005-0000-0000-0000B7030000}"/>
    <cellStyle name="40% - 輔色4" xfId="971" xr:uid="{00000000-0005-0000-0000-0000B8030000}"/>
    <cellStyle name="40% - 輔色5" xfId="972" xr:uid="{00000000-0005-0000-0000-0000B9030000}"/>
    <cellStyle name="40% - 輔色6" xfId="973" xr:uid="{00000000-0005-0000-0000-0000BA030000}"/>
    <cellStyle name="40% - 强调文字颜色 1" xfId="974" xr:uid="{00000000-0005-0000-0000-0000BB030000}"/>
    <cellStyle name="40% - 强调文字颜色 1 2" xfId="1149" xr:uid="{00000000-0005-0000-0000-0000BC030000}"/>
    <cellStyle name="40% - 强调文字颜色 2" xfId="975" xr:uid="{00000000-0005-0000-0000-0000BD030000}"/>
    <cellStyle name="40% - 强调文字颜色 2 2" xfId="1150" xr:uid="{00000000-0005-0000-0000-0000BE030000}"/>
    <cellStyle name="40% - 强调文字颜色 3" xfId="976" xr:uid="{00000000-0005-0000-0000-0000BF030000}"/>
    <cellStyle name="40% - 强调文字颜色 3 2" xfId="1151" xr:uid="{00000000-0005-0000-0000-0000C0030000}"/>
    <cellStyle name="40% - 强调文字颜色 4" xfId="977" xr:uid="{00000000-0005-0000-0000-0000C1030000}"/>
    <cellStyle name="40% - 强调文字颜色 4 2" xfId="1152" xr:uid="{00000000-0005-0000-0000-0000C2030000}"/>
    <cellStyle name="40% - 强调文字颜色 5" xfId="978" xr:uid="{00000000-0005-0000-0000-0000C3030000}"/>
    <cellStyle name="40% - 强调文字颜色 5 2" xfId="1153" xr:uid="{00000000-0005-0000-0000-0000C4030000}"/>
    <cellStyle name="40% - 强调文字颜色 6" xfId="979" xr:uid="{00000000-0005-0000-0000-0000C5030000}"/>
    <cellStyle name="40% - 强调文字颜色 6 2" xfId="1154" xr:uid="{00000000-0005-0000-0000-0000C6030000}"/>
    <cellStyle name="60% - Accent1 2" xfId="1155" xr:uid="{00000000-0005-0000-0000-0000C7030000}"/>
    <cellStyle name="60% - Accent2 2" xfId="1156" xr:uid="{00000000-0005-0000-0000-0000C8030000}"/>
    <cellStyle name="60% - Accent3 2" xfId="1157" xr:uid="{00000000-0005-0000-0000-0000C9030000}"/>
    <cellStyle name="60% - Accent4 2" xfId="1158" xr:uid="{00000000-0005-0000-0000-0000CA030000}"/>
    <cellStyle name="60% - Accent5 2" xfId="1159" xr:uid="{00000000-0005-0000-0000-0000CB030000}"/>
    <cellStyle name="60% - Accent6 2" xfId="1160" xr:uid="{00000000-0005-0000-0000-0000CC030000}"/>
    <cellStyle name="60% - 輔色1" xfId="980" xr:uid="{00000000-0005-0000-0000-0000CD030000}"/>
    <cellStyle name="60% - 輔色2" xfId="981" xr:uid="{00000000-0005-0000-0000-0000CE030000}"/>
    <cellStyle name="60% - 輔色3" xfId="982" xr:uid="{00000000-0005-0000-0000-0000CF030000}"/>
    <cellStyle name="60% - 輔色4" xfId="983" xr:uid="{00000000-0005-0000-0000-0000D0030000}"/>
    <cellStyle name="60% - 輔色5" xfId="984" xr:uid="{00000000-0005-0000-0000-0000D1030000}"/>
    <cellStyle name="60% - 輔色6" xfId="985" xr:uid="{00000000-0005-0000-0000-0000D2030000}"/>
    <cellStyle name="60% - 强调文字颜色 1" xfId="986" xr:uid="{00000000-0005-0000-0000-0000D3030000}"/>
    <cellStyle name="60% - 强调文字颜色 1 2" xfId="1161" xr:uid="{00000000-0005-0000-0000-0000D4030000}"/>
    <cellStyle name="60% - 强调文字颜色 2" xfId="987" xr:uid="{00000000-0005-0000-0000-0000D5030000}"/>
    <cellStyle name="60% - 强调文字颜色 2 2" xfId="1162" xr:uid="{00000000-0005-0000-0000-0000D6030000}"/>
    <cellStyle name="60% - 强调文字颜色 3" xfId="988" xr:uid="{00000000-0005-0000-0000-0000D7030000}"/>
    <cellStyle name="60% - 强调文字颜色 3 2" xfId="1163" xr:uid="{00000000-0005-0000-0000-0000D8030000}"/>
    <cellStyle name="60% - 强调文字颜色 4" xfId="989" xr:uid="{00000000-0005-0000-0000-0000D9030000}"/>
    <cellStyle name="60% - 强调文字颜色 4 2" xfId="1164" xr:uid="{00000000-0005-0000-0000-0000DA030000}"/>
    <cellStyle name="60% - 强调文字颜色 5" xfId="990" xr:uid="{00000000-0005-0000-0000-0000DB030000}"/>
    <cellStyle name="60% - 强调文字颜色 5 2" xfId="1165" xr:uid="{00000000-0005-0000-0000-0000DC030000}"/>
    <cellStyle name="60% - 强调文字颜色 6" xfId="991" xr:uid="{00000000-0005-0000-0000-0000DD030000}"/>
    <cellStyle name="60% - 强调文字颜色 6 2" xfId="1166" xr:uid="{00000000-0005-0000-0000-0000DE030000}"/>
    <cellStyle name="Accent1 2" xfId="1167" xr:uid="{00000000-0005-0000-0000-0000DF030000}"/>
    <cellStyle name="Accent2 2" xfId="1168" xr:uid="{00000000-0005-0000-0000-0000E0030000}"/>
    <cellStyle name="Accent3 2" xfId="1169" xr:uid="{00000000-0005-0000-0000-0000E1030000}"/>
    <cellStyle name="Accent4 2" xfId="1170" xr:uid="{00000000-0005-0000-0000-0000E2030000}"/>
    <cellStyle name="Accent5 2" xfId="1171" xr:uid="{00000000-0005-0000-0000-0000E3030000}"/>
    <cellStyle name="Accent6 2" xfId="1172" xr:uid="{00000000-0005-0000-0000-0000E4030000}"/>
    <cellStyle name="ak" xfId="857" xr:uid="{00000000-0005-0000-0000-0000E5030000}"/>
    <cellStyle name="Bad 2" xfId="1173" xr:uid="{00000000-0005-0000-0000-0000E6030000}"/>
    <cellStyle name="Body" xfId="1305" xr:uid="{00000000-0005-0000-0000-0000E7030000}"/>
    <cellStyle name="Calc Currency (0)" xfId="858" xr:uid="{00000000-0005-0000-0000-0000E8030000}"/>
    <cellStyle name="Calc Currency (0) 2" xfId="1174" xr:uid="{00000000-0005-0000-0000-0000E9030000}"/>
    <cellStyle name="Calc Currency (2)" xfId="859" xr:uid="{00000000-0005-0000-0000-0000EA030000}"/>
    <cellStyle name="Calc Percent (0)" xfId="860" xr:uid="{00000000-0005-0000-0000-0000EB030000}"/>
    <cellStyle name="Calc Percent (1)" xfId="861" xr:uid="{00000000-0005-0000-0000-0000EC030000}"/>
    <cellStyle name="Calc Percent (2)" xfId="862" xr:uid="{00000000-0005-0000-0000-0000ED030000}"/>
    <cellStyle name="Calc Units (0)" xfId="863" xr:uid="{00000000-0005-0000-0000-0000EE030000}"/>
    <cellStyle name="Calc Units (1)" xfId="864" xr:uid="{00000000-0005-0000-0000-0000EF030000}"/>
    <cellStyle name="Calc Units (2)" xfId="865" xr:uid="{00000000-0005-0000-0000-0000F0030000}"/>
    <cellStyle name="Calculation 2" xfId="1175" xr:uid="{00000000-0005-0000-0000-0000F1030000}"/>
    <cellStyle name="category" xfId="866" xr:uid="{00000000-0005-0000-0000-0000F2030000}"/>
    <cellStyle name="Check Cell 2" xfId="1176" xr:uid="{00000000-0005-0000-0000-0000F3030000}"/>
    <cellStyle name="Comma" xfId="932" xr:uid="{00000000-0005-0000-0000-0000F4030000}"/>
    <cellStyle name="Comma [00]" xfId="867" xr:uid="{00000000-0005-0000-0000-0000F5030000}"/>
    <cellStyle name="Comma 10" xfId="1061" xr:uid="{00000000-0005-0000-0000-0000F6030000}"/>
    <cellStyle name="Comma 10 2" xfId="1178" xr:uid="{00000000-0005-0000-0000-0000F7030000}"/>
    <cellStyle name="Comma 10 3" xfId="1313" xr:uid="{00000000-0005-0000-0000-0000F8030000}"/>
    <cellStyle name="Comma 11" xfId="1062" xr:uid="{00000000-0005-0000-0000-0000F9030000}"/>
    <cellStyle name="Comma 11 2" xfId="1179" xr:uid="{00000000-0005-0000-0000-0000FA030000}"/>
    <cellStyle name="Comma 11 3" xfId="1314" xr:uid="{00000000-0005-0000-0000-0000FB030000}"/>
    <cellStyle name="Comma 12" xfId="1063" xr:uid="{00000000-0005-0000-0000-0000FC030000}"/>
    <cellStyle name="Comma 12 2" xfId="1180" xr:uid="{00000000-0005-0000-0000-0000FD030000}"/>
    <cellStyle name="Comma 12 3" xfId="1315" xr:uid="{00000000-0005-0000-0000-0000FE030000}"/>
    <cellStyle name="Comma 13" xfId="1064" xr:uid="{00000000-0005-0000-0000-0000FF030000}"/>
    <cellStyle name="Comma 13 2" xfId="1181" xr:uid="{00000000-0005-0000-0000-000000040000}"/>
    <cellStyle name="Comma 13 3" xfId="1316" xr:uid="{00000000-0005-0000-0000-000001040000}"/>
    <cellStyle name="Comma 14" xfId="1065" xr:uid="{00000000-0005-0000-0000-000002040000}"/>
    <cellStyle name="Comma 14 2" xfId="1182" xr:uid="{00000000-0005-0000-0000-000003040000}"/>
    <cellStyle name="Comma 14 3" xfId="1317" xr:uid="{00000000-0005-0000-0000-000004040000}"/>
    <cellStyle name="Comma 15" xfId="1183" xr:uid="{00000000-0005-0000-0000-000005040000}"/>
    <cellStyle name="Comma 16" xfId="1184" xr:uid="{00000000-0005-0000-0000-000006040000}"/>
    <cellStyle name="Comma 17" xfId="1185" xr:uid="{00000000-0005-0000-0000-000007040000}"/>
    <cellStyle name="Comma 18" xfId="1186" xr:uid="{00000000-0005-0000-0000-000008040000}"/>
    <cellStyle name="Comma 19" xfId="1304" xr:uid="{00000000-0005-0000-0000-000009040000}"/>
    <cellStyle name="Comma 2" xfId="992" xr:uid="{00000000-0005-0000-0000-00000A040000}"/>
    <cellStyle name="Comma 2 2" xfId="1187" xr:uid="{00000000-0005-0000-0000-00000B040000}"/>
    <cellStyle name="Comma 20" xfId="1306" xr:uid="{00000000-0005-0000-0000-00000C040000}"/>
    <cellStyle name="Comma 3" xfId="993" xr:uid="{00000000-0005-0000-0000-00000D040000}"/>
    <cellStyle name="Comma 3 2" xfId="1188" xr:uid="{00000000-0005-0000-0000-00000E040000}"/>
    <cellStyle name="Comma 3 2 4 3" xfId="1319" xr:uid="{00000000-0005-0000-0000-00000F040000}"/>
    <cellStyle name="Comma 4" xfId="994" xr:uid="{00000000-0005-0000-0000-000010040000}"/>
    <cellStyle name="Comma 4 2" xfId="1189" xr:uid="{00000000-0005-0000-0000-000011040000}"/>
    <cellStyle name="Comma 5" xfId="995" xr:uid="{00000000-0005-0000-0000-000012040000}"/>
    <cellStyle name="Comma 5 2" xfId="1190" xr:uid="{00000000-0005-0000-0000-000013040000}"/>
    <cellStyle name="Comma 6" xfId="996" xr:uid="{00000000-0005-0000-0000-000014040000}"/>
    <cellStyle name="Comma 6 2" xfId="1191" xr:uid="{00000000-0005-0000-0000-000015040000}"/>
    <cellStyle name="Comma 7" xfId="997" xr:uid="{00000000-0005-0000-0000-000016040000}"/>
    <cellStyle name="Comma 7 2" xfId="1192" xr:uid="{00000000-0005-0000-0000-000017040000}"/>
    <cellStyle name="Comma 8" xfId="998" xr:uid="{00000000-0005-0000-0000-000018040000}"/>
    <cellStyle name="Comma 8 2" xfId="1193" xr:uid="{00000000-0005-0000-0000-000019040000}"/>
    <cellStyle name="Comma 9" xfId="999" xr:uid="{00000000-0005-0000-0000-00001A040000}"/>
    <cellStyle name="Comma 9 2" xfId="1194" xr:uid="{00000000-0005-0000-0000-00001B040000}"/>
    <cellStyle name="Comma0" xfId="868" xr:uid="{00000000-0005-0000-0000-00001C040000}"/>
    <cellStyle name="Comma0 2" xfId="1195" xr:uid="{00000000-0005-0000-0000-00001D040000}"/>
    <cellStyle name="Currency" xfId="1311" xr:uid="{00000000-0005-0000-0000-00001E040000}"/>
    <cellStyle name="Currency [00]" xfId="869" xr:uid="{00000000-0005-0000-0000-00001F040000}"/>
    <cellStyle name="Currency 2" xfId="1196" xr:uid="{00000000-0005-0000-0000-000020040000}"/>
    <cellStyle name="Currency 3" xfId="1197" xr:uid="{00000000-0005-0000-0000-000021040000}"/>
    <cellStyle name="Currency0" xfId="870" xr:uid="{00000000-0005-0000-0000-000022040000}"/>
    <cellStyle name="Currency0 2" xfId="1198" xr:uid="{00000000-0005-0000-0000-000023040000}"/>
    <cellStyle name="Date" xfId="871" xr:uid="{00000000-0005-0000-0000-000024040000}"/>
    <cellStyle name="Date 2" xfId="1199" xr:uid="{00000000-0005-0000-0000-000025040000}"/>
    <cellStyle name="Date Short" xfId="872" xr:uid="{00000000-0005-0000-0000-000026040000}"/>
    <cellStyle name="Date_capinves" xfId="873" xr:uid="{00000000-0005-0000-0000-000027040000}"/>
    <cellStyle name="Enter Currency (0)" xfId="874" xr:uid="{00000000-0005-0000-0000-000028040000}"/>
    <cellStyle name="Enter Currency (2)" xfId="875" xr:uid="{00000000-0005-0000-0000-000029040000}"/>
    <cellStyle name="Enter Units (0)" xfId="876" xr:uid="{00000000-0005-0000-0000-00002A040000}"/>
    <cellStyle name="Enter Units (1)" xfId="877" xr:uid="{00000000-0005-0000-0000-00002B040000}"/>
    <cellStyle name="Enter Units (2)" xfId="878" xr:uid="{00000000-0005-0000-0000-00002C040000}"/>
    <cellStyle name="Euro" xfId="879" xr:uid="{00000000-0005-0000-0000-00002D040000}"/>
    <cellStyle name="Euro 2" xfId="1201" xr:uid="{00000000-0005-0000-0000-00002E040000}"/>
    <cellStyle name="Euro 3" xfId="1200" xr:uid="{00000000-0005-0000-0000-00002F040000}"/>
    <cellStyle name="Explanatory Text 2" xfId="1202" xr:uid="{00000000-0005-0000-0000-000030040000}"/>
    <cellStyle name="F2" xfId="880" xr:uid="{00000000-0005-0000-0000-000031040000}"/>
    <cellStyle name="F3" xfId="881" xr:uid="{00000000-0005-0000-0000-000032040000}"/>
    <cellStyle name="F4" xfId="882" xr:uid="{00000000-0005-0000-0000-000033040000}"/>
    <cellStyle name="F5" xfId="883" xr:uid="{00000000-0005-0000-0000-000034040000}"/>
    <cellStyle name="F6" xfId="884" xr:uid="{00000000-0005-0000-0000-000035040000}"/>
    <cellStyle name="F7" xfId="885" xr:uid="{00000000-0005-0000-0000-000036040000}"/>
    <cellStyle name="F8" xfId="886" xr:uid="{00000000-0005-0000-0000-000037040000}"/>
    <cellStyle name="Fixed" xfId="887" xr:uid="{00000000-0005-0000-0000-000038040000}"/>
    <cellStyle name="Fixed 2" xfId="1203" xr:uid="{00000000-0005-0000-0000-000039040000}"/>
    <cellStyle name="Good 2" xfId="1204" xr:uid="{00000000-0005-0000-0000-00003A040000}"/>
    <cellStyle name="Grey" xfId="888" xr:uid="{00000000-0005-0000-0000-00003B040000}"/>
    <cellStyle name="HEADER" xfId="889" xr:uid="{00000000-0005-0000-0000-00003C040000}"/>
    <cellStyle name="Header1" xfId="890" xr:uid="{00000000-0005-0000-0000-00003D040000}"/>
    <cellStyle name="Header1 2" xfId="1206" xr:uid="{00000000-0005-0000-0000-00003E040000}"/>
    <cellStyle name="Header1 3" xfId="1205" xr:uid="{00000000-0005-0000-0000-00003F040000}"/>
    <cellStyle name="Header2" xfId="891" xr:uid="{00000000-0005-0000-0000-000040040000}"/>
    <cellStyle name="Header2 2" xfId="1208" xr:uid="{00000000-0005-0000-0000-000041040000}"/>
    <cellStyle name="Header2 3" xfId="1207" xr:uid="{00000000-0005-0000-0000-000042040000}"/>
    <cellStyle name="Heading 1 2" xfId="1209" xr:uid="{00000000-0005-0000-0000-000043040000}"/>
    <cellStyle name="Heading 2 2" xfId="1210" xr:uid="{00000000-0005-0000-0000-000044040000}"/>
    <cellStyle name="Heading 3 2" xfId="1211" xr:uid="{00000000-0005-0000-0000-000045040000}"/>
    <cellStyle name="Heading 4 2" xfId="1212" xr:uid="{00000000-0005-0000-0000-000046040000}"/>
    <cellStyle name="Heading1" xfId="892" xr:uid="{00000000-0005-0000-0000-000047040000}"/>
    <cellStyle name="Heading2" xfId="893" xr:uid="{00000000-0005-0000-0000-000048040000}"/>
    <cellStyle name="Hyperlink 2" xfId="1213" xr:uid="{00000000-0005-0000-0000-000049040000}"/>
    <cellStyle name="Input [yellow]" xfId="894" xr:uid="{00000000-0005-0000-0000-00004A040000}"/>
    <cellStyle name="Input 2" xfId="1214" xr:uid="{00000000-0005-0000-0000-00004B040000}"/>
    <cellStyle name="jktitle" xfId="895" xr:uid="{00000000-0005-0000-0000-00004C040000}"/>
    <cellStyle name="Link Currency (0)" xfId="896" xr:uid="{00000000-0005-0000-0000-00004D040000}"/>
    <cellStyle name="Link Currency (2)" xfId="897" xr:uid="{00000000-0005-0000-0000-00004E040000}"/>
    <cellStyle name="Link Units (0)" xfId="898" xr:uid="{00000000-0005-0000-0000-00004F040000}"/>
    <cellStyle name="Link Units (1)" xfId="899" xr:uid="{00000000-0005-0000-0000-000050040000}"/>
    <cellStyle name="Link Units (2)" xfId="900" xr:uid="{00000000-0005-0000-0000-000051040000}"/>
    <cellStyle name="Linked Cell 2" xfId="1215" xr:uid="{00000000-0005-0000-0000-000052040000}"/>
    <cellStyle name="Model" xfId="901" xr:uid="{00000000-0005-0000-0000-000053040000}"/>
    <cellStyle name="Monétaire [0]_PERSONAL" xfId="902" xr:uid="{00000000-0005-0000-0000-000054040000}"/>
    <cellStyle name="Monétaire_PERSONAL" xfId="903" xr:uid="{00000000-0005-0000-0000-000055040000}"/>
    <cellStyle name="Neutral 2" xfId="1216" xr:uid="{00000000-0005-0000-0000-000056040000}"/>
    <cellStyle name="NewStyle" xfId="904" xr:uid="{00000000-0005-0000-0000-000057040000}"/>
    <cellStyle name="no dec" xfId="905" xr:uid="{00000000-0005-0000-0000-000058040000}"/>
    <cellStyle name="Nor}al" xfId="906" xr:uid="{00000000-0005-0000-0000-000059040000}"/>
    <cellStyle name="Normal" xfId="0" builtinId="0"/>
    <cellStyle name="Normal - Style1" xfId="907" xr:uid="{00000000-0005-0000-0000-00005B040000}"/>
    <cellStyle name="Normal - Style1 2" xfId="1218" xr:uid="{00000000-0005-0000-0000-00005C040000}"/>
    <cellStyle name="Normal - Style1 3" xfId="1217" xr:uid="{00000000-0005-0000-0000-00005D040000}"/>
    <cellStyle name="Normal - Style1 4" xfId="1307" xr:uid="{00000000-0005-0000-0000-00005E040000}"/>
    <cellStyle name="Normal 10" xfId="1219" xr:uid="{00000000-0005-0000-0000-00005F040000}"/>
    <cellStyle name="Normal 11" xfId="1220" xr:uid="{00000000-0005-0000-0000-000060040000}"/>
    <cellStyle name="Normal 12" xfId="1221" xr:uid="{00000000-0005-0000-0000-000061040000}"/>
    <cellStyle name="Normal 13" xfId="1222" xr:uid="{00000000-0005-0000-0000-000062040000}"/>
    <cellStyle name="Normal 14" xfId="1223" xr:uid="{00000000-0005-0000-0000-000063040000}"/>
    <cellStyle name="Normal 15" xfId="1224" xr:uid="{00000000-0005-0000-0000-000064040000}"/>
    <cellStyle name="Normal 16" xfId="1225" xr:uid="{00000000-0005-0000-0000-000065040000}"/>
    <cellStyle name="Normal 17" xfId="1226" xr:uid="{00000000-0005-0000-0000-000066040000}"/>
    <cellStyle name="Normal 18" xfId="1227" xr:uid="{00000000-0005-0000-0000-000067040000}"/>
    <cellStyle name="Normal 19" xfId="1228" xr:uid="{00000000-0005-0000-0000-000068040000}"/>
    <cellStyle name="Normal 19 2" xfId="1299" xr:uid="{00000000-0005-0000-0000-000069040000}"/>
    <cellStyle name="Normal 2" xfId="1000" xr:uid="{00000000-0005-0000-0000-00006A040000}"/>
    <cellStyle name="Normal 2 2" xfId="1230" xr:uid="{00000000-0005-0000-0000-00006B040000}"/>
    <cellStyle name="Normal 2 3" xfId="1229" xr:uid="{00000000-0005-0000-0000-00006C040000}"/>
    <cellStyle name="Normal 20" xfId="1231" xr:uid="{00000000-0005-0000-0000-00006D040000}"/>
    <cellStyle name="Normal 3" xfId="1001" xr:uid="{00000000-0005-0000-0000-00006E040000}"/>
    <cellStyle name="Normal 3 2" xfId="1232" xr:uid="{00000000-0005-0000-0000-00006F040000}"/>
    <cellStyle name="Normal 4" xfId="1002" xr:uid="{00000000-0005-0000-0000-000070040000}"/>
    <cellStyle name="Normal 4 2" xfId="1233" xr:uid="{00000000-0005-0000-0000-000071040000}"/>
    <cellStyle name="Normal 5" xfId="1003" xr:uid="{00000000-0005-0000-0000-000072040000}"/>
    <cellStyle name="Normal 6" xfId="1004" xr:uid="{00000000-0005-0000-0000-000073040000}"/>
    <cellStyle name="Normal 7" xfId="1005" xr:uid="{00000000-0005-0000-0000-000074040000}"/>
    <cellStyle name="Normal 7 2" xfId="1234" xr:uid="{00000000-0005-0000-0000-000075040000}"/>
    <cellStyle name="Normal 8" xfId="1006" xr:uid="{00000000-0005-0000-0000-000076040000}"/>
    <cellStyle name="Normal 8 2" xfId="1235" xr:uid="{00000000-0005-0000-0000-000077040000}"/>
    <cellStyle name="Normal 9" xfId="1007" xr:uid="{00000000-0005-0000-0000-000078040000}"/>
    <cellStyle name="Normal 9 2" xfId="1236" xr:uid="{00000000-0005-0000-0000-000079040000}"/>
    <cellStyle name="Normal_income projection model v9 (Final chinese)" xfId="908" xr:uid="{00000000-0005-0000-0000-00007A040000}"/>
    <cellStyle name="Normal_PAR GOE-201004" xfId="1321" xr:uid="{00000000-0005-0000-0000-00007B040000}"/>
    <cellStyle name="Normal_Sheet1" xfId="1008" xr:uid="{00000000-0005-0000-0000-00007C040000}"/>
    <cellStyle name="Normal_凭证录入" xfId="1009" xr:uid="{00000000-0005-0000-0000-00007D040000}"/>
    <cellStyle name="Note 2" xfId="1237" xr:uid="{00000000-0005-0000-0000-00007E040000}"/>
    <cellStyle name="Output 2" xfId="1238" xr:uid="{00000000-0005-0000-0000-00007F040000}"/>
    <cellStyle name="Percent" xfId="1309" xr:uid="{00000000-0005-0000-0000-000080040000}"/>
    <cellStyle name="Percent [0]" xfId="909" xr:uid="{00000000-0005-0000-0000-000081040000}"/>
    <cellStyle name="Percent [00]" xfId="910" xr:uid="{00000000-0005-0000-0000-000082040000}"/>
    <cellStyle name="Percent [2]" xfId="911" xr:uid="{00000000-0005-0000-0000-000083040000}"/>
    <cellStyle name="Percent 2" xfId="1010" xr:uid="{00000000-0005-0000-0000-000084040000}"/>
    <cellStyle name="Percent 2 2" xfId="1239" xr:uid="{00000000-0005-0000-0000-000085040000}"/>
    <cellStyle name="Percent 3" xfId="1011" xr:uid="{00000000-0005-0000-0000-000086040000}"/>
    <cellStyle name="Percent 3 2" xfId="1240" xr:uid="{00000000-0005-0000-0000-000087040000}"/>
    <cellStyle name="Percent 4" xfId="1012" xr:uid="{00000000-0005-0000-0000-000088040000}"/>
    <cellStyle name="Percent 4 2" xfId="1241" xr:uid="{00000000-0005-0000-0000-000089040000}"/>
    <cellStyle name="Percent 5" xfId="1242" xr:uid="{00000000-0005-0000-0000-00008A040000}"/>
    <cellStyle name="Percent 6" xfId="1243" xr:uid="{00000000-0005-0000-0000-00008B040000}"/>
    <cellStyle name="PrePop Currency (0)" xfId="912" xr:uid="{00000000-0005-0000-0000-00008C040000}"/>
    <cellStyle name="PrePop Currency (2)" xfId="913" xr:uid="{00000000-0005-0000-0000-00008D040000}"/>
    <cellStyle name="PrePop Units (0)" xfId="914" xr:uid="{00000000-0005-0000-0000-00008E040000}"/>
    <cellStyle name="PrePop Units (1)" xfId="915" xr:uid="{00000000-0005-0000-0000-00008F040000}"/>
    <cellStyle name="PrePop Units (2)" xfId="916" xr:uid="{00000000-0005-0000-0000-000090040000}"/>
    <cellStyle name="price" xfId="917" xr:uid="{00000000-0005-0000-0000-000091040000}"/>
    <cellStyle name="PSChar" xfId="1244" xr:uid="{00000000-0005-0000-0000-000092040000}"/>
    <cellStyle name="PSDate" xfId="1245" xr:uid="{00000000-0005-0000-0000-000093040000}"/>
    <cellStyle name="PSDec" xfId="1246" xr:uid="{00000000-0005-0000-0000-000094040000}"/>
    <cellStyle name="Style 1" xfId="918" xr:uid="{00000000-0005-0000-0000-000095040000}"/>
    <cellStyle name="Style 1 2" xfId="1013" xr:uid="{00000000-0005-0000-0000-000096040000}"/>
    <cellStyle name="Style 1 2 2" xfId="1248" xr:uid="{00000000-0005-0000-0000-000097040000}"/>
    <cellStyle name="Style 1 3" xfId="1247" xr:uid="{00000000-0005-0000-0000-000098040000}"/>
    <cellStyle name="Style 2" xfId="919" xr:uid="{00000000-0005-0000-0000-000099040000}"/>
    <cellStyle name="subhead" xfId="920" xr:uid="{00000000-0005-0000-0000-00009A040000}"/>
    <cellStyle name="Text Indent A" xfId="921" xr:uid="{00000000-0005-0000-0000-00009B040000}"/>
    <cellStyle name="Text Indent B" xfId="922" xr:uid="{00000000-0005-0000-0000-00009C040000}"/>
    <cellStyle name="Text Indent C" xfId="923" xr:uid="{00000000-0005-0000-0000-00009D040000}"/>
    <cellStyle name="Title 2" xfId="1249" xr:uid="{00000000-0005-0000-0000-00009E040000}"/>
    <cellStyle name="Total 2" xfId="1250" xr:uid="{00000000-0005-0000-0000-00009F040000}"/>
    <cellStyle name="Tusental (0)_pldt" xfId="924" xr:uid="{00000000-0005-0000-0000-0000A0040000}"/>
    <cellStyle name="Tusental_pldt" xfId="925" xr:uid="{00000000-0005-0000-0000-0000A1040000}"/>
    <cellStyle name="Valuta (0)_pldt" xfId="926" xr:uid="{00000000-0005-0000-0000-0000A2040000}"/>
    <cellStyle name="Valuta_pldt" xfId="927" xr:uid="{00000000-0005-0000-0000-0000A3040000}"/>
    <cellStyle name="Warning Text 2" xfId="1251" xr:uid="{00000000-0005-0000-0000-0000A4040000}"/>
    <cellStyle name="百分比 2" xfId="951" xr:uid="{00000000-0005-0000-0000-0000A5040000}"/>
    <cellStyle name="百分比 2 2" xfId="1252" xr:uid="{00000000-0005-0000-0000-0000A6040000}"/>
    <cellStyle name="備註" xfId="1014" xr:uid="{00000000-0005-0000-0000-0000A7040000}"/>
    <cellStyle name="标题" xfId="1015" xr:uid="{00000000-0005-0000-0000-0000A8040000}"/>
    <cellStyle name="标题 1" xfId="1016" xr:uid="{00000000-0005-0000-0000-0000A9040000}"/>
    <cellStyle name="标题 1 2" xfId="1254" xr:uid="{00000000-0005-0000-0000-0000AA040000}"/>
    <cellStyle name="标题 2" xfId="1017" xr:uid="{00000000-0005-0000-0000-0000AB040000}"/>
    <cellStyle name="标题 2 2" xfId="1255" xr:uid="{00000000-0005-0000-0000-0000AC040000}"/>
    <cellStyle name="标题 3" xfId="1018" xr:uid="{00000000-0005-0000-0000-0000AD040000}"/>
    <cellStyle name="标题 3 2" xfId="1256" xr:uid="{00000000-0005-0000-0000-0000AE040000}"/>
    <cellStyle name="标题 4" xfId="1019" xr:uid="{00000000-0005-0000-0000-0000AF040000}"/>
    <cellStyle name="标题 4 2" xfId="1257" xr:uid="{00000000-0005-0000-0000-0000B0040000}"/>
    <cellStyle name="标题 5" xfId="1253" xr:uid="{00000000-0005-0000-0000-0000B1040000}"/>
    <cellStyle name="標題" xfId="1020" xr:uid="{00000000-0005-0000-0000-0000B2040000}"/>
    <cellStyle name="標題 1" xfId="1021" xr:uid="{00000000-0005-0000-0000-0000B3040000}"/>
    <cellStyle name="標題 2" xfId="1022" xr:uid="{00000000-0005-0000-0000-0000B4040000}"/>
    <cellStyle name="標題 3" xfId="1023" xr:uid="{00000000-0005-0000-0000-0000B5040000}"/>
    <cellStyle name="標題 4" xfId="1024" xr:uid="{00000000-0005-0000-0000-0000B6040000}"/>
    <cellStyle name="標準_ALICO PL" xfId="948" xr:uid="{00000000-0005-0000-0000-0000B7040000}"/>
    <cellStyle name="差" xfId="1025" xr:uid="{00000000-0005-0000-0000-0000B8040000}"/>
    <cellStyle name="差 2" xfId="1258" xr:uid="{00000000-0005-0000-0000-0000B9040000}"/>
    <cellStyle name="差_AIA-AAAA" xfId="1259" xr:uid="{00000000-0005-0000-0000-0000BA040000}"/>
    <cellStyle name="差_Chart of Account" xfId="1260" xr:uid="{00000000-0005-0000-0000-0000BB040000}"/>
    <cellStyle name="差_F-CODE-090410" xfId="1261" xr:uid="{00000000-0005-0000-0000-0000BC040000}"/>
    <cellStyle name="差_SunMaster_090407" xfId="1262" xr:uid="{00000000-0005-0000-0000-0000BD040000}"/>
    <cellStyle name="差_SunMaster_1202" xfId="1263" xr:uid="{00000000-0005-0000-0000-0000BE040000}"/>
    <cellStyle name="差_ZJC_LOAD_ZACCTAIA2_all_v3.4" xfId="1264" xr:uid="{00000000-0005-0000-0000-0000BF040000}"/>
    <cellStyle name="差_ZJC_LOAD_ZACCTAIA2_all_v3.5" xfId="1265" xr:uid="{00000000-0005-0000-0000-0000C0040000}"/>
    <cellStyle name="常规 2" xfId="939" xr:uid="{00000000-0005-0000-0000-0000C1040000}"/>
    <cellStyle name="常规 2 2" xfId="1267" xr:uid="{00000000-0005-0000-0000-0000C2040000}"/>
    <cellStyle name="常规 2 3" xfId="1300" xr:uid="{00000000-0005-0000-0000-0000C3040000}"/>
    <cellStyle name="常规 2 4" xfId="1266" xr:uid="{00000000-0005-0000-0000-0000C4040000}"/>
    <cellStyle name="常规 3" xfId="1060" xr:uid="{00000000-0005-0000-0000-0000C5040000}"/>
    <cellStyle name="常规 3 2" xfId="1067" xr:uid="{00000000-0005-0000-0000-0000C6040000}"/>
    <cellStyle name="常规 3 3" xfId="1312" xr:uid="{00000000-0005-0000-0000-0000C7040000}"/>
    <cellStyle name="常规 4" xfId="1297" xr:uid="{00000000-0005-0000-0000-0000C8040000}"/>
    <cellStyle name="常规 5" xfId="1066" xr:uid="{00000000-0005-0000-0000-0000C9040000}"/>
    <cellStyle name="常规 5 2" xfId="1318" xr:uid="{00000000-0005-0000-0000-0000CA040000}"/>
    <cellStyle name="常规 6" xfId="1303" xr:uid="{00000000-0005-0000-0000-0000CB040000}"/>
    <cellStyle name="常规_AM Training1214" xfId="940" xr:uid="{00000000-0005-0000-0000-0000CC040000}"/>
    <cellStyle name="常规_Book1" xfId="941" xr:uid="{00000000-0005-0000-0000-0000CD040000}"/>
    <cellStyle name="常规_Book1_凭证录入" xfId="1320" xr:uid="{00000000-0005-0000-0000-0000CE040000}"/>
    <cellStyle name="超级链接_AIAgz cashflow2002 " xfId="952" xr:uid="{00000000-0005-0000-0000-0000CF040000}"/>
    <cellStyle name="超連結_SunMaster_Citi20040812" xfId="1268" xr:uid="{00000000-0005-0000-0000-0000D0040000}"/>
    <cellStyle name="分级显示行_2_TB" xfId="929" xr:uid="{00000000-0005-0000-0000-0000D1040000}"/>
    <cellStyle name="輔色1" xfId="1026" xr:uid="{00000000-0005-0000-0000-0000D2040000}"/>
    <cellStyle name="輔色2" xfId="1027" xr:uid="{00000000-0005-0000-0000-0000D3040000}"/>
    <cellStyle name="輔色3" xfId="1028" xr:uid="{00000000-0005-0000-0000-0000D4040000}"/>
    <cellStyle name="輔色4" xfId="1029" xr:uid="{00000000-0005-0000-0000-0000D5040000}"/>
    <cellStyle name="輔色5" xfId="1030" xr:uid="{00000000-0005-0000-0000-0000D6040000}"/>
    <cellStyle name="輔色6" xfId="1031" xr:uid="{00000000-0005-0000-0000-0000D7040000}"/>
    <cellStyle name="归盒啦_95" xfId="942" xr:uid="{00000000-0005-0000-0000-0000D8040000}"/>
    <cellStyle name="好" xfId="1032" xr:uid="{00000000-0005-0000-0000-0000D9040000}"/>
    <cellStyle name="好 2" xfId="1033" xr:uid="{00000000-0005-0000-0000-0000DA040000}"/>
    <cellStyle name="好 2 2" xfId="1269" xr:uid="{00000000-0005-0000-0000-0000DB040000}"/>
    <cellStyle name="好_AIA-AAAA" xfId="1270" xr:uid="{00000000-0005-0000-0000-0000DC040000}"/>
    <cellStyle name="好_Chart of Account" xfId="1271" xr:uid="{00000000-0005-0000-0000-0000DD040000}"/>
    <cellStyle name="好_F-CODE-090410" xfId="1272" xr:uid="{00000000-0005-0000-0000-0000DE040000}"/>
    <cellStyle name="好_SunMaster_090407" xfId="1273" xr:uid="{00000000-0005-0000-0000-0000DF040000}"/>
    <cellStyle name="好_SunMaster_1202" xfId="1274" xr:uid="{00000000-0005-0000-0000-0000E0040000}"/>
    <cellStyle name="好_ZJC_LOAD_ZACCTAIA2_all_v3.4" xfId="1275" xr:uid="{00000000-0005-0000-0000-0000E1040000}"/>
    <cellStyle name="好_ZJC_LOAD_ZACCTAIA2_all_v3.5" xfId="1276" xr:uid="{00000000-0005-0000-0000-0000E2040000}"/>
    <cellStyle name="合計" xfId="1034" xr:uid="{00000000-0005-0000-0000-0000E3040000}"/>
    <cellStyle name="桁区切り [0.00]_By-Line form" xfId="946" xr:uid="{00000000-0005-0000-0000-0000E4040000}"/>
    <cellStyle name="桁区切り_Sun_America-PL_WS" xfId="947" xr:uid="{00000000-0005-0000-0000-0000E5040000}"/>
    <cellStyle name="后继超级链接_AIAgz cashflow2002 " xfId="937" xr:uid="{00000000-0005-0000-0000-0000E6040000}"/>
    <cellStyle name="壞" xfId="1035" xr:uid="{00000000-0005-0000-0000-0000E7040000}"/>
    <cellStyle name="汇总" xfId="1036" xr:uid="{00000000-0005-0000-0000-0000E8040000}"/>
    <cellStyle name="汇总 2" xfId="1277" xr:uid="{00000000-0005-0000-0000-0000E9040000}"/>
    <cellStyle name="貨幣[0]_laroux" xfId="1310" xr:uid="{00000000-0005-0000-0000-0000EA040000}"/>
    <cellStyle name="计算" xfId="1037" xr:uid="{00000000-0005-0000-0000-0000EB040000}"/>
    <cellStyle name="计算 2" xfId="1278" xr:uid="{00000000-0005-0000-0000-0000EC040000}"/>
    <cellStyle name="計算方式" xfId="1038" xr:uid="{00000000-0005-0000-0000-0000ED040000}"/>
    <cellStyle name="检查单元格" xfId="1039" xr:uid="{00000000-0005-0000-0000-0000EE040000}"/>
    <cellStyle name="检查单元格 2" xfId="1279" xr:uid="{00000000-0005-0000-0000-0000EF040000}"/>
    <cellStyle name="檢查儲存格" xfId="1040" xr:uid="{00000000-0005-0000-0000-0000F0040000}"/>
    <cellStyle name="解释性文本" xfId="1041" xr:uid="{00000000-0005-0000-0000-0000F1040000}"/>
    <cellStyle name="解释性文本 2" xfId="1280" xr:uid="{00000000-0005-0000-0000-0000F2040000}"/>
    <cellStyle name="警告文本" xfId="1042" xr:uid="{00000000-0005-0000-0000-0000F3040000}"/>
    <cellStyle name="警告文本 2" xfId="1281" xr:uid="{00000000-0005-0000-0000-0000F4040000}"/>
    <cellStyle name="警告文字" xfId="1043" xr:uid="{00000000-0005-0000-0000-0000F5040000}"/>
    <cellStyle name="連結的儲存格" xfId="1044" xr:uid="{00000000-0005-0000-0000-0000F6040000}"/>
    <cellStyle name="链接单元格" xfId="1045" xr:uid="{00000000-0005-0000-0000-0000F7040000}"/>
    <cellStyle name="链接单元格 2" xfId="1282" xr:uid="{00000000-0005-0000-0000-0000F8040000}"/>
    <cellStyle name="霓付 [0]_95" xfId="954" xr:uid="{00000000-0005-0000-0000-0000F9040000}"/>
    <cellStyle name="霓付_95" xfId="955" xr:uid="{00000000-0005-0000-0000-0000FA040000}"/>
    <cellStyle name="烹拳 [0]_95" xfId="949" xr:uid="{00000000-0005-0000-0000-0000FB040000}"/>
    <cellStyle name="烹拳_95" xfId="950" xr:uid="{00000000-0005-0000-0000-0000FC040000}"/>
    <cellStyle name="普通_ 白土" xfId="944" xr:uid="{00000000-0005-0000-0000-0000FD040000}"/>
    <cellStyle name="千分位[0]_ 白土" xfId="935" xr:uid="{00000000-0005-0000-0000-0000FE040000}"/>
    <cellStyle name="千分位_ 白土" xfId="936" xr:uid="{00000000-0005-0000-0000-0000FF040000}"/>
    <cellStyle name="千位[0]_Balance" xfId="930" xr:uid="{00000000-0005-0000-0000-000000050000}"/>
    <cellStyle name="千位_Balance" xfId="931" xr:uid="{00000000-0005-0000-0000-000001050000}"/>
    <cellStyle name="千位分隔 2" xfId="933" xr:uid="{00000000-0005-0000-0000-000002050000}"/>
    <cellStyle name="千位分隔 2 2" xfId="1283" xr:uid="{00000000-0005-0000-0000-000003050000}"/>
    <cellStyle name="千位分隔 2 3" xfId="1301" xr:uid="{00000000-0005-0000-0000-000004050000}"/>
    <cellStyle name="千位分隔 3" xfId="1177" xr:uid="{00000000-0005-0000-0000-000005050000}"/>
    <cellStyle name="千位分隔 4" xfId="1298" xr:uid="{00000000-0005-0000-0000-000006050000}"/>
    <cellStyle name="千位分隔[0] 2" xfId="934" xr:uid="{00000000-0005-0000-0000-000007050000}"/>
    <cellStyle name="千位分隔[0] 2 2" xfId="1284" xr:uid="{00000000-0005-0000-0000-000008050000}"/>
    <cellStyle name="千位分隔[0] 2 3" xfId="1302" xr:uid="{00000000-0005-0000-0000-000009050000}"/>
    <cellStyle name="钎霖_4岿角利" xfId="953" xr:uid="{00000000-0005-0000-0000-00000A050000}"/>
    <cellStyle name="强调文字颜色 1" xfId="1046" xr:uid="{00000000-0005-0000-0000-00000B050000}"/>
    <cellStyle name="强调文字颜色 1 2" xfId="1285" xr:uid="{00000000-0005-0000-0000-00000C050000}"/>
    <cellStyle name="强调文字颜色 2" xfId="1047" xr:uid="{00000000-0005-0000-0000-00000D050000}"/>
    <cellStyle name="强调文字颜色 2 2" xfId="1286" xr:uid="{00000000-0005-0000-0000-00000E050000}"/>
    <cellStyle name="强调文字颜色 3" xfId="1048" xr:uid="{00000000-0005-0000-0000-00000F050000}"/>
    <cellStyle name="强调文字颜色 3 2" xfId="1287" xr:uid="{00000000-0005-0000-0000-000010050000}"/>
    <cellStyle name="强调文字颜色 4" xfId="1049" xr:uid="{00000000-0005-0000-0000-000011050000}"/>
    <cellStyle name="强调文字颜色 4 2" xfId="1288" xr:uid="{00000000-0005-0000-0000-000012050000}"/>
    <cellStyle name="强调文字颜色 5" xfId="1050" xr:uid="{00000000-0005-0000-0000-000013050000}"/>
    <cellStyle name="强调文字颜色 5 2" xfId="1289" xr:uid="{00000000-0005-0000-0000-000014050000}"/>
    <cellStyle name="强调文字颜色 6" xfId="1051" xr:uid="{00000000-0005-0000-0000-000015050000}"/>
    <cellStyle name="强调文字颜色 6 2" xfId="1290" xr:uid="{00000000-0005-0000-0000-000016050000}"/>
    <cellStyle name="审计调整分录" xfId="938" xr:uid="{00000000-0005-0000-0000-000017050000}"/>
    <cellStyle name="适中" xfId="1052" xr:uid="{00000000-0005-0000-0000-000018050000}"/>
    <cellStyle name="适中 2" xfId="1291" xr:uid="{00000000-0005-0000-0000-000019050000}"/>
    <cellStyle name="输出" xfId="1053" xr:uid="{00000000-0005-0000-0000-00001A050000}"/>
    <cellStyle name="输出 2" xfId="1292" xr:uid="{00000000-0005-0000-0000-00001B050000}"/>
    <cellStyle name="输入" xfId="1054" xr:uid="{00000000-0005-0000-0000-00001C050000}"/>
    <cellStyle name="输入 2" xfId="1293" xr:uid="{00000000-0005-0000-0000-00001D050000}"/>
    <cellStyle name="輸出" xfId="1055" xr:uid="{00000000-0005-0000-0000-00001E050000}"/>
    <cellStyle name="輸入" xfId="1056" xr:uid="{00000000-0005-0000-0000-00001F050000}"/>
    <cellStyle name="說明文字" xfId="1057" xr:uid="{00000000-0005-0000-0000-000020050000}"/>
    <cellStyle name="未定義" xfId="1308" xr:uid="{00000000-0005-0000-0000-000021050000}"/>
    <cellStyle name="样式 1" xfId="945" xr:uid="{00000000-0005-0000-0000-000022050000}"/>
    <cellStyle name="样式 1 2" xfId="1295" xr:uid="{00000000-0005-0000-0000-000023050000}"/>
    <cellStyle name="样式 1 3" xfId="1294" xr:uid="{00000000-0005-0000-0000-000024050000}"/>
    <cellStyle name="一般_2003原料進耗存表" xfId="928" xr:uid="{00000000-0005-0000-0000-000025050000}"/>
    <cellStyle name="昗弨_ Index" xfId="943" xr:uid="{00000000-0005-0000-0000-000026050000}"/>
    <cellStyle name="中等" xfId="1058" xr:uid="{00000000-0005-0000-0000-000027050000}"/>
    <cellStyle name="注释" xfId="1059" xr:uid="{00000000-0005-0000-0000-000028050000}"/>
    <cellStyle name="注释 2" xfId="1296" xr:uid="{00000000-0005-0000-0000-000029050000}"/>
  </cellStyles>
  <dxfs count="11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1485900</xdr:colOff>
          <xdr:row>0</xdr:row>
          <xdr:rowOff>352425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1485900</xdr:colOff>
          <xdr:row>0</xdr:row>
          <xdr:rowOff>723900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28575</xdr:rowOff>
        </xdr:from>
        <xdr:to>
          <xdr:col>13</xdr:col>
          <xdr:colOff>838200</xdr:colOff>
          <xdr:row>0</xdr:row>
          <xdr:rowOff>352425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1524000</xdr:colOff>
          <xdr:row>0</xdr:row>
          <xdr:rowOff>371475</xdr:rowOff>
        </xdr:from>
        <xdr:to>
          <xdr:col>13</xdr:col>
          <xdr:colOff>838200</xdr:colOff>
          <xdr:row>0</xdr:row>
          <xdr:rowOff>733425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workbookViewId="0">
      <selection activeCell="G27" sqref="G27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56" t="s">
        <v>116</v>
      </c>
      <c r="D1" s="156"/>
      <c r="E1" s="156"/>
      <c r="F1" s="156"/>
      <c r="G1" s="156"/>
      <c r="H1" s="156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8" t="s">
        <v>91</v>
      </c>
      <c r="G5" s="41"/>
      <c r="H5" s="40"/>
    </row>
    <row r="6" spans="1:45" ht="15">
      <c r="B6" s="17" t="s">
        <v>53</v>
      </c>
      <c r="C6" s="36" t="s">
        <v>112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2018005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126</v>
      </c>
      <c r="D8" s="26"/>
      <c r="E8" s="19"/>
      <c r="F8" s="45"/>
      <c r="G8" s="46"/>
      <c r="H8" s="40"/>
    </row>
    <row r="9" spans="1:45" ht="15">
      <c r="B9" s="17" t="s">
        <v>93</v>
      </c>
      <c r="C9" s="69" t="s">
        <v>140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9" t="s">
        <v>141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3"/>
      <c r="F12" s="4"/>
      <c r="G12" s="2"/>
      <c r="H12" s="2"/>
    </row>
    <row r="13" spans="1:45" ht="15">
      <c r="B13" s="30" t="s">
        <v>57</v>
      </c>
      <c r="C13" s="29"/>
      <c r="D13" s="28"/>
      <c r="E13" s="73"/>
      <c r="F13" s="78"/>
      <c r="G13" s="1"/>
      <c r="H13" s="1"/>
    </row>
    <row r="14" spans="1:45" ht="15">
      <c r="B14" s="30" t="s">
        <v>58</v>
      </c>
      <c r="C14" s="29"/>
      <c r="D14" s="28"/>
      <c r="E14" s="73"/>
      <c r="F14" s="74"/>
      <c r="G14" s="2"/>
      <c r="H14" s="2"/>
    </row>
    <row r="15" spans="1:45" ht="15">
      <c r="B15" s="30" t="s">
        <v>59</v>
      </c>
      <c r="C15" s="29"/>
      <c r="D15" s="28"/>
      <c r="E15" s="73"/>
      <c r="F15" s="2"/>
      <c r="G15" s="2"/>
      <c r="H15" s="2"/>
    </row>
    <row r="16" spans="1:45" ht="15">
      <c r="B16" s="30" t="s">
        <v>60</v>
      </c>
      <c r="C16" s="29"/>
      <c r="D16" s="28"/>
      <c r="E16" s="73"/>
      <c r="F16" s="75"/>
      <c r="G16" s="2"/>
      <c r="H16" s="2"/>
    </row>
    <row r="17" spans="2:8" ht="15">
      <c r="B17" s="31" t="s">
        <v>61</v>
      </c>
      <c r="C17" s="32"/>
      <c r="D17" s="28"/>
      <c r="E17" s="73"/>
      <c r="F17" s="2"/>
      <c r="G17" s="2"/>
      <c r="H17" s="2"/>
    </row>
    <row r="18" spans="2:8" ht="15" customHeight="1">
      <c r="B18" s="30" t="s">
        <v>62</v>
      </c>
      <c r="C18" s="29"/>
      <c r="D18" s="28"/>
      <c r="E18" s="73"/>
      <c r="F18" s="39"/>
      <c r="G18" s="76"/>
      <c r="H18" s="76"/>
    </row>
    <row r="19" spans="2:8" ht="15">
      <c r="B19" s="31" t="s">
        <v>63</v>
      </c>
      <c r="C19" s="32"/>
      <c r="D19" s="28"/>
      <c r="E19" s="73"/>
      <c r="F19" s="39"/>
      <c r="G19" s="2"/>
      <c r="H19" s="2"/>
    </row>
    <row r="20" spans="2:8" ht="15">
      <c r="B20" s="31" t="s">
        <v>64</v>
      </c>
      <c r="C20" s="32"/>
      <c r="D20" s="28"/>
      <c r="E20" s="73"/>
      <c r="F20" s="3"/>
      <c r="G20" s="3"/>
      <c r="H20" s="3"/>
    </row>
    <row r="21" spans="2:8" ht="15">
      <c r="B21" s="30" t="s">
        <v>65</v>
      </c>
      <c r="C21" s="29"/>
      <c r="D21" s="28"/>
      <c r="E21" s="73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7"/>
      <c r="F22" s="77"/>
      <c r="G22" s="77"/>
      <c r="H22" s="77"/>
    </row>
    <row r="23" spans="2:8">
      <c r="B23" s="12"/>
      <c r="C23" s="12"/>
      <c r="D23" s="12"/>
    </row>
    <row r="24" spans="2:8">
      <c r="B24" s="80" t="s">
        <v>125</v>
      </c>
      <c r="C24" s="12"/>
      <c r="D24" s="12"/>
    </row>
    <row r="25" spans="2:8">
      <c r="B25" s="12"/>
      <c r="C25" s="12"/>
      <c r="D25" s="12"/>
    </row>
    <row r="26" spans="2:8">
      <c r="B26" s="81" t="s">
        <v>121</v>
      </c>
      <c r="C26" s="81" t="s">
        <v>122</v>
      </c>
      <c r="D26" s="81" t="s">
        <v>123</v>
      </c>
      <c r="E26" s="81" t="s">
        <v>124</v>
      </c>
      <c r="F26" s="81" t="s">
        <v>137</v>
      </c>
      <c r="G26" s="81" t="s">
        <v>139</v>
      </c>
    </row>
    <row r="27" spans="2:8">
      <c r="B27" s="82"/>
      <c r="C27" s="82"/>
      <c r="D27" s="82"/>
      <c r="E27" s="82"/>
      <c r="F27" s="82"/>
      <c r="G27" s="82"/>
    </row>
    <row r="28" spans="2:8">
      <c r="B28" s="79"/>
    </row>
    <row r="29" spans="2:8">
      <c r="B29" s="79"/>
    </row>
  </sheetData>
  <mergeCells count="1">
    <mergeCell ref="C1:H1"/>
  </mergeCells>
  <phoneticPr fontId="8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  <pageSetUpPr fitToPage="1"/>
  </sheetPr>
  <dimension ref="A1:AD381"/>
  <sheetViews>
    <sheetView tabSelected="1" workbookViewId="0">
      <pane ySplit="2" topLeftCell="A3" activePane="bottomLeft" state="frozen"/>
      <selection pane="bottomLeft" activeCell="J8" sqref="J8"/>
    </sheetView>
  </sheetViews>
  <sheetFormatPr defaultColWidth="9.5703125" defaultRowHeight="14.25" outlineLevelCol="1"/>
  <cols>
    <col min="1" max="1" width="13.5703125" style="72" bestFit="1" customWidth="1"/>
    <col min="2" max="2" width="36.28515625" style="65" hidden="1" customWidth="1" outlineLevel="1"/>
    <col min="3" max="9" width="4.28515625" style="65" hidden="1" customWidth="1" outlineLevel="1"/>
    <col min="10" max="10" width="15.5703125" style="65" bestFit="1" customWidth="1" collapsed="1"/>
    <col min="11" max="11" width="12.28515625" style="101" bestFit="1" customWidth="1"/>
    <col min="12" max="12" width="29" style="66" customWidth="1"/>
    <col min="13" max="13" width="7.140625" style="95" customWidth="1"/>
    <col min="14" max="14" width="29.7109375" style="67" customWidth="1"/>
    <col min="15" max="15" width="17.85546875" style="67" bestFit="1" customWidth="1"/>
    <col min="16" max="16" width="8.28515625" style="104" customWidth="1"/>
    <col min="17" max="22" width="8.5703125" style="55" bestFit="1" customWidth="1"/>
    <col min="23" max="24" width="8.5703125" style="55" hidden="1" customWidth="1"/>
    <col min="25" max="25" width="8.5703125" style="55" bestFit="1" customWidth="1"/>
    <col min="26" max="26" width="14.5703125" style="96" bestFit="1" customWidth="1"/>
    <col min="27" max="27" width="17.85546875" style="88" bestFit="1" customWidth="1"/>
    <col min="28" max="28" width="9.5703125" style="88"/>
    <col min="29" max="16384" width="9.5703125" style="55"/>
  </cols>
  <sheetData>
    <row r="1" spans="1:30" ht="60" customHeight="1" thickBot="1">
      <c r="A1" s="70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99" t="s">
        <v>117</v>
      </c>
      <c r="L1" s="52"/>
      <c r="M1" s="94"/>
      <c r="N1" s="54"/>
      <c r="O1" s="54"/>
      <c r="P1" s="103"/>
      <c r="Q1" s="53"/>
      <c r="R1" s="53"/>
      <c r="S1" s="53"/>
      <c r="T1" s="53"/>
      <c r="U1" s="53"/>
      <c r="V1" s="53"/>
      <c r="W1" s="53"/>
      <c r="X1" s="53"/>
      <c r="Y1" s="53"/>
    </row>
    <row r="2" spans="1:30" s="64" customFormat="1" ht="27">
      <c r="A2" s="71" t="s">
        <v>138</v>
      </c>
      <c r="B2" s="56" t="s">
        <v>70</v>
      </c>
      <c r="C2" s="57" t="s">
        <v>71</v>
      </c>
      <c r="D2" s="57" t="s">
        <v>72</v>
      </c>
      <c r="E2" s="57" t="s">
        <v>73</v>
      </c>
      <c r="F2" s="57" t="s">
        <v>74</v>
      </c>
      <c r="G2" s="57" t="s">
        <v>75</v>
      </c>
      <c r="H2" s="57" t="s">
        <v>76</v>
      </c>
      <c r="I2" s="57" t="s">
        <v>77</v>
      </c>
      <c r="J2" s="58" t="s">
        <v>108</v>
      </c>
      <c r="K2" s="100" t="s">
        <v>78</v>
      </c>
      <c r="L2" s="59" t="s">
        <v>79</v>
      </c>
      <c r="M2" s="60" t="s">
        <v>80</v>
      </c>
      <c r="N2" s="60" t="s">
        <v>81</v>
      </c>
      <c r="O2" s="60" t="s">
        <v>82</v>
      </c>
      <c r="P2" s="61" t="s">
        <v>71</v>
      </c>
      <c r="Q2" s="61" t="s">
        <v>72</v>
      </c>
      <c r="R2" s="61" t="s">
        <v>73</v>
      </c>
      <c r="S2" s="61" t="s">
        <v>74</v>
      </c>
      <c r="T2" s="61" t="s">
        <v>75</v>
      </c>
      <c r="U2" s="61" t="s">
        <v>76</v>
      </c>
      <c r="V2" s="61" t="s">
        <v>77</v>
      </c>
      <c r="W2" s="62" t="s">
        <v>83</v>
      </c>
      <c r="X2" s="62" t="s">
        <v>84</v>
      </c>
      <c r="Y2" s="63" t="s">
        <v>85</v>
      </c>
      <c r="Z2" s="97">
        <v>6.6387499999999999</v>
      </c>
      <c r="AA2" s="89"/>
      <c r="AB2" s="89"/>
    </row>
    <row r="3" spans="1:30" s="108" customFormat="1">
      <c r="A3" s="122">
        <v>23100113</v>
      </c>
      <c r="B3" s="65"/>
      <c r="C3" s="65"/>
      <c r="D3" s="65"/>
      <c r="E3" s="65"/>
      <c r="F3" s="65"/>
      <c r="G3" s="65"/>
      <c r="H3" s="65"/>
      <c r="I3" s="65"/>
      <c r="J3" s="123" t="s">
        <v>143</v>
      </c>
      <c r="K3" s="124">
        <v>43251</v>
      </c>
      <c r="L3" s="125" t="s">
        <v>144</v>
      </c>
      <c r="M3" s="126" t="s">
        <v>145</v>
      </c>
      <c r="N3" s="127">
        <v>900</v>
      </c>
      <c r="O3" s="127">
        <v>900</v>
      </c>
      <c r="P3" s="67"/>
      <c r="Q3" s="128"/>
      <c r="S3" s="129"/>
      <c r="Y3" s="131" t="s">
        <v>146</v>
      </c>
      <c r="Z3" s="96"/>
      <c r="AA3" s="88"/>
      <c r="AB3" s="88"/>
    </row>
    <row r="4" spans="1:30" s="121" customFormat="1">
      <c r="A4" s="122" t="s">
        <v>142</v>
      </c>
      <c r="B4" s="65"/>
      <c r="C4" s="65"/>
      <c r="D4" s="65"/>
      <c r="E4" s="65"/>
      <c r="F4" s="65"/>
      <c r="G4" s="65"/>
      <c r="H4" s="65"/>
      <c r="I4" s="65"/>
      <c r="J4" s="123" t="s">
        <v>143</v>
      </c>
      <c r="K4" s="124">
        <v>43251</v>
      </c>
      <c r="L4" s="125" t="s">
        <v>144</v>
      </c>
      <c r="M4" s="126" t="s">
        <v>145</v>
      </c>
      <c r="N4" s="127">
        <v>-900</v>
      </c>
      <c r="O4" s="127">
        <v>-900</v>
      </c>
      <c r="P4" s="67"/>
      <c r="Q4" s="128"/>
      <c r="R4" s="108"/>
      <c r="S4" s="129"/>
      <c r="T4" s="108"/>
      <c r="U4" s="108"/>
      <c r="V4" s="108"/>
      <c r="W4" s="108"/>
      <c r="X4" s="108"/>
      <c r="Y4" s="131" t="s">
        <v>146</v>
      </c>
      <c r="Z4" s="108"/>
      <c r="AA4" s="120"/>
      <c r="AB4" s="120"/>
      <c r="AC4" s="120"/>
      <c r="AD4" s="120"/>
    </row>
    <row r="5" spans="1:30" s="121" customFormat="1">
      <c r="A5" s="132" t="s">
        <v>142</v>
      </c>
      <c r="B5" s="133"/>
      <c r="C5" s="134"/>
      <c r="D5" s="134"/>
      <c r="E5" s="134"/>
      <c r="F5" s="134"/>
      <c r="G5" s="134"/>
      <c r="H5" s="134"/>
      <c r="I5" s="134"/>
      <c r="J5" s="135" t="s">
        <v>147</v>
      </c>
      <c r="K5" s="124">
        <v>43251</v>
      </c>
      <c r="L5" s="136" t="s">
        <v>148</v>
      </c>
      <c r="M5" s="137" t="s">
        <v>149</v>
      </c>
      <c r="N5" s="108">
        <v>333308518.77999997</v>
      </c>
      <c r="O5" s="108">
        <v>333308518.77999997</v>
      </c>
      <c r="P5" s="138"/>
      <c r="Q5" s="139"/>
      <c r="R5" s="140"/>
      <c r="S5" s="141"/>
      <c r="T5" s="142"/>
      <c r="U5" s="143"/>
      <c r="V5" s="144"/>
      <c r="W5" s="143"/>
      <c r="X5" s="143"/>
      <c r="Y5" s="145" t="s">
        <v>150</v>
      </c>
      <c r="Z5" s="108"/>
      <c r="AA5" s="120"/>
      <c r="AB5" s="120"/>
      <c r="AC5" s="120"/>
      <c r="AD5" s="120"/>
    </row>
    <row r="6" spans="1:30" s="121" customFormat="1">
      <c r="A6" s="146">
        <v>15010703</v>
      </c>
      <c r="B6" s="133"/>
      <c r="C6" s="134"/>
      <c r="D6" s="134"/>
      <c r="E6" s="134"/>
      <c r="F6" s="134"/>
      <c r="G6" s="134"/>
      <c r="H6" s="134"/>
      <c r="I6" s="134"/>
      <c r="J6" s="135" t="s">
        <v>147</v>
      </c>
      <c r="K6" s="124">
        <v>43251</v>
      </c>
      <c r="L6" s="136" t="s">
        <v>148</v>
      </c>
      <c r="M6" s="137" t="s">
        <v>149</v>
      </c>
      <c r="N6" s="120">
        <v>-224925755.35000017</v>
      </c>
      <c r="O6" s="120">
        <v>-224925755.35000017</v>
      </c>
      <c r="P6" s="138"/>
      <c r="Q6" s="139"/>
      <c r="R6" s="140"/>
      <c r="S6" s="141"/>
      <c r="T6" s="142"/>
      <c r="U6" s="143"/>
      <c r="V6" s="144"/>
      <c r="W6" s="143"/>
      <c r="X6" s="143"/>
      <c r="Y6" s="145" t="s">
        <v>150</v>
      </c>
      <c r="Z6" s="108"/>
      <c r="AA6" s="120"/>
      <c r="AB6" s="120"/>
      <c r="AC6" s="120"/>
      <c r="AD6" s="120"/>
    </row>
    <row r="7" spans="1:30" s="121" customFormat="1">
      <c r="A7" s="146">
        <v>15010704</v>
      </c>
      <c r="B7" s="133"/>
      <c r="C7" s="134"/>
      <c r="D7" s="134"/>
      <c r="E7" s="134"/>
      <c r="F7" s="134"/>
      <c r="G7" s="134"/>
      <c r="H7" s="134"/>
      <c r="I7" s="134"/>
      <c r="J7" s="135" t="s">
        <v>147</v>
      </c>
      <c r="K7" s="124">
        <v>43251</v>
      </c>
      <c r="L7" s="136" t="s">
        <v>148</v>
      </c>
      <c r="M7" s="137" t="s">
        <v>149</v>
      </c>
      <c r="N7" s="120">
        <v>-39580333.509999983</v>
      </c>
      <c r="O7" s="120">
        <v>-39580333.509999983</v>
      </c>
      <c r="P7" s="138"/>
      <c r="Q7" s="139"/>
      <c r="R7" s="140"/>
      <c r="S7" s="141"/>
      <c r="T7" s="142"/>
      <c r="U7" s="143"/>
      <c r="V7" s="144"/>
      <c r="W7" s="143"/>
      <c r="X7" s="143"/>
      <c r="Y7" s="145" t="s">
        <v>150</v>
      </c>
      <c r="Z7" s="108"/>
      <c r="AA7" s="120"/>
      <c r="AB7" s="120"/>
      <c r="AC7" s="120"/>
      <c r="AD7" s="120"/>
    </row>
    <row r="8" spans="1:30" s="121" customFormat="1">
      <c r="A8" s="146">
        <v>15010705</v>
      </c>
      <c r="B8" s="133"/>
      <c r="C8" s="134"/>
      <c r="D8" s="134"/>
      <c r="E8" s="134"/>
      <c r="F8" s="134"/>
      <c r="G8" s="134"/>
      <c r="H8" s="134"/>
      <c r="I8" s="134"/>
      <c r="J8" s="135" t="s">
        <v>147</v>
      </c>
      <c r="K8" s="124">
        <v>43251</v>
      </c>
      <c r="L8" s="136" t="s">
        <v>148</v>
      </c>
      <c r="M8" s="137" t="s">
        <v>149</v>
      </c>
      <c r="N8" s="120">
        <v>-13582723.16</v>
      </c>
      <c r="O8" s="120">
        <v>-13582723.16</v>
      </c>
      <c r="P8" s="138"/>
      <c r="Q8" s="139"/>
      <c r="R8" s="140"/>
      <c r="S8" s="141"/>
      <c r="T8" s="142"/>
      <c r="U8" s="143"/>
      <c r="V8" s="144"/>
      <c r="W8" s="143"/>
      <c r="X8" s="143"/>
      <c r="Y8" s="145" t="s">
        <v>150</v>
      </c>
      <c r="Z8" s="108"/>
      <c r="AA8" s="120"/>
      <c r="AB8" s="120"/>
      <c r="AC8" s="120"/>
      <c r="AD8" s="120"/>
    </row>
    <row r="9" spans="1:30" s="121" customFormat="1">
      <c r="A9" s="146">
        <v>15010706</v>
      </c>
      <c r="B9" s="133"/>
      <c r="C9" s="134"/>
      <c r="D9" s="134"/>
      <c r="E9" s="134"/>
      <c r="F9" s="134"/>
      <c r="G9" s="134"/>
      <c r="H9" s="134"/>
      <c r="I9" s="134"/>
      <c r="J9" s="135" t="s">
        <v>147</v>
      </c>
      <c r="K9" s="124">
        <v>43251</v>
      </c>
      <c r="L9" s="136" t="s">
        <v>148</v>
      </c>
      <c r="M9" s="137" t="s">
        <v>149</v>
      </c>
      <c r="N9" s="120">
        <v>-17154743.300000004</v>
      </c>
      <c r="O9" s="120">
        <v>-17154743.300000004</v>
      </c>
      <c r="P9" s="138"/>
      <c r="Q9" s="139"/>
      <c r="R9" s="140"/>
      <c r="S9" s="141"/>
      <c r="T9" s="142"/>
      <c r="U9" s="143"/>
      <c r="V9" s="144"/>
      <c r="W9" s="143"/>
      <c r="X9" s="143"/>
      <c r="Y9" s="145" t="s">
        <v>150</v>
      </c>
      <c r="Z9" s="108"/>
      <c r="AA9" s="120"/>
      <c r="AB9" s="120"/>
      <c r="AC9" s="120"/>
      <c r="AD9" s="120"/>
    </row>
    <row r="10" spans="1:30" s="121" customFormat="1">
      <c r="A10" s="146">
        <v>15010707</v>
      </c>
      <c r="B10" s="133"/>
      <c r="C10" s="134"/>
      <c r="D10" s="134"/>
      <c r="E10" s="134"/>
      <c r="F10" s="134"/>
      <c r="G10" s="134"/>
      <c r="H10" s="134"/>
      <c r="I10" s="134"/>
      <c r="J10" s="135" t="s">
        <v>147</v>
      </c>
      <c r="K10" s="124">
        <v>43251</v>
      </c>
      <c r="L10" s="136" t="s">
        <v>148</v>
      </c>
      <c r="M10" s="137" t="s">
        <v>149</v>
      </c>
      <c r="N10" s="120">
        <v>-8778709.4300000016</v>
      </c>
      <c r="O10" s="120">
        <v>-8778709.4300000016</v>
      </c>
      <c r="P10" s="138"/>
      <c r="Q10" s="139"/>
      <c r="R10" s="140"/>
      <c r="S10" s="141"/>
      <c r="T10" s="142"/>
      <c r="U10" s="143"/>
      <c r="V10" s="144"/>
      <c r="W10" s="143"/>
      <c r="X10" s="143"/>
      <c r="Y10" s="145" t="s">
        <v>150</v>
      </c>
      <c r="Z10" s="108"/>
      <c r="AA10" s="120"/>
      <c r="AB10" s="120"/>
      <c r="AC10" s="120"/>
      <c r="AD10" s="120"/>
    </row>
    <row r="11" spans="1:30" s="121" customFormat="1">
      <c r="A11" s="146">
        <v>15010708</v>
      </c>
      <c r="B11" s="133"/>
      <c r="C11" s="134"/>
      <c r="D11" s="134"/>
      <c r="E11" s="134"/>
      <c r="F11" s="134"/>
      <c r="G11" s="134"/>
      <c r="H11" s="134"/>
      <c r="I11" s="134"/>
      <c r="J11" s="135" t="s">
        <v>147</v>
      </c>
      <c r="K11" s="124">
        <v>43251</v>
      </c>
      <c r="L11" s="136" t="s">
        <v>148</v>
      </c>
      <c r="M11" s="137" t="s">
        <v>149</v>
      </c>
      <c r="N11" s="120">
        <v>-11650897.490000004</v>
      </c>
      <c r="O11" s="120">
        <v>-11650897.490000004</v>
      </c>
      <c r="P11" s="138"/>
      <c r="Q11" s="139"/>
      <c r="R11" s="140"/>
      <c r="S11" s="141"/>
      <c r="T11" s="142"/>
      <c r="U11" s="143"/>
      <c r="V11" s="144"/>
      <c r="W11" s="143"/>
      <c r="X11" s="143"/>
      <c r="Y11" s="145" t="s">
        <v>150</v>
      </c>
      <c r="Z11" s="108"/>
      <c r="AA11" s="120"/>
      <c r="AB11" s="120"/>
      <c r="AC11" s="120"/>
      <c r="AD11" s="120"/>
    </row>
    <row r="12" spans="1:30" s="121" customFormat="1">
      <c r="A12" s="146">
        <v>15010709</v>
      </c>
      <c r="B12" s="133"/>
      <c r="C12" s="134"/>
      <c r="D12" s="134"/>
      <c r="E12" s="134"/>
      <c r="F12" s="134"/>
      <c r="G12" s="134"/>
      <c r="H12" s="134"/>
      <c r="I12" s="134"/>
      <c r="J12" s="135" t="s">
        <v>147</v>
      </c>
      <c r="K12" s="124">
        <v>43251</v>
      </c>
      <c r="L12" s="136" t="s">
        <v>148</v>
      </c>
      <c r="M12" s="137" t="s">
        <v>149</v>
      </c>
      <c r="N12" s="120">
        <v>-9376615.1199999992</v>
      </c>
      <c r="O12" s="120">
        <v>-9376615.1199999992</v>
      </c>
      <c r="P12" s="138"/>
      <c r="Q12" s="139"/>
      <c r="R12" s="140"/>
      <c r="S12" s="141"/>
      <c r="T12" s="142"/>
      <c r="U12" s="143"/>
      <c r="V12" s="144"/>
      <c r="W12" s="143"/>
      <c r="X12" s="143"/>
      <c r="Y12" s="145" t="s">
        <v>150</v>
      </c>
      <c r="Z12" s="108"/>
      <c r="AA12" s="120"/>
      <c r="AB12" s="120"/>
      <c r="AC12" s="120"/>
      <c r="AD12" s="120"/>
    </row>
    <row r="13" spans="1:30" s="121" customFormat="1">
      <c r="A13" s="146">
        <v>15010710</v>
      </c>
      <c r="B13" s="133"/>
      <c r="C13" s="134"/>
      <c r="D13" s="134"/>
      <c r="E13" s="134"/>
      <c r="F13" s="134"/>
      <c r="G13" s="134"/>
      <c r="H13" s="134"/>
      <c r="I13" s="134"/>
      <c r="J13" s="135" t="s">
        <v>147</v>
      </c>
      <c r="K13" s="124">
        <v>43251</v>
      </c>
      <c r="L13" s="136" t="s">
        <v>148</v>
      </c>
      <c r="M13" s="137" t="s">
        <v>149</v>
      </c>
      <c r="N13" s="120">
        <v>-4906612.6399999987</v>
      </c>
      <c r="O13" s="120">
        <v>-4906612.6399999987</v>
      </c>
      <c r="P13" s="138"/>
      <c r="Q13" s="139"/>
      <c r="R13" s="140"/>
      <c r="S13" s="141"/>
      <c r="T13" s="142"/>
      <c r="U13" s="143"/>
      <c r="V13" s="144"/>
      <c r="W13" s="143"/>
      <c r="X13" s="143"/>
      <c r="Y13" s="145" t="s">
        <v>150</v>
      </c>
      <c r="Z13" s="108"/>
      <c r="AA13" s="120"/>
      <c r="AB13" s="120"/>
      <c r="AC13" s="120"/>
      <c r="AD13" s="120"/>
    </row>
    <row r="14" spans="1:30" s="121" customFormat="1">
      <c r="A14" s="146">
        <v>15010711</v>
      </c>
      <c r="B14" s="133"/>
      <c r="C14" s="134"/>
      <c r="D14" s="134"/>
      <c r="E14" s="134"/>
      <c r="F14" s="134"/>
      <c r="G14" s="134"/>
      <c r="H14" s="134"/>
      <c r="I14" s="134"/>
      <c r="J14" s="135" t="s">
        <v>147</v>
      </c>
      <c r="K14" s="124">
        <v>43251</v>
      </c>
      <c r="L14" s="136" t="s">
        <v>148</v>
      </c>
      <c r="M14" s="137" t="s">
        <v>149</v>
      </c>
      <c r="N14" s="120">
        <v>-1869917.51</v>
      </c>
      <c r="O14" s="120">
        <v>-1869917.51</v>
      </c>
      <c r="P14" s="138"/>
      <c r="Q14" s="139"/>
      <c r="R14" s="140"/>
      <c r="S14" s="141"/>
      <c r="T14" s="142"/>
      <c r="U14" s="143"/>
      <c r="V14" s="144"/>
      <c r="W14" s="143"/>
      <c r="X14" s="143"/>
      <c r="Y14" s="145" t="s">
        <v>150</v>
      </c>
      <c r="Z14" s="108"/>
      <c r="AA14" s="120"/>
      <c r="AB14" s="120"/>
      <c r="AC14" s="120"/>
      <c r="AD14" s="120"/>
    </row>
    <row r="15" spans="1:30" s="121" customFormat="1">
      <c r="A15" s="146">
        <v>15010712</v>
      </c>
      <c r="B15" s="133"/>
      <c r="C15" s="134"/>
      <c r="D15" s="134"/>
      <c r="E15" s="134"/>
      <c r="F15" s="134"/>
      <c r="G15" s="134"/>
      <c r="H15" s="134"/>
      <c r="I15" s="134"/>
      <c r="J15" s="135" t="s">
        <v>147</v>
      </c>
      <c r="K15" s="124">
        <v>43251</v>
      </c>
      <c r="L15" s="136" t="s">
        <v>148</v>
      </c>
      <c r="M15" s="137" t="s">
        <v>149</v>
      </c>
      <c r="N15" s="120">
        <v>-1482211.27</v>
      </c>
      <c r="O15" s="120">
        <v>-1482211.27</v>
      </c>
      <c r="P15" s="138"/>
      <c r="Q15" s="139"/>
      <c r="R15" s="140"/>
      <c r="S15" s="141"/>
      <c r="T15" s="142"/>
      <c r="U15" s="143"/>
      <c r="V15" s="144"/>
      <c r="W15" s="143"/>
      <c r="X15" s="143"/>
      <c r="Y15" s="145" t="s">
        <v>150</v>
      </c>
      <c r="Z15" s="108"/>
      <c r="AA15" s="120"/>
      <c r="AB15" s="120"/>
      <c r="AC15" s="120"/>
      <c r="AD15" s="120"/>
    </row>
    <row r="16" spans="1:30" s="121" customFormat="1">
      <c r="A16" s="146">
        <v>15010703</v>
      </c>
      <c r="B16" s="122"/>
      <c r="C16" s="147"/>
      <c r="D16" s="147"/>
      <c r="E16" s="147"/>
      <c r="F16" s="147"/>
      <c r="G16" s="147"/>
      <c r="H16" s="147"/>
      <c r="I16" s="147"/>
      <c r="J16" s="123" t="s">
        <v>147</v>
      </c>
      <c r="K16" s="124">
        <v>43251</v>
      </c>
      <c r="L16" s="132" t="s">
        <v>148</v>
      </c>
      <c r="M16" s="126" t="s">
        <v>149</v>
      </c>
      <c r="N16" s="148">
        <v>224925755.35000017</v>
      </c>
      <c r="O16" s="148">
        <v>224925755.35000017</v>
      </c>
      <c r="P16" s="149"/>
      <c r="Q16" s="150"/>
      <c r="R16" s="151"/>
      <c r="S16" s="129"/>
      <c r="T16" s="152"/>
      <c r="U16" s="108"/>
      <c r="V16" s="153"/>
      <c r="W16" s="108"/>
      <c r="X16" s="108"/>
      <c r="Y16" s="130" t="s">
        <v>151</v>
      </c>
      <c r="Z16" s="108"/>
      <c r="AA16" s="120"/>
      <c r="AB16" s="120"/>
      <c r="AC16" s="120"/>
      <c r="AD16" s="120"/>
    </row>
    <row r="17" spans="1:30" s="121" customFormat="1">
      <c r="A17" s="146">
        <v>110103</v>
      </c>
      <c r="B17" s="122"/>
      <c r="C17" s="147"/>
      <c r="D17" s="147"/>
      <c r="E17" s="147"/>
      <c r="F17" s="147"/>
      <c r="G17" s="147"/>
      <c r="H17" s="147"/>
      <c r="I17" s="147"/>
      <c r="J17" s="123" t="s">
        <v>147</v>
      </c>
      <c r="K17" s="124">
        <v>43251</v>
      </c>
      <c r="L17" s="132" t="s">
        <v>148</v>
      </c>
      <c r="M17" s="126" t="s">
        <v>149</v>
      </c>
      <c r="N17" s="148">
        <f>-N16</f>
        <v>-224925755.35000017</v>
      </c>
      <c r="O17" s="148">
        <v>-224925755.35000017</v>
      </c>
      <c r="P17" s="149"/>
      <c r="Q17" s="150"/>
      <c r="R17" s="151"/>
      <c r="S17" s="129"/>
      <c r="T17" s="152"/>
      <c r="U17" s="108"/>
      <c r="V17" s="153"/>
      <c r="W17" s="108"/>
      <c r="X17" s="108"/>
      <c r="Y17" s="130" t="s">
        <v>151</v>
      </c>
      <c r="Z17" s="108"/>
      <c r="AA17" s="120"/>
      <c r="AB17" s="120"/>
      <c r="AC17" s="120"/>
      <c r="AD17" s="120"/>
    </row>
    <row r="18" spans="1:30" s="121" customFormat="1">
      <c r="A18" s="146">
        <v>15010704</v>
      </c>
      <c r="B18" s="122"/>
      <c r="C18" s="147"/>
      <c r="D18" s="147"/>
      <c r="E18" s="147"/>
      <c r="F18" s="147"/>
      <c r="G18" s="147"/>
      <c r="H18" s="147"/>
      <c r="I18" s="147"/>
      <c r="J18" s="123" t="s">
        <v>147</v>
      </c>
      <c r="K18" s="124">
        <v>43251</v>
      </c>
      <c r="L18" s="132" t="s">
        <v>148</v>
      </c>
      <c r="M18" s="126" t="s">
        <v>149</v>
      </c>
      <c r="N18" s="154">
        <v>39580333.509999983</v>
      </c>
      <c r="O18" s="154">
        <v>39580333.509999983</v>
      </c>
      <c r="P18" s="149"/>
      <c r="Q18" s="150"/>
      <c r="R18" s="151"/>
      <c r="S18" s="129"/>
      <c r="T18" s="152"/>
      <c r="U18" s="108"/>
      <c r="V18" s="153"/>
      <c r="W18" s="108"/>
      <c r="X18" s="108"/>
      <c r="Y18" s="130" t="s">
        <v>152</v>
      </c>
      <c r="Z18" s="108"/>
      <c r="AA18" s="120"/>
      <c r="AB18" s="120"/>
      <c r="AC18" s="120"/>
      <c r="AD18" s="120"/>
    </row>
    <row r="19" spans="1:30" s="121" customFormat="1">
      <c r="A19" s="146">
        <v>110103</v>
      </c>
      <c r="B19" s="122"/>
      <c r="C19" s="147"/>
      <c r="D19" s="147"/>
      <c r="E19" s="147"/>
      <c r="F19" s="147"/>
      <c r="G19" s="147"/>
      <c r="H19" s="147"/>
      <c r="I19" s="147"/>
      <c r="J19" s="123" t="s">
        <v>147</v>
      </c>
      <c r="K19" s="124">
        <v>43251</v>
      </c>
      <c r="L19" s="132" t="s">
        <v>148</v>
      </c>
      <c r="M19" s="126" t="s">
        <v>149</v>
      </c>
      <c r="N19" s="148">
        <f>-N18</f>
        <v>-39580333.509999983</v>
      </c>
      <c r="O19" s="148">
        <v>-39580333.509999983</v>
      </c>
      <c r="P19" s="149"/>
      <c r="Q19" s="150"/>
      <c r="R19" s="151"/>
      <c r="S19" s="129"/>
      <c r="T19" s="152"/>
      <c r="U19" s="108"/>
      <c r="V19" s="153"/>
      <c r="W19" s="108"/>
      <c r="X19" s="108"/>
      <c r="Y19" s="130" t="s">
        <v>152</v>
      </c>
      <c r="Z19" s="108"/>
      <c r="AA19" s="120"/>
      <c r="AB19" s="120"/>
      <c r="AC19" s="120"/>
      <c r="AD19" s="120"/>
    </row>
    <row r="20" spans="1:30" s="121" customFormat="1">
      <c r="A20" s="146">
        <v>15010705</v>
      </c>
      <c r="B20" s="122"/>
      <c r="C20" s="147"/>
      <c r="D20" s="147"/>
      <c r="E20" s="147"/>
      <c r="F20" s="147"/>
      <c r="G20" s="147"/>
      <c r="H20" s="147"/>
      <c r="I20" s="147"/>
      <c r="J20" s="123" t="s">
        <v>147</v>
      </c>
      <c r="K20" s="124">
        <v>43251</v>
      </c>
      <c r="L20" s="132" t="s">
        <v>148</v>
      </c>
      <c r="M20" s="126" t="s">
        <v>149</v>
      </c>
      <c r="N20" s="154">
        <v>13582723.16</v>
      </c>
      <c r="O20" s="154">
        <v>13582723.16</v>
      </c>
      <c r="P20" s="149"/>
      <c r="Q20" s="150"/>
      <c r="R20" s="151"/>
      <c r="S20" s="129"/>
      <c r="T20" s="152"/>
      <c r="U20" s="108"/>
      <c r="V20" s="153"/>
      <c r="W20" s="108"/>
      <c r="X20" s="108"/>
      <c r="Y20" s="130" t="s">
        <v>153</v>
      </c>
      <c r="Z20" s="108"/>
      <c r="AA20" s="120"/>
      <c r="AB20" s="120"/>
      <c r="AC20" s="120"/>
      <c r="AD20" s="120"/>
    </row>
    <row r="21" spans="1:30" s="121" customFormat="1">
      <c r="A21" s="146">
        <v>110103</v>
      </c>
      <c r="B21" s="122"/>
      <c r="C21" s="147"/>
      <c r="D21" s="147"/>
      <c r="E21" s="147"/>
      <c r="F21" s="147"/>
      <c r="G21" s="147"/>
      <c r="H21" s="147"/>
      <c r="I21" s="147"/>
      <c r="J21" s="123" t="s">
        <v>147</v>
      </c>
      <c r="K21" s="124">
        <v>43251</v>
      </c>
      <c r="L21" s="132" t="s">
        <v>148</v>
      </c>
      <c r="M21" s="126" t="s">
        <v>149</v>
      </c>
      <c r="N21" s="148">
        <f>-N20</f>
        <v>-13582723.16</v>
      </c>
      <c r="O21" s="148">
        <v>-13582723.16</v>
      </c>
      <c r="P21" s="149"/>
      <c r="Q21" s="150"/>
      <c r="R21" s="151"/>
      <c r="S21" s="129"/>
      <c r="T21" s="152"/>
      <c r="U21" s="108"/>
      <c r="V21" s="153"/>
      <c r="W21" s="108"/>
      <c r="X21" s="108"/>
      <c r="Y21" s="130" t="s">
        <v>153</v>
      </c>
      <c r="Z21" s="108"/>
      <c r="AA21" s="120"/>
      <c r="AB21" s="120"/>
      <c r="AC21" s="120"/>
      <c r="AD21" s="120"/>
    </row>
    <row r="22" spans="1:30" s="121" customFormat="1">
      <c r="A22" s="146">
        <v>15010706</v>
      </c>
      <c r="B22" s="122"/>
      <c r="C22" s="147"/>
      <c r="D22" s="147"/>
      <c r="E22" s="147"/>
      <c r="F22" s="147"/>
      <c r="G22" s="147"/>
      <c r="H22" s="147"/>
      <c r="I22" s="147"/>
      <c r="J22" s="123" t="s">
        <v>147</v>
      </c>
      <c r="K22" s="124">
        <v>43251</v>
      </c>
      <c r="L22" s="132" t="s">
        <v>148</v>
      </c>
      <c r="M22" s="126" t="s">
        <v>149</v>
      </c>
      <c r="N22" s="154">
        <v>17154743.300000004</v>
      </c>
      <c r="O22" s="154">
        <v>17154743.300000004</v>
      </c>
      <c r="P22" s="149"/>
      <c r="Q22" s="150"/>
      <c r="R22" s="151"/>
      <c r="S22" s="129"/>
      <c r="T22" s="152"/>
      <c r="U22" s="108"/>
      <c r="V22" s="153"/>
      <c r="W22" s="108"/>
      <c r="X22" s="108"/>
      <c r="Y22" s="130" t="s">
        <v>154</v>
      </c>
      <c r="Z22" s="108"/>
      <c r="AA22" s="120"/>
      <c r="AB22" s="120"/>
      <c r="AC22" s="120"/>
      <c r="AD22" s="120"/>
    </row>
    <row r="23" spans="1:30" s="121" customFormat="1">
      <c r="A23" s="146">
        <v>110103</v>
      </c>
      <c r="B23" s="122"/>
      <c r="C23" s="147"/>
      <c r="D23" s="147"/>
      <c r="E23" s="147"/>
      <c r="F23" s="147"/>
      <c r="G23" s="147"/>
      <c r="H23" s="147"/>
      <c r="I23" s="147"/>
      <c r="J23" s="123" t="s">
        <v>147</v>
      </c>
      <c r="K23" s="124">
        <v>43251</v>
      </c>
      <c r="L23" s="132" t="s">
        <v>148</v>
      </c>
      <c r="M23" s="126" t="s">
        <v>149</v>
      </c>
      <c r="N23" s="148">
        <f>-N22</f>
        <v>-17154743.300000004</v>
      </c>
      <c r="O23" s="148">
        <v>-17154743.300000004</v>
      </c>
      <c r="P23" s="149"/>
      <c r="Q23" s="150"/>
      <c r="R23" s="151"/>
      <c r="S23" s="129"/>
      <c r="T23" s="152"/>
      <c r="U23" s="108"/>
      <c r="V23" s="153"/>
      <c r="W23" s="108"/>
      <c r="X23" s="108"/>
      <c r="Y23" s="130" t="s">
        <v>154</v>
      </c>
      <c r="Z23" s="108"/>
      <c r="AA23" s="120"/>
      <c r="AB23" s="120"/>
      <c r="AC23" s="120"/>
      <c r="AD23" s="120"/>
    </row>
    <row r="24" spans="1:30" s="121" customFormat="1">
      <c r="A24" s="146">
        <v>15010707</v>
      </c>
      <c r="B24" s="122"/>
      <c r="C24" s="147"/>
      <c r="D24" s="147"/>
      <c r="E24" s="147"/>
      <c r="F24" s="147"/>
      <c r="G24" s="147"/>
      <c r="H24" s="147"/>
      <c r="I24" s="147"/>
      <c r="J24" s="123" t="s">
        <v>147</v>
      </c>
      <c r="K24" s="124">
        <v>43251</v>
      </c>
      <c r="L24" s="132" t="s">
        <v>148</v>
      </c>
      <c r="M24" s="126" t="s">
        <v>149</v>
      </c>
      <c r="N24" s="154">
        <v>8778709.4300000016</v>
      </c>
      <c r="O24" s="154">
        <v>8778709.4300000016</v>
      </c>
      <c r="P24" s="149"/>
      <c r="Q24" s="150"/>
      <c r="R24" s="151"/>
      <c r="S24" s="129"/>
      <c r="T24" s="152"/>
      <c r="U24" s="108"/>
      <c r="V24" s="153"/>
      <c r="W24" s="108"/>
      <c r="X24" s="108"/>
      <c r="Y24" s="130" t="s">
        <v>155</v>
      </c>
      <c r="Z24" s="108"/>
      <c r="AA24" s="120"/>
      <c r="AB24" s="120"/>
      <c r="AC24" s="120"/>
      <c r="AD24" s="120"/>
    </row>
    <row r="25" spans="1:30" s="121" customFormat="1">
      <c r="A25" s="146">
        <v>110103</v>
      </c>
      <c r="B25" s="122"/>
      <c r="C25" s="147"/>
      <c r="D25" s="147"/>
      <c r="E25" s="147"/>
      <c r="F25" s="147"/>
      <c r="G25" s="147"/>
      <c r="H25" s="147"/>
      <c r="I25" s="147"/>
      <c r="J25" s="123" t="s">
        <v>147</v>
      </c>
      <c r="K25" s="124">
        <v>43251</v>
      </c>
      <c r="L25" s="132" t="s">
        <v>148</v>
      </c>
      <c r="M25" s="126" t="s">
        <v>149</v>
      </c>
      <c r="N25" s="148">
        <f>-N24</f>
        <v>-8778709.4300000016</v>
      </c>
      <c r="O25" s="148">
        <v>-8778709.4300000016</v>
      </c>
      <c r="P25" s="149"/>
      <c r="Q25" s="150"/>
      <c r="R25" s="151"/>
      <c r="S25" s="129"/>
      <c r="T25" s="152"/>
      <c r="U25" s="108"/>
      <c r="V25" s="153"/>
      <c r="W25" s="108"/>
      <c r="X25" s="108"/>
      <c r="Y25" s="130" t="s">
        <v>155</v>
      </c>
      <c r="Z25" s="108"/>
      <c r="AA25" s="120"/>
      <c r="AB25" s="120"/>
      <c r="AC25" s="120"/>
      <c r="AD25" s="120"/>
    </row>
    <row r="26" spans="1:30" s="121" customFormat="1">
      <c r="A26" s="146">
        <v>15010708</v>
      </c>
      <c r="B26" s="122"/>
      <c r="C26" s="147"/>
      <c r="D26" s="147"/>
      <c r="E26" s="147"/>
      <c r="F26" s="147"/>
      <c r="G26" s="147"/>
      <c r="H26" s="147"/>
      <c r="I26" s="147"/>
      <c r="J26" s="123" t="s">
        <v>147</v>
      </c>
      <c r="K26" s="124">
        <v>43251</v>
      </c>
      <c r="L26" s="132" t="s">
        <v>148</v>
      </c>
      <c r="M26" s="126" t="s">
        <v>149</v>
      </c>
      <c r="N26" s="154">
        <v>11650897.490000004</v>
      </c>
      <c r="O26" s="154">
        <v>11650897.490000004</v>
      </c>
      <c r="P26" s="149"/>
      <c r="Q26" s="150"/>
      <c r="R26" s="151"/>
      <c r="S26" s="129"/>
      <c r="T26" s="152"/>
      <c r="U26" s="108"/>
      <c r="V26" s="153"/>
      <c r="W26" s="108"/>
      <c r="X26" s="108"/>
      <c r="Y26" s="130" t="s">
        <v>156</v>
      </c>
      <c r="Z26" s="108"/>
      <c r="AA26" s="120"/>
      <c r="AB26" s="120"/>
      <c r="AC26" s="120"/>
      <c r="AD26" s="120"/>
    </row>
    <row r="27" spans="1:30" s="121" customFormat="1">
      <c r="A27" s="146">
        <v>110103</v>
      </c>
      <c r="B27" s="122"/>
      <c r="C27" s="147"/>
      <c r="D27" s="147"/>
      <c r="E27" s="147"/>
      <c r="F27" s="147"/>
      <c r="G27" s="147"/>
      <c r="H27" s="147"/>
      <c r="I27" s="147"/>
      <c r="J27" s="123" t="s">
        <v>147</v>
      </c>
      <c r="K27" s="124">
        <v>43251</v>
      </c>
      <c r="L27" s="132" t="s">
        <v>148</v>
      </c>
      <c r="M27" s="126" t="s">
        <v>149</v>
      </c>
      <c r="N27" s="148">
        <f>-N26</f>
        <v>-11650897.490000004</v>
      </c>
      <c r="O27" s="148">
        <v>-11650897.490000004</v>
      </c>
      <c r="P27" s="149"/>
      <c r="Q27" s="150"/>
      <c r="R27" s="151"/>
      <c r="S27" s="129"/>
      <c r="T27" s="152"/>
      <c r="U27" s="108"/>
      <c r="V27" s="153"/>
      <c r="W27" s="108"/>
      <c r="X27" s="108"/>
      <c r="Y27" s="130" t="s">
        <v>156</v>
      </c>
      <c r="Z27" s="108"/>
      <c r="AA27" s="120"/>
      <c r="AB27" s="120"/>
      <c r="AC27" s="120"/>
      <c r="AD27" s="120"/>
    </row>
    <row r="28" spans="1:30" s="121" customFormat="1">
      <c r="A28" s="146">
        <v>15010709</v>
      </c>
      <c r="B28" s="122"/>
      <c r="C28" s="147"/>
      <c r="D28" s="147"/>
      <c r="E28" s="147"/>
      <c r="F28" s="147"/>
      <c r="G28" s="147"/>
      <c r="H28" s="147"/>
      <c r="I28" s="147"/>
      <c r="J28" s="123" t="s">
        <v>147</v>
      </c>
      <c r="K28" s="124">
        <v>43251</v>
      </c>
      <c r="L28" s="132" t="s">
        <v>148</v>
      </c>
      <c r="M28" s="126" t="s">
        <v>149</v>
      </c>
      <c r="N28" s="154">
        <v>9376615.1199999992</v>
      </c>
      <c r="O28" s="154">
        <v>9376615.1199999992</v>
      </c>
      <c r="P28" s="149"/>
      <c r="Q28" s="150"/>
      <c r="R28" s="151"/>
      <c r="S28" s="129"/>
      <c r="T28" s="152"/>
      <c r="U28" s="108"/>
      <c r="V28" s="153"/>
      <c r="W28" s="108"/>
      <c r="X28" s="108"/>
      <c r="Y28" s="130" t="s">
        <v>157</v>
      </c>
      <c r="Z28" s="108"/>
      <c r="AA28" s="120"/>
      <c r="AB28" s="120"/>
      <c r="AC28" s="120"/>
      <c r="AD28" s="120"/>
    </row>
    <row r="29" spans="1:30" s="121" customFormat="1">
      <c r="A29" s="146">
        <v>110103</v>
      </c>
      <c r="B29" s="122"/>
      <c r="C29" s="147"/>
      <c r="D29" s="147"/>
      <c r="E29" s="147"/>
      <c r="F29" s="147"/>
      <c r="G29" s="147"/>
      <c r="H29" s="147"/>
      <c r="I29" s="147"/>
      <c r="J29" s="123" t="s">
        <v>147</v>
      </c>
      <c r="K29" s="124">
        <v>43251</v>
      </c>
      <c r="L29" s="132" t="s">
        <v>148</v>
      </c>
      <c r="M29" s="126" t="s">
        <v>149</v>
      </c>
      <c r="N29" s="148">
        <f>-N28</f>
        <v>-9376615.1199999992</v>
      </c>
      <c r="O29" s="148">
        <v>-9376615.1199999992</v>
      </c>
      <c r="P29" s="149"/>
      <c r="Q29" s="150"/>
      <c r="R29" s="151"/>
      <c r="S29" s="129"/>
      <c r="T29" s="152"/>
      <c r="U29" s="108"/>
      <c r="V29" s="153"/>
      <c r="W29" s="108"/>
      <c r="X29" s="108"/>
      <c r="Y29" s="130" t="s">
        <v>157</v>
      </c>
      <c r="Z29" s="108"/>
      <c r="AA29" s="120"/>
      <c r="AB29" s="120"/>
      <c r="AC29" s="120"/>
      <c r="AD29" s="120"/>
    </row>
    <row r="30" spans="1:30" s="121" customFormat="1">
      <c r="A30" s="146">
        <v>15010710</v>
      </c>
      <c r="B30" s="122"/>
      <c r="C30" s="147"/>
      <c r="D30" s="147"/>
      <c r="E30" s="147"/>
      <c r="F30" s="147"/>
      <c r="G30" s="147"/>
      <c r="H30" s="147"/>
      <c r="I30" s="147"/>
      <c r="J30" s="123" t="s">
        <v>147</v>
      </c>
      <c r="K30" s="124">
        <v>43251</v>
      </c>
      <c r="L30" s="132" t="s">
        <v>148</v>
      </c>
      <c r="M30" s="126" t="s">
        <v>149</v>
      </c>
      <c r="N30" s="154">
        <v>4906612.6399999987</v>
      </c>
      <c r="O30" s="154">
        <v>4906612.6399999987</v>
      </c>
      <c r="P30" s="149"/>
      <c r="Q30" s="150"/>
      <c r="R30" s="151"/>
      <c r="S30" s="129"/>
      <c r="T30" s="152"/>
      <c r="U30" s="108"/>
      <c r="V30" s="153"/>
      <c r="W30" s="108"/>
      <c r="X30" s="108"/>
      <c r="Y30" s="130" t="s">
        <v>158</v>
      </c>
      <c r="Z30" s="108"/>
      <c r="AA30" s="120"/>
      <c r="AB30" s="120"/>
      <c r="AC30" s="120"/>
      <c r="AD30" s="120"/>
    </row>
    <row r="31" spans="1:30" s="121" customFormat="1">
      <c r="A31" s="146">
        <v>110103</v>
      </c>
      <c r="B31" s="122"/>
      <c r="C31" s="147"/>
      <c r="D31" s="147"/>
      <c r="E31" s="147"/>
      <c r="F31" s="147"/>
      <c r="G31" s="147"/>
      <c r="H31" s="147"/>
      <c r="I31" s="147"/>
      <c r="J31" s="123" t="s">
        <v>147</v>
      </c>
      <c r="K31" s="124">
        <v>43251</v>
      </c>
      <c r="L31" s="132" t="s">
        <v>148</v>
      </c>
      <c r="M31" s="126" t="s">
        <v>149</v>
      </c>
      <c r="N31" s="148">
        <f>-N30</f>
        <v>-4906612.6399999987</v>
      </c>
      <c r="O31" s="148">
        <v>-4906612.6399999987</v>
      </c>
      <c r="P31" s="149"/>
      <c r="Q31" s="150"/>
      <c r="R31" s="151"/>
      <c r="S31" s="129"/>
      <c r="T31" s="152"/>
      <c r="U31" s="108"/>
      <c r="V31" s="153"/>
      <c r="W31" s="108"/>
      <c r="X31" s="108"/>
      <c r="Y31" s="130" t="s">
        <v>158</v>
      </c>
      <c r="Z31" s="108"/>
      <c r="AA31" s="120"/>
      <c r="AB31" s="120"/>
      <c r="AC31" s="120"/>
      <c r="AD31" s="120"/>
    </row>
    <row r="32" spans="1:30" s="121" customFormat="1">
      <c r="A32" s="146">
        <v>15010711</v>
      </c>
      <c r="B32" s="122"/>
      <c r="C32" s="147"/>
      <c r="D32" s="147"/>
      <c r="E32" s="147"/>
      <c r="F32" s="147"/>
      <c r="G32" s="147"/>
      <c r="H32" s="147"/>
      <c r="I32" s="147"/>
      <c r="J32" s="123" t="s">
        <v>147</v>
      </c>
      <c r="K32" s="124">
        <v>43251</v>
      </c>
      <c r="L32" s="132" t="s">
        <v>148</v>
      </c>
      <c r="M32" s="126" t="s">
        <v>149</v>
      </c>
      <c r="N32" s="154">
        <v>1869917.51</v>
      </c>
      <c r="O32" s="154">
        <v>1869917.51</v>
      </c>
      <c r="P32" s="149"/>
      <c r="Q32" s="150"/>
      <c r="R32" s="151"/>
      <c r="S32" s="129"/>
      <c r="T32" s="152"/>
      <c r="U32" s="108"/>
      <c r="V32" s="153"/>
      <c r="W32" s="108"/>
      <c r="X32" s="108"/>
      <c r="Y32" s="130" t="s">
        <v>159</v>
      </c>
      <c r="Z32" s="108"/>
      <c r="AA32" s="120"/>
      <c r="AB32" s="120"/>
      <c r="AC32" s="120"/>
      <c r="AD32" s="120"/>
    </row>
    <row r="33" spans="1:30" s="121" customFormat="1">
      <c r="A33" s="146">
        <v>110103</v>
      </c>
      <c r="B33" s="122"/>
      <c r="C33" s="147"/>
      <c r="D33" s="147"/>
      <c r="E33" s="147"/>
      <c r="F33" s="147"/>
      <c r="G33" s="147"/>
      <c r="H33" s="147"/>
      <c r="I33" s="147"/>
      <c r="J33" s="123" t="s">
        <v>147</v>
      </c>
      <c r="K33" s="124">
        <v>43251</v>
      </c>
      <c r="L33" s="132" t="s">
        <v>148</v>
      </c>
      <c r="M33" s="126" t="s">
        <v>149</v>
      </c>
      <c r="N33" s="148">
        <f>-N32</f>
        <v>-1869917.51</v>
      </c>
      <c r="O33" s="148">
        <v>-1869917.51</v>
      </c>
      <c r="P33" s="149"/>
      <c r="Q33" s="150"/>
      <c r="R33" s="151"/>
      <c r="S33" s="129"/>
      <c r="T33" s="152"/>
      <c r="U33" s="108"/>
      <c r="V33" s="153"/>
      <c r="W33" s="108"/>
      <c r="X33" s="108"/>
      <c r="Y33" s="130" t="s">
        <v>159</v>
      </c>
      <c r="Z33" s="108"/>
      <c r="AA33" s="120"/>
      <c r="AB33" s="120"/>
      <c r="AC33" s="120"/>
      <c r="AD33" s="120"/>
    </row>
    <row r="34" spans="1:30" s="108" customFormat="1">
      <c r="A34" s="146">
        <v>15010712</v>
      </c>
      <c r="B34" s="122"/>
      <c r="C34" s="147"/>
      <c r="D34" s="147"/>
      <c r="E34" s="147"/>
      <c r="F34" s="147"/>
      <c r="G34" s="147"/>
      <c r="H34" s="147"/>
      <c r="I34" s="147"/>
      <c r="J34" s="123" t="s">
        <v>147</v>
      </c>
      <c r="K34" s="124">
        <v>43251</v>
      </c>
      <c r="L34" s="132" t="s">
        <v>148</v>
      </c>
      <c r="M34" s="126" t="s">
        <v>149</v>
      </c>
      <c r="N34" s="154">
        <v>1482211.27</v>
      </c>
      <c r="O34" s="154">
        <v>1482211.27</v>
      </c>
      <c r="P34" s="149"/>
      <c r="Q34" s="150"/>
      <c r="R34" s="151"/>
      <c r="S34" s="129"/>
      <c r="T34" s="152"/>
      <c r="V34" s="153"/>
      <c r="Y34" s="130" t="s">
        <v>160</v>
      </c>
      <c r="Z34" s="96"/>
      <c r="AA34" s="88"/>
      <c r="AB34" s="88"/>
    </row>
    <row r="35" spans="1:30" s="108" customFormat="1">
      <c r="A35" s="155">
        <v>110103</v>
      </c>
      <c r="B35" s="122"/>
      <c r="C35" s="147"/>
      <c r="D35" s="147"/>
      <c r="E35" s="147"/>
      <c r="F35" s="147"/>
      <c r="G35" s="147"/>
      <c r="H35" s="147"/>
      <c r="I35" s="147"/>
      <c r="J35" s="123" t="s">
        <v>147</v>
      </c>
      <c r="K35" s="124">
        <v>43251</v>
      </c>
      <c r="L35" s="132" t="s">
        <v>148</v>
      </c>
      <c r="M35" s="126" t="s">
        <v>149</v>
      </c>
      <c r="N35" s="148">
        <f>-N34</f>
        <v>-1482211.27</v>
      </c>
      <c r="O35" s="148">
        <v>-1482211.27</v>
      </c>
      <c r="P35" s="149"/>
      <c r="Q35" s="150"/>
      <c r="R35" s="151"/>
      <c r="S35" s="129"/>
      <c r="T35" s="152"/>
      <c r="V35" s="153"/>
      <c r="Y35" s="130" t="s">
        <v>160</v>
      </c>
      <c r="Z35" s="96"/>
      <c r="AA35" s="88"/>
      <c r="AB35" s="88"/>
    </row>
    <row r="36" spans="1:30" s="108" customFormat="1">
      <c r="A36" s="93"/>
      <c r="B36" s="109"/>
      <c r="C36" s="109"/>
      <c r="D36" s="109"/>
      <c r="E36" s="109"/>
      <c r="F36" s="109"/>
      <c r="G36" s="109"/>
      <c r="H36" s="109"/>
      <c r="I36" s="109"/>
      <c r="J36" s="65"/>
      <c r="K36" s="112"/>
      <c r="M36" s="119"/>
      <c r="N36" s="110"/>
      <c r="O36" s="105"/>
      <c r="P36" s="114"/>
      <c r="Y36" s="113"/>
      <c r="Z36" s="96"/>
      <c r="AA36" s="88"/>
      <c r="AB36" s="88"/>
    </row>
    <row r="37" spans="1:30" s="108" customFormat="1">
      <c r="A37" s="93"/>
      <c r="B37" s="109"/>
      <c r="C37" s="109"/>
      <c r="D37" s="109"/>
      <c r="E37" s="109"/>
      <c r="F37" s="109"/>
      <c r="G37" s="109"/>
      <c r="H37" s="109"/>
      <c r="I37" s="109"/>
      <c r="J37" s="65"/>
      <c r="K37" s="112"/>
      <c r="M37" s="119"/>
      <c r="N37" s="110"/>
      <c r="O37" s="105"/>
      <c r="P37" s="114"/>
      <c r="Y37" s="113"/>
      <c r="Z37" s="96"/>
      <c r="AA37" s="88"/>
      <c r="AB37" s="88"/>
    </row>
    <row r="38" spans="1:30" s="108" customFormat="1">
      <c r="A38" s="118"/>
      <c r="B38" s="109"/>
      <c r="C38" s="109"/>
      <c r="D38" s="109"/>
      <c r="E38" s="109"/>
      <c r="F38" s="109"/>
      <c r="G38" s="109"/>
      <c r="H38" s="109"/>
      <c r="I38" s="109"/>
      <c r="J38" s="65"/>
      <c r="K38" s="112"/>
      <c r="M38" s="95"/>
      <c r="N38" s="110"/>
      <c r="O38" s="105"/>
      <c r="P38" s="114"/>
      <c r="Y38" s="113"/>
      <c r="Z38" s="96"/>
      <c r="AA38" s="88"/>
      <c r="AB38" s="88"/>
    </row>
    <row r="39" spans="1:30" s="108" customFormat="1">
      <c r="A39" s="93"/>
      <c r="B39" s="109"/>
      <c r="C39" s="109"/>
      <c r="D39" s="109"/>
      <c r="E39" s="109"/>
      <c r="F39" s="109"/>
      <c r="G39" s="109"/>
      <c r="H39" s="109"/>
      <c r="I39" s="109"/>
      <c r="J39" s="65"/>
      <c r="K39" s="112"/>
      <c r="M39" s="95"/>
      <c r="N39" s="110"/>
      <c r="O39" s="105"/>
      <c r="P39" s="114"/>
      <c r="Y39" s="113"/>
      <c r="Z39" s="96"/>
      <c r="AA39" s="88"/>
      <c r="AB39" s="88"/>
    </row>
    <row r="40" spans="1:30" s="108" customFormat="1">
      <c r="A40" s="93"/>
      <c r="B40" s="109"/>
      <c r="C40" s="109"/>
      <c r="D40" s="109"/>
      <c r="E40" s="109"/>
      <c r="F40" s="109"/>
      <c r="G40" s="109"/>
      <c r="H40" s="109"/>
      <c r="I40" s="109"/>
      <c r="J40" s="65"/>
      <c r="K40" s="112"/>
      <c r="M40" s="95"/>
      <c r="N40" s="110"/>
      <c r="O40" s="105"/>
      <c r="P40" s="114"/>
      <c r="Y40" s="113"/>
      <c r="Z40" s="96"/>
      <c r="AA40" s="88"/>
      <c r="AB40" s="88"/>
    </row>
    <row r="41" spans="1:30" s="108" customFormat="1">
      <c r="A41" s="118"/>
      <c r="B41" s="109"/>
      <c r="C41" s="109"/>
      <c r="D41" s="109"/>
      <c r="E41" s="109"/>
      <c r="F41" s="109"/>
      <c r="G41" s="109"/>
      <c r="H41" s="109"/>
      <c r="I41" s="109"/>
      <c r="J41" s="65"/>
      <c r="K41" s="112"/>
      <c r="M41" s="119"/>
      <c r="N41" s="110"/>
      <c r="O41" s="105"/>
      <c r="P41" s="114"/>
      <c r="Y41" s="113"/>
      <c r="Z41" s="96"/>
      <c r="AA41" s="88"/>
      <c r="AB41" s="88"/>
    </row>
    <row r="42" spans="1:30" s="108" customFormat="1">
      <c r="A42" s="93"/>
      <c r="B42" s="109"/>
      <c r="C42" s="109"/>
      <c r="D42" s="109"/>
      <c r="E42" s="109"/>
      <c r="F42" s="109"/>
      <c r="G42" s="109"/>
      <c r="H42" s="109"/>
      <c r="I42" s="109"/>
      <c r="J42" s="65"/>
      <c r="K42" s="112"/>
      <c r="M42" s="119"/>
      <c r="N42" s="110"/>
      <c r="O42" s="105"/>
      <c r="P42" s="114"/>
      <c r="Y42" s="113"/>
      <c r="Z42" s="96"/>
      <c r="AA42" s="88"/>
      <c r="AB42" s="88"/>
    </row>
    <row r="43" spans="1:30" s="108" customFormat="1">
      <c r="A43" s="93"/>
      <c r="B43" s="109"/>
      <c r="C43" s="109"/>
      <c r="D43" s="109"/>
      <c r="E43" s="109"/>
      <c r="F43" s="109"/>
      <c r="G43" s="109"/>
      <c r="H43" s="109"/>
      <c r="I43" s="109"/>
      <c r="J43" s="65"/>
      <c r="K43" s="112"/>
      <c r="M43" s="119"/>
      <c r="N43" s="110"/>
      <c r="O43" s="105"/>
      <c r="P43" s="114"/>
      <c r="Y43" s="113"/>
      <c r="Z43" s="96"/>
      <c r="AA43" s="88"/>
      <c r="AB43" s="88"/>
    </row>
    <row r="44" spans="1:30" s="108" customFormat="1">
      <c r="A44" s="93"/>
      <c r="B44" s="109"/>
      <c r="C44" s="109"/>
      <c r="D44" s="109"/>
      <c r="E44" s="109"/>
      <c r="F44" s="109"/>
      <c r="G44" s="109"/>
      <c r="H44" s="109"/>
      <c r="I44" s="109"/>
      <c r="J44" s="65"/>
      <c r="K44" s="112"/>
      <c r="M44" s="119"/>
      <c r="N44" s="110"/>
      <c r="O44" s="105"/>
      <c r="P44" s="114"/>
      <c r="Y44" s="113"/>
      <c r="Z44" s="96"/>
      <c r="AA44" s="88"/>
      <c r="AB44" s="88"/>
    </row>
    <row r="45" spans="1:30" s="108" customFormat="1">
      <c r="A45" s="93"/>
      <c r="B45" s="109"/>
      <c r="C45" s="109"/>
      <c r="D45" s="109"/>
      <c r="E45" s="109"/>
      <c r="F45" s="109"/>
      <c r="G45" s="109"/>
      <c r="H45" s="109"/>
      <c r="I45" s="109"/>
      <c r="J45" s="65"/>
      <c r="K45" s="112"/>
      <c r="M45" s="119"/>
      <c r="N45" s="110"/>
      <c r="O45" s="105"/>
      <c r="P45" s="114"/>
      <c r="Y45" s="113"/>
      <c r="Z45" s="96"/>
      <c r="AA45" s="88"/>
      <c r="AB45" s="88"/>
    </row>
    <row r="46" spans="1:30" s="108" customFormat="1">
      <c r="A46" s="93"/>
      <c r="B46" s="109"/>
      <c r="C46" s="109"/>
      <c r="D46" s="109"/>
      <c r="E46" s="109"/>
      <c r="F46" s="109"/>
      <c r="G46" s="109"/>
      <c r="H46" s="109"/>
      <c r="I46" s="109"/>
      <c r="J46" s="65"/>
      <c r="K46" s="112"/>
      <c r="M46" s="119"/>
      <c r="N46" s="110"/>
      <c r="O46" s="105"/>
      <c r="P46" s="114"/>
      <c r="Y46" s="113"/>
      <c r="Z46" s="96"/>
      <c r="AA46" s="88"/>
      <c r="AB46" s="88"/>
    </row>
    <row r="47" spans="1:30" s="108" customFormat="1">
      <c r="A47" s="93"/>
      <c r="B47" s="109"/>
      <c r="C47" s="109"/>
      <c r="D47" s="109"/>
      <c r="E47" s="109"/>
      <c r="F47" s="109"/>
      <c r="G47" s="109"/>
      <c r="H47" s="109"/>
      <c r="I47" s="109"/>
      <c r="J47" s="65"/>
      <c r="K47" s="112"/>
      <c r="M47" s="119"/>
      <c r="N47" s="110"/>
      <c r="O47" s="105"/>
      <c r="P47" s="114"/>
      <c r="Y47" s="113"/>
      <c r="Z47" s="96"/>
      <c r="AA47" s="88"/>
      <c r="AB47" s="88"/>
    </row>
    <row r="48" spans="1:30" s="108" customFormat="1">
      <c r="A48" s="93"/>
      <c r="B48" s="109"/>
      <c r="C48" s="109"/>
      <c r="D48" s="109"/>
      <c r="E48" s="109"/>
      <c r="F48" s="109"/>
      <c r="G48" s="109"/>
      <c r="H48" s="109"/>
      <c r="I48" s="109"/>
      <c r="J48" s="65"/>
      <c r="K48" s="112"/>
      <c r="M48" s="119"/>
      <c r="N48" s="110"/>
      <c r="O48" s="105"/>
      <c r="P48" s="114"/>
      <c r="Y48" s="113"/>
      <c r="Z48" s="96"/>
      <c r="AA48" s="88"/>
      <c r="AB48" s="88"/>
    </row>
    <row r="49" spans="1:28" s="108" customFormat="1">
      <c r="A49" s="93"/>
      <c r="B49" s="109"/>
      <c r="C49" s="109"/>
      <c r="D49" s="109"/>
      <c r="E49" s="109"/>
      <c r="F49" s="109"/>
      <c r="G49" s="109"/>
      <c r="H49" s="109"/>
      <c r="I49" s="109"/>
      <c r="J49" s="65"/>
      <c r="K49" s="112"/>
      <c r="M49" s="119"/>
      <c r="N49" s="110"/>
      <c r="O49" s="105"/>
      <c r="P49" s="114"/>
      <c r="Y49" s="113"/>
      <c r="Z49" s="96"/>
      <c r="AA49" s="88"/>
      <c r="AB49" s="88"/>
    </row>
    <row r="50" spans="1:28" s="108" customFormat="1">
      <c r="A50" s="93"/>
      <c r="B50" s="109"/>
      <c r="C50" s="109"/>
      <c r="D50" s="109"/>
      <c r="E50" s="109"/>
      <c r="F50" s="109"/>
      <c r="G50" s="109"/>
      <c r="H50" s="109"/>
      <c r="I50" s="109"/>
      <c r="J50" s="65"/>
      <c r="K50" s="112"/>
      <c r="M50" s="119"/>
      <c r="N50" s="110"/>
      <c r="O50" s="105"/>
      <c r="P50" s="114"/>
      <c r="Y50" s="113"/>
      <c r="Z50" s="96"/>
      <c r="AA50" s="88"/>
      <c r="AB50" s="88"/>
    </row>
    <row r="51" spans="1:28" s="108" customFormat="1">
      <c r="A51" s="93"/>
      <c r="B51" s="109"/>
      <c r="C51" s="109"/>
      <c r="D51" s="109"/>
      <c r="E51" s="109"/>
      <c r="F51" s="109"/>
      <c r="G51" s="109"/>
      <c r="H51" s="109"/>
      <c r="I51" s="109"/>
      <c r="J51" s="65"/>
      <c r="K51" s="112"/>
      <c r="M51" s="119"/>
      <c r="N51" s="110"/>
      <c r="O51" s="105"/>
      <c r="P51" s="114"/>
      <c r="R51" s="116"/>
      <c r="Y51" s="113"/>
      <c r="Z51" s="96"/>
      <c r="AA51" s="88"/>
      <c r="AB51" s="88"/>
    </row>
    <row r="52" spans="1:28" s="108" customFormat="1">
      <c r="A52" s="93"/>
      <c r="B52" s="109"/>
      <c r="C52" s="109"/>
      <c r="D52" s="109"/>
      <c r="E52" s="109"/>
      <c r="F52" s="109"/>
      <c r="G52" s="109"/>
      <c r="H52" s="109"/>
      <c r="I52" s="109"/>
      <c r="J52" s="65"/>
      <c r="K52" s="112"/>
      <c r="M52" s="119"/>
      <c r="N52" s="110"/>
      <c r="O52" s="105"/>
      <c r="P52" s="114"/>
      <c r="R52" s="116"/>
      <c r="Y52" s="113"/>
      <c r="Z52" s="96"/>
      <c r="AA52" s="88"/>
      <c r="AB52" s="88"/>
    </row>
    <row r="53" spans="1:28" s="108" customFormat="1">
      <c r="A53" s="93"/>
      <c r="B53" s="109"/>
      <c r="C53" s="109"/>
      <c r="D53" s="109"/>
      <c r="E53" s="109"/>
      <c r="F53" s="109"/>
      <c r="G53" s="109"/>
      <c r="H53" s="109"/>
      <c r="I53" s="109"/>
      <c r="J53" s="65"/>
      <c r="K53" s="112"/>
      <c r="M53" s="119"/>
      <c r="N53" s="110"/>
      <c r="O53" s="105"/>
      <c r="P53" s="114"/>
      <c r="R53" s="115"/>
      <c r="Y53" s="113"/>
      <c r="Z53" s="96"/>
      <c r="AA53" s="88"/>
      <c r="AB53" s="88"/>
    </row>
    <row r="54" spans="1:28" s="108" customFormat="1">
      <c r="A54" s="93"/>
      <c r="B54" s="109"/>
      <c r="C54" s="109"/>
      <c r="D54" s="109"/>
      <c r="E54" s="109"/>
      <c r="F54" s="109"/>
      <c r="G54" s="109"/>
      <c r="H54" s="109"/>
      <c r="I54" s="109"/>
      <c r="J54" s="65"/>
      <c r="K54" s="112"/>
      <c r="M54" s="119"/>
      <c r="N54" s="110"/>
      <c r="O54" s="105"/>
      <c r="P54" s="114"/>
      <c r="Q54" s="117"/>
      <c r="S54" s="117"/>
      <c r="T54" s="117"/>
      <c r="Y54" s="113"/>
      <c r="Z54" s="96"/>
      <c r="AA54" s="88"/>
      <c r="AB54" s="88"/>
    </row>
    <row r="55" spans="1:28" s="108" customFormat="1">
      <c r="A55" s="93"/>
      <c r="B55" s="109"/>
      <c r="C55" s="109"/>
      <c r="D55" s="109"/>
      <c r="E55" s="109"/>
      <c r="F55" s="109"/>
      <c r="G55" s="109"/>
      <c r="H55" s="109"/>
      <c r="I55" s="109"/>
      <c r="J55" s="65"/>
      <c r="K55" s="112"/>
      <c r="M55" s="119"/>
      <c r="N55" s="110"/>
      <c r="O55" s="105"/>
      <c r="P55" s="114"/>
      <c r="Q55" s="117"/>
      <c r="R55" s="116"/>
      <c r="S55" s="117"/>
      <c r="T55" s="117"/>
      <c r="Y55" s="113"/>
      <c r="Z55" s="96"/>
      <c r="AA55" s="88"/>
      <c r="AB55" s="88"/>
    </row>
    <row r="56" spans="1:28" s="108" customFormat="1">
      <c r="A56" s="93"/>
      <c r="B56" s="109"/>
      <c r="C56" s="109"/>
      <c r="D56" s="109"/>
      <c r="E56" s="109"/>
      <c r="F56" s="109"/>
      <c r="G56" s="109"/>
      <c r="H56" s="109"/>
      <c r="I56" s="109"/>
      <c r="J56" s="65"/>
      <c r="K56" s="112"/>
      <c r="M56" s="119"/>
      <c r="N56" s="110"/>
      <c r="O56" s="105"/>
      <c r="P56" s="114"/>
      <c r="R56" s="116"/>
      <c r="Z56" s="96"/>
      <c r="AA56" s="88"/>
      <c r="AB56" s="88"/>
    </row>
    <row r="57" spans="1:28" s="108" customFormat="1">
      <c r="A57" s="93"/>
      <c r="B57" s="109"/>
      <c r="C57" s="109"/>
      <c r="D57" s="109"/>
      <c r="E57" s="109"/>
      <c r="F57" s="109"/>
      <c r="G57" s="109"/>
      <c r="H57" s="109"/>
      <c r="I57" s="109"/>
      <c r="J57" s="65"/>
      <c r="K57" s="112"/>
      <c r="M57" s="119"/>
      <c r="N57" s="110"/>
      <c r="O57" s="105"/>
      <c r="P57" s="114"/>
      <c r="Z57" s="96"/>
      <c r="AA57" s="88"/>
      <c r="AB57" s="88"/>
    </row>
    <row r="58" spans="1:28" s="108" customFormat="1">
      <c r="A58" s="93"/>
      <c r="B58" s="109"/>
      <c r="C58" s="109"/>
      <c r="D58" s="109"/>
      <c r="E58" s="109"/>
      <c r="F58" s="109"/>
      <c r="G58" s="109"/>
      <c r="H58" s="109"/>
      <c r="I58" s="109"/>
      <c r="J58" s="65"/>
      <c r="K58" s="112"/>
      <c r="M58" s="119"/>
      <c r="N58" s="110"/>
      <c r="O58" s="105"/>
      <c r="P58" s="114"/>
      <c r="R58" s="115"/>
      <c r="Z58" s="96"/>
      <c r="AA58" s="88"/>
      <c r="AB58" s="88"/>
    </row>
    <row r="59" spans="1:28" s="108" customFormat="1">
      <c r="A59" s="93"/>
      <c r="B59" s="109"/>
      <c r="C59" s="109"/>
      <c r="D59" s="109"/>
      <c r="E59" s="109"/>
      <c r="F59" s="109"/>
      <c r="G59" s="109"/>
      <c r="H59" s="109"/>
      <c r="I59" s="109"/>
      <c r="J59" s="65"/>
      <c r="K59" s="112"/>
      <c r="M59" s="119"/>
      <c r="N59" s="110"/>
      <c r="O59" s="105"/>
      <c r="P59" s="114"/>
      <c r="R59" s="115"/>
      <c r="Z59" s="96"/>
      <c r="AA59" s="88"/>
      <c r="AB59" s="88"/>
    </row>
    <row r="60" spans="1:28" s="108" customFormat="1">
      <c r="A60" s="93"/>
      <c r="B60" s="109"/>
      <c r="C60" s="109"/>
      <c r="D60" s="109"/>
      <c r="E60" s="109"/>
      <c r="F60" s="109"/>
      <c r="G60" s="109"/>
      <c r="H60" s="109"/>
      <c r="I60" s="109"/>
      <c r="J60" s="65"/>
      <c r="K60" s="112"/>
      <c r="M60" s="119"/>
      <c r="N60" s="110"/>
      <c r="O60" s="105"/>
      <c r="P60" s="114"/>
      <c r="Q60" s="115"/>
      <c r="R60" s="115"/>
      <c r="Z60" s="96"/>
      <c r="AA60" s="88"/>
      <c r="AB60" s="88"/>
    </row>
    <row r="61" spans="1:28" s="108" customFormat="1">
      <c r="A61" s="93"/>
      <c r="B61" s="109"/>
      <c r="C61" s="109"/>
      <c r="D61" s="109"/>
      <c r="E61" s="109"/>
      <c r="F61" s="109"/>
      <c r="G61" s="109"/>
      <c r="H61" s="109"/>
      <c r="I61" s="109"/>
      <c r="J61" s="65"/>
      <c r="K61" s="112"/>
      <c r="M61" s="119"/>
      <c r="N61" s="110"/>
      <c r="O61" s="105"/>
      <c r="P61" s="114"/>
      <c r="Q61" s="115"/>
      <c r="R61" s="115"/>
      <c r="S61" s="115"/>
      <c r="T61" s="115"/>
      <c r="Y61" s="113"/>
      <c r="Z61" s="96"/>
      <c r="AA61" s="88"/>
      <c r="AB61" s="88"/>
    </row>
    <row r="62" spans="1:28" s="108" customFormat="1">
      <c r="A62" s="93"/>
      <c r="B62" s="109"/>
      <c r="C62" s="109"/>
      <c r="D62" s="109"/>
      <c r="E62" s="109"/>
      <c r="F62" s="109"/>
      <c r="G62" s="109"/>
      <c r="H62" s="109"/>
      <c r="I62" s="109"/>
      <c r="J62" s="65"/>
      <c r="K62" s="112"/>
      <c r="M62" s="119"/>
      <c r="N62" s="110"/>
      <c r="O62" s="105"/>
      <c r="P62" s="114"/>
      <c r="Q62" s="115"/>
      <c r="R62" s="115"/>
      <c r="S62" s="115"/>
      <c r="T62" s="115"/>
      <c r="Y62" s="113"/>
      <c r="Z62" s="96"/>
      <c r="AA62" s="88"/>
      <c r="AB62" s="88"/>
    </row>
    <row r="63" spans="1:28" s="108" customFormat="1">
      <c r="A63" s="93"/>
      <c r="B63" s="109"/>
      <c r="C63" s="109"/>
      <c r="D63" s="109"/>
      <c r="E63" s="109"/>
      <c r="F63" s="109"/>
      <c r="G63" s="109"/>
      <c r="H63" s="109"/>
      <c r="I63" s="109"/>
      <c r="J63" s="65"/>
      <c r="K63" s="112"/>
      <c r="L63" s="115"/>
      <c r="M63" s="119"/>
      <c r="N63" s="116"/>
      <c r="O63" s="105"/>
      <c r="P63" s="114"/>
      <c r="Q63" s="115"/>
      <c r="S63" s="115"/>
      <c r="T63" s="115"/>
      <c r="Y63" s="113"/>
      <c r="Z63" s="96"/>
      <c r="AA63" s="88"/>
      <c r="AB63" s="88"/>
    </row>
    <row r="64" spans="1:28" s="108" customFormat="1">
      <c r="A64" s="93"/>
      <c r="B64" s="109"/>
      <c r="C64" s="109"/>
      <c r="D64" s="109"/>
      <c r="E64" s="109"/>
      <c r="F64" s="109"/>
      <c r="G64" s="109"/>
      <c r="H64" s="109"/>
      <c r="I64" s="109"/>
      <c r="J64" s="65"/>
      <c r="K64" s="112"/>
      <c r="L64" s="115"/>
      <c r="M64" s="119"/>
      <c r="N64" s="116"/>
      <c r="O64" s="105"/>
      <c r="P64" s="114"/>
      <c r="Q64" s="115"/>
      <c r="S64" s="115"/>
      <c r="T64" s="115"/>
      <c r="Y64" s="113"/>
      <c r="Z64" s="96"/>
      <c r="AA64" s="88"/>
      <c r="AB64" s="88"/>
    </row>
    <row r="65" spans="1:28" s="108" customFormat="1">
      <c r="A65" s="93"/>
      <c r="B65" s="109"/>
      <c r="C65" s="109"/>
      <c r="D65" s="109"/>
      <c r="E65" s="109"/>
      <c r="F65" s="109"/>
      <c r="G65" s="109"/>
      <c r="H65" s="109"/>
      <c r="I65" s="109"/>
      <c r="J65" s="65"/>
      <c r="K65" s="112"/>
      <c r="L65" s="109"/>
      <c r="M65" s="119"/>
      <c r="N65" s="110"/>
      <c r="O65" s="105"/>
      <c r="P65" s="114"/>
      <c r="Z65" s="96"/>
      <c r="AA65" s="88"/>
      <c r="AB65" s="88"/>
    </row>
    <row r="66" spans="1:28" s="108" customFormat="1">
      <c r="A66" s="93"/>
      <c r="B66" s="109"/>
      <c r="C66" s="109"/>
      <c r="D66" s="109"/>
      <c r="E66" s="109"/>
      <c r="F66" s="109"/>
      <c r="G66" s="109"/>
      <c r="H66" s="109"/>
      <c r="I66" s="109"/>
      <c r="J66" s="65"/>
      <c r="K66" s="112"/>
      <c r="M66" s="119"/>
      <c r="N66" s="110"/>
      <c r="O66" s="105"/>
      <c r="P66" s="114"/>
      <c r="Z66" s="96"/>
      <c r="AA66" s="88"/>
      <c r="AB66" s="88"/>
    </row>
    <row r="67" spans="1:28" s="108" customFormat="1">
      <c r="A67" s="93"/>
      <c r="B67" s="109"/>
      <c r="C67" s="109"/>
      <c r="D67" s="109"/>
      <c r="E67" s="109"/>
      <c r="F67" s="109"/>
      <c r="G67" s="109"/>
      <c r="H67" s="109"/>
      <c r="I67" s="109"/>
      <c r="J67" s="65"/>
      <c r="K67" s="112"/>
      <c r="M67" s="119"/>
      <c r="N67" s="110"/>
      <c r="O67" s="105"/>
      <c r="P67" s="114"/>
      <c r="Z67" s="96"/>
      <c r="AA67" s="88"/>
      <c r="AB67" s="88"/>
    </row>
    <row r="68" spans="1:28" s="108" customFormat="1">
      <c r="A68" s="93"/>
      <c r="B68" s="109"/>
      <c r="C68" s="109"/>
      <c r="D68" s="109"/>
      <c r="E68" s="109"/>
      <c r="F68" s="109"/>
      <c r="G68" s="109"/>
      <c r="H68" s="109"/>
      <c r="I68" s="109"/>
      <c r="J68" s="65"/>
      <c r="K68" s="112"/>
      <c r="M68" s="119"/>
      <c r="N68" s="110"/>
      <c r="O68" s="105"/>
      <c r="P68" s="114"/>
      <c r="Z68" s="96"/>
      <c r="AA68" s="88"/>
      <c r="AB68" s="88"/>
    </row>
    <row r="69" spans="1:28" s="108" customFormat="1">
      <c r="A69" s="93"/>
      <c r="B69" s="109"/>
      <c r="C69" s="109"/>
      <c r="D69" s="109"/>
      <c r="E69" s="109"/>
      <c r="F69" s="109"/>
      <c r="G69" s="109"/>
      <c r="H69" s="109"/>
      <c r="I69" s="109"/>
      <c r="J69" s="65"/>
      <c r="K69" s="112"/>
      <c r="M69" s="119"/>
      <c r="N69" s="110"/>
      <c r="O69" s="105"/>
      <c r="P69" s="114"/>
      <c r="Z69" s="96"/>
      <c r="AA69" s="88"/>
      <c r="AB69" s="88"/>
    </row>
    <row r="70" spans="1:28" s="108" customFormat="1">
      <c r="A70" s="93"/>
      <c r="B70" s="109"/>
      <c r="C70" s="109"/>
      <c r="D70" s="109"/>
      <c r="E70" s="109"/>
      <c r="F70" s="109"/>
      <c r="G70" s="109"/>
      <c r="H70" s="109"/>
      <c r="I70" s="109"/>
      <c r="J70" s="65"/>
      <c r="K70" s="112"/>
      <c r="M70" s="119"/>
      <c r="N70" s="110"/>
      <c r="O70" s="105"/>
      <c r="P70" s="114"/>
      <c r="Z70" s="96"/>
      <c r="AA70" s="88"/>
      <c r="AB70" s="88"/>
    </row>
    <row r="71" spans="1:28" s="108" customFormat="1">
      <c r="A71" s="93"/>
      <c r="B71" s="109"/>
      <c r="C71" s="109"/>
      <c r="D71" s="109"/>
      <c r="E71" s="109"/>
      <c r="F71" s="109"/>
      <c r="G71" s="109"/>
      <c r="H71" s="109"/>
      <c r="I71" s="109"/>
      <c r="J71" s="65"/>
      <c r="K71" s="112"/>
      <c r="M71" s="119"/>
      <c r="N71" s="110"/>
      <c r="O71" s="105"/>
      <c r="P71" s="114"/>
      <c r="Z71" s="96"/>
      <c r="AA71" s="88"/>
      <c r="AB71" s="88"/>
    </row>
    <row r="72" spans="1:28" s="108" customFormat="1">
      <c r="A72" s="93"/>
      <c r="B72" s="109"/>
      <c r="C72" s="109"/>
      <c r="D72" s="109"/>
      <c r="E72" s="109"/>
      <c r="F72" s="109"/>
      <c r="G72" s="109"/>
      <c r="H72" s="109"/>
      <c r="I72" s="109"/>
      <c r="J72" s="65"/>
      <c r="K72" s="112"/>
      <c r="M72" s="119"/>
      <c r="N72" s="110"/>
      <c r="O72" s="105"/>
      <c r="P72" s="114"/>
      <c r="Z72" s="96"/>
      <c r="AA72" s="88"/>
      <c r="AB72" s="88"/>
    </row>
    <row r="73" spans="1:28" s="108" customFormat="1">
      <c r="A73" s="93"/>
      <c r="B73" s="109"/>
      <c r="C73" s="109"/>
      <c r="D73" s="109"/>
      <c r="E73" s="109"/>
      <c r="F73" s="109"/>
      <c r="G73" s="109"/>
      <c r="H73" s="109"/>
      <c r="I73" s="109"/>
      <c r="J73" s="65"/>
      <c r="K73" s="112"/>
      <c r="M73" s="119"/>
      <c r="N73" s="110"/>
      <c r="O73" s="105"/>
      <c r="P73" s="114"/>
      <c r="Z73" s="96"/>
      <c r="AA73" s="88"/>
      <c r="AB73" s="88"/>
    </row>
    <row r="74" spans="1:28" s="108" customFormat="1">
      <c r="A74" s="93"/>
      <c r="B74" s="109"/>
      <c r="C74" s="109"/>
      <c r="D74" s="109"/>
      <c r="E74" s="109"/>
      <c r="F74" s="109"/>
      <c r="G74" s="109"/>
      <c r="H74" s="109"/>
      <c r="I74" s="109"/>
      <c r="J74" s="65"/>
      <c r="K74" s="112"/>
      <c r="M74" s="119"/>
      <c r="N74" s="110"/>
      <c r="O74" s="105"/>
      <c r="P74" s="114"/>
      <c r="Z74" s="96"/>
      <c r="AA74" s="88"/>
      <c r="AB74" s="88"/>
    </row>
    <row r="75" spans="1:28" s="108" customFormat="1">
      <c r="A75" s="93"/>
      <c r="B75" s="109"/>
      <c r="C75" s="109"/>
      <c r="D75" s="109"/>
      <c r="E75" s="109"/>
      <c r="F75" s="109"/>
      <c r="G75" s="109"/>
      <c r="H75" s="109"/>
      <c r="I75" s="109"/>
      <c r="J75" s="65"/>
      <c r="K75" s="112"/>
      <c r="M75" s="119"/>
      <c r="N75" s="110"/>
      <c r="O75" s="105"/>
      <c r="P75" s="114"/>
      <c r="Z75" s="96"/>
      <c r="AA75" s="88"/>
      <c r="AB75" s="88"/>
    </row>
    <row r="76" spans="1:28" s="108" customFormat="1">
      <c r="A76" s="93"/>
      <c r="B76" s="109"/>
      <c r="C76" s="109"/>
      <c r="D76" s="109"/>
      <c r="E76" s="109"/>
      <c r="F76" s="109"/>
      <c r="G76" s="109"/>
      <c r="H76" s="109"/>
      <c r="I76" s="109"/>
      <c r="J76" s="65"/>
      <c r="K76" s="112"/>
      <c r="M76" s="119"/>
      <c r="N76" s="67"/>
      <c r="O76" s="105"/>
      <c r="P76" s="114"/>
      <c r="Y76" s="113"/>
      <c r="Z76" s="96"/>
      <c r="AA76" s="88"/>
      <c r="AB76" s="88"/>
    </row>
    <row r="77" spans="1:28" s="108" customFormat="1">
      <c r="A77" s="93"/>
      <c r="B77" s="109"/>
      <c r="C77" s="109"/>
      <c r="D77" s="109"/>
      <c r="E77" s="109"/>
      <c r="F77" s="109"/>
      <c r="G77" s="109"/>
      <c r="H77" s="109"/>
      <c r="I77" s="109"/>
      <c r="J77" s="65"/>
      <c r="K77" s="112"/>
      <c r="M77" s="119"/>
      <c r="N77" s="110"/>
      <c r="O77" s="105"/>
      <c r="P77" s="114"/>
      <c r="Z77" s="96"/>
      <c r="AA77" s="88"/>
      <c r="AB77" s="88"/>
    </row>
    <row r="78" spans="1:28" s="108" customFormat="1">
      <c r="A78" s="93"/>
      <c r="B78" s="109"/>
      <c r="C78" s="109"/>
      <c r="D78" s="109"/>
      <c r="E78" s="109"/>
      <c r="F78" s="109"/>
      <c r="G78" s="109"/>
      <c r="H78" s="109"/>
      <c r="I78" s="109"/>
      <c r="J78" s="65"/>
      <c r="K78" s="112"/>
      <c r="M78" s="119"/>
      <c r="N78" s="110"/>
      <c r="O78" s="105"/>
      <c r="P78" s="114"/>
      <c r="Z78" s="96"/>
      <c r="AA78" s="88"/>
      <c r="AB78" s="88"/>
    </row>
    <row r="79" spans="1:28" s="108" customFormat="1">
      <c r="A79" s="93"/>
      <c r="B79" s="109"/>
      <c r="C79" s="109"/>
      <c r="D79" s="109"/>
      <c r="E79" s="109"/>
      <c r="F79" s="109"/>
      <c r="G79" s="109"/>
      <c r="H79" s="109"/>
      <c r="I79" s="109"/>
      <c r="J79" s="65"/>
      <c r="K79" s="112"/>
      <c r="M79" s="119"/>
      <c r="N79" s="110"/>
      <c r="O79" s="105"/>
      <c r="P79" s="114"/>
      <c r="Z79" s="96"/>
      <c r="AA79" s="88"/>
      <c r="AB79" s="88"/>
    </row>
    <row r="80" spans="1:28" s="108" customFormat="1">
      <c r="A80" s="93"/>
      <c r="B80" s="109"/>
      <c r="C80" s="109"/>
      <c r="D80" s="109"/>
      <c r="E80" s="109"/>
      <c r="F80" s="109"/>
      <c r="G80" s="109"/>
      <c r="H80" s="109"/>
      <c r="I80" s="109"/>
      <c r="J80" s="65"/>
      <c r="K80" s="112"/>
      <c r="M80" s="119"/>
      <c r="N80" s="110"/>
      <c r="O80" s="105"/>
      <c r="P80" s="114"/>
      <c r="Z80" s="96"/>
      <c r="AA80" s="88"/>
      <c r="AB80" s="88"/>
    </row>
    <row r="81" spans="1:28" s="108" customFormat="1">
      <c r="A81" s="93"/>
      <c r="B81" s="109"/>
      <c r="C81" s="109"/>
      <c r="D81" s="109"/>
      <c r="E81" s="109"/>
      <c r="F81" s="109"/>
      <c r="G81" s="109"/>
      <c r="H81" s="109"/>
      <c r="I81" s="109"/>
      <c r="J81" s="65"/>
      <c r="K81" s="112"/>
      <c r="M81" s="111"/>
      <c r="N81" s="110"/>
      <c r="O81" s="105"/>
      <c r="P81" s="114"/>
      <c r="Z81" s="96"/>
      <c r="AA81" s="88"/>
      <c r="AB81" s="88"/>
    </row>
    <row r="82" spans="1:28" s="108" customFormat="1">
      <c r="A82" s="93"/>
      <c r="B82" s="109"/>
      <c r="C82" s="109"/>
      <c r="D82" s="109"/>
      <c r="E82" s="109"/>
      <c r="F82" s="109"/>
      <c r="G82" s="109"/>
      <c r="H82" s="109"/>
      <c r="I82" s="109"/>
      <c r="J82" s="65"/>
      <c r="K82" s="112"/>
      <c r="M82" s="111"/>
      <c r="N82" s="110"/>
      <c r="O82" s="105"/>
      <c r="P82" s="114"/>
      <c r="Z82" s="96"/>
      <c r="AA82" s="88"/>
      <c r="AB82" s="88"/>
    </row>
    <row r="83" spans="1:28" s="108" customFormat="1">
      <c r="A83" s="93"/>
      <c r="B83" s="109"/>
      <c r="C83" s="109"/>
      <c r="D83" s="109"/>
      <c r="E83" s="109"/>
      <c r="F83" s="109"/>
      <c r="G83" s="109"/>
      <c r="H83" s="109"/>
      <c r="I83" s="109"/>
      <c r="J83" s="65"/>
      <c r="K83" s="112"/>
      <c r="M83" s="111"/>
      <c r="N83" s="110"/>
      <c r="O83" s="105"/>
      <c r="P83" s="114"/>
      <c r="Z83" s="96"/>
      <c r="AA83" s="88"/>
      <c r="AB83" s="88"/>
    </row>
    <row r="84" spans="1:28" s="108" customFormat="1">
      <c r="A84" s="93"/>
      <c r="B84" s="109"/>
      <c r="C84" s="109"/>
      <c r="D84" s="109"/>
      <c r="E84" s="109"/>
      <c r="F84" s="109"/>
      <c r="G84" s="109"/>
      <c r="H84" s="109"/>
      <c r="I84" s="109"/>
      <c r="J84" s="65"/>
      <c r="K84" s="112"/>
      <c r="M84" s="111"/>
      <c r="N84" s="110"/>
      <c r="O84" s="105"/>
      <c r="P84" s="114"/>
      <c r="Z84" s="96"/>
      <c r="AA84" s="88"/>
      <c r="AB84" s="88"/>
    </row>
    <row r="85" spans="1:28" s="108" customFormat="1">
      <c r="A85" s="93"/>
      <c r="B85" s="109"/>
      <c r="C85" s="109"/>
      <c r="D85" s="109"/>
      <c r="E85" s="109"/>
      <c r="F85" s="109"/>
      <c r="G85" s="109"/>
      <c r="H85" s="109"/>
      <c r="I85" s="109"/>
      <c r="J85" s="65"/>
      <c r="K85" s="112"/>
      <c r="M85" s="111"/>
      <c r="N85" s="110"/>
      <c r="O85" s="105"/>
      <c r="P85" s="114"/>
      <c r="Z85" s="96"/>
      <c r="AA85" s="88"/>
      <c r="AB85" s="88"/>
    </row>
    <row r="86" spans="1:28" s="108" customFormat="1">
      <c r="A86" s="93"/>
      <c r="B86" s="109"/>
      <c r="C86" s="109"/>
      <c r="D86" s="109"/>
      <c r="E86" s="109"/>
      <c r="F86" s="109"/>
      <c r="G86" s="109"/>
      <c r="H86" s="109"/>
      <c r="I86" s="109"/>
      <c r="J86" s="65"/>
      <c r="K86" s="112"/>
      <c r="M86" s="111"/>
      <c r="N86" s="110"/>
      <c r="O86" s="105"/>
      <c r="P86" s="114"/>
      <c r="Z86" s="96"/>
      <c r="AA86" s="88"/>
      <c r="AB86" s="88"/>
    </row>
    <row r="87" spans="1:28" s="108" customFormat="1">
      <c r="A87" s="93"/>
      <c r="B87" s="109"/>
      <c r="C87" s="109"/>
      <c r="D87" s="109"/>
      <c r="E87" s="109"/>
      <c r="F87" s="109"/>
      <c r="G87" s="109"/>
      <c r="H87" s="109"/>
      <c r="I87" s="109"/>
      <c r="J87" s="65"/>
      <c r="K87" s="112"/>
      <c r="M87" s="111"/>
      <c r="N87" s="110"/>
      <c r="O87" s="105"/>
      <c r="P87" s="114"/>
      <c r="Z87" s="96"/>
      <c r="AA87" s="88"/>
      <c r="AB87" s="88"/>
    </row>
    <row r="88" spans="1:28" s="108" customFormat="1">
      <c r="A88" s="93"/>
      <c r="B88" s="109"/>
      <c r="C88" s="109"/>
      <c r="D88" s="109"/>
      <c r="E88" s="109"/>
      <c r="F88" s="109"/>
      <c r="G88" s="109"/>
      <c r="H88" s="109"/>
      <c r="I88" s="109"/>
      <c r="J88" s="65"/>
      <c r="K88" s="112"/>
      <c r="M88" s="111"/>
      <c r="N88" s="110"/>
      <c r="O88" s="105"/>
      <c r="P88" s="114"/>
      <c r="Z88" s="96"/>
      <c r="AA88" s="88"/>
      <c r="AB88" s="88"/>
    </row>
    <row r="89" spans="1:28" s="108" customFormat="1">
      <c r="A89" s="93"/>
      <c r="B89" s="109"/>
      <c r="C89" s="109"/>
      <c r="D89" s="109"/>
      <c r="E89" s="109"/>
      <c r="F89" s="109"/>
      <c r="G89" s="109"/>
      <c r="H89" s="109"/>
      <c r="I89" s="109"/>
      <c r="J89" s="65"/>
      <c r="K89" s="112"/>
      <c r="M89" s="111"/>
      <c r="N89" s="110"/>
      <c r="O89" s="105"/>
      <c r="P89" s="114"/>
      <c r="Z89" s="96"/>
      <c r="AA89" s="88"/>
      <c r="AB89" s="88"/>
    </row>
    <row r="90" spans="1:28" s="108" customFormat="1">
      <c r="A90" s="93"/>
      <c r="B90" s="109"/>
      <c r="C90" s="109"/>
      <c r="D90" s="109"/>
      <c r="E90" s="109"/>
      <c r="F90" s="109"/>
      <c r="G90" s="109"/>
      <c r="H90" s="109"/>
      <c r="I90" s="109"/>
      <c r="J90" s="65"/>
      <c r="K90" s="112"/>
      <c r="M90" s="111"/>
      <c r="N90" s="110"/>
      <c r="O90" s="105"/>
      <c r="P90" s="114"/>
      <c r="Z90" s="96"/>
      <c r="AA90" s="88"/>
      <c r="AB90" s="88"/>
    </row>
    <row r="91" spans="1:28" s="108" customFormat="1">
      <c r="A91" s="93"/>
      <c r="B91" s="109"/>
      <c r="C91" s="109"/>
      <c r="D91" s="109"/>
      <c r="E91" s="109"/>
      <c r="F91" s="109"/>
      <c r="G91" s="109"/>
      <c r="H91" s="109"/>
      <c r="I91" s="109"/>
      <c r="J91" s="65"/>
      <c r="K91" s="112"/>
      <c r="M91" s="111"/>
      <c r="N91" s="110"/>
      <c r="O91" s="105"/>
      <c r="P91" s="114"/>
      <c r="Z91" s="96"/>
      <c r="AA91" s="88"/>
      <c r="AB91" s="88"/>
    </row>
    <row r="92" spans="1:28" s="108" customFormat="1">
      <c r="A92" s="93"/>
      <c r="B92" s="109"/>
      <c r="C92" s="109"/>
      <c r="D92" s="109"/>
      <c r="E92" s="109"/>
      <c r="F92" s="109"/>
      <c r="G92" s="109"/>
      <c r="H92" s="109"/>
      <c r="I92" s="109"/>
      <c r="J92" s="65"/>
      <c r="K92" s="112"/>
      <c r="M92" s="111"/>
      <c r="N92" s="110"/>
      <c r="O92" s="105"/>
      <c r="P92" s="114"/>
      <c r="Z92" s="96"/>
      <c r="AA92" s="88"/>
      <c r="AB92" s="88"/>
    </row>
    <row r="93" spans="1:28" s="108" customFormat="1">
      <c r="A93" s="93"/>
      <c r="B93" s="109"/>
      <c r="C93" s="109"/>
      <c r="D93" s="109"/>
      <c r="E93" s="109"/>
      <c r="F93" s="109"/>
      <c r="G93" s="109"/>
      <c r="H93" s="109"/>
      <c r="I93" s="109"/>
      <c r="J93" s="65"/>
      <c r="K93" s="112"/>
      <c r="M93" s="111"/>
      <c r="N93" s="110"/>
      <c r="O93" s="105"/>
      <c r="P93" s="114"/>
      <c r="Z93" s="96"/>
      <c r="AA93" s="88"/>
      <c r="AB93" s="88"/>
    </row>
    <row r="94" spans="1:28" s="108" customFormat="1">
      <c r="A94" s="93"/>
      <c r="B94" s="109"/>
      <c r="C94" s="109"/>
      <c r="D94" s="109"/>
      <c r="E94" s="109"/>
      <c r="F94" s="109"/>
      <c r="G94" s="109"/>
      <c r="H94" s="109"/>
      <c r="I94" s="109"/>
      <c r="J94" s="65"/>
      <c r="K94" s="112"/>
      <c r="M94" s="111"/>
      <c r="N94" s="110"/>
      <c r="O94" s="105"/>
      <c r="P94" s="114"/>
      <c r="Z94" s="96"/>
      <c r="AA94" s="88"/>
      <c r="AB94" s="88"/>
    </row>
    <row r="95" spans="1:28" s="108" customFormat="1">
      <c r="A95" s="93"/>
      <c r="B95" s="109"/>
      <c r="C95" s="109"/>
      <c r="D95" s="109"/>
      <c r="E95" s="109"/>
      <c r="F95" s="109"/>
      <c r="G95" s="109"/>
      <c r="H95" s="109"/>
      <c r="I95" s="109"/>
      <c r="J95" s="65"/>
      <c r="K95" s="112"/>
      <c r="M95" s="111"/>
      <c r="N95" s="67"/>
      <c r="O95" s="105"/>
      <c r="P95" s="114"/>
      <c r="Z95" s="96"/>
      <c r="AA95" s="88"/>
      <c r="AB95" s="88"/>
    </row>
    <row r="96" spans="1:28" s="108" customFormat="1">
      <c r="A96" s="93"/>
      <c r="B96" s="109"/>
      <c r="C96" s="109"/>
      <c r="D96" s="109"/>
      <c r="E96" s="109"/>
      <c r="F96" s="109"/>
      <c r="G96" s="109"/>
      <c r="H96" s="109"/>
      <c r="I96" s="109"/>
      <c r="J96" s="65"/>
      <c r="K96" s="112"/>
      <c r="M96" s="111"/>
      <c r="N96" s="110"/>
      <c r="O96" s="105"/>
      <c r="P96" s="114"/>
      <c r="Z96" s="96"/>
      <c r="AA96" s="88"/>
      <c r="AB96" s="88"/>
    </row>
    <row r="97" spans="1:28" s="108" customFormat="1">
      <c r="A97" s="93"/>
      <c r="B97" s="109"/>
      <c r="C97" s="109"/>
      <c r="D97" s="109"/>
      <c r="E97" s="109"/>
      <c r="F97" s="109"/>
      <c r="G97" s="109"/>
      <c r="H97" s="109"/>
      <c r="I97" s="109"/>
      <c r="J97" s="65"/>
      <c r="K97" s="112"/>
      <c r="M97" s="111"/>
      <c r="N97" s="110"/>
      <c r="O97" s="105"/>
      <c r="P97" s="114"/>
      <c r="Z97" s="96"/>
      <c r="AA97" s="88"/>
      <c r="AB97" s="88"/>
    </row>
    <row r="98" spans="1:28" s="108" customFormat="1">
      <c r="A98" s="93"/>
      <c r="B98" s="109"/>
      <c r="C98" s="109"/>
      <c r="D98" s="109"/>
      <c r="E98" s="109"/>
      <c r="F98" s="109"/>
      <c r="G98" s="109"/>
      <c r="H98" s="109"/>
      <c r="I98" s="109"/>
      <c r="J98" s="65"/>
      <c r="K98" s="112"/>
      <c r="M98" s="111"/>
      <c r="N98" s="110"/>
      <c r="O98" s="105"/>
      <c r="P98" s="114"/>
      <c r="Z98" s="96"/>
      <c r="AA98" s="88"/>
      <c r="AB98" s="88"/>
    </row>
    <row r="99" spans="1:28" s="108" customFormat="1">
      <c r="A99" s="93"/>
      <c r="B99" s="109"/>
      <c r="C99" s="109"/>
      <c r="D99" s="109"/>
      <c r="E99" s="109"/>
      <c r="F99" s="109"/>
      <c r="G99" s="109"/>
      <c r="H99" s="109"/>
      <c r="I99" s="109"/>
      <c r="J99" s="65"/>
      <c r="K99" s="112"/>
      <c r="M99" s="111"/>
      <c r="N99" s="110"/>
      <c r="O99" s="105"/>
      <c r="P99" s="114"/>
      <c r="Z99" s="96"/>
      <c r="AA99" s="88"/>
      <c r="AB99" s="88"/>
    </row>
    <row r="100" spans="1:28" s="108" customFormat="1">
      <c r="A100" s="93"/>
      <c r="B100" s="109"/>
      <c r="C100" s="109"/>
      <c r="D100" s="109"/>
      <c r="E100" s="109"/>
      <c r="F100" s="109"/>
      <c r="G100" s="109"/>
      <c r="H100" s="109"/>
      <c r="I100" s="109"/>
      <c r="J100" s="65"/>
      <c r="K100" s="112"/>
      <c r="M100" s="111"/>
      <c r="N100" s="110"/>
      <c r="O100" s="105"/>
      <c r="P100" s="114"/>
      <c r="Z100" s="96"/>
      <c r="AA100" s="88"/>
      <c r="AB100" s="88"/>
    </row>
    <row r="101" spans="1:28" s="108" customFormat="1">
      <c r="A101" s="93"/>
      <c r="B101" s="109"/>
      <c r="C101" s="109"/>
      <c r="D101" s="109"/>
      <c r="E101" s="109"/>
      <c r="F101" s="109"/>
      <c r="G101" s="109"/>
      <c r="H101" s="109"/>
      <c r="I101" s="109"/>
      <c r="J101" s="65"/>
      <c r="K101" s="112"/>
      <c r="M101" s="111"/>
      <c r="N101" s="110"/>
      <c r="O101" s="105"/>
      <c r="P101" s="114"/>
      <c r="Z101" s="96"/>
      <c r="AA101" s="88"/>
      <c r="AB101" s="88"/>
    </row>
    <row r="102" spans="1:28" s="108" customFormat="1">
      <c r="A102" s="93"/>
      <c r="B102" s="109"/>
      <c r="C102" s="109"/>
      <c r="D102" s="109"/>
      <c r="E102" s="109"/>
      <c r="F102" s="109"/>
      <c r="G102" s="109"/>
      <c r="H102" s="109"/>
      <c r="I102" s="109"/>
      <c r="J102" s="65"/>
      <c r="K102" s="112"/>
      <c r="M102" s="111"/>
      <c r="N102" s="110"/>
      <c r="O102" s="105"/>
      <c r="P102" s="114"/>
      <c r="Z102" s="96"/>
      <c r="AA102" s="88"/>
      <c r="AB102" s="88"/>
    </row>
    <row r="103" spans="1:28" s="108" customFormat="1">
      <c r="A103" s="93"/>
      <c r="B103" s="109"/>
      <c r="C103" s="109"/>
      <c r="D103" s="109"/>
      <c r="E103" s="109"/>
      <c r="F103" s="109"/>
      <c r="G103" s="109"/>
      <c r="H103" s="109"/>
      <c r="I103" s="109"/>
      <c r="J103" s="65"/>
      <c r="K103" s="112"/>
      <c r="M103" s="111"/>
      <c r="N103" s="110"/>
      <c r="O103" s="105"/>
      <c r="P103" s="114"/>
      <c r="Z103" s="96"/>
      <c r="AA103" s="88"/>
      <c r="AB103" s="88"/>
    </row>
    <row r="104" spans="1:28" s="108" customFormat="1">
      <c r="A104" s="93"/>
      <c r="B104" s="109"/>
      <c r="C104" s="109"/>
      <c r="D104" s="109"/>
      <c r="E104" s="109"/>
      <c r="F104" s="109"/>
      <c r="G104" s="109"/>
      <c r="H104" s="109"/>
      <c r="I104" s="109"/>
      <c r="J104" s="65"/>
      <c r="K104" s="112"/>
      <c r="M104" s="111"/>
      <c r="N104" s="110"/>
      <c r="O104" s="105"/>
      <c r="P104" s="114"/>
      <c r="Z104" s="96"/>
      <c r="AA104" s="88"/>
      <c r="AB104" s="88"/>
    </row>
    <row r="105" spans="1:28" s="108" customFormat="1">
      <c r="A105" s="93"/>
      <c r="B105" s="109"/>
      <c r="C105" s="109"/>
      <c r="D105" s="109"/>
      <c r="E105" s="109"/>
      <c r="F105" s="109"/>
      <c r="G105" s="109"/>
      <c r="H105" s="109"/>
      <c r="I105" s="109"/>
      <c r="J105" s="65"/>
      <c r="K105" s="112"/>
      <c r="M105" s="111"/>
      <c r="N105" s="110"/>
      <c r="O105" s="105"/>
      <c r="P105" s="114"/>
      <c r="Z105" s="96"/>
      <c r="AA105" s="88"/>
      <c r="AB105" s="88"/>
    </row>
    <row r="106" spans="1:28" s="108" customFormat="1">
      <c r="A106" s="93"/>
      <c r="B106" s="109"/>
      <c r="C106" s="109"/>
      <c r="D106" s="109"/>
      <c r="E106" s="109"/>
      <c r="F106" s="109"/>
      <c r="G106" s="109"/>
      <c r="H106" s="109"/>
      <c r="I106" s="109"/>
      <c r="J106" s="65"/>
      <c r="K106" s="112"/>
      <c r="M106" s="111"/>
      <c r="N106" s="110"/>
      <c r="O106" s="105"/>
      <c r="P106" s="114"/>
      <c r="Z106" s="96"/>
      <c r="AA106" s="88"/>
      <c r="AB106" s="88"/>
    </row>
    <row r="107" spans="1:28" s="108" customFormat="1">
      <c r="A107" s="93"/>
      <c r="B107" s="109"/>
      <c r="C107" s="109"/>
      <c r="D107" s="109"/>
      <c r="E107" s="109"/>
      <c r="F107" s="109"/>
      <c r="G107" s="109"/>
      <c r="H107" s="109"/>
      <c r="I107" s="109"/>
      <c r="J107" s="65"/>
      <c r="K107" s="112"/>
      <c r="M107" s="111"/>
      <c r="N107" s="67"/>
      <c r="O107" s="105"/>
      <c r="P107" s="114"/>
      <c r="Z107" s="96"/>
      <c r="AA107" s="88"/>
      <c r="AB107" s="88"/>
    </row>
    <row r="108" spans="1:28" s="108" customFormat="1">
      <c r="A108" s="93"/>
      <c r="B108" s="109"/>
      <c r="C108" s="109"/>
      <c r="D108" s="109"/>
      <c r="E108" s="109"/>
      <c r="F108" s="109"/>
      <c r="G108" s="109"/>
      <c r="H108" s="109"/>
      <c r="I108" s="109"/>
      <c r="J108" s="65"/>
      <c r="K108" s="112"/>
      <c r="M108" s="111"/>
      <c r="N108" s="110"/>
      <c r="O108" s="105"/>
      <c r="P108" s="114"/>
      <c r="Z108" s="96"/>
      <c r="AA108" s="88"/>
      <c r="AB108" s="88"/>
    </row>
    <row r="109" spans="1:28" s="108" customFormat="1">
      <c r="A109" s="93"/>
      <c r="B109" s="109"/>
      <c r="C109" s="109"/>
      <c r="D109" s="109"/>
      <c r="E109" s="109"/>
      <c r="F109" s="109"/>
      <c r="G109" s="109"/>
      <c r="H109" s="109"/>
      <c r="I109" s="109"/>
      <c r="J109" s="65"/>
      <c r="K109" s="112"/>
      <c r="M109" s="111"/>
      <c r="N109" s="110"/>
      <c r="O109" s="105"/>
      <c r="P109" s="114"/>
      <c r="Z109" s="96"/>
      <c r="AA109" s="88"/>
      <c r="AB109" s="88"/>
    </row>
    <row r="110" spans="1:28" s="108" customFormat="1">
      <c r="A110" s="93"/>
      <c r="B110" s="109"/>
      <c r="C110" s="109"/>
      <c r="D110" s="109"/>
      <c r="E110" s="109"/>
      <c r="F110" s="109"/>
      <c r="G110" s="109"/>
      <c r="H110" s="109"/>
      <c r="I110" s="109"/>
      <c r="J110" s="65"/>
      <c r="K110" s="112"/>
      <c r="L110" s="115"/>
      <c r="M110" s="111"/>
      <c r="N110" s="110"/>
      <c r="O110" s="105"/>
      <c r="P110" s="114"/>
      <c r="Z110" s="96"/>
      <c r="AA110" s="88"/>
      <c r="AB110" s="88"/>
    </row>
    <row r="111" spans="1:28" s="108" customFormat="1">
      <c r="A111" s="93"/>
      <c r="B111" s="109"/>
      <c r="C111" s="109"/>
      <c r="D111" s="109"/>
      <c r="E111" s="109"/>
      <c r="F111" s="109"/>
      <c r="G111" s="109"/>
      <c r="H111" s="109"/>
      <c r="I111" s="109"/>
      <c r="J111" s="65"/>
      <c r="K111" s="112"/>
      <c r="L111" s="115"/>
      <c r="M111" s="111"/>
      <c r="N111" s="110"/>
      <c r="O111" s="105"/>
      <c r="P111" s="114"/>
      <c r="Z111" s="96"/>
      <c r="AA111" s="88"/>
      <c r="AB111" s="88"/>
    </row>
    <row r="112" spans="1:28" s="108" customFormat="1">
      <c r="A112" s="93"/>
      <c r="B112" s="109"/>
      <c r="C112" s="109"/>
      <c r="D112" s="109"/>
      <c r="E112" s="109"/>
      <c r="F112" s="109"/>
      <c r="G112" s="109"/>
      <c r="H112" s="109"/>
      <c r="I112" s="109"/>
      <c r="J112" s="65"/>
      <c r="K112" s="112"/>
      <c r="L112" s="109"/>
      <c r="M112" s="111"/>
      <c r="N112" s="110"/>
      <c r="O112" s="105"/>
      <c r="P112" s="114"/>
      <c r="Z112" s="96"/>
      <c r="AA112" s="88"/>
      <c r="AB112" s="88"/>
    </row>
    <row r="113" spans="1:28" s="108" customFormat="1">
      <c r="A113" s="93"/>
      <c r="B113" s="109"/>
      <c r="C113" s="109"/>
      <c r="D113" s="109"/>
      <c r="E113" s="109"/>
      <c r="F113" s="109"/>
      <c r="G113" s="109"/>
      <c r="H113" s="109"/>
      <c r="I113" s="109"/>
      <c r="J113" s="65"/>
      <c r="K113" s="112"/>
      <c r="M113" s="111"/>
      <c r="N113" s="110"/>
      <c r="O113" s="105"/>
      <c r="P113" s="114"/>
      <c r="Z113" s="96"/>
      <c r="AA113" s="88"/>
      <c r="AB113" s="88"/>
    </row>
    <row r="114" spans="1:28" s="108" customFormat="1">
      <c r="A114" s="93"/>
      <c r="B114" s="109"/>
      <c r="C114" s="109"/>
      <c r="D114" s="109"/>
      <c r="E114" s="109"/>
      <c r="F114" s="109"/>
      <c r="G114" s="109"/>
      <c r="H114" s="109"/>
      <c r="I114" s="109"/>
      <c r="J114" s="65"/>
      <c r="K114" s="112"/>
      <c r="M114" s="111"/>
      <c r="N114" s="110"/>
      <c r="O114" s="105"/>
      <c r="P114" s="114"/>
    </row>
    <row r="115" spans="1:28" s="108" customFormat="1">
      <c r="A115" s="93"/>
      <c r="B115" s="109"/>
      <c r="C115" s="109"/>
      <c r="D115" s="109"/>
      <c r="E115" s="109"/>
      <c r="F115" s="109"/>
      <c r="G115" s="109"/>
      <c r="H115" s="109"/>
      <c r="I115" s="109"/>
      <c r="J115" s="65"/>
      <c r="K115" s="112"/>
      <c r="M115" s="111"/>
      <c r="N115" s="110"/>
      <c r="O115" s="105"/>
      <c r="P115" s="114"/>
    </row>
    <row r="116" spans="1:28" s="108" customFormat="1">
      <c r="A116" s="93"/>
      <c r="B116" s="109"/>
      <c r="C116" s="109"/>
      <c r="D116" s="109"/>
      <c r="E116" s="109"/>
      <c r="F116" s="109"/>
      <c r="G116" s="109"/>
      <c r="H116" s="109"/>
      <c r="I116" s="109"/>
      <c r="J116" s="65"/>
      <c r="K116" s="112"/>
      <c r="M116" s="111"/>
      <c r="N116" s="110"/>
      <c r="O116" s="105"/>
      <c r="P116" s="114"/>
    </row>
    <row r="117" spans="1:28" s="108" customFormat="1">
      <c r="A117" s="93"/>
      <c r="B117" s="109"/>
      <c r="C117" s="109"/>
      <c r="D117" s="109"/>
      <c r="E117" s="109"/>
      <c r="F117" s="109"/>
      <c r="G117" s="109"/>
      <c r="H117" s="109"/>
      <c r="I117" s="109"/>
      <c r="J117" s="65"/>
      <c r="K117" s="112"/>
      <c r="M117" s="111"/>
      <c r="N117" s="67"/>
      <c r="O117" s="105"/>
      <c r="P117" s="114"/>
    </row>
    <row r="118" spans="1:28">
      <c r="A118" s="93"/>
      <c r="B118" s="83"/>
      <c r="C118" s="83"/>
      <c r="D118" s="83"/>
      <c r="E118" s="83"/>
      <c r="F118" s="83"/>
      <c r="G118" s="83"/>
      <c r="H118" s="83"/>
      <c r="I118" s="83"/>
      <c r="K118" s="112"/>
      <c r="L118" s="55"/>
      <c r="M118" s="92"/>
      <c r="N118" s="90"/>
      <c r="O118" s="105"/>
      <c r="P118" s="114"/>
      <c r="R118" s="108"/>
      <c r="S118" s="108"/>
      <c r="T118" s="108"/>
      <c r="U118" s="108"/>
      <c r="V118" s="108"/>
      <c r="W118" s="108"/>
      <c r="X118" s="108"/>
      <c r="Y118" s="108"/>
      <c r="Z118" s="55"/>
      <c r="AA118" s="55"/>
      <c r="AB118" s="55"/>
    </row>
    <row r="119" spans="1:28">
      <c r="A119" s="93"/>
      <c r="B119" s="83"/>
      <c r="C119" s="83"/>
      <c r="D119" s="83"/>
      <c r="E119" s="83"/>
      <c r="F119" s="83"/>
      <c r="G119" s="83"/>
      <c r="H119" s="83"/>
      <c r="I119" s="83"/>
      <c r="K119" s="112"/>
      <c r="L119" s="55"/>
      <c r="M119" s="92"/>
      <c r="N119" s="90"/>
      <c r="O119" s="105"/>
      <c r="P119" s="114"/>
      <c r="R119" s="115"/>
      <c r="S119" s="115"/>
      <c r="T119" s="115"/>
      <c r="U119" s="108"/>
      <c r="V119" s="108"/>
      <c r="W119" s="108"/>
      <c r="X119" s="108"/>
      <c r="Y119" s="113"/>
      <c r="Z119" s="55"/>
      <c r="AA119" s="55"/>
      <c r="AB119" s="55"/>
    </row>
    <row r="120" spans="1:28">
      <c r="A120" s="93"/>
      <c r="B120" s="83"/>
      <c r="C120" s="83"/>
      <c r="D120" s="83"/>
      <c r="E120" s="83"/>
      <c r="F120" s="83"/>
      <c r="G120" s="83"/>
      <c r="H120" s="83"/>
      <c r="I120" s="83"/>
      <c r="K120" s="112"/>
      <c r="L120" s="55"/>
      <c r="M120" s="92"/>
      <c r="N120" s="90"/>
      <c r="O120" s="105"/>
      <c r="P120" s="114"/>
      <c r="R120" s="115"/>
      <c r="S120" s="115"/>
      <c r="T120" s="115"/>
      <c r="U120" s="108"/>
      <c r="V120" s="108"/>
      <c r="W120" s="108"/>
      <c r="X120" s="108"/>
      <c r="Y120" s="113"/>
      <c r="Z120" s="55"/>
      <c r="AA120" s="55"/>
      <c r="AB120" s="55"/>
    </row>
    <row r="121" spans="1:28">
      <c r="A121" s="93"/>
      <c r="B121" s="83"/>
      <c r="C121" s="83"/>
      <c r="D121" s="83"/>
      <c r="E121" s="83"/>
      <c r="F121" s="83"/>
      <c r="G121" s="83"/>
      <c r="H121" s="83"/>
      <c r="I121" s="83"/>
      <c r="K121" s="112"/>
      <c r="L121" s="108"/>
      <c r="M121" s="111"/>
      <c r="N121" s="90"/>
      <c r="O121" s="105"/>
      <c r="P121" s="114"/>
      <c r="R121" s="115"/>
      <c r="S121" s="115"/>
      <c r="T121" s="115"/>
      <c r="U121" s="108"/>
      <c r="V121" s="108"/>
      <c r="W121" s="108"/>
      <c r="X121" s="108"/>
      <c r="Y121" s="113"/>
      <c r="Z121" s="55"/>
      <c r="AA121" s="55"/>
      <c r="AB121" s="55"/>
    </row>
    <row r="122" spans="1:28">
      <c r="A122" s="93"/>
      <c r="B122" s="83"/>
      <c r="C122" s="83"/>
      <c r="D122" s="83"/>
      <c r="E122" s="83"/>
      <c r="F122" s="83"/>
      <c r="G122" s="83"/>
      <c r="H122" s="83"/>
      <c r="I122" s="83"/>
      <c r="K122" s="112"/>
      <c r="L122" s="108"/>
      <c r="M122" s="111"/>
      <c r="N122" s="90"/>
      <c r="O122" s="105"/>
      <c r="P122" s="114"/>
      <c r="R122" s="115"/>
      <c r="S122" s="115"/>
      <c r="T122" s="115"/>
      <c r="U122" s="108"/>
      <c r="V122" s="108"/>
      <c r="W122" s="108"/>
      <c r="X122" s="108"/>
      <c r="Y122" s="113"/>
      <c r="Z122" s="55"/>
      <c r="AA122" s="55"/>
      <c r="AB122" s="55"/>
    </row>
    <row r="123" spans="1:28">
      <c r="A123" s="93"/>
      <c r="B123" s="83"/>
      <c r="C123" s="83"/>
      <c r="D123" s="83"/>
      <c r="E123" s="83"/>
      <c r="F123" s="83"/>
      <c r="G123" s="83"/>
      <c r="H123" s="83"/>
      <c r="I123" s="83"/>
      <c r="K123" s="112"/>
      <c r="L123" s="108"/>
      <c r="M123" s="111"/>
      <c r="N123" s="90"/>
      <c r="O123" s="105"/>
      <c r="P123" s="114"/>
      <c r="R123" s="115"/>
      <c r="S123" s="115"/>
      <c r="T123" s="115"/>
      <c r="U123" s="108"/>
      <c r="V123" s="108"/>
      <c r="W123" s="108"/>
      <c r="X123" s="108"/>
      <c r="Y123" s="113"/>
      <c r="Z123" s="55"/>
      <c r="AA123" s="55"/>
      <c r="AB123" s="55"/>
    </row>
    <row r="124" spans="1:28">
      <c r="A124" s="93"/>
      <c r="B124" s="83"/>
      <c r="C124" s="83"/>
      <c r="D124" s="83"/>
      <c r="E124" s="83"/>
      <c r="F124" s="83"/>
      <c r="G124" s="83"/>
      <c r="H124" s="83"/>
      <c r="I124" s="83"/>
      <c r="K124" s="112"/>
      <c r="L124" s="108"/>
      <c r="M124" s="111"/>
      <c r="N124" s="90"/>
      <c r="O124" s="105"/>
      <c r="P124" s="114"/>
      <c r="R124" s="108"/>
      <c r="S124" s="108"/>
      <c r="T124" s="108"/>
      <c r="U124" s="108"/>
      <c r="V124" s="108"/>
      <c r="W124" s="108"/>
      <c r="X124" s="108"/>
      <c r="Y124" s="108"/>
      <c r="Z124" s="55"/>
      <c r="AA124" s="55"/>
      <c r="AB124" s="55"/>
    </row>
    <row r="125" spans="1:28">
      <c r="A125" s="93"/>
      <c r="B125" s="83"/>
      <c r="C125" s="83"/>
      <c r="D125" s="83"/>
      <c r="E125" s="83"/>
      <c r="F125" s="83"/>
      <c r="G125" s="83"/>
      <c r="H125" s="83"/>
      <c r="I125" s="83"/>
      <c r="K125" s="112"/>
      <c r="L125" s="108"/>
      <c r="M125" s="92"/>
      <c r="N125" s="90"/>
      <c r="O125" s="105"/>
      <c r="P125" s="114"/>
      <c r="Z125" s="55"/>
      <c r="AA125" s="55"/>
      <c r="AB125" s="55"/>
    </row>
    <row r="126" spans="1:28">
      <c r="A126" s="93"/>
      <c r="B126" s="83"/>
      <c r="C126" s="83"/>
      <c r="D126" s="83"/>
      <c r="E126" s="83"/>
      <c r="F126" s="83"/>
      <c r="G126" s="83"/>
      <c r="H126" s="83"/>
      <c r="I126" s="83"/>
      <c r="K126" s="112"/>
      <c r="L126" s="108"/>
      <c r="M126" s="92"/>
      <c r="N126" s="90"/>
      <c r="O126" s="105"/>
      <c r="P126" s="114"/>
      <c r="Z126" s="55"/>
      <c r="AA126" s="55"/>
      <c r="AB126" s="55"/>
    </row>
    <row r="127" spans="1:28">
      <c r="A127" s="93"/>
      <c r="B127" s="83"/>
      <c r="C127" s="83"/>
      <c r="D127" s="83"/>
      <c r="E127" s="83"/>
      <c r="F127" s="83"/>
      <c r="G127" s="83"/>
      <c r="H127" s="83"/>
      <c r="I127" s="83"/>
      <c r="K127" s="112"/>
      <c r="L127" s="108"/>
      <c r="M127" s="92"/>
      <c r="N127" s="90"/>
      <c r="O127" s="105"/>
      <c r="P127" s="114"/>
      <c r="Z127" s="55"/>
      <c r="AA127" s="55"/>
      <c r="AB127" s="55"/>
    </row>
    <row r="128" spans="1:28">
      <c r="A128" s="93"/>
      <c r="B128" s="83"/>
      <c r="C128" s="83"/>
      <c r="D128" s="83"/>
      <c r="E128" s="83"/>
      <c r="F128" s="83"/>
      <c r="G128" s="83"/>
      <c r="H128" s="83"/>
      <c r="I128" s="83"/>
      <c r="K128" s="112"/>
      <c r="L128" s="108"/>
      <c r="M128" s="92"/>
      <c r="N128" s="90"/>
      <c r="O128" s="105"/>
      <c r="P128" s="114"/>
      <c r="Z128" s="55"/>
      <c r="AA128" s="55"/>
      <c r="AB128" s="55"/>
    </row>
    <row r="129" spans="1:28">
      <c r="A129" s="93"/>
      <c r="B129" s="83"/>
      <c r="C129" s="83"/>
      <c r="D129" s="83"/>
      <c r="E129" s="83"/>
      <c r="F129" s="83"/>
      <c r="G129" s="83"/>
      <c r="H129" s="83"/>
      <c r="I129" s="83"/>
      <c r="K129" s="112"/>
      <c r="L129" s="108"/>
      <c r="M129" s="92"/>
      <c r="N129" s="90"/>
      <c r="O129" s="105"/>
      <c r="P129" s="114"/>
      <c r="Z129" s="55"/>
      <c r="AA129" s="55"/>
      <c r="AB129" s="55"/>
    </row>
    <row r="130" spans="1:28">
      <c r="A130" s="93"/>
      <c r="B130" s="83"/>
      <c r="C130" s="83"/>
      <c r="D130" s="83"/>
      <c r="E130" s="83"/>
      <c r="F130" s="83"/>
      <c r="G130" s="83"/>
      <c r="H130" s="83"/>
      <c r="I130" s="83"/>
      <c r="K130" s="112"/>
      <c r="L130" s="108"/>
      <c r="M130" s="92"/>
      <c r="N130" s="90"/>
      <c r="O130" s="105"/>
      <c r="P130" s="114"/>
      <c r="Z130" s="55"/>
      <c r="AA130" s="55"/>
      <c r="AB130" s="55"/>
    </row>
    <row r="131" spans="1:28">
      <c r="A131" s="93"/>
      <c r="B131" s="83"/>
      <c r="C131" s="83"/>
      <c r="D131" s="83"/>
      <c r="E131" s="83"/>
      <c r="F131" s="83"/>
      <c r="G131" s="83"/>
      <c r="H131" s="83"/>
      <c r="I131" s="83"/>
      <c r="K131" s="112"/>
      <c r="L131" s="108"/>
      <c r="M131" s="92"/>
      <c r="N131" s="90"/>
      <c r="O131" s="105"/>
      <c r="P131" s="114"/>
      <c r="Z131" s="55"/>
      <c r="AA131" s="55"/>
      <c r="AB131" s="55"/>
    </row>
    <row r="132" spans="1:28">
      <c r="A132" s="93"/>
      <c r="B132" s="83"/>
      <c r="C132" s="83"/>
      <c r="D132" s="83"/>
      <c r="E132" s="83"/>
      <c r="F132" s="83"/>
      <c r="G132" s="83"/>
      <c r="H132" s="83"/>
      <c r="I132" s="83"/>
      <c r="K132" s="112"/>
      <c r="L132" s="108"/>
      <c r="M132" s="92"/>
      <c r="N132" s="90"/>
      <c r="O132" s="105"/>
      <c r="P132" s="114"/>
      <c r="Z132" s="55"/>
      <c r="AA132" s="55"/>
      <c r="AB132" s="55"/>
    </row>
    <row r="133" spans="1:28">
      <c r="A133" s="93"/>
      <c r="B133" s="83"/>
      <c r="C133" s="83"/>
      <c r="D133" s="83"/>
      <c r="E133" s="83"/>
      <c r="F133" s="83"/>
      <c r="G133" s="83"/>
      <c r="H133" s="83"/>
      <c r="I133" s="83"/>
      <c r="K133" s="112"/>
      <c r="L133" s="108"/>
      <c r="M133" s="92"/>
      <c r="N133" s="90"/>
      <c r="O133" s="105"/>
      <c r="P133" s="114"/>
      <c r="Z133" s="55"/>
      <c r="AA133" s="55"/>
      <c r="AB133" s="55"/>
    </row>
    <row r="134" spans="1:28">
      <c r="A134" s="93"/>
      <c r="B134" s="83"/>
      <c r="C134" s="83"/>
      <c r="D134" s="83"/>
      <c r="E134" s="83"/>
      <c r="F134" s="83"/>
      <c r="G134" s="83"/>
      <c r="H134" s="83"/>
      <c r="I134" s="83"/>
      <c r="K134" s="112"/>
      <c r="L134" s="108"/>
      <c r="M134" s="92"/>
      <c r="N134" s="90"/>
      <c r="O134" s="105"/>
      <c r="P134" s="114"/>
      <c r="Z134" s="55"/>
      <c r="AA134" s="55"/>
      <c r="AB134" s="55"/>
    </row>
    <row r="135" spans="1:28">
      <c r="A135" s="93"/>
      <c r="B135" s="83"/>
      <c r="C135" s="83"/>
      <c r="D135" s="83"/>
      <c r="E135" s="83"/>
      <c r="F135" s="83"/>
      <c r="G135" s="83"/>
      <c r="H135" s="83"/>
      <c r="I135" s="83"/>
      <c r="K135" s="112"/>
      <c r="L135" s="108"/>
      <c r="M135" s="92"/>
      <c r="N135" s="90"/>
      <c r="O135" s="105"/>
      <c r="P135" s="114"/>
      <c r="Z135" s="55"/>
      <c r="AA135" s="55"/>
      <c r="AB135" s="55"/>
    </row>
    <row r="136" spans="1:28">
      <c r="A136" s="93"/>
      <c r="B136" s="83"/>
      <c r="C136" s="83"/>
      <c r="D136" s="83"/>
      <c r="E136" s="83"/>
      <c r="F136" s="83"/>
      <c r="G136" s="83"/>
      <c r="H136" s="83"/>
      <c r="I136" s="83"/>
      <c r="K136" s="112"/>
      <c r="L136" s="55"/>
      <c r="M136" s="92"/>
      <c r="N136" s="90"/>
      <c r="O136" s="105"/>
      <c r="P136" s="114"/>
      <c r="Z136" s="55"/>
      <c r="AA136" s="55"/>
      <c r="AB136" s="55"/>
    </row>
    <row r="137" spans="1:28">
      <c r="A137" s="93"/>
      <c r="B137" s="83"/>
      <c r="C137" s="83"/>
      <c r="D137" s="83"/>
      <c r="E137" s="83"/>
      <c r="F137" s="83"/>
      <c r="G137" s="83"/>
      <c r="H137" s="83"/>
      <c r="I137" s="83"/>
      <c r="K137" s="112"/>
      <c r="L137" s="55"/>
      <c r="M137" s="92"/>
      <c r="N137" s="90"/>
      <c r="O137" s="105"/>
      <c r="P137" s="114"/>
      <c r="Z137" s="55"/>
      <c r="AA137" s="55"/>
      <c r="AB137" s="55"/>
    </row>
    <row r="138" spans="1:28">
      <c r="A138" s="93"/>
      <c r="B138" s="83"/>
      <c r="C138" s="83"/>
      <c r="D138" s="83"/>
      <c r="E138" s="83"/>
      <c r="F138" s="83"/>
      <c r="G138" s="83"/>
      <c r="H138" s="83"/>
      <c r="I138" s="83"/>
      <c r="K138" s="112"/>
      <c r="L138" s="102"/>
      <c r="M138" s="92"/>
      <c r="N138" s="90"/>
      <c r="O138" s="105"/>
      <c r="P138" s="114"/>
      <c r="Z138" s="55"/>
      <c r="AA138" s="55"/>
      <c r="AB138" s="55"/>
    </row>
    <row r="139" spans="1:28">
      <c r="A139" s="93"/>
      <c r="B139" s="83"/>
      <c r="C139" s="83"/>
      <c r="D139" s="83"/>
      <c r="E139" s="83"/>
      <c r="F139" s="83"/>
      <c r="G139" s="83"/>
      <c r="H139" s="83"/>
      <c r="I139" s="83"/>
      <c r="K139" s="112"/>
      <c r="L139" s="102"/>
      <c r="M139" s="92"/>
      <c r="N139" s="90"/>
      <c r="O139" s="105"/>
      <c r="P139" s="114"/>
      <c r="Z139" s="55"/>
      <c r="AA139" s="55"/>
      <c r="AB139" s="55"/>
    </row>
    <row r="140" spans="1:28">
      <c r="A140" s="93"/>
      <c r="B140" s="83"/>
      <c r="C140" s="83"/>
      <c r="D140" s="83"/>
      <c r="E140" s="83"/>
      <c r="F140" s="83"/>
      <c r="G140" s="83"/>
      <c r="H140" s="83"/>
      <c r="I140" s="83"/>
      <c r="K140" s="112"/>
      <c r="L140" s="55"/>
      <c r="M140" s="92"/>
      <c r="N140" s="90"/>
      <c r="O140" s="105"/>
      <c r="P140" s="114"/>
      <c r="Z140" s="55"/>
      <c r="AA140" s="55"/>
      <c r="AB140" s="55"/>
    </row>
    <row r="141" spans="1:28">
      <c r="A141" s="93"/>
      <c r="B141" s="83"/>
      <c r="C141" s="83"/>
      <c r="D141" s="83"/>
      <c r="E141" s="83"/>
      <c r="F141" s="83"/>
      <c r="G141" s="83"/>
      <c r="H141" s="83"/>
      <c r="I141" s="83"/>
      <c r="K141" s="112"/>
      <c r="L141" s="55"/>
      <c r="M141" s="92"/>
      <c r="N141" s="90"/>
      <c r="O141" s="105"/>
      <c r="P141" s="114"/>
      <c r="Z141" s="55"/>
      <c r="AA141" s="55"/>
      <c r="AB141" s="55"/>
    </row>
    <row r="142" spans="1:28">
      <c r="A142" s="93"/>
      <c r="B142" s="83"/>
      <c r="C142" s="83"/>
      <c r="D142" s="83"/>
      <c r="E142" s="83"/>
      <c r="F142" s="83"/>
      <c r="G142" s="83"/>
      <c r="H142" s="83"/>
      <c r="I142" s="83"/>
      <c r="K142" s="112"/>
      <c r="L142" s="55"/>
      <c r="M142" s="92"/>
      <c r="N142" s="90"/>
      <c r="O142" s="105"/>
      <c r="P142" s="114"/>
      <c r="Z142" s="55"/>
      <c r="AA142" s="55"/>
      <c r="AB142" s="55"/>
    </row>
    <row r="143" spans="1:28">
      <c r="A143" s="93"/>
      <c r="B143" s="83"/>
      <c r="C143" s="83"/>
      <c r="D143" s="83"/>
      <c r="E143" s="83"/>
      <c r="F143" s="83"/>
      <c r="G143" s="83"/>
      <c r="H143" s="83"/>
      <c r="I143" s="83"/>
      <c r="K143" s="112"/>
      <c r="L143" s="55"/>
      <c r="M143" s="92"/>
      <c r="N143" s="90"/>
      <c r="O143" s="105"/>
      <c r="P143" s="114"/>
      <c r="Z143" s="55"/>
      <c r="AA143" s="55"/>
      <c r="AB143" s="55"/>
    </row>
    <row r="144" spans="1:28">
      <c r="A144" s="93"/>
      <c r="B144" s="83"/>
      <c r="C144" s="83"/>
      <c r="D144" s="83"/>
      <c r="E144" s="83"/>
      <c r="F144" s="83"/>
      <c r="G144" s="83"/>
      <c r="H144" s="83"/>
      <c r="I144" s="83"/>
      <c r="K144" s="112"/>
      <c r="L144" s="55"/>
      <c r="M144" s="92"/>
      <c r="N144" s="90"/>
      <c r="O144" s="105"/>
      <c r="P144" s="114"/>
      <c r="Z144" s="55"/>
      <c r="AA144" s="55"/>
      <c r="AB144" s="55"/>
    </row>
    <row r="145" spans="1:28">
      <c r="A145" s="93"/>
      <c r="B145" s="83"/>
      <c r="C145" s="83"/>
      <c r="D145" s="83"/>
      <c r="E145" s="83"/>
      <c r="F145" s="83"/>
      <c r="G145" s="83"/>
      <c r="H145" s="83"/>
      <c r="I145" s="83"/>
      <c r="K145" s="112"/>
      <c r="L145" s="55"/>
      <c r="M145" s="92"/>
      <c r="N145" s="90"/>
      <c r="O145" s="105"/>
      <c r="P145" s="114"/>
      <c r="Z145" s="55"/>
      <c r="AA145" s="55"/>
      <c r="AB145" s="55"/>
    </row>
    <row r="146" spans="1:28">
      <c r="A146" s="93"/>
      <c r="B146" s="83"/>
      <c r="C146" s="83"/>
      <c r="D146" s="83"/>
      <c r="E146" s="83"/>
      <c r="F146" s="83"/>
      <c r="G146" s="83"/>
      <c r="H146" s="83"/>
      <c r="I146" s="83"/>
      <c r="K146" s="112"/>
      <c r="L146" s="55"/>
      <c r="M146" s="92"/>
      <c r="N146" s="90"/>
      <c r="O146" s="105"/>
      <c r="P146" s="114"/>
      <c r="Z146" s="55"/>
      <c r="AA146" s="55"/>
      <c r="AB146" s="55"/>
    </row>
    <row r="147" spans="1:28">
      <c r="A147" s="93"/>
      <c r="B147" s="83"/>
      <c r="C147" s="83"/>
      <c r="D147" s="83"/>
      <c r="E147" s="83"/>
      <c r="F147" s="83"/>
      <c r="G147" s="83"/>
      <c r="H147" s="83"/>
      <c r="I147" s="83"/>
      <c r="K147" s="112"/>
      <c r="L147" s="55"/>
      <c r="M147" s="92"/>
      <c r="N147" s="90"/>
      <c r="O147" s="105"/>
      <c r="P147" s="114"/>
      <c r="Z147" s="55"/>
      <c r="AA147" s="55"/>
      <c r="AB147" s="55"/>
    </row>
    <row r="148" spans="1:28">
      <c r="A148" s="93"/>
      <c r="B148" s="83"/>
      <c r="C148" s="83"/>
      <c r="D148" s="83"/>
      <c r="E148" s="83"/>
      <c r="F148" s="83"/>
      <c r="G148" s="83"/>
      <c r="H148" s="83"/>
      <c r="I148" s="83"/>
      <c r="K148" s="112"/>
      <c r="L148" s="55"/>
      <c r="M148" s="92"/>
      <c r="N148" s="90"/>
      <c r="O148" s="105"/>
      <c r="P148" s="114"/>
      <c r="Z148" s="55"/>
      <c r="AA148" s="55"/>
      <c r="AB148" s="55"/>
    </row>
    <row r="149" spans="1:28">
      <c r="A149" s="93"/>
      <c r="B149" s="83"/>
      <c r="C149" s="83"/>
      <c r="D149" s="83"/>
      <c r="E149" s="83"/>
      <c r="F149" s="83"/>
      <c r="G149" s="83"/>
      <c r="H149" s="83"/>
      <c r="I149" s="83"/>
      <c r="K149" s="112"/>
      <c r="L149" s="55"/>
      <c r="M149" s="92"/>
      <c r="N149" s="90"/>
      <c r="O149" s="105"/>
      <c r="P149" s="114"/>
    </row>
    <row r="150" spans="1:28">
      <c r="A150" s="93"/>
      <c r="B150" s="83"/>
      <c r="C150" s="83"/>
      <c r="D150" s="83"/>
      <c r="E150" s="83"/>
      <c r="F150" s="83"/>
      <c r="G150" s="83"/>
      <c r="H150" s="83"/>
      <c r="I150" s="83"/>
      <c r="K150" s="112"/>
      <c r="L150" s="55"/>
      <c r="M150" s="92"/>
      <c r="N150" s="90"/>
      <c r="O150" s="105"/>
      <c r="P150" s="114"/>
    </row>
    <row r="151" spans="1:28">
      <c r="A151" s="93"/>
      <c r="B151" s="83"/>
      <c r="C151" s="83"/>
      <c r="D151" s="83"/>
      <c r="E151" s="83"/>
      <c r="F151" s="83"/>
      <c r="G151" s="83"/>
      <c r="H151" s="83"/>
      <c r="I151" s="83"/>
      <c r="K151" s="112"/>
      <c r="L151" s="55"/>
      <c r="M151" s="92"/>
      <c r="N151" s="90"/>
      <c r="O151" s="105"/>
      <c r="P151" s="114"/>
    </row>
    <row r="152" spans="1:28">
      <c r="A152" s="93"/>
      <c r="B152" s="83"/>
      <c r="C152" s="83"/>
      <c r="D152" s="83"/>
      <c r="E152" s="83"/>
      <c r="F152" s="83"/>
      <c r="G152" s="83"/>
      <c r="H152" s="83"/>
      <c r="I152" s="83"/>
      <c r="K152" s="112"/>
      <c r="L152" s="55"/>
      <c r="M152" s="92"/>
      <c r="N152" s="90"/>
      <c r="O152" s="105"/>
      <c r="P152" s="114"/>
    </row>
    <row r="153" spans="1:28">
      <c r="A153" s="93"/>
      <c r="B153" s="83"/>
      <c r="C153" s="83"/>
      <c r="D153" s="83"/>
      <c r="E153" s="83"/>
      <c r="F153" s="83"/>
      <c r="G153" s="83"/>
      <c r="H153" s="83"/>
      <c r="I153" s="83"/>
      <c r="K153" s="112"/>
      <c r="L153" s="102"/>
      <c r="M153" s="92"/>
      <c r="N153" s="90"/>
      <c r="O153" s="105"/>
      <c r="P153" s="114"/>
    </row>
    <row r="154" spans="1:28">
      <c r="A154" s="93"/>
      <c r="B154" s="83"/>
      <c r="C154" s="83"/>
      <c r="D154" s="83"/>
      <c r="E154" s="83"/>
      <c r="F154" s="83"/>
      <c r="G154" s="83"/>
      <c r="H154" s="83"/>
      <c r="I154" s="83"/>
      <c r="K154" s="112"/>
      <c r="L154" s="102"/>
      <c r="M154" s="92"/>
      <c r="N154" s="90"/>
      <c r="O154" s="105"/>
      <c r="P154" s="114"/>
    </row>
    <row r="155" spans="1:28">
      <c r="A155" s="93"/>
      <c r="B155" s="83"/>
      <c r="C155" s="83"/>
      <c r="D155" s="83"/>
      <c r="E155" s="83"/>
      <c r="F155" s="83"/>
      <c r="G155" s="83"/>
      <c r="H155" s="83"/>
      <c r="I155" s="83"/>
      <c r="K155" s="112"/>
      <c r="L155" s="55"/>
      <c r="M155" s="92"/>
      <c r="N155" s="90"/>
      <c r="O155" s="105"/>
      <c r="P155" s="114"/>
    </row>
    <row r="156" spans="1:28">
      <c r="A156" s="93"/>
      <c r="B156" s="83"/>
      <c r="C156" s="83"/>
      <c r="D156" s="83"/>
      <c r="E156" s="83"/>
      <c r="F156" s="83"/>
      <c r="G156" s="83"/>
      <c r="H156" s="83"/>
      <c r="I156" s="83"/>
      <c r="K156" s="112"/>
      <c r="L156" s="55"/>
      <c r="M156" s="92"/>
      <c r="N156" s="90"/>
      <c r="O156" s="105"/>
      <c r="P156" s="114"/>
    </row>
    <row r="157" spans="1:28">
      <c r="A157" s="93"/>
      <c r="B157" s="83"/>
      <c r="C157" s="83"/>
      <c r="D157" s="83"/>
      <c r="E157" s="83"/>
      <c r="F157" s="83"/>
      <c r="G157" s="83"/>
      <c r="H157" s="83"/>
      <c r="I157" s="83"/>
      <c r="K157" s="112"/>
      <c r="L157" s="55"/>
      <c r="M157" s="92"/>
      <c r="N157" s="90"/>
      <c r="O157" s="105"/>
      <c r="P157" s="114"/>
    </row>
    <row r="158" spans="1:28">
      <c r="A158" s="93"/>
      <c r="B158" s="83"/>
      <c r="C158" s="83"/>
      <c r="D158" s="83"/>
      <c r="E158" s="83"/>
      <c r="F158" s="83"/>
      <c r="G158" s="83"/>
      <c r="H158" s="83"/>
      <c r="I158" s="83"/>
      <c r="K158" s="112"/>
      <c r="L158" s="55"/>
      <c r="M158" s="107"/>
      <c r="N158" s="90"/>
      <c r="O158" s="105"/>
      <c r="P158" s="114"/>
    </row>
    <row r="159" spans="1:28">
      <c r="A159" s="93"/>
      <c r="B159" s="83"/>
      <c r="C159" s="83"/>
      <c r="D159" s="83"/>
      <c r="E159" s="83"/>
      <c r="F159" s="83"/>
      <c r="G159" s="83"/>
      <c r="H159" s="83"/>
      <c r="I159" s="83"/>
      <c r="K159" s="112"/>
      <c r="L159" s="55"/>
      <c r="M159" s="107"/>
      <c r="N159" s="90"/>
      <c r="O159" s="105"/>
      <c r="P159" s="114"/>
    </row>
    <row r="160" spans="1:28">
      <c r="A160" s="93"/>
      <c r="B160" s="83"/>
      <c r="C160" s="83"/>
      <c r="D160" s="83"/>
      <c r="E160" s="83"/>
      <c r="F160" s="83"/>
      <c r="G160" s="83"/>
      <c r="H160" s="83"/>
      <c r="I160" s="83"/>
      <c r="K160" s="112"/>
      <c r="L160" s="55"/>
      <c r="M160" s="107"/>
      <c r="N160" s="90"/>
      <c r="O160" s="105"/>
      <c r="P160" s="114"/>
    </row>
    <row r="161" spans="1:28">
      <c r="A161" s="93"/>
      <c r="B161" s="83"/>
      <c r="C161" s="83"/>
      <c r="D161" s="83"/>
      <c r="E161" s="83"/>
      <c r="F161" s="83"/>
      <c r="G161" s="83"/>
      <c r="H161" s="83"/>
      <c r="I161" s="83"/>
      <c r="K161" s="112"/>
      <c r="L161" s="55"/>
      <c r="M161" s="107"/>
      <c r="N161" s="90"/>
      <c r="O161" s="105"/>
      <c r="P161" s="114"/>
    </row>
    <row r="162" spans="1:28">
      <c r="A162" s="93"/>
      <c r="B162" s="83"/>
      <c r="C162" s="83"/>
      <c r="D162" s="83"/>
      <c r="E162" s="83"/>
      <c r="F162" s="83"/>
      <c r="G162" s="83"/>
      <c r="H162" s="83"/>
      <c r="I162" s="83"/>
      <c r="K162" s="112"/>
      <c r="L162" s="55"/>
      <c r="M162" s="107"/>
      <c r="N162" s="90"/>
      <c r="O162" s="105"/>
      <c r="P162" s="114"/>
    </row>
    <row r="163" spans="1:28">
      <c r="A163" s="93"/>
      <c r="B163" s="83"/>
      <c r="C163" s="83"/>
      <c r="D163" s="83"/>
      <c r="E163" s="83"/>
      <c r="F163" s="83"/>
      <c r="G163" s="83"/>
      <c r="H163" s="83"/>
      <c r="I163" s="83"/>
      <c r="K163" s="112"/>
      <c r="L163" s="55"/>
      <c r="M163" s="107"/>
      <c r="N163" s="90"/>
      <c r="O163" s="105"/>
      <c r="P163" s="114"/>
    </row>
    <row r="164" spans="1:28">
      <c r="A164" s="93"/>
      <c r="B164" s="83"/>
      <c r="C164" s="83"/>
      <c r="D164" s="83"/>
      <c r="E164" s="83"/>
      <c r="F164" s="83"/>
      <c r="G164" s="83"/>
      <c r="H164" s="83"/>
      <c r="I164" s="83"/>
      <c r="K164" s="112"/>
      <c r="L164" s="55"/>
      <c r="M164" s="107"/>
      <c r="N164" s="90"/>
      <c r="O164" s="105"/>
      <c r="P164" s="114"/>
    </row>
    <row r="165" spans="1:28">
      <c r="A165" s="93"/>
      <c r="B165" s="83"/>
      <c r="C165" s="83"/>
      <c r="D165" s="83"/>
      <c r="E165" s="83"/>
      <c r="F165" s="83"/>
      <c r="G165" s="83"/>
      <c r="H165" s="83"/>
      <c r="I165" s="83"/>
      <c r="K165" s="112"/>
      <c r="L165" s="55"/>
      <c r="M165" s="107"/>
      <c r="N165" s="90"/>
      <c r="O165" s="105"/>
      <c r="P165" s="114"/>
    </row>
    <row r="166" spans="1:28">
      <c r="A166" s="93"/>
      <c r="B166" s="83"/>
      <c r="C166" s="83"/>
      <c r="D166" s="83"/>
      <c r="E166" s="83"/>
      <c r="F166" s="83"/>
      <c r="G166" s="83"/>
      <c r="H166" s="83"/>
      <c r="I166" s="83"/>
      <c r="K166" s="112"/>
      <c r="L166" s="102"/>
      <c r="M166" s="107"/>
      <c r="N166" s="90"/>
      <c r="O166" s="105"/>
      <c r="P166" s="114"/>
    </row>
    <row r="167" spans="1:28">
      <c r="A167" s="93"/>
      <c r="B167" s="83"/>
      <c r="C167" s="83"/>
      <c r="D167" s="83"/>
      <c r="E167" s="83"/>
      <c r="F167" s="83"/>
      <c r="G167" s="83"/>
      <c r="H167" s="83"/>
      <c r="I167" s="83"/>
      <c r="K167" s="112"/>
      <c r="L167" s="55"/>
      <c r="M167" s="107"/>
      <c r="N167" s="90"/>
      <c r="O167" s="105"/>
      <c r="P167" s="114"/>
    </row>
    <row r="168" spans="1:28">
      <c r="A168" s="93"/>
      <c r="B168" s="83"/>
      <c r="C168" s="83"/>
      <c r="D168" s="83"/>
      <c r="E168" s="83"/>
      <c r="F168" s="83"/>
      <c r="G168" s="83"/>
      <c r="H168" s="83"/>
      <c r="I168" s="83"/>
      <c r="K168" s="112"/>
      <c r="L168" s="55"/>
      <c r="M168" s="107"/>
      <c r="N168" s="90"/>
      <c r="O168" s="105"/>
      <c r="P168" s="114"/>
    </row>
    <row r="169" spans="1:28">
      <c r="A169" s="93"/>
      <c r="B169" s="83"/>
      <c r="C169" s="83"/>
      <c r="D169" s="83"/>
      <c r="E169" s="83"/>
      <c r="F169" s="83"/>
      <c r="G169" s="83"/>
      <c r="H169" s="83"/>
      <c r="I169" s="83"/>
      <c r="K169" s="112"/>
      <c r="L169" s="55"/>
      <c r="M169" s="107"/>
      <c r="N169" s="90"/>
      <c r="O169" s="105"/>
      <c r="P169" s="114"/>
    </row>
    <row r="170" spans="1:28">
      <c r="A170" s="93"/>
      <c r="B170" s="83"/>
      <c r="C170" s="83"/>
      <c r="D170" s="83"/>
      <c r="E170" s="83"/>
      <c r="F170" s="83"/>
      <c r="G170" s="83"/>
      <c r="H170" s="83"/>
      <c r="I170" s="83"/>
      <c r="K170" s="112"/>
      <c r="L170" s="83"/>
      <c r="M170" s="107"/>
      <c r="N170" s="90"/>
      <c r="O170" s="105"/>
      <c r="P170" s="114"/>
    </row>
    <row r="171" spans="1:28">
      <c r="A171" s="93"/>
      <c r="B171" s="83"/>
      <c r="C171" s="83"/>
      <c r="D171" s="83"/>
      <c r="E171" s="83"/>
      <c r="F171" s="83"/>
      <c r="G171" s="83"/>
      <c r="H171" s="83"/>
      <c r="I171" s="83"/>
      <c r="K171" s="112"/>
      <c r="L171" s="83"/>
      <c r="M171" s="107"/>
      <c r="N171" s="90"/>
      <c r="O171" s="105"/>
      <c r="P171" s="114"/>
    </row>
    <row r="172" spans="1:28">
      <c r="A172" s="93"/>
      <c r="B172" s="83"/>
      <c r="C172" s="83"/>
      <c r="D172" s="83"/>
      <c r="E172" s="83"/>
      <c r="F172" s="83"/>
      <c r="G172" s="83"/>
      <c r="H172" s="83"/>
      <c r="I172" s="83"/>
      <c r="K172" s="112"/>
      <c r="L172" s="83"/>
      <c r="M172" s="107"/>
      <c r="N172" s="90"/>
      <c r="O172" s="105"/>
      <c r="P172" s="106"/>
      <c r="R172" s="108"/>
      <c r="S172" s="108"/>
      <c r="T172" s="108"/>
    </row>
    <row r="173" spans="1:28">
      <c r="A173" s="93"/>
      <c r="B173" s="109"/>
      <c r="K173" s="112"/>
      <c r="M173" s="92"/>
      <c r="O173" s="105"/>
      <c r="P173" s="106"/>
      <c r="R173" s="108"/>
      <c r="S173" s="108"/>
      <c r="T173" s="108"/>
    </row>
    <row r="174" spans="1:28">
      <c r="A174" s="93"/>
      <c r="B174" s="109"/>
      <c r="K174" s="112"/>
      <c r="M174" s="92"/>
      <c r="O174" s="105"/>
      <c r="P174" s="106"/>
      <c r="R174" s="108"/>
      <c r="S174" s="108"/>
      <c r="T174" s="108"/>
    </row>
    <row r="175" spans="1:28">
      <c r="A175" s="93"/>
      <c r="B175" s="109"/>
      <c r="K175" s="112"/>
      <c r="M175" s="92"/>
      <c r="O175" s="105"/>
      <c r="P175" s="106"/>
      <c r="R175" s="108"/>
      <c r="S175" s="108"/>
      <c r="T175" s="108"/>
    </row>
    <row r="176" spans="1:28" s="108" customFormat="1">
      <c r="A176" s="93"/>
      <c r="B176" s="109"/>
      <c r="C176" s="65"/>
      <c r="D176" s="65"/>
      <c r="E176" s="65"/>
      <c r="F176" s="65"/>
      <c r="G176" s="65"/>
      <c r="H176" s="65"/>
      <c r="I176" s="65"/>
      <c r="J176" s="65"/>
      <c r="K176" s="112"/>
      <c r="L176" s="66"/>
      <c r="M176" s="111"/>
      <c r="N176" s="67"/>
      <c r="O176" s="105"/>
      <c r="P176" s="106"/>
      <c r="Z176" s="96"/>
      <c r="AA176" s="88"/>
      <c r="AB176" s="88"/>
    </row>
    <row r="177" spans="1:28">
      <c r="A177" s="93"/>
      <c r="B177" s="109"/>
      <c r="K177" s="112"/>
      <c r="M177" s="92"/>
      <c r="O177" s="105"/>
      <c r="P177" s="106"/>
      <c r="Q177" s="108"/>
      <c r="R177" s="108"/>
      <c r="S177" s="108"/>
      <c r="T177" s="108"/>
    </row>
    <row r="178" spans="1:28" s="108" customFormat="1">
      <c r="A178" s="93"/>
      <c r="B178" s="109"/>
      <c r="C178" s="65"/>
      <c r="D178" s="65"/>
      <c r="E178" s="65"/>
      <c r="F178" s="65"/>
      <c r="G178" s="65"/>
      <c r="H178" s="65"/>
      <c r="I178" s="65"/>
      <c r="J178" s="65"/>
      <c r="K178" s="112"/>
      <c r="L178" s="66"/>
      <c r="M178" s="111"/>
      <c r="N178" s="67"/>
      <c r="O178" s="105"/>
      <c r="P178" s="106"/>
      <c r="Z178" s="96"/>
      <c r="AA178" s="88"/>
      <c r="AB178" s="88"/>
    </row>
    <row r="179" spans="1:28">
      <c r="A179" s="93"/>
      <c r="B179" s="109"/>
      <c r="K179" s="112"/>
      <c r="M179" s="92"/>
      <c r="O179" s="105"/>
      <c r="P179" s="106"/>
      <c r="Q179" s="108"/>
      <c r="R179" s="108"/>
      <c r="S179" s="108"/>
      <c r="T179" s="108"/>
    </row>
    <row r="180" spans="1:28">
      <c r="A180" s="93"/>
      <c r="B180" s="109"/>
      <c r="K180" s="112"/>
      <c r="M180" s="111"/>
      <c r="O180" s="105"/>
      <c r="P180" s="106"/>
      <c r="R180" s="108"/>
      <c r="S180" s="108"/>
      <c r="T180" s="108"/>
      <c r="Y180" s="108"/>
    </row>
    <row r="181" spans="1:28">
      <c r="A181" s="108"/>
      <c r="B181" s="55"/>
      <c r="K181" s="112"/>
      <c r="M181" s="92"/>
      <c r="O181" s="105"/>
      <c r="P181" s="106"/>
      <c r="R181" s="108"/>
      <c r="S181" s="108"/>
      <c r="T181" s="108"/>
    </row>
    <row r="182" spans="1:28">
      <c r="A182" s="93"/>
      <c r="B182" s="109"/>
      <c r="K182" s="112"/>
      <c r="M182" s="92"/>
      <c r="O182" s="105"/>
      <c r="P182" s="106"/>
      <c r="R182" s="108"/>
      <c r="S182" s="108"/>
      <c r="T182" s="108"/>
    </row>
    <row r="183" spans="1:28">
      <c r="A183" s="93"/>
      <c r="B183" s="109"/>
      <c r="K183" s="112"/>
      <c r="M183" s="92"/>
      <c r="O183" s="105"/>
      <c r="P183" s="106"/>
      <c r="R183" s="108"/>
      <c r="S183" s="108"/>
      <c r="T183" s="108"/>
    </row>
    <row r="184" spans="1:28">
      <c r="A184" s="93"/>
      <c r="B184" s="109"/>
      <c r="K184" s="112"/>
      <c r="M184" s="92"/>
      <c r="O184" s="105"/>
      <c r="P184" s="106"/>
      <c r="R184" s="108"/>
      <c r="S184" s="108"/>
      <c r="T184" s="108"/>
    </row>
    <row r="185" spans="1:28">
      <c r="A185" s="93"/>
      <c r="B185" s="109"/>
      <c r="K185" s="112"/>
      <c r="M185" s="92"/>
      <c r="O185" s="105"/>
      <c r="P185" s="106"/>
      <c r="R185" s="108"/>
      <c r="S185" s="108"/>
      <c r="T185" s="108"/>
    </row>
    <row r="186" spans="1:28">
      <c r="A186" s="93"/>
      <c r="B186" s="109"/>
      <c r="K186" s="112"/>
      <c r="M186" s="92"/>
      <c r="O186" s="105"/>
      <c r="P186" s="106"/>
      <c r="R186" s="108"/>
      <c r="S186" s="108"/>
      <c r="T186" s="108"/>
    </row>
    <row r="187" spans="1:28">
      <c r="A187" s="93"/>
      <c r="B187" s="109"/>
      <c r="K187" s="112"/>
      <c r="M187" s="92"/>
      <c r="O187" s="105"/>
      <c r="P187" s="106"/>
      <c r="R187" s="108"/>
      <c r="S187" s="108"/>
      <c r="T187" s="108"/>
    </row>
    <row r="188" spans="1:28">
      <c r="A188" s="93"/>
      <c r="B188" s="109"/>
      <c r="K188" s="112"/>
      <c r="M188" s="92"/>
      <c r="O188" s="105"/>
      <c r="P188" s="106"/>
      <c r="R188" s="108"/>
      <c r="S188" s="108"/>
      <c r="T188" s="108"/>
    </row>
    <row r="189" spans="1:28">
      <c r="A189" s="93"/>
      <c r="B189" s="109"/>
      <c r="K189" s="112"/>
      <c r="M189" s="92"/>
      <c r="O189" s="105"/>
      <c r="P189" s="106"/>
      <c r="R189" s="108"/>
      <c r="S189" s="108"/>
      <c r="T189" s="108"/>
    </row>
    <row r="190" spans="1:28">
      <c r="A190" s="93"/>
      <c r="B190" s="109"/>
      <c r="K190" s="112"/>
      <c r="M190" s="92"/>
      <c r="O190" s="105"/>
      <c r="P190" s="106"/>
      <c r="R190" s="108"/>
      <c r="S190" s="108"/>
      <c r="T190" s="108"/>
    </row>
    <row r="191" spans="1:28">
      <c r="A191" s="93"/>
      <c r="B191" s="109"/>
      <c r="K191" s="112"/>
      <c r="M191" s="92"/>
      <c r="O191" s="105"/>
      <c r="P191" s="106"/>
      <c r="R191" s="108"/>
      <c r="S191" s="108"/>
      <c r="T191" s="108"/>
    </row>
    <row r="192" spans="1:28">
      <c r="A192" s="93"/>
      <c r="B192" s="109"/>
      <c r="K192" s="112"/>
      <c r="M192" s="92"/>
      <c r="O192" s="105"/>
      <c r="P192" s="106"/>
      <c r="R192" s="108"/>
      <c r="S192" s="108"/>
      <c r="T192" s="108"/>
    </row>
    <row r="193" spans="1:28">
      <c r="A193" s="93"/>
      <c r="B193" s="109"/>
      <c r="K193" s="112"/>
      <c r="M193" s="92"/>
      <c r="O193" s="105"/>
      <c r="P193" s="106"/>
      <c r="R193" s="108"/>
      <c r="S193" s="108"/>
      <c r="T193" s="108"/>
    </row>
    <row r="194" spans="1:28">
      <c r="A194" s="93"/>
      <c r="B194" s="109"/>
      <c r="K194" s="112"/>
      <c r="M194" s="92"/>
      <c r="O194" s="105"/>
      <c r="P194" s="106"/>
      <c r="R194" s="108"/>
      <c r="S194" s="108"/>
      <c r="T194" s="108"/>
    </row>
    <row r="195" spans="1:28">
      <c r="A195" s="93"/>
      <c r="B195" s="109"/>
      <c r="K195" s="112"/>
      <c r="M195" s="92"/>
      <c r="O195" s="105"/>
      <c r="P195" s="106"/>
      <c r="R195" s="108"/>
      <c r="S195" s="108"/>
      <c r="T195" s="108"/>
    </row>
    <row r="196" spans="1:28">
      <c r="A196" s="93"/>
      <c r="B196" s="109"/>
      <c r="K196" s="112"/>
      <c r="M196" s="92"/>
      <c r="O196" s="105"/>
      <c r="P196" s="106"/>
      <c r="R196" s="108"/>
      <c r="S196" s="108"/>
      <c r="T196" s="108"/>
    </row>
    <row r="197" spans="1:28">
      <c r="A197" s="93"/>
      <c r="B197" s="109"/>
      <c r="K197" s="112"/>
      <c r="M197" s="92"/>
      <c r="O197" s="105"/>
      <c r="P197" s="106"/>
      <c r="R197" s="108"/>
      <c r="S197" s="108"/>
      <c r="T197" s="108"/>
    </row>
    <row r="198" spans="1:28">
      <c r="A198" s="93"/>
      <c r="B198" s="109"/>
      <c r="K198" s="112"/>
      <c r="M198" s="92"/>
      <c r="O198" s="105"/>
      <c r="P198" s="106"/>
      <c r="R198" s="108"/>
      <c r="S198" s="108"/>
      <c r="T198" s="108"/>
    </row>
    <row r="199" spans="1:28">
      <c r="A199" s="93"/>
      <c r="B199" s="109"/>
      <c r="K199" s="112"/>
      <c r="M199" s="92"/>
      <c r="O199" s="105"/>
      <c r="P199" s="106"/>
      <c r="R199" s="108"/>
      <c r="S199" s="108"/>
      <c r="T199" s="108"/>
    </row>
    <row r="200" spans="1:28">
      <c r="A200" s="93"/>
      <c r="B200" s="109"/>
      <c r="K200" s="112"/>
      <c r="M200" s="92"/>
      <c r="O200" s="105"/>
      <c r="P200" s="106"/>
      <c r="R200" s="108"/>
      <c r="S200" s="108"/>
      <c r="T200" s="108"/>
    </row>
    <row r="201" spans="1:28">
      <c r="A201" s="93"/>
      <c r="B201" s="109"/>
      <c r="K201" s="112"/>
      <c r="M201" s="92"/>
      <c r="O201" s="105"/>
      <c r="P201" s="106"/>
      <c r="R201" s="108"/>
      <c r="S201" s="108"/>
      <c r="T201" s="108"/>
    </row>
    <row r="202" spans="1:28">
      <c r="A202" s="93"/>
      <c r="B202" s="109"/>
      <c r="K202" s="112"/>
      <c r="M202" s="92"/>
      <c r="O202" s="105"/>
      <c r="P202" s="106"/>
      <c r="R202" s="108"/>
      <c r="S202" s="108"/>
      <c r="T202" s="108"/>
    </row>
    <row r="203" spans="1:28">
      <c r="A203" s="93"/>
      <c r="B203" s="109"/>
      <c r="K203" s="112"/>
      <c r="M203" s="92"/>
      <c r="O203" s="105"/>
      <c r="P203" s="106"/>
      <c r="R203" s="108"/>
      <c r="S203" s="108"/>
      <c r="T203" s="108"/>
    </row>
    <row r="204" spans="1:28">
      <c r="A204" s="93"/>
      <c r="B204" s="109"/>
      <c r="K204" s="112"/>
      <c r="M204" s="92"/>
      <c r="O204" s="105"/>
      <c r="P204" s="106"/>
      <c r="R204" s="108"/>
      <c r="S204" s="108"/>
      <c r="T204" s="108"/>
    </row>
    <row r="205" spans="1:28" s="108" customFormat="1">
      <c r="A205" s="93"/>
      <c r="B205" s="109"/>
      <c r="C205" s="65"/>
      <c r="D205" s="65"/>
      <c r="E205" s="65"/>
      <c r="F205" s="65"/>
      <c r="G205" s="65"/>
      <c r="H205" s="65"/>
      <c r="I205" s="65"/>
      <c r="J205" s="65"/>
      <c r="K205" s="112"/>
      <c r="L205" s="66"/>
      <c r="M205" s="111"/>
      <c r="N205" s="67"/>
      <c r="O205" s="105"/>
      <c r="P205" s="106"/>
      <c r="Z205" s="96"/>
      <c r="AA205" s="88"/>
      <c r="AB205" s="88"/>
    </row>
    <row r="206" spans="1:28">
      <c r="A206" s="93"/>
      <c r="B206" s="109"/>
      <c r="K206" s="112"/>
      <c r="M206" s="92"/>
      <c r="O206" s="105"/>
      <c r="P206" s="106"/>
      <c r="R206" s="108"/>
      <c r="S206" s="108"/>
      <c r="T206" s="108"/>
    </row>
    <row r="207" spans="1:28">
      <c r="A207" s="93"/>
      <c r="B207" s="109"/>
      <c r="K207" s="112"/>
      <c r="M207" s="92"/>
      <c r="O207" s="105"/>
      <c r="P207" s="106"/>
      <c r="R207" s="108"/>
      <c r="S207" s="108"/>
      <c r="T207" s="108"/>
    </row>
    <row r="208" spans="1:28">
      <c r="A208" s="93"/>
      <c r="B208" s="109"/>
      <c r="K208" s="112"/>
      <c r="M208" s="92"/>
      <c r="O208" s="105"/>
      <c r="P208" s="106"/>
      <c r="R208" s="108"/>
      <c r="S208" s="108"/>
      <c r="T208" s="108"/>
    </row>
    <row r="209" spans="1:28" s="108" customFormat="1">
      <c r="A209" s="93"/>
      <c r="B209" s="109"/>
      <c r="C209" s="65"/>
      <c r="D209" s="65"/>
      <c r="E209" s="65"/>
      <c r="F209" s="65"/>
      <c r="G209" s="65"/>
      <c r="H209" s="65"/>
      <c r="I209" s="65"/>
      <c r="J209" s="65"/>
      <c r="K209" s="112"/>
      <c r="L209" s="66"/>
      <c r="M209" s="111"/>
      <c r="N209" s="67"/>
      <c r="O209" s="105"/>
      <c r="P209" s="106"/>
      <c r="Z209" s="96"/>
      <c r="AA209" s="88"/>
      <c r="AB209" s="88"/>
    </row>
    <row r="210" spans="1:28">
      <c r="A210" s="93"/>
      <c r="B210" s="109"/>
      <c r="K210" s="112"/>
      <c r="M210" s="92"/>
      <c r="O210" s="105"/>
      <c r="P210" s="106"/>
      <c r="R210" s="108"/>
      <c r="S210" s="108"/>
      <c r="T210" s="108"/>
    </row>
    <row r="211" spans="1:28">
      <c r="A211" s="93"/>
      <c r="B211" s="109"/>
      <c r="K211" s="112"/>
      <c r="M211" s="92"/>
      <c r="O211" s="105"/>
      <c r="P211" s="106"/>
      <c r="R211" s="108"/>
      <c r="S211" s="108"/>
      <c r="T211" s="108"/>
    </row>
    <row r="212" spans="1:28">
      <c r="A212" s="93"/>
      <c r="B212" s="109"/>
      <c r="K212" s="112"/>
      <c r="M212" s="92"/>
      <c r="O212" s="105"/>
      <c r="P212" s="106"/>
      <c r="R212" s="108"/>
      <c r="S212" s="108"/>
      <c r="T212" s="108"/>
    </row>
    <row r="213" spans="1:28">
      <c r="A213" s="93"/>
      <c r="B213" s="109"/>
      <c r="K213" s="112"/>
      <c r="M213" s="92"/>
      <c r="O213" s="105"/>
      <c r="P213" s="106"/>
      <c r="R213" s="108"/>
      <c r="S213" s="108"/>
      <c r="T213" s="108"/>
    </row>
    <row r="214" spans="1:28">
      <c r="A214" s="93"/>
      <c r="B214" s="109"/>
      <c r="K214" s="112"/>
      <c r="M214" s="92"/>
      <c r="O214" s="105"/>
      <c r="P214" s="106"/>
      <c r="R214" s="108"/>
      <c r="S214" s="108"/>
      <c r="T214" s="108"/>
    </row>
    <row r="215" spans="1:28">
      <c r="A215" s="93"/>
      <c r="B215" s="109"/>
      <c r="K215" s="112"/>
      <c r="M215" s="92"/>
      <c r="O215" s="105"/>
      <c r="P215" s="106"/>
      <c r="R215" s="108"/>
      <c r="S215" s="108"/>
      <c r="T215" s="108"/>
    </row>
    <row r="216" spans="1:28">
      <c r="A216" s="93"/>
      <c r="B216" s="109"/>
      <c r="K216" s="112"/>
      <c r="M216" s="92"/>
      <c r="O216" s="105"/>
      <c r="P216" s="106"/>
      <c r="R216" s="108"/>
      <c r="S216" s="108"/>
      <c r="T216" s="108"/>
    </row>
    <row r="217" spans="1:28">
      <c r="A217" s="93"/>
      <c r="B217" s="109"/>
      <c r="K217" s="112"/>
      <c r="M217" s="92"/>
      <c r="O217" s="105"/>
      <c r="P217" s="106"/>
      <c r="R217" s="108"/>
      <c r="S217" s="108"/>
      <c r="T217" s="108"/>
    </row>
    <row r="218" spans="1:28">
      <c r="A218" s="93"/>
      <c r="B218" s="109"/>
      <c r="K218" s="112"/>
      <c r="M218" s="92"/>
      <c r="O218" s="105"/>
      <c r="P218" s="106"/>
      <c r="R218" s="108"/>
      <c r="S218" s="108"/>
      <c r="T218" s="108"/>
    </row>
    <row r="219" spans="1:28">
      <c r="A219" s="93"/>
      <c r="B219" s="109"/>
      <c r="K219" s="112"/>
      <c r="M219" s="92"/>
      <c r="O219" s="105"/>
      <c r="P219" s="106"/>
      <c r="R219" s="108"/>
      <c r="S219" s="108"/>
      <c r="T219" s="108"/>
    </row>
    <row r="220" spans="1:28">
      <c r="A220" s="93"/>
      <c r="B220" s="109"/>
      <c r="K220" s="112"/>
      <c r="M220" s="92"/>
      <c r="O220" s="105"/>
      <c r="P220" s="106"/>
      <c r="R220" s="108"/>
      <c r="S220" s="108"/>
      <c r="T220" s="108"/>
    </row>
    <row r="221" spans="1:28">
      <c r="A221" s="93"/>
      <c r="B221" s="109"/>
      <c r="K221" s="112"/>
      <c r="M221" s="92"/>
      <c r="O221" s="105"/>
      <c r="P221" s="106"/>
      <c r="R221" s="108"/>
      <c r="S221" s="108"/>
      <c r="T221" s="108"/>
    </row>
    <row r="222" spans="1:28">
      <c r="A222" s="93"/>
      <c r="B222" s="109"/>
      <c r="K222" s="112"/>
      <c r="M222" s="92"/>
      <c r="O222" s="105"/>
      <c r="P222" s="106"/>
      <c r="R222" s="108"/>
      <c r="S222" s="108"/>
      <c r="T222" s="108"/>
    </row>
    <row r="223" spans="1:28">
      <c r="A223" s="93"/>
      <c r="B223" s="109"/>
      <c r="K223" s="112"/>
      <c r="M223" s="92"/>
      <c r="O223" s="105"/>
      <c r="P223" s="106"/>
      <c r="R223" s="108"/>
      <c r="S223" s="108"/>
      <c r="T223" s="108"/>
    </row>
    <row r="224" spans="1:28">
      <c r="A224" s="93"/>
      <c r="B224" s="109"/>
      <c r="K224" s="112"/>
      <c r="M224" s="92"/>
      <c r="O224" s="105"/>
      <c r="P224" s="106"/>
      <c r="R224" s="108"/>
      <c r="S224" s="108"/>
      <c r="T224" s="108"/>
    </row>
    <row r="225" spans="1:28">
      <c r="A225" s="93"/>
      <c r="B225" s="109"/>
      <c r="K225" s="112"/>
      <c r="M225" s="92"/>
      <c r="O225" s="105"/>
      <c r="P225" s="106"/>
      <c r="R225" s="108"/>
      <c r="S225" s="108"/>
      <c r="T225" s="108"/>
    </row>
    <row r="226" spans="1:28">
      <c r="A226" s="93"/>
      <c r="B226" s="109"/>
      <c r="K226" s="112"/>
      <c r="M226" s="92"/>
      <c r="O226" s="105"/>
      <c r="P226" s="106"/>
      <c r="R226" s="108"/>
      <c r="S226" s="108"/>
      <c r="T226" s="108"/>
    </row>
    <row r="227" spans="1:28">
      <c r="A227" s="93"/>
      <c r="B227" s="109"/>
      <c r="K227" s="112"/>
      <c r="M227" s="92"/>
      <c r="O227" s="105"/>
      <c r="P227" s="106"/>
      <c r="R227" s="108"/>
      <c r="S227" s="108"/>
      <c r="T227" s="108"/>
    </row>
    <row r="228" spans="1:28">
      <c r="A228" s="93"/>
      <c r="B228" s="109"/>
      <c r="K228" s="112"/>
      <c r="M228" s="92"/>
      <c r="O228" s="105"/>
      <c r="P228" s="106"/>
      <c r="R228" s="108"/>
      <c r="S228" s="108"/>
      <c r="T228" s="108"/>
    </row>
    <row r="229" spans="1:28">
      <c r="A229" s="93"/>
      <c r="B229" s="109"/>
      <c r="K229" s="112"/>
      <c r="M229" s="92"/>
      <c r="O229" s="105"/>
      <c r="P229" s="106"/>
      <c r="R229" s="108"/>
      <c r="S229" s="108"/>
      <c r="T229" s="108"/>
    </row>
    <row r="230" spans="1:28">
      <c r="A230" s="93"/>
      <c r="B230" s="109"/>
      <c r="K230" s="112"/>
      <c r="M230" s="92"/>
      <c r="O230" s="105"/>
      <c r="P230" s="106"/>
      <c r="R230" s="108"/>
      <c r="S230" s="108"/>
      <c r="T230" s="108"/>
    </row>
    <row r="231" spans="1:28">
      <c r="A231" s="93"/>
      <c r="B231" s="109"/>
      <c r="K231" s="112"/>
      <c r="M231" s="92"/>
      <c r="O231" s="105"/>
      <c r="P231" s="106"/>
      <c r="R231" s="108"/>
      <c r="S231" s="108"/>
      <c r="T231" s="108"/>
    </row>
    <row r="232" spans="1:28">
      <c r="A232" s="93"/>
      <c r="B232" s="109"/>
      <c r="K232" s="112"/>
      <c r="M232" s="92"/>
      <c r="O232" s="105"/>
      <c r="P232" s="106"/>
      <c r="R232" s="108"/>
      <c r="S232" s="108"/>
      <c r="T232" s="108"/>
    </row>
    <row r="233" spans="1:28" s="108" customFormat="1">
      <c r="A233" s="93"/>
      <c r="B233" s="109"/>
      <c r="C233" s="65"/>
      <c r="D233" s="65"/>
      <c r="E233" s="65"/>
      <c r="F233" s="65"/>
      <c r="G233" s="65"/>
      <c r="H233" s="65"/>
      <c r="I233" s="65"/>
      <c r="J233" s="65"/>
      <c r="K233" s="112"/>
      <c r="L233" s="66"/>
      <c r="M233" s="111"/>
      <c r="N233" s="67"/>
      <c r="O233" s="105"/>
      <c r="P233" s="106"/>
      <c r="Z233" s="96"/>
      <c r="AA233" s="88"/>
      <c r="AB233" s="88"/>
    </row>
    <row r="234" spans="1:28">
      <c r="A234" s="93"/>
      <c r="B234" s="109"/>
      <c r="K234" s="112"/>
      <c r="M234" s="92"/>
      <c r="O234" s="105"/>
      <c r="P234" s="106"/>
      <c r="R234" s="108"/>
      <c r="S234" s="108"/>
      <c r="T234" s="108"/>
    </row>
    <row r="235" spans="1:28">
      <c r="A235" s="93"/>
      <c r="B235" s="109"/>
      <c r="K235" s="112"/>
      <c r="M235" s="92"/>
      <c r="O235" s="105"/>
      <c r="P235" s="106"/>
      <c r="R235" s="108"/>
      <c r="S235" s="108"/>
      <c r="T235" s="108"/>
    </row>
    <row r="236" spans="1:28">
      <c r="A236" s="93"/>
      <c r="B236" s="109"/>
      <c r="K236" s="112"/>
      <c r="M236" s="92"/>
      <c r="O236" s="105"/>
      <c r="P236" s="106"/>
      <c r="R236" s="108"/>
      <c r="S236" s="108"/>
      <c r="T236" s="108"/>
    </row>
    <row r="237" spans="1:28">
      <c r="A237" s="93"/>
      <c r="B237" s="109"/>
      <c r="K237" s="112"/>
      <c r="M237" s="92"/>
      <c r="O237" s="105"/>
      <c r="P237" s="106"/>
      <c r="R237" s="108"/>
      <c r="S237" s="108"/>
      <c r="T237" s="108"/>
    </row>
    <row r="238" spans="1:28">
      <c r="A238" s="93"/>
      <c r="B238" s="109"/>
      <c r="K238" s="112"/>
      <c r="M238" s="92"/>
      <c r="O238" s="105"/>
      <c r="P238" s="106"/>
      <c r="R238" s="108"/>
      <c r="S238" s="108"/>
      <c r="T238" s="108"/>
    </row>
    <row r="239" spans="1:28">
      <c r="A239" s="93"/>
      <c r="B239" s="109"/>
      <c r="K239" s="112"/>
      <c r="M239" s="92"/>
      <c r="O239" s="105"/>
      <c r="P239" s="106"/>
      <c r="R239" s="108"/>
      <c r="S239" s="108"/>
      <c r="T239" s="108"/>
    </row>
    <row r="240" spans="1:28">
      <c r="A240" s="93"/>
      <c r="B240" s="109"/>
      <c r="K240" s="112"/>
      <c r="M240" s="92"/>
      <c r="O240" s="105"/>
      <c r="P240" s="106"/>
      <c r="R240" s="108"/>
      <c r="S240" s="108"/>
      <c r="T240" s="108"/>
    </row>
    <row r="241" spans="1:26">
      <c r="A241" s="93"/>
      <c r="B241" s="109"/>
      <c r="K241" s="112"/>
      <c r="M241" s="92"/>
      <c r="O241" s="105"/>
      <c r="P241" s="106"/>
      <c r="R241" s="108"/>
      <c r="S241" s="108"/>
      <c r="T241" s="108"/>
    </row>
    <row r="242" spans="1:26">
      <c r="A242" s="93"/>
      <c r="B242" s="109"/>
      <c r="K242" s="112"/>
      <c r="M242" s="92"/>
      <c r="O242" s="105"/>
      <c r="P242" s="106"/>
      <c r="R242" s="108"/>
      <c r="S242" s="108"/>
      <c r="T242" s="108"/>
    </row>
    <row r="243" spans="1:26">
      <c r="A243" s="93"/>
      <c r="B243" s="109"/>
      <c r="K243" s="112"/>
      <c r="M243" s="92"/>
      <c r="O243" s="105"/>
      <c r="P243" s="106"/>
      <c r="R243" s="108"/>
      <c r="S243" s="108"/>
      <c r="T243" s="108"/>
    </row>
    <row r="244" spans="1:26">
      <c r="A244" s="93"/>
      <c r="B244" s="109"/>
      <c r="K244" s="112"/>
      <c r="M244" s="92"/>
      <c r="O244" s="105"/>
      <c r="P244" s="106"/>
      <c r="R244" s="108"/>
      <c r="S244" s="108"/>
      <c r="T244" s="108"/>
    </row>
    <row r="245" spans="1:26">
      <c r="A245" s="93"/>
      <c r="B245" s="109"/>
      <c r="K245" s="112"/>
      <c r="M245" s="92"/>
      <c r="O245" s="105"/>
      <c r="P245" s="106"/>
      <c r="R245" s="108"/>
      <c r="S245" s="108"/>
      <c r="T245" s="108"/>
    </row>
    <row r="246" spans="1:26">
      <c r="A246" s="93"/>
      <c r="B246" s="109"/>
      <c r="K246" s="112"/>
      <c r="M246" s="92"/>
      <c r="O246" s="105"/>
      <c r="P246" s="106"/>
      <c r="R246" s="108"/>
      <c r="S246" s="108"/>
      <c r="T246" s="108"/>
    </row>
    <row r="247" spans="1:26">
      <c r="A247" s="93"/>
      <c r="B247" s="109"/>
      <c r="K247" s="112"/>
      <c r="M247" s="92"/>
      <c r="O247" s="105"/>
      <c r="P247" s="106"/>
      <c r="R247" s="108"/>
      <c r="S247" s="108"/>
      <c r="T247" s="108"/>
    </row>
    <row r="248" spans="1:26">
      <c r="A248" s="93"/>
      <c r="B248" s="109"/>
      <c r="K248" s="112"/>
      <c r="M248" s="92"/>
      <c r="O248" s="105"/>
      <c r="P248" s="106"/>
      <c r="R248" s="108"/>
      <c r="S248" s="108"/>
      <c r="T248" s="108"/>
    </row>
    <row r="249" spans="1:26">
      <c r="A249" s="93"/>
      <c r="B249" s="109"/>
      <c r="K249" s="112"/>
      <c r="M249" s="92"/>
      <c r="O249" s="105"/>
      <c r="P249" s="106"/>
      <c r="R249" s="108"/>
      <c r="S249" s="108"/>
      <c r="T249" s="108"/>
    </row>
    <row r="250" spans="1:26">
      <c r="A250" s="93"/>
      <c r="B250" s="109"/>
      <c r="K250" s="112"/>
      <c r="M250" s="92"/>
      <c r="O250" s="105"/>
      <c r="P250" s="106"/>
      <c r="R250" s="108"/>
      <c r="S250" s="108"/>
      <c r="T250" s="108"/>
    </row>
    <row r="251" spans="1:26" s="120" customFormat="1">
      <c r="A251" s="93"/>
      <c r="B251" s="109"/>
      <c r="C251" s="109"/>
      <c r="D251" s="109"/>
      <c r="E251" s="109"/>
      <c r="F251" s="109"/>
      <c r="G251" s="109"/>
      <c r="H251" s="109"/>
      <c r="I251" s="109"/>
      <c r="J251" s="65"/>
      <c r="K251" s="112"/>
      <c r="L251" s="108"/>
      <c r="M251" s="111"/>
      <c r="N251" s="105"/>
      <c r="O251" s="105"/>
      <c r="P251" s="114"/>
      <c r="Q251" s="108"/>
      <c r="R251" s="108"/>
      <c r="S251" s="108"/>
      <c r="T251" s="108"/>
      <c r="U251" s="108"/>
      <c r="V251" s="108"/>
      <c r="W251" s="108"/>
      <c r="X251" s="108"/>
      <c r="Y251" s="113"/>
      <c r="Z251" s="108"/>
    </row>
    <row r="252" spans="1:26" s="120" customFormat="1">
      <c r="A252" s="93"/>
      <c r="B252" s="109"/>
      <c r="C252" s="109"/>
      <c r="D252" s="109"/>
      <c r="E252" s="109"/>
      <c r="F252" s="109"/>
      <c r="G252" s="109"/>
      <c r="H252" s="109"/>
      <c r="I252" s="109"/>
      <c r="J252" s="65"/>
      <c r="K252" s="112"/>
      <c r="L252" s="108"/>
      <c r="M252" s="111"/>
      <c r="N252" s="105"/>
      <c r="O252" s="105"/>
      <c r="P252" s="114"/>
      <c r="Q252" s="108"/>
      <c r="R252" s="108"/>
      <c r="S252" s="108"/>
      <c r="T252" s="108"/>
      <c r="U252" s="108"/>
      <c r="V252" s="108"/>
      <c r="W252" s="108"/>
      <c r="X252" s="108"/>
      <c r="Y252" s="113"/>
      <c r="Z252" s="108"/>
    </row>
    <row r="253" spans="1:26" s="120" customFormat="1">
      <c r="A253" s="93"/>
      <c r="B253" s="109"/>
      <c r="C253" s="109"/>
      <c r="D253" s="109"/>
      <c r="E253" s="109"/>
      <c r="F253" s="109"/>
      <c r="G253" s="109"/>
      <c r="H253" s="109"/>
      <c r="I253" s="109"/>
      <c r="J253" s="65"/>
      <c r="K253" s="112"/>
      <c r="L253" s="108"/>
      <c r="M253" s="111"/>
      <c r="N253" s="110"/>
      <c r="O253" s="105"/>
      <c r="P253" s="114"/>
      <c r="Q253" s="108"/>
      <c r="R253" s="108"/>
      <c r="S253" s="108"/>
      <c r="T253" s="108"/>
      <c r="U253" s="108"/>
      <c r="V253" s="108"/>
      <c r="W253" s="108"/>
      <c r="X253" s="108"/>
      <c r="Y253" s="113"/>
      <c r="Z253" s="108"/>
    </row>
    <row r="254" spans="1:26" s="120" customFormat="1">
      <c r="A254" s="93"/>
      <c r="B254" s="109"/>
      <c r="C254" s="109"/>
      <c r="D254" s="109"/>
      <c r="E254" s="109"/>
      <c r="F254" s="109"/>
      <c r="G254" s="109"/>
      <c r="H254" s="109"/>
      <c r="I254" s="109"/>
      <c r="J254" s="65"/>
      <c r="K254" s="112"/>
      <c r="L254" s="108"/>
      <c r="M254" s="111"/>
      <c r="N254" s="110"/>
      <c r="O254" s="105"/>
      <c r="P254" s="114"/>
      <c r="Q254" s="108"/>
      <c r="R254" s="108"/>
      <c r="S254" s="108"/>
      <c r="T254" s="108"/>
      <c r="U254" s="108"/>
      <c r="V254" s="108"/>
      <c r="W254" s="108"/>
      <c r="X254" s="108"/>
      <c r="Y254" s="113"/>
      <c r="Z254" s="108"/>
    </row>
    <row r="255" spans="1:26" s="120" customFormat="1">
      <c r="A255" s="93"/>
      <c r="B255" s="109"/>
      <c r="C255" s="109"/>
      <c r="D255" s="109"/>
      <c r="E255" s="109"/>
      <c r="F255" s="109"/>
      <c r="G255" s="109"/>
      <c r="H255" s="109"/>
      <c r="I255" s="109"/>
      <c r="J255" s="65"/>
      <c r="K255" s="112"/>
      <c r="L255" s="108"/>
      <c r="M255" s="111"/>
      <c r="N255" s="110"/>
      <c r="O255" s="105"/>
      <c r="P255" s="114"/>
      <c r="Q255" s="108"/>
      <c r="R255" s="108"/>
      <c r="S255" s="108"/>
      <c r="T255" s="108"/>
      <c r="U255" s="108"/>
      <c r="V255" s="108"/>
      <c r="W255" s="108"/>
      <c r="X255" s="108"/>
      <c r="Y255" s="113"/>
      <c r="Z255" s="108"/>
    </row>
    <row r="256" spans="1:26" s="120" customFormat="1">
      <c r="A256" s="93"/>
      <c r="B256" s="109"/>
      <c r="C256" s="109"/>
      <c r="D256" s="109"/>
      <c r="E256" s="109"/>
      <c r="F256" s="109"/>
      <c r="G256" s="109"/>
      <c r="H256" s="109"/>
      <c r="I256" s="109"/>
      <c r="J256" s="65"/>
      <c r="K256" s="112"/>
      <c r="L256" s="108"/>
      <c r="M256" s="111"/>
      <c r="N256" s="110"/>
      <c r="O256" s="105"/>
      <c r="P256" s="114"/>
      <c r="Q256" s="108"/>
      <c r="R256" s="108"/>
      <c r="S256" s="108"/>
      <c r="T256" s="108"/>
      <c r="U256" s="108"/>
      <c r="V256" s="108"/>
      <c r="W256" s="108"/>
      <c r="X256" s="108"/>
      <c r="Y256" s="113"/>
      <c r="Z256" s="108"/>
    </row>
    <row r="257" spans="1:28" s="120" customFormat="1">
      <c r="A257" s="93"/>
      <c r="B257" s="109"/>
      <c r="C257" s="109"/>
      <c r="D257" s="109"/>
      <c r="E257" s="109"/>
      <c r="F257" s="109"/>
      <c r="G257" s="109"/>
      <c r="H257" s="109"/>
      <c r="I257" s="109"/>
      <c r="J257" s="65"/>
      <c r="K257" s="112"/>
      <c r="L257" s="108"/>
      <c r="M257" s="111"/>
      <c r="N257" s="110"/>
      <c r="O257" s="105"/>
      <c r="P257" s="114"/>
      <c r="Q257" s="108"/>
      <c r="R257" s="108"/>
      <c r="S257" s="108"/>
      <c r="T257" s="108"/>
      <c r="U257" s="108"/>
      <c r="V257" s="108"/>
      <c r="W257" s="108"/>
      <c r="X257" s="108"/>
      <c r="Y257" s="113"/>
      <c r="Z257" s="108"/>
    </row>
    <row r="258" spans="1:28" s="120" customFormat="1">
      <c r="A258" s="93"/>
      <c r="B258" s="109"/>
      <c r="C258" s="109"/>
      <c r="D258" s="109"/>
      <c r="E258" s="109"/>
      <c r="F258" s="109"/>
      <c r="G258" s="109"/>
      <c r="H258" s="109"/>
      <c r="I258" s="109"/>
      <c r="J258" s="65"/>
      <c r="K258" s="112"/>
      <c r="L258" s="108"/>
      <c r="M258" s="111"/>
      <c r="N258" s="110"/>
      <c r="O258" s="105"/>
      <c r="P258" s="114"/>
      <c r="Q258" s="108"/>
      <c r="R258" s="108"/>
      <c r="S258" s="108"/>
      <c r="T258" s="108"/>
      <c r="U258" s="108"/>
      <c r="V258" s="108"/>
      <c r="W258" s="108"/>
      <c r="X258" s="108"/>
      <c r="Y258" s="113"/>
      <c r="Z258" s="108"/>
    </row>
    <row r="259" spans="1:28" s="108" customFormat="1">
      <c r="A259" s="93"/>
      <c r="B259" s="109"/>
      <c r="C259" s="109"/>
      <c r="D259" s="109"/>
      <c r="E259" s="109"/>
      <c r="F259" s="109"/>
      <c r="G259" s="109"/>
      <c r="H259" s="109"/>
      <c r="I259" s="109"/>
      <c r="J259" s="65"/>
      <c r="K259" s="112"/>
      <c r="M259" s="111"/>
      <c r="N259" s="110"/>
      <c r="O259" s="105"/>
      <c r="P259" s="114"/>
      <c r="Y259" s="113"/>
      <c r="Z259" s="96"/>
      <c r="AA259" s="88"/>
      <c r="AB259" s="88"/>
    </row>
    <row r="260" spans="1:28" s="108" customFormat="1">
      <c r="A260" s="93"/>
      <c r="B260" s="109"/>
      <c r="C260" s="109"/>
      <c r="D260" s="109"/>
      <c r="E260" s="109"/>
      <c r="F260" s="109"/>
      <c r="G260" s="109"/>
      <c r="H260" s="109"/>
      <c r="I260" s="109"/>
      <c r="J260" s="65"/>
      <c r="K260" s="112"/>
      <c r="M260" s="111"/>
      <c r="N260" s="110"/>
      <c r="O260" s="105"/>
      <c r="P260" s="114"/>
      <c r="Y260" s="113"/>
      <c r="Z260" s="96"/>
      <c r="AA260" s="88"/>
      <c r="AB260" s="88"/>
    </row>
    <row r="261" spans="1:28" s="108" customFormat="1">
      <c r="A261" s="93"/>
      <c r="B261" s="109"/>
      <c r="C261" s="109"/>
      <c r="D261" s="109"/>
      <c r="E261" s="109"/>
      <c r="F261" s="109"/>
      <c r="G261" s="109"/>
      <c r="H261" s="109"/>
      <c r="I261" s="109"/>
      <c r="J261" s="65"/>
      <c r="K261" s="112"/>
      <c r="M261" s="111"/>
      <c r="N261" s="110"/>
      <c r="O261" s="105"/>
      <c r="P261" s="114"/>
      <c r="Y261" s="113"/>
      <c r="Z261" s="96"/>
      <c r="AA261" s="88"/>
      <c r="AB261" s="88"/>
    </row>
    <row r="262" spans="1:28" s="108" customFormat="1">
      <c r="A262" s="93"/>
      <c r="B262" s="109"/>
      <c r="C262" s="109"/>
      <c r="D262" s="109"/>
      <c r="E262" s="109"/>
      <c r="F262" s="109"/>
      <c r="G262" s="109"/>
      <c r="H262" s="109"/>
      <c r="I262" s="109"/>
      <c r="J262" s="65"/>
      <c r="K262" s="112"/>
      <c r="M262" s="111"/>
      <c r="N262" s="110"/>
      <c r="O262" s="105"/>
      <c r="P262" s="114"/>
      <c r="Y262" s="113"/>
      <c r="Z262" s="96"/>
      <c r="AA262" s="88"/>
      <c r="AB262" s="88"/>
    </row>
    <row r="263" spans="1:28" s="108" customFormat="1">
      <c r="A263" s="93"/>
      <c r="B263" s="109"/>
      <c r="C263" s="109"/>
      <c r="D263" s="109"/>
      <c r="E263" s="109"/>
      <c r="F263" s="109"/>
      <c r="G263" s="109"/>
      <c r="H263" s="109"/>
      <c r="I263" s="109"/>
      <c r="J263" s="65"/>
      <c r="K263" s="112"/>
      <c r="M263" s="111"/>
      <c r="N263" s="110"/>
      <c r="O263" s="105"/>
      <c r="P263" s="114"/>
      <c r="Y263" s="113"/>
      <c r="Z263" s="96"/>
      <c r="AA263" s="88"/>
      <c r="AB263" s="88"/>
    </row>
    <row r="264" spans="1:28" s="108" customFormat="1">
      <c r="A264" s="93"/>
      <c r="B264" s="109"/>
      <c r="C264" s="109"/>
      <c r="D264" s="109"/>
      <c r="E264" s="109"/>
      <c r="F264" s="109"/>
      <c r="G264" s="109"/>
      <c r="H264" s="109"/>
      <c r="I264" s="109"/>
      <c r="J264" s="65"/>
      <c r="K264" s="112"/>
      <c r="M264" s="111"/>
      <c r="N264" s="110"/>
      <c r="O264" s="105"/>
      <c r="P264" s="114"/>
      <c r="Y264" s="113"/>
      <c r="Z264" s="96"/>
      <c r="AA264" s="88"/>
      <c r="AB264" s="88"/>
    </row>
    <row r="265" spans="1:28" s="108" customFormat="1">
      <c r="A265" s="93"/>
      <c r="B265" s="109"/>
      <c r="C265" s="109"/>
      <c r="D265" s="109"/>
      <c r="E265" s="109"/>
      <c r="F265" s="109"/>
      <c r="G265" s="109"/>
      <c r="H265" s="109"/>
      <c r="I265" s="109"/>
      <c r="J265" s="65"/>
      <c r="K265" s="112"/>
      <c r="M265" s="111"/>
      <c r="N265" s="110"/>
      <c r="O265" s="105"/>
      <c r="P265" s="114"/>
      <c r="Y265" s="113"/>
      <c r="Z265" s="96"/>
      <c r="AA265" s="88"/>
      <c r="AB265" s="88"/>
    </row>
    <row r="266" spans="1:28" s="108" customFormat="1">
      <c r="A266" s="93"/>
      <c r="B266" s="109"/>
      <c r="C266" s="109"/>
      <c r="D266" s="109"/>
      <c r="E266" s="109"/>
      <c r="F266" s="109"/>
      <c r="G266" s="109"/>
      <c r="H266" s="109"/>
      <c r="I266" s="109"/>
      <c r="J266" s="65"/>
      <c r="K266" s="112"/>
      <c r="M266" s="111"/>
      <c r="N266" s="110"/>
      <c r="O266" s="105"/>
      <c r="P266" s="114"/>
      <c r="Y266" s="113"/>
      <c r="Z266" s="96"/>
      <c r="AA266" s="88"/>
      <c r="AB266" s="88"/>
    </row>
    <row r="267" spans="1:28" s="108" customFormat="1">
      <c r="A267" s="93"/>
      <c r="B267" s="109"/>
      <c r="C267" s="109"/>
      <c r="D267" s="109"/>
      <c r="E267" s="109"/>
      <c r="F267" s="109"/>
      <c r="G267" s="109"/>
      <c r="H267" s="109"/>
      <c r="I267" s="109"/>
      <c r="J267" s="65"/>
      <c r="K267" s="112"/>
      <c r="M267" s="111"/>
      <c r="N267" s="110"/>
      <c r="O267" s="105"/>
      <c r="P267" s="114"/>
      <c r="Y267" s="113"/>
      <c r="Z267" s="96"/>
      <c r="AA267" s="88"/>
      <c r="AB267" s="88"/>
    </row>
    <row r="268" spans="1:28" s="108" customFormat="1">
      <c r="A268" s="93"/>
      <c r="B268" s="109"/>
      <c r="C268" s="109"/>
      <c r="D268" s="109"/>
      <c r="E268" s="109"/>
      <c r="F268" s="109"/>
      <c r="G268" s="109"/>
      <c r="H268" s="109"/>
      <c r="I268" s="109"/>
      <c r="J268" s="65"/>
      <c r="K268" s="112"/>
      <c r="M268" s="111"/>
      <c r="N268" s="110"/>
      <c r="O268" s="105"/>
      <c r="P268" s="114"/>
      <c r="Y268" s="113"/>
      <c r="Z268" s="96"/>
      <c r="AA268" s="88"/>
      <c r="AB268" s="88"/>
    </row>
    <row r="269" spans="1:28" s="108" customFormat="1">
      <c r="A269" s="93"/>
      <c r="B269" s="109"/>
      <c r="C269" s="109"/>
      <c r="D269" s="109"/>
      <c r="E269" s="109"/>
      <c r="F269" s="109"/>
      <c r="G269" s="109"/>
      <c r="H269" s="109"/>
      <c r="I269" s="109"/>
      <c r="J269" s="65"/>
      <c r="K269" s="112"/>
      <c r="M269" s="111"/>
      <c r="N269" s="110"/>
      <c r="O269" s="105"/>
      <c r="P269" s="114"/>
      <c r="Y269" s="113"/>
      <c r="Z269" s="96"/>
      <c r="AA269" s="88"/>
      <c r="AB269" s="88"/>
    </row>
    <row r="270" spans="1:28" s="108" customFormat="1">
      <c r="A270" s="93"/>
      <c r="B270" s="109"/>
      <c r="C270" s="109"/>
      <c r="D270" s="109"/>
      <c r="E270" s="109"/>
      <c r="F270" s="109"/>
      <c r="G270" s="109"/>
      <c r="H270" s="109"/>
      <c r="I270" s="109"/>
      <c r="J270" s="65"/>
      <c r="K270" s="112"/>
      <c r="M270" s="111"/>
      <c r="N270" s="110"/>
      <c r="O270" s="105"/>
      <c r="P270" s="114"/>
      <c r="Y270" s="113"/>
      <c r="Z270" s="96"/>
      <c r="AA270" s="88"/>
      <c r="AB270" s="88"/>
    </row>
    <row r="271" spans="1:28" s="108" customFormat="1">
      <c r="A271" s="93"/>
      <c r="B271" s="109"/>
      <c r="C271" s="109"/>
      <c r="D271" s="109"/>
      <c r="E271" s="109"/>
      <c r="F271" s="109"/>
      <c r="G271" s="109"/>
      <c r="H271" s="109"/>
      <c r="I271" s="109"/>
      <c r="J271" s="65"/>
      <c r="K271" s="112"/>
      <c r="M271" s="111"/>
      <c r="N271" s="110"/>
      <c r="O271" s="105"/>
      <c r="P271" s="114"/>
      <c r="Y271" s="113"/>
      <c r="Z271" s="96"/>
      <c r="AA271" s="88"/>
      <c r="AB271" s="88"/>
    </row>
    <row r="272" spans="1:28" s="108" customFormat="1">
      <c r="C272" s="109"/>
      <c r="D272" s="109"/>
      <c r="E272" s="109"/>
      <c r="F272" s="109"/>
      <c r="G272" s="109"/>
      <c r="H272" s="109"/>
      <c r="I272" s="109"/>
      <c r="J272" s="65"/>
      <c r="K272" s="112"/>
      <c r="M272" s="111"/>
      <c r="N272" s="110"/>
      <c r="O272" s="105"/>
      <c r="P272" s="114"/>
      <c r="Q272" s="117"/>
      <c r="Y272" s="113"/>
      <c r="Z272" s="96"/>
      <c r="AA272" s="88"/>
      <c r="AB272" s="88"/>
    </row>
    <row r="273" spans="1:28" s="108" customFormat="1">
      <c r="A273" s="93"/>
      <c r="B273" s="109"/>
      <c r="C273" s="109"/>
      <c r="D273" s="109"/>
      <c r="E273" s="109"/>
      <c r="F273" s="109"/>
      <c r="G273" s="109"/>
      <c r="H273" s="109"/>
      <c r="I273" s="109"/>
      <c r="J273" s="65"/>
      <c r="K273" s="112"/>
      <c r="M273" s="111"/>
      <c r="N273" s="110"/>
      <c r="O273" s="105"/>
      <c r="P273" s="114"/>
      <c r="Q273" s="117"/>
      <c r="Y273" s="113"/>
      <c r="Z273" s="96"/>
      <c r="AA273" s="88"/>
      <c r="AB273" s="88"/>
    </row>
    <row r="274" spans="1:28" s="108" customFormat="1">
      <c r="A274" s="93"/>
      <c r="B274" s="109"/>
      <c r="C274" s="109"/>
      <c r="D274" s="109"/>
      <c r="E274" s="109"/>
      <c r="F274" s="109"/>
      <c r="G274" s="109"/>
      <c r="H274" s="109"/>
      <c r="I274" s="109"/>
      <c r="J274" s="65"/>
      <c r="K274" s="112"/>
      <c r="M274" s="111"/>
      <c r="N274" s="110"/>
      <c r="O274" s="105"/>
      <c r="P274" s="114"/>
      <c r="Z274" s="96"/>
      <c r="AA274" s="88"/>
      <c r="AB274" s="88"/>
    </row>
    <row r="275" spans="1:28" s="108" customFormat="1">
      <c r="A275" s="93"/>
      <c r="B275" s="109"/>
      <c r="C275" s="109"/>
      <c r="D275" s="109"/>
      <c r="E275" s="109"/>
      <c r="F275" s="109"/>
      <c r="G275" s="109"/>
      <c r="H275" s="109"/>
      <c r="I275" s="109"/>
      <c r="J275" s="65"/>
      <c r="K275" s="112"/>
      <c r="M275" s="111"/>
      <c r="N275" s="110"/>
      <c r="O275" s="105"/>
      <c r="P275" s="114"/>
      <c r="Z275" s="96"/>
      <c r="AA275" s="88"/>
      <c r="AB275" s="88"/>
    </row>
    <row r="276" spans="1:28" s="108" customFormat="1">
      <c r="A276" s="93"/>
      <c r="B276" s="109"/>
      <c r="C276" s="109"/>
      <c r="D276" s="109"/>
      <c r="E276" s="109"/>
      <c r="F276" s="109"/>
      <c r="G276" s="109"/>
      <c r="H276" s="109"/>
      <c r="I276" s="109"/>
      <c r="J276" s="65"/>
      <c r="K276" s="112"/>
      <c r="M276" s="111"/>
      <c r="N276" s="110"/>
      <c r="O276" s="105"/>
      <c r="P276" s="114"/>
      <c r="Z276" s="96"/>
      <c r="AA276" s="88"/>
      <c r="AB276" s="88"/>
    </row>
    <row r="277" spans="1:28" s="108" customFormat="1">
      <c r="A277" s="93"/>
      <c r="B277" s="109"/>
      <c r="C277" s="109"/>
      <c r="D277" s="109"/>
      <c r="E277" s="109"/>
      <c r="F277" s="109"/>
      <c r="G277" s="109"/>
      <c r="H277" s="109"/>
      <c r="I277" s="109"/>
      <c r="J277" s="65"/>
      <c r="K277" s="112"/>
      <c r="M277" s="111"/>
      <c r="N277" s="110"/>
      <c r="O277" s="105"/>
      <c r="P277" s="114"/>
      <c r="Q277" s="115"/>
      <c r="Z277" s="96"/>
      <c r="AA277" s="88"/>
      <c r="AB277" s="88"/>
    </row>
    <row r="278" spans="1:28" s="108" customFormat="1">
      <c r="A278" s="93"/>
      <c r="B278" s="109"/>
      <c r="C278" s="109"/>
      <c r="D278" s="109"/>
      <c r="E278" s="109"/>
      <c r="F278" s="109"/>
      <c r="G278" s="109"/>
      <c r="H278" s="109"/>
      <c r="I278" s="109"/>
      <c r="J278" s="65"/>
      <c r="K278" s="112"/>
      <c r="M278" s="111"/>
      <c r="N278" s="110"/>
      <c r="O278" s="105"/>
      <c r="P278" s="114"/>
      <c r="Q278" s="115"/>
      <c r="Y278" s="113"/>
      <c r="Z278" s="96"/>
      <c r="AA278" s="88"/>
      <c r="AB278" s="88"/>
    </row>
    <row r="279" spans="1:28" s="108" customFormat="1">
      <c r="A279" s="93"/>
      <c r="B279" s="109"/>
      <c r="C279" s="109"/>
      <c r="D279" s="109"/>
      <c r="E279" s="109"/>
      <c r="F279" s="109"/>
      <c r="G279" s="109"/>
      <c r="H279" s="109"/>
      <c r="I279" s="109"/>
      <c r="J279" s="65"/>
      <c r="K279" s="112"/>
      <c r="M279" s="111"/>
      <c r="N279" s="110"/>
      <c r="O279" s="105"/>
      <c r="P279" s="114"/>
      <c r="Q279" s="115"/>
      <c r="Y279" s="113"/>
      <c r="Z279" s="96"/>
      <c r="AA279" s="88"/>
      <c r="AB279" s="88"/>
    </row>
    <row r="280" spans="1:28" s="108" customFormat="1">
      <c r="A280" s="93"/>
      <c r="B280" s="109"/>
      <c r="C280" s="109"/>
      <c r="D280" s="109"/>
      <c r="E280" s="109"/>
      <c r="F280" s="109"/>
      <c r="G280" s="109"/>
      <c r="H280" s="109"/>
      <c r="I280" s="109"/>
      <c r="J280" s="65"/>
      <c r="K280" s="112"/>
      <c r="L280" s="115"/>
      <c r="M280" s="111"/>
      <c r="N280" s="116"/>
      <c r="O280" s="105"/>
      <c r="P280" s="114"/>
      <c r="Q280" s="115"/>
      <c r="Y280" s="113"/>
      <c r="Z280" s="96"/>
      <c r="AA280" s="88"/>
      <c r="AB280" s="88"/>
    </row>
    <row r="281" spans="1:28" s="108" customFormat="1">
      <c r="A281" s="93"/>
      <c r="B281" s="109"/>
      <c r="C281" s="109"/>
      <c r="D281" s="109"/>
      <c r="E281" s="109"/>
      <c r="F281" s="109"/>
      <c r="G281" s="109"/>
      <c r="H281" s="109"/>
      <c r="I281" s="109"/>
      <c r="J281" s="65"/>
      <c r="K281" s="112"/>
      <c r="L281" s="115"/>
      <c r="M281" s="111"/>
      <c r="N281" s="116"/>
      <c r="O281" s="105"/>
      <c r="P281" s="114"/>
      <c r="Q281" s="115"/>
      <c r="Y281" s="113"/>
      <c r="Z281" s="96"/>
      <c r="AA281" s="88"/>
      <c r="AB281" s="88"/>
    </row>
    <row r="282" spans="1:28" s="108" customFormat="1">
      <c r="A282" s="93"/>
      <c r="B282" s="109"/>
      <c r="C282" s="109"/>
      <c r="D282" s="109"/>
      <c r="E282" s="109"/>
      <c r="F282" s="109"/>
      <c r="G282" s="109"/>
      <c r="H282" s="109"/>
      <c r="I282" s="109"/>
      <c r="J282" s="65"/>
      <c r="K282" s="112"/>
      <c r="L282" s="109"/>
      <c r="M282" s="111"/>
      <c r="N282" s="110"/>
      <c r="O282" s="105"/>
      <c r="P282" s="114"/>
      <c r="Z282" s="96"/>
      <c r="AA282" s="88"/>
      <c r="AB282" s="88"/>
    </row>
    <row r="283" spans="1:28" s="108" customFormat="1">
      <c r="A283" s="93"/>
      <c r="B283" s="109"/>
      <c r="C283" s="109"/>
      <c r="D283" s="109"/>
      <c r="E283" s="109"/>
      <c r="F283" s="109"/>
      <c r="G283" s="109"/>
      <c r="H283" s="109"/>
      <c r="I283" s="109"/>
      <c r="J283" s="65"/>
      <c r="K283" s="112"/>
      <c r="M283" s="111"/>
      <c r="N283" s="110"/>
      <c r="O283" s="105"/>
      <c r="P283" s="114"/>
      <c r="Z283" s="96"/>
      <c r="AA283" s="88"/>
      <c r="AB283" s="88"/>
    </row>
    <row r="284" spans="1:28" s="108" customFormat="1">
      <c r="A284" s="93"/>
      <c r="B284" s="109"/>
      <c r="C284" s="109"/>
      <c r="D284" s="109"/>
      <c r="E284" s="109"/>
      <c r="F284" s="109"/>
      <c r="G284" s="109"/>
      <c r="H284" s="109"/>
      <c r="I284" s="109"/>
      <c r="J284" s="65"/>
      <c r="K284" s="112"/>
      <c r="M284" s="111"/>
      <c r="N284" s="110"/>
      <c r="O284" s="105"/>
      <c r="P284" s="114"/>
      <c r="Z284" s="96"/>
      <c r="AA284" s="88"/>
      <c r="AB284" s="88"/>
    </row>
    <row r="285" spans="1:28" s="108" customFormat="1">
      <c r="A285" s="93"/>
      <c r="B285" s="109"/>
      <c r="C285" s="109"/>
      <c r="D285" s="109"/>
      <c r="E285" s="109"/>
      <c r="F285" s="109"/>
      <c r="G285" s="109"/>
      <c r="H285" s="109"/>
      <c r="I285" s="109"/>
      <c r="J285" s="65"/>
      <c r="K285" s="112"/>
      <c r="M285" s="111"/>
      <c r="N285" s="110"/>
      <c r="O285" s="105"/>
      <c r="P285" s="114"/>
      <c r="Z285" s="96"/>
      <c r="AA285" s="88"/>
      <c r="AB285" s="88"/>
    </row>
    <row r="286" spans="1:28" s="108" customFormat="1">
      <c r="A286" s="93"/>
      <c r="B286" s="109"/>
      <c r="C286" s="109"/>
      <c r="D286" s="109"/>
      <c r="E286" s="109"/>
      <c r="F286" s="109"/>
      <c r="G286" s="109"/>
      <c r="H286" s="109"/>
      <c r="I286" s="109"/>
      <c r="J286" s="65"/>
      <c r="K286" s="112"/>
      <c r="M286" s="111"/>
      <c r="N286" s="110"/>
      <c r="O286" s="105"/>
      <c r="P286" s="114"/>
      <c r="Z286" s="96"/>
      <c r="AA286" s="88"/>
      <c r="AB286" s="88"/>
    </row>
    <row r="287" spans="1:28" s="108" customFormat="1">
      <c r="A287" s="93"/>
      <c r="B287" s="109"/>
      <c r="C287" s="109"/>
      <c r="D287" s="109"/>
      <c r="E287" s="109"/>
      <c r="F287" s="109"/>
      <c r="G287" s="109"/>
      <c r="H287" s="109"/>
      <c r="I287" s="109"/>
      <c r="J287" s="65"/>
      <c r="K287" s="112"/>
      <c r="M287" s="111"/>
      <c r="N287" s="110"/>
      <c r="O287" s="105"/>
      <c r="P287" s="114"/>
      <c r="Z287" s="96"/>
      <c r="AA287" s="88"/>
      <c r="AB287" s="88"/>
    </row>
    <row r="288" spans="1:28" s="108" customFormat="1">
      <c r="A288" s="93"/>
      <c r="B288" s="109"/>
      <c r="C288" s="109"/>
      <c r="D288" s="109"/>
      <c r="E288" s="109"/>
      <c r="F288" s="109"/>
      <c r="G288" s="109"/>
      <c r="H288" s="109"/>
      <c r="I288" s="109"/>
      <c r="J288" s="65"/>
      <c r="K288" s="112"/>
      <c r="M288" s="111"/>
      <c r="N288" s="110"/>
      <c r="O288" s="105"/>
      <c r="P288" s="114"/>
      <c r="Z288" s="96"/>
      <c r="AA288" s="88"/>
      <c r="AB288" s="88"/>
    </row>
    <row r="289" spans="1:28" s="108" customFormat="1">
      <c r="A289" s="93"/>
      <c r="B289" s="109"/>
      <c r="C289" s="109"/>
      <c r="D289" s="109"/>
      <c r="E289" s="109"/>
      <c r="F289" s="109"/>
      <c r="G289" s="109"/>
      <c r="H289" s="109"/>
      <c r="I289" s="109"/>
      <c r="J289" s="65"/>
      <c r="K289" s="112"/>
      <c r="M289" s="111"/>
      <c r="N289" s="110"/>
      <c r="O289" s="105"/>
      <c r="P289" s="114"/>
      <c r="Z289" s="96"/>
      <c r="AA289" s="88"/>
      <c r="AB289" s="88"/>
    </row>
    <row r="290" spans="1:28" s="108" customFormat="1">
      <c r="A290" s="93"/>
      <c r="B290" s="109"/>
      <c r="C290" s="109"/>
      <c r="D290" s="109"/>
      <c r="E290" s="109"/>
      <c r="F290" s="109"/>
      <c r="G290" s="109"/>
      <c r="H290" s="109"/>
      <c r="I290" s="109"/>
      <c r="J290" s="65"/>
      <c r="K290" s="112"/>
      <c r="M290" s="111"/>
      <c r="N290" s="110"/>
      <c r="O290" s="105"/>
      <c r="P290" s="114"/>
      <c r="Z290" s="96"/>
      <c r="AA290" s="88"/>
      <c r="AB290" s="88"/>
    </row>
    <row r="291" spans="1:28" s="108" customFormat="1">
      <c r="A291" s="93"/>
      <c r="B291" s="109"/>
      <c r="C291" s="109"/>
      <c r="D291" s="109"/>
      <c r="E291" s="109"/>
      <c r="F291" s="109"/>
      <c r="G291" s="109"/>
      <c r="H291" s="109"/>
      <c r="I291" s="109"/>
      <c r="J291" s="65"/>
      <c r="K291" s="112"/>
      <c r="M291" s="111"/>
      <c r="N291" s="110"/>
      <c r="O291" s="105"/>
      <c r="P291" s="114"/>
      <c r="Z291" s="96"/>
      <c r="AA291" s="88"/>
      <c r="AB291" s="88"/>
    </row>
    <row r="292" spans="1:28" s="108" customFormat="1">
      <c r="A292" s="93"/>
      <c r="B292" s="109"/>
      <c r="C292" s="109"/>
      <c r="D292" s="109"/>
      <c r="E292" s="109"/>
      <c r="F292" s="109"/>
      <c r="G292" s="109"/>
      <c r="H292" s="109"/>
      <c r="I292" s="109"/>
      <c r="J292" s="65"/>
      <c r="K292" s="112"/>
      <c r="M292" s="111"/>
      <c r="N292" s="110"/>
      <c r="O292" s="105"/>
      <c r="P292" s="114"/>
      <c r="Z292" s="96"/>
      <c r="AA292" s="88"/>
      <c r="AB292" s="88"/>
    </row>
    <row r="293" spans="1:28" s="108" customFormat="1">
      <c r="A293" s="93"/>
      <c r="B293" s="109"/>
      <c r="C293" s="109"/>
      <c r="D293" s="109"/>
      <c r="E293" s="109"/>
      <c r="F293" s="109"/>
      <c r="G293" s="109"/>
      <c r="H293" s="109"/>
      <c r="I293" s="109"/>
      <c r="J293" s="65"/>
      <c r="K293" s="112"/>
      <c r="M293" s="111"/>
      <c r="N293" s="110"/>
      <c r="O293" s="105"/>
      <c r="P293" s="114"/>
      <c r="Z293" s="96"/>
      <c r="AA293" s="88"/>
      <c r="AB293" s="88"/>
    </row>
    <row r="294" spans="1:28" s="108" customFormat="1">
      <c r="A294" s="93"/>
      <c r="B294" s="109"/>
      <c r="C294" s="109"/>
      <c r="D294" s="109"/>
      <c r="E294" s="109"/>
      <c r="F294" s="109"/>
      <c r="G294" s="109"/>
      <c r="H294" s="109"/>
      <c r="I294" s="109"/>
      <c r="J294" s="65"/>
      <c r="K294" s="112"/>
      <c r="M294" s="111"/>
      <c r="N294" s="110"/>
      <c r="O294" s="105"/>
      <c r="P294" s="114"/>
      <c r="Z294" s="96"/>
      <c r="AA294" s="88"/>
      <c r="AB294" s="88"/>
    </row>
    <row r="295" spans="1:28" s="108" customFormat="1">
      <c r="A295" s="93"/>
      <c r="B295" s="109"/>
      <c r="C295" s="109"/>
      <c r="D295" s="109"/>
      <c r="E295" s="109"/>
      <c r="F295" s="109"/>
      <c r="G295" s="109"/>
      <c r="H295" s="109"/>
      <c r="I295" s="109"/>
      <c r="J295" s="65"/>
      <c r="K295" s="112"/>
      <c r="M295" s="111"/>
      <c r="N295" s="110"/>
      <c r="O295" s="105"/>
      <c r="P295" s="114"/>
      <c r="Z295" s="96"/>
      <c r="AA295" s="88"/>
      <c r="AB295" s="88"/>
    </row>
    <row r="296" spans="1:28" s="108" customFormat="1">
      <c r="A296" s="93"/>
      <c r="B296" s="109"/>
      <c r="C296" s="109"/>
      <c r="D296" s="109"/>
      <c r="E296" s="109"/>
      <c r="F296" s="109"/>
      <c r="G296" s="109"/>
      <c r="H296" s="109"/>
      <c r="I296" s="109"/>
      <c r="J296" s="65"/>
      <c r="K296" s="112"/>
      <c r="M296" s="111"/>
      <c r="N296" s="67"/>
      <c r="O296" s="105"/>
      <c r="P296" s="114"/>
      <c r="Z296" s="96"/>
      <c r="AA296" s="88"/>
      <c r="AB296" s="88"/>
    </row>
    <row r="297" spans="1:28" s="108" customFormat="1">
      <c r="A297" s="93"/>
      <c r="B297" s="109"/>
      <c r="C297" s="109"/>
      <c r="D297" s="109"/>
      <c r="E297" s="109"/>
      <c r="F297" s="109"/>
      <c r="G297" s="109"/>
      <c r="H297" s="109"/>
      <c r="I297" s="109"/>
      <c r="J297" s="65"/>
      <c r="K297" s="112"/>
      <c r="M297" s="111"/>
      <c r="N297" s="110"/>
      <c r="O297" s="105"/>
      <c r="P297" s="114"/>
      <c r="Y297" s="113"/>
      <c r="Z297" s="96"/>
      <c r="AA297" s="88"/>
      <c r="AB297" s="88"/>
    </row>
    <row r="298" spans="1:28" s="108" customFormat="1">
      <c r="A298" s="93"/>
      <c r="B298" s="109"/>
      <c r="C298" s="109"/>
      <c r="D298" s="109"/>
      <c r="E298" s="109"/>
      <c r="F298" s="109"/>
      <c r="G298" s="109"/>
      <c r="H298" s="109"/>
      <c r="I298" s="109"/>
      <c r="J298" s="65"/>
      <c r="K298" s="112"/>
      <c r="M298" s="111"/>
      <c r="N298" s="110"/>
      <c r="O298" s="105"/>
      <c r="P298" s="114"/>
      <c r="Y298" s="113"/>
      <c r="Z298" s="96"/>
      <c r="AA298" s="88"/>
      <c r="AB298" s="88"/>
    </row>
    <row r="299" spans="1:28" s="108" customFormat="1">
      <c r="A299" s="93"/>
      <c r="B299" s="109"/>
      <c r="C299" s="109"/>
      <c r="D299" s="109"/>
      <c r="E299" s="109"/>
      <c r="F299" s="109"/>
      <c r="G299" s="109"/>
      <c r="H299" s="109"/>
      <c r="I299" s="109"/>
      <c r="J299" s="65"/>
      <c r="K299" s="112"/>
      <c r="M299" s="111"/>
      <c r="N299" s="110"/>
      <c r="O299" s="105"/>
      <c r="P299" s="114"/>
      <c r="Z299" s="96"/>
      <c r="AA299" s="88"/>
      <c r="AB299" s="88"/>
    </row>
    <row r="300" spans="1:28" s="108" customFormat="1">
      <c r="A300" s="93"/>
      <c r="B300" s="109"/>
      <c r="C300" s="109"/>
      <c r="D300" s="109"/>
      <c r="E300" s="109"/>
      <c r="F300" s="109"/>
      <c r="G300" s="109"/>
      <c r="H300" s="109"/>
      <c r="I300" s="109"/>
      <c r="J300" s="65"/>
      <c r="K300" s="112"/>
      <c r="M300" s="111"/>
      <c r="N300" s="110"/>
      <c r="O300" s="105"/>
      <c r="P300" s="114"/>
      <c r="Z300" s="96"/>
      <c r="AA300" s="88"/>
      <c r="AB300" s="88"/>
    </row>
    <row r="301" spans="1:28" s="108" customFormat="1">
      <c r="A301" s="93"/>
      <c r="B301" s="109"/>
      <c r="C301" s="109"/>
      <c r="D301" s="109"/>
      <c r="E301" s="109"/>
      <c r="F301" s="109"/>
      <c r="G301" s="109"/>
      <c r="H301" s="109"/>
      <c r="I301" s="109"/>
      <c r="J301" s="65"/>
      <c r="K301" s="112"/>
      <c r="M301" s="111"/>
      <c r="N301" s="110"/>
      <c r="O301" s="105"/>
      <c r="P301" s="114"/>
      <c r="Z301" s="96"/>
      <c r="AA301" s="88"/>
      <c r="AB301" s="88"/>
    </row>
    <row r="302" spans="1:28" s="108" customFormat="1">
      <c r="A302" s="93"/>
      <c r="B302" s="109"/>
      <c r="C302" s="109"/>
      <c r="D302" s="109"/>
      <c r="E302" s="109"/>
      <c r="F302" s="109"/>
      <c r="G302" s="109"/>
      <c r="H302" s="109"/>
      <c r="I302" s="109"/>
      <c r="J302" s="65"/>
      <c r="K302" s="112"/>
      <c r="M302" s="111"/>
      <c r="N302" s="110"/>
      <c r="O302" s="105"/>
      <c r="P302" s="106"/>
      <c r="Z302" s="96"/>
      <c r="AA302" s="88"/>
      <c r="AB302" s="88"/>
    </row>
    <row r="303" spans="1:28" s="108" customFormat="1">
      <c r="A303" s="93"/>
      <c r="B303" s="109"/>
      <c r="C303" s="109"/>
      <c r="D303" s="109"/>
      <c r="E303" s="109"/>
      <c r="F303" s="109"/>
      <c r="G303" s="109"/>
      <c r="H303" s="109"/>
      <c r="I303" s="109"/>
      <c r="J303" s="65"/>
      <c r="K303" s="112"/>
      <c r="M303" s="111"/>
      <c r="N303" s="110"/>
      <c r="O303" s="105"/>
      <c r="P303" s="106"/>
      <c r="Z303" s="96"/>
      <c r="AA303" s="88"/>
      <c r="AB303" s="88"/>
    </row>
    <row r="304" spans="1:28" s="108" customFormat="1">
      <c r="A304" s="93"/>
      <c r="B304" s="109"/>
      <c r="C304" s="109"/>
      <c r="D304" s="109"/>
      <c r="E304" s="109"/>
      <c r="F304" s="109"/>
      <c r="G304" s="109"/>
      <c r="H304" s="109"/>
      <c r="I304" s="109"/>
      <c r="J304" s="65"/>
      <c r="K304" s="112"/>
      <c r="M304" s="111"/>
      <c r="N304" s="110"/>
      <c r="O304" s="105"/>
      <c r="P304" s="106"/>
      <c r="Z304" s="96"/>
      <c r="AA304" s="88"/>
      <c r="AB304" s="88"/>
    </row>
    <row r="305" spans="1:28" s="108" customFormat="1">
      <c r="A305" s="93"/>
      <c r="B305" s="109"/>
      <c r="C305" s="109"/>
      <c r="D305" s="109"/>
      <c r="E305" s="109"/>
      <c r="F305" s="109"/>
      <c r="G305" s="109"/>
      <c r="H305" s="109"/>
      <c r="I305" s="109"/>
      <c r="J305" s="65"/>
      <c r="K305" s="112"/>
      <c r="M305" s="111"/>
      <c r="N305" s="110"/>
      <c r="O305" s="105"/>
      <c r="P305" s="106"/>
      <c r="Z305" s="96"/>
      <c r="AA305" s="88"/>
      <c r="AB305" s="88"/>
    </row>
    <row r="306" spans="1:28" s="108" customFormat="1">
      <c r="A306" s="93"/>
      <c r="B306" s="109"/>
      <c r="C306" s="109"/>
      <c r="D306" s="109"/>
      <c r="E306" s="109"/>
      <c r="F306" s="109"/>
      <c r="G306" s="109"/>
      <c r="H306" s="109"/>
      <c r="I306" s="109"/>
      <c r="J306" s="65"/>
      <c r="K306" s="112"/>
      <c r="M306" s="111"/>
      <c r="N306" s="110"/>
      <c r="O306" s="105"/>
      <c r="P306" s="106"/>
      <c r="Z306" s="96"/>
      <c r="AA306" s="88"/>
      <c r="AB306" s="88"/>
    </row>
    <row r="307" spans="1:28" s="108" customFormat="1">
      <c r="A307" s="93"/>
      <c r="B307" s="109"/>
      <c r="C307" s="109"/>
      <c r="D307" s="109"/>
      <c r="E307" s="109"/>
      <c r="F307" s="109"/>
      <c r="G307" s="109"/>
      <c r="H307" s="109"/>
      <c r="I307" s="109"/>
      <c r="J307" s="65"/>
      <c r="K307" s="112"/>
      <c r="M307" s="111"/>
      <c r="N307" s="110"/>
      <c r="O307" s="105"/>
      <c r="P307" s="106"/>
      <c r="Z307" s="96"/>
      <c r="AA307" s="88"/>
      <c r="AB307" s="88"/>
    </row>
    <row r="308" spans="1:28" s="108" customFormat="1">
      <c r="A308" s="93"/>
      <c r="B308" s="109"/>
      <c r="C308" s="109"/>
      <c r="D308" s="109"/>
      <c r="E308" s="109"/>
      <c r="F308" s="109"/>
      <c r="G308" s="109"/>
      <c r="H308" s="109"/>
      <c r="I308" s="109"/>
      <c r="J308" s="65"/>
      <c r="K308" s="112"/>
      <c r="M308" s="111"/>
      <c r="N308" s="110"/>
      <c r="O308" s="105"/>
      <c r="P308" s="106"/>
      <c r="Z308" s="96"/>
      <c r="AA308" s="88"/>
      <c r="AB308" s="88"/>
    </row>
    <row r="309" spans="1:28" s="108" customFormat="1">
      <c r="A309" s="93"/>
      <c r="B309" s="109"/>
      <c r="C309" s="109"/>
      <c r="D309" s="109"/>
      <c r="E309" s="109"/>
      <c r="F309" s="109"/>
      <c r="G309" s="109"/>
      <c r="H309" s="109"/>
      <c r="I309" s="109"/>
      <c r="J309" s="65"/>
      <c r="K309" s="112"/>
      <c r="M309" s="111"/>
      <c r="N309" s="110"/>
      <c r="O309" s="105"/>
      <c r="P309" s="106"/>
      <c r="Z309" s="96"/>
      <c r="AA309" s="88"/>
      <c r="AB309" s="88"/>
    </row>
    <row r="310" spans="1:28" s="108" customFormat="1">
      <c r="A310" s="93"/>
      <c r="B310" s="109"/>
      <c r="C310" s="109"/>
      <c r="D310" s="109"/>
      <c r="E310" s="109"/>
      <c r="F310" s="109"/>
      <c r="G310" s="109"/>
      <c r="H310" s="109"/>
      <c r="I310" s="109"/>
      <c r="J310" s="65"/>
      <c r="K310" s="112"/>
      <c r="M310" s="111"/>
      <c r="N310" s="110"/>
      <c r="O310" s="105"/>
      <c r="P310" s="106"/>
      <c r="Z310" s="96"/>
      <c r="AA310" s="88"/>
      <c r="AB310" s="88"/>
    </row>
    <row r="311" spans="1:28" s="108" customFormat="1">
      <c r="A311" s="93"/>
      <c r="B311" s="109"/>
      <c r="C311" s="109"/>
      <c r="D311" s="109"/>
      <c r="E311" s="109"/>
      <c r="F311" s="109"/>
      <c r="G311" s="109"/>
      <c r="H311" s="109"/>
      <c r="I311" s="109"/>
      <c r="J311" s="65"/>
      <c r="K311" s="112"/>
      <c r="M311" s="111"/>
      <c r="N311" s="110"/>
      <c r="O311" s="105"/>
      <c r="P311" s="106"/>
      <c r="Z311" s="96"/>
      <c r="AA311" s="88"/>
      <c r="AB311" s="88"/>
    </row>
    <row r="312" spans="1:28" s="108" customFormat="1">
      <c r="A312" s="93"/>
      <c r="B312" s="109"/>
      <c r="C312" s="109"/>
      <c r="D312" s="109"/>
      <c r="E312" s="109"/>
      <c r="F312" s="109"/>
      <c r="G312" s="109"/>
      <c r="H312" s="109"/>
      <c r="I312" s="109"/>
      <c r="J312" s="65"/>
      <c r="K312" s="112"/>
      <c r="M312" s="111"/>
      <c r="N312" s="110"/>
      <c r="O312" s="105"/>
      <c r="P312" s="106"/>
      <c r="Z312" s="96"/>
      <c r="AA312" s="88"/>
      <c r="AB312" s="88"/>
    </row>
    <row r="313" spans="1:28" s="108" customFormat="1">
      <c r="A313" s="93"/>
      <c r="B313" s="109"/>
      <c r="C313" s="109"/>
      <c r="D313" s="109"/>
      <c r="E313" s="109"/>
      <c r="F313" s="109"/>
      <c r="G313" s="109"/>
      <c r="H313" s="109"/>
      <c r="I313" s="109"/>
      <c r="J313" s="65"/>
      <c r="K313" s="112"/>
      <c r="M313" s="111"/>
      <c r="N313" s="110"/>
      <c r="O313" s="105"/>
      <c r="P313" s="106"/>
      <c r="Z313" s="96"/>
      <c r="AA313" s="88"/>
      <c r="AB313" s="88"/>
    </row>
    <row r="314" spans="1:28" s="108" customFormat="1">
      <c r="A314" s="93"/>
      <c r="B314" s="109"/>
      <c r="C314" s="109"/>
      <c r="D314" s="109"/>
      <c r="E314" s="109"/>
      <c r="F314" s="109"/>
      <c r="G314" s="109"/>
      <c r="H314" s="109"/>
      <c r="I314" s="109"/>
      <c r="J314" s="65"/>
      <c r="K314" s="112"/>
      <c r="M314" s="111"/>
      <c r="N314" s="110"/>
      <c r="O314" s="105"/>
      <c r="P314" s="106"/>
      <c r="Z314" s="96"/>
      <c r="AA314" s="88"/>
      <c r="AB314" s="88"/>
    </row>
    <row r="315" spans="1:28" s="108" customFormat="1">
      <c r="A315" s="93"/>
      <c r="B315" s="109"/>
      <c r="C315" s="109"/>
      <c r="D315" s="109"/>
      <c r="E315" s="109"/>
      <c r="F315" s="109"/>
      <c r="G315" s="109"/>
      <c r="H315" s="109"/>
      <c r="I315" s="109"/>
      <c r="J315" s="65"/>
      <c r="K315" s="112"/>
      <c r="M315" s="111"/>
      <c r="N315" s="110"/>
      <c r="O315" s="105"/>
      <c r="P315" s="106"/>
      <c r="Z315" s="96"/>
      <c r="AA315" s="88"/>
      <c r="AB315" s="88"/>
    </row>
    <row r="316" spans="1:28" s="108" customFormat="1">
      <c r="A316" s="93"/>
      <c r="B316" s="109"/>
      <c r="C316" s="109"/>
      <c r="D316" s="109"/>
      <c r="E316" s="109"/>
      <c r="F316" s="109"/>
      <c r="G316" s="109"/>
      <c r="H316" s="109"/>
      <c r="I316" s="109"/>
      <c r="J316" s="65"/>
      <c r="K316" s="112"/>
      <c r="M316" s="111"/>
      <c r="N316" s="67"/>
      <c r="O316" s="105"/>
      <c r="P316" s="106"/>
      <c r="Z316" s="96"/>
      <c r="AA316" s="88"/>
      <c r="AB316" s="88"/>
    </row>
    <row r="317" spans="1:28" s="108" customFormat="1">
      <c r="A317" s="93"/>
      <c r="B317" s="109"/>
      <c r="C317" s="109"/>
      <c r="D317" s="109"/>
      <c r="E317" s="109"/>
      <c r="F317" s="109"/>
      <c r="G317" s="109"/>
      <c r="H317" s="109"/>
      <c r="I317" s="109"/>
      <c r="J317" s="65"/>
      <c r="K317" s="112"/>
      <c r="M317" s="111"/>
      <c r="N317" s="110"/>
      <c r="O317" s="105"/>
      <c r="P317" s="106"/>
      <c r="Z317" s="96"/>
      <c r="AA317" s="88"/>
      <c r="AB317" s="88"/>
    </row>
    <row r="318" spans="1:28" s="108" customFormat="1">
      <c r="A318" s="93"/>
      <c r="B318" s="109"/>
      <c r="C318" s="109"/>
      <c r="D318" s="109"/>
      <c r="E318" s="109"/>
      <c r="F318" s="109"/>
      <c r="G318" s="109"/>
      <c r="H318" s="109"/>
      <c r="I318" s="109"/>
      <c r="J318" s="65"/>
      <c r="K318" s="112"/>
      <c r="M318" s="111"/>
      <c r="N318" s="110"/>
      <c r="O318" s="105"/>
      <c r="P318" s="106"/>
      <c r="Z318" s="96"/>
      <c r="AA318" s="88"/>
      <c r="AB318" s="88"/>
    </row>
    <row r="319" spans="1:28" s="108" customFormat="1">
      <c r="A319" s="93"/>
      <c r="B319" s="109"/>
      <c r="C319" s="109"/>
      <c r="D319" s="109"/>
      <c r="E319" s="109"/>
      <c r="F319" s="109"/>
      <c r="G319" s="109"/>
      <c r="H319" s="109"/>
      <c r="I319" s="109"/>
      <c r="J319" s="65"/>
      <c r="K319" s="112"/>
      <c r="M319" s="111"/>
      <c r="N319" s="110"/>
      <c r="O319" s="105"/>
      <c r="P319" s="106"/>
      <c r="Z319" s="96"/>
      <c r="AA319" s="88"/>
      <c r="AB319" s="88"/>
    </row>
    <row r="320" spans="1:28" s="108" customFormat="1">
      <c r="A320" s="93"/>
      <c r="B320" s="109"/>
      <c r="C320" s="109"/>
      <c r="D320" s="109"/>
      <c r="E320" s="109"/>
      <c r="F320" s="109"/>
      <c r="G320" s="109"/>
      <c r="H320" s="109"/>
      <c r="I320" s="109"/>
      <c r="J320" s="65"/>
      <c r="K320" s="112"/>
      <c r="M320" s="111"/>
      <c r="N320" s="110"/>
      <c r="O320" s="105"/>
      <c r="P320" s="106"/>
      <c r="Z320" s="96"/>
      <c r="AA320" s="88"/>
      <c r="AB320" s="88"/>
    </row>
    <row r="321" spans="1:28" s="108" customFormat="1">
      <c r="A321" s="93"/>
      <c r="B321" s="109"/>
      <c r="C321" s="109"/>
      <c r="D321" s="109"/>
      <c r="E321" s="109"/>
      <c r="F321" s="109"/>
      <c r="G321" s="109"/>
      <c r="H321" s="109"/>
      <c r="I321" s="109"/>
      <c r="J321" s="65"/>
      <c r="K321" s="112"/>
      <c r="M321" s="111"/>
      <c r="N321" s="110"/>
      <c r="O321" s="105"/>
      <c r="P321" s="106"/>
      <c r="Z321" s="96"/>
      <c r="AA321" s="88"/>
      <c r="AB321" s="88"/>
    </row>
    <row r="322" spans="1:28" s="108" customFormat="1">
      <c r="A322" s="93"/>
      <c r="B322" s="109"/>
      <c r="C322" s="109"/>
      <c r="D322" s="109"/>
      <c r="E322" s="109"/>
      <c r="F322" s="109"/>
      <c r="G322" s="109"/>
      <c r="H322" s="109"/>
      <c r="I322" s="109"/>
      <c r="J322" s="65"/>
      <c r="K322" s="112"/>
      <c r="M322" s="111"/>
      <c r="N322" s="110"/>
      <c r="O322" s="105"/>
      <c r="P322" s="106"/>
      <c r="Z322" s="96"/>
      <c r="AA322" s="88"/>
      <c r="AB322" s="88"/>
    </row>
    <row r="323" spans="1:28" s="108" customFormat="1">
      <c r="A323" s="93"/>
      <c r="B323" s="109"/>
      <c r="C323" s="109"/>
      <c r="D323" s="109"/>
      <c r="E323" s="109"/>
      <c r="F323" s="109"/>
      <c r="G323" s="109"/>
      <c r="H323" s="109"/>
      <c r="I323" s="109"/>
      <c r="J323" s="65"/>
      <c r="K323" s="112"/>
      <c r="M323" s="111"/>
      <c r="N323" s="110"/>
      <c r="O323" s="105"/>
      <c r="P323" s="106"/>
      <c r="Z323" s="96"/>
      <c r="AA323" s="88"/>
      <c r="AB323" s="88"/>
    </row>
    <row r="324" spans="1:28" s="108" customFormat="1">
      <c r="A324" s="93"/>
      <c r="B324" s="109"/>
      <c r="C324" s="109"/>
      <c r="D324" s="109"/>
      <c r="E324" s="109"/>
      <c r="F324" s="109"/>
      <c r="G324" s="109"/>
      <c r="H324" s="109"/>
      <c r="I324" s="109"/>
      <c r="J324" s="65"/>
      <c r="K324" s="112"/>
      <c r="M324" s="111"/>
      <c r="N324" s="110"/>
      <c r="O324" s="105"/>
      <c r="P324" s="106"/>
      <c r="Z324" s="96"/>
      <c r="AA324" s="88"/>
      <c r="AB324" s="88"/>
    </row>
    <row r="325" spans="1:28" s="108" customFormat="1">
      <c r="A325" s="93"/>
      <c r="B325" s="109"/>
      <c r="C325" s="109"/>
      <c r="D325" s="109"/>
      <c r="E325" s="109"/>
      <c r="F325" s="109"/>
      <c r="G325" s="109"/>
      <c r="H325" s="109"/>
      <c r="I325" s="109"/>
      <c r="J325" s="65"/>
      <c r="K325" s="112"/>
      <c r="M325" s="111"/>
      <c r="N325" s="110"/>
      <c r="O325" s="105"/>
      <c r="P325" s="106"/>
      <c r="Z325" s="96"/>
      <c r="AA325" s="88"/>
      <c r="AB325" s="88"/>
    </row>
    <row r="326" spans="1:28" s="108" customFormat="1">
      <c r="A326" s="93"/>
      <c r="B326" s="109"/>
      <c r="C326" s="109"/>
      <c r="D326" s="109"/>
      <c r="E326" s="109"/>
      <c r="F326" s="109"/>
      <c r="G326" s="109"/>
      <c r="H326" s="109"/>
      <c r="I326" s="109"/>
      <c r="J326" s="65"/>
      <c r="K326" s="112"/>
      <c r="M326" s="111"/>
      <c r="N326" s="110"/>
      <c r="O326" s="105"/>
      <c r="P326" s="106"/>
      <c r="Z326" s="96"/>
      <c r="AA326" s="88"/>
      <c r="AB326" s="88"/>
    </row>
    <row r="327" spans="1:28" s="108" customFormat="1">
      <c r="A327" s="93"/>
      <c r="B327" s="109"/>
      <c r="C327" s="109"/>
      <c r="D327" s="109"/>
      <c r="E327" s="109"/>
      <c r="F327" s="109"/>
      <c r="G327" s="109"/>
      <c r="H327" s="109"/>
      <c r="I327" s="109"/>
      <c r="J327" s="65"/>
      <c r="K327" s="112"/>
      <c r="M327" s="111"/>
      <c r="N327" s="110"/>
      <c r="O327" s="105"/>
      <c r="P327" s="106"/>
      <c r="Z327" s="96"/>
      <c r="AA327" s="88"/>
      <c r="AB327" s="88"/>
    </row>
    <row r="328" spans="1:28" s="108" customFormat="1">
      <c r="A328" s="93"/>
      <c r="B328" s="109"/>
      <c r="C328" s="109"/>
      <c r="D328" s="109"/>
      <c r="E328" s="109"/>
      <c r="F328" s="109"/>
      <c r="G328" s="109"/>
      <c r="H328" s="109"/>
      <c r="I328" s="109"/>
      <c r="J328" s="65"/>
      <c r="K328" s="112"/>
      <c r="M328" s="111"/>
      <c r="N328" s="110"/>
      <c r="O328" s="105"/>
      <c r="P328" s="106"/>
      <c r="Z328" s="96"/>
      <c r="AA328" s="88"/>
      <c r="AB328" s="88"/>
    </row>
    <row r="329" spans="1:28" s="108" customFormat="1">
      <c r="A329" s="93"/>
      <c r="B329" s="109"/>
      <c r="C329" s="109"/>
      <c r="D329" s="109"/>
      <c r="E329" s="109"/>
      <c r="F329" s="109"/>
      <c r="G329" s="109"/>
      <c r="H329" s="109"/>
      <c r="I329" s="109"/>
      <c r="J329" s="65"/>
      <c r="K329" s="112"/>
      <c r="M329" s="111"/>
      <c r="N329" s="67"/>
      <c r="O329" s="105"/>
      <c r="P329" s="106"/>
      <c r="Z329" s="96"/>
      <c r="AA329" s="88"/>
      <c r="AB329" s="88"/>
    </row>
    <row r="330" spans="1:28" s="108" customFormat="1">
      <c r="A330" s="93"/>
      <c r="B330" s="109"/>
      <c r="C330" s="109"/>
      <c r="D330" s="109"/>
      <c r="E330" s="109"/>
      <c r="F330" s="109"/>
      <c r="G330" s="109"/>
      <c r="H330" s="109"/>
      <c r="I330" s="109"/>
      <c r="J330" s="65"/>
      <c r="K330" s="112"/>
      <c r="M330" s="111"/>
      <c r="N330" s="110"/>
      <c r="O330" s="105"/>
      <c r="P330" s="106"/>
      <c r="Z330" s="96"/>
      <c r="AA330" s="88"/>
      <c r="AB330" s="88"/>
    </row>
    <row r="331" spans="1:28" s="108" customFormat="1">
      <c r="A331" s="93"/>
      <c r="B331" s="109"/>
      <c r="C331" s="109"/>
      <c r="D331" s="109"/>
      <c r="E331" s="109"/>
      <c r="F331" s="109"/>
      <c r="G331" s="109"/>
      <c r="H331" s="109"/>
      <c r="I331" s="109"/>
      <c r="J331" s="65"/>
      <c r="K331" s="112"/>
      <c r="L331" s="115"/>
      <c r="M331" s="111"/>
      <c r="N331" s="110"/>
      <c r="O331" s="105"/>
      <c r="P331" s="106"/>
      <c r="Z331" s="96"/>
      <c r="AA331" s="88"/>
      <c r="AB331" s="88"/>
    </row>
    <row r="332" spans="1:28" s="108" customFormat="1">
      <c r="A332" s="93"/>
      <c r="B332" s="109"/>
      <c r="C332" s="109"/>
      <c r="D332" s="109"/>
      <c r="E332" s="109"/>
      <c r="F332" s="109"/>
      <c r="G332" s="109"/>
      <c r="H332" s="109"/>
      <c r="I332" s="109"/>
      <c r="J332" s="65"/>
      <c r="K332" s="112"/>
      <c r="L332" s="115"/>
      <c r="M332" s="111"/>
      <c r="N332" s="110"/>
      <c r="O332" s="105"/>
      <c r="P332" s="106"/>
      <c r="Z332" s="96"/>
      <c r="AA332" s="88"/>
      <c r="AB332" s="88"/>
    </row>
    <row r="333" spans="1:28" s="108" customFormat="1">
      <c r="A333" s="93"/>
      <c r="B333" s="109"/>
      <c r="C333" s="109"/>
      <c r="D333" s="109"/>
      <c r="E333" s="109"/>
      <c r="F333" s="109"/>
      <c r="G333" s="109"/>
      <c r="H333" s="109"/>
      <c r="I333" s="109"/>
      <c r="J333" s="65"/>
      <c r="K333" s="112"/>
      <c r="L333" s="115"/>
      <c r="M333" s="111"/>
      <c r="N333" s="110"/>
      <c r="O333" s="105"/>
      <c r="P333" s="106"/>
      <c r="Z333" s="96"/>
      <c r="AA333" s="88"/>
      <c r="AB333" s="88"/>
    </row>
    <row r="334" spans="1:28" s="108" customFormat="1">
      <c r="A334" s="93"/>
      <c r="B334" s="109"/>
      <c r="C334" s="109"/>
      <c r="D334" s="109"/>
      <c r="E334" s="109"/>
      <c r="F334" s="109"/>
      <c r="G334" s="109"/>
      <c r="H334" s="109"/>
      <c r="I334" s="109"/>
      <c r="J334" s="65"/>
      <c r="K334" s="112"/>
      <c r="L334" s="109"/>
      <c r="M334" s="111"/>
      <c r="N334" s="110"/>
      <c r="O334" s="105"/>
      <c r="P334" s="106"/>
      <c r="Z334" s="96"/>
      <c r="AA334" s="88"/>
      <c r="AB334" s="88"/>
    </row>
    <row r="335" spans="1:28" s="108" customFormat="1">
      <c r="A335" s="93"/>
      <c r="B335" s="109"/>
      <c r="C335" s="109"/>
      <c r="D335" s="109"/>
      <c r="E335" s="109"/>
      <c r="F335" s="109"/>
      <c r="G335" s="109"/>
      <c r="H335" s="109"/>
      <c r="I335" s="109"/>
      <c r="J335" s="65"/>
      <c r="K335" s="112"/>
      <c r="L335" s="109"/>
      <c r="M335" s="111"/>
      <c r="N335" s="110"/>
      <c r="O335" s="105"/>
      <c r="P335" s="106"/>
      <c r="Z335" s="96"/>
      <c r="AA335" s="88"/>
      <c r="AB335" s="88"/>
    </row>
    <row r="336" spans="1:28" s="108" customFormat="1">
      <c r="A336" s="93"/>
      <c r="B336" s="109"/>
      <c r="C336" s="109"/>
      <c r="D336" s="109"/>
      <c r="E336" s="109"/>
      <c r="F336" s="109"/>
      <c r="G336" s="109"/>
      <c r="H336" s="109"/>
      <c r="I336" s="109"/>
      <c r="J336" s="65"/>
      <c r="K336" s="112"/>
      <c r="M336" s="111"/>
      <c r="N336" s="110"/>
      <c r="O336" s="105"/>
      <c r="P336" s="106"/>
      <c r="Z336" s="96"/>
      <c r="AA336" s="88"/>
      <c r="AB336" s="88"/>
    </row>
    <row r="337" spans="1:29" s="108" customFormat="1">
      <c r="A337" s="93"/>
      <c r="B337" s="109"/>
      <c r="C337" s="109"/>
      <c r="D337" s="109"/>
      <c r="E337" s="109"/>
      <c r="F337" s="109"/>
      <c r="G337" s="109"/>
      <c r="H337" s="109"/>
      <c r="I337" s="109"/>
      <c r="J337" s="65"/>
      <c r="K337" s="112"/>
      <c r="M337" s="111"/>
      <c r="N337" s="110"/>
      <c r="O337" s="105"/>
      <c r="P337" s="106"/>
    </row>
    <row r="338" spans="1:29" s="108" customFormat="1">
      <c r="A338" s="93"/>
      <c r="B338" s="109"/>
      <c r="C338" s="109"/>
      <c r="D338" s="109"/>
      <c r="E338" s="109"/>
      <c r="F338" s="109"/>
      <c r="G338" s="109"/>
      <c r="H338" s="109"/>
      <c r="I338" s="109"/>
      <c r="J338" s="65"/>
      <c r="K338" s="112"/>
      <c r="M338" s="111"/>
      <c r="N338" s="110"/>
      <c r="O338" s="105"/>
      <c r="P338" s="106"/>
    </row>
    <row r="339" spans="1:29" s="108" customFormat="1">
      <c r="A339" s="93"/>
      <c r="B339" s="109"/>
      <c r="C339" s="109"/>
      <c r="D339" s="109"/>
      <c r="E339" s="109"/>
      <c r="F339" s="109"/>
      <c r="G339" s="109"/>
      <c r="H339" s="109"/>
      <c r="I339" s="109"/>
      <c r="J339" s="65"/>
      <c r="K339" s="112"/>
      <c r="M339" s="111"/>
      <c r="N339" s="110"/>
      <c r="O339" s="105"/>
      <c r="P339" s="106"/>
    </row>
    <row r="340" spans="1:29" s="108" customFormat="1">
      <c r="A340" s="93"/>
      <c r="B340" s="109"/>
      <c r="C340" s="109"/>
      <c r="D340" s="109"/>
      <c r="E340" s="109"/>
      <c r="F340" s="109"/>
      <c r="G340" s="109"/>
      <c r="H340" s="109"/>
      <c r="I340" s="109"/>
      <c r="J340" s="65"/>
      <c r="K340" s="112"/>
      <c r="M340" s="111"/>
      <c r="N340" s="67"/>
      <c r="O340" s="105"/>
      <c r="P340" s="106"/>
    </row>
    <row r="341" spans="1:29" s="108" customFormat="1">
      <c r="A341" s="93"/>
      <c r="B341" s="109"/>
      <c r="C341" s="109"/>
      <c r="D341" s="109"/>
      <c r="E341" s="109"/>
      <c r="F341" s="109"/>
      <c r="G341" s="109"/>
      <c r="H341" s="109"/>
      <c r="I341" s="109"/>
      <c r="J341" s="65"/>
      <c r="K341" s="112"/>
      <c r="M341" s="111"/>
      <c r="N341" s="67"/>
      <c r="O341" s="105"/>
      <c r="P341" s="106"/>
    </row>
    <row r="342" spans="1:29">
      <c r="A342" s="93"/>
      <c r="B342" s="109"/>
      <c r="K342" s="112"/>
      <c r="L342" s="55"/>
      <c r="M342" s="92"/>
      <c r="O342" s="105"/>
      <c r="R342" s="108"/>
      <c r="S342" s="108"/>
      <c r="T342" s="108"/>
      <c r="Y342" s="98"/>
    </row>
    <row r="343" spans="1:29">
      <c r="A343" s="93"/>
      <c r="B343" s="109"/>
      <c r="C343" s="83"/>
      <c r="D343" s="83"/>
      <c r="E343" s="83"/>
      <c r="F343" s="83"/>
      <c r="G343" s="83"/>
      <c r="H343" s="83"/>
      <c r="I343" s="83"/>
      <c r="K343" s="112"/>
      <c r="L343" s="55"/>
      <c r="M343" s="98"/>
      <c r="N343" s="90"/>
      <c r="O343" s="105"/>
      <c r="P343" s="102"/>
      <c r="R343" s="108"/>
      <c r="S343" s="108"/>
      <c r="T343" s="108"/>
      <c r="Y343" s="98"/>
      <c r="Z343" s="55"/>
      <c r="AC343" s="88"/>
    </row>
    <row r="344" spans="1:29">
      <c r="A344" s="93"/>
      <c r="B344" s="109"/>
      <c r="C344" s="83"/>
      <c r="D344" s="83"/>
      <c r="E344" s="83"/>
      <c r="F344" s="83"/>
      <c r="G344" s="83"/>
      <c r="H344" s="83"/>
      <c r="I344" s="83"/>
      <c r="K344" s="112"/>
      <c r="L344" s="55"/>
      <c r="M344" s="98"/>
      <c r="N344" s="90"/>
      <c r="O344" s="105"/>
      <c r="P344" s="102"/>
      <c r="R344" s="108"/>
      <c r="S344" s="108"/>
      <c r="T344" s="108"/>
      <c r="Y344" s="98"/>
      <c r="Z344" s="55"/>
      <c r="AC344" s="88"/>
    </row>
    <row r="345" spans="1:29">
      <c r="A345" s="93"/>
      <c r="B345" s="109"/>
      <c r="C345" s="83"/>
      <c r="D345" s="83"/>
      <c r="E345" s="83"/>
      <c r="F345" s="83"/>
      <c r="G345" s="83"/>
      <c r="H345" s="83"/>
      <c r="I345" s="83"/>
      <c r="K345" s="112"/>
      <c r="L345" s="55"/>
      <c r="M345" s="98"/>
      <c r="N345" s="90"/>
      <c r="O345" s="105"/>
      <c r="P345" s="102"/>
      <c r="R345" s="108"/>
      <c r="S345" s="108"/>
      <c r="T345" s="108"/>
      <c r="Y345" s="98"/>
      <c r="Z345" s="55"/>
      <c r="AC345" s="88"/>
    </row>
    <row r="346" spans="1:29">
      <c r="A346" s="93"/>
      <c r="B346" s="109"/>
      <c r="K346" s="112"/>
      <c r="O346" s="105"/>
      <c r="R346" s="108"/>
      <c r="S346" s="108"/>
      <c r="T346" s="108"/>
    </row>
    <row r="347" spans="1:29">
      <c r="A347" s="93"/>
      <c r="B347" s="109"/>
      <c r="K347" s="112"/>
      <c r="O347" s="105"/>
      <c r="R347" s="108"/>
      <c r="S347" s="108"/>
      <c r="T347" s="108"/>
    </row>
    <row r="348" spans="1:29">
      <c r="A348" s="93"/>
      <c r="B348" s="109"/>
      <c r="K348" s="112"/>
      <c r="O348" s="105"/>
      <c r="R348" s="108"/>
      <c r="S348" s="108"/>
      <c r="T348" s="108"/>
    </row>
    <row r="349" spans="1:29">
      <c r="A349" s="93"/>
      <c r="B349" s="109"/>
      <c r="K349" s="112"/>
      <c r="O349" s="105"/>
      <c r="R349" s="108"/>
      <c r="S349" s="108"/>
      <c r="T349" s="108"/>
    </row>
    <row r="350" spans="1:29">
      <c r="A350" s="93"/>
      <c r="B350" s="109"/>
      <c r="K350" s="112"/>
      <c r="O350" s="105"/>
      <c r="R350" s="108"/>
      <c r="S350" s="108"/>
      <c r="T350" s="108"/>
    </row>
    <row r="351" spans="1:29">
      <c r="A351" s="93"/>
      <c r="K351" s="112"/>
      <c r="O351" s="105"/>
      <c r="R351" s="108"/>
      <c r="S351" s="108"/>
      <c r="T351" s="108"/>
    </row>
    <row r="352" spans="1:29">
      <c r="A352" s="93"/>
      <c r="K352" s="112"/>
      <c r="O352" s="105"/>
    </row>
    <row r="353" spans="1:29">
      <c r="A353" s="93"/>
      <c r="K353" s="112"/>
      <c r="O353" s="105"/>
    </row>
    <row r="354" spans="1:29">
      <c r="A354" s="93"/>
      <c r="K354" s="112"/>
      <c r="O354" s="105"/>
    </row>
    <row r="355" spans="1:29">
      <c r="A355" s="93"/>
      <c r="K355" s="112"/>
      <c r="O355" s="105"/>
    </row>
    <row r="356" spans="1:29">
      <c r="A356" s="93"/>
      <c r="K356" s="112"/>
      <c r="O356" s="105"/>
    </row>
    <row r="357" spans="1:29">
      <c r="A357" s="93"/>
      <c r="K357" s="112"/>
      <c r="O357" s="105"/>
    </row>
    <row r="358" spans="1:29" s="108" customFormat="1">
      <c r="A358" s="93"/>
      <c r="B358" s="65"/>
      <c r="C358" s="65"/>
      <c r="D358" s="65"/>
      <c r="E358" s="65"/>
      <c r="F358" s="65"/>
      <c r="G358" s="65"/>
      <c r="H358" s="65"/>
      <c r="I358" s="65"/>
      <c r="J358" s="65"/>
      <c r="K358" s="112"/>
      <c r="L358" s="66"/>
      <c r="M358" s="95"/>
      <c r="N358" s="67"/>
      <c r="O358" s="105"/>
      <c r="P358" s="104"/>
      <c r="Z358" s="96"/>
      <c r="AA358" s="88"/>
      <c r="AB358" s="88"/>
    </row>
    <row r="359" spans="1:29">
      <c r="A359" s="93"/>
      <c r="K359" s="112"/>
      <c r="O359" s="105"/>
      <c r="Q359" s="108"/>
      <c r="R359" s="108"/>
      <c r="S359" s="108"/>
    </row>
    <row r="360" spans="1:29">
      <c r="A360" s="93"/>
      <c r="K360" s="112"/>
      <c r="O360" s="105"/>
      <c r="Q360" s="108"/>
      <c r="R360" s="108"/>
      <c r="S360" s="108"/>
      <c r="Y360" s="108"/>
    </row>
    <row r="361" spans="1:29">
      <c r="A361" s="108"/>
      <c r="B361" s="55"/>
    </row>
    <row r="362" spans="1:29" s="108" customFormat="1">
      <c r="A362" s="93"/>
      <c r="B362" s="93"/>
      <c r="C362" s="109"/>
      <c r="D362" s="109"/>
      <c r="E362" s="109"/>
      <c r="F362" s="109"/>
      <c r="G362" s="109"/>
      <c r="H362" s="109"/>
      <c r="I362" s="109"/>
      <c r="J362" s="65"/>
      <c r="K362" s="112"/>
      <c r="M362" s="111"/>
      <c r="N362" s="110"/>
      <c r="O362" s="110"/>
      <c r="P362" s="110"/>
      <c r="AA362" s="88"/>
      <c r="AB362" s="88"/>
      <c r="AC362" s="88"/>
    </row>
    <row r="363" spans="1:29" s="108" customFormat="1">
      <c r="A363" s="93"/>
      <c r="B363" s="93"/>
      <c r="C363" s="109"/>
      <c r="D363" s="109"/>
      <c r="E363" s="109"/>
      <c r="F363" s="109"/>
      <c r="G363" s="109"/>
      <c r="H363" s="109"/>
      <c r="I363" s="109"/>
      <c r="J363" s="65"/>
      <c r="K363" s="112"/>
      <c r="M363" s="111"/>
      <c r="N363" s="110"/>
      <c r="O363" s="110"/>
      <c r="P363" s="110"/>
      <c r="AA363" s="88"/>
      <c r="AB363" s="88"/>
      <c r="AC363" s="88"/>
    </row>
    <row r="364" spans="1:29" s="108" customFormat="1">
      <c r="A364" s="93"/>
      <c r="B364" s="93"/>
      <c r="C364" s="109"/>
      <c r="D364" s="109"/>
      <c r="E364" s="109"/>
      <c r="F364" s="109"/>
      <c r="G364" s="109"/>
      <c r="H364" s="109"/>
      <c r="I364" s="109"/>
      <c r="J364" s="65"/>
      <c r="K364" s="112"/>
      <c r="M364" s="111"/>
      <c r="N364" s="110"/>
      <c r="O364" s="110"/>
      <c r="P364" s="110"/>
      <c r="AA364" s="88"/>
      <c r="AB364" s="88"/>
      <c r="AC364" s="88"/>
    </row>
    <row r="365" spans="1:29" s="108" customFormat="1">
      <c r="A365" s="93"/>
      <c r="B365" s="93"/>
      <c r="C365" s="109"/>
      <c r="D365" s="109"/>
      <c r="E365" s="109"/>
      <c r="F365" s="109"/>
      <c r="G365" s="109"/>
      <c r="H365" s="109"/>
      <c r="I365" s="109"/>
      <c r="J365" s="65"/>
      <c r="K365" s="112"/>
      <c r="M365" s="111"/>
      <c r="N365" s="110"/>
      <c r="O365" s="110"/>
      <c r="P365" s="110"/>
      <c r="AA365" s="88"/>
      <c r="AB365" s="88"/>
      <c r="AC365" s="88"/>
    </row>
    <row r="366" spans="1:29" s="108" customFormat="1">
      <c r="A366" s="93"/>
      <c r="B366" s="93"/>
      <c r="C366" s="109"/>
      <c r="D366" s="109"/>
      <c r="E366" s="109"/>
      <c r="F366" s="109"/>
      <c r="G366" s="109"/>
      <c r="H366" s="109"/>
      <c r="I366" s="109"/>
      <c r="J366" s="65"/>
      <c r="K366" s="112"/>
      <c r="M366" s="111"/>
      <c r="N366" s="110"/>
      <c r="O366" s="110"/>
      <c r="P366" s="110"/>
      <c r="AA366" s="88"/>
      <c r="AB366" s="88"/>
      <c r="AC366" s="88"/>
    </row>
    <row r="367" spans="1:29" s="108" customFormat="1">
      <c r="A367" s="93"/>
      <c r="B367" s="93"/>
      <c r="C367" s="109"/>
      <c r="D367" s="109"/>
      <c r="E367" s="109"/>
      <c r="F367" s="109"/>
      <c r="G367" s="109"/>
      <c r="H367" s="109"/>
      <c r="I367" s="109"/>
      <c r="J367" s="65"/>
      <c r="K367" s="112"/>
      <c r="M367" s="111"/>
      <c r="N367" s="110"/>
      <c r="O367" s="110"/>
      <c r="P367" s="110"/>
      <c r="AA367" s="88"/>
      <c r="AB367" s="88"/>
      <c r="AC367" s="88"/>
    </row>
    <row r="368" spans="1:29" s="108" customFormat="1">
      <c r="A368" s="93"/>
      <c r="B368" s="93"/>
      <c r="C368" s="109"/>
      <c r="D368" s="109"/>
      <c r="E368" s="109"/>
      <c r="F368" s="109"/>
      <c r="G368" s="109"/>
      <c r="H368" s="109"/>
      <c r="I368" s="109"/>
      <c r="J368" s="65"/>
      <c r="K368" s="112"/>
      <c r="M368" s="111"/>
      <c r="N368" s="110"/>
      <c r="O368" s="110"/>
      <c r="P368" s="110"/>
      <c r="AA368" s="88"/>
      <c r="AB368" s="88"/>
      <c r="AC368" s="88"/>
    </row>
    <row r="369" spans="1:29" s="108" customFormat="1">
      <c r="A369" s="93"/>
      <c r="B369" s="93"/>
      <c r="C369" s="109"/>
      <c r="D369" s="109"/>
      <c r="E369" s="109"/>
      <c r="F369" s="109"/>
      <c r="G369" s="109"/>
      <c r="H369" s="109"/>
      <c r="I369" s="109"/>
      <c r="J369" s="65"/>
      <c r="K369" s="112"/>
      <c r="M369" s="111"/>
      <c r="N369" s="110"/>
      <c r="O369" s="110"/>
      <c r="P369" s="110"/>
      <c r="AA369" s="88"/>
      <c r="AB369" s="88"/>
      <c r="AC369" s="88"/>
    </row>
    <row r="370" spans="1:29" s="108" customFormat="1">
      <c r="A370" s="93"/>
      <c r="B370" s="93"/>
      <c r="C370" s="109"/>
      <c r="D370" s="109"/>
      <c r="E370" s="109"/>
      <c r="F370" s="109"/>
      <c r="G370" s="109"/>
      <c r="H370" s="109"/>
      <c r="I370" s="109"/>
      <c r="J370" s="65"/>
      <c r="K370" s="112"/>
      <c r="M370" s="111"/>
      <c r="N370" s="110"/>
      <c r="O370" s="110"/>
      <c r="P370" s="110"/>
      <c r="AA370" s="88"/>
      <c r="AB370" s="88"/>
      <c r="AC370" s="88"/>
    </row>
    <row r="371" spans="1:29" s="108" customFormat="1">
      <c r="A371" s="93"/>
      <c r="B371" s="93"/>
      <c r="C371" s="109"/>
      <c r="D371" s="109"/>
      <c r="E371" s="109"/>
      <c r="F371" s="109"/>
      <c r="G371" s="109"/>
      <c r="H371" s="109"/>
      <c r="I371" s="109"/>
      <c r="J371" s="65"/>
      <c r="K371" s="112"/>
      <c r="M371" s="111"/>
      <c r="N371" s="110"/>
      <c r="O371" s="110"/>
      <c r="P371" s="110"/>
      <c r="AA371" s="88"/>
      <c r="AB371" s="88"/>
      <c r="AC371" s="88"/>
    </row>
    <row r="372" spans="1:29" s="108" customFormat="1">
      <c r="A372" s="93"/>
      <c r="B372" s="93"/>
      <c r="C372" s="109"/>
      <c r="D372" s="109"/>
      <c r="E372" s="109"/>
      <c r="F372" s="109"/>
      <c r="G372" s="109"/>
      <c r="H372" s="109"/>
      <c r="I372" s="109"/>
      <c r="J372" s="65"/>
      <c r="K372" s="112"/>
      <c r="M372" s="111"/>
      <c r="N372" s="110"/>
      <c r="O372" s="110"/>
      <c r="P372" s="110"/>
      <c r="AA372" s="88"/>
      <c r="AB372" s="88"/>
      <c r="AC372" s="88"/>
    </row>
    <row r="373" spans="1:29" s="108" customFormat="1">
      <c r="A373" s="93"/>
      <c r="B373" s="93"/>
      <c r="C373" s="109"/>
      <c r="D373" s="109"/>
      <c r="E373" s="109"/>
      <c r="F373" s="109"/>
      <c r="G373" s="109"/>
      <c r="H373" s="109"/>
      <c r="I373" s="109"/>
      <c r="J373" s="65"/>
      <c r="K373" s="112"/>
      <c r="M373" s="111"/>
      <c r="N373" s="110"/>
      <c r="O373" s="110"/>
      <c r="P373" s="110"/>
      <c r="AA373" s="88"/>
      <c r="AB373" s="88"/>
      <c r="AC373" s="88"/>
    </row>
    <row r="374" spans="1:29" s="108" customFormat="1">
      <c r="A374" s="93"/>
      <c r="B374" s="93"/>
      <c r="C374" s="109"/>
      <c r="D374" s="109"/>
      <c r="E374" s="109"/>
      <c r="F374" s="109"/>
      <c r="G374" s="109"/>
      <c r="H374" s="109"/>
      <c r="I374" s="109"/>
      <c r="J374" s="65"/>
      <c r="K374" s="112"/>
      <c r="M374" s="111"/>
      <c r="N374" s="110"/>
      <c r="O374" s="110"/>
      <c r="P374" s="110"/>
      <c r="AA374" s="88"/>
      <c r="AB374" s="88"/>
      <c r="AC374" s="88"/>
    </row>
    <row r="375" spans="1:29" s="108" customFormat="1">
      <c r="A375" s="93"/>
      <c r="B375" s="93"/>
      <c r="C375" s="109"/>
      <c r="D375" s="109"/>
      <c r="E375" s="109"/>
      <c r="F375" s="109"/>
      <c r="G375" s="109"/>
      <c r="H375" s="109"/>
      <c r="I375" s="109"/>
      <c r="J375" s="65"/>
      <c r="K375" s="112"/>
      <c r="M375" s="111"/>
      <c r="N375" s="110"/>
      <c r="O375" s="110"/>
      <c r="P375" s="110"/>
      <c r="AA375" s="88"/>
      <c r="AB375" s="88"/>
      <c r="AC375" s="88"/>
    </row>
    <row r="376" spans="1:29" s="108" customFormat="1">
      <c r="A376" s="93"/>
      <c r="B376" s="93"/>
      <c r="C376" s="109"/>
      <c r="D376" s="109"/>
      <c r="E376" s="109"/>
      <c r="F376" s="109"/>
      <c r="G376" s="109"/>
      <c r="H376" s="109"/>
      <c r="I376" s="109"/>
      <c r="J376" s="65"/>
      <c r="K376" s="112"/>
      <c r="M376" s="111"/>
      <c r="N376" s="110"/>
      <c r="O376" s="110"/>
      <c r="P376" s="110"/>
      <c r="AA376" s="88"/>
      <c r="AB376" s="88"/>
      <c r="AC376" s="88"/>
    </row>
    <row r="377" spans="1:29" s="108" customFormat="1">
      <c r="A377" s="93"/>
      <c r="B377" s="93"/>
      <c r="C377" s="109"/>
      <c r="D377" s="109"/>
      <c r="E377" s="109"/>
      <c r="F377" s="109"/>
      <c r="G377" s="109"/>
      <c r="H377" s="109"/>
      <c r="I377" s="109"/>
      <c r="J377" s="65"/>
      <c r="K377" s="112"/>
      <c r="M377" s="111"/>
      <c r="N377" s="110"/>
      <c r="O377" s="110"/>
      <c r="P377" s="110"/>
      <c r="AA377" s="88"/>
      <c r="AB377" s="88"/>
      <c r="AC377" s="88"/>
    </row>
    <row r="378" spans="1:29" s="108" customFormat="1">
      <c r="A378" s="93"/>
      <c r="B378" s="93"/>
      <c r="C378" s="109"/>
      <c r="D378" s="109"/>
      <c r="E378" s="109"/>
      <c r="F378" s="109"/>
      <c r="G378" s="109"/>
      <c r="H378" s="109"/>
      <c r="I378" s="109"/>
      <c r="J378" s="65"/>
      <c r="K378" s="112"/>
      <c r="M378" s="111"/>
      <c r="N378" s="110"/>
      <c r="O378" s="110"/>
      <c r="P378" s="110"/>
      <c r="AA378" s="88"/>
      <c r="AB378" s="88"/>
      <c r="AC378" s="88"/>
    </row>
    <row r="379" spans="1:29" s="108" customFormat="1">
      <c r="A379" s="93"/>
      <c r="B379" s="93"/>
      <c r="C379" s="109"/>
      <c r="D379" s="109"/>
      <c r="E379" s="109"/>
      <c r="F379" s="109"/>
      <c r="G379" s="109"/>
      <c r="H379" s="109"/>
      <c r="I379" s="109"/>
      <c r="J379" s="65"/>
      <c r="K379" s="112"/>
      <c r="M379" s="111"/>
      <c r="N379" s="110"/>
      <c r="O379" s="110"/>
      <c r="P379" s="110"/>
      <c r="AA379" s="88"/>
      <c r="AB379" s="88"/>
      <c r="AC379" s="88"/>
    </row>
    <row r="380" spans="1:29" s="108" customFormat="1">
      <c r="A380" s="93"/>
      <c r="B380" s="93"/>
      <c r="C380" s="109"/>
      <c r="D380" s="109"/>
      <c r="E380" s="109"/>
      <c r="F380" s="109"/>
      <c r="G380" s="109"/>
      <c r="H380" s="109"/>
      <c r="I380" s="109"/>
      <c r="J380" s="65"/>
      <c r="K380" s="112"/>
      <c r="M380" s="111"/>
      <c r="N380" s="110"/>
      <c r="O380" s="110"/>
      <c r="P380" s="110"/>
      <c r="AA380" s="88"/>
      <c r="AB380" s="88"/>
      <c r="AC380" s="88"/>
    </row>
    <row r="381" spans="1:29" s="108" customFormat="1">
      <c r="A381" s="93"/>
      <c r="B381" s="93"/>
      <c r="C381" s="109"/>
      <c r="D381" s="109"/>
      <c r="E381" s="109"/>
      <c r="F381" s="109"/>
      <c r="G381" s="109"/>
      <c r="H381" s="109"/>
      <c r="I381" s="109"/>
      <c r="J381" s="65"/>
      <c r="K381" s="112"/>
      <c r="M381" s="111"/>
      <c r="N381" s="110"/>
      <c r="O381" s="110"/>
      <c r="P381" s="110"/>
      <c r="AA381" s="88"/>
      <c r="AB381" s="88"/>
      <c r="AC381" s="88"/>
    </row>
  </sheetData>
  <sheetProtection formatCells="0" formatColumns="0" formatRows="0" insertRows="0" insertHyperlinks="0" deleteRows="0" sort="0" autoFilter="0" pivotTables="0"/>
  <protectedRanges>
    <protectedRange sqref="N118:N148" name="区域1_1_1_1_13_1_1"/>
    <protectedRange sqref="L342" name="区域1_1_1_1_3_1"/>
    <protectedRange sqref="M342" name="区域1_1_1_1_1_1_1_1_1_2_1"/>
    <protectedRange sqref="N343:N345 L343:L345" name="区域1_1_1_1_2"/>
    <protectedRange sqref="M343:M345" name="区域1_1_1_1_1_1_1"/>
    <protectedRange sqref="L136:L162" name="区域1_1_1_1_13_2_4_1"/>
    <protectedRange sqref="L163:L169" name="区域1_1_1_1_13_2_4_1_1"/>
    <protectedRange sqref="L170:L172" name="区域1_1_1_1_3_1_1"/>
    <protectedRange sqref="N114:N116" name="区域1_1_1_1_13_1_1_1"/>
    <protectedRange sqref="N58:N59" name="区域1_1_1_1_7_1_1_1"/>
    <protectedRange sqref="L83:L105 L41:L59" name="区域1_1_1_1_9_1_1_1_1_2"/>
    <protectedRange sqref="L81:L82" name="区域1_1_1_1_9_1_1_1_1_1_1_1"/>
    <protectedRange sqref="L40 L38" name="区域1_1_1_1_9_1_1_1_1_2_1"/>
    <protectedRange sqref="O36:O360" name="区域1_1_1_1_1_2"/>
    <protectedRange sqref="N255 N257 N253" name="区域1_1_1_1_11_1_1_1"/>
    <protectedRange sqref="N254 N256 N258" name="区域1_1_1_1_7_1_2_1"/>
    <protectedRange sqref="N337:N339" name="区域1_1_1_1_13_1_1_1_1"/>
    <protectedRange sqref="N276" name="区域1_1_1_1_7_1_1_1_1"/>
    <protectedRange sqref="L253:L276 L304:L327" name="区域1_1_1_1_9_1_1_1_1_2_1_1"/>
    <protectedRange sqref="L251:L252 L302:L303" name="区域1_1_1_1_9_1_1_1_1_1_1_1_1"/>
    <protectedRange sqref="N251" name="区域1_1_1_1_11_1_1_1_1_1"/>
    <protectedRange sqref="N252" name="区域1_1_1_1_7_1_1_1_1_1"/>
    <protectedRange sqref="L362:L381" name="区域1_1_1_1_2_1"/>
    <protectedRange sqref="M362:M381" name="区域1_1_1_1_1_1_1_1_2"/>
    <protectedRange sqref="N362:N381" name="区域1_1_1_1_2_1_1_1"/>
    <protectedRange sqref="A3:A4 K5:K35 J3:L4" name="区域1_1_1_1_2_1_1_1_1"/>
    <protectedRange sqref="S3:S4" name="区域1_1_1_1_5_1_1_1"/>
    <protectedRange sqref="M3:M4" name="区域1_1_1_1_1_1_1_1_1_1"/>
    <protectedRange sqref="P5:R35 A5:J35 L5:L35" name="区域1_1_1_1_2_1_1_1_1_1"/>
    <protectedRange sqref="S5:S35" name="区域1_1_1_1_5_1_1_1_1"/>
    <protectedRange sqref="T5:T35" name="区域1_1_1_1_7_1_1_1_2"/>
    <protectedRange sqref="M5:M35 N16:O16" name="区域1_1_1_1_1_1_1_1_1"/>
    <protectedRange sqref="N17:O17 N19:O19 N21:O21 N23:O23 N25:O25 N27:O27 N29:O29 N31:O31 N33:O33 N35:O35" name="区域1_1_1_1_1_1_1_1_1_1_1"/>
  </protectedRanges>
  <phoneticPr fontId="5" type="noConversion"/>
  <conditionalFormatting sqref="M3:M4">
    <cfRule type="cellIs" dxfId="10" priority="11" stopIfTrue="1" operator="equal">
      <formula>"""001"""</formula>
    </cfRule>
  </conditionalFormatting>
  <conditionalFormatting sqref="M34:M35">
    <cfRule type="cellIs" dxfId="9" priority="1" stopIfTrue="1" operator="equal">
      <formula>"""001"""</formula>
    </cfRule>
  </conditionalFormatting>
  <conditionalFormatting sqref="M24:M25">
    <cfRule type="cellIs" dxfId="8" priority="6" stopIfTrue="1" operator="equal">
      <formula>"""001"""</formula>
    </cfRule>
  </conditionalFormatting>
  <conditionalFormatting sqref="M26:M27">
    <cfRule type="cellIs" dxfId="7" priority="5" stopIfTrue="1" operator="equal">
      <formula>"""001"""</formula>
    </cfRule>
  </conditionalFormatting>
  <conditionalFormatting sqref="M28:M29">
    <cfRule type="cellIs" dxfId="6" priority="4" stopIfTrue="1" operator="equal">
      <formula>"""001"""</formula>
    </cfRule>
  </conditionalFormatting>
  <conditionalFormatting sqref="M30:M31">
    <cfRule type="cellIs" dxfId="5" priority="3" stopIfTrue="1" operator="equal">
      <formula>"""001"""</formula>
    </cfRule>
  </conditionalFormatting>
  <conditionalFormatting sqref="M32:M33">
    <cfRule type="cellIs" dxfId="4" priority="2" stopIfTrue="1" operator="equal">
      <formula>"""001"""</formula>
    </cfRule>
  </conditionalFormatting>
  <conditionalFormatting sqref="M5:M17">
    <cfRule type="cellIs" dxfId="3" priority="10" stopIfTrue="1" operator="equal">
      <formula>"""001"""</formula>
    </cfRule>
  </conditionalFormatting>
  <conditionalFormatting sqref="M18:M19">
    <cfRule type="cellIs" dxfId="2" priority="9" stopIfTrue="1" operator="equal">
      <formula>"""001"""</formula>
    </cfRule>
  </conditionalFormatting>
  <conditionalFormatting sqref="M20:M21">
    <cfRule type="cellIs" dxfId="1" priority="8" stopIfTrue="1" operator="equal">
      <formula>"""001"""</formula>
    </cfRule>
  </conditionalFormatting>
  <conditionalFormatting sqref="M22:M23">
    <cfRule type="cellIs" dxfId="0" priority="7" stopIfTrue="1" operator="equal">
      <formula>"""001"""</formula>
    </cfRule>
  </conditionalFormatting>
  <dataValidations count="1">
    <dataValidation type="custom" allowBlank="1" showInputMessage="1" showErrorMessage="1" errorTitle="注意：" error="摘要长度不能超过25码！" sqref="L140:L152 L167:L277 L155:L165 L113:L137 L66:L106 L336:L1048576 L283:L328 L1:L60" xr:uid="{00000000-0002-0000-0100-000000000000}">
      <formula1>LENB(L1)&lt;26</formula1>
    </dataValidation>
  </dataValidations>
  <pageMargins left="0.5" right="0.5" top="0.5" bottom="0.5" header="0.5" footer="0.25"/>
  <pageSetup paperSize="9" scale="54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autoPict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1485900</xdr:colOff>
                <xdr:row>0</xdr:row>
                <xdr:rowOff>352425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autoPict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1485900</xdr:colOff>
                <xdr:row>0</xdr:row>
                <xdr:rowOff>723900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1524000</xdr:colOff>
                <xdr:row>0</xdr:row>
                <xdr:rowOff>28575</xdr:rowOff>
              </from>
              <to>
                <xdr:col>13</xdr:col>
                <xdr:colOff>838200</xdr:colOff>
                <xdr:row>0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check">
            <anchor moveWithCells="1" sizeWithCells="1">
              <from>
                <xdr:col>11</xdr:col>
                <xdr:colOff>1524000</xdr:colOff>
                <xdr:row>0</xdr:row>
                <xdr:rowOff>371475</xdr:rowOff>
              </from>
              <to>
                <xdr:col>13</xdr:col>
                <xdr:colOff>838200</xdr:colOff>
                <xdr:row>0</xdr:row>
                <xdr:rowOff>733425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40401.676759259259</v>
      </c>
      <c r="D30" s="7" t="s">
        <v>110</v>
      </c>
      <c r="E30" s="9" t="s">
        <v>111</v>
      </c>
      <c r="F30" s="9" t="s">
        <v>111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42268.689699074072</v>
      </c>
      <c r="D32" s="7" t="s">
        <v>118</v>
      </c>
      <c r="E32" s="9" t="s">
        <v>119</v>
      </c>
      <c r="F32" s="9" t="s">
        <v>120</v>
      </c>
    </row>
    <row r="33" spans="1:4">
      <c r="A33" t="s">
        <v>113</v>
      </c>
      <c r="B33" s="7" t="s">
        <v>114</v>
      </c>
      <c r="C33" s="5">
        <v>41243.444756944446</v>
      </c>
      <c r="D33" t="s">
        <v>115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C9"/>
  <sheetViews>
    <sheetView workbookViewId="0">
      <selection activeCell="H26" sqref="H26:H27"/>
    </sheetView>
  </sheetViews>
  <sheetFormatPr defaultRowHeight="12.75"/>
  <cols>
    <col min="10" max="10" width="14.5703125" customWidth="1"/>
    <col min="11" max="11" width="12.42578125" customWidth="1"/>
    <col min="12" max="12" width="24.42578125" customWidth="1"/>
    <col min="14" max="14" width="17.42578125" customWidth="1"/>
    <col min="15" max="15" width="19.85546875" customWidth="1"/>
  </cols>
  <sheetData>
    <row r="1" spans="1:29" s="64" customFormat="1" ht="27">
      <c r="A1" s="71" t="s">
        <v>11</v>
      </c>
      <c r="B1" s="56" t="s">
        <v>70</v>
      </c>
      <c r="C1" s="57" t="s">
        <v>71</v>
      </c>
      <c r="D1" s="57" t="s">
        <v>72</v>
      </c>
      <c r="E1" s="57" t="s">
        <v>73</v>
      </c>
      <c r="F1" s="57" t="s">
        <v>74</v>
      </c>
      <c r="G1" s="57" t="s">
        <v>75</v>
      </c>
      <c r="H1" s="57" t="s">
        <v>76</v>
      </c>
      <c r="I1" s="57" t="s">
        <v>77</v>
      </c>
      <c r="J1" s="58" t="s">
        <v>108</v>
      </c>
      <c r="K1" s="56" t="s">
        <v>78</v>
      </c>
      <c r="L1" s="59" t="s">
        <v>79</v>
      </c>
      <c r="M1" s="59" t="s">
        <v>80</v>
      </c>
      <c r="N1" s="60" t="s">
        <v>81</v>
      </c>
      <c r="O1" s="60" t="s">
        <v>82</v>
      </c>
      <c r="P1" s="61" t="s">
        <v>71</v>
      </c>
      <c r="Q1" s="61" t="s">
        <v>72</v>
      </c>
      <c r="R1" s="61" t="s">
        <v>73</v>
      </c>
      <c r="S1" s="61" t="s">
        <v>74</v>
      </c>
      <c r="T1" s="61" t="s">
        <v>75</v>
      </c>
      <c r="U1" s="61" t="s">
        <v>76</v>
      </c>
      <c r="V1" s="61" t="s">
        <v>77</v>
      </c>
      <c r="W1" s="62" t="s">
        <v>83</v>
      </c>
      <c r="X1" s="62" t="s">
        <v>84</v>
      </c>
      <c r="Y1" s="63" t="s">
        <v>85</v>
      </c>
      <c r="AA1" s="89"/>
      <c r="AB1" s="89"/>
      <c r="AC1" s="89"/>
    </row>
    <row r="2" spans="1:29" s="55" customFormat="1" ht="14.25">
      <c r="A2" s="86" t="s">
        <v>136</v>
      </c>
      <c r="B2" s="83"/>
      <c r="C2" s="83"/>
      <c r="D2" s="83"/>
      <c r="E2" s="83"/>
      <c r="F2" s="83"/>
      <c r="G2" s="83"/>
      <c r="H2" s="83"/>
      <c r="I2" s="83"/>
      <c r="J2" s="83"/>
      <c r="K2" s="83"/>
      <c r="M2" s="92" t="s">
        <v>133</v>
      </c>
      <c r="N2" s="90">
        <v>-5689.38</v>
      </c>
      <c r="O2" s="90" t="e">
        <f>-凭证录入!#REF!-凭证录入!#REF!</f>
        <v>#REF!</v>
      </c>
      <c r="P2" s="90"/>
      <c r="Y2" s="85" t="s">
        <v>128</v>
      </c>
      <c r="AA2" s="88"/>
      <c r="AB2" s="88"/>
      <c r="AC2" s="88"/>
    </row>
    <row r="3" spans="1:29" s="55" customFormat="1" ht="14.25">
      <c r="A3" s="93" t="s">
        <v>135</v>
      </c>
      <c r="B3" s="83"/>
      <c r="C3" s="83"/>
      <c r="D3" s="83"/>
      <c r="E3" s="83"/>
      <c r="F3" s="83"/>
      <c r="G3" s="83"/>
      <c r="H3" s="83"/>
      <c r="I3" s="83"/>
      <c r="J3" s="83"/>
      <c r="K3" s="83"/>
      <c r="M3" s="92" t="s">
        <v>134</v>
      </c>
      <c r="N3" s="90">
        <v>5689.38</v>
      </c>
      <c r="O3" s="90">
        <v>37250.080000000002</v>
      </c>
      <c r="P3" s="90"/>
      <c r="Y3" s="85" t="s">
        <v>128</v>
      </c>
      <c r="AA3" s="88"/>
      <c r="AB3" s="88"/>
      <c r="AC3" s="88"/>
    </row>
    <row r="4" spans="1:29" s="55" customFormat="1" ht="14.25">
      <c r="A4" s="86" t="s">
        <v>130</v>
      </c>
      <c r="B4" s="83"/>
      <c r="C4" s="83"/>
      <c r="D4" s="83"/>
      <c r="E4" s="83"/>
      <c r="F4" s="83"/>
      <c r="G4" s="83"/>
      <c r="H4" s="83"/>
      <c r="I4" s="83"/>
      <c r="J4" s="83" t="s">
        <v>129</v>
      </c>
      <c r="K4" s="84">
        <v>42429</v>
      </c>
      <c r="L4" s="87" t="s">
        <v>131</v>
      </c>
      <c r="M4" s="91" t="s">
        <v>132</v>
      </c>
      <c r="N4" s="90">
        <v>-2485.54</v>
      </c>
      <c r="O4" s="90">
        <v>-16273.58</v>
      </c>
      <c r="P4" s="90"/>
      <c r="R4" s="55" t="s">
        <v>127</v>
      </c>
      <c r="Y4" s="85" t="s">
        <v>128</v>
      </c>
      <c r="AA4" s="88"/>
      <c r="AB4" s="88"/>
      <c r="AC4" s="88"/>
    </row>
    <row r="5" spans="1:29" s="55" customFormat="1" ht="14.25">
      <c r="A5" s="86" t="s">
        <v>130</v>
      </c>
      <c r="B5" s="83"/>
      <c r="C5" s="83"/>
      <c r="D5" s="83"/>
      <c r="E5" s="83"/>
      <c r="F5" s="83"/>
      <c r="G5" s="83"/>
      <c r="H5" s="83"/>
      <c r="I5" s="83"/>
      <c r="J5" s="83" t="s">
        <v>129</v>
      </c>
      <c r="K5" s="84">
        <v>42429</v>
      </c>
      <c r="L5" s="87" t="s">
        <v>131</v>
      </c>
      <c r="M5" s="91" t="s">
        <v>132</v>
      </c>
      <c r="N5" s="90">
        <v>-3203.84</v>
      </c>
      <c r="O5" s="90">
        <v>-20976.5</v>
      </c>
      <c r="P5" s="90"/>
      <c r="R5" s="55" t="s">
        <v>127</v>
      </c>
      <c r="Y5" s="85" t="s">
        <v>128</v>
      </c>
      <c r="AA5" s="88"/>
      <c r="AB5" s="88"/>
      <c r="AC5" s="88"/>
    </row>
    <row r="6" spans="1:29" s="55" customFormat="1" ht="14.25">
      <c r="A6" s="86" t="s">
        <v>130</v>
      </c>
      <c r="B6" s="83"/>
      <c r="C6" s="83"/>
      <c r="D6" s="83"/>
      <c r="E6" s="83"/>
      <c r="F6" s="83"/>
      <c r="G6" s="83"/>
      <c r="H6" s="83"/>
      <c r="I6" s="83"/>
      <c r="J6" s="83" t="s">
        <v>129</v>
      </c>
      <c r="K6" s="84">
        <v>42429</v>
      </c>
      <c r="L6" s="87" t="s">
        <v>131</v>
      </c>
      <c r="M6" s="92" t="s">
        <v>134</v>
      </c>
      <c r="N6" s="90">
        <v>16273.58</v>
      </c>
      <c r="O6" s="90">
        <f>+N6</f>
        <v>16273.58</v>
      </c>
      <c r="P6" s="90"/>
      <c r="R6" s="55" t="s">
        <v>127</v>
      </c>
      <c r="Y6" s="85" t="s">
        <v>128</v>
      </c>
      <c r="AA6" s="88"/>
      <c r="AB6" s="88"/>
      <c r="AC6" s="88"/>
    </row>
    <row r="7" spans="1:29" s="55" customFormat="1" ht="14.25">
      <c r="A7" s="86" t="s">
        <v>130</v>
      </c>
      <c r="B7" s="83"/>
      <c r="C7" s="83"/>
      <c r="D7" s="83"/>
      <c r="E7" s="83"/>
      <c r="F7" s="83"/>
      <c r="G7" s="83"/>
      <c r="H7" s="83"/>
      <c r="I7" s="83"/>
      <c r="J7" s="83" t="s">
        <v>129</v>
      </c>
      <c r="K7" s="84">
        <v>42429</v>
      </c>
      <c r="L7" s="87" t="s">
        <v>131</v>
      </c>
      <c r="M7" s="92" t="s">
        <v>134</v>
      </c>
      <c r="N7" s="90">
        <v>20976.5</v>
      </c>
      <c r="O7" s="90">
        <f>+N7</f>
        <v>20976.5</v>
      </c>
      <c r="P7" s="90"/>
      <c r="R7" s="55" t="s">
        <v>127</v>
      </c>
      <c r="Y7" s="85" t="s">
        <v>128</v>
      </c>
      <c r="AA7" s="88"/>
      <c r="AB7" s="88"/>
      <c r="AC7" s="88"/>
    </row>
    <row r="8" spans="1:29" s="55" customFormat="1" ht="14.25">
      <c r="A8" s="86" t="s">
        <v>136</v>
      </c>
      <c r="B8" s="83"/>
      <c r="C8" s="83"/>
      <c r="D8" s="83"/>
      <c r="E8" s="83"/>
      <c r="F8" s="83"/>
      <c r="G8" s="83"/>
      <c r="H8" s="83"/>
      <c r="I8" s="83"/>
      <c r="J8" s="83"/>
      <c r="K8" s="83"/>
      <c r="M8" s="92" t="s">
        <v>133</v>
      </c>
      <c r="N8" s="90">
        <v>5689.38</v>
      </c>
      <c r="O8" s="90">
        <v>37250.080000000002</v>
      </c>
      <c r="P8" s="90"/>
      <c r="Y8" s="85" t="s">
        <v>128</v>
      </c>
      <c r="AA8" s="88"/>
      <c r="AB8" s="88"/>
      <c r="AC8" s="88"/>
    </row>
    <row r="9" spans="1:29" s="55" customFormat="1" ht="14.25">
      <c r="A9" s="86" t="s">
        <v>136</v>
      </c>
      <c r="B9" s="83"/>
      <c r="C9" s="83"/>
      <c r="D9" s="83"/>
      <c r="E9" s="83"/>
      <c r="F9" s="83"/>
      <c r="G9" s="83"/>
      <c r="H9" s="83"/>
      <c r="I9" s="83"/>
      <c r="J9" s="83"/>
      <c r="K9" s="83"/>
      <c r="M9" s="92" t="s">
        <v>134</v>
      </c>
      <c r="N9" s="90">
        <v>-37250.080000000002</v>
      </c>
      <c r="O9" s="90" t="e">
        <f>-凭证录入!#REF!-凭证录入!#REF!</f>
        <v>#REF!</v>
      </c>
      <c r="P9" s="90"/>
      <c r="Y9" s="85" t="s">
        <v>128</v>
      </c>
      <c r="AA9" s="88"/>
      <c r="AB9" s="88"/>
      <c r="AC9" s="88"/>
    </row>
  </sheetData>
  <protectedRanges>
    <protectedRange sqref="N2:N3 K2:L3 L4:L7 N8:N9 K8:L9" name="区域1_1_1_1"/>
    <protectedRange sqref="O2:O9" name="区域1_1_1_1_1"/>
    <protectedRange sqref="J4:K7" name="区域1_1_1_1_2"/>
  </protectedRanges>
  <phoneticPr fontId="5" type="noConversion"/>
  <dataValidations count="1">
    <dataValidation type="custom" allowBlank="1" showInputMessage="1" showErrorMessage="1" errorTitle="注意：" error="摘要长度不能超过25码！" sqref="L1:L9" xr:uid="{00000000-0002-0000-0300-000000000000}">
      <formula1>LENB(L1)&lt;26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Parameters</vt:lpstr>
      <vt:lpstr>凭证录入</vt:lpstr>
      <vt:lpstr>updated</vt:lpstr>
      <vt:lpstr>ERROR_086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2010-06-08T03:23:49Z</cp:lastPrinted>
  <dcterms:created xsi:type="dcterms:W3CDTF">1996-10-14T23:33:28Z</dcterms:created>
  <dcterms:modified xsi:type="dcterms:W3CDTF">2018-06-11T10:20:23Z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