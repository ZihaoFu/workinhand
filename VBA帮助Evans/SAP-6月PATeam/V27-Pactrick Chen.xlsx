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Sheet1!$A$2:$R$101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00" i="1"/>
</calcChain>
</file>

<file path=xl/sharedStrings.xml><?xml version="1.0" encoding="utf-8"?>
<sst xmlns="http://schemas.openxmlformats.org/spreadsheetml/2006/main" count="790" uniqueCount="72">
  <si>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</si>
  <si>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</si>
  <si>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</si>
  <si>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</si>
  <si>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</si>
  <si>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</si>
  <si>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</si>
  <si>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</si>
  <si>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</si>
  <si>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</si>
  <si>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</si>
  <si>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</si>
  <si>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</si>
  <si>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</si>
  <si>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</si>
  <si>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</si>
  <si>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</si>
  <si>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</si>
  <si>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</si>
  <si>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</si>
  <si>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</t>
  </si>
  <si>
    <t>传票号码</t>
  </si>
  <si>
    <t>23100113</t>
  </si>
  <si>
    <t>其他应付-保险-其他应付</t>
  </si>
  <si>
    <t>13060105</t>
  </si>
  <si>
    <t>其他应收款-保险-暂存代收保费</t>
  </si>
  <si>
    <t>230103</t>
  </si>
  <si>
    <t>预收保费-手工</t>
  </si>
  <si>
    <t>广州</t>
  </si>
  <si>
    <t>AB18060019</t>
  </si>
  <si>
    <t>1501</t>
  </si>
  <si>
    <t>a_ed("010+020+030+031+032+033+034+035+036+037+038+039+03A+03B+03C+03D+03E+040+041+042+043+044+045+046+047+048+049+04A","A","2018006","","PA","K=JnlSource,F='V27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</si>
  <si>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佛山</t>
  </si>
  <si>
    <t>1102010148</t>
  </si>
  <si>
    <t>活期-RMB-工行-中六3012-付-中介</t>
  </si>
  <si>
    <t>V27</t>
  </si>
  <si>
    <t>1102</t>
  </si>
  <si>
    <t>调整FS Bank to GZ</t>
  </si>
  <si>
    <t>1506</t>
  </si>
  <si>
    <t>1507</t>
  </si>
  <si>
    <t>1508</t>
  </si>
  <si>
    <t>1509</t>
  </si>
  <si>
    <t>1510</t>
  </si>
  <si>
    <t>2503</t>
  </si>
  <si>
    <t>1102010163</t>
  </si>
  <si>
    <t>活期-RMB-工行-中六5245-付-退费</t>
  </si>
  <si>
    <t>11020101B0</t>
  </si>
  <si>
    <t>活期存款-RMB-工行-上海3596</t>
  </si>
  <si>
    <t>15010403</t>
  </si>
  <si>
    <t>内部往来-资产-广东-佛山</t>
  </si>
  <si>
    <t>AB18060042</t>
  </si>
  <si>
    <t>1107</t>
  </si>
  <si>
    <t>Adj建行3012</t>
  </si>
  <si>
    <t>民生失败钱退回</t>
  </si>
  <si>
    <t>AB18060053</t>
  </si>
  <si>
    <t>1102010166</t>
  </si>
  <si>
    <t>活期-RMB-工行-中六5369-收-保费</t>
  </si>
  <si>
    <t>佰宝利塑业</t>
  </si>
  <si>
    <t>大沥华勇电工</t>
  </si>
  <si>
    <t>南海君基表业</t>
  </si>
  <si>
    <t>资金池时间性差异暂调</t>
  </si>
  <si>
    <t>资金池外失败</t>
  </si>
  <si>
    <t>AB18060041</t>
  </si>
  <si>
    <t>3596-L699638964暂挂</t>
  </si>
  <si>
    <t>AB18060045</t>
  </si>
  <si>
    <t>1102010420</t>
  </si>
  <si>
    <t>活期-RMB-建行-东环3591-付-退费</t>
  </si>
  <si>
    <t>民生失败L005598096</t>
  </si>
  <si>
    <t>民生失败L701504957</t>
  </si>
  <si>
    <t>民生失败L703516891</t>
  </si>
  <si>
    <t>民生失败L704537109</t>
  </si>
  <si>
    <t>民生失败L705145590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</si>
</sst>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43290.480729166666</v>
      </c>
      <c r="D1" t="s">
        <v>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140625" customWidth="1"/>
    <col min="3" max="3" width="32.57031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2.85546875" customWidth="1"/>
    <col min="16" max="16" width="10.140625" customWidth="1"/>
    <col min="17" max="17" width="11.42578125" customWidth="1"/>
    <col min="18" max="18" width="14.28515625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21</v>
      </c>
      <c r="R1" s="3" t="s">
        <v>14</v>
      </c>
    </row>
    <row r="2" spans="1:18">
      <c r="A2" t="s">
        <v>32</v>
      </c>
      <c r="B2" t="s">
        <v>33</v>
      </c>
      <c r="C2" t="s">
        <v>34</v>
      </c>
      <c r="D2" t="s">
        <v>35</v>
      </c>
      <c r="E2" t="s">
        <v>36</v>
      </c>
      <c r="N2" t="s">
        <v>16</v>
      </c>
      <c r="O2" t="s">
        <v>37</v>
      </c>
      <c r="P2" s="7">
        <v>43281</v>
      </c>
      <c r="Q2" t="s">
        <v>29</v>
      </c>
      <c r="R2" s="4">
        <v>4433312.6900000004</v>
      </c>
    </row>
    <row r="3" spans="1:18">
      <c r="A3" t="s">
        <v>32</v>
      </c>
      <c r="B3" t="s">
        <v>33</v>
      </c>
      <c r="C3" t="s">
        <v>34</v>
      </c>
      <c r="D3" t="s">
        <v>35</v>
      </c>
      <c r="E3" t="s">
        <v>30</v>
      </c>
      <c r="N3" t="s">
        <v>16</v>
      </c>
      <c r="O3" t="s">
        <v>37</v>
      </c>
      <c r="P3" s="7">
        <v>43281</v>
      </c>
      <c r="Q3" t="s">
        <v>29</v>
      </c>
      <c r="R3" s="4">
        <v>4186209.04</v>
      </c>
    </row>
    <row r="4" spans="1:18">
      <c r="A4" t="s">
        <v>32</v>
      </c>
      <c r="B4" t="s">
        <v>33</v>
      </c>
      <c r="C4" t="s">
        <v>34</v>
      </c>
      <c r="D4" t="s">
        <v>35</v>
      </c>
      <c r="E4" t="s">
        <v>38</v>
      </c>
      <c r="N4" t="s">
        <v>16</v>
      </c>
      <c r="O4" t="s">
        <v>37</v>
      </c>
      <c r="P4" s="7">
        <v>43281</v>
      </c>
      <c r="Q4" t="s">
        <v>29</v>
      </c>
      <c r="R4" s="4">
        <v>5020692.53</v>
      </c>
    </row>
    <row r="5" spans="1:18">
      <c r="A5" t="s">
        <v>32</v>
      </c>
      <c r="B5" t="s">
        <v>33</v>
      </c>
      <c r="C5" t="s">
        <v>34</v>
      </c>
      <c r="D5" t="s">
        <v>35</v>
      </c>
      <c r="E5" t="s">
        <v>39</v>
      </c>
      <c r="N5" t="s">
        <v>16</v>
      </c>
      <c r="O5" t="s">
        <v>37</v>
      </c>
      <c r="P5" s="7">
        <v>43281</v>
      </c>
      <c r="Q5" t="s">
        <v>29</v>
      </c>
      <c r="R5" s="4">
        <v>2980043.94</v>
      </c>
    </row>
    <row r="6" spans="1:18">
      <c r="A6" t="s">
        <v>32</v>
      </c>
      <c r="B6" t="s">
        <v>33</v>
      </c>
      <c r="C6" t="s">
        <v>34</v>
      </c>
      <c r="D6" t="s">
        <v>35</v>
      </c>
      <c r="E6" t="s">
        <v>40</v>
      </c>
      <c r="N6" t="s">
        <v>16</v>
      </c>
      <c r="O6" t="s">
        <v>37</v>
      </c>
      <c r="P6" s="7">
        <v>43281</v>
      </c>
      <c r="Q6" t="s">
        <v>29</v>
      </c>
      <c r="R6" s="4">
        <v>7776795.8099999996</v>
      </c>
    </row>
    <row r="7" spans="1:18">
      <c r="A7" t="s">
        <v>32</v>
      </c>
      <c r="B7" t="s">
        <v>33</v>
      </c>
      <c r="C7" t="s">
        <v>34</v>
      </c>
      <c r="D7" t="s">
        <v>35</v>
      </c>
      <c r="E7" t="s">
        <v>41</v>
      </c>
      <c r="N7" t="s">
        <v>16</v>
      </c>
      <c r="O7" t="s">
        <v>37</v>
      </c>
      <c r="P7" s="7">
        <v>43281</v>
      </c>
      <c r="Q7" t="s">
        <v>29</v>
      </c>
      <c r="R7" s="4">
        <v>5463006.6200000001</v>
      </c>
    </row>
    <row r="8" spans="1:18">
      <c r="A8" t="s">
        <v>32</v>
      </c>
      <c r="B8" t="s">
        <v>33</v>
      </c>
      <c r="C8" t="s">
        <v>34</v>
      </c>
      <c r="D8" t="s">
        <v>35</v>
      </c>
      <c r="E8" t="s">
        <v>42</v>
      </c>
      <c r="N8" t="s">
        <v>16</v>
      </c>
      <c r="O8" t="s">
        <v>37</v>
      </c>
      <c r="P8" s="7">
        <v>43281</v>
      </c>
      <c r="Q8" t="s">
        <v>29</v>
      </c>
      <c r="R8" s="4">
        <v>106415.17</v>
      </c>
    </row>
    <row r="9" spans="1:18">
      <c r="A9" t="s">
        <v>32</v>
      </c>
      <c r="B9" t="s">
        <v>33</v>
      </c>
      <c r="C9" t="s">
        <v>34</v>
      </c>
      <c r="D9" t="s">
        <v>35</v>
      </c>
      <c r="E9" t="s">
        <v>43</v>
      </c>
      <c r="N9" t="s">
        <v>16</v>
      </c>
      <c r="O9" t="s">
        <v>37</v>
      </c>
      <c r="P9" s="7">
        <v>43281</v>
      </c>
      <c r="Q9" t="s">
        <v>29</v>
      </c>
      <c r="R9" s="4">
        <v>3597144.4</v>
      </c>
    </row>
    <row r="10" spans="1:18">
      <c r="A10" t="s">
        <v>32</v>
      </c>
      <c r="B10" t="s">
        <v>44</v>
      </c>
      <c r="C10" t="s">
        <v>45</v>
      </c>
      <c r="D10" t="s">
        <v>35</v>
      </c>
      <c r="E10" t="s">
        <v>36</v>
      </c>
      <c r="N10" t="s">
        <v>15</v>
      </c>
      <c r="O10" t="s">
        <v>37</v>
      </c>
      <c r="P10" s="7">
        <v>43281</v>
      </c>
      <c r="Q10" t="s">
        <v>29</v>
      </c>
      <c r="R10" s="4">
        <v>-4438.91</v>
      </c>
    </row>
    <row r="11" spans="1:18">
      <c r="A11" t="s">
        <v>32</v>
      </c>
      <c r="B11" t="s">
        <v>44</v>
      </c>
      <c r="C11" t="s">
        <v>45</v>
      </c>
      <c r="D11" t="s">
        <v>35</v>
      </c>
      <c r="E11" t="s">
        <v>36</v>
      </c>
      <c r="N11" t="s">
        <v>16</v>
      </c>
      <c r="O11" t="s">
        <v>37</v>
      </c>
      <c r="P11" s="7">
        <v>43281</v>
      </c>
      <c r="Q11" t="s">
        <v>29</v>
      </c>
      <c r="R11" s="4">
        <v>89887.45</v>
      </c>
    </row>
    <row r="12" spans="1:18">
      <c r="A12" t="s">
        <v>32</v>
      </c>
      <c r="B12" t="s">
        <v>44</v>
      </c>
      <c r="C12" t="s">
        <v>45</v>
      </c>
      <c r="D12" t="s">
        <v>35</v>
      </c>
      <c r="E12" t="s">
        <v>30</v>
      </c>
      <c r="N12" t="s">
        <v>16</v>
      </c>
      <c r="O12" t="s">
        <v>37</v>
      </c>
      <c r="P12" s="7">
        <v>43281</v>
      </c>
      <c r="Q12" t="s">
        <v>29</v>
      </c>
      <c r="R12" s="4">
        <v>429526.4</v>
      </c>
    </row>
    <row r="13" spans="1:18">
      <c r="A13" t="s">
        <v>32</v>
      </c>
      <c r="B13" t="s">
        <v>46</v>
      </c>
      <c r="C13" t="s">
        <v>47</v>
      </c>
      <c r="D13" t="s">
        <v>35</v>
      </c>
      <c r="E13" t="s">
        <v>36</v>
      </c>
      <c r="N13" t="s">
        <v>16</v>
      </c>
      <c r="O13" t="s">
        <v>37</v>
      </c>
      <c r="P13" s="7">
        <v>43281</v>
      </c>
      <c r="Q13" t="s">
        <v>29</v>
      </c>
      <c r="R13" s="4">
        <v>25138</v>
      </c>
    </row>
    <row r="14" spans="1:18">
      <c r="A14" t="s">
        <v>32</v>
      </c>
      <c r="B14" t="s">
        <v>46</v>
      </c>
      <c r="C14" t="s">
        <v>47</v>
      </c>
      <c r="D14" t="s">
        <v>35</v>
      </c>
      <c r="E14" t="s">
        <v>30</v>
      </c>
      <c r="N14" t="s">
        <v>16</v>
      </c>
      <c r="O14" t="s">
        <v>37</v>
      </c>
      <c r="P14" s="7">
        <v>43281</v>
      </c>
      <c r="Q14" t="s">
        <v>29</v>
      </c>
      <c r="R14" s="4">
        <v>1002772.72</v>
      </c>
    </row>
    <row r="15" spans="1:18">
      <c r="A15" t="s">
        <v>32</v>
      </c>
      <c r="B15" t="s">
        <v>46</v>
      </c>
      <c r="C15" t="s">
        <v>47</v>
      </c>
      <c r="D15" t="s">
        <v>35</v>
      </c>
      <c r="E15" t="s">
        <v>38</v>
      </c>
      <c r="N15" t="s">
        <v>16</v>
      </c>
      <c r="O15" t="s">
        <v>37</v>
      </c>
      <c r="P15" s="7">
        <v>43281</v>
      </c>
      <c r="Q15" t="s">
        <v>29</v>
      </c>
      <c r="R15" s="4">
        <v>408677.59</v>
      </c>
    </row>
    <row r="16" spans="1:18">
      <c r="A16" t="s">
        <v>32</v>
      </c>
      <c r="B16" t="s">
        <v>46</v>
      </c>
      <c r="C16" t="s">
        <v>47</v>
      </c>
      <c r="D16" t="s">
        <v>35</v>
      </c>
      <c r="E16" t="s">
        <v>43</v>
      </c>
      <c r="N16" t="s">
        <v>16</v>
      </c>
      <c r="O16" t="s">
        <v>37</v>
      </c>
      <c r="P16" s="7">
        <v>43281</v>
      </c>
      <c r="Q16" t="s">
        <v>29</v>
      </c>
      <c r="R16" s="4">
        <v>2462228.31</v>
      </c>
    </row>
    <row r="17" spans="1:18">
      <c r="A17" t="s">
        <v>32</v>
      </c>
      <c r="B17" t="s">
        <v>48</v>
      </c>
      <c r="C17" t="s">
        <v>49</v>
      </c>
      <c r="D17" t="s">
        <v>35</v>
      </c>
      <c r="N17" t="s">
        <v>15</v>
      </c>
      <c r="O17" t="s">
        <v>37</v>
      </c>
      <c r="P17" s="7">
        <v>43281</v>
      </c>
      <c r="Q17" t="s">
        <v>29</v>
      </c>
      <c r="R17" s="4">
        <v>-37977411.759999998</v>
      </c>
    </row>
    <row r="18" spans="1:18">
      <c r="A18" t="s">
        <v>28</v>
      </c>
      <c r="B18" t="s">
        <v>33</v>
      </c>
      <c r="C18" t="s">
        <v>34</v>
      </c>
      <c r="D18" t="s">
        <v>35</v>
      </c>
      <c r="E18" t="s">
        <v>36</v>
      </c>
      <c r="N18" t="s">
        <v>15</v>
      </c>
      <c r="O18" t="s">
        <v>37</v>
      </c>
      <c r="P18" s="7">
        <v>43281</v>
      </c>
      <c r="Q18" t="s">
        <v>50</v>
      </c>
      <c r="R18" s="4">
        <v>-4433312.6900000004</v>
      </c>
    </row>
    <row r="19" spans="1:18">
      <c r="A19" t="s">
        <v>28</v>
      </c>
      <c r="B19" t="s">
        <v>33</v>
      </c>
      <c r="C19" t="s">
        <v>34</v>
      </c>
      <c r="D19" t="s">
        <v>35</v>
      </c>
      <c r="E19" t="s">
        <v>51</v>
      </c>
      <c r="N19" t="s">
        <v>16</v>
      </c>
      <c r="O19" t="s">
        <v>52</v>
      </c>
      <c r="P19" s="7">
        <v>43281</v>
      </c>
      <c r="Q19" t="s">
        <v>50</v>
      </c>
      <c r="R19" s="4">
        <v>253.5</v>
      </c>
    </row>
    <row r="20" spans="1:18">
      <c r="A20" t="s">
        <v>28</v>
      </c>
      <c r="B20" t="s">
        <v>33</v>
      </c>
      <c r="C20" t="s">
        <v>34</v>
      </c>
      <c r="D20" t="s">
        <v>35</v>
      </c>
      <c r="E20" t="s">
        <v>30</v>
      </c>
      <c r="N20" t="s">
        <v>15</v>
      </c>
      <c r="O20" t="s">
        <v>37</v>
      </c>
      <c r="P20" s="7">
        <v>43281</v>
      </c>
      <c r="Q20" t="s">
        <v>50</v>
      </c>
      <c r="R20" s="4">
        <v>-4186209.04</v>
      </c>
    </row>
    <row r="21" spans="1:18">
      <c r="A21" t="s">
        <v>28</v>
      </c>
      <c r="B21" t="s">
        <v>33</v>
      </c>
      <c r="C21" t="s">
        <v>34</v>
      </c>
      <c r="D21" t="s">
        <v>35</v>
      </c>
      <c r="E21" t="s">
        <v>38</v>
      </c>
      <c r="N21" t="s">
        <v>15</v>
      </c>
      <c r="O21" t="s">
        <v>37</v>
      </c>
      <c r="P21" s="7">
        <v>43281</v>
      </c>
      <c r="Q21" t="s">
        <v>50</v>
      </c>
      <c r="R21" s="4">
        <v>-5020692.53</v>
      </c>
    </row>
    <row r="22" spans="1:18">
      <c r="A22" t="s">
        <v>28</v>
      </c>
      <c r="B22" t="s">
        <v>33</v>
      </c>
      <c r="C22" t="s">
        <v>34</v>
      </c>
      <c r="D22" t="s">
        <v>35</v>
      </c>
      <c r="E22" t="s">
        <v>39</v>
      </c>
      <c r="N22" t="s">
        <v>15</v>
      </c>
      <c r="O22" t="s">
        <v>37</v>
      </c>
      <c r="P22" s="7">
        <v>43281</v>
      </c>
      <c r="Q22" t="s">
        <v>50</v>
      </c>
      <c r="R22" s="4">
        <v>-2980043.94</v>
      </c>
    </row>
    <row r="23" spans="1:18">
      <c r="A23" t="s">
        <v>28</v>
      </c>
      <c r="B23" t="s">
        <v>33</v>
      </c>
      <c r="C23" t="s">
        <v>34</v>
      </c>
      <c r="D23" t="s">
        <v>35</v>
      </c>
      <c r="E23" t="s">
        <v>40</v>
      </c>
      <c r="N23" t="s">
        <v>15</v>
      </c>
      <c r="O23" t="s">
        <v>37</v>
      </c>
      <c r="P23" s="7">
        <v>43281</v>
      </c>
      <c r="Q23" t="s">
        <v>50</v>
      </c>
      <c r="R23" s="4">
        <v>-7776795.8099999996</v>
      </c>
    </row>
    <row r="24" spans="1:18">
      <c r="A24" t="s">
        <v>28</v>
      </c>
      <c r="B24" t="s">
        <v>33</v>
      </c>
      <c r="C24" t="s">
        <v>34</v>
      </c>
      <c r="D24" t="s">
        <v>35</v>
      </c>
      <c r="E24" t="s">
        <v>41</v>
      </c>
      <c r="N24" t="s">
        <v>15</v>
      </c>
      <c r="O24" t="s">
        <v>37</v>
      </c>
      <c r="P24" s="7">
        <v>43281</v>
      </c>
      <c r="Q24" t="s">
        <v>50</v>
      </c>
      <c r="R24" s="4">
        <v>-5463006.6200000001</v>
      </c>
    </row>
    <row r="25" spans="1:18">
      <c r="A25" t="s">
        <v>28</v>
      </c>
      <c r="B25" t="s">
        <v>33</v>
      </c>
      <c r="C25" t="s">
        <v>34</v>
      </c>
      <c r="D25" t="s">
        <v>35</v>
      </c>
      <c r="E25" t="s">
        <v>42</v>
      </c>
      <c r="N25" t="s">
        <v>15</v>
      </c>
      <c r="O25" t="s">
        <v>37</v>
      </c>
      <c r="P25" s="7">
        <v>43281</v>
      </c>
      <c r="Q25" t="s">
        <v>50</v>
      </c>
      <c r="R25" s="4">
        <v>-106415.17</v>
      </c>
    </row>
    <row r="26" spans="1:18">
      <c r="A26" t="s">
        <v>28</v>
      </c>
      <c r="B26" t="s">
        <v>33</v>
      </c>
      <c r="C26" t="s">
        <v>34</v>
      </c>
      <c r="D26" t="s">
        <v>35</v>
      </c>
      <c r="E26" t="s">
        <v>43</v>
      </c>
      <c r="N26" t="s">
        <v>15</v>
      </c>
      <c r="O26" t="s">
        <v>37</v>
      </c>
      <c r="P26" s="7">
        <v>43281</v>
      </c>
      <c r="Q26" t="s">
        <v>50</v>
      </c>
      <c r="R26" s="4">
        <v>-3597144.4</v>
      </c>
    </row>
    <row r="27" spans="1:18">
      <c r="A27" t="s">
        <v>28</v>
      </c>
      <c r="B27" t="s">
        <v>44</v>
      </c>
      <c r="C27" t="s">
        <v>45</v>
      </c>
      <c r="D27" t="s">
        <v>35</v>
      </c>
      <c r="E27" t="s">
        <v>36</v>
      </c>
      <c r="N27" t="s">
        <v>15</v>
      </c>
      <c r="O27" t="s">
        <v>37</v>
      </c>
      <c r="P27" s="7">
        <v>43281</v>
      </c>
      <c r="Q27" t="s">
        <v>50</v>
      </c>
      <c r="R27" s="4">
        <v>-89887.45</v>
      </c>
    </row>
    <row r="28" spans="1:18">
      <c r="A28" t="s">
        <v>28</v>
      </c>
      <c r="B28" t="s">
        <v>44</v>
      </c>
      <c r="C28" t="s">
        <v>45</v>
      </c>
      <c r="D28" t="s">
        <v>35</v>
      </c>
      <c r="E28" t="s">
        <v>36</v>
      </c>
      <c r="N28" t="s">
        <v>16</v>
      </c>
      <c r="O28" t="s">
        <v>37</v>
      </c>
      <c r="P28" s="7">
        <v>43281</v>
      </c>
      <c r="Q28" t="s">
        <v>50</v>
      </c>
      <c r="R28" s="4">
        <v>4438.91</v>
      </c>
    </row>
    <row r="29" spans="1:18">
      <c r="A29" t="s">
        <v>28</v>
      </c>
      <c r="B29" t="s">
        <v>44</v>
      </c>
      <c r="C29" t="s">
        <v>45</v>
      </c>
      <c r="D29" t="s">
        <v>35</v>
      </c>
      <c r="E29" t="s">
        <v>51</v>
      </c>
      <c r="N29" t="s">
        <v>16</v>
      </c>
      <c r="O29" t="s">
        <v>53</v>
      </c>
      <c r="P29" s="7">
        <v>43281</v>
      </c>
      <c r="Q29" t="s">
        <v>54</v>
      </c>
      <c r="R29" s="4">
        <v>238282.85</v>
      </c>
    </row>
    <row r="30" spans="1:18">
      <c r="A30" t="s">
        <v>28</v>
      </c>
      <c r="B30" t="s">
        <v>44</v>
      </c>
      <c r="C30" t="s">
        <v>45</v>
      </c>
      <c r="D30" t="s">
        <v>35</v>
      </c>
      <c r="E30" t="s">
        <v>30</v>
      </c>
      <c r="N30" t="s">
        <v>15</v>
      </c>
      <c r="O30" t="s">
        <v>37</v>
      </c>
      <c r="P30" s="7">
        <v>43281</v>
      </c>
      <c r="Q30" t="s">
        <v>50</v>
      </c>
      <c r="R30" s="4">
        <v>-429526.4</v>
      </c>
    </row>
    <row r="31" spans="1:18">
      <c r="A31" t="s">
        <v>28</v>
      </c>
      <c r="B31" t="s">
        <v>55</v>
      </c>
      <c r="C31" t="s">
        <v>56</v>
      </c>
      <c r="D31" t="s">
        <v>35</v>
      </c>
      <c r="E31" t="s">
        <v>20</v>
      </c>
      <c r="N31" t="s">
        <v>15</v>
      </c>
      <c r="O31" t="s">
        <v>57</v>
      </c>
      <c r="P31" s="7">
        <v>43281</v>
      </c>
      <c r="Q31" t="s">
        <v>50</v>
      </c>
      <c r="R31" s="4">
        <v>-5595.89</v>
      </c>
    </row>
    <row r="32" spans="1:18">
      <c r="A32" t="s">
        <v>28</v>
      </c>
      <c r="B32" t="s">
        <v>55</v>
      </c>
      <c r="C32" t="s">
        <v>56</v>
      </c>
      <c r="D32" t="s">
        <v>35</v>
      </c>
      <c r="E32" t="s">
        <v>20</v>
      </c>
      <c r="N32" t="s">
        <v>15</v>
      </c>
      <c r="O32" t="s">
        <v>58</v>
      </c>
      <c r="P32" s="7">
        <v>43281</v>
      </c>
      <c r="Q32" t="s">
        <v>50</v>
      </c>
      <c r="R32" s="4">
        <v>-1050.04</v>
      </c>
    </row>
    <row r="33" spans="1:18">
      <c r="A33" t="s">
        <v>28</v>
      </c>
      <c r="B33" t="s">
        <v>55</v>
      </c>
      <c r="C33" t="s">
        <v>56</v>
      </c>
      <c r="D33" t="s">
        <v>35</v>
      </c>
      <c r="E33" t="s">
        <v>20</v>
      </c>
      <c r="N33" t="s">
        <v>15</v>
      </c>
      <c r="O33" t="s">
        <v>59</v>
      </c>
      <c r="P33" s="7">
        <v>43281</v>
      </c>
      <c r="Q33" t="s">
        <v>50</v>
      </c>
      <c r="R33" s="4">
        <v>-10807</v>
      </c>
    </row>
    <row r="34" spans="1:18">
      <c r="A34" t="s">
        <v>28</v>
      </c>
      <c r="B34" t="s">
        <v>46</v>
      </c>
      <c r="C34" t="s">
        <v>47</v>
      </c>
      <c r="D34" t="s">
        <v>35</v>
      </c>
      <c r="E34" t="s">
        <v>36</v>
      </c>
      <c r="N34" t="s">
        <v>15</v>
      </c>
      <c r="O34" t="s">
        <v>37</v>
      </c>
      <c r="P34" s="7">
        <v>43281</v>
      </c>
      <c r="Q34" t="s">
        <v>50</v>
      </c>
      <c r="R34" s="4">
        <v>-25138</v>
      </c>
    </row>
    <row r="35" spans="1:18">
      <c r="A35" t="s">
        <v>28</v>
      </c>
      <c r="B35" t="s">
        <v>46</v>
      </c>
      <c r="C35" t="s">
        <v>47</v>
      </c>
      <c r="D35" t="s">
        <v>35</v>
      </c>
      <c r="E35" t="s">
        <v>51</v>
      </c>
      <c r="N35" t="s">
        <v>15</v>
      </c>
      <c r="O35" t="s">
        <v>60</v>
      </c>
      <c r="P35" s="7">
        <v>43281</v>
      </c>
      <c r="Q35" t="s">
        <v>50</v>
      </c>
      <c r="R35" s="4">
        <v>-1182606.6200000001</v>
      </c>
    </row>
    <row r="36" spans="1:18">
      <c r="A36" t="s">
        <v>28</v>
      </c>
      <c r="B36" t="s">
        <v>46</v>
      </c>
      <c r="C36" t="s">
        <v>47</v>
      </c>
      <c r="D36" t="s">
        <v>35</v>
      </c>
      <c r="E36" t="s">
        <v>51</v>
      </c>
      <c r="N36" t="s">
        <v>15</v>
      </c>
      <c r="O36" t="s">
        <v>61</v>
      </c>
      <c r="P36" s="7">
        <v>43252</v>
      </c>
      <c r="Q36" t="s">
        <v>62</v>
      </c>
      <c r="R36" s="4">
        <v>-117684.62</v>
      </c>
    </row>
    <row r="37" spans="1:18">
      <c r="A37" t="s">
        <v>28</v>
      </c>
      <c r="B37" t="s">
        <v>46</v>
      </c>
      <c r="C37" t="s">
        <v>47</v>
      </c>
      <c r="D37" t="s">
        <v>35</v>
      </c>
      <c r="E37" t="s">
        <v>51</v>
      </c>
      <c r="N37" t="s">
        <v>15</v>
      </c>
      <c r="O37" t="s">
        <v>61</v>
      </c>
      <c r="P37" s="7">
        <v>43255</v>
      </c>
      <c r="Q37" t="s">
        <v>62</v>
      </c>
      <c r="R37" s="4">
        <v>-248354.49</v>
      </c>
    </row>
    <row r="38" spans="1:18">
      <c r="A38" t="s">
        <v>28</v>
      </c>
      <c r="B38" t="s">
        <v>46</v>
      </c>
      <c r="C38" t="s">
        <v>47</v>
      </c>
      <c r="D38" t="s">
        <v>35</v>
      </c>
      <c r="E38" t="s">
        <v>51</v>
      </c>
      <c r="N38" t="s">
        <v>15</v>
      </c>
      <c r="O38" t="s">
        <v>61</v>
      </c>
      <c r="P38" s="7">
        <v>43256</v>
      </c>
      <c r="Q38" t="s">
        <v>62</v>
      </c>
      <c r="R38" s="4">
        <v>-270762.12</v>
      </c>
    </row>
    <row r="39" spans="1:18">
      <c r="A39" t="s">
        <v>28</v>
      </c>
      <c r="B39" t="s">
        <v>46</v>
      </c>
      <c r="C39" t="s">
        <v>47</v>
      </c>
      <c r="D39" t="s">
        <v>35</v>
      </c>
      <c r="E39" t="s">
        <v>51</v>
      </c>
      <c r="N39" t="s">
        <v>15</v>
      </c>
      <c r="O39" t="s">
        <v>61</v>
      </c>
      <c r="P39" s="7">
        <v>43257</v>
      </c>
      <c r="Q39" t="s">
        <v>62</v>
      </c>
      <c r="R39" s="4">
        <v>-204981.28</v>
      </c>
    </row>
    <row r="40" spans="1:18">
      <c r="A40" t="s">
        <v>28</v>
      </c>
      <c r="B40" t="s">
        <v>46</v>
      </c>
      <c r="C40" t="s">
        <v>47</v>
      </c>
      <c r="D40" t="s">
        <v>35</v>
      </c>
      <c r="E40" t="s">
        <v>51</v>
      </c>
      <c r="N40" t="s">
        <v>15</v>
      </c>
      <c r="O40" t="s">
        <v>61</v>
      </c>
      <c r="P40" s="7">
        <v>43258</v>
      </c>
      <c r="Q40" t="s">
        <v>62</v>
      </c>
      <c r="R40" s="4">
        <v>-251697.57</v>
      </c>
    </row>
    <row r="41" spans="1:18">
      <c r="A41" t="s">
        <v>28</v>
      </c>
      <c r="B41" t="s">
        <v>46</v>
      </c>
      <c r="C41" t="s">
        <v>47</v>
      </c>
      <c r="D41" t="s">
        <v>35</v>
      </c>
      <c r="E41" t="s">
        <v>51</v>
      </c>
      <c r="N41" t="s">
        <v>15</v>
      </c>
      <c r="O41" t="s">
        <v>61</v>
      </c>
      <c r="P41" s="7">
        <v>43259</v>
      </c>
      <c r="Q41" t="s">
        <v>62</v>
      </c>
      <c r="R41" s="4">
        <v>-56837.62</v>
      </c>
    </row>
    <row r="42" spans="1:18">
      <c r="A42" t="s">
        <v>28</v>
      </c>
      <c r="B42" t="s">
        <v>46</v>
      </c>
      <c r="C42" t="s">
        <v>47</v>
      </c>
      <c r="D42" t="s">
        <v>35</v>
      </c>
      <c r="E42" t="s">
        <v>51</v>
      </c>
      <c r="N42" t="s">
        <v>15</v>
      </c>
      <c r="O42" t="s">
        <v>61</v>
      </c>
      <c r="P42" s="7">
        <v>43262</v>
      </c>
      <c r="Q42" t="s">
        <v>62</v>
      </c>
      <c r="R42" s="4">
        <v>-255020.2</v>
      </c>
    </row>
    <row r="43" spans="1:18">
      <c r="A43" t="s">
        <v>28</v>
      </c>
      <c r="B43" t="s">
        <v>46</v>
      </c>
      <c r="C43" t="s">
        <v>47</v>
      </c>
      <c r="D43" t="s">
        <v>35</v>
      </c>
      <c r="E43" t="s">
        <v>51</v>
      </c>
      <c r="N43" t="s">
        <v>15</v>
      </c>
      <c r="O43" t="s">
        <v>61</v>
      </c>
      <c r="P43" s="7">
        <v>43263</v>
      </c>
      <c r="Q43" t="s">
        <v>62</v>
      </c>
      <c r="R43" s="4">
        <v>-336729.69</v>
      </c>
    </row>
    <row r="44" spans="1:18">
      <c r="A44" t="s">
        <v>28</v>
      </c>
      <c r="B44" t="s">
        <v>46</v>
      </c>
      <c r="C44" t="s">
        <v>47</v>
      </c>
      <c r="D44" t="s">
        <v>35</v>
      </c>
      <c r="E44" t="s">
        <v>51</v>
      </c>
      <c r="N44" t="s">
        <v>15</v>
      </c>
      <c r="O44" t="s">
        <v>61</v>
      </c>
      <c r="P44" s="7">
        <v>43264</v>
      </c>
      <c r="Q44" t="s">
        <v>62</v>
      </c>
      <c r="R44" s="4">
        <v>-239964.41</v>
      </c>
    </row>
    <row r="45" spans="1:18">
      <c r="A45" t="s">
        <v>28</v>
      </c>
      <c r="B45" t="s">
        <v>46</v>
      </c>
      <c r="C45" t="s">
        <v>47</v>
      </c>
      <c r="D45" t="s">
        <v>35</v>
      </c>
      <c r="E45" t="s">
        <v>51</v>
      </c>
      <c r="N45" t="s">
        <v>15</v>
      </c>
      <c r="O45" t="s">
        <v>61</v>
      </c>
      <c r="P45" s="7">
        <v>43265</v>
      </c>
      <c r="Q45" t="s">
        <v>62</v>
      </c>
      <c r="R45" s="4">
        <v>-132712.56</v>
      </c>
    </row>
    <row r="46" spans="1:18">
      <c r="A46" t="s">
        <v>28</v>
      </c>
      <c r="B46" t="s">
        <v>46</v>
      </c>
      <c r="C46" t="s">
        <v>47</v>
      </c>
      <c r="D46" t="s">
        <v>35</v>
      </c>
      <c r="E46" t="s">
        <v>51</v>
      </c>
      <c r="N46" t="s">
        <v>15</v>
      </c>
      <c r="O46" t="s">
        <v>61</v>
      </c>
      <c r="P46" s="7">
        <v>43266</v>
      </c>
      <c r="Q46" t="s">
        <v>62</v>
      </c>
      <c r="R46" s="4">
        <v>-128927.18</v>
      </c>
    </row>
    <row r="47" spans="1:18">
      <c r="A47" t="s">
        <v>28</v>
      </c>
      <c r="B47" t="s">
        <v>46</v>
      </c>
      <c r="C47" t="s">
        <v>47</v>
      </c>
      <c r="D47" t="s">
        <v>35</v>
      </c>
      <c r="E47" t="s">
        <v>51</v>
      </c>
      <c r="N47" t="s">
        <v>15</v>
      </c>
      <c r="O47" t="s">
        <v>61</v>
      </c>
      <c r="P47" s="7">
        <v>43270</v>
      </c>
      <c r="Q47" t="s">
        <v>62</v>
      </c>
      <c r="R47" s="4">
        <v>-200891.66</v>
      </c>
    </row>
    <row r="48" spans="1:18">
      <c r="A48" t="s">
        <v>28</v>
      </c>
      <c r="B48" t="s">
        <v>46</v>
      </c>
      <c r="C48" t="s">
        <v>47</v>
      </c>
      <c r="D48" t="s">
        <v>35</v>
      </c>
      <c r="E48" t="s">
        <v>51</v>
      </c>
      <c r="N48" t="s">
        <v>15</v>
      </c>
      <c r="O48" t="s">
        <v>61</v>
      </c>
      <c r="P48" s="7">
        <v>43271</v>
      </c>
      <c r="Q48" t="s">
        <v>62</v>
      </c>
      <c r="R48" s="4">
        <v>-246137.52</v>
      </c>
    </row>
    <row r="49" spans="1:18">
      <c r="A49" t="s">
        <v>28</v>
      </c>
      <c r="B49" t="s">
        <v>46</v>
      </c>
      <c r="C49" t="s">
        <v>47</v>
      </c>
      <c r="D49" t="s">
        <v>35</v>
      </c>
      <c r="E49" t="s">
        <v>51</v>
      </c>
      <c r="N49" t="s">
        <v>15</v>
      </c>
      <c r="O49" t="s">
        <v>61</v>
      </c>
      <c r="P49" s="7">
        <v>43272</v>
      </c>
      <c r="Q49" t="s">
        <v>62</v>
      </c>
      <c r="R49" s="4">
        <v>-175636.8</v>
      </c>
    </row>
    <row r="50" spans="1:18">
      <c r="A50" t="s">
        <v>28</v>
      </c>
      <c r="B50" t="s">
        <v>46</v>
      </c>
      <c r="C50" t="s">
        <v>47</v>
      </c>
      <c r="D50" t="s">
        <v>35</v>
      </c>
      <c r="E50" t="s">
        <v>51</v>
      </c>
      <c r="N50" t="s">
        <v>15</v>
      </c>
      <c r="O50" t="s">
        <v>61</v>
      </c>
      <c r="P50" s="7">
        <v>43273</v>
      </c>
      <c r="Q50" t="s">
        <v>62</v>
      </c>
      <c r="R50" s="4">
        <v>-175181.97</v>
      </c>
    </row>
    <row r="51" spans="1:18">
      <c r="A51" t="s">
        <v>28</v>
      </c>
      <c r="B51" t="s">
        <v>46</v>
      </c>
      <c r="C51" t="s">
        <v>47</v>
      </c>
      <c r="D51" t="s">
        <v>35</v>
      </c>
      <c r="E51" t="s">
        <v>51</v>
      </c>
      <c r="N51" t="s">
        <v>15</v>
      </c>
      <c r="O51" t="s">
        <v>61</v>
      </c>
      <c r="P51" s="7">
        <v>43276</v>
      </c>
      <c r="Q51" t="s">
        <v>62</v>
      </c>
      <c r="R51" s="4">
        <v>-326501.94</v>
      </c>
    </row>
    <row r="52" spans="1:18">
      <c r="A52" t="s">
        <v>28</v>
      </c>
      <c r="B52" t="s">
        <v>46</v>
      </c>
      <c r="C52" t="s">
        <v>47</v>
      </c>
      <c r="D52" t="s">
        <v>35</v>
      </c>
      <c r="E52" t="s">
        <v>51</v>
      </c>
      <c r="N52" t="s">
        <v>15</v>
      </c>
      <c r="O52" t="s">
        <v>61</v>
      </c>
      <c r="P52" s="7">
        <v>43277</v>
      </c>
      <c r="Q52" t="s">
        <v>62</v>
      </c>
      <c r="R52" s="4">
        <v>-298980.65999999997</v>
      </c>
    </row>
    <row r="53" spans="1:18">
      <c r="A53" t="s">
        <v>28</v>
      </c>
      <c r="B53" t="s">
        <v>46</v>
      </c>
      <c r="C53" t="s">
        <v>47</v>
      </c>
      <c r="D53" t="s">
        <v>35</v>
      </c>
      <c r="E53" t="s">
        <v>51</v>
      </c>
      <c r="N53" t="s">
        <v>15</v>
      </c>
      <c r="O53" t="s">
        <v>61</v>
      </c>
      <c r="P53" s="7">
        <v>43278</v>
      </c>
      <c r="Q53" t="s">
        <v>62</v>
      </c>
      <c r="R53" s="4">
        <v>-194497.31</v>
      </c>
    </row>
    <row r="54" spans="1:18">
      <c r="A54" t="s">
        <v>28</v>
      </c>
      <c r="B54" t="s">
        <v>46</v>
      </c>
      <c r="C54" t="s">
        <v>47</v>
      </c>
      <c r="D54" t="s">
        <v>35</v>
      </c>
      <c r="E54" t="s">
        <v>51</v>
      </c>
      <c r="N54" t="s">
        <v>15</v>
      </c>
      <c r="O54" t="s">
        <v>61</v>
      </c>
      <c r="P54" s="7">
        <v>43279</v>
      </c>
      <c r="Q54" t="s">
        <v>62</v>
      </c>
      <c r="R54" s="4">
        <v>-146275.09</v>
      </c>
    </row>
    <row r="55" spans="1:18">
      <c r="A55" t="s">
        <v>28</v>
      </c>
      <c r="B55" t="s">
        <v>46</v>
      </c>
      <c r="C55" t="s">
        <v>47</v>
      </c>
      <c r="D55" t="s">
        <v>35</v>
      </c>
      <c r="E55" t="s">
        <v>51</v>
      </c>
      <c r="N55" t="s">
        <v>15</v>
      </c>
      <c r="O55" t="s">
        <v>61</v>
      </c>
      <c r="P55" s="7">
        <v>43280</v>
      </c>
      <c r="Q55" t="s">
        <v>62</v>
      </c>
      <c r="R55" s="4">
        <v>-378344.35</v>
      </c>
    </row>
    <row r="56" spans="1:18">
      <c r="A56" t="s">
        <v>28</v>
      </c>
      <c r="B56" t="s">
        <v>46</v>
      </c>
      <c r="C56" t="s">
        <v>47</v>
      </c>
      <c r="D56" t="s">
        <v>35</v>
      </c>
      <c r="E56" t="s">
        <v>51</v>
      </c>
      <c r="N56" t="s">
        <v>16</v>
      </c>
      <c r="O56" t="s">
        <v>63</v>
      </c>
      <c r="P56" s="7">
        <v>43281</v>
      </c>
      <c r="Q56" t="s">
        <v>64</v>
      </c>
      <c r="R56" s="4">
        <v>382.1</v>
      </c>
    </row>
    <row r="57" spans="1:18">
      <c r="A57" t="s">
        <v>28</v>
      </c>
      <c r="B57" t="s">
        <v>46</v>
      </c>
      <c r="C57" t="s">
        <v>47</v>
      </c>
      <c r="D57" t="s">
        <v>35</v>
      </c>
      <c r="E57" t="s">
        <v>51</v>
      </c>
      <c r="N57" t="s">
        <v>16</v>
      </c>
      <c r="O57" t="s">
        <v>60</v>
      </c>
      <c r="P57" s="7">
        <v>43281</v>
      </c>
      <c r="Q57" t="s">
        <v>50</v>
      </c>
      <c r="R57" s="4">
        <v>1019549.01</v>
      </c>
    </row>
    <row r="58" spans="1:18">
      <c r="A58" t="s">
        <v>28</v>
      </c>
      <c r="B58" t="s">
        <v>46</v>
      </c>
      <c r="C58" t="s">
        <v>47</v>
      </c>
      <c r="D58" t="s">
        <v>35</v>
      </c>
      <c r="E58" t="s">
        <v>51</v>
      </c>
      <c r="N58" t="s">
        <v>16</v>
      </c>
      <c r="O58" t="s">
        <v>61</v>
      </c>
      <c r="P58" s="7">
        <v>43252</v>
      </c>
      <c r="Q58" t="s">
        <v>62</v>
      </c>
      <c r="R58" s="4">
        <v>117684.62</v>
      </c>
    </row>
    <row r="59" spans="1:18">
      <c r="A59" t="s">
        <v>28</v>
      </c>
      <c r="B59" t="s">
        <v>46</v>
      </c>
      <c r="C59" t="s">
        <v>47</v>
      </c>
      <c r="D59" t="s">
        <v>35</v>
      </c>
      <c r="E59" t="s">
        <v>51</v>
      </c>
      <c r="N59" t="s">
        <v>16</v>
      </c>
      <c r="O59" t="s">
        <v>61</v>
      </c>
      <c r="P59" s="7">
        <v>43255</v>
      </c>
      <c r="Q59" t="s">
        <v>62</v>
      </c>
      <c r="R59" s="4">
        <v>248354.49</v>
      </c>
    </row>
    <row r="60" spans="1:18">
      <c r="A60" t="s">
        <v>28</v>
      </c>
      <c r="B60" t="s">
        <v>46</v>
      </c>
      <c r="C60" t="s">
        <v>47</v>
      </c>
      <c r="D60" t="s">
        <v>35</v>
      </c>
      <c r="E60" t="s">
        <v>51</v>
      </c>
      <c r="N60" t="s">
        <v>16</v>
      </c>
      <c r="O60" t="s">
        <v>61</v>
      </c>
      <c r="P60" s="7">
        <v>43256</v>
      </c>
      <c r="Q60" t="s">
        <v>62</v>
      </c>
      <c r="R60" s="4">
        <v>270762.12</v>
      </c>
    </row>
    <row r="61" spans="1:18">
      <c r="A61" t="s">
        <v>28</v>
      </c>
      <c r="B61" t="s">
        <v>46</v>
      </c>
      <c r="C61" t="s">
        <v>47</v>
      </c>
      <c r="D61" t="s">
        <v>35</v>
      </c>
      <c r="E61" t="s">
        <v>51</v>
      </c>
      <c r="N61" t="s">
        <v>16</v>
      </c>
      <c r="O61" t="s">
        <v>61</v>
      </c>
      <c r="P61" s="7">
        <v>43257</v>
      </c>
      <c r="Q61" t="s">
        <v>62</v>
      </c>
      <c r="R61" s="4">
        <v>204981.28</v>
      </c>
    </row>
    <row r="62" spans="1:18">
      <c r="A62" t="s">
        <v>28</v>
      </c>
      <c r="B62" t="s">
        <v>46</v>
      </c>
      <c r="C62" t="s">
        <v>47</v>
      </c>
      <c r="D62" t="s">
        <v>35</v>
      </c>
      <c r="E62" t="s">
        <v>51</v>
      </c>
      <c r="N62" t="s">
        <v>16</v>
      </c>
      <c r="O62" t="s">
        <v>61</v>
      </c>
      <c r="P62" s="7">
        <v>43258</v>
      </c>
      <c r="Q62" t="s">
        <v>62</v>
      </c>
      <c r="R62" s="4">
        <v>251697.57</v>
      </c>
    </row>
    <row r="63" spans="1:18">
      <c r="A63" t="s">
        <v>28</v>
      </c>
      <c r="B63" t="s">
        <v>46</v>
      </c>
      <c r="C63" t="s">
        <v>47</v>
      </c>
      <c r="D63" t="s">
        <v>35</v>
      </c>
      <c r="E63" t="s">
        <v>51</v>
      </c>
      <c r="N63" t="s">
        <v>16</v>
      </c>
      <c r="O63" t="s">
        <v>61</v>
      </c>
      <c r="P63" s="7">
        <v>43259</v>
      </c>
      <c r="Q63" t="s">
        <v>62</v>
      </c>
      <c r="R63" s="4">
        <v>56837.62</v>
      </c>
    </row>
    <row r="64" spans="1:18">
      <c r="A64" t="s">
        <v>28</v>
      </c>
      <c r="B64" t="s">
        <v>46</v>
      </c>
      <c r="C64" t="s">
        <v>47</v>
      </c>
      <c r="D64" t="s">
        <v>35</v>
      </c>
      <c r="E64" t="s">
        <v>51</v>
      </c>
      <c r="N64" t="s">
        <v>16</v>
      </c>
      <c r="O64" t="s">
        <v>61</v>
      </c>
      <c r="P64" s="7">
        <v>43262</v>
      </c>
      <c r="Q64" t="s">
        <v>62</v>
      </c>
      <c r="R64" s="4">
        <v>255020.2</v>
      </c>
    </row>
    <row r="65" spans="1:18">
      <c r="A65" t="s">
        <v>28</v>
      </c>
      <c r="B65" t="s">
        <v>46</v>
      </c>
      <c r="C65" t="s">
        <v>47</v>
      </c>
      <c r="D65" t="s">
        <v>35</v>
      </c>
      <c r="E65" t="s">
        <v>51</v>
      </c>
      <c r="N65" t="s">
        <v>16</v>
      </c>
      <c r="O65" t="s">
        <v>61</v>
      </c>
      <c r="P65" s="7">
        <v>43263</v>
      </c>
      <c r="Q65" t="s">
        <v>62</v>
      </c>
      <c r="R65" s="4">
        <v>336729.69</v>
      </c>
    </row>
    <row r="66" spans="1:18">
      <c r="A66" t="s">
        <v>28</v>
      </c>
      <c r="B66" t="s">
        <v>46</v>
      </c>
      <c r="C66" t="s">
        <v>47</v>
      </c>
      <c r="D66" t="s">
        <v>35</v>
      </c>
      <c r="E66" t="s">
        <v>51</v>
      </c>
      <c r="N66" t="s">
        <v>16</v>
      </c>
      <c r="O66" t="s">
        <v>61</v>
      </c>
      <c r="P66" s="7">
        <v>43264</v>
      </c>
      <c r="Q66" t="s">
        <v>62</v>
      </c>
      <c r="R66" s="4">
        <v>239964.41</v>
      </c>
    </row>
    <row r="67" spans="1:18">
      <c r="A67" t="s">
        <v>28</v>
      </c>
      <c r="B67" t="s">
        <v>46</v>
      </c>
      <c r="C67" t="s">
        <v>47</v>
      </c>
      <c r="D67" t="s">
        <v>35</v>
      </c>
      <c r="E67" t="s">
        <v>51</v>
      </c>
      <c r="N67" t="s">
        <v>16</v>
      </c>
      <c r="O67" t="s">
        <v>61</v>
      </c>
      <c r="P67" s="7">
        <v>43265</v>
      </c>
      <c r="Q67" t="s">
        <v>62</v>
      </c>
      <c r="R67" s="4">
        <v>132712.56</v>
      </c>
    </row>
    <row r="68" spans="1:18">
      <c r="A68" t="s">
        <v>28</v>
      </c>
      <c r="B68" t="s">
        <v>46</v>
      </c>
      <c r="C68" t="s">
        <v>47</v>
      </c>
      <c r="D68" t="s">
        <v>35</v>
      </c>
      <c r="E68" t="s">
        <v>51</v>
      </c>
      <c r="N68" t="s">
        <v>16</v>
      </c>
      <c r="O68" t="s">
        <v>61</v>
      </c>
      <c r="P68" s="7">
        <v>43266</v>
      </c>
      <c r="Q68" t="s">
        <v>62</v>
      </c>
      <c r="R68" s="4">
        <v>128927.18</v>
      </c>
    </row>
    <row r="69" spans="1:18">
      <c r="A69" t="s">
        <v>28</v>
      </c>
      <c r="B69" t="s">
        <v>46</v>
      </c>
      <c r="C69" t="s">
        <v>47</v>
      </c>
      <c r="D69" t="s">
        <v>35</v>
      </c>
      <c r="E69" t="s">
        <v>51</v>
      </c>
      <c r="N69" t="s">
        <v>16</v>
      </c>
      <c r="O69" t="s">
        <v>61</v>
      </c>
      <c r="P69" s="7">
        <v>43270</v>
      </c>
      <c r="Q69" t="s">
        <v>62</v>
      </c>
      <c r="R69" s="4">
        <v>200891.66</v>
      </c>
    </row>
    <row r="70" spans="1:18">
      <c r="A70" t="s">
        <v>28</v>
      </c>
      <c r="B70" t="s">
        <v>46</v>
      </c>
      <c r="C70" t="s">
        <v>47</v>
      </c>
      <c r="D70" t="s">
        <v>35</v>
      </c>
      <c r="E70" t="s">
        <v>51</v>
      </c>
      <c r="N70" t="s">
        <v>16</v>
      </c>
      <c r="O70" t="s">
        <v>61</v>
      </c>
      <c r="P70" s="7">
        <v>43271</v>
      </c>
      <c r="Q70" t="s">
        <v>62</v>
      </c>
      <c r="R70" s="4">
        <v>246137.52</v>
      </c>
    </row>
    <row r="71" spans="1:18">
      <c r="A71" t="s">
        <v>28</v>
      </c>
      <c r="B71" t="s">
        <v>46</v>
      </c>
      <c r="C71" t="s">
        <v>47</v>
      </c>
      <c r="D71" t="s">
        <v>35</v>
      </c>
      <c r="E71" t="s">
        <v>51</v>
      </c>
      <c r="N71" t="s">
        <v>16</v>
      </c>
      <c r="O71" t="s">
        <v>61</v>
      </c>
      <c r="P71" s="7">
        <v>43272</v>
      </c>
      <c r="Q71" t="s">
        <v>62</v>
      </c>
      <c r="R71" s="4">
        <v>175636.8</v>
      </c>
    </row>
    <row r="72" spans="1:18">
      <c r="A72" t="s">
        <v>28</v>
      </c>
      <c r="B72" t="s">
        <v>46</v>
      </c>
      <c r="C72" t="s">
        <v>47</v>
      </c>
      <c r="D72" t="s">
        <v>35</v>
      </c>
      <c r="E72" t="s">
        <v>51</v>
      </c>
      <c r="N72" t="s">
        <v>16</v>
      </c>
      <c r="O72" t="s">
        <v>61</v>
      </c>
      <c r="P72" s="7">
        <v>43273</v>
      </c>
      <c r="Q72" t="s">
        <v>62</v>
      </c>
      <c r="R72" s="4">
        <v>175181.97</v>
      </c>
    </row>
    <row r="73" spans="1:18">
      <c r="A73" t="s">
        <v>28</v>
      </c>
      <c r="B73" t="s">
        <v>46</v>
      </c>
      <c r="C73" t="s">
        <v>47</v>
      </c>
      <c r="D73" t="s">
        <v>35</v>
      </c>
      <c r="E73" t="s">
        <v>51</v>
      </c>
      <c r="N73" t="s">
        <v>16</v>
      </c>
      <c r="O73" t="s">
        <v>61</v>
      </c>
      <c r="P73" s="7">
        <v>43276</v>
      </c>
      <c r="Q73" t="s">
        <v>62</v>
      </c>
      <c r="R73" s="4">
        <v>326501.94</v>
      </c>
    </row>
    <row r="74" spans="1:18">
      <c r="A74" t="s">
        <v>28</v>
      </c>
      <c r="B74" t="s">
        <v>46</v>
      </c>
      <c r="C74" t="s">
        <v>47</v>
      </c>
      <c r="D74" t="s">
        <v>35</v>
      </c>
      <c r="E74" t="s">
        <v>51</v>
      </c>
      <c r="N74" t="s">
        <v>16</v>
      </c>
      <c r="O74" t="s">
        <v>61</v>
      </c>
      <c r="P74" s="7">
        <v>43277</v>
      </c>
      <c r="Q74" t="s">
        <v>62</v>
      </c>
      <c r="R74" s="4">
        <v>298980.65999999997</v>
      </c>
    </row>
    <row r="75" spans="1:18">
      <c r="A75" t="s">
        <v>28</v>
      </c>
      <c r="B75" t="s">
        <v>46</v>
      </c>
      <c r="C75" t="s">
        <v>47</v>
      </c>
      <c r="D75" t="s">
        <v>35</v>
      </c>
      <c r="E75" t="s">
        <v>51</v>
      </c>
      <c r="N75" t="s">
        <v>16</v>
      </c>
      <c r="O75" t="s">
        <v>61</v>
      </c>
      <c r="P75" s="7">
        <v>43278</v>
      </c>
      <c r="Q75" t="s">
        <v>62</v>
      </c>
      <c r="R75" s="4">
        <v>194497.31</v>
      </c>
    </row>
    <row r="76" spans="1:18">
      <c r="A76" t="s">
        <v>28</v>
      </c>
      <c r="B76" t="s">
        <v>46</v>
      </c>
      <c r="C76" t="s">
        <v>47</v>
      </c>
      <c r="D76" t="s">
        <v>35</v>
      </c>
      <c r="E76" t="s">
        <v>51</v>
      </c>
      <c r="N76" t="s">
        <v>16</v>
      </c>
      <c r="O76" t="s">
        <v>61</v>
      </c>
      <c r="P76" s="7">
        <v>43279</v>
      </c>
      <c r="Q76" t="s">
        <v>62</v>
      </c>
      <c r="R76" s="4">
        <v>146275.09</v>
      </c>
    </row>
    <row r="77" spans="1:18">
      <c r="A77" t="s">
        <v>28</v>
      </c>
      <c r="B77" t="s">
        <v>46</v>
      </c>
      <c r="C77" t="s">
        <v>47</v>
      </c>
      <c r="D77" t="s">
        <v>35</v>
      </c>
      <c r="E77" t="s">
        <v>51</v>
      </c>
      <c r="N77" t="s">
        <v>16</v>
      </c>
      <c r="O77" t="s">
        <v>61</v>
      </c>
      <c r="P77" s="7">
        <v>43280</v>
      </c>
      <c r="Q77" t="s">
        <v>62</v>
      </c>
      <c r="R77" s="4">
        <v>378344.35</v>
      </c>
    </row>
    <row r="78" spans="1:18">
      <c r="A78" t="s">
        <v>28</v>
      </c>
      <c r="B78" t="s">
        <v>46</v>
      </c>
      <c r="C78" t="s">
        <v>47</v>
      </c>
      <c r="D78" t="s">
        <v>35</v>
      </c>
      <c r="E78" t="s">
        <v>30</v>
      </c>
      <c r="N78" t="s">
        <v>15</v>
      </c>
      <c r="O78" t="s">
        <v>37</v>
      </c>
      <c r="P78" s="7">
        <v>43281</v>
      </c>
      <c r="Q78" t="s">
        <v>50</v>
      </c>
      <c r="R78" s="4">
        <v>-1002772.72</v>
      </c>
    </row>
    <row r="79" spans="1:18">
      <c r="A79" t="s">
        <v>28</v>
      </c>
      <c r="B79" t="s">
        <v>46</v>
      </c>
      <c r="C79" t="s">
        <v>47</v>
      </c>
      <c r="D79" t="s">
        <v>35</v>
      </c>
      <c r="E79" t="s">
        <v>38</v>
      </c>
      <c r="N79" t="s">
        <v>15</v>
      </c>
      <c r="O79" t="s">
        <v>37</v>
      </c>
      <c r="P79" s="7">
        <v>43281</v>
      </c>
      <c r="Q79" t="s">
        <v>50</v>
      </c>
      <c r="R79" s="4">
        <v>-408677.59</v>
      </c>
    </row>
    <row r="80" spans="1:18">
      <c r="A80" t="s">
        <v>28</v>
      </c>
      <c r="B80" t="s">
        <v>46</v>
      </c>
      <c r="C80" t="s">
        <v>47</v>
      </c>
      <c r="D80" t="s">
        <v>35</v>
      </c>
      <c r="E80" t="s">
        <v>43</v>
      </c>
      <c r="N80" t="s">
        <v>15</v>
      </c>
      <c r="O80" t="s">
        <v>37</v>
      </c>
      <c r="P80" s="7">
        <v>43281</v>
      </c>
      <c r="Q80" t="s">
        <v>50</v>
      </c>
      <c r="R80" s="4">
        <v>-2462228.31</v>
      </c>
    </row>
    <row r="81" spans="1:18">
      <c r="A81" t="s">
        <v>28</v>
      </c>
      <c r="B81" t="s">
        <v>65</v>
      </c>
      <c r="C81" t="s">
        <v>66</v>
      </c>
      <c r="D81" t="s">
        <v>35</v>
      </c>
      <c r="E81" t="s">
        <v>51</v>
      </c>
      <c r="N81" t="s">
        <v>15</v>
      </c>
      <c r="O81" t="s">
        <v>52</v>
      </c>
      <c r="P81" s="7">
        <v>43281</v>
      </c>
      <c r="Q81" t="s">
        <v>50</v>
      </c>
      <c r="R81" s="4">
        <v>-253.5</v>
      </c>
    </row>
    <row r="82" spans="1:18">
      <c r="A82" t="s">
        <v>28</v>
      </c>
      <c r="B82" t="s">
        <v>65</v>
      </c>
      <c r="C82" t="s">
        <v>66</v>
      </c>
      <c r="D82" t="s">
        <v>35</v>
      </c>
      <c r="E82" t="s">
        <v>51</v>
      </c>
      <c r="N82" t="s">
        <v>15</v>
      </c>
      <c r="O82" t="s">
        <v>67</v>
      </c>
      <c r="P82" s="7">
        <v>43281</v>
      </c>
      <c r="Q82" t="s">
        <v>50</v>
      </c>
      <c r="R82" s="4">
        <v>-6848</v>
      </c>
    </row>
    <row r="83" spans="1:18">
      <c r="A83" t="s">
        <v>28</v>
      </c>
      <c r="B83" t="s">
        <v>65</v>
      </c>
      <c r="C83" t="s">
        <v>66</v>
      </c>
      <c r="D83" t="s">
        <v>35</v>
      </c>
      <c r="E83" t="s">
        <v>51</v>
      </c>
      <c r="N83" t="s">
        <v>15</v>
      </c>
      <c r="O83" t="s">
        <v>68</v>
      </c>
      <c r="P83" s="7">
        <v>43281</v>
      </c>
      <c r="Q83" t="s">
        <v>50</v>
      </c>
      <c r="R83" s="4">
        <v>-9888.5400000000009</v>
      </c>
    </row>
    <row r="84" spans="1:18">
      <c r="A84" t="s">
        <v>28</v>
      </c>
      <c r="B84" t="s">
        <v>65</v>
      </c>
      <c r="C84" t="s">
        <v>66</v>
      </c>
      <c r="D84" t="s">
        <v>35</v>
      </c>
      <c r="E84" t="s">
        <v>51</v>
      </c>
      <c r="N84" t="s">
        <v>15</v>
      </c>
      <c r="O84" t="s">
        <v>69</v>
      </c>
      <c r="P84" s="7">
        <v>43281</v>
      </c>
      <c r="Q84" t="s">
        <v>50</v>
      </c>
      <c r="R84" s="4">
        <v>-1721.13</v>
      </c>
    </row>
    <row r="85" spans="1:18">
      <c r="A85" t="s">
        <v>28</v>
      </c>
      <c r="B85" t="s">
        <v>65</v>
      </c>
      <c r="C85" t="s">
        <v>66</v>
      </c>
      <c r="D85" t="s">
        <v>35</v>
      </c>
      <c r="E85" t="s">
        <v>51</v>
      </c>
      <c r="N85" t="s">
        <v>15</v>
      </c>
      <c r="O85" t="s">
        <v>70</v>
      </c>
      <c r="P85" s="7">
        <v>43281</v>
      </c>
      <c r="Q85" t="s">
        <v>50</v>
      </c>
      <c r="R85" s="4">
        <v>-419.39</v>
      </c>
    </row>
    <row r="86" spans="1:18">
      <c r="A86" t="s">
        <v>28</v>
      </c>
      <c r="B86" t="s">
        <v>65</v>
      </c>
      <c r="C86" t="s">
        <v>66</v>
      </c>
      <c r="D86" t="s">
        <v>35</v>
      </c>
      <c r="E86" t="s">
        <v>51</v>
      </c>
      <c r="N86" t="s">
        <v>15</v>
      </c>
      <c r="O86" t="s">
        <v>71</v>
      </c>
      <c r="P86" s="7">
        <v>43281</v>
      </c>
      <c r="Q86" t="s">
        <v>50</v>
      </c>
      <c r="R86" s="4">
        <v>-4268.95</v>
      </c>
    </row>
    <row r="87" spans="1:18">
      <c r="A87" t="s">
        <v>28</v>
      </c>
      <c r="B87" t="s">
        <v>24</v>
      </c>
      <c r="C87" t="s">
        <v>25</v>
      </c>
      <c r="D87" t="s">
        <v>35</v>
      </c>
      <c r="N87" t="s">
        <v>15</v>
      </c>
      <c r="O87" t="s">
        <v>53</v>
      </c>
      <c r="P87" s="7">
        <v>43281</v>
      </c>
      <c r="Q87" t="s">
        <v>54</v>
      </c>
      <c r="R87" s="4">
        <v>-238282.85</v>
      </c>
    </row>
    <row r="88" spans="1:18">
      <c r="A88" t="s">
        <v>28</v>
      </c>
      <c r="B88" t="s">
        <v>24</v>
      </c>
      <c r="C88" t="s">
        <v>25</v>
      </c>
      <c r="D88" t="s">
        <v>35</v>
      </c>
      <c r="N88" t="s">
        <v>16</v>
      </c>
      <c r="O88" t="s">
        <v>67</v>
      </c>
      <c r="P88" s="7">
        <v>43281</v>
      </c>
      <c r="Q88" t="s">
        <v>50</v>
      </c>
      <c r="R88" s="4">
        <v>6848</v>
      </c>
    </row>
    <row r="89" spans="1:18">
      <c r="A89" t="s">
        <v>28</v>
      </c>
      <c r="B89" t="s">
        <v>24</v>
      </c>
      <c r="C89" t="s">
        <v>25</v>
      </c>
      <c r="D89" t="s">
        <v>35</v>
      </c>
      <c r="N89" t="s">
        <v>16</v>
      </c>
      <c r="O89" t="s">
        <v>68</v>
      </c>
      <c r="P89" s="7">
        <v>43281</v>
      </c>
      <c r="Q89" t="s">
        <v>50</v>
      </c>
      <c r="R89" s="4">
        <v>9888.5400000000009</v>
      </c>
    </row>
    <row r="90" spans="1:18">
      <c r="A90" t="s">
        <v>28</v>
      </c>
      <c r="B90" t="s">
        <v>24</v>
      </c>
      <c r="C90" t="s">
        <v>25</v>
      </c>
      <c r="D90" t="s">
        <v>35</v>
      </c>
      <c r="N90" t="s">
        <v>16</v>
      </c>
      <c r="O90" t="s">
        <v>69</v>
      </c>
      <c r="P90" s="7">
        <v>43281</v>
      </c>
      <c r="Q90" t="s">
        <v>50</v>
      </c>
      <c r="R90" s="4">
        <v>1721.13</v>
      </c>
    </row>
    <row r="91" spans="1:18">
      <c r="A91" t="s">
        <v>28</v>
      </c>
      <c r="B91" t="s">
        <v>24</v>
      </c>
      <c r="C91" t="s">
        <v>25</v>
      </c>
      <c r="D91" t="s">
        <v>35</v>
      </c>
      <c r="N91" t="s">
        <v>16</v>
      </c>
      <c r="O91" t="s">
        <v>70</v>
      </c>
      <c r="P91" s="7">
        <v>43281</v>
      </c>
      <c r="Q91" t="s">
        <v>50</v>
      </c>
      <c r="R91" s="4">
        <v>419.39</v>
      </c>
    </row>
    <row r="92" spans="1:18">
      <c r="A92" t="s">
        <v>28</v>
      </c>
      <c r="B92" t="s">
        <v>24</v>
      </c>
      <c r="C92" t="s">
        <v>25</v>
      </c>
      <c r="D92" t="s">
        <v>35</v>
      </c>
      <c r="N92" t="s">
        <v>16</v>
      </c>
      <c r="O92" t="s">
        <v>71</v>
      </c>
      <c r="P92" s="7">
        <v>43281</v>
      </c>
      <c r="Q92" t="s">
        <v>50</v>
      </c>
      <c r="R92" s="4">
        <v>4268.95</v>
      </c>
    </row>
    <row r="93" spans="1:18">
      <c r="A93" t="s">
        <v>28</v>
      </c>
      <c r="B93" t="s">
        <v>48</v>
      </c>
      <c r="C93" t="s">
        <v>49</v>
      </c>
      <c r="D93" t="s">
        <v>35</v>
      </c>
      <c r="N93" t="s">
        <v>16</v>
      </c>
      <c r="O93" t="s">
        <v>37</v>
      </c>
      <c r="P93" s="7">
        <v>43281</v>
      </c>
      <c r="Q93" t="s">
        <v>50</v>
      </c>
      <c r="R93" s="4">
        <v>37977411.759999998</v>
      </c>
    </row>
    <row r="94" spans="1:18">
      <c r="A94" t="s">
        <v>28</v>
      </c>
      <c r="B94" t="s">
        <v>26</v>
      </c>
      <c r="C94" t="s">
        <v>27</v>
      </c>
      <c r="D94" t="s">
        <v>35</v>
      </c>
      <c r="N94" t="s">
        <v>16</v>
      </c>
      <c r="O94" t="s">
        <v>57</v>
      </c>
      <c r="P94" s="7">
        <v>43281</v>
      </c>
      <c r="Q94" t="s">
        <v>50</v>
      </c>
      <c r="R94" s="4">
        <v>5595.89</v>
      </c>
    </row>
    <row r="95" spans="1:18">
      <c r="A95" t="s">
        <v>28</v>
      </c>
      <c r="B95" t="s">
        <v>26</v>
      </c>
      <c r="C95" t="s">
        <v>27</v>
      </c>
      <c r="D95" t="s">
        <v>35</v>
      </c>
      <c r="N95" t="s">
        <v>16</v>
      </c>
      <c r="O95" t="s">
        <v>58</v>
      </c>
      <c r="P95" s="7">
        <v>43281</v>
      </c>
      <c r="Q95" t="s">
        <v>50</v>
      </c>
      <c r="R95" s="4">
        <v>1050.04</v>
      </c>
    </row>
    <row r="96" spans="1:18">
      <c r="A96" t="s">
        <v>28</v>
      </c>
      <c r="B96" t="s">
        <v>26</v>
      </c>
      <c r="C96" t="s">
        <v>27</v>
      </c>
      <c r="D96" t="s">
        <v>35</v>
      </c>
      <c r="N96" t="s">
        <v>16</v>
      </c>
      <c r="O96" t="s">
        <v>59</v>
      </c>
      <c r="P96" s="7">
        <v>43281</v>
      </c>
      <c r="Q96" t="s">
        <v>50</v>
      </c>
      <c r="R96" s="4">
        <v>10807</v>
      </c>
    </row>
    <row r="97" spans="1:18">
      <c r="A97" t="s">
        <v>28</v>
      </c>
      <c r="B97" t="s">
        <v>22</v>
      </c>
      <c r="C97" t="s">
        <v>23</v>
      </c>
      <c r="D97" t="s">
        <v>35</v>
      </c>
      <c r="N97" t="s">
        <v>15</v>
      </c>
      <c r="O97" t="s">
        <v>63</v>
      </c>
      <c r="P97" s="7">
        <v>43281</v>
      </c>
      <c r="Q97" t="s">
        <v>64</v>
      </c>
      <c r="R97" s="4">
        <v>-382.1</v>
      </c>
    </row>
    <row r="98" spans="1:18">
      <c r="A98" t="s">
        <v>28</v>
      </c>
      <c r="B98" t="s">
        <v>22</v>
      </c>
      <c r="C98" t="s">
        <v>23</v>
      </c>
      <c r="D98" t="s">
        <v>35</v>
      </c>
      <c r="N98" t="s">
        <v>15</v>
      </c>
      <c r="O98" t="s">
        <v>60</v>
      </c>
      <c r="P98" s="7">
        <v>43281</v>
      </c>
      <c r="Q98" t="s">
        <v>50</v>
      </c>
      <c r="R98" s="4">
        <v>-1019549.01</v>
      </c>
    </row>
    <row r="99" spans="1:18">
      <c r="A99" t="s">
        <v>28</v>
      </c>
      <c r="B99" t="s">
        <v>22</v>
      </c>
      <c r="C99" t="s">
        <v>23</v>
      </c>
      <c r="D99" t="s">
        <v>35</v>
      </c>
      <c r="N99" t="s">
        <v>16</v>
      </c>
      <c r="O99" t="s">
        <v>60</v>
      </c>
      <c r="P99" s="7">
        <v>43281</v>
      </c>
      <c r="Q99" t="s">
        <v>50</v>
      </c>
      <c r="R99" s="4">
        <v>1182606.6200000001</v>
      </c>
    </row>
    <row r="100" spans="1:18" ht="15.75" thickBot="1">
      <c r="P100">
        <v>98</v>
      </c>
      <c r="R100" s="5">
        <f ca="1">SUBTOTAL(9,R2:R99)</f>
        <v>2.5611370801925659E-9</v>
      </c>
    </row>
    <row r="101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2018-07-09T03:32:45Z</dcterms:modified>
</cp:coreProperties>
</file>