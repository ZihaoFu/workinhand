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5" windowWidth="28620" windowHeight="12660" firstSheet="1" activeTab="1"/>
  </bookViews>
  <sheets>
    <sheet name="AceSol" sheetId="4" state="veryHidden" r:id="rId1"/>
    <sheet name="Sheet1" sheetId="1" r:id="rId2"/>
    <sheet name="Sheet2" sheetId="2" r:id="rId3"/>
    <sheet name="Sheet3" sheetId="3" r:id="rId4"/>
  </sheets>
  <definedNames>
    <definedName name="_xlnm.Print_Area" localSheetId="1">Sheet1!$A$2:$R$62</definedName>
    <definedName name="_xlnm.Print_Titles" localSheetId="1">Sheet1!$1:$1</definedName>
  </definedNames>
  <calcPr calcId="125725" calcMode="manual" calcCompleted="0" calcOnSave="0" concurrentCalc="0"/>
</workbook>
</file>

<file path=xl/calcChain.xml><?xml version="1.0" encoding="utf-8"?>
<calcChain xmlns="http://schemas.openxmlformats.org/spreadsheetml/2006/main">
  <c r="R61" i="1"/>
</calcChain>
</file>

<file path=xl/sharedStrings.xml><?xml version="1.0" encoding="utf-8"?>
<sst xmlns="http://schemas.openxmlformats.org/spreadsheetml/2006/main" count="494" uniqueCount="129">
  <si>
    <t>a_ed</t>
  </si>
  <si>
    <t>科目代码</t>
  </si>
  <si>
    <t>科目名称</t>
  </si>
  <si>
    <t>分录来源</t>
  </si>
  <si>
    <t>T0现金流量</t>
  </si>
  <si>
    <t>T1险种/投资</t>
  </si>
  <si>
    <t>T2部门代码</t>
  </si>
  <si>
    <t>T3渠道</t>
  </si>
  <si>
    <t>T4专案项目/FUND</t>
  </si>
  <si>
    <t>T5费用控制</t>
  </si>
  <si>
    <t>T7关联方</t>
  </si>
  <si>
    <t>T9参考备注信息及合</t>
  </si>
  <si>
    <t>参考备注信息及合名称</t>
  </si>
  <si>
    <t>D/C</t>
  </si>
  <si>
    <t>金额</t>
  </si>
  <si>
    <t>C</t>
  </si>
  <si>
    <t>D</t>
  </si>
  <si>
    <t>摘要</t>
  </si>
  <si>
    <t>交易日期</t>
  </si>
  <si>
    <t>数据库名称</t>
  </si>
  <si>
    <t>5106050401</t>
  </si>
  <si>
    <t>佣金支出-间接-竞赛奖金及奖品-</t>
  </si>
  <si>
    <t>AD1</t>
  </si>
  <si>
    <t>L</t>
  </si>
  <si>
    <t>BG9</t>
  </si>
  <si>
    <t>520406</t>
  </si>
  <si>
    <t>业务宣传费-宣传推广费(GOE)</t>
  </si>
  <si>
    <t>传票号码</t>
  </si>
  <si>
    <t>上海分公司</t>
  </si>
  <si>
    <t>AB18060015</t>
  </si>
  <si>
    <t>AB18060031</t>
  </si>
  <si>
    <t>150502</t>
  </si>
  <si>
    <t>内部往来-保险-上海</t>
  </si>
  <si>
    <t>230905</t>
  </si>
  <si>
    <t>预提费用-销售与促销</t>
  </si>
  <si>
    <t>MK1</t>
  </si>
  <si>
    <t>AB18060024</t>
  </si>
  <si>
    <t>深圳</t>
  </si>
  <si>
    <t>a_ed("010+020+030+031+032+033+034+035+036+037+038+039+03A+03B+03C+03D+03E+040+041+042+043+044+045+046+047+048+049+04A","A","2018006","","PA","K=JnlSource,F='H03","Outp=DB_Name,Acc_Code,Acc_Name,JnlSource,T0,T1,T2,T3,T4,T5,T7,T9,T9Name,DrCr,Desc,TDate,TranRef,Amount","SIcn=,,,,,,,,,,,,,,,,,1","IncHdg=Y","","Uo=~~~~~~~~~~~~~~~~~~","","Xcode=1","Sort=,,,,,,,,,,,,,,,,,","Format=None,,,,,,,1","SupZ=1","FullA=0","Summ=Y","Ns=D","Top=","Opr=,,,,,,,,,,,,,,,,,","Rnd=,,,,,,,,,,,,,,,,,","Dp=,,,,,,,,,,,,,,,,,","Rd=N0","Cr=N",",Afit=Y,APs=Y,,",",ALck=Y,,",",,","Cell=Sheet1!$A$1","PrxRCE=","","Crfile=",)</t>
  </si>
  <si>
    <t>广州</t>
  </si>
  <si>
    <t>H03</t>
  </si>
  <si>
    <t>人才引荐会礼品</t>
  </si>
  <si>
    <t>AB18060043</t>
  </si>
  <si>
    <t>15050411</t>
  </si>
  <si>
    <t>内部往来-保险-广东-惠州</t>
  </si>
  <si>
    <t>惠州</t>
  </si>
  <si>
    <t>15050402</t>
  </si>
  <si>
    <t>内部往来-保险-广东-广州</t>
  </si>
  <si>
    <t>AB18060008</t>
  </si>
  <si>
    <t>520044</t>
  </si>
  <si>
    <t>其他费用-营销员招募</t>
  </si>
  <si>
    <t>SB4</t>
  </si>
  <si>
    <t>南京</t>
  </si>
  <si>
    <t>江苏全佑销售研习营</t>
  </si>
  <si>
    <t>15050703</t>
  </si>
  <si>
    <t>内部往来-保险-江苏-苏州</t>
  </si>
  <si>
    <t>150103</t>
  </si>
  <si>
    <t>内部往来-资产-深圳</t>
  </si>
  <si>
    <t>梦想先行者礼品</t>
  </si>
  <si>
    <t>15050401</t>
  </si>
  <si>
    <t>内部往来-保险-广东-虚拟</t>
  </si>
  <si>
    <t>15050701</t>
  </si>
  <si>
    <t>内部往来-保险-江苏-虚拟</t>
  </si>
  <si>
    <t>23050203</t>
  </si>
  <si>
    <t>应交城建税-营销员及主管</t>
  </si>
  <si>
    <t>旅游实物城建税</t>
  </si>
  <si>
    <t>23050303</t>
  </si>
  <si>
    <t>应交教育费附加-营销员及主管</t>
  </si>
  <si>
    <t>旅游实物地方教育费及附加</t>
  </si>
  <si>
    <t>23050602</t>
  </si>
  <si>
    <t>应交个人所得税-营销员及主管</t>
  </si>
  <si>
    <t>旅游实物个人所得税</t>
  </si>
  <si>
    <t>2305110801</t>
  </si>
  <si>
    <t>应交增值税-代扣代缴-营销员</t>
  </si>
  <si>
    <t>旅游实物应交增值税</t>
  </si>
  <si>
    <t>MDRT体检计税17SHVEA05</t>
  </si>
  <si>
    <t>华夏精英会17CSHVEA03</t>
  </si>
  <si>
    <t>新人挑战赛冲绳游17SHVEA07</t>
  </si>
  <si>
    <t>5106050403</t>
  </si>
  <si>
    <t>佣金支出-间接-竞赛出行费用-首</t>
  </si>
  <si>
    <t>AP1</t>
  </si>
  <si>
    <t>CY新晋主管之旅18PACN03002</t>
  </si>
  <si>
    <t>华夏精英会17CP01</t>
  </si>
  <si>
    <t>520010</t>
  </si>
  <si>
    <t>其他费用-营销员培训</t>
  </si>
  <si>
    <t>传世零距离嘉宾礼品</t>
  </si>
  <si>
    <t>5N0</t>
  </si>
  <si>
    <t>推动活动嘉宾礼品</t>
  </si>
  <si>
    <t>520407</t>
  </si>
  <si>
    <t>业务宣传费-市场推广费用-首年</t>
  </si>
  <si>
    <t>150102</t>
  </si>
  <si>
    <t>内部往来-资产-上海</t>
  </si>
  <si>
    <t>旅游实物应交城建税</t>
  </si>
  <si>
    <t>AB18060023</t>
  </si>
  <si>
    <t>旅游实物应交教育费及附加</t>
  </si>
  <si>
    <t>旅游实物应交个人所得税</t>
  </si>
  <si>
    <t>华夏精英会旅游计税</t>
  </si>
  <si>
    <t>五星会荣誉奖品计税</t>
  </si>
  <si>
    <t>AL五星会荣誉奖品032904</t>
  </si>
  <si>
    <t>CY二季度优增活动033017</t>
  </si>
  <si>
    <t>LY五星会荣誉奖品032904</t>
  </si>
  <si>
    <t>团拜活动红包计税</t>
  </si>
  <si>
    <t>AB18060029</t>
  </si>
  <si>
    <t>CY团拜活动红包18PASZ04</t>
  </si>
  <si>
    <t>SA3</t>
  </si>
  <si>
    <t>CY南山推动041912</t>
  </si>
  <si>
    <t>CY新晋主管之路122716</t>
  </si>
  <si>
    <t>AL华夏精英会旅游17CP01</t>
  </si>
  <si>
    <t>CY飞龙体验之旅012503</t>
  </si>
  <si>
    <t>LY华夏精英会旅游17CP01</t>
  </si>
  <si>
    <t>CY团险春季贵州行</t>
  </si>
  <si>
    <t>17年MDRT物资051804</t>
  </si>
  <si>
    <t>NPA毕业名片122707</t>
  </si>
  <si>
    <t>AT1</t>
  </si>
  <si>
    <t>NPA新人奖品计税</t>
  </si>
  <si>
    <t>未来总监特训营礼品</t>
  </si>
  <si>
    <t>AR1</t>
  </si>
  <si>
    <t>地王对话星力量</t>
  </si>
  <si>
    <t>地王对话星力量计税</t>
  </si>
  <si>
    <t>增员活动奖品计税</t>
  </si>
  <si>
    <t>520401</t>
  </si>
  <si>
    <t>业务宣传费-其他营销费用-首年</t>
  </si>
  <si>
    <t>CY南山推动030111</t>
  </si>
  <si>
    <t>CY高净值讲座礼品18GVSZ02</t>
  </si>
  <si>
    <t>苏州</t>
  </si>
  <si>
    <t>15050702</t>
  </si>
  <si>
    <t>内部往来-保险-江苏-南京</t>
  </si>
  <si>
    <t>AB18060017</t>
  </si>
  <si>
    <t>LY全佑销售研习营18GVSU02</t>
  </si>
</sst>
</file>

<file path=xl/styles.xml><?xml version="1.0" encoding="utf-8"?>
<styleSheet xmlns="http://schemas.openxmlformats.org/spreadsheetml/2006/main">
  <numFmts count="2">
    <numFmt numFmtId="164" formatCode="#,##0.00_);\(#,##0.00\);0.00_);"/>
    <numFmt numFmtId="165" formatCode="yyyy/mm/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0" borderId="0" xfId="0" applyNumberFormat="1"/>
    <xf numFmtId="49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164" fontId="0" fillId="0" borderId="0" xfId="0" applyNumberFormat="1"/>
    <xf numFmtId="164" fontId="0" fillId="0" borderId="1" xfId="0" applyNumberFormat="1" applyBorder="1"/>
    <xf numFmtId="165" fontId="1" fillId="0" borderId="0" xfId="0" applyNumberFormat="1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t="s">
        <v>0</v>
      </c>
      <c r="B1">
        <v>1</v>
      </c>
      <c r="C1" s="1">
        <v>43290.47550925926</v>
      </c>
      <c r="D1" t="s">
        <v>38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6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42578125" bestFit="1" customWidth="1"/>
    <col min="2" max="2" width="11" customWidth="1"/>
    <col min="3" max="3" width="31.7109375" customWidth="1"/>
    <col min="4" max="4" width="10.140625" customWidth="1"/>
    <col min="5" max="5" width="12.140625" customWidth="1"/>
    <col min="6" max="6" width="13.140625" bestFit="1" customWidth="1"/>
    <col min="7" max="7" width="12.140625" customWidth="1"/>
    <col min="8" max="8" width="7.5703125" customWidth="1"/>
    <col min="9" max="9" width="18.42578125" bestFit="1" customWidth="1"/>
    <col min="10" max="10" width="12.140625" bestFit="1" customWidth="1"/>
    <col min="11" max="11" width="9.85546875" customWidth="1"/>
    <col min="12" max="12" width="21.7109375" customWidth="1"/>
    <col min="13" max="13" width="24.28515625" customWidth="1"/>
    <col min="14" max="14" width="4.28515625" customWidth="1"/>
    <col min="15" max="15" width="28.5703125" customWidth="1"/>
    <col min="16" max="16" width="10.140625" customWidth="1"/>
    <col min="17" max="17" width="11.42578125" customWidth="1"/>
    <col min="18" max="18" width="11.5703125" customWidth="1"/>
  </cols>
  <sheetData>
    <row r="1" spans="1:18">
      <c r="A1" s="6" t="s">
        <v>19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17</v>
      </c>
      <c r="P1" s="2" t="s">
        <v>18</v>
      </c>
      <c r="Q1" s="2" t="s">
        <v>27</v>
      </c>
      <c r="R1" s="3" t="s">
        <v>14</v>
      </c>
    </row>
    <row r="2" spans="1:18">
      <c r="A2" t="s">
        <v>39</v>
      </c>
      <c r="B2" t="s">
        <v>31</v>
      </c>
      <c r="C2" t="s">
        <v>32</v>
      </c>
      <c r="D2" t="s">
        <v>40</v>
      </c>
      <c r="N2" t="s">
        <v>15</v>
      </c>
      <c r="O2" t="s">
        <v>41</v>
      </c>
      <c r="P2" s="7">
        <v>43281</v>
      </c>
      <c r="Q2" t="s">
        <v>42</v>
      </c>
      <c r="R2" s="4">
        <v>-84.23</v>
      </c>
    </row>
    <row r="3" spans="1:18">
      <c r="A3" t="s">
        <v>39</v>
      </c>
      <c r="B3" t="s">
        <v>43</v>
      </c>
      <c r="C3" t="s">
        <v>44</v>
      </c>
      <c r="D3" t="s">
        <v>40</v>
      </c>
      <c r="N3" t="s">
        <v>16</v>
      </c>
      <c r="O3" t="s">
        <v>41</v>
      </c>
      <c r="P3" s="7">
        <v>43281</v>
      </c>
      <c r="Q3" t="s">
        <v>42</v>
      </c>
      <c r="R3" s="4">
        <v>84.23</v>
      </c>
    </row>
    <row r="4" spans="1:18">
      <c r="A4" t="s">
        <v>45</v>
      </c>
      <c r="B4" t="s">
        <v>46</v>
      </c>
      <c r="C4" t="s">
        <v>47</v>
      </c>
      <c r="D4" t="s">
        <v>40</v>
      </c>
      <c r="N4" t="s">
        <v>15</v>
      </c>
      <c r="O4" t="s">
        <v>41</v>
      </c>
      <c r="P4" s="7">
        <v>43281</v>
      </c>
      <c r="Q4" t="s">
        <v>48</v>
      </c>
      <c r="R4" s="4">
        <v>-84.23</v>
      </c>
    </row>
    <row r="5" spans="1:18">
      <c r="A5" t="s">
        <v>45</v>
      </c>
      <c r="B5" t="s">
        <v>49</v>
      </c>
      <c r="C5" t="s">
        <v>50</v>
      </c>
      <c r="D5" t="s">
        <v>40</v>
      </c>
      <c r="G5" t="s">
        <v>51</v>
      </c>
      <c r="N5" t="s">
        <v>16</v>
      </c>
      <c r="O5" t="s">
        <v>41</v>
      </c>
      <c r="P5" s="7">
        <v>43281</v>
      </c>
      <c r="Q5" t="s">
        <v>48</v>
      </c>
      <c r="R5" s="4">
        <v>84.23</v>
      </c>
    </row>
    <row r="6" spans="1:18">
      <c r="A6" t="s">
        <v>52</v>
      </c>
      <c r="B6" t="s">
        <v>31</v>
      </c>
      <c r="C6" t="s">
        <v>32</v>
      </c>
      <c r="D6" t="s">
        <v>40</v>
      </c>
      <c r="N6" t="s">
        <v>15</v>
      </c>
      <c r="O6" t="s">
        <v>53</v>
      </c>
      <c r="P6" s="7">
        <v>43281</v>
      </c>
      <c r="Q6" t="s">
        <v>29</v>
      </c>
      <c r="R6" s="4">
        <v>-174.37</v>
      </c>
    </row>
    <row r="7" spans="1:18">
      <c r="A7" t="s">
        <v>52</v>
      </c>
      <c r="B7" t="s">
        <v>54</v>
      </c>
      <c r="C7" t="s">
        <v>55</v>
      </c>
      <c r="D7" t="s">
        <v>40</v>
      </c>
      <c r="N7" t="s">
        <v>16</v>
      </c>
      <c r="O7" t="s">
        <v>53</v>
      </c>
      <c r="P7" s="7">
        <v>43281</v>
      </c>
      <c r="Q7" t="s">
        <v>29</v>
      </c>
      <c r="R7" s="4">
        <v>174.37</v>
      </c>
    </row>
    <row r="8" spans="1:18">
      <c r="A8" t="s">
        <v>28</v>
      </c>
      <c r="B8" t="s">
        <v>56</v>
      </c>
      <c r="C8" t="s">
        <v>57</v>
      </c>
      <c r="D8" t="s">
        <v>40</v>
      </c>
      <c r="N8" t="s">
        <v>16</v>
      </c>
      <c r="O8" t="s">
        <v>58</v>
      </c>
      <c r="P8" s="7">
        <v>43281</v>
      </c>
      <c r="Q8" t="s">
        <v>30</v>
      </c>
      <c r="R8" s="4">
        <v>368.27</v>
      </c>
    </row>
    <row r="9" spans="1:18">
      <c r="A9" t="s">
        <v>28</v>
      </c>
      <c r="B9" t="s">
        <v>59</v>
      </c>
      <c r="C9" t="s">
        <v>60</v>
      </c>
      <c r="D9" t="s">
        <v>40</v>
      </c>
      <c r="N9" t="s">
        <v>16</v>
      </c>
      <c r="O9" t="s">
        <v>41</v>
      </c>
      <c r="P9" s="7">
        <v>43281</v>
      </c>
      <c r="Q9" t="s">
        <v>30</v>
      </c>
      <c r="R9" s="4">
        <v>84.23</v>
      </c>
    </row>
    <row r="10" spans="1:18">
      <c r="A10" t="s">
        <v>28</v>
      </c>
      <c r="B10" t="s">
        <v>61</v>
      </c>
      <c r="C10" t="s">
        <v>62</v>
      </c>
      <c r="D10" t="s">
        <v>40</v>
      </c>
      <c r="N10" t="s">
        <v>16</v>
      </c>
      <c r="O10" t="s">
        <v>53</v>
      </c>
      <c r="P10" s="7">
        <v>43281</v>
      </c>
      <c r="Q10" t="s">
        <v>30</v>
      </c>
      <c r="R10" s="4">
        <v>174.37</v>
      </c>
    </row>
    <row r="11" spans="1:18">
      <c r="A11" t="s">
        <v>28</v>
      </c>
      <c r="B11" t="s">
        <v>63</v>
      </c>
      <c r="C11" t="s">
        <v>64</v>
      </c>
      <c r="D11" t="s">
        <v>40</v>
      </c>
      <c r="N11" t="s">
        <v>15</v>
      </c>
      <c r="O11" t="s">
        <v>65</v>
      </c>
      <c r="P11" s="7">
        <v>43281</v>
      </c>
      <c r="Q11" t="s">
        <v>30</v>
      </c>
      <c r="R11" s="4">
        <v>-6016.06</v>
      </c>
    </row>
    <row r="12" spans="1:18">
      <c r="A12" t="s">
        <v>28</v>
      </c>
      <c r="B12" t="s">
        <v>66</v>
      </c>
      <c r="C12" t="s">
        <v>67</v>
      </c>
      <c r="D12" t="s">
        <v>40</v>
      </c>
      <c r="N12" t="s">
        <v>15</v>
      </c>
      <c r="O12" t="s">
        <v>68</v>
      </c>
      <c r="P12" s="7">
        <v>43281</v>
      </c>
      <c r="Q12" t="s">
        <v>30</v>
      </c>
      <c r="R12" s="4">
        <v>-2762.27</v>
      </c>
    </row>
    <row r="13" spans="1:18">
      <c r="A13" t="s">
        <v>28</v>
      </c>
      <c r="B13" t="s">
        <v>69</v>
      </c>
      <c r="C13" t="s">
        <v>70</v>
      </c>
      <c r="D13" t="s">
        <v>40</v>
      </c>
      <c r="N13" t="s">
        <v>15</v>
      </c>
      <c r="O13" t="s">
        <v>71</v>
      </c>
      <c r="P13" s="7">
        <v>43281</v>
      </c>
      <c r="Q13" t="s">
        <v>30</v>
      </c>
      <c r="R13" s="4">
        <v>-367321.5</v>
      </c>
    </row>
    <row r="14" spans="1:18">
      <c r="A14" t="s">
        <v>28</v>
      </c>
      <c r="B14" t="s">
        <v>72</v>
      </c>
      <c r="C14" t="s">
        <v>73</v>
      </c>
      <c r="D14" t="s">
        <v>40</v>
      </c>
      <c r="N14" t="s">
        <v>15</v>
      </c>
      <c r="O14" t="s">
        <v>74</v>
      </c>
      <c r="P14" s="7">
        <v>43281</v>
      </c>
      <c r="Q14" t="s">
        <v>30</v>
      </c>
      <c r="R14" s="4">
        <v>-85943.11</v>
      </c>
    </row>
    <row r="15" spans="1:18">
      <c r="A15" t="s">
        <v>28</v>
      </c>
      <c r="B15" t="s">
        <v>33</v>
      </c>
      <c r="C15" t="s">
        <v>34</v>
      </c>
      <c r="D15" t="s">
        <v>40</v>
      </c>
      <c r="N15" t="s">
        <v>16</v>
      </c>
      <c r="O15" t="s">
        <v>75</v>
      </c>
      <c r="P15" s="7">
        <v>43281</v>
      </c>
      <c r="Q15" t="s">
        <v>30</v>
      </c>
      <c r="R15" s="4">
        <v>15008.86</v>
      </c>
    </row>
    <row r="16" spans="1:18">
      <c r="A16" t="s">
        <v>28</v>
      </c>
      <c r="B16" t="s">
        <v>33</v>
      </c>
      <c r="C16" t="s">
        <v>34</v>
      </c>
      <c r="D16" t="s">
        <v>40</v>
      </c>
      <c r="N16" t="s">
        <v>16</v>
      </c>
      <c r="O16" t="s">
        <v>76</v>
      </c>
      <c r="P16" s="7">
        <v>43281</v>
      </c>
      <c r="Q16" t="s">
        <v>30</v>
      </c>
      <c r="R16" s="4">
        <v>178746.7</v>
      </c>
    </row>
    <row r="17" spans="1:18">
      <c r="A17" t="s">
        <v>28</v>
      </c>
      <c r="B17" t="s">
        <v>33</v>
      </c>
      <c r="C17" t="s">
        <v>34</v>
      </c>
      <c r="D17" t="s">
        <v>40</v>
      </c>
      <c r="N17" t="s">
        <v>16</v>
      </c>
      <c r="O17" t="s">
        <v>77</v>
      </c>
      <c r="P17" s="7">
        <v>43281</v>
      </c>
      <c r="Q17" t="s">
        <v>30</v>
      </c>
      <c r="R17" s="4">
        <v>253051.29</v>
      </c>
    </row>
    <row r="18" spans="1:18">
      <c r="A18" t="s">
        <v>28</v>
      </c>
      <c r="B18" t="s">
        <v>78</v>
      </c>
      <c r="C18" t="s">
        <v>79</v>
      </c>
      <c r="D18" t="s">
        <v>40</v>
      </c>
      <c r="G18" t="s">
        <v>80</v>
      </c>
      <c r="J18" t="s">
        <v>15</v>
      </c>
      <c r="N18" t="s">
        <v>16</v>
      </c>
      <c r="O18" t="s">
        <v>81</v>
      </c>
      <c r="P18" s="7">
        <v>43281</v>
      </c>
      <c r="Q18" t="s">
        <v>30</v>
      </c>
      <c r="R18" s="4">
        <v>14391.35</v>
      </c>
    </row>
    <row r="19" spans="1:18">
      <c r="A19" t="s">
        <v>28</v>
      </c>
      <c r="B19" t="s">
        <v>78</v>
      </c>
      <c r="C19" t="s">
        <v>79</v>
      </c>
      <c r="D19" t="s">
        <v>40</v>
      </c>
      <c r="G19" t="s">
        <v>80</v>
      </c>
      <c r="J19" t="s">
        <v>23</v>
      </c>
      <c r="N19" t="s">
        <v>15</v>
      </c>
      <c r="O19" t="s">
        <v>82</v>
      </c>
      <c r="P19" s="7">
        <v>43281</v>
      </c>
      <c r="Q19" t="s">
        <v>30</v>
      </c>
      <c r="R19" s="4">
        <v>-178746.7</v>
      </c>
    </row>
    <row r="20" spans="1:18">
      <c r="A20" t="s">
        <v>28</v>
      </c>
      <c r="B20" t="s">
        <v>78</v>
      </c>
      <c r="C20" t="s">
        <v>79</v>
      </c>
      <c r="D20" t="s">
        <v>40</v>
      </c>
      <c r="G20" t="s">
        <v>80</v>
      </c>
      <c r="J20" t="s">
        <v>23</v>
      </c>
      <c r="N20" t="s">
        <v>15</v>
      </c>
      <c r="O20" t="s">
        <v>77</v>
      </c>
      <c r="P20" s="7">
        <v>43281</v>
      </c>
      <c r="Q20" t="s">
        <v>30</v>
      </c>
      <c r="R20" s="4">
        <v>-253051.29</v>
      </c>
    </row>
    <row r="21" spans="1:18">
      <c r="A21" t="s">
        <v>28</v>
      </c>
      <c r="B21" t="s">
        <v>78</v>
      </c>
      <c r="C21" t="s">
        <v>79</v>
      </c>
      <c r="D21" t="s">
        <v>40</v>
      </c>
      <c r="G21" t="s">
        <v>80</v>
      </c>
      <c r="J21" t="s">
        <v>23</v>
      </c>
      <c r="N21" t="s">
        <v>16</v>
      </c>
      <c r="O21" t="s">
        <v>82</v>
      </c>
      <c r="P21" s="7">
        <v>43281</v>
      </c>
      <c r="Q21" t="s">
        <v>30</v>
      </c>
      <c r="R21" s="4">
        <v>178746.7</v>
      </c>
    </row>
    <row r="22" spans="1:18">
      <c r="A22" t="s">
        <v>28</v>
      </c>
      <c r="B22" t="s">
        <v>78</v>
      </c>
      <c r="C22" t="s">
        <v>79</v>
      </c>
      <c r="D22" t="s">
        <v>40</v>
      </c>
      <c r="G22" t="s">
        <v>80</v>
      </c>
      <c r="J22" t="s">
        <v>23</v>
      </c>
      <c r="N22" t="s">
        <v>16</v>
      </c>
      <c r="O22" t="s">
        <v>77</v>
      </c>
      <c r="P22" s="7">
        <v>43281</v>
      </c>
      <c r="Q22" t="s">
        <v>30</v>
      </c>
      <c r="R22" s="4">
        <v>253051.29</v>
      </c>
    </row>
    <row r="23" spans="1:18">
      <c r="A23" t="s">
        <v>28</v>
      </c>
      <c r="B23" t="s">
        <v>83</v>
      </c>
      <c r="C23" t="s">
        <v>84</v>
      </c>
      <c r="D23" t="s">
        <v>40</v>
      </c>
      <c r="G23" t="s">
        <v>35</v>
      </c>
      <c r="N23" t="s">
        <v>16</v>
      </c>
      <c r="O23" t="s">
        <v>85</v>
      </c>
      <c r="P23" s="7">
        <v>43281</v>
      </c>
      <c r="Q23" t="s">
        <v>30</v>
      </c>
      <c r="R23" s="4">
        <v>165.9</v>
      </c>
    </row>
    <row r="24" spans="1:18">
      <c r="A24" t="s">
        <v>28</v>
      </c>
      <c r="B24" t="s">
        <v>25</v>
      </c>
      <c r="C24" t="s">
        <v>26</v>
      </c>
      <c r="D24" t="s">
        <v>40</v>
      </c>
      <c r="G24" t="s">
        <v>86</v>
      </c>
      <c r="N24" t="s">
        <v>16</v>
      </c>
      <c r="O24" t="s">
        <v>87</v>
      </c>
      <c r="P24" s="7">
        <v>43281</v>
      </c>
      <c r="Q24" t="s">
        <v>30</v>
      </c>
      <c r="R24" s="4">
        <v>51.97</v>
      </c>
    </row>
    <row r="25" spans="1:18">
      <c r="A25" t="s">
        <v>28</v>
      </c>
      <c r="B25" t="s">
        <v>88</v>
      </c>
      <c r="C25" t="s">
        <v>89</v>
      </c>
      <c r="D25" t="s">
        <v>40</v>
      </c>
      <c r="G25" t="s">
        <v>80</v>
      </c>
      <c r="J25" t="s">
        <v>15</v>
      </c>
      <c r="N25" t="s">
        <v>15</v>
      </c>
      <c r="O25" t="s">
        <v>75</v>
      </c>
      <c r="P25" s="7">
        <v>43281</v>
      </c>
      <c r="Q25" t="s">
        <v>30</v>
      </c>
      <c r="R25" s="4">
        <v>-15008.86</v>
      </c>
    </row>
    <row r="26" spans="1:18">
      <c r="A26" t="s">
        <v>28</v>
      </c>
      <c r="B26" t="s">
        <v>88</v>
      </c>
      <c r="C26" t="s">
        <v>89</v>
      </c>
      <c r="D26" t="s">
        <v>40</v>
      </c>
      <c r="G26" t="s">
        <v>80</v>
      </c>
      <c r="J26" t="s">
        <v>15</v>
      </c>
      <c r="N26" t="s">
        <v>16</v>
      </c>
      <c r="O26" t="s">
        <v>75</v>
      </c>
      <c r="P26" s="7">
        <v>43281</v>
      </c>
      <c r="Q26" t="s">
        <v>30</v>
      </c>
      <c r="R26" s="4">
        <v>15008.86</v>
      </c>
    </row>
    <row r="27" spans="1:18">
      <c r="A27" t="s">
        <v>37</v>
      </c>
      <c r="B27" t="s">
        <v>90</v>
      </c>
      <c r="C27" t="s">
        <v>91</v>
      </c>
      <c r="D27" t="s">
        <v>40</v>
      </c>
      <c r="N27" t="s">
        <v>15</v>
      </c>
      <c r="O27" t="s">
        <v>58</v>
      </c>
      <c r="P27" s="7">
        <v>43281</v>
      </c>
      <c r="Q27" t="s">
        <v>36</v>
      </c>
      <c r="R27" s="4">
        <v>-368.27</v>
      </c>
    </row>
    <row r="28" spans="1:18">
      <c r="A28" t="s">
        <v>37</v>
      </c>
      <c r="B28" t="s">
        <v>63</v>
      </c>
      <c r="C28" t="s">
        <v>64</v>
      </c>
      <c r="D28" t="s">
        <v>40</v>
      </c>
      <c r="N28" t="s">
        <v>15</v>
      </c>
      <c r="O28" t="s">
        <v>92</v>
      </c>
      <c r="P28" s="7">
        <v>43281</v>
      </c>
      <c r="Q28" t="s">
        <v>93</v>
      </c>
      <c r="R28" s="4">
        <v>-1681.8</v>
      </c>
    </row>
    <row r="29" spans="1:18">
      <c r="A29" t="s">
        <v>37</v>
      </c>
      <c r="B29" t="s">
        <v>66</v>
      </c>
      <c r="C29" t="s">
        <v>67</v>
      </c>
      <c r="D29" t="s">
        <v>40</v>
      </c>
      <c r="N29" t="s">
        <v>15</v>
      </c>
      <c r="O29" t="s">
        <v>94</v>
      </c>
      <c r="P29" s="7">
        <v>43281</v>
      </c>
      <c r="Q29" t="s">
        <v>93</v>
      </c>
      <c r="R29" s="4">
        <v>-539.36</v>
      </c>
    </row>
    <row r="30" spans="1:18">
      <c r="A30" t="s">
        <v>37</v>
      </c>
      <c r="B30" t="s">
        <v>69</v>
      </c>
      <c r="C30" t="s">
        <v>70</v>
      </c>
      <c r="D30" t="s">
        <v>40</v>
      </c>
      <c r="N30" t="s">
        <v>15</v>
      </c>
      <c r="O30" t="s">
        <v>95</v>
      </c>
      <c r="P30" s="7">
        <v>43281</v>
      </c>
      <c r="Q30" t="s">
        <v>93</v>
      </c>
      <c r="R30" s="4">
        <v>-112061.2</v>
      </c>
    </row>
    <row r="31" spans="1:18">
      <c r="A31" t="s">
        <v>37</v>
      </c>
      <c r="B31" t="s">
        <v>72</v>
      </c>
      <c r="C31" t="s">
        <v>73</v>
      </c>
      <c r="D31" t="s">
        <v>40</v>
      </c>
      <c r="N31" t="s">
        <v>15</v>
      </c>
      <c r="O31" t="s">
        <v>74</v>
      </c>
      <c r="P31" s="7">
        <v>43281</v>
      </c>
      <c r="Q31" t="s">
        <v>93</v>
      </c>
      <c r="R31" s="4">
        <v>-24025.4</v>
      </c>
    </row>
    <row r="32" spans="1:18">
      <c r="A32" t="s">
        <v>37</v>
      </c>
      <c r="B32" t="s">
        <v>33</v>
      </c>
      <c r="C32" t="s">
        <v>34</v>
      </c>
      <c r="D32" t="s">
        <v>40</v>
      </c>
      <c r="N32" t="s">
        <v>16</v>
      </c>
      <c r="O32" t="s">
        <v>96</v>
      </c>
      <c r="P32" s="7">
        <v>43281</v>
      </c>
      <c r="Q32" t="s">
        <v>93</v>
      </c>
      <c r="R32" s="4">
        <v>44397.98</v>
      </c>
    </row>
    <row r="33" spans="1:18">
      <c r="A33" t="s">
        <v>37</v>
      </c>
      <c r="B33" t="s">
        <v>33</v>
      </c>
      <c r="C33" t="s">
        <v>34</v>
      </c>
      <c r="D33" t="s">
        <v>40</v>
      </c>
      <c r="N33" t="s">
        <v>16</v>
      </c>
      <c r="O33" t="s">
        <v>97</v>
      </c>
      <c r="P33" s="7">
        <v>43281</v>
      </c>
      <c r="Q33" t="s">
        <v>93</v>
      </c>
      <c r="R33" s="4">
        <v>19741.919999999998</v>
      </c>
    </row>
    <row r="34" spans="1:18">
      <c r="A34" t="s">
        <v>37</v>
      </c>
      <c r="B34" t="s">
        <v>20</v>
      </c>
      <c r="C34" t="s">
        <v>21</v>
      </c>
      <c r="D34" t="s">
        <v>40</v>
      </c>
      <c r="G34" t="s">
        <v>22</v>
      </c>
      <c r="J34" t="s">
        <v>23</v>
      </c>
      <c r="N34" t="s">
        <v>15</v>
      </c>
      <c r="O34" t="s">
        <v>98</v>
      </c>
      <c r="P34" s="7">
        <v>43281</v>
      </c>
      <c r="Q34" t="s">
        <v>93</v>
      </c>
      <c r="R34" s="4">
        <v>-19741.919999999998</v>
      </c>
    </row>
    <row r="35" spans="1:18">
      <c r="A35" t="s">
        <v>37</v>
      </c>
      <c r="B35" t="s">
        <v>20</v>
      </c>
      <c r="C35" t="s">
        <v>21</v>
      </c>
      <c r="D35" t="s">
        <v>40</v>
      </c>
      <c r="G35" t="s">
        <v>22</v>
      </c>
      <c r="J35" t="s">
        <v>23</v>
      </c>
      <c r="N35" t="s">
        <v>16</v>
      </c>
      <c r="O35" t="s">
        <v>99</v>
      </c>
      <c r="P35" s="7">
        <v>43281</v>
      </c>
      <c r="Q35" t="s">
        <v>93</v>
      </c>
      <c r="R35" s="4">
        <v>43.3</v>
      </c>
    </row>
    <row r="36" spans="1:18">
      <c r="A36" t="s">
        <v>37</v>
      </c>
      <c r="B36" t="s">
        <v>20</v>
      </c>
      <c r="C36" t="s">
        <v>21</v>
      </c>
      <c r="D36" t="s">
        <v>40</v>
      </c>
      <c r="G36" t="s">
        <v>22</v>
      </c>
      <c r="J36" t="s">
        <v>23</v>
      </c>
      <c r="N36" t="s">
        <v>16</v>
      </c>
      <c r="O36" t="s">
        <v>100</v>
      </c>
      <c r="P36" s="7">
        <v>43281</v>
      </c>
      <c r="Q36" t="s">
        <v>93</v>
      </c>
      <c r="R36" s="4">
        <v>19741.919999999998</v>
      </c>
    </row>
    <row r="37" spans="1:18">
      <c r="A37" t="s">
        <v>37</v>
      </c>
      <c r="B37" t="s">
        <v>20</v>
      </c>
      <c r="C37" t="s">
        <v>21</v>
      </c>
      <c r="D37" t="s">
        <v>40</v>
      </c>
      <c r="G37" t="s">
        <v>80</v>
      </c>
      <c r="J37" t="s">
        <v>23</v>
      </c>
      <c r="N37" t="s">
        <v>15</v>
      </c>
      <c r="O37" t="s">
        <v>101</v>
      </c>
      <c r="P37" s="7">
        <v>43281</v>
      </c>
      <c r="Q37" t="s">
        <v>102</v>
      </c>
      <c r="R37" s="4">
        <v>-5574.89</v>
      </c>
    </row>
    <row r="38" spans="1:18">
      <c r="A38" t="s">
        <v>37</v>
      </c>
      <c r="B38" t="s">
        <v>20</v>
      </c>
      <c r="C38" t="s">
        <v>21</v>
      </c>
      <c r="D38" t="s">
        <v>40</v>
      </c>
      <c r="G38" t="s">
        <v>80</v>
      </c>
      <c r="J38" t="s">
        <v>23</v>
      </c>
      <c r="N38" t="s">
        <v>16</v>
      </c>
      <c r="O38" t="s">
        <v>103</v>
      </c>
      <c r="P38" s="7">
        <v>43281</v>
      </c>
      <c r="Q38" t="s">
        <v>102</v>
      </c>
      <c r="R38" s="4">
        <v>5574.89</v>
      </c>
    </row>
    <row r="39" spans="1:18">
      <c r="A39" t="s">
        <v>37</v>
      </c>
      <c r="B39" t="s">
        <v>20</v>
      </c>
      <c r="C39" t="s">
        <v>21</v>
      </c>
      <c r="D39" t="s">
        <v>40</v>
      </c>
      <c r="G39" t="s">
        <v>80</v>
      </c>
      <c r="J39" t="s">
        <v>23</v>
      </c>
      <c r="N39" t="s">
        <v>16</v>
      </c>
      <c r="O39" t="s">
        <v>101</v>
      </c>
      <c r="P39" s="7">
        <v>43281</v>
      </c>
      <c r="Q39" t="s">
        <v>93</v>
      </c>
      <c r="R39" s="4">
        <v>5574.89</v>
      </c>
    </row>
    <row r="40" spans="1:18">
      <c r="A40" t="s">
        <v>37</v>
      </c>
      <c r="B40" t="s">
        <v>20</v>
      </c>
      <c r="C40" t="s">
        <v>21</v>
      </c>
      <c r="D40" t="s">
        <v>40</v>
      </c>
      <c r="G40" t="s">
        <v>104</v>
      </c>
      <c r="J40" t="s">
        <v>23</v>
      </c>
      <c r="N40" t="s">
        <v>16</v>
      </c>
      <c r="O40" t="s">
        <v>105</v>
      </c>
      <c r="P40" s="7">
        <v>43281</v>
      </c>
      <c r="Q40" t="s">
        <v>93</v>
      </c>
      <c r="R40" s="4">
        <v>131.05000000000001</v>
      </c>
    </row>
    <row r="41" spans="1:18">
      <c r="A41" t="s">
        <v>37</v>
      </c>
      <c r="B41" t="s">
        <v>78</v>
      </c>
      <c r="C41" t="s">
        <v>79</v>
      </c>
      <c r="D41" t="s">
        <v>40</v>
      </c>
      <c r="G41" t="s">
        <v>22</v>
      </c>
      <c r="J41" t="s">
        <v>15</v>
      </c>
      <c r="N41" t="s">
        <v>16</v>
      </c>
      <c r="O41" t="s">
        <v>106</v>
      </c>
      <c r="P41" s="7">
        <v>43281</v>
      </c>
      <c r="Q41" t="s">
        <v>93</v>
      </c>
      <c r="R41" s="4">
        <v>1327.82</v>
      </c>
    </row>
    <row r="42" spans="1:18">
      <c r="A42" t="s">
        <v>37</v>
      </c>
      <c r="B42" t="s">
        <v>78</v>
      </c>
      <c r="C42" t="s">
        <v>79</v>
      </c>
      <c r="D42" t="s">
        <v>40</v>
      </c>
      <c r="G42" t="s">
        <v>22</v>
      </c>
      <c r="J42" t="s">
        <v>23</v>
      </c>
      <c r="N42" t="s">
        <v>15</v>
      </c>
      <c r="O42" t="s">
        <v>107</v>
      </c>
      <c r="P42" s="7">
        <v>43281</v>
      </c>
      <c r="Q42" t="s">
        <v>93</v>
      </c>
      <c r="R42" s="4">
        <v>-44397.98</v>
      </c>
    </row>
    <row r="43" spans="1:18">
      <c r="A43" t="s">
        <v>37</v>
      </c>
      <c r="B43" t="s">
        <v>78</v>
      </c>
      <c r="C43" t="s">
        <v>79</v>
      </c>
      <c r="D43" t="s">
        <v>40</v>
      </c>
      <c r="G43" t="s">
        <v>22</v>
      </c>
      <c r="J43" t="s">
        <v>23</v>
      </c>
      <c r="N43" t="s">
        <v>16</v>
      </c>
      <c r="O43" t="s">
        <v>108</v>
      </c>
      <c r="P43" s="7">
        <v>43281</v>
      </c>
      <c r="Q43" t="s">
        <v>93</v>
      </c>
      <c r="R43" s="4">
        <v>50110.28</v>
      </c>
    </row>
    <row r="44" spans="1:18">
      <c r="A44" t="s">
        <v>37</v>
      </c>
      <c r="B44" t="s">
        <v>78</v>
      </c>
      <c r="C44" t="s">
        <v>79</v>
      </c>
      <c r="D44" t="s">
        <v>40</v>
      </c>
      <c r="G44" t="s">
        <v>22</v>
      </c>
      <c r="J44" t="s">
        <v>23</v>
      </c>
      <c r="N44" t="s">
        <v>16</v>
      </c>
      <c r="O44" t="s">
        <v>109</v>
      </c>
      <c r="P44" s="7">
        <v>43281</v>
      </c>
      <c r="Q44" t="s">
        <v>93</v>
      </c>
      <c r="R44" s="4">
        <v>44397.98</v>
      </c>
    </row>
    <row r="45" spans="1:18">
      <c r="A45" t="s">
        <v>37</v>
      </c>
      <c r="B45" t="s">
        <v>78</v>
      </c>
      <c r="C45" t="s">
        <v>79</v>
      </c>
      <c r="D45" t="s">
        <v>40</v>
      </c>
      <c r="G45" t="s">
        <v>24</v>
      </c>
      <c r="J45" t="s">
        <v>23</v>
      </c>
      <c r="N45" t="s">
        <v>16</v>
      </c>
      <c r="O45" t="s">
        <v>110</v>
      </c>
      <c r="P45" s="7">
        <v>43281</v>
      </c>
      <c r="Q45" t="s">
        <v>93</v>
      </c>
      <c r="R45" s="4">
        <v>13273.16</v>
      </c>
    </row>
    <row r="46" spans="1:18">
      <c r="A46" t="s">
        <v>37</v>
      </c>
      <c r="B46" t="s">
        <v>83</v>
      </c>
      <c r="C46" t="s">
        <v>84</v>
      </c>
      <c r="D46" t="s">
        <v>40</v>
      </c>
      <c r="G46" t="s">
        <v>22</v>
      </c>
      <c r="N46" t="s">
        <v>16</v>
      </c>
      <c r="O46" t="s">
        <v>111</v>
      </c>
      <c r="P46" s="7">
        <v>43281</v>
      </c>
      <c r="Q46" t="s">
        <v>93</v>
      </c>
      <c r="R46" s="4">
        <v>198.74</v>
      </c>
    </row>
    <row r="47" spans="1:18">
      <c r="A47" t="s">
        <v>37</v>
      </c>
      <c r="B47" t="s">
        <v>83</v>
      </c>
      <c r="C47" t="s">
        <v>84</v>
      </c>
      <c r="D47" t="s">
        <v>40</v>
      </c>
      <c r="G47" t="s">
        <v>22</v>
      </c>
      <c r="N47" t="s">
        <v>16</v>
      </c>
      <c r="O47" t="s">
        <v>112</v>
      </c>
      <c r="P47" s="7">
        <v>43281</v>
      </c>
      <c r="Q47" t="s">
        <v>93</v>
      </c>
      <c r="R47" s="4">
        <v>194.84</v>
      </c>
    </row>
    <row r="48" spans="1:18">
      <c r="A48" t="s">
        <v>37</v>
      </c>
      <c r="B48" t="s">
        <v>83</v>
      </c>
      <c r="C48" t="s">
        <v>84</v>
      </c>
      <c r="D48" t="s">
        <v>40</v>
      </c>
      <c r="G48" t="s">
        <v>113</v>
      </c>
      <c r="N48" t="s">
        <v>16</v>
      </c>
      <c r="O48" t="s">
        <v>114</v>
      </c>
      <c r="P48" s="7">
        <v>43281</v>
      </c>
      <c r="Q48" t="s">
        <v>93</v>
      </c>
      <c r="R48" s="4">
        <v>3420.07</v>
      </c>
    </row>
    <row r="49" spans="1:18">
      <c r="A49" t="s">
        <v>37</v>
      </c>
      <c r="B49" t="s">
        <v>83</v>
      </c>
      <c r="C49" t="s">
        <v>84</v>
      </c>
      <c r="D49" t="s">
        <v>40</v>
      </c>
      <c r="G49" t="s">
        <v>113</v>
      </c>
      <c r="N49" t="s">
        <v>16</v>
      </c>
      <c r="O49" t="s">
        <v>115</v>
      </c>
      <c r="P49" s="7">
        <v>43281</v>
      </c>
      <c r="Q49" t="s">
        <v>93</v>
      </c>
      <c r="R49" s="4">
        <v>49.09</v>
      </c>
    </row>
    <row r="50" spans="1:18">
      <c r="A50" t="s">
        <v>37</v>
      </c>
      <c r="B50" t="s">
        <v>49</v>
      </c>
      <c r="C50" t="s">
        <v>50</v>
      </c>
      <c r="D50" t="s">
        <v>40</v>
      </c>
      <c r="G50" t="s">
        <v>116</v>
      </c>
      <c r="N50" t="s">
        <v>16</v>
      </c>
      <c r="O50" t="s">
        <v>117</v>
      </c>
      <c r="P50" s="7">
        <v>43281</v>
      </c>
      <c r="Q50" t="s">
        <v>93</v>
      </c>
      <c r="R50" s="4">
        <v>26.01</v>
      </c>
    </row>
    <row r="51" spans="1:18">
      <c r="A51" t="s">
        <v>37</v>
      </c>
      <c r="B51" t="s">
        <v>49</v>
      </c>
      <c r="C51" t="s">
        <v>50</v>
      </c>
      <c r="D51" t="s">
        <v>40</v>
      </c>
      <c r="G51" t="s">
        <v>116</v>
      </c>
      <c r="N51" t="s">
        <v>16</v>
      </c>
      <c r="O51" t="s">
        <v>118</v>
      </c>
      <c r="P51" s="7">
        <v>43281</v>
      </c>
      <c r="Q51" t="s">
        <v>93</v>
      </c>
      <c r="R51" s="4">
        <v>57.92</v>
      </c>
    </row>
    <row r="52" spans="1:18">
      <c r="A52" t="s">
        <v>37</v>
      </c>
      <c r="B52" t="s">
        <v>49</v>
      </c>
      <c r="C52" t="s">
        <v>50</v>
      </c>
      <c r="D52" t="s">
        <v>40</v>
      </c>
      <c r="G52" t="s">
        <v>116</v>
      </c>
      <c r="N52" t="s">
        <v>16</v>
      </c>
      <c r="O52" t="s">
        <v>58</v>
      </c>
      <c r="P52" s="7">
        <v>43281</v>
      </c>
      <c r="Q52" t="s">
        <v>36</v>
      </c>
      <c r="R52" s="4">
        <v>368.27</v>
      </c>
    </row>
    <row r="53" spans="1:18">
      <c r="A53" t="s">
        <v>37</v>
      </c>
      <c r="B53" t="s">
        <v>49</v>
      </c>
      <c r="C53" t="s">
        <v>50</v>
      </c>
      <c r="D53" t="s">
        <v>40</v>
      </c>
      <c r="G53" t="s">
        <v>116</v>
      </c>
      <c r="N53" t="s">
        <v>16</v>
      </c>
      <c r="O53" t="s">
        <v>119</v>
      </c>
      <c r="P53" s="7">
        <v>43281</v>
      </c>
      <c r="Q53" t="s">
        <v>93</v>
      </c>
      <c r="R53" s="4">
        <v>82.45</v>
      </c>
    </row>
    <row r="54" spans="1:18">
      <c r="A54" t="s">
        <v>37</v>
      </c>
      <c r="B54" t="s">
        <v>120</v>
      </c>
      <c r="C54" t="s">
        <v>121</v>
      </c>
      <c r="D54" t="s">
        <v>40</v>
      </c>
      <c r="G54" t="s">
        <v>22</v>
      </c>
      <c r="J54" t="s">
        <v>23</v>
      </c>
      <c r="N54" t="s">
        <v>16</v>
      </c>
      <c r="O54" t="s">
        <v>122</v>
      </c>
      <c r="P54" s="7">
        <v>43281</v>
      </c>
      <c r="Q54" t="s">
        <v>93</v>
      </c>
      <c r="R54" s="4">
        <v>173.19</v>
      </c>
    </row>
    <row r="55" spans="1:18">
      <c r="A55" t="s">
        <v>37</v>
      </c>
      <c r="B55" t="s">
        <v>88</v>
      </c>
      <c r="C55" t="s">
        <v>89</v>
      </c>
      <c r="D55" t="s">
        <v>40</v>
      </c>
      <c r="G55" t="s">
        <v>22</v>
      </c>
      <c r="J55" t="s">
        <v>23</v>
      </c>
      <c r="N55" t="s">
        <v>16</v>
      </c>
      <c r="O55" t="s">
        <v>123</v>
      </c>
      <c r="P55" s="7">
        <v>43281</v>
      </c>
      <c r="Q55" t="s">
        <v>93</v>
      </c>
      <c r="R55" s="4">
        <v>71.819999999999993</v>
      </c>
    </row>
    <row r="56" spans="1:18">
      <c r="A56" t="s">
        <v>37</v>
      </c>
      <c r="B56" t="s">
        <v>88</v>
      </c>
      <c r="C56" t="s">
        <v>89</v>
      </c>
      <c r="D56" t="s">
        <v>40</v>
      </c>
      <c r="G56" t="s">
        <v>113</v>
      </c>
      <c r="J56" t="s">
        <v>23</v>
      </c>
      <c r="N56" t="s">
        <v>15</v>
      </c>
      <c r="O56" t="s">
        <v>111</v>
      </c>
      <c r="P56" s="7">
        <v>43281</v>
      </c>
      <c r="Q56" t="s">
        <v>93</v>
      </c>
      <c r="R56" s="4">
        <v>-198.74</v>
      </c>
    </row>
    <row r="57" spans="1:18">
      <c r="A57" t="s">
        <v>37</v>
      </c>
      <c r="B57" t="s">
        <v>88</v>
      </c>
      <c r="C57" t="s">
        <v>89</v>
      </c>
      <c r="D57" t="s">
        <v>40</v>
      </c>
      <c r="G57" t="s">
        <v>113</v>
      </c>
      <c r="J57" t="s">
        <v>23</v>
      </c>
      <c r="N57" t="s">
        <v>15</v>
      </c>
      <c r="O57" t="s">
        <v>112</v>
      </c>
      <c r="P57" s="7">
        <v>43281</v>
      </c>
      <c r="Q57" t="s">
        <v>93</v>
      </c>
      <c r="R57" s="4">
        <v>-194.84</v>
      </c>
    </row>
    <row r="58" spans="1:18">
      <c r="A58" t="s">
        <v>37</v>
      </c>
      <c r="B58" t="s">
        <v>88</v>
      </c>
      <c r="C58" t="s">
        <v>89</v>
      </c>
      <c r="D58" t="s">
        <v>40</v>
      </c>
      <c r="G58" t="s">
        <v>104</v>
      </c>
      <c r="J58" t="s">
        <v>23</v>
      </c>
      <c r="N58" t="s">
        <v>15</v>
      </c>
      <c r="O58" t="s">
        <v>122</v>
      </c>
      <c r="P58" s="7">
        <v>43281</v>
      </c>
      <c r="Q58" t="s">
        <v>93</v>
      </c>
      <c r="R58" s="4">
        <v>-173.19</v>
      </c>
    </row>
    <row r="59" spans="1:18">
      <c r="A59" t="s">
        <v>124</v>
      </c>
      <c r="B59" t="s">
        <v>125</v>
      </c>
      <c r="C59" t="s">
        <v>126</v>
      </c>
      <c r="D59" t="s">
        <v>40</v>
      </c>
      <c r="N59" t="s">
        <v>15</v>
      </c>
      <c r="O59" t="s">
        <v>53</v>
      </c>
      <c r="P59" s="7">
        <v>43281</v>
      </c>
      <c r="Q59" t="s">
        <v>127</v>
      </c>
      <c r="R59" s="4">
        <v>-174.37</v>
      </c>
    </row>
    <row r="60" spans="1:18">
      <c r="A60" t="s">
        <v>124</v>
      </c>
      <c r="B60" t="s">
        <v>20</v>
      </c>
      <c r="C60" t="s">
        <v>21</v>
      </c>
      <c r="D60" t="s">
        <v>40</v>
      </c>
      <c r="G60" t="s">
        <v>22</v>
      </c>
      <c r="J60" t="s">
        <v>23</v>
      </c>
      <c r="N60" t="s">
        <v>16</v>
      </c>
      <c r="O60" t="s">
        <v>128</v>
      </c>
      <c r="P60" s="7">
        <v>43281</v>
      </c>
      <c r="Q60" t="s">
        <v>127</v>
      </c>
      <c r="R60" s="4">
        <v>174.37</v>
      </c>
    </row>
    <row r="61" spans="1:18" ht="15.75" thickBot="1">
      <c r="P61">
        <v>59</v>
      </c>
      <c r="R61" s="5">
        <f ca="1">SUBTOTAL(9,R2:R60)</f>
        <v>4.2717829273897223E-11</v>
      </c>
    </row>
    <row r="62" spans="1:18" ht="15.75" thickTop="1"/>
  </sheetData>
  <pageMargins left="0.5" right="0.5" top="0.8" bottom="0.5" header="0.5" footer="0.25"/>
  <pageSetup fitToHeight="0" orientation="landscape" verticalDpi="0" r:id="rId1"/>
  <headerFooter>
    <oddFooter>&amp;C菴 &amp;P 珜ㄛ僕 &amp;N 珜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nacr150</dc:creator>
  <cp:lastModifiedBy>nacr150</cp:lastModifiedBy>
  <dcterms:created xsi:type="dcterms:W3CDTF">2018-06-04T04:56:22Z</dcterms:created>
  <dcterms:modified xsi:type="dcterms:W3CDTF">2018-07-09T03:25:27Z</dcterms:modified>
</cp:coreProperties>
</file>