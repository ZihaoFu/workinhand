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Sheet1!$A$2:$R$39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38" i="1"/>
</calcChain>
</file>

<file path=xl/sharedStrings.xml><?xml version="1.0" encoding="utf-8"?>
<sst xmlns="http://schemas.openxmlformats.org/spreadsheetml/2006/main" count="311" uniqueCount="89">
  <si>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</si>
  <si>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</si>
  <si>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</si>
  <si>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</si>
  <si>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</si>
  <si>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</si>
  <si>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</si>
  <si>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</si>
  <si>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</si>
  <si>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</si>
  <si>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</si>
  <si>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</si>
  <si>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</si>
  <si>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</si>
  <si>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</si>
  <si>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</si>
  <si>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</si>
  <si>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</si>
  <si>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</si>
  <si>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</si>
  <si>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传票号码</t>
  </si>
  <si>
    <t>NA</t>
  </si>
  <si>
    <t>A01</t>
  </si>
  <si>
    <t>23100113</t>
  </si>
  <si>
    <t>其他应付-保险-其他应付</t>
  </si>
  <si>
    <t>上海分公司</t>
  </si>
  <si>
    <t>1107</t>
  </si>
  <si>
    <t>23100105</t>
  </si>
  <si>
    <t>其他应付-保险-单证保证金</t>
  </si>
  <si>
    <t>FN1</t>
  </si>
  <si>
    <t>a_ed("010+020+030+031+032+033+034+035+036+037+038+039+03A+03B+03C+03D+03E+040+041+042+043+044+045+046+047+048+049+04A","A","2018006","","PA","K=JnlSource,F='V50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</si>
  <si>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1102010106</t>
  </si>
  <si>
    <t>活期存款-RMB-工行-上海市分行</t>
  </si>
  <si>
    <t>V50</t>
  </si>
  <si>
    <t>冲4/10退回佣金</t>
  </si>
  <si>
    <t>AB18060035</t>
  </si>
  <si>
    <t>冲5/10退回佣金</t>
  </si>
  <si>
    <t>AB18060034</t>
  </si>
  <si>
    <t>5/10退回佣金</t>
  </si>
  <si>
    <t>AB18060020</t>
  </si>
  <si>
    <t>1102010302</t>
  </si>
  <si>
    <t>活期存款-RMB-中行-九江路(基)44</t>
  </si>
  <si>
    <t>13060101</t>
  </si>
  <si>
    <t>其他应收款-保险-退保营销员佣金</t>
  </si>
  <si>
    <t>5月冲营销员欠款</t>
  </si>
  <si>
    <t>清理解约人员欠款</t>
  </si>
  <si>
    <t>2302020101</t>
  </si>
  <si>
    <t>应付佣金-营销员及主管佣金</t>
  </si>
  <si>
    <t>5月营销员佣金</t>
  </si>
  <si>
    <t>5月发放营销员佣金</t>
  </si>
  <si>
    <t>清理解约人员钱款</t>
  </si>
  <si>
    <t>23020203</t>
  </si>
  <si>
    <t>应付佣金-主管奖金及福利</t>
  </si>
  <si>
    <t>预提1806月各类奖金</t>
  </si>
  <si>
    <t>冲预提5月各类奖金</t>
  </si>
  <si>
    <t>23061004</t>
  </si>
  <si>
    <t>应付赔付款-退保(APF/LPF/SSPF过</t>
  </si>
  <si>
    <t>5月发放营销员APF</t>
  </si>
  <si>
    <t>清理解约人员LPF</t>
  </si>
  <si>
    <t>5月发放营销员押金</t>
  </si>
  <si>
    <t>清理解约人员押金</t>
  </si>
  <si>
    <t>计提贺秀琳06月总监停车费</t>
  </si>
  <si>
    <t>计提苏华06月总监停车费</t>
  </si>
  <si>
    <t>5106050217</t>
  </si>
  <si>
    <t>佣金支出-间接-营业部管理奖金-</t>
  </si>
  <si>
    <t>冲预提5月营业部业绩奖</t>
  </si>
  <si>
    <t>预提1806月营业部业绩奖</t>
  </si>
  <si>
    <t>5106050218</t>
  </si>
  <si>
    <t>佣金支出-间接-营业部拓展津贴-</t>
  </si>
  <si>
    <t>冲预提3月营业部拓展津贴</t>
  </si>
  <si>
    <t>冲预提4月营业部拓展津贴</t>
  </si>
  <si>
    <t>冲预提5月营业部拓展津贴</t>
  </si>
  <si>
    <t>预提1806月营业部拓展津贴</t>
  </si>
  <si>
    <t>5106050219</t>
  </si>
  <si>
    <t>佣金支出-间接-MoM育成奖金-首年</t>
  </si>
  <si>
    <t>冲预提5月育部奖</t>
  </si>
  <si>
    <t>预提1806月育部奖</t>
  </si>
  <si>
    <t>5106050220</t>
  </si>
  <si>
    <t>佣金支出-间接-业务主管增部奖金</t>
  </si>
  <si>
    <t>冲预提5月营业部育成津贴</t>
  </si>
  <si>
    <t>预提1806月营业部育成津贴</t>
  </si>
  <si>
    <t>5106050223</t>
  </si>
  <si>
    <t>佣金支出-间接-卓越总监奖-首年</t>
  </si>
  <si>
    <t>冲预提5月千万总监俱乐部</t>
  </si>
  <si>
    <t>预提1806月千万总监俱乐部</t>
  </si>
  <si>
    <t>521104</t>
  </si>
  <si>
    <t>银行结算费-其他</t>
  </si>
  <si>
    <t>N1</t>
  </si>
  <si>
    <t>冲银行手续费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</si>
</sst>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43290.477847222224</v>
      </c>
      <c r="D1" t="s">
        <v>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4.28515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7.140625" customWidth="1"/>
    <col min="16" max="16" width="10.140625" customWidth="1"/>
    <col min="17" max="17" width="11.42578125" customWidth="1"/>
    <col min="18" max="18" width="14.28515625" bestFit="1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20</v>
      </c>
      <c r="R1" s="3" t="s">
        <v>14</v>
      </c>
    </row>
    <row r="2" spans="1:18">
      <c r="A2" t="s">
        <v>25</v>
      </c>
      <c r="B2" t="s">
        <v>31</v>
      </c>
      <c r="C2" t="s">
        <v>32</v>
      </c>
      <c r="D2" t="s">
        <v>33</v>
      </c>
      <c r="E2" t="s">
        <v>26</v>
      </c>
      <c r="N2" t="s">
        <v>15</v>
      </c>
      <c r="O2" t="s">
        <v>34</v>
      </c>
      <c r="P2" s="7">
        <v>43281</v>
      </c>
      <c r="Q2" t="s">
        <v>35</v>
      </c>
      <c r="R2" s="4">
        <v>-102428.32</v>
      </c>
    </row>
    <row r="3" spans="1:18">
      <c r="A3" t="s">
        <v>25</v>
      </c>
      <c r="B3" t="s">
        <v>31</v>
      </c>
      <c r="C3" t="s">
        <v>32</v>
      </c>
      <c r="D3" t="s">
        <v>33</v>
      </c>
      <c r="E3" t="s">
        <v>26</v>
      </c>
      <c r="N3" t="s">
        <v>15</v>
      </c>
      <c r="O3" t="s">
        <v>36</v>
      </c>
      <c r="P3" s="7">
        <v>43281</v>
      </c>
      <c r="Q3" t="s">
        <v>37</v>
      </c>
      <c r="R3" s="4">
        <v>-89472.2</v>
      </c>
    </row>
    <row r="4" spans="1:18">
      <c r="A4" t="s">
        <v>25</v>
      </c>
      <c r="B4" t="s">
        <v>31</v>
      </c>
      <c r="C4" t="s">
        <v>32</v>
      </c>
      <c r="D4" t="s">
        <v>33</v>
      </c>
      <c r="E4" t="s">
        <v>26</v>
      </c>
      <c r="N4" t="s">
        <v>16</v>
      </c>
      <c r="O4" t="s">
        <v>38</v>
      </c>
      <c r="P4" s="7">
        <v>43281</v>
      </c>
      <c r="Q4" t="s">
        <v>39</v>
      </c>
      <c r="R4" s="4">
        <v>89472.2</v>
      </c>
    </row>
    <row r="5" spans="1:18">
      <c r="A5" t="s">
        <v>25</v>
      </c>
      <c r="B5" t="s">
        <v>40</v>
      </c>
      <c r="C5" t="s">
        <v>41</v>
      </c>
      <c r="D5" t="s">
        <v>33</v>
      </c>
      <c r="E5" t="s">
        <v>26</v>
      </c>
      <c r="N5" t="s">
        <v>16</v>
      </c>
      <c r="O5" t="s">
        <v>34</v>
      </c>
      <c r="P5" s="7">
        <v>43281</v>
      </c>
      <c r="Q5" t="s">
        <v>35</v>
      </c>
      <c r="R5" s="4">
        <v>102428.32</v>
      </c>
    </row>
    <row r="6" spans="1:18">
      <c r="A6" t="s">
        <v>25</v>
      </c>
      <c r="B6" t="s">
        <v>40</v>
      </c>
      <c r="C6" t="s">
        <v>41</v>
      </c>
      <c r="D6" t="s">
        <v>33</v>
      </c>
      <c r="E6" t="s">
        <v>26</v>
      </c>
      <c r="N6" t="s">
        <v>16</v>
      </c>
      <c r="O6" t="s">
        <v>36</v>
      </c>
      <c r="P6" s="7">
        <v>43281</v>
      </c>
      <c r="Q6" t="s">
        <v>37</v>
      </c>
      <c r="R6" s="4">
        <v>89472.2</v>
      </c>
    </row>
    <row r="7" spans="1:18">
      <c r="A7" t="s">
        <v>25</v>
      </c>
      <c r="B7" t="s">
        <v>42</v>
      </c>
      <c r="C7" t="s">
        <v>43</v>
      </c>
      <c r="D7" t="s">
        <v>33</v>
      </c>
      <c r="N7" t="s">
        <v>15</v>
      </c>
      <c r="O7" t="s">
        <v>44</v>
      </c>
      <c r="P7" s="7">
        <v>43281</v>
      </c>
      <c r="Q7" t="s">
        <v>39</v>
      </c>
      <c r="R7" s="4">
        <v>-1762.5</v>
      </c>
    </row>
    <row r="8" spans="1:18">
      <c r="A8" t="s">
        <v>25</v>
      </c>
      <c r="B8" t="s">
        <v>42</v>
      </c>
      <c r="C8" t="s">
        <v>43</v>
      </c>
      <c r="D8" t="s">
        <v>33</v>
      </c>
      <c r="N8" t="s">
        <v>15</v>
      </c>
      <c r="O8" t="s">
        <v>45</v>
      </c>
      <c r="P8" s="7">
        <v>43281</v>
      </c>
      <c r="Q8" t="s">
        <v>39</v>
      </c>
      <c r="R8" s="4">
        <v>-7864.16</v>
      </c>
    </row>
    <row r="9" spans="1:18">
      <c r="A9" t="s">
        <v>25</v>
      </c>
      <c r="B9" t="s">
        <v>46</v>
      </c>
      <c r="C9" t="s">
        <v>47</v>
      </c>
      <c r="D9" t="s">
        <v>33</v>
      </c>
      <c r="N9" t="s">
        <v>15</v>
      </c>
      <c r="O9" t="s">
        <v>38</v>
      </c>
      <c r="P9" s="7">
        <v>43281</v>
      </c>
      <c r="Q9" t="s">
        <v>39</v>
      </c>
      <c r="R9" s="4">
        <v>-89472.2</v>
      </c>
    </row>
    <row r="10" spans="1:18">
      <c r="A10" t="s">
        <v>25</v>
      </c>
      <c r="B10" t="s">
        <v>46</v>
      </c>
      <c r="C10" t="s">
        <v>47</v>
      </c>
      <c r="D10" t="s">
        <v>33</v>
      </c>
      <c r="N10" t="s">
        <v>15</v>
      </c>
      <c r="O10" t="s">
        <v>48</v>
      </c>
      <c r="P10" s="7">
        <v>43281</v>
      </c>
      <c r="Q10" t="s">
        <v>39</v>
      </c>
      <c r="R10" s="4">
        <v>-36535580.57</v>
      </c>
    </row>
    <row r="11" spans="1:18">
      <c r="A11" t="s">
        <v>25</v>
      </c>
      <c r="B11" t="s">
        <v>46</v>
      </c>
      <c r="C11" t="s">
        <v>47</v>
      </c>
      <c r="D11" t="s">
        <v>33</v>
      </c>
      <c r="N11" t="s">
        <v>16</v>
      </c>
      <c r="O11" t="s">
        <v>49</v>
      </c>
      <c r="P11" s="7">
        <v>43281</v>
      </c>
      <c r="Q11" t="s">
        <v>39</v>
      </c>
      <c r="R11" s="4">
        <v>35992629.689999998</v>
      </c>
    </row>
    <row r="12" spans="1:18">
      <c r="A12" t="s">
        <v>25</v>
      </c>
      <c r="B12" t="s">
        <v>46</v>
      </c>
      <c r="C12" t="s">
        <v>47</v>
      </c>
      <c r="D12" t="s">
        <v>33</v>
      </c>
      <c r="N12" t="s">
        <v>16</v>
      </c>
      <c r="O12" t="s">
        <v>50</v>
      </c>
      <c r="P12" s="7">
        <v>43281</v>
      </c>
      <c r="Q12" t="s">
        <v>39</v>
      </c>
      <c r="R12" s="4">
        <v>4146.7299999999996</v>
      </c>
    </row>
    <row r="13" spans="1:18">
      <c r="A13" t="s">
        <v>25</v>
      </c>
      <c r="B13" t="s">
        <v>51</v>
      </c>
      <c r="C13" t="s">
        <v>52</v>
      </c>
      <c r="D13" t="s">
        <v>33</v>
      </c>
      <c r="N13" t="s">
        <v>15</v>
      </c>
      <c r="O13" t="s">
        <v>53</v>
      </c>
      <c r="P13" s="7">
        <v>43281</v>
      </c>
      <c r="Q13" t="s">
        <v>39</v>
      </c>
      <c r="R13" s="4">
        <v>-1069537</v>
      </c>
    </row>
    <row r="14" spans="1:18">
      <c r="A14" t="s">
        <v>25</v>
      </c>
      <c r="B14" t="s">
        <v>51</v>
      </c>
      <c r="C14" t="s">
        <v>52</v>
      </c>
      <c r="D14" t="s">
        <v>33</v>
      </c>
      <c r="N14" t="s">
        <v>16</v>
      </c>
      <c r="O14" t="s">
        <v>54</v>
      </c>
      <c r="P14" s="7">
        <v>43281</v>
      </c>
      <c r="Q14" t="s">
        <v>39</v>
      </c>
      <c r="R14" s="4">
        <v>1037444</v>
      </c>
    </row>
    <row r="15" spans="1:18">
      <c r="A15" t="s">
        <v>25</v>
      </c>
      <c r="B15" t="s">
        <v>55</v>
      </c>
      <c r="C15" t="s">
        <v>56</v>
      </c>
      <c r="D15" t="s">
        <v>33</v>
      </c>
      <c r="N15" t="s">
        <v>16</v>
      </c>
      <c r="O15" t="s">
        <v>57</v>
      </c>
      <c r="P15" s="7">
        <v>43281</v>
      </c>
      <c r="Q15" t="s">
        <v>39</v>
      </c>
      <c r="R15" s="4">
        <v>509646.58</v>
      </c>
    </row>
    <row r="16" spans="1:18">
      <c r="A16" t="s">
        <v>25</v>
      </c>
      <c r="B16" t="s">
        <v>55</v>
      </c>
      <c r="C16" t="s">
        <v>56</v>
      </c>
      <c r="D16" t="s">
        <v>33</v>
      </c>
      <c r="N16" t="s">
        <v>16</v>
      </c>
      <c r="O16" t="s">
        <v>58</v>
      </c>
      <c r="P16" s="7">
        <v>43281</v>
      </c>
      <c r="Q16" t="s">
        <v>39</v>
      </c>
      <c r="R16" s="4">
        <v>2502</v>
      </c>
    </row>
    <row r="17" spans="1:18">
      <c r="A17" t="s">
        <v>25</v>
      </c>
      <c r="B17" t="s">
        <v>27</v>
      </c>
      <c r="C17" t="s">
        <v>28</v>
      </c>
      <c r="D17" t="s">
        <v>33</v>
      </c>
      <c r="N17" t="s">
        <v>16</v>
      </c>
      <c r="O17" t="s">
        <v>59</v>
      </c>
      <c r="P17" s="7">
        <v>43281</v>
      </c>
      <c r="Q17" t="s">
        <v>39</v>
      </c>
      <c r="R17" s="4">
        <v>36323.199999999997</v>
      </c>
    </row>
    <row r="18" spans="1:18">
      <c r="A18" t="s">
        <v>25</v>
      </c>
      <c r="B18" t="s">
        <v>27</v>
      </c>
      <c r="C18" t="s">
        <v>28</v>
      </c>
      <c r="D18" t="s">
        <v>33</v>
      </c>
      <c r="N18" t="s">
        <v>16</v>
      </c>
      <c r="O18" t="s">
        <v>60</v>
      </c>
      <c r="P18" s="7">
        <v>43281</v>
      </c>
      <c r="Q18" t="s">
        <v>39</v>
      </c>
      <c r="R18" s="4">
        <v>1215.43</v>
      </c>
    </row>
    <row r="19" spans="1:18">
      <c r="A19" t="s">
        <v>25</v>
      </c>
      <c r="B19" t="s">
        <v>23</v>
      </c>
      <c r="C19" t="s">
        <v>24</v>
      </c>
      <c r="D19" t="s">
        <v>33</v>
      </c>
      <c r="N19" t="s">
        <v>15</v>
      </c>
      <c r="O19" t="s">
        <v>61</v>
      </c>
      <c r="P19" s="7">
        <v>43281</v>
      </c>
      <c r="Q19" t="s">
        <v>39</v>
      </c>
      <c r="R19" s="4">
        <v>-800</v>
      </c>
    </row>
    <row r="20" spans="1:18">
      <c r="A20" t="s">
        <v>25</v>
      </c>
      <c r="B20" t="s">
        <v>23</v>
      </c>
      <c r="C20" t="s">
        <v>24</v>
      </c>
      <c r="D20" t="s">
        <v>33</v>
      </c>
      <c r="N20" t="s">
        <v>15</v>
      </c>
      <c r="O20" t="s">
        <v>62</v>
      </c>
      <c r="P20" s="7">
        <v>43281</v>
      </c>
      <c r="Q20" t="s">
        <v>39</v>
      </c>
      <c r="R20" s="4">
        <v>-800</v>
      </c>
    </row>
    <row r="21" spans="1:18">
      <c r="A21" t="s">
        <v>25</v>
      </c>
      <c r="B21" t="s">
        <v>63</v>
      </c>
      <c r="C21" t="s">
        <v>64</v>
      </c>
      <c r="D21" t="s">
        <v>33</v>
      </c>
      <c r="F21" t="s">
        <v>21</v>
      </c>
      <c r="H21" t="s">
        <v>22</v>
      </c>
      <c r="N21" t="s">
        <v>15</v>
      </c>
      <c r="O21" t="s">
        <v>65</v>
      </c>
      <c r="P21" s="7">
        <v>43281</v>
      </c>
      <c r="Q21" t="s">
        <v>39</v>
      </c>
      <c r="R21" s="4">
        <v>-775379</v>
      </c>
    </row>
    <row r="22" spans="1:18">
      <c r="A22" t="s">
        <v>25</v>
      </c>
      <c r="B22" t="s">
        <v>63</v>
      </c>
      <c r="C22" t="s">
        <v>64</v>
      </c>
      <c r="D22" t="s">
        <v>33</v>
      </c>
      <c r="F22" t="s">
        <v>21</v>
      </c>
      <c r="H22" t="s">
        <v>22</v>
      </c>
      <c r="N22" t="s">
        <v>16</v>
      </c>
      <c r="O22" t="s">
        <v>66</v>
      </c>
      <c r="P22" s="7">
        <v>43281</v>
      </c>
      <c r="Q22" t="s">
        <v>39</v>
      </c>
      <c r="R22" s="4">
        <v>801702</v>
      </c>
    </row>
    <row r="23" spans="1:18">
      <c r="A23" t="s">
        <v>25</v>
      </c>
      <c r="B23" t="s">
        <v>67</v>
      </c>
      <c r="C23" t="s">
        <v>68</v>
      </c>
      <c r="D23" t="s">
        <v>33</v>
      </c>
      <c r="F23" t="s">
        <v>21</v>
      </c>
      <c r="H23" t="s">
        <v>22</v>
      </c>
      <c r="N23" t="s">
        <v>15</v>
      </c>
      <c r="O23" t="s">
        <v>69</v>
      </c>
      <c r="P23" s="7">
        <v>43281</v>
      </c>
      <c r="Q23" t="s">
        <v>39</v>
      </c>
      <c r="R23" s="4">
        <v>-81600</v>
      </c>
    </row>
    <row r="24" spans="1:18">
      <c r="A24" t="s">
        <v>25</v>
      </c>
      <c r="B24" t="s">
        <v>67</v>
      </c>
      <c r="C24" t="s">
        <v>68</v>
      </c>
      <c r="D24" t="s">
        <v>33</v>
      </c>
      <c r="F24" t="s">
        <v>21</v>
      </c>
      <c r="H24" t="s">
        <v>22</v>
      </c>
      <c r="N24" t="s">
        <v>15</v>
      </c>
      <c r="O24" t="s">
        <v>70</v>
      </c>
      <c r="P24" s="7">
        <v>43281</v>
      </c>
      <c r="Q24" t="s">
        <v>39</v>
      </c>
      <c r="R24" s="4">
        <v>-84000</v>
      </c>
    </row>
    <row r="25" spans="1:18">
      <c r="A25" t="s">
        <v>25</v>
      </c>
      <c r="B25" t="s">
        <v>67</v>
      </c>
      <c r="C25" t="s">
        <v>68</v>
      </c>
      <c r="D25" t="s">
        <v>33</v>
      </c>
      <c r="F25" t="s">
        <v>21</v>
      </c>
      <c r="H25" t="s">
        <v>22</v>
      </c>
      <c r="N25" t="s">
        <v>15</v>
      </c>
      <c r="O25" t="s">
        <v>71</v>
      </c>
      <c r="P25" s="7">
        <v>43281</v>
      </c>
      <c r="Q25" t="s">
        <v>39</v>
      </c>
      <c r="R25" s="4">
        <v>-82050</v>
      </c>
    </row>
    <row r="26" spans="1:18">
      <c r="A26" t="s">
        <v>25</v>
      </c>
      <c r="B26" t="s">
        <v>67</v>
      </c>
      <c r="C26" t="s">
        <v>68</v>
      </c>
      <c r="D26" t="s">
        <v>33</v>
      </c>
      <c r="F26" t="s">
        <v>21</v>
      </c>
      <c r="H26" t="s">
        <v>22</v>
      </c>
      <c r="N26" t="s">
        <v>16</v>
      </c>
      <c r="O26" t="s">
        <v>61</v>
      </c>
      <c r="P26" s="7">
        <v>43281</v>
      </c>
      <c r="Q26" t="s">
        <v>39</v>
      </c>
      <c r="R26" s="4">
        <v>800</v>
      </c>
    </row>
    <row r="27" spans="1:18">
      <c r="A27" t="s">
        <v>25</v>
      </c>
      <c r="B27" t="s">
        <v>67</v>
      </c>
      <c r="C27" t="s">
        <v>68</v>
      </c>
      <c r="D27" t="s">
        <v>33</v>
      </c>
      <c r="F27" t="s">
        <v>21</v>
      </c>
      <c r="H27" t="s">
        <v>22</v>
      </c>
      <c r="N27" t="s">
        <v>16</v>
      </c>
      <c r="O27" t="s">
        <v>62</v>
      </c>
      <c r="P27" s="7">
        <v>43281</v>
      </c>
      <c r="Q27" t="s">
        <v>39</v>
      </c>
      <c r="R27" s="4">
        <v>800</v>
      </c>
    </row>
    <row r="28" spans="1:18">
      <c r="A28" t="s">
        <v>25</v>
      </c>
      <c r="B28" t="s">
        <v>67</v>
      </c>
      <c r="C28" t="s">
        <v>68</v>
      </c>
      <c r="D28" t="s">
        <v>33</v>
      </c>
      <c r="F28" t="s">
        <v>21</v>
      </c>
      <c r="H28" t="s">
        <v>22</v>
      </c>
      <c r="N28" t="s">
        <v>16</v>
      </c>
      <c r="O28" t="s">
        <v>72</v>
      </c>
      <c r="P28" s="7">
        <v>43281</v>
      </c>
      <c r="Q28" t="s">
        <v>39</v>
      </c>
      <c r="R28" s="4">
        <v>82080</v>
      </c>
    </row>
    <row r="29" spans="1:18">
      <c r="A29" t="s">
        <v>25</v>
      </c>
      <c r="B29" t="s">
        <v>73</v>
      </c>
      <c r="C29" t="s">
        <v>74</v>
      </c>
      <c r="D29" t="s">
        <v>33</v>
      </c>
      <c r="F29" t="s">
        <v>21</v>
      </c>
      <c r="H29" t="s">
        <v>22</v>
      </c>
      <c r="N29" t="s">
        <v>15</v>
      </c>
      <c r="O29" t="s">
        <v>75</v>
      </c>
      <c r="P29" s="7">
        <v>43281</v>
      </c>
      <c r="Q29" t="s">
        <v>39</v>
      </c>
      <c r="R29" s="4">
        <v>-137296</v>
      </c>
    </row>
    <row r="30" spans="1:18">
      <c r="A30" t="s">
        <v>25</v>
      </c>
      <c r="B30" t="s">
        <v>73</v>
      </c>
      <c r="C30" t="s">
        <v>74</v>
      </c>
      <c r="D30" t="s">
        <v>33</v>
      </c>
      <c r="F30" t="s">
        <v>21</v>
      </c>
      <c r="H30" t="s">
        <v>22</v>
      </c>
      <c r="N30" t="s">
        <v>16</v>
      </c>
      <c r="O30" t="s">
        <v>76</v>
      </c>
      <c r="P30" s="7">
        <v>43281</v>
      </c>
      <c r="Q30" t="s">
        <v>39</v>
      </c>
      <c r="R30" s="4">
        <v>142774</v>
      </c>
    </row>
    <row r="31" spans="1:18">
      <c r="A31" t="s">
        <v>25</v>
      </c>
      <c r="B31" t="s">
        <v>77</v>
      </c>
      <c r="C31" t="s">
        <v>78</v>
      </c>
      <c r="D31" t="s">
        <v>33</v>
      </c>
      <c r="F31" t="s">
        <v>21</v>
      </c>
      <c r="H31" t="s">
        <v>22</v>
      </c>
      <c r="N31" t="s">
        <v>15</v>
      </c>
      <c r="O31" t="s">
        <v>79</v>
      </c>
      <c r="P31" s="7">
        <v>43281</v>
      </c>
      <c r="Q31" t="s">
        <v>39</v>
      </c>
      <c r="R31" s="4">
        <v>-7287</v>
      </c>
    </row>
    <row r="32" spans="1:18">
      <c r="A32" t="s">
        <v>25</v>
      </c>
      <c r="B32" t="s">
        <v>77</v>
      </c>
      <c r="C32" t="s">
        <v>78</v>
      </c>
      <c r="D32" t="s">
        <v>33</v>
      </c>
      <c r="F32" t="s">
        <v>21</v>
      </c>
      <c r="H32" t="s">
        <v>22</v>
      </c>
      <c r="N32" t="s">
        <v>16</v>
      </c>
      <c r="O32" t="s">
        <v>80</v>
      </c>
      <c r="P32" s="7">
        <v>43281</v>
      </c>
      <c r="Q32" t="s">
        <v>39</v>
      </c>
      <c r="R32" s="4">
        <v>6651</v>
      </c>
    </row>
    <row r="33" spans="1:18">
      <c r="A33" t="s">
        <v>25</v>
      </c>
      <c r="B33" t="s">
        <v>81</v>
      </c>
      <c r="C33" t="s">
        <v>82</v>
      </c>
      <c r="D33" t="s">
        <v>33</v>
      </c>
      <c r="F33" t="s">
        <v>21</v>
      </c>
      <c r="H33" t="s">
        <v>22</v>
      </c>
      <c r="N33" t="s">
        <v>15</v>
      </c>
      <c r="O33" t="s">
        <v>83</v>
      </c>
      <c r="P33" s="7">
        <v>43281</v>
      </c>
      <c r="Q33" t="s">
        <v>39</v>
      </c>
      <c r="R33" s="4">
        <v>-35432</v>
      </c>
    </row>
    <row r="34" spans="1:18">
      <c r="A34" t="s">
        <v>25</v>
      </c>
      <c r="B34" t="s">
        <v>81</v>
      </c>
      <c r="C34" t="s">
        <v>82</v>
      </c>
      <c r="D34" t="s">
        <v>33</v>
      </c>
      <c r="F34" t="s">
        <v>21</v>
      </c>
      <c r="H34" t="s">
        <v>22</v>
      </c>
      <c r="N34" t="s">
        <v>16</v>
      </c>
      <c r="O34" t="s">
        <v>69</v>
      </c>
      <c r="P34" s="7">
        <v>43281</v>
      </c>
      <c r="Q34" t="s">
        <v>39</v>
      </c>
      <c r="R34" s="4">
        <v>81600</v>
      </c>
    </row>
    <row r="35" spans="1:18">
      <c r="A35" t="s">
        <v>25</v>
      </c>
      <c r="B35" t="s">
        <v>81</v>
      </c>
      <c r="C35" t="s">
        <v>82</v>
      </c>
      <c r="D35" t="s">
        <v>33</v>
      </c>
      <c r="F35" t="s">
        <v>21</v>
      </c>
      <c r="H35" t="s">
        <v>22</v>
      </c>
      <c r="N35" t="s">
        <v>16</v>
      </c>
      <c r="O35" t="s">
        <v>70</v>
      </c>
      <c r="P35" s="7">
        <v>43281</v>
      </c>
      <c r="Q35" t="s">
        <v>39</v>
      </c>
      <c r="R35" s="4">
        <v>84000</v>
      </c>
    </row>
    <row r="36" spans="1:18">
      <c r="A36" t="s">
        <v>25</v>
      </c>
      <c r="B36" t="s">
        <v>81</v>
      </c>
      <c r="C36" t="s">
        <v>82</v>
      </c>
      <c r="D36" t="s">
        <v>33</v>
      </c>
      <c r="F36" t="s">
        <v>21</v>
      </c>
      <c r="H36" t="s">
        <v>22</v>
      </c>
      <c r="N36" t="s">
        <v>16</v>
      </c>
      <c r="O36" t="s">
        <v>84</v>
      </c>
      <c r="P36" s="7">
        <v>43281</v>
      </c>
      <c r="Q36" t="s">
        <v>39</v>
      </c>
      <c r="R36" s="4">
        <v>36330</v>
      </c>
    </row>
    <row r="37" spans="1:18">
      <c r="A37" t="s">
        <v>25</v>
      </c>
      <c r="B37" t="s">
        <v>85</v>
      </c>
      <c r="C37" t="s">
        <v>86</v>
      </c>
      <c r="D37" t="s">
        <v>33</v>
      </c>
      <c r="G37" t="s">
        <v>29</v>
      </c>
      <c r="I37" t="s">
        <v>87</v>
      </c>
      <c r="N37" t="s">
        <v>15</v>
      </c>
      <c r="O37" t="s">
        <v>88</v>
      </c>
      <c r="P37" s="7">
        <v>43281</v>
      </c>
      <c r="Q37" t="s">
        <v>39</v>
      </c>
      <c r="R37" s="4">
        <v>-1256.4000000000001</v>
      </c>
    </row>
    <row r="38" spans="1:18" ht="15.75" thickBot="1">
      <c r="P38">
        <v>36</v>
      </c>
      <c r="R38" s="5">
        <f ca="1">SUBTOTAL(9,R2:R37)</f>
        <v>8.3809936768375337E-10</v>
      </c>
    </row>
    <row r="39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2018-07-09T03:28:31Z</dcterms:modified>
</cp:coreProperties>
</file>