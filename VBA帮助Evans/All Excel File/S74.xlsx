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Sheet1!$A$2:$R$13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2" i="1"/>
</calcChain>
</file>

<file path=xl/sharedStrings.xml><?xml version="1.0" encoding="utf-8"?>
<sst xmlns="http://schemas.openxmlformats.org/spreadsheetml/2006/main" count="97" uniqueCount="56">
  <si>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</si>
  <si>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</si>
  <si>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</si>
  <si>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</si>
  <si>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</si>
  <si>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</si>
  <si>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</si>
  <si>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</si>
  <si>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</si>
  <si>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</si>
  <si>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</si>
  <si>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</si>
  <si>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</si>
  <si>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</si>
  <si>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</si>
  <si>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</si>
  <si>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</si>
  <si>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</si>
  <si>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</si>
  <si>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</si>
  <si>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110103</t>
  </si>
  <si>
    <t>现金-cash clearing</t>
  </si>
  <si>
    <t>AD1</t>
  </si>
  <si>
    <t>L</t>
  </si>
  <si>
    <t>传票号码</t>
  </si>
  <si>
    <t>AB18060001</t>
  </si>
  <si>
    <t>AB18060003</t>
  </si>
  <si>
    <t>AB18060002</t>
  </si>
  <si>
    <t>520044</t>
  </si>
  <si>
    <t>其他费用-营销员招募</t>
  </si>
  <si>
    <t>23100113</t>
  </si>
  <si>
    <t>其他应付-保险-其他应付</t>
  </si>
  <si>
    <t>520407</t>
  </si>
  <si>
    <t>业务宣传费-市场推广费用-首年</t>
  </si>
  <si>
    <t>520010</t>
  </si>
  <si>
    <t>其他费用-营销员培训</t>
  </si>
  <si>
    <t>AT1</t>
  </si>
  <si>
    <t>a_ed("010+020+030+031+032+033+034+035+036+037+038+039+03A+03B+03C+03D+03E+040+041+042+043+044+045+046+047+048+049+04A","A","2018006","","PA","K=JnlSource,F='S74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</si>
  <si>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深圳</t>
  </si>
  <si>
    <t>S74</t>
  </si>
  <si>
    <t>调整6/11cashclearing</t>
  </si>
  <si>
    <t>调整6/5cashclearing</t>
  </si>
  <si>
    <t>1102010136</t>
  </si>
  <si>
    <t>活期存款-RMB-工行-东门收228683</t>
  </si>
  <si>
    <t>1107</t>
  </si>
  <si>
    <t>1805POS刷卡杂费</t>
  </si>
  <si>
    <t>1806POS刷卡杂费</t>
  </si>
  <si>
    <t>23100107</t>
  </si>
  <si>
    <t>其他应付-保险-无主保单</t>
  </si>
  <si>
    <t>冲G105003555福利税金1803</t>
  </si>
  <si>
    <t>调整G105003555福利保单</t>
  </si>
  <si>
    <t>1806未来总监特训营</t>
  </si>
  <si>
    <t>学员津贴不予发放</t>
  </si>
  <si>
    <t>AR1</t>
  </si>
  <si>
    <t>180602说明会052103</t>
  </si>
  <si>
    <t>100098734返还教育讲座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</si>
</sst>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43266.399594907409</v>
      </c>
      <c r="D1" t="s">
        <v>37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3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/>
  <cols>
    <col min="1" max="1" width="12.42578125" bestFit="1" customWidth="1"/>
    <col min="2" max="2" width="11" customWidth="1"/>
    <col min="3" max="3" width="33.1406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6.5703125" customWidth="1"/>
    <col min="16" max="16" width="10.140625" customWidth="1"/>
    <col min="17" max="17" width="11.42578125" customWidth="1"/>
    <col min="18" max="18" width="10.5703125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24</v>
      </c>
      <c r="R1" s="3" t="s">
        <v>14</v>
      </c>
    </row>
    <row r="2" spans="1:18">
      <c r="A2" t="s">
        <v>38</v>
      </c>
      <c r="B2" t="s">
        <v>20</v>
      </c>
      <c r="C2" t="s">
        <v>21</v>
      </c>
      <c r="D2" t="s">
        <v>39</v>
      </c>
      <c r="N2" t="s">
        <v>15</v>
      </c>
      <c r="O2" t="s">
        <v>40</v>
      </c>
      <c r="P2" s="7">
        <v>43262</v>
      </c>
      <c r="Q2" t="s">
        <v>25</v>
      </c>
      <c r="R2" s="4">
        <v>-700</v>
      </c>
    </row>
    <row r="3" spans="1:18">
      <c r="A3" t="s">
        <v>38</v>
      </c>
      <c r="B3" t="s">
        <v>20</v>
      </c>
      <c r="C3" t="s">
        <v>21</v>
      </c>
      <c r="D3" t="s">
        <v>39</v>
      </c>
      <c r="N3" t="s">
        <v>16</v>
      </c>
      <c r="O3" t="s">
        <v>41</v>
      </c>
      <c r="P3" s="7">
        <v>43256</v>
      </c>
      <c r="Q3" t="s">
        <v>25</v>
      </c>
      <c r="R3" s="4">
        <v>27000</v>
      </c>
    </row>
    <row r="4" spans="1:18">
      <c r="A4" t="s">
        <v>38</v>
      </c>
      <c r="B4" t="s">
        <v>42</v>
      </c>
      <c r="C4" t="s">
        <v>43</v>
      </c>
      <c r="D4" t="s">
        <v>39</v>
      </c>
      <c r="E4" t="s">
        <v>44</v>
      </c>
      <c r="N4" t="s">
        <v>16</v>
      </c>
      <c r="O4" t="s">
        <v>45</v>
      </c>
      <c r="P4" s="7">
        <v>43252</v>
      </c>
      <c r="Q4" t="s">
        <v>26</v>
      </c>
      <c r="R4" s="4">
        <v>28525</v>
      </c>
    </row>
    <row r="5" spans="1:18">
      <c r="A5" t="s">
        <v>38</v>
      </c>
      <c r="B5" t="s">
        <v>42</v>
      </c>
      <c r="C5" t="s">
        <v>43</v>
      </c>
      <c r="D5" t="s">
        <v>39</v>
      </c>
      <c r="E5" t="s">
        <v>44</v>
      </c>
      <c r="N5" t="s">
        <v>16</v>
      </c>
      <c r="O5" t="s">
        <v>46</v>
      </c>
      <c r="P5" s="7">
        <v>43252</v>
      </c>
      <c r="Q5" t="s">
        <v>26</v>
      </c>
      <c r="R5" s="4">
        <v>2850</v>
      </c>
    </row>
    <row r="6" spans="1:18">
      <c r="A6" t="s">
        <v>38</v>
      </c>
      <c r="B6" t="s">
        <v>47</v>
      </c>
      <c r="C6" t="s">
        <v>48</v>
      </c>
      <c r="D6" t="s">
        <v>39</v>
      </c>
      <c r="N6" t="s">
        <v>15</v>
      </c>
      <c r="O6" t="s">
        <v>49</v>
      </c>
      <c r="P6" s="7">
        <v>43281</v>
      </c>
      <c r="Q6" t="s">
        <v>27</v>
      </c>
      <c r="R6" s="4">
        <v>-1534.99</v>
      </c>
    </row>
    <row r="7" spans="1:18">
      <c r="A7" t="s">
        <v>38</v>
      </c>
      <c r="B7" t="s">
        <v>30</v>
      </c>
      <c r="C7" t="s">
        <v>31</v>
      </c>
      <c r="D7" t="s">
        <v>39</v>
      </c>
      <c r="N7" t="s">
        <v>16</v>
      </c>
      <c r="O7" t="s">
        <v>50</v>
      </c>
      <c r="P7" s="7">
        <v>43281</v>
      </c>
      <c r="Q7" t="s">
        <v>27</v>
      </c>
      <c r="R7" s="4">
        <v>1534.99</v>
      </c>
    </row>
    <row r="8" spans="1:18">
      <c r="A8" t="s">
        <v>38</v>
      </c>
      <c r="B8" t="s">
        <v>34</v>
      </c>
      <c r="C8" t="s">
        <v>35</v>
      </c>
      <c r="D8" t="s">
        <v>39</v>
      </c>
      <c r="G8" t="s">
        <v>36</v>
      </c>
      <c r="N8" t="s">
        <v>15</v>
      </c>
      <c r="O8" t="s">
        <v>51</v>
      </c>
      <c r="P8" s="7">
        <v>43252</v>
      </c>
      <c r="Q8" t="s">
        <v>26</v>
      </c>
      <c r="R8" s="4">
        <v>-14500</v>
      </c>
    </row>
    <row r="9" spans="1:18">
      <c r="A9" t="s">
        <v>38</v>
      </c>
      <c r="B9" t="s">
        <v>34</v>
      </c>
      <c r="C9" t="s">
        <v>35</v>
      </c>
      <c r="D9" t="s">
        <v>39</v>
      </c>
      <c r="G9" t="s">
        <v>36</v>
      </c>
      <c r="N9" t="s">
        <v>15</v>
      </c>
      <c r="O9" t="s">
        <v>52</v>
      </c>
      <c r="P9" s="7">
        <v>43256</v>
      </c>
      <c r="Q9" t="s">
        <v>25</v>
      </c>
      <c r="R9" s="4">
        <v>-27000</v>
      </c>
    </row>
    <row r="10" spans="1:18">
      <c r="A10" t="s">
        <v>38</v>
      </c>
      <c r="B10" t="s">
        <v>28</v>
      </c>
      <c r="C10" t="s">
        <v>29</v>
      </c>
      <c r="D10" t="s">
        <v>39</v>
      </c>
      <c r="G10" t="s">
        <v>53</v>
      </c>
      <c r="N10" t="s">
        <v>15</v>
      </c>
      <c r="O10" t="s">
        <v>54</v>
      </c>
      <c r="P10" s="7">
        <v>43252</v>
      </c>
      <c r="Q10" t="s">
        <v>26</v>
      </c>
      <c r="R10" s="4">
        <v>-16875</v>
      </c>
    </row>
    <row r="11" spans="1:18">
      <c r="A11" t="s">
        <v>38</v>
      </c>
      <c r="B11" t="s">
        <v>32</v>
      </c>
      <c r="C11" t="s">
        <v>33</v>
      </c>
      <c r="D11" t="s">
        <v>39</v>
      </c>
      <c r="G11" t="s">
        <v>22</v>
      </c>
      <c r="J11" t="s">
        <v>23</v>
      </c>
      <c r="N11" t="s">
        <v>16</v>
      </c>
      <c r="O11" t="s">
        <v>55</v>
      </c>
      <c r="P11" s="7">
        <v>43262</v>
      </c>
      <c r="Q11" t="s">
        <v>25</v>
      </c>
      <c r="R11" s="4">
        <v>700</v>
      </c>
    </row>
    <row r="12" spans="1:18" ht="15.75" thickBot="1">
      <c r="P12">
        <v>10</v>
      </c>
      <c r="R12" s="5">
        <f ca="1">SUBTOTAL(9,R2:R11)</f>
        <v>0</v>
      </c>
    </row>
    <row r="13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2018-06-15T01:36:07Z</dcterms:modified>
</cp:coreProperties>
</file>