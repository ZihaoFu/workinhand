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Sheet1!$A$2:$Q$22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Q21" i="1"/>
</calcChain>
</file>

<file path=xl/sharedStrings.xml><?xml version="1.0" encoding="utf-8"?>
<sst xmlns="http://schemas.openxmlformats.org/spreadsheetml/2006/main" count="147" uniqueCount="59">
  <si>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</si>
  <si>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</si>
  <si>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</si>
  <si>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</si>
  <si>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</si>
  <si>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</si>
  <si>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</si>
  <si>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</si>
  <si>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</si>
  <si>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</si>
  <si>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</si>
  <si>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</si>
  <si>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</si>
  <si>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</si>
  <si>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</si>
  <si>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</si>
  <si>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</si>
  <si>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南京</t>
  </si>
  <si>
    <t>A01</t>
  </si>
  <si>
    <t>NA</t>
  </si>
  <si>
    <t>苏州</t>
  </si>
  <si>
    <t>摘要</t>
  </si>
  <si>
    <t>交易日期</t>
  </si>
  <si>
    <t>110103</t>
  </si>
  <si>
    <t>现金-cash clearing</t>
  </si>
  <si>
    <t>S75</t>
  </si>
  <si>
    <t>269调整</t>
  </si>
  <si>
    <t>1102011402</t>
  </si>
  <si>
    <t>活期存款-RMB-江苏-南通5234</t>
  </si>
  <si>
    <t>1101</t>
  </si>
  <si>
    <t>H167484679调整保费</t>
  </si>
  <si>
    <t>1102012101</t>
  </si>
  <si>
    <t>活期-RMB-南京银行-江南0019</t>
  </si>
  <si>
    <t>C892394131南京银保多报账</t>
  </si>
  <si>
    <t>13060106</t>
  </si>
  <si>
    <t>其他应收款-保险-其他应收</t>
  </si>
  <si>
    <t>C164701041 0423-0516POS</t>
  </si>
  <si>
    <t>5106050303</t>
  </si>
  <si>
    <t>佣金支出-间接-业务主管额外福利</t>
  </si>
  <si>
    <t>1806致礼金</t>
  </si>
  <si>
    <t>5106050401</t>
  </si>
  <si>
    <t>佣金支出-间接-竞赛奖金及奖品-</t>
  </si>
  <si>
    <t>AD1</t>
  </si>
  <si>
    <t>L</t>
  </si>
  <si>
    <t>CY18PAWX04团队PK赛</t>
  </si>
  <si>
    <t>520044</t>
  </si>
  <si>
    <t>其他费用-营销员招募</t>
  </si>
  <si>
    <t>1806EOP门票</t>
  </si>
  <si>
    <t>EOP门票</t>
  </si>
  <si>
    <t>1806蔡小青团队交友会</t>
  </si>
  <si>
    <t>1806戴凌团队交友会</t>
  </si>
  <si>
    <t>1806芳飞组交友会</t>
  </si>
  <si>
    <t>1806郑娴团队交友会</t>
  </si>
  <si>
    <t>1806纵横组交友会</t>
  </si>
  <si>
    <t>交友会</t>
  </si>
  <si>
    <t>a_ed("010+020+030+031+032+033+034+035+036+037+038+039+03A+03B+03C+03D+03E+040+041+042+043+044+045+046+047+048+049+04A","A","2018006","","PA","K=JnlSource,F='S75","Outp=DB_Name,Acc_Code,Acc_Name,JnlSource,T0,T1,T2,T3,T4,T5,T7,T9,T9Name,DrCr,Desc,TDate,Amount","SIcn=0,0,0,0,0,0,0,0,0,0,0,0,0,0,0,0,1","IncHdg=Y","","Uo=~~~~~~~~~~~~~~~~~","","Xcode=1","Sort=,,,,,,,,,,,,,,,,","Format=None,,,,,,,1","SupZ=1","FullA=0","Summ=Y","Ns=D","Top=","Opr=,,,,,,,,,,,,,,,,","Rnd=,,,,,,,,,,,,,,,,","Dp=,,,,,,,,,,,,,,,,","Rd=N0","Cr=N",",Afit=Y,APs=Y,,",",ALck=Y,,",",,","Cell=Sheet1!$A$1","PrxRCE=","","Crfile=",)</t>
  </si>
  <si>
    <t>数据库名称</t>
  </si>
  <si>
    <t>南通</t>
  </si>
  <si>
    <t>无锡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</si>
</sst>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43265.402222222219</v>
      </c>
      <c r="D1" t="s">
        <v>55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customWidth="1"/>
    <col min="2" max="2" width="11" customWidth="1"/>
    <col min="3" max="3" width="33.140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6.7109375" customWidth="1"/>
    <col min="16" max="16" width="10.140625" customWidth="1"/>
    <col min="17" max="17" width="10.5703125" bestFit="1" customWidth="1"/>
  </cols>
  <sheetData>
    <row r="1" spans="1:17">
      <c r="A1" s="6" t="s">
        <v>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21</v>
      </c>
      <c r="P1" s="2" t="s">
        <v>22</v>
      </c>
      <c r="Q1" s="3" t="s">
        <v>14</v>
      </c>
    </row>
    <row r="2" spans="1:17">
      <c r="A2" t="s">
        <v>17</v>
      </c>
      <c r="B2" t="s">
        <v>23</v>
      </c>
      <c r="C2" t="s">
        <v>24</v>
      </c>
      <c r="D2" t="s">
        <v>25</v>
      </c>
      <c r="N2" t="s">
        <v>16</v>
      </c>
      <c r="O2" t="s">
        <v>26</v>
      </c>
      <c r="P2" s="7">
        <v>43257</v>
      </c>
      <c r="Q2" s="4">
        <v>5809</v>
      </c>
    </row>
    <row r="3" spans="1:17">
      <c r="A3" t="s">
        <v>17</v>
      </c>
      <c r="B3" t="s">
        <v>23</v>
      </c>
      <c r="C3" t="s">
        <v>24</v>
      </c>
      <c r="D3" t="s">
        <v>25</v>
      </c>
      <c r="N3" t="s">
        <v>16</v>
      </c>
      <c r="O3" t="s">
        <v>26</v>
      </c>
      <c r="P3" s="7">
        <v>43258</v>
      </c>
      <c r="Q3" s="4">
        <v>16045</v>
      </c>
    </row>
    <row r="4" spans="1:17">
      <c r="A4" t="s">
        <v>17</v>
      </c>
      <c r="B4" t="s">
        <v>31</v>
      </c>
      <c r="C4" t="s">
        <v>32</v>
      </c>
      <c r="D4" t="s">
        <v>25</v>
      </c>
      <c r="E4" t="s">
        <v>29</v>
      </c>
      <c r="N4" t="s">
        <v>15</v>
      </c>
      <c r="O4" t="s">
        <v>33</v>
      </c>
      <c r="P4" s="7">
        <v>43258</v>
      </c>
      <c r="Q4" s="4">
        <v>-16045</v>
      </c>
    </row>
    <row r="5" spans="1:17">
      <c r="A5" t="s">
        <v>17</v>
      </c>
      <c r="B5" t="s">
        <v>34</v>
      </c>
      <c r="C5" t="s">
        <v>35</v>
      </c>
      <c r="D5" t="s">
        <v>25</v>
      </c>
      <c r="N5" t="s">
        <v>15</v>
      </c>
      <c r="O5" t="s">
        <v>36</v>
      </c>
      <c r="P5" s="7">
        <v>43257</v>
      </c>
      <c r="Q5" s="4">
        <v>-5809</v>
      </c>
    </row>
    <row r="6" spans="1:17">
      <c r="A6" t="s">
        <v>57</v>
      </c>
      <c r="B6" t="s">
        <v>23</v>
      </c>
      <c r="C6" t="s">
        <v>24</v>
      </c>
      <c r="D6" t="s">
        <v>25</v>
      </c>
      <c r="N6" t="s">
        <v>16</v>
      </c>
      <c r="O6" t="s">
        <v>26</v>
      </c>
      <c r="P6" s="7">
        <v>43252</v>
      </c>
      <c r="Q6" s="4">
        <v>14170</v>
      </c>
    </row>
    <row r="7" spans="1:17">
      <c r="A7" t="s">
        <v>57</v>
      </c>
      <c r="B7" t="s">
        <v>27</v>
      </c>
      <c r="C7" t="s">
        <v>28</v>
      </c>
      <c r="D7" t="s">
        <v>25</v>
      </c>
      <c r="E7" t="s">
        <v>29</v>
      </c>
      <c r="N7" t="s">
        <v>15</v>
      </c>
      <c r="O7" t="s">
        <v>30</v>
      </c>
      <c r="P7" s="7">
        <v>43252</v>
      </c>
      <c r="Q7" s="4">
        <v>-14170</v>
      </c>
    </row>
    <row r="8" spans="1:17">
      <c r="A8" t="s">
        <v>20</v>
      </c>
      <c r="B8" t="s">
        <v>23</v>
      </c>
      <c r="C8" t="s">
        <v>24</v>
      </c>
      <c r="D8" t="s">
        <v>25</v>
      </c>
      <c r="N8" t="s">
        <v>15</v>
      </c>
      <c r="O8" t="s">
        <v>26</v>
      </c>
      <c r="P8" s="7">
        <v>43259</v>
      </c>
      <c r="Q8" s="4">
        <v>-2200</v>
      </c>
    </row>
    <row r="9" spans="1:17">
      <c r="A9" t="s">
        <v>20</v>
      </c>
      <c r="B9" t="s">
        <v>23</v>
      </c>
      <c r="C9" t="s">
        <v>24</v>
      </c>
      <c r="D9" t="s">
        <v>25</v>
      </c>
      <c r="N9" t="s">
        <v>16</v>
      </c>
      <c r="O9" t="s">
        <v>26</v>
      </c>
      <c r="P9" s="7">
        <v>43255</v>
      </c>
      <c r="Q9" s="4">
        <v>2130.21</v>
      </c>
    </row>
    <row r="10" spans="1:17">
      <c r="A10" t="s">
        <v>20</v>
      </c>
      <c r="B10" t="s">
        <v>37</v>
      </c>
      <c r="C10" t="s">
        <v>38</v>
      </c>
      <c r="D10" t="s">
        <v>25</v>
      </c>
      <c r="F10" t="s">
        <v>19</v>
      </c>
      <c r="H10" t="s">
        <v>18</v>
      </c>
      <c r="N10" t="s">
        <v>16</v>
      </c>
      <c r="O10" t="s">
        <v>39</v>
      </c>
      <c r="P10" s="7">
        <v>43255</v>
      </c>
      <c r="Q10" s="4">
        <v>200</v>
      </c>
    </row>
    <row r="11" spans="1:17">
      <c r="A11" t="s">
        <v>20</v>
      </c>
      <c r="B11" t="s">
        <v>45</v>
      </c>
      <c r="C11" t="s">
        <v>46</v>
      </c>
      <c r="D11" t="s">
        <v>25</v>
      </c>
      <c r="G11" t="s">
        <v>42</v>
      </c>
      <c r="N11" t="s">
        <v>15</v>
      </c>
      <c r="O11" t="s">
        <v>47</v>
      </c>
      <c r="P11" s="7">
        <v>43255</v>
      </c>
      <c r="Q11" s="4">
        <v>-4530</v>
      </c>
    </row>
    <row r="12" spans="1:17">
      <c r="A12" t="s">
        <v>20</v>
      </c>
      <c r="B12" t="s">
        <v>45</v>
      </c>
      <c r="C12" t="s">
        <v>46</v>
      </c>
      <c r="D12" t="s">
        <v>25</v>
      </c>
      <c r="G12" t="s">
        <v>42</v>
      </c>
      <c r="N12" t="s">
        <v>15</v>
      </c>
      <c r="O12" t="s">
        <v>48</v>
      </c>
      <c r="P12" s="7">
        <v>43259</v>
      </c>
      <c r="Q12" s="4">
        <v>-1900</v>
      </c>
    </row>
    <row r="13" spans="1:17">
      <c r="A13" t="s">
        <v>20</v>
      </c>
      <c r="B13" t="s">
        <v>45</v>
      </c>
      <c r="C13" t="s">
        <v>46</v>
      </c>
      <c r="D13" t="s">
        <v>25</v>
      </c>
      <c r="G13" t="s">
        <v>42</v>
      </c>
      <c r="N13" t="s">
        <v>16</v>
      </c>
      <c r="O13" t="s">
        <v>49</v>
      </c>
      <c r="P13" s="7">
        <v>43255</v>
      </c>
      <c r="Q13" s="4">
        <v>199.92</v>
      </c>
    </row>
    <row r="14" spans="1:17">
      <c r="A14" t="s">
        <v>20</v>
      </c>
      <c r="B14" t="s">
        <v>45</v>
      </c>
      <c r="C14" t="s">
        <v>46</v>
      </c>
      <c r="D14" t="s">
        <v>25</v>
      </c>
      <c r="G14" t="s">
        <v>42</v>
      </c>
      <c r="N14" t="s">
        <v>16</v>
      </c>
      <c r="O14" t="s">
        <v>50</v>
      </c>
      <c r="P14" s="7">
        <v>43255</v>
      </c>
      <c r="Q14" s="4">
        <v>599.91999999999996</v>
      </c>
    </row>
    <row r="15" spans="1:17">
      <c r="A15" t="s">
        <v>20</v>
      </c>
      <c r="B15" t="s">
        <v>45</v>
      </c>
      <c r="C15" t="s">
        <v>46</v>
      </c>
      <c r="D15" t="s">
        <v>25</v>
      </c>
      <c r="G15" t="s">
        <v>42</v>
      </c>
      <c r="N15" t="s">
        <v>16</v>
      </c>
      <c r="O15" t="s">
        <v>51</v>
      </c>
      <c r="P15" s="7">
        <v>43255</v>
      </c>
      <c r="Q15" s="4">
        <v>300</v>
      </c>
    </row>
    <row r="16" spans="1:17">
      <c r="A16" t="s">
        <v>20</v>
      </c>
      <c r="B16" t="s">
        <v>45</v>
      </c>
      <c r="C16" t="s">
        <v>46</v>
      </c>
      <c r="D16" t="s">
        <v>25</v>
      </c>
      <c r="G16" t="s">
        <v>42</v>
      </c>
      <c r="N16" t="s">
        <v>16</v>
      </c>
      <c r="O16" t="s">
        <v>52</v>
      </c>
      <c r="P16" s="7">
        <v>43255</v>
      </c>
      <c r="Q16" s="4">
        <v>499.95</v>
      </c>
    </row>
    <row r="17" spans="1:17">
      <c r="A17" t="s">
        <v>20</v>
      </c>
      <c r="B17" t="s">
        <v>45</v>
      </c>
      <c r="C17" t="s">
        <v>46</v>
      </c>
      <c r="D17" t="s">
        <v>25</v>
      </c>
      <c r="G17" t="s">
        <v>42</v>
      </c>
      <c r="N17" t="s">
        <v>16</v>
      </c>
      <c r="O17" t="s">
        <v>53</v>
      </c>
      <c r="P17" s="7">
        <v>43255</v>
      </c>
      <c r="Q17" s="4">
        <v>600</v>
      </c>
    </row>
    <row r="18" spans="1:17">
      <c r="A18" t="s">
        <v>20</v>
      </c>
      <c r="B18" t="s">
        <v>45</v>
      </c>
      <c r="C18" t="s">
        <v>46</v>
      </c>
      <c r="D18" t="s">
        <v>25</v>
      </c>
      <c r="G18" t="s">
        <v>42</v>
      </c>
      <c r="N18" t="s">
        <v>16</v>
      </c>
      <c r="O18" t="s">
        <v>54</v>
      </c>
      <c r="P18" s="7">
        <v>43259</v>
      </c>
      <c r="Q18" s="4">
        <v>4100</v>
      </c>
    </row>
    <row r="19" spans="1:17">
      <c r="A19" t="s">
        <v>58</v>
      </c>
      <c r="B19" t="s">
        <v>23</v>
      </c>
      <c r="C19" t="s">
        <v>24</v>
      </c>
      <c r="D19" t="s">
        <v>25</v>
      </c>
      <c r="N19" t="s">
        <v>15</v>
      </c>
      <c r="O19" t="s">
        <v>26</v>
      </c>
      <c r="P19" s="7">
        <v>43259</v>
      </c>
      <c r="Q19" s="4">
        <v>-83631</v>
      </c>
    </row>
    <row r="20" spans="1:17">
      <c r="A20" t="s">
        <v>58</v>
      </c>
      <c r="B20" t="s">
        <v>40</v>
      </c>
      <c r="C20" t="s">
        <v>41</v>
      </c>
      <c r="D20" t="s">
        <v>25</v>
      </c>
      <c r="G20" t="s">
        <v>42</v>
      </c>
      <c r="J20" t="s">
        <v>43</v>
      </c>
      <c r="N20" t="s">
        <v>16</v>
      </c>
      <c r="O20" t="s">
        <v>44</v>
      </c>
      <c r="P20" s="7">
        <v>43259</v>
      </c>
      <c r="Q20" s="4">
        <v>83631</v>
      </c>
    </row>
    <row r="21" spans="1:17" ht="15.75" thickBot="1">
      <c r="O21">
        <v>19</v>
      </c>
      <c r="Q21" s="5">
        <f ca="1">SUBTOTAL(9,Q2:Q20)</f>
        <v>0</v>
      </c>
    </row>
    <row r="22" spans="1:17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2018-06-14T01:39:48Z</dcterms:modified>
</cp:coreProperties>
</file>