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40008_{3CDB58DF-4A10-4013-9D02-8E89D2074F0B}" xr6:coauthVersionLast="34" xr6:coauthVersionMax="34" xr10:uidLastSave="{00000000-0000-0000-0000-000000000000}"/>
  <bookViews>
    <workbookView xWindow="0" yWindow="0" windowWidth="28800" windowHeight="12225" tabRatio="927" activeTab="4"/>
  </bookViews>
  <sheets>
    <sheet name="工行-1780" sheetId="7" r:id="rId1"/>
    <sheet name="工行-1780明细" sheetId="9" r:id="rId2"/>
    <sheet name="工行-8121" sheetId="3" r:id="rId3"/>
    <sheet name="工行-8121明细" sheetId="10" r:id="rId4"/>
    <sheet name="工行-8121筛选VBA" sheetId="14" r:id="rId5"/>
    <sheet name="工行-3747" sheetId="11" r:id="rId6"/>
    <sheet name="资金池" sheetId="12" r:id="rId7"/>
    <sheet name="Sheet1" sheetId="13" r:id="rId8"/>
  </sheets>
  <definedNames>
    <definedName name="_xlnm._FilterDatabase" localSheetId="1" hidden="1">'工行-1780明细'!$A$1:$I$168</definedName>
    <definedName name="_xlnm._FilterDatabase" localSheetId="5" hidden="1">'工行-3747'!$A$1:$H$27</definedName>
    <definedName name="_xlnm._FilterDatabase" localSheetId="3" hidden="1">'工行-8121明细'!$A$1:$I$2</definedName>
    <definedName name="_xlnm._FilterDatabase" localSheetId="6" hidden="1">资金池!$A$1:$J$129</definedName>
    <definedName name="_xlnm.Print_Area" localSheetId="2">'工行-8121'!#REF!</definedName>
  </definedNames>
  <calcPr calcId="162913"/>
</workbook>
</file>

<file path=xl/calcChain.xml><?xml version="1.0" encoding="utf-8"?>
<calcChain xmlns="http://schemas.openxmlformats.org/spreadsheetml/2006/main">
  <c r="G145" i="12" l="1"/>
  <c r="I145" i="12" s="1"/>
  <c r="G144" i="12"/>
  <c r="I144" i="12"/>
  <c r="G143" i="12"/>
  <c r="I143" i="12"/>
  <c r="G142" i="12"/>
  <c r="I142" i="12" s="1"/>
  <c r="G141" i="12"/>
  <c r="I141" i="12" s="1"/>
  <c r="G140" i="12"/>
  <c r="I140" i="12"/>
  <c r="G139" i="12"/>
  <c r="I139" i="12"/>
  <c r="G137" i="12"/>
  <c r="I137" i="12" s="1"/>
  <c r="G136" i="12"/>
  <c r="I136" i="12" s="1"/>
  <c r="G135" i="12"/>
  <c r="I135" i="12"/>
  <c r="G134" i="12"/>
  <c r="I134" i="12"/>
  <c r="G133" i="12"/>
  <c r="I133" i="12" s="1"/>
  <c r="G132" i="12"/>
  <c r="I132" i="12" s="1"/>
  <c r="G131" i="12"/>
  <c r="I131" i="12"/>
  <c r="C3" i="10"/>
  <c r="G129" i="12"/>
  <c r="I129" i="12" s="1"/>
  <c r="G128" i="12"/>
  <c r="I128" i="12"/>
  <c r="G127" i="12"/>
  <c r="I127" i="12" s="1"/>
  <c r="G126" i="12"/>
  <c r="I126" i="12"/>
  <c r="G125" i="12"/>
  <c r="I125" i="12" s="1"/>
  <c r="G124" i="12"/>
  <c r="I124" i="12"/>
  <c r="G123" i="12"/>
  <c r="I123" i="12" s="1"/>
  <c r="G121" i="12"/>
  <c r="I121" i="12"/>
  <c r="F120" i="12"/>
  <c r="I120" i="12" s="1"/>
  <c r="G120" i="12"/>
  <c r="G119" i="12"/>
  <c r="I119" i="12" s="1"/>
  <c r="G118" i="12"/>
  <c r="I118" i="12"/>
  <c r="G117" i="12"/>
  <c r="I117" i="12" s="1"/>
  <c r="G116" i="12"/>
  <c r="I116" i="12" s="1"/>
  <c r="G115" i="12"/>
  <c r="I115" i="12" s="1"/>
  <c r="G113" i="12"/>
  <c r="I113" i="12"/>
  <c r="G112" i="12"/>
  <c r="I112" i="12" s="1"/>
  <c r="G111" i="12"/>
  <c r="I111" i="12" s="1"/>
  <c r="G110" i="12"/>
  <c r="I110" i="12" s="1"/>
  <c r="G109" i="12"/>
  <c r="I109" i="12"/>
  <c r="G108" i="12"/>
  <c r="I108" i="12" s="1"/>
  <c r="G107" i="12"/>
  <c r="I107" i="12" s="1"/>
  <c r="G105" i="12"/>
  <c r="I105" i="12" s="1"/>
  <c r="F104" i="12"/>
  <c r="D104" i="12"/>
  <c r="G104" i="12"/>
  <c r="I104" i="12" s="1"/>
  <c r="G103" i="12"/>
  <c r="I103" i="12" s="1"/>
  <c r="G102" i="12"/>
  <c r="I102" i="12" s="1"/>
  <c r="G101" i="12"/>
  <c r="I101" i="12"/>
  <c r="G100" i="12"/>
  <c r="I100" i="12" s="1"/>
  <c r="G99" i="12"/>
  <c r="I99" i="12" s="1"/>
  <c r="G97" i="12"/>
  <c r="I97" i="12" s="1"/>
  <c r="F96" i="12"/>
  <c r="D96" i="12"/>
  <c r="G96" i="12"/>
  <c r="I96" i="12" s="1"/>
  <c r="G95" i="12"/>
  <c r="I95" i="12" s="1"/>
  <c r="G94" i="12"/>
  <c r="I94" i="12" s="1"/>
  <c r="G93" i="12"/>
  <c r="I93" i="12" s="1"/>
  <c r="G92" i="12"/>
  <c r="I92" i="12" s="1"/>
  <c r="G91" i="12"/>
  <c r="I91" i="12" s="1"/>
  <c r="D89" i="12"/>
  <c r="G89" i="12" s="1"/>
  <c r="I89" i="12" s="1"/>
  <c r="G88" i="12"/>
  <c r="I88" i="12"/>
  <c r="D87" i="12"/>
  <c r="G87" i="12" s="1"/>
  <c r="I87" i="12" s="1"/>
  <c r="D86" i="12"/>
  <c r="G86" i="12" s="1"/>
  <c r="I86" i="12" s="1"/>
  <c r="D85" i="12"/>
  <c r="G85" i="12"/>
  <c r="I85" i="12" s="1"/>
  <c r="D84" i="12"/>
  <c r="G84" i="12" s="1"/>
  <c r="I84" i="12" s="1"/>
  <c r="D83" i="12"/>
  <c r="G83" i="12" s="1"/>
  <c r="I83" i="12" s="1"/>
  <c r="G81" i="12"/>
  <c r="I81" i="12" s="1"/>
  <c r="G80" i="12"/>
  <c r="I80" i="12" s="1"/>
  <c r="G79" i="12"/>
  <c r="I79" i="12" s="1"/>
  <c r="G78" i="12"/>
  <c r="I78" i="12" s="1"/>
  <c r="G77" i="12"/>
  <c r="I77" i="12" s="1"/>
  <c r="G76" i="12"/>
  <c r="I76" i="12" s="1"/>
  <c r="G75" i="12"/>
  <c r="I75" i="12" s="1"/>
  <c r="G73" i="12"/>
  <c r="I73" i="12" s="1"/>
  <c r="G72" i="12"/>
  <c r="I72" i="12" s="1"/>
  <c r="G71" i="12"/>
  <c r="I71" i="12" s="1"/>
  <c r="G70" i="12"/>
  <c r="I70" i="12" s="1"/>
  <c r="G69" i="12"/>
  <c r="I69" i="12" s="1"/>
  <c r="G68" i="12"/>
  <c r="I68" i="12" s="1"/>
  <c r="G67" i="12"/>
  <c r="I67" i="12" s="1"/>
  <c r="G65" i="12"/>
  <c r="I65" i="12" s="1"/>
  <c r="G64" i="12"/>
  <c r="I64" i="12" s="1"/>
  <c r="G63" i="12"/>
  <c r="I63" i="12" s="1"/>
  <c r="G62" i="12"/>
  <c r="I62" i="12" s="1"/>
  <c r="G61" i="12"/>
  <c r="I61" i="12" s="1"/>
  <c r="G60" i="12"/>
  <c r="I60" i="12" s="1"/>
  <c r="G59" i="12"/>
  <c r="I59" i="12" s="1"/>
  <c r="G57" i="12"/>
  <c r="I57" i="12" s="1"/>
  <c r="G56" i="12"/>
  <c r="I56" i="12" s="1"/>
  <c r="G55" i="12"/>
  <c r="I55" i="12" s="1"/>
  <c r="G54" i="12"/>
  <c r="I54" i="12" s="1"/>
  <c r="G53" i="12"/>
  <c r="I53" i="12" s="1"/>
  <c r="G52" i="12"/>
  <c r="I52" i="12" s="1"/>
  <c r="G51" i="12"/>
  <c r="I51" i="12" s="1"/>
  <c r="G49" i="12"/>
  <c r="I49" i="12" s="1"/>
  <c r="G48" i="12"/>
  <c r="I48" i="12" s="1"/>
  <c r="G47" i="12"/>
  <c r="I47" i="12" s="1"/>
  <c r="G46" i="12"/>
  <c r="I46" i="12" s="1"/>
  <c r="G45" i="12"/>
  <c r="I45" i="12" s="1"/>
  <c r="G44" i="12"/>
  <c r="I44" i="12" s="1"/>
  <c r="G43" i="12"/>
  <c r="I43" i="12" s="1"/>
  <c r="G41" i="12"/>
  <c r="I41" i="12" s="1"/>
  <c r="G40" i="12"/>
  <c r="I40" i="12" s="1"/>
  <c r="G39" i="12"/>
  <c r="I39" i="12" s="1"/>
  <c r="G38" i="12"/>
  <c r="I38" i="12" s="1"/>
  <c r="G37" i="12"/>
  <c r="I37" i="12" s="1"/>
  <c r="G36" i="12"/>
  <c r="I36" i="12" s="1"/>
  <c r="G35" i="12"/>
  <c r="I35" i="12" s="1"/>
  <c r="G33" i="12"/>
  <c r="I33" i="12" s="1"/>
  <c r="G32" i="12"/>
  <c r="I32" i="12" s="1"/>
  <c r="F31" i="12"/>
  <c r="D31" i="12"/>
  <c r="G31" i="12" s="1"/>
  <c r="G30" i="12"/>
  <c r="I30" i="12" s="1"/>
  <c r="G29" i="12"/>
  <c r="I29" i="12" s="1"/>
  <c r="G28" i="12"/>
  <c r="I28" i="12" s="1"/>
  <c r="G27" i="12"/>
  <c r="I27" i="12" s="1"/>
  <c r="G25" i="12"/>
  <c r="I25" i="12" s="1"/>
  <c r="G24" i="12"/>
  <c r="I24" i="12" s="1"/>
  <c r="G23" i="12"/>
  <c r="I23" i="12" s="1"/>
  <c r="G22" i="12"/>
  <c r="I22" i="12" s="1"/>
  <c r="G21" i="12"/>
  <c r="I21" i="12" s="1"/>
  <c r="G20" i="12"/>
  <c r="I20" i="12" s="1"/>
  <c r="G19" i="12"/>
  <c r="I19" i="12" s="1"/>
  <c r="G17" i="12"/>
  <c r="I17" i="12" s="1"/>
  <c r="G16" i="12"/>
  <c r="I16" i="12" s="1"/>
  <c r="G15" i="12"/>
  <c r="I15" i="12" s="1"/>
  <c r="G14" i="12"/>
  <c r="I14" i="12" s="1"/>
  <c r="G13" i="12"/>
  <c r="I13" i="12" s="1"/>
  <c r="G12" i="12"/>
  <c r="I12" i="12" s="1"/>
  <c r="G11" i="12"/>
  <c r="I11" i="12" s="1"/>
  <c r="G9" i="12"/>
  <c r="I9" i="12" s="1"/>
  <c r="G8" i="12"/>
  <c r="I8" i="12" s="1"/>
  <c r="G7" i="12"/>
  <c r="I7" i="12" s="1"/>
  <c r="G6" i="12"/>
  <c r="I6" i="12" s="1"/>
  <c r="G5" i="12"/>
  <c r="I5" i="12" s="1"/>
  <c r="G4" i="12"/>
  <c r="I4" i="12" s="1"/>
  <c r="G3" i="12"/>
  <c r="I3" i="12" s="1"/>
  <c r="D6" i="7"/>
  <c r="G6" i="11"/>
  <c r="D6" i="11"/>
  <c r="G6" i="3"/>
  <c r="G6" i="7"/>
  <c r="G27" i="11"/>
  <c r="D27" i="11"/>
  <c r="D18" i="11"/>
  <c r="G19" i="3"/>
  <c r="D19" i="3"/>
  <c r="G28" i="7"/>
  <c r="D28" i="7"/>
  <c r="G27" i="7"/>
  <c r="D27" i="7"/>
  <c r="G26" i="7"/>
  <c r="D26" i="7"/>
  <c r="D6" i="3"/>
  <c r="G26" i="11"/>
  <c r="D26" i="11"/>
  <c r="G25" i="11"/>
  <c r="D25" i="11"/>
  <c r="G28" i="3"/>
  <c r="D28" i="3"/>
  <c r="G27" i="3"/>
  <c r="D27" i="3"/>
  <c r="G24" i="3"/>
  <c r="G7" i="11"/>
  <c r="G11" i="7"/>
  <c r="G12" i="7"/>
  <c r="G13" i="7"/>
  <c r="D11" i="7"/>
  <c r="D12" i="7"/>
  <c r="D13" i="7"/>
  <c r="D14" i="7"/>
  <c r="D15" i="7"/>
  <c r="D16" i="7"/>
  <c r="D16" i="3"/>
  <c r="G7" i="7"/>
  <c r="G8" i="7"/>
  <c r="G9" i="7"/>
  <c r="G10" i="7"/>
  <c r="G14" i="7"/>
  <c r="G15" i="7"/>
  <c r="G16" i="7"/>
  <c r="G17" i="7"/>
  <c r="G18" i="7"/>
  <c r="G19" i="7"/>
  <c r="G20" i="7"/>
  <c r="G21" i="7"/>
  <c r="G22" i="7"/>
  <c r="G23" i="7"/>
  <c r="G24" i="7"/>
  <c r="G25" i="7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D7" i="11"/>
  <c r="D8" i="11"/>
  <c r="D9" i="11"/>
  <c r="D10" i="11"/>
  <c r="D11" i="11"/>
  <c r="D12" i="11"/>
  <c r="D13" i="11"/>
  <c r="D14" i="11"/>
  <c r="D15" i="11"/>
  <c r="D16" i="11"/>
  <c r="D17" i="11"/>
  <c r="D19" i="11"/>
  <c r="D20" i="11"/>
  <c r="D21" i="11"/>
  <c r="D22" i="11"/>
  <c r="D23" i="11"/>
  <c r="D24" i="11"/>
  <c r="D7" i="7"/>
  <c r="D8" i="7"/>
  <c r="D9" i="7"/>
  <c r="D10" i="7"/>
  <c r="D17" i="7"/>
  <c r="D18" i="7"/>
  <c r="D19" i="7"/>
  <c r="D20" i="7"/>
  <c r="D21" i="7"/>
  <c r="D22" i="7"/>
  <c r="D23" i="7"/>
  <c r="D24" i="7"/>
  <c r="D25" i="7"/>
  <c r="G9" i="3"/>
  <c r="G7" i="3"/>
  <c r="D7" i="3"/>
  <c r="G8" i="3"/>
  <c r="G10" i="3"/>
  <c r="G12" i="3"/>
  <c r="G13" i="3"/>
  <c r="G14" i="3"/>
  <c r="G15" i="3"/>
  <c r="G16" i="3"/>
  <c r="G17" i="3"/>
  <c r="G18" i="3"/>
  <c r="G20" i="3"/>
  <c r="G21" i="3"/>
  <c r="G22" i="3"/>
  <c r="G23" i="3"/>
  <c r="G25" i="3"/>
  <c r="G26" i="3"/>
  <c r="D8" i="3"/>
  <c r="D9" i="3"/>
  <c r="D10" i="3"/>
  <c r="D11" i="3"/>
  <c r="D12" i="3"/>
  <c r="D13" i="3"/>
  <c r="D14" i="3"/>
  <c r="D15" i="3"/>
  <c r="D17" i="3"/>
  <c r="D18" i="3"/>
  <c r="D20" i="3"/>
  <c r="D21" i="3"/>
  <c r="D22" i="3"/>
  <c r="D23" i="3"/>
  <c r="D24" i="3"/>
  <c r="D25" i="3"/>
  <c r="D26" i="3"/>
  <c r="G11" i="3"/>
  <c r="I31" i="12" l="1"/>
</calcChain>
</file>

<file path=xl/sharedStrings.xml><?xml version="1.0" encoding="utf-8"?>
<sst xmlns="http://schemas.openxmlformats.org/spreadsheetml/2006/main" count="1307" uniqueCount="288">
  <si>
    <t>Date</t>
    <phoneticPr fontId="5" type="noConversion"/>
  </si>
  <si>
    <t>账务数据</t>
    <phoneticPr fontId="5" type="noConversion"/>
  </si>
  <si>
    <t>银行明细</t>
    <phoneticPr fontId="5" type="noConversion"/>
  </si>
  <si>
    <t>银企对账</t>
    <phoneticPr fontId="5" type="noConversion"/>
  </si>
  <si>
    <t>即时支付</t>
    <phoneticPr fontId="5" type="noConversion"/>
  </si>
  <si>
    <t>资金池外失败</t>
    <phoneticPr fontId="5" type="noConversion"/>
  </si>
  <si>
    <t>提交日期</t>
  </si>
  <si>
    <t>银行账户</t>
  </si>
  <si>
    <t>交易金额</t>
  </si>
  <si>
    <t>交易时间</t>
  </si>
  <si>
    <t>备注</t>
  </si>
  <si>
    <t>附言</t>
  </si>
  <si>
    <t>用途</t>
  </si>
  <si>
    <t>对方账户名称</t>
  </si>
  <si>
    <t/>
  </si>
  <si>
    <t>广州银联网络支付有限公司客户备付金</t>
  </si>
  <si>
    <t>通联支付网络服务股份有限公司客户备付金</t>
  </si>
  <si>
    <t>万欣和（上海）企业服务有限公司</t>
  </si>
  <si>
    <t>账户编号</t>
  </si>
  <si>
    <t>账户名称</t>
  </si>
  <si>
    <t>银行账号</t>
    <phoneticPr fontId="7" type="noConversion"/>
  </si>
  <si>
    <t>余额</t>
  </si>
  <si>
    <r>
      <rPr>
        <b/>
        <sz val="11"/>
        <color indexed="63"/>
        <rFont val="宋体"/>
        <charset val="134"/>
      </rPr>
      <t>资金池额度</t>
    </r>
    <phoneticPr fontId="7" type="noConversion"/>
  </si>
  <si>
    <t>交易明细</t>
    <phoneticPr fontId="7" type="noConversion"/>
  </si>
  <si>
    <t>资金池支付</t>
    <phoneticPr fontId="7" type="noConversion"/>
  </si>
  <si>
    <t>KYH支付</t>
    <phoneticPr fontId="7" type="noConversion"/>
  </si>
  <si>
    <t>diff</t>
    <phoneticPr fontId="7" type="noConversion"/>
  </si>
  <si>
    <t>1001244319023113747</t>
  </si>
  <si>
    <t>4301010319100281780</t>
  </si>
  <si>
    <t>1102010128</t>
  </si>
  <si>
    <t>1102010142</t>
  </si>
  <si>
    <t>4301010319100288121</t>
  </si>
  <si>
    <t>万欣和代付</t>
  </si>
  <si>
    <t>11020101A9</t>
  </si>
  <si>
    <t>对方账户</t>
  </si>
  <si>
    <t>3602008119200030379</t>
  </si>
  <si>
    <t>1001190719004665588</t>
  </si>
  <si>
    <t>44001400101053011988</t>
  </si>
  <si>
    <t>44001400101053004564</t>
  </si>
  <si>
    <t>1001141529006662016</t>
  </si>
  <si>
    <t>2018-06-01</t>
  </si>
  <si>
    <t>20180531代付退汇</t>
  </si>
  <si>
    <t>支付（BA线下）</t>
    <phoneticPr fontId="5" type="noConversion"/>
  </si>
  <si>
    <t>失败（BA线下）</t>
    <phoneticPr fontId="5" type="noConversion"/>
  </si>
  <si>
    <t>E-F</t>
    <phoneticPr fontId="5" type="noConversion"/>
  </si>
  <si>
    <t>2018-06-14</t>
  </si>
  <si>
    <t>2018-06-12</t>
  </si>
  <si>
    <t>2018-06-08</t>
  </si>
  <si>
    <t>2018-06-07</t>
  </si>
  <si>
    <t>2018-06-06</t>
  </si>
  <si>
    <t>2018-06-05</t>
  </si>
  <si>
    <t>2018-06-04</t>
  </si>
  <si>
    <t>(支付）银通联/万欣和/民生</t>
    <phoneticPr fontId="5" type="noConversion"/>
  </si>
  <si>
    <t>(失败）银通联/万欣和/民生</t>
    <phoneticPr fontId="5" type="noConversion"/>
  </si>
  <si>
    <t>B+C</t>
    <phoneticPr fontId="5" type="noConversion"/>
  </si>
  <si>
    <t>即时失败</t>
    <phoneticPr fontId="5" type="noConversion"/>
  </si>
  <si>
    <t>B-H-C</t>
    <phoneticPr fontId="5" type="noConversion"/>
  </si>
  <si>
    <t>E-H-F</t>
    <phoneticPr fontId="5" type="noConversion"/>
  </si>
  <si>
    <t>20180613代付退汇</t>
  </si>
  <si>
    <t>20180611代付退汇</t>
  </si>
  <si>
    <t>2018-06-11</t>
  </si>
  <si>
    <t>20180608代付退汇</t>
  </si>
  <si>
    <t>20180607代付退汇</t>
  </si>
  <si>
    <t>20180606代付退汇</t>
  </si>
  <si>
    <t>20180605代付退汇</t>
  </si>
  <si>
    <t>20180604代付退汇</t>
  </si>
  <si>
    <t>2018-06-25</t>
  </si>
  <si>
    <t>友邦保险有限公司江苏分公司</t>
  </si>
  <si>
    <t>2018-06-22</t>
  </si>
  <si>
    <t>2018-06-21</t>
  </si>
  <si>
    <t>2018-06-20</t>
  </si>
  <si>
    <t>2018-06-19</t>
  </si>
  <si>
    <t>2018-06-15</t>
  </si>
  <si>
    <t>20180622代付退汇</t>
  </si>
  <si>
    <t>20180621代付退汇</t>
  </si>
  <si>
    <t>20180620代付退汇</t>
  </si>
  <si>
    <t>20180619代付退汇</t>
  </si>
  <si>
    <t>20180615代付退汇</t>
  </si>
  <si>
    <t>0000191400205809CNY</t>
  </si>
  <si>
    <t>友邦保险有限公司上海分公司</t>
  </si>
  <si>
    <t>1001244329023112405</t>
  </si>
  <si>
    <t>资金池未扣款</t>
  </si>
  <si>
    <t>0000191400206429CNY</t>
  </si>
  <si>
    <t>0000191400206430CNY</t>
  </si>
  <si>
    <t>友邦保险有限公司广东分公司</t>
  </si>
  <si>
    <t>1001244319023113596</t>
  </si>
  <si>
    <t>0000191400206431CNY</t>
  </si>
  <si>
    <t>友邦保险有限公司东莞支公司</t>
  </si>
  <si>
    <t>1001244319023113348</t>
  </si>
  <si>
    <t>0000191400206432CNY</t>
  </si>
  <si>
    <t>友邦保险有限公司北京分公司</t>
  </si>
  <si>
    <t>1001244319023113472</t>
  </si>
  <si>
    <t>0000191400206439CNY</t>
  </si>
  <si>
    <t>友邦保险有限公司深圳分公司</t>
  </si>
  <si>
    <t>1001244319023113623</t>
  </si>
  <si>
    <t>0000191400206441CNY</t>
  </si>
  <si>
    <t>友邦保险有限公司江门支公司</t>
  </si>
  <si>
    <t>1001244319023113871</t>
  </si>
  <si>
    <t>资金池未扣款24050</t>
    <phoneticPr fontId="11" type="noConversion"/>
  </si>
  <si>
    <t>2018-06-27</t>
  </si>
  <si>
    <t>2018-06-26</t>
  </si>
  <si>
    <t>2018-06-27 11:13:37</t>
  </si>
  <si>
    <t>20180626代付退汇</t>
  </si>
  <si>
    <t>2018-06-27 11:02:18</t>
  </si>
  <si>
    <t>38062714790704</t>
  </si>
  <si>
    <t>2018-06-27 11:02:08</t>
  </si>
  <si>
    <t>38062714790697</t>
  </si>
  <si>
    <t>2018-06-27 10:58:59</t>
  </si>
  <si>
    <t>38062714790696</t>
  </si>
  <si>
    <t>2018-06-27 10:44:47</t>
  </si>
  <si>
    <t>20180626通联{clrtyp}</t>
  </si>
  <si>
    <t>2018-06-26 11:00:09</t>
  </si>
  <si>
    <t>20180625异常退汇</t>
  </si>
  <si>
    <t>20180625代付退汇</t>
  </si>
  <si>
    <t>异常</t>
    <phoneticPr fontId="5" type="noConversion"/>
  </si>
  <si>
    <t>2018-06-27 11:13:28</t>
  </si>
  <si>
    <t>2018-06-26 10:59:30</t>
  </si>
  <si>
    <t>2018-06-25 11:16:10</t>
  </si>
  <si>
    <t>2018-06-22 10:52:24</t>
  </si>
  <si>
    <t>2018-06-22 10:52:23</t>
  </si>
  <si>
    <t>2018-06-21 11:05:41</t>
  </si>
  <si>
    <t>2018-06-20 11:06:19</t>
  </si>
  <si>
    <t>2018-06-19 11:07:44</t>
  </si>
  <si>
    <t>2018-06-15 10:50:08</t>
  </si>
  <si>
    <t>20180614代付退汇</t>
  </si>
  <si>
    <t>2018-06-15 10:50:07</t>
  </si>
  <si>
    <t>2018-06-14 11:05:35</t>
  </si>
  <si>
    <t>2018-06-12 10:37:31</t>
  </si>
  <si>
    <t>2018-06-11 10:51:03</t>
  </si>
  <si>
    <t>2018-06-08 10:35:39</t>
  </si>
  <si>
    <t>2018-06-07 11:08:53</t>
  </si>
  <si>
    <t>2018-06-06 10:56:59</t>
  </si>
  <si>
    <t>2018-06-05 10:48:53</t>
  </si>
  <si>
    <t>2018-06-04 11:09:19</t>
  </si>
  <si>
    <t>20180601代付退汇</t>
  </si>
  <si>
    <t>2018-06-04 11:09:18</t>
  </si>
  <si>
    <t>2018-06-01 11:28:34</t>
  </si>
  <si>
    <t>2018-06-01 11:28:33</t>
  </si>
  <si>
    <t>2018-07-13</t>
  </si>
  <si>
    <t>2018-07-13 17:14:07</t>
  </si>
  <si>
    <t>商户误打款退回（友邦</t>
  </si>
  <si>
    <t>商户误打款退回（友邦保险）江苏分公司</t>
  </si>
  <si>
    <t>通联支付网络服务股份有限公司</t>
  </si>
  <si>
    <t>121907679110904</t>
  </si>
  <si>
    <t>2018-07-13 11:42:14</t>
  </si>
  <si>
    <t>Autopay out-银联</t>
  </si>
  <si>
    <t>38071316030621</t>
  </si>
  <si>
    <t>2018-07-13 11:42:13</t>
  </si>
  <si>
    <t>38071316030619</t>
  </si>
  <si>
    <t>2018-07-13 10:56:40</t>
  </si>
  <si>
    <t>20180712代付退汇</t>
  </si>
  <si>
    <t>2018-07-13 10:53:06</t>
  </si>
  <si>
    <t>20180712通联{clrtyp}</t>
  </si>
  <si>
    <t>通联支付网络服务股份有限公司备付金</t>
  </si>
  <si>
    <t>0000300000000042</t>
  </si>
  <si>
    <t>2018-07-13 10:29:11</t>
  </si>
  <si>
    <t>38071315591321</t>
  </si>
  <si>
    <t>2018-07-13 10:29:00</t>
  </si>
  <si>
    <t>38071315591314</t>
  </si>
  <si>
    <t>2018-07-13 10:09:46</t>
  </si>
  <si>
    <t>C_2.2_07102018_71</t>
  </si>
  <si>
    <t>38071315591268</t>
  </si>
  <si>
    <t>通联支付网络服务股份有限公司上海分公司</t>
  </si>
  <si>
    <t>121909087910206</t>
  </si>
  <si>
    <t>2018-07-12</t>
  </si>
  <si>
    <t>2018-07-12 11:43:20</t>
  </si>
  <si>
    <t>38071215591023</t>
  </si>
  <si>
    <t>2018-07-12 11:43:19</t>
  </si>
  <si>
    <t>38071215591022</t>
  </si>
  <si>
    <t>2018-07-12 10:45:17</t>
  </si>
  <si>
    <t>20180711通联{clrtyp}</t>
  </si>
  <si>
    <t>2018-07-12 10:00:35</t>
  </si>
  <si>
    <t>20180711代付退汇</t>
  </si>
  <si>
    <t>2018-07-11</t>
  </si>
  <si>
    <t>2018-07-11 13:00:50</t>
  </si>
  <si>
    <t>38071115630196</t>
  </si>
  <si>
    <t>2018-07-11 11:00:36</t>
  </si>
  <si>
    <t>38071115630178</t>
  </si>
  <si>
    <t>2018-07-11 11:00:13</t>
  </si>
  <si>
    <t>38071115630171</t>
  </si>
  <si>
    <t>2018-07-11 10:58:05</t>
  </si>
  <si>
    <t>20180710通联{clrtyp}</t>
  </si>
  <si>
    <t>2018-07-11 10:44:16</t>
  </si>
  <si>
    <t>20180710代付退汇</t>
  </si>
  <si>
    <t>2018-07-10</t>
  </si>
  <si>
    <t>2018-07-10 14:00:28</t>
  </si>
  <si>
    <t>38071015629832</t>
  </si>
  <si>
    <t>2018-07-10 10:59:01</t>
  </si>
  <si>
    <t>38071015590952</t>
  </si>
  <si>
    <t>2018-07-10 10:58:52</t>
  </si>
  <si>
    <t>38071015590946</t>
  </si>
  <si>
    <t>2018-07-10 10:47:09</t>
  </si>
  <si>
    <t>20180709通联{clrtyp}</t>
  </si>
  <si>
    <t>2018-07-10 10:39:56</t>
  </si>
  <si>
    <t>20180709异常退汇</t>
  </si>
  <si>
    <t>2018-07-09</t>
  </si>
  <si>
    <t>2018-07-09 11:04:34</t>
  </si>
  <si>
    <t>38070915629788</t>
  </si>
  <si>
    <t>2018-07-09 11:04:23</t>
  </si>
  <si>
    <t>38070915629781</t>
  </si>
  <si>
    <t>2018-07-09 10:55:46</t>
  </si>
  <si>
    <t>20180706代付退汇</t>
  </si>
  <si>
    <t>2018-07-09 10:52:49</t>
  </si>
  <si>
    <t>20180706通联{clrtyp}</t>
  </si>
  <si>
    <t>2018-07-06</t>
  </si>
  <si>
    <t>2018-07-06 11:11:10</t>
  </si>
  <si>
    <t>38070615329514</t>
  </si>
  <si>
    <t>2018-07-06 10:43:47</t>
  </si>
  <si>
    <t>20180705异常退汇</t>
  </si>
  <si>
    <t>2018-07-06 10:43:43</t>
  </si>
  <si>
    <t>20180705代付退汇</t>
  </si>
  <si>
    <t>2018-07-06 10:41:58</t>
  </si>
  <si>
    <t>20180705通联{clrtyp}</t>
  </si>
  <si>
    <t>2018-07-06 10:21:50</t>
  </si>
  <si>
    <t>38070615329076</t>
  </si>
  <si>
    <t>2018-07-05</t>
  </si>
  <si>
    <t>2018-07-05 14:20:15</t>
  </si>
  <si>
    <t>38070515328994</t>
  </si>
  <si>
    <t>2018-07-05 14:20:05</t>
  </si>
  <si>
    <t>38070515328988</t>
  </si>
  <si>
    <t>2018-07-05 11:04:32</t>
  </si>
  <si>
    <t>20180704异常退汇</t>
  </si>
  <si>
    <t>2018-07-05 11:03:57</t>
  </si>
  <si>
    <t>20180704代付退汇</t>
  </si>
  <si>
    <t>2018-07-05 10:42:44</t>
  </si>
  <si>
    <t>20180704通联{clrtyp}</t>
  </si>
  <si>
    <t>2018-07-04</t>
  </si>
  <si>
    <t>2018-07-04 11:42:23</t>
  </si>
  <si>
    <t>38070415328621</t>
  </si>
  <si>
    <t>2018-07-04 11:12:59</t>
  </si>
  <si>
    <t>20180703异常退汇</t>
  </si>
  <si>
    <t>2018-07-04 11:12:56</t>
  </si>
  <si>
    <t>20180703代付退汇</t>
  </si>
  <si>
    <t>2018-07-04 10:55:13</t>
  </si>
  <si>
    <t>38070414989003</t>
  </si>
  <si>
    <t>38070414989004</t>
  </si>
  <si>
    <t>2018-07-04 10:42:41</t>
  </si>
  <si>
    <t>20180703通联{clrtyp}</t>
  </si>
  <si>
    <t>2018-07-03</t>
  </si>
  <si>
    <t>2018-07-03 11:19:57</t>
  </si>
  <si>
    <t>38070314988952</t>
  </si>
  <si>
    <t>2018-07-03 11:19:37</t>
  </si>
  <si>
    <t>38070314988947</t>
  </si>
  <si>
    <t>2018-07-03 11:01:16</t>
  </si>
  <si>
    <t>20180702代付退汇</t>
  </si>
  <si>
    <t>2018-07-03 10:41:59</t>
  </si>
  <si>
    <t>20180702通联{clrtyp}</t>
  </si>
  <si>
    <t>2018-07-03 10:12:08</t>
  </si>
  <si>
    <t>C_2.2_06272018_58</t>
  </si>
  <si>
    <t>38070314988922</t>
  </si>
  <si>
    <t>1001141509006637715</t>
  </si>
  <si>
    <t>2018-07-02</t>
  </si>
  <si>
    <t>2018-07-02 11:26:17</t>
  </si>
  <si>
    <t>20180629代付退汇</t>
  </si>
  <si>
    <t>2018-07-02 11:11:26</t>
  </si>
  <si>
    <t>38070214988684</t>
  </si>
  <si>
    <t>2018-07-02 11:11:16</t>
  </si>
  <si>
    <t>38070214988678</t>
  </si>
  <si>
    <t>2018-07-02 11:07:10</t>
  </si>
  <si>
    <t>38070214791487</t>
  </si>
  <si>
    <t>2018-07-02 10:57:20</t>
  </si>
  <si>
    <t>20180630通联{clrtyp}</t>
  </si>
  <si>
    <t>2018-06-29</t>
  </si>
  <si>
    <t>2018-06-29 10:43:53</t>
  </si>
  <si>
    <t>20180628通联{clrtyp}</t>
  </si>
  <si>
    <t>2018-06-29 10:27:10</t>
  </si>
  <si>
    <t>38062914791242</t>
  </si>
  <si>
    <t>2018-06-29 10:27:09</t>
  </si>
  <si>
    <t>38062914791241</t>
  </si>
  <si>
    <t>2018-06-29 10:14:07</t>
  </si>
  <si>
    <t>20180628代付退汇</t>
  </si>
  <si>
    <t>2018-06-28</t>
  </si>
  <si>
    <t>2018-06-28 11:07:06</t>
  </si>
  <si>
    <t>20180627代付退汇</t>
  </si>
  <si>
    <t>2018-06-28 10:54:02</t>
  </si>
  <si>
    <t>20180627通联{clrtyp}</t>
  </si>
  <si>
    <t>2018-06-28 10:32:16</t>
  </si>
  <si>
    <t>38062814790937</t>
  </si>
  <si>
    <t>2018-06-28 10:32:02</t>
  </si>
  <si>
    <t>38062814790917</t>
  </si>
  <si>
    <t>2018-06-27 09:59:29</t>
  </si>
  <si>
    <t>C_2.2_06212018_29</t>
  </si>
  <si>
    <t>38062714848616</t>
  </si>
  <si>
    <t>广州银联网络支付有限公司</t>
  </si>
  <si>
    <t>82110155300000710</t>
  </si>
  <si>
    <t>2018-06-27 09:59:28</t>
  </si>
  <si>
    <t>C_2.2_06212018_28</t>
  </si>
  <si>
    <t>38062714848615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</si>
</sst>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4" formatCode="0.00_);[Red]\(0.00\)"/>
    <numFmt numFmtId="185" formatCode="#,##0.00_ "/>
    <numFmt numFmtId="199" formatCode="#,##0.00_);[Red]\(#,##0.00\)"/>
  </numFmts>
  <fonts count="17">
    <font>
      <sz val="10"/>
      <name val="Arial"/>
      <family val="2"/>
    </font>
    <font>
      <sz val="10"/>
      <name val="Geneva"/>
      <family val="2"/>
    </font>
    <font>
      <sz val="12"/>
      <name val="宋体"/>
      <charset val="134"/>
    </font>
    <font>
      <sz val="10"/>
      <name val="宋体"/>
      <charset val="134"/>
    </font>
    <font>
      <b/>
      <sz val="12"/>
      <name val="宋体"/>
      <charset val="134"/>
    </font>
    <font>
      <sz val="9"/>
      <name val="宋体"/>
      <charset val="134"/>
    </font>
    <font>
      <b/>
      <sz val="16"/>
      <name val="宋体"/>
      <charset val="134"/>
    </font>
    <font>
      <sz val="9"/>
      <name val="宋体"/>
      <charset val="134"/>
    </font>
    <font>
      <b/>
      <sz val="11"/>
      <color indexed="63"/>
      <name val="宋体"/>
      <charset val="134"/>
    </font>
    <font>
      <sz val="10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b/>
      <sz val="11"/>
      <color rgb="FF222222"/>
      <name val="Tahoma"/>
      <family val="2"/>
    </font>
    <font>
      <b/>
      <sz val="11"/>
      <color rgb="FF222222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3">
    <xf numFmtId="0" fontId="0" fillId="0" borderId="0" applyNumberFormat="0" applyFill="0" applyBorder="0" applyAlignment="0">
      <alignment vertical="center"/>
      <protection locked="0"/>
    </xf>
    <xf numFmtId="0" fontId="1" fillId="0" borderId="0">
      <alignment vertical="center"/>
    </xf>
    <xf numFmtId="0" fontId="14" fillId="0" borderId="0">
      <alignment vertical="center"/>
    </xf>
  </cellStyleXfs>
  <cellXfs count="54">
    <xf numFmtId="0" fontId="0" fillId="0" borderId="0" xfId="0" applyAlignment="1" applyProtection="1"/>
    <xf numFmtId="0" fontId="0" fillId="0" borderId="1" xfId="0" applyBorder="1" applyAlignment="1" applyProtection="1"/>
    <xf numFmtId="0" fontId="0" fillId="0" borderId="0" xfId="0" applyFont="1" applyFill="1" applyAlignment="1" applyProtection="1"/>
    <xf numFmtId="0" fontId="0" fillId="0" borderId="0" xfId="0" applyFill="1" applyAlignment="1" applyProtection="1"/>
    <xf numFmtId="40" fontId="0" fillId="0" borderId="0" xfId="0" applyNumberFormat="1" applyFont="1" applyFill="1" applyBorder="1" applyAlignment="1" applyProtection="1">
      <alignment horizontal="center"/>
    </xf>
    <xf numFmtId="184" fontId="4" fillId="0" borderId="1" xfId="0" applyNumberFormat="1" applyFont="1" applyBorder="1" applyAlignment="1" applyProtection="1">
      <alignment horizontal="left" vertical="center"/>
    </xf>
    <xf numFmtId="14" fontId="2" fillId="0" borderId="1" xfId="0" quotePrefix="1" applyNumberFormat="1" applyFont="1" applyFill="1" applyBorder="1" applyAlignment="1" applyProtection="1">
      <alignment horizontal="left" vertical="center"/>
    </xf>
    <xf numFmtId="184" fontId="2" fillId="0" borderId="1" xfId="0" quotePrefix="1" applyNumberFormat="1" applyFont="1" applyFill="1" applyBorder="1" applyAlignment="1" applyProtection="1">
      <alignment horizontal="left" vertical="center"/>
    </xf>
    <xf numFmtId="184" fontId="0" fillId="0" borderId="1" xfId="0" applyNumberFormat="1" applyFill="1" applyBorder="1" applyAlignment="1" applyProtection="1">
      <alignment horizontal="left" vertical="center"/>
    </xf>
    <xf numFmtId="184" fontId="0" fillId="0" borderId="1" xfId="0" applyNumberFormat="1" applyBorder="1" applyAlignment="1" applyProtection="1">
      <alignment vertical="center"/>
    </xf>
    <xf numFmtId="184" fontId="0" fillId="0" borderId="1" xfId="0" applyNumberFormat="1" applyBorder="1" applyAlignment="1" applyProtection="1">
      <alignment horizontal="left" vertical="center"/>
    </xf>
    <xf numFmtId="184" fontId="4" fillId="0" borderId="1" xfId="0" applyNumberFormat="1" applyFont="1" applyFill="1" applyBorder="1" applyAlignment="1" applyProtection="1">
      <alignment horizontal="left" vertical="center"/>
    </xf>
    <xf numFmtId="184" fontId="4" fillId="0" borderId="1" xfId="0" applyNumberFormat="1" applyFont="1" applyFill="1" applyBorder="1" applyAlignment="1" applyProtection="1">
      <alignment vertical="center"/>
    </xf>
    <xf numFmtId="184" fontId="4" fillId="0" borderId="1" xfId="0" applyNumberFormat="1" applyFont="1" applyBorder="1" applyAlignment="1" applyProtection="1">
      <alignment vertical="center"/>
    </xf>
    <xf numFmtId="0" fontId="15" fillId="0" borderId="8" xfId="0" applyFont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6" fillId="2" borderId="8" xfId="0" applyFont="1" applyFill="1" applyBorder="1" applyAlignment="1" applyProtection="1">
      <alignment horizontal="center" vertical="center" wrapText="1"/>
    </xf>
    <xf numFmtId="0" fontId="15" fillId="0" borderId="9" xfId="0" applyFont="1" applyFill="1" applyBorder="1" applyAlignment="1" applyProtection="1">
      <alignment horizontal="center" vertical="center" wrapText="1"/>
    </xf>
    <xf numFmtId="0" fontId="16" fillId="0" borderId="9" xfId="0" applyFont="1" applyFill="1" applyBorder="1" applyAlignment="1" applyProtection="1">
      <alignment horizontal="center" vertical="center" wrapText="1"/>
    </xf>
    <xf numFmtId="199" fontId="16" fillId="2" borderId="9" xfId="0" applyNumberFormat="1" applyFont="1" applyFill="1" applyBorder="1" applyAlignment="1" applyProtection="1">
      <alignment horizontal="center" vertical="center" wrapText="1"/>
    </xf>
    <xf numFmtId="184" fontId="16" fillId="3" borderId="9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Fill="1" applyAlignment="1" applyProtection="1"/>
    <xf numFmtId="58" fontId="9" fillId="0" borderId="0" xfId="0" applyNumberFormat="1" applyFont="1" applyFill="1" applyAlignment="1" applyProtection="1"/>
    <xf numFmtId="0" fontId="3" fillId="0" borderId="0" xfId="0" applyFont="1" applyAlignment="1" applyProtection="1"/>
    <xf numFmtId="14" fontId="10" fillId="0" borderId="1" xfId="0" quotePrefix="1" applyNumberFormat="1" applyFont="1" applyFill="1" applyBorder="1" applyAlignment="1" applyProtection="1">
      <alignment horizontal="left" vertical="center"/>
    </xf>
    <xf numFmtId="0" fontId="0" fillId="2" borderId="0" xfId="0" applyFill="1" applyAlignment="1" applyProtection="1"/>
    <xf numFmtId="0" fontId="0" fillId="4" borderId="0" xfId="0" applyFill="1" applyAlignment="1" applyProtection="1"/>
    <xf numFmtId="0" fontId="0" fillId="5" borderId="0" xfId="0" applyFill="1" applyAlignment="1" applyProtection="1"/>
    <xf numFmtId="0" fontId="0" fillId="0" borderId="0" xfId="0" applyAlignment="1" applyProtection="1">
      <alignment horizontal="left"/>
    </xf>
    <xf numFmtId="58" fontId="15" fillId="0" borderId="0" xfId="0" applyNumberFormat="1" applyFont="1" applyBorder="1" applyAlignment="1" applyProtection="1">
      <alignment horizontal="center" vertical="center" wrapText="1"/>
    </xf>
    <xf numFmtId="199" fontId="0" fillId="0" borderId="0" xfId="0" applyNumberFormat="1" applyAlignment="1" applyProtection="1"/>
    <xf numFmtId="184" fontId="0" fillId="3" borderId="0" xfId="0" applyNumberFormat="1" applyFill="1" applyAlignment="1" applyProtection="1"/>
    <xf numFmtId="185" fontId="0" fillId="0" borderId="0" xfId="0" applyNumberFormat="1" applyAlignment="1" applyProtection="1"/>
    <xf numFmtId="4" fontId="0" fillId="0" borderId="0" xfId="0" applyNumberFormat="1" applyAlignment="1" applyProtection="1"/>
    <xf numFmtId="199" fontId="0" fillId="2" borderId="0" xfId="0" applyNumberFormat="1" applyFill="1" applyAlignment="1" applyProtection="1"/>
    <xf numFmtId="0" fontId="12" fillId="0" borderId="0" xfId="0" applyFont="1" applyAlignment="1" applyProtection="1"/>
    <xf numFmtId="0" fontId="0" fillId="0" borderId="10" xfId="0" applyNumberFormat="1" applyBorder="1" applyAlignment="1" applyProtection="1">
      <alignment vertical="top"/>
    </xf>
    <xf numFmtId="0" fontId="0" fillId="0" borderId="11" xfId="0" applyNumberFormat="1" applyBorder="1" applyAlignment="1" applyProtection="1">
      <alignment vertical="top"/>
    </xf>
    <xf numFmtId="0" fontId="0" fillId="0" borderId="0" xfId="0" applyFill="1" applyBorder="1" applyAlignment="1" applyProtection="1"/>
    <xf numFmtId="40" fontId="4" fillId="0" borderId="1" xfId="0" applyNumberFormat="1" applyFont="1" applyFill="1" applyBorder="1" applyAlignment="1" applyProtection="1">
      <alignment horizontal="left" vertical="center"/>
    </xf>
    <xf numFmtId="184" fontId="4" fillId="0" borderId="1" xfId="0" applyNumberFormat="1" applyFont="1" applyFill="1" applyBorder="1" applyAlignment="1" applyProtection="1">
      <alignment horizontal="left" vertical="center"/>
    </xf>
    <xf numFmtId="40" fontId="6" fillId="4" borderId="2" xfId="0" applyNumberFormat="1" applyFont="1" applyFill="1" applyBorder="1" applyAlignment="1" applyProtection="1">
      <alignment horizontal="center"/>
    </xf>
    <xf numFmtId="40" fontId="6" fillId="4" borderId="3" xfId="0" applyNumberFormat="1" applyFont="1" applyFill="1" applyBorder="1" applyAlignment="1" applyProtection="1">
      <alignment horizontal="center"/>
    </xf>
    <xf numFmtId="40" fontId="6" fillId="4" borderId="4" xfId="0" applyNumberFormat="1" applyFont="1" applyFill="1" applyBorder="1" applyAlignment="1" applyProtection="1">
      <alignment horizontal="center"/>
    </xf>
    <xf numFmtId="40" fontId="6" fillId="6" borderId="2" xfId="0" applyNumberFormat="1" applyFont="1" applyFill="1" applyBorder="1" applyAlignment="1" applyProtection="1">
      <alignment horizontal="center"/>
    </xf>
    <xf numFmtId="40" fontId="6" fillId="6" borderId="3" xfId="0" applyNumberFormat="1" applyFont="1" applyFill="1" applyBorder="1" applyAlignment="1" applyProtection="1">
      <alignment horizontal="center"/>
    </xf>
    <xf numFmtId="40" fontId="6" fillId="6" borderId="4" xfId="0" applyNumberFormat="1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left" vertical="center"/>
    </xf>
    <xf numFmtId="40" fontId="4" fillId="0" borderId="1" xfId="0" applyNumberFormat="1" applyFont="1" applyFill="1" applyBorder="1" applyAlignment="1" applyProtection="1">
      <alignment vertical="center"/>
    </xf>
    <xf numFmtId="184" fontId="4" fillId="0" borderId="1" xfId="0" applyNumberFormat="1" applyFont="1" applyFill="1" applyBorder="1" applyAlignment="1" applyProtection="1">
      <alignment horizontal="center" vertical="center"/>
    </xf>
    <xf numFmtId="40" fontId="6" fillId="7" borderId="5" xfId="0" applyNumberFormat="1" applyFont="1" applyFill="1" applyBorder="1" applyAlignment="1" applyProtection="1">
      <alignment horizontal="center" vertical="center"/>
    </xf>
    <xf numFmtId="40" fontId="6" fillId="7" borderId="6" xfId="0" applyNumberFormat="1" applyFont="1" applyFill="1" applyBorder="1" applyAlignment="1" applyProtection="1">
      <alignment horizontal="center" vertical="center"/>
    </xf>
    <xf numFmtId="40" fontId="6" fillId="7" borderId="7" xfId="0" applyNumberFormat="1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</cellXfs>
  <cellStyles count="3">
    <cellStyle name="_Payment 核对工作表" xfId="1"/>
    <cellStyle name="Normal" xfId="0" builtinId="0"/>
    <cellStyle name="常规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9525</xdr:rowOff>
        </xdr:from>
        <xdr:to>
          <xdr:col>2</xdr:col>
          <xdr:colOff>0</xdr:colOff>
          <xdr:row>31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8B6582-6A5B-4BE8-84ED-3371CD37F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8121筛选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ea typeface="宋体"/>
                  <a:cs typeface="Arial"/>
                </a:rPr>
                <a:t>VBA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45"/>
  </sheetPr>
  <dimension ref="A1:G28"/>
  <sheetViews>
    <sheetView zoomScaleSheetLayoutView="100" workbookViewId="0">
      <selection activeCell="C27" sqref="C27"/>
    </sheetView>
  </sheetViews>
  <sheetFormatPr defaultRowHeight="12.75"/>
  <cols>
    <col min="1" max="1" width="12.28515625" style="2" bestFit="1" customWidth="1"/>
    <col min="2" max="2" width="15.42578125" style="3" bestFit="1" customWidth="1"/>
    <col min="3" max="3" width="28.42578125" style="3" bestFit="1" customWidth="1"/>
    <col min="4" max="4" width="11.85546875" style="3" bestFit="1" customWidth="1"/>
    <col min="5" max="5" width="15.42578125" style="3" bestFit="1" customWidth="1"/>
    <col min="6" max="6" width="28.42578125" style="3" bestFit="1" customWidth="1"/>
    <col min="7" max="7" width="11.85546875" style="3" bestFit="1" customWidth="1"/>
    <col min="8" max="8" width="18.7109375" style="3" bestFit="1" customWidth="1"/>
    <col min="9" max="16384" width="9.140625" style="3"/>
  </cols>
  <sheetData>
    <row r="1" spans="1:7" ht="20.25">
      <c r="A1" s="47" t="s">
        <v>0</v>
      </c>
      <c r="B1" s="41" t="s">
        <v>42</v>
      </c>
      <c r="C1" s="42"/>
      <c r="D1" s="43"/>
      <c r="E1" s="44" t="s">
        <v>43</v>
      </c>
      <c r="F1" s="45"/>
      <c r="G1" s="46"/>
    </row>
    <row r="2" spans="1:7" ht="14.25">
      <c r="A2" s="47"/>
      <c r="B2" s="11" t="s">
        <v>29</v>
      </c>
      <c r="C2" s="11" t="s">
        <v>28</v>
      </c>
      <c r="D2" s="5" t="s">
        <v>54</v>
      </c>
      <c r="E2" s="11" t="s">
        <v>29</v>
      </c>
      <c r="F2" s="11" t="s">
        <v>28</v>
      </c>
      <c r="G2" s="5" t="s">
        <v>44</v>
      </c>
    </row>
    <row r="3" spans="1:7" ht="14.25" customHeight="1">
      <c r="A3" s="47"/>
      <c r="B3" s="39" t="s">
        <v>1</v>
      </c>
      <c r="C3" s="39" t="s">
        <v>2</v>
      </c>
      <c r="D3" s="40" t="s">
        <v>3</v>
      </c>
      <c r="E3" s="39" t="s">
        <v>1</v>
      </c>
      <c r="F3" s="39" t="s">
        <v>2</v>
      </c>
      <c r="G3" s="40" t="s">
        <v>3</v>
      </c>
    </row>
    <row r="4" spans="1:7" ht="14.25" customHeight="1">
      <c r="A4" s="47"/>
      <c r="B4" s="39"/>
      <c r="C4" s="39"/>
      <c r="D4" s="40"/>
      <c r="E4" s="39"/>
      <c r="F4" s="39"/>
      <c r="G4" s="40"/>
    </row>
    <row r="5" spans="1:7" ht="14.25" customHeight="1">
      <c r="A5" s="47"/>
      <c r="B5" s="39"/>
      <c r="C5" s="39"/>
      <c r="D5" s="40"/>
      <c r="E5" s="39"/>
      <c r="F5" s="39"/>
      <c r="G5" s="40"/>
    </row>
    <row r="6" spans="1:7" ht="14.25">
      <c r="A6" s="6">
        <v>43278</v>
      </c>
      <c r="B6" s="8"/>
      <c r="C6" s="8"/>
      <c r="D6" s="10">
        <f t="shared" ref="D6:D28" si="0">B6+C6</f>
        <v>0</v>
      </c>
      <c r="E6" s="8"/>
      <c r="F6" s="8"/>
      <c r="G6" s="10">
        <f t="shared" ref="G6:G28" si="1">E6-F6</f>
        <v>0</v>
      </c>
    </row>
    <row r="7" spans="1:7" ht="14.25">
      <c r="A7" s="6"/>
      <c r="B7" s="8"/>
      <c r="C7" s="8"/>
      <c r="D7" s="10">
        <f t="shared" si="0"/>
        <v>0</v>
      </c>
      <c r="E7" s="8"/>
      <c r="F7" s="8"/>
      <c r="G7" s="10">
        <f t="shared" si="1"/>
        <v>0</v>
      </c>
    </row>
    <row r="8" spans="1:7" ht="14.25">
      <c r="A8" s="6"/>
      <c r="B8" s="8"/>
      <c r="C8" s="8"/>
      <c r="D8" s="10">
        <f t="shared" si="0"/>
        <v>0</v>
      </c>
      <c r="E8" s="8"/>
      <c r="F8" s="8"/>
      <c r="G8" s="10">
        <f t="shared" si="1"/>
        <v>0</v>
      </c>
    </row>
    <row r="9" spans="1:7" ht="14.25">
      <c r="A9" s="6"/>
      <c r="B9" s="8"/>
      <c r="C9" s="8"/>
      <c r="D9" s="10">
        <f t="shared" si="0"/>
        <v>0</v>
      </c>
      <c r="E9" s="8"/>
      <c r="F9" s="8"/>
      <c r="G9" s="10">
        <f t="shared" si="1"/>
        <v>0</v>
      </c>
    </row>
    <row r="10" spans="1:7" ht="14.25">
      <c r="A10" s="6"/>
      <c r="B10" s="8"/>
      <c r="C10" s="8"/>
      <c r="D10" s="10">
        <f t="shared" si="0"/>
        <v>0</v>
      </c>
      <c r="E10" s="8"/>
      <c r="F10" s="8"/>
      <c r="G10" s="10">
        <f t="shared" si="1"/>
        <v>0</v>
      </c>
    </row>
    <row r="11" spans="1:7" ht="14.25">
      <c r="A11" s="6"/>
      <c r="B11" s="8"/>
      <c r="C11" s="8"/>
      <c r="D11" s="10">
        <f t="shared" si="0"/>
        <v>0</v>
      </c>
      <c r="E11" s="8"/>
      <c r="F11" s="8"/>
      <c r="G11" s="10">
        <f t="shared" si="1"/>
        <v>0</v>
      </c>
    </row>
    <row r="12" spans="1:7" ht="14.25">
      <c r="A12" s="6"/>
      <c r="B12" s="8"/>
      <c r="C12" s="8"/>
      <c r="D12" s="10">
        <f t="shared" si="0"/>
        <v>0</v>
      </c>
      <c r="E12" s="10"/>
      <c r="F12" s="10"/>
      <c r="G12" s="10">
        <f t="shared" si="1"/>
        <v>0</v>
      </c>
    </row>
    <row r="13" spans="1:7" ht="14.25">
      <c r="A13" s="6"/>
      <c r="B13" s="8"/>
      <c r="C13" s="8"/>
      <c r="D13" s="10">
        <f t="shared" si="0"/>
        <v>0</v>
      </c>
      <c r="E13" s="8"/>
      <c r="F13" s="8"/>
      <c r="G13" s="10">
        <f t="shared" si="1"/>
        <v>0</v>
      </c>
    </row>
    <row r="14" spans="1:7" ht="14.25">
      <c r="A14" s="6"/>
      <c r="B14" s="7"/>
      <c r="C14" s="8"/>
      <c r="D14" s="10">
        <f t="shared" si="0"/>
        <v>0</v>
      </c>
      <c r="E14" s="7"/>
      <c r="F14" s="7"/>
      <c r="G14" s="10">
        <f t="shared" si="1"/>
        <v>0</v>
      </c>
    </row>
    <row r="15" spans="1:7" ht="14.25">
      <c r="A15" s="6"/>
      <c r="B15" s="7"/>
      <c r="C15" s="8"/>
      <c r="D15" s="10">
        <f t="shared" si="0"/>
        <v>0</v>
      </c>
      <c r="E15" s="7"/>
      <c r="F15" s="7"/>
      <c r="G15" s="10">
        <f t="shared" si="1"/>
        <v>0</v>
      </c>
    </row>
    <row r="16" spans="1:7" ht="14.25">
      <c r="A16" s="6"/>
      <c r="B16" s="7"/>
      <c r="C16" s="8"/>
      <c r="D16" s="10">
        <f t="shared" si="0"/>
        <v>0</v>
      </c>
      <c r="E16" s="7"/>
      <c r="F16" s="7"/>
      <c r="G16" s="10">
        <f t="shared" si="1"/>
        <v>0</v>
      </c>
    </row>
    <row r="17" spans="1:7" ht="15" customHeight="1">
      <c r="A17" s="6"/>
      <c r="B17" s="7"/>
      <c r="C17" s="8"/>
      <c r="D17" s="10">
        <f t="shared" si="0"/>
        <v>0</v>
      </c>
      <c r="E17" s="7"/>
      <c r="F17" s="7"/>
      <c r="G17" s="10">
        <f t="shared" si="1"/>
        <v>0</v>
      </c>
    </row>
    <row r="18" spans="1:7" ht="14.25">
      <c r="A18" s="6"/>
      <c r="B18" s="7"/>
      <c r="C18" s="8"/>
      <c r="D18" s="10">
        <f t="shared" si="0"/>
        <v>0</v>
      </c>
      <c r="E18" s="7"/>
      <c r="F18" s="7"/>
      <c r="G18" s="10">
        <f t="shared" si="1"/>
        <v>0</v>
      </c>
    </row>
    <row r="19" spans="1:7" ht="14.25">
      <c r="A19" s="6"/>
      <c r="B19" s="7"/>
      <c r="C19" s="8"/>
      <c r="D19" s="10">
        <f t="shared" si="0"/>
        <v>0</v>
      </c>
      <c r="E19" s="7"/>
      <c r="F19" s="7"/>
      <c r="G19" s="10">
        <f t="shared" si="1"/>
        <v>0</v>
      </c>
    </row>
    <row r="20" spans="1:7" ht="14.25">
      <c r="A20" s="6"/>
      <c r="B20" s="7"/>
      <c r="C20" s="8"/>
      <c r="D20" s="10">
        <f t="shared" si="0"/>
        <v>0</v>
      </c>
      <c r="E20" s="7"/>
      <c r="F20" s="7"/>
      <c r="G20" s="10">
        <f t="shared" si="1"/>
        <v>0</v>
      </c>
    </row>
    <row r="21" spans="1:7" ht="14.25">
      <c r="A21" s="6"/>
      <c r="B21" s="7"/>
      <c r="C21" s="8"/>
      <c r="D21" s="10">
        <f t="shared" si="0"/>
        <v>0</v>
      </c>
      <c r="E21" s="7"/>
      <c r="F21" s="7"/>
      <c r="G21" s="10">
        <f t="shared" si="1"/>
        <v>0</v>
      </c>
    </row>
    <row r="22" spans="1:7" ht="14.25">
      <c r="A22" s="6"/>
      <c r="B22" s="7"/>
      <c r="C22" s="8"/>
      <c r="D22" s="10">
        <f t="shared" si="0"/>
        <v>0</v>
      </c>
      <c r="E22" s="7"/>
      <c r="F22" s="7"/>
      <c r="G22" s="10">
        <f t="shared" si="1"/>
        <v>0</v>
      </c>
    </row>
    <row r="23" spans="1:7" ht="14.25">
      <c r="A23" s="6"/>
      <c r="B23" s="7"/>
      <c r="C23" s="8"/>
      <c r="D23" s="10">
        <f t="shared" si="0"/>
        <v>0</v>
      </c>
      <c r="E23" s="7"/>
      <c r="F23" s="7"/>
      <c r="G23" s="10">
        <f t="shared" si="1"/>
        <v>0</v>
      </c>
    </row>
    <row r="24" spans="1:7" ht="14.25">
      <c r="A24" s="6"/>
      <c r="B24" s="7"/>
      <c r="C24" s="8"/>
      <c r="D24" s="10">
        <f t="shared" si="0"/>
        <v>0</v>
      </c>
      <c r="E24" s="7"/>
      <c r="F24" s="7"/>
      <c r="G24" s="10">
        <f t="shared" si="1"/>
        <v>0</v>
      </c>
    </row>
    <row r="25" spans="1:7" ht="14.25">
      <c r="A25" s="6"/>
      <c r="B25" s="7"/>
      <c r="C25" s="8"/>
      <c r="D25" s="10">
        <f t="shared" si="0"/>
        <v>0</v>
      </c>
      <c r="E25" s="7"/>
      <c r="F25" s="7"/>
      <c r="G25" s="10">
        <f t="shared" si="1"/>
        <v>0</v>
      </c>
    </row>
    <row r="26" spans="1:7" ht="14.25">
      <c r="A26" s="6"/>
      <c r="B26" s="7"/>
      <c r="C26" s="8"/>
      <c r="D26" s="10">
        <f t="shared" si="0"/>
        <v>0</v>
      </c>
      <c r="E26" s="7"/>
      <c r="F26" s="7"/>
      <c r="G26" s="10">
        <f t="shared" si="1"/>
        <v>0</v>
      </c>
    </row>
    <row r="27" spans="1:7" ht="14.25">
      <c r="A27" s="6"/>
      <c r="B27" s="7"/>
      <c r="C27" s="8"/>
      <c r="D27" s="10">
        <f t="shared" si="0"/>
        <v>0</v>
      </c>
      <c r="E27" s="7"/>
      <c r="F27" s="7"/>
      <c r="G27" s="10">
        <f t="shared" si="1"/>
        <v>0</v>
      </c>
    </row>
    <row r="28" spans="1:7" ht="14.25">
      <c r="A28" s="6"/>
      <c r="B28" s="7"/>
      <c r="C28" s="8"/>
      <c r="D28" s="10">
        <f t="shared" si="0"/>
        <v>0</v>
      </c>
      <c r="E28" s="7"/>
      <c r="F28" s="7"/>
      <c r="G28" s="10">
        <f t="shared" si="1"/>
        <v>0</v>
      </c>
    </row>
  </sheetData>
  <mergeCells count="9">
    <mergeCell ref="C3:C5"/>
    <mergeCell ref="D3:D5"/>
    <mergeCell ref="E3:E5"/>
    <mergeCell ref="B1:D1"/>
    <mergeCell ref="E1:G1"/>
    <mergeCell ref="A1:A5"/>
    <mergeCell ref="F3:F5"/>
    <mergeCell ref="G3:G5"/>
    <mergeCell ref="B3:B5"/>
  </mergeCells>
  <phoneticPr fontId="5" type="noConversion"/>
  <pageMargins left="0.75" right="0.75" top="1" bottom="1" header="0.5" footer="0.5"/>
  <pageSetup paperSize="9" scale="5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5"/>
  </sheetPr>
  <dimension ref="A6:E183"/>
  <sheetViews>
    <sheetView workbookViewId="0">
      <selection activeCell="D20" sqref="D20"/>
    </sheetView>
  </sheetViews>
  <sheetFormatPr defaultRowHeight="12.75"/>
  <cols>
    <col min="1" max="1" width="11.85546875" style="3" bestFit="1" customWidth="1"/>
    <col min="2" max="2" width="22" style="3" bestFit="1" customWidth="1"/>
    <col min="3" max="3" width="10.28515625" style="3" bestFit="1" customWidth="1"/>
    <col min="4" max="4" width="19.5703125" style="3" bestFit="1" customWidth="1"/>
    <col min="5" max="5" width="21.5703125" style="3" bestFit="1" customWidth="1"/>
    <col min="6" max="6" width="16.42578125" style="3" bestFit="1" customWidth="1"/>
    <col min="7" max="7" width="41.140625" style="3" bestFit="1" customWidth="1"/>
    <col min="8" max="8" width="57" style="3" bestFit="1" customWidth="1"/>
    <col min="9" max="9" width="26.5703125" style="3" bestFit="1" customWidth="1"/>
    <col min="10" max="16384" width="9.140625" style="3"/>
  </cols>
  <sheetData>
    <row r="6" spans="1:1">
      <c r="A6" s="22"/>
    </row>
    <row r="14" spans="1:1">
      <c r="A14" s="21"/>
    </row>
    <row r="71" spans="1:5">
      <c r="A71" s="26"/>
      <c r="B71" s="26"/>
      <c r="C71" s="26"/>
      <c r="D71" s="26"/>
      <c r="E71" s="26"/>
    </row>
    <row r="72" spans="1:5">
      <c r="A72" s="26"/>
      <c r="B72" s="26"/>
      <c r="C72" s="26"/>
      <c r="D72" s="26"/>
      <c r="E72" s="26"/>
    </row>
    <row r="73" spans="1:5">
      <c r="A73" s="26"/>
      <c r="B73" s="26"/>
      <c r="C73" s="26"/>
      <c r="D73" s="26"/>
      <c r="E73" s="26"/>
    </row>
    <row r="74" spans="1:5">
      <c r="A74" s="26"/>
      <c r="B74" s="26"/>
      <c r="C74" s="26"/>
      <c r="D74" s="26"/>
      <c r="E74" s="26"/>
    </row>
    <row r="75" spans="1:5">
      <c r="A75" s="26"/>
      <c r="B75" s="26"/>
      <c r="C75" s="26"/>
      <c r="D75" s="26"/>
      <c r="E75" s="26"/>
    </row>
    <row r="136" spans="1:5">
      <c r="A136" s="27"/>
      <c r="B136" s="27"/>
      <c r="C136" s="27"/>
      <c r="D136" s="27"/>
      <c r="E136" s="27"/>
    </row>
    <row r="141" spans="1:5">
      <c r="A141" s="27"/>
      <c r="B141" s="27"/>
      <c r="C141" s="27"/>
      <c r="D141" s="27"/>
      <c r="E141" s="27"/>
    </row>
    <row r="158" spans="1:5">
      <c r="A158" s="27"/>
      <c r="B158" s="27"/>
      <c r="C158" s="27"/>
      <c r="D158" s="27"/>
      <c r="E158" s="27"/>
    </row>
    <row r="159" spans="1:5">
      <c r="A159" s="27"/>
      <c r="B159" s="27"/>
      <c r="C159" s="27"/>
      <c r="D159" s="27"/>
      <c r="E159" s="27"/>
    </row>
    <row r="181" spans="1:5">
      <c r="A181" s="25"/>
      <c r="B181" s="25"/>
      <c r="C181" s="25"/>
      <c r="D181" s="25"/>
      <c r="E181" s="25"/>
    </row>
    <row r="182" spans="1:5">
      <c r="A182" s="25"/>
      <c r="B182" s="25"/>
      <c r="C182" s="25"/>
      <c r="D182" s="25"/>
      <c r="E182" s="25"/>
    </row>
    <row r="183" spans="1:5">
      <c r="A183" s="25"/>
      <c r="B183" s="25"/>
      <c r="C183" s="25"/>
      <c r="D183" s="25"/>
      <c r="E183" s="25"/>
    </row>
  </sheetData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45"/>
    <pageSetUpPr fitToPage="1"/>
  </sheetPr>
  <dimension ref="A1:G28"/>
  <sheetViews>
    <sheetView zoomScaleSheetLayoutView="100" workbookViewId="0">
      <selection activeCell="C37" sqref="C37"/>
    </sheetView>
  </sheetViews>
  <sheetFormatPr defaultRowHeight="12.75"/>
  <cols>
    <col min="1" max="1" width="12.28515625" style="4" bestFit="1" customWidth="1"/>
    <col min="2" max="2" width="15.42578125" style="4" bestFit="1" customWidth="1"/>
    <col min="3" max="3" width="28.42578125" style="4" bestFit="1" customWidth="1"/>
    <col min="4" max="4" width="11.85546875" style="4" bestFit="1" customWidth="1"/>
    <col min="5" max="5" width="15.42578125" style="4" bestFit="1" customWidth="1"/>
    <col min="6" max="6" width="28.42578125" style="4" bestFit="1" customWidth="1"/>
    <col min="7" max="7" width="11.85546875" style="4" bestFit="1" customWidth="1"/>
    <col min="8" max="16384" width="9.140625" style="4"/>
  </cols>
  <sheetData>
    <row r="1" spans="1:7" ht="20.25">
      <c r="A1" s="47" t="s">
        <v>0</v>
      </c>
      <c r="B1" s="41" t="s">
        <v>52</v>
      </c>
      <c r="C1" s="42"/>
      <c r="D1" s="43"/>
      <c r="E1" s="44" t="s">
        <v>53</v>
      </c>
      <c r="F1" s="45"/>
      <c r="G1" s="46"/>
    </row>
    <row r="2" spans="1:7" ht="14.25">
      <c r="A2" s="47"/>
      <c r="B2" s="11" t="s">
        <v>30</v>
      </c>
      <c r="C2" s="11" t="s">
        <v>31</v>
      </c>
      <c r="D2" s="5" t="s">
        <v>54</v>
      </c>
      <c r="E2" s="11" t="s">
        <v>30</v>
      </c>
      <c r="F2" s="11" t="s">
        <v>31</v>
      </c>
      <c r="G2" s="5" t="s">
        <v>44</v>
      </c>
    </row>
    <row r="3" spans="1:7" ht="12.75" customHeight="1">
      <c r="A3" s="47"/>
      <c r="B3" s="39" t="s">
        <v>1</v>
      </c>
      <c r="C3" s="39" t="s">
        <v>2</v>
      </c>
      <c r="D3" s="40" t="s">
        <v>3</v>
      </c>
      <c r="E3" s="39" t="s">
        <v>1</v>
      </c>
      <c r="F3" s="39" t="s">
        <v>2</v>
      </c>
      <c r="G3" s="40" t="s">
        <v>3</v>
      </c>
    </row>
    <row r="4" spans="1:7" ht="12.75" customHeight="1">
      <c r="A4" s="47"/>
      <c r="B4" s="39"/>
      <c r="C4" s="39"/>
      <c r="D4" s="40"/>
      <c r="E4" s="39"/>
      <c r="F4" s="39"/>
      <c r="G4" s="40"/>
    </row>
    <row r="5" spans="1:7" ht="12.75" customHeight="1">
      <c r="A5" s="47"/>
      <c r="B5" s="39"/>
      <c r="C5" s="39"/>
      <c r="D5" s="40"/>
      <c r="E5" s="39"/>
      <c r="F5" s="39"/>
      <c r="G5" s="40"/>
    </row>
    <row r="6" spans="1:7" ht="14.25">
      <c r="A6" s="24">
        <v>43278</v>
      </c>
      <c r="B6" s="8"/>
      <c r="C6" s="8"/>
      <c r="D6" s="10">
        <f t="shared" ref="D6:D28" si="0">B6+C6</f>
        <v>0</v>
      </c>
      <c r="E6" s="8"/>
      <c r="F6" s="8"/>
      <c r="G6" s="10">
        <f t="shared" ref="G6:G28" si="1">E6-F6</f>
        <v>0</v>
      </c>
    </row>
    <row r="7" spans="1:7" ht="14.25">
      <c r="A7" s="6"/>
      <c r="B7" s="8"/>
      <c r="C7" s="8"/>
      <c r="D7" s="8">
        <f t="shared" si="0"/>
        <v>0</v>
      </c>
      <c r="E7" s="8"/>
      <c r="F7" s="8"/>
      <c r="G7" s="10">
        <f t="shared" si="1"/>
        <v>0</v>
      </c>
    </row>
    <row r="8" spans="1:7" ht="14.25">
      <c r="A8" s="6"/>
      <c r="B8" s="8"/>
      <c r="C8" s="8"/>
      <c r="D8" s="8">
        <f t="shared" si="0"/>
        <v>0</v>
      </c>
      <c r="E8" s="8"/>
      <c r="F8" s="8"/>
      <c r="G8" s="8">
        <f t="shared" si="1"/>
        <v>0</v>
      </c>
    </row>
    <row r="9" spans="1:7" ht="14.25">
      <c r="A9" s="6"/>
      <c r="B9" s="8"/>
      <c r="C9" s="8"/>
      <c r="D9" s="8">
        <f t="shared" si="0"/>
        <v>0</v>
      </c>
      <c r="E9" s="8"/>
      <c r="F9" s="8"/>
      <c r="G9" s="8">
        <f t="shared" si="1"/>
        <v>0</v>
      </c>
    </row>
    <row r="10" spans="1:7" ht="14.25">
      <c r="A10" s="6"/>
      <c r="B10" s="8"/>
      <c r="C10" s="8"/>
      <c r="D10" s="8">
        <f t="shared" si="0"/>
        <v>0</v>
      </c>
      <c r="E10" s="8"/>
      <c r="F10" s="8"/>
      <c r="G10" s="8">
        <f t="shared" si="1"/>
        <v>0</v>
      </c>
    </row>
    <row r="11" spans="1:7" ht="14.25">
      <c r="A11" s="6"/>
      <c r="B11" s="8"/>
      <c r="C11" s="8"/>
      <c r="D11" s="8">
        <f t="shared" si="0"/>
        <v>0</v>
      </c>
      <c r="E11" s="8"/>
      <c r="F11" s="8"/>
      <c r="G11" s="10">
        <f t="shared" si="1"/>
        <v>0</v>
      </c>
    </row>
    <row r="12" spans="1:7" ht="14.25">
      <c r="A12" s="6"/>
      <c r="B12" s="8"/>
      <c r="C12" s="8"/>
      <c r="D12" s="8">
        <f t="shared" si="0"/>
        <v>0</v>
      </c>
      <c r="E12" s="8"/>
      <c r="F12" s="8"/>
      <c r="G12" s="8">
        <f t="shared" si="1"/>
        <v>0</v>
      </c>
    </row>
    <row r="13" spans="1:7" ht="14.25">
      <c r="A13" s="6"/>
      <c r="B13" s="8"/>
      <c r="C13" s="8"/>
      <c r="D13" s="8">
        <f t="shared" si="0"/>
        <v>0</v>
      </c>
      <c r="E13" s="8"/>
      <c r="F13" s="8"/>
      <c r="G13" s="8">
        <f t="shared" si="1"/>
        <v>0</v>
      </c>
    </row>
    <row r="14" spans="1:7" ht="14.25">
      <c r="A14" s="6"/>
      <c r="B14" s="8"/>
      <c r="C14" s="8"/>
      <c r="D14" s="8">
        <f t="shared" si="0"/>
        <v>0</v>
      </c>
      <c r="E14" s="8"/>
      <c r="F14" s="8"/>
      <c r="G14" s="8">
        <f t="shared" si="1"/>
        <v>0</v>
      </c>
    </row>
    <row r="15" spans="1:7" ht="14.25">
      <c r="A15" s="6"/>
      <c r="B15" s="8"/>
      <c r="C15" s="8"/>
      <c r="D15" s="8">
        <f t="shared" si="0"/>
        <v>0</v>
      </c>
      <c r="E15" s="8"/>
      <c r="F15" s="8"/>
      <c r="G15" s="8">
        <f t="shared" si="1"/>
        <v>0</v>
      </c>
    </row>
    <row r="16" spans="1:7" ht="14.25">
      <c r="A16" s="6"/>
      <c r="B16" s="8"/>
      <c r="C16" s="8"/>
      <c r="D16" s="8">
        <f t="shared" si="0"/>
        <v>0</v>
      </c>
      <c r="E16" s="8"/>
      <c r="F16" s="8"/>
      <c r="G16" s="10">
        <f t="shared" si="1"/>
        <v>0</v>
      </c>
    </row>
    <row r="17" spans="1:7" ht="14.25">
      <c r="A17" s="6"/>
      <c r="B17" s="8"/>
      <c r="C17" s="8"/>
      <c r="D17" s="10">
        <f t="shared" si="0"/>
        <v>0</v>
      </c>
      <c r="E17" s="8"/>
      <c r="F17" s="8"/>
      <c r="G17" s="10">
        <f t="shared" si="1"/>
        <v>0</v>
      </c>
    </row>
    <row r="18" spans="1:7" ht="14.25">
      <c r="A18" s="6"/>
      <c r="B18" s="8"/>
      <c r="C18" s="8"/>
      <c r="D18" s="10">
        <f t="shared" si="0"/>
        <v>0</v>
      </c>
      <c r="E18" s="7"/>
      <c r="F18" s="8"/>
      <c r="G18" s="8">
        <f t="shared" si="1"/>
        <v>0</v>
      </c>
    </row>
    <row r="19" spans="1:7" ht="14.25">
      <c r="A19" s="6"/>
      <c r="B19" s="8"/>
      <c r="C19" s="8"/>
      <c r="D19" s="10">
        <f t="shared" si="0"/>
        <v>0</v>
      </c>
      <c r="E19" s="7"/>
      <c r="F19" s="8"/>
      <c r="G19" s="10">
        <f t="shared" si="1"/>
        <v>0</v>
      </c>
    </row>
    <row r="20" spans="1:7" ht="14.25">
      <c r="A20" s="6"/>
      <c r="B20" s="8"/>
      <c r="C20" s="8"/>
      <c r="D20" s="10">
        <f t="shared" si="0"/>
        <v>0</v>
      </c>
      <c r="E20" s="7"/>
      <c r="F20" s="8"/>
      <c r="G20" s="8">
        <f t="shared" si="1"/>
        <v>0</v>
      </c>
    </row>
    <row r="21" spans="1:7" ht="14.25">
      <c r="A21" s="6"/>
      <c r="B21" s="8"/>
      <c r="C21" s="8"/>
      <c r="D21" s="10">
        <f t="shared" si="0"/>
        <v>0</v>
      </c>
      <c r="E21" s="7"/>
      <c r="F21" s="8"/>
      <c r="G21" s="10">
        <f t="shared" si="1"/>
        <v>0</v>
      </c>
    </row>
    <row r="22" spans="1:7" ht="14.25">
      <c r="A22" s="6"/>
      <c r="B22" s="8"/>
      <c r="C22" s="8"/>
      <c r="D22" s="10">
        <f t="shared" si="0"/>
        <v>0</v>
      </c>
      <c r="E22" s="7"/>
      <c r="F22" s="8"/>
      <c r="G22" s="8">
        <f t="shared" si="1"/>
        <v>0</v>
      </c>
    </row>
    <row r="23" spans="1:7" ht="14.25">
      <c r="A23" s="6"/>
      <c r="B23" s="8"/>
      <c r="C23" s="8"/>
      <c r="D23" s="10">
        <f t="shared" si="0"/>
        <v>0</v>
      </c>
      <c r="E23" s="7"/>
      <c r="F23" s="8"/>
      <c r="G23" s="10">
        <f t="shared" si="1"/>
        <v>0</v>
      </c>
    </row>
    <row r="24" spans="1:7" ht="14.25">
      <c r="A24" s="6"/>
      <c r="B24" s="8"/>
      <c r="C24" s="8"/>
      <c r="D24" s="10">
        <f t="shared" si="0"/>
        <v>0</v>
      </c>
      <c r="E24" s="7"/>
      <c r="F24" s="8"/>
      <c r="G24" s="10">
        <f t="shared" si="1"/>
        <v>0</v>
      </c>
    </row>
    <row r="25" spans="1:7" ht="14.25">
      <c r="A25" s="6"/>
      <c r="B25" s="8"/>
      <c r="C25" s="8"/>
      <c r="D25" s="10">
        <f t="shared" si="0"/>
        <v>0</v>
      </c>
      <c r="E25" s="7"/>
      <c r="F25" s="8"/>
      <c r="G25" s="10">
        <f t="shared" si="1"/>
        <v>0</v>
      </c>
    </row>
    <row r="26" spans="1:7" ht="14.25">
      <c r="A26" s="6"/>
      <c r="B26" s="8"/>
      <c r="C26" s="8"/>
      <c r="D26" s="10">
        <f t="shared" si="0"/>
        <v>0</v>
      </c>
      <c r="E26" s="7"/>
      <c r="F26" s="8"/>
      <c r="G26" s="10">
        <f t="shared" si="1"/>
        <v>0</v>
      </c>
    </row>
    <row r="27" spans="1:7" ht="14.25">
      <c r="A27" s="6"/>
      <c r="B27" s="8"/>
      <c r="C27" s="8"/>
      <c r="D27" s="10">
        <f t="shared" si="0"/>
        <v>0</v>
      </c>
      <c r="E27" s="7"/>
      <c r="F27" s="8"/>
      <c r="G27" s="10">
        <f t="shared" si="1"/>
        <v>0</v>
      </c>
    </row>
    <row r="28" spans="1:7" ht="14.25">
      <c r="A28" s="6"/>
      <c r="B28" s="8"/>
      <c r="C28" s="8"/>
      <c r="D28" s="10">
        <f t="shared" si="0"/>
        <v>0</v>
      </c>
      <c r="E28" s="7"/>
      <c r="F28" s="8"/>
      <c r="G28" s="10">
        <f t="shared" si="1"/>
        <v>0</v>
      </c>
    </row>
  </sheetData>
  <mergeCells count="9">
    <mergeCell ref="A1:A5"/>
    <mergeCell ref="B3:B5"/>
    <mergeCell ref="B1:D1"/>
    <mergeCell ref="E3:E5"/>
    <mergeCell ref="F3:F5"/>
    <mergeCell ref="G3:G5"/>
    <mergeCell ref="E1:G1"/>
    <mergeCell ref="C3:C5"/>
    <mergeCell ref="D3:D5"/>
  </mergeCells>
  <phoneticPr fontId="5" type="noConversion"/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filter">
                <anchor moveWithCells="1" sizeWithCells="1">
                  <from>
                    <xdr:col>0</xdr:col>
                    <xdr:colOff>0</xdr:colOff>
                    <xdr:row>29</xdr:row>
                    <xdr:rowOff>9525</xdr:rowOff>
                  </from>
                  <to>
                    <xdr:col>2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"/>
  <sheetViews>
    <sheetView workbookViewId="0">
      <selection activeCell="F29" sqref="F29"/>
    </sheetView>
  </sheetViews>
  <sheetFormatPr defaultRowHeight="12.75"/>
  <cols>
    <col min="1" max="1" width="11.85546875" bestFit="1" customWidth="1"/>
    <col min="2" max="2" width="22" bestFit="1" customWidth="1"/>
    <col min="3" max="3" width="12.5703125" bestFit="1" customWidth="1"/>
    <col min="4" max="4" width="19.5703125" bestFit="1" customWidth="1"/>
    <col min="5" max="5" width="22.140625" bestFit="1" customWidth="1"/>
    <col min="6" max="6" width="16.42578125" bestFit="1" customWidth="1"/>
    <col min="7" max="7" width="48.7109375" bestFit="1" customWidth="1"/>
    <col min="8" max="8" width="40.28515625" bestFit="1" customWidth="1"/>
    <col min="9" max="9" width="23.140625" bestFit="1" customWidth="1"/>
  </cols>
  <sheetData>
    <row r="1" spans="1:9">
      <c r="A1" s="23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34</v>
      </c>
    </row>
    <row r="2" spans="1:9">
      <c r="A2" s="35" t="s">
        <v>114</v>
      </c>
      <c r="B2" t="s">
        <v>31</v>
      </c>
      <c r="C2">
        <v>528</v>
      </c>
      <c r="D2" t="s">
        <v>111</v>
      </c>
      <c r="E2" t="s">
        <v>112</v>
      </c>
      <c r="F2" t="s">
        <v>14</v>
      </c>
      <c r="G2" t="s">
        <v>112</v>
      </c>
      <c r="H2" t="s">
        <v>15</v>
      </c>
      <c r="I2" t="s">
        <v>35</v>
      </c>
    </row>
    <row r="3" spans="1:9">
      <c r="C3">
        <f>SUBTOTAL(9,C2:C2)</f>
        <v>528</v>
      </c>
    </row>
  </sheetData>
  <autoFilter ref="A1:I2"/>
  <phoneticPr fontId="5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68"/>
  <sheetViews>
    <sheetView tabSelected="1" workbookViewId="0">
      <selection activeCell="H22" sqref="H22"/>
    </sheetView>
  </sheetViews>
  <sheetFormatPr defaultRowHeight="12.75"/>
  <cols>
    <col min="8" max="8" width="37.85546875" customWidth="1"/>
  </cols>
  <sheetData>
    <row r="1" spans="1:9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34</v>
      </c>
    </row>
    <row r="2" spans="1:9">
      <c r="A2" t="s">
        <v>138</v>
      </c>
      <c r="B2" t="s">
        <v>31</v>
      </c>
      <c r="C2">
        <v>26915.02</v>
      </c>
      <c r="D2" t="s">
        <v>139</v>
      </c>
      <c r="E2" t="s">
        <v>140</v>
      </c>
      <c r="F2" t="s">
        <v>14</v>
      </c>
      <c r="G2" t="s">
        <v>141</v>
      </c>
      <c r="H2" t="s">
        <v>142</v>
      </c>
      <c r="I2" t="s">
        <v>143</v>
      </c>
    </row>
    <row r="3" spans="1:9">
      <c r="A3" t="s">
        <v>138</v>
      </c>
      <c r="B3" t="s">
        <v>31</v>
      </c>
      <c r="C3">
        <v>-13785.43</v>
      </c>
      <c r="D3" t="s">
        <v>144</v>
      </c>
      <c r="E3" t="s">
        <v>145</v>
      </c>
      <c r="F3" t="s">
        <v>146</v>
      </c>
      <c r="G3" t="s">
        <v>145</v>
      </c>
      <c r="H3" t="s">
        <v>15</v>
      </c>
      <c r="I3" t="s">
        <v>38</v>
      </c>
    </row>
    <row r="4" spans="1:9">
      <c r="A4" t="s">
        <v>138</v>
      </c>
      <c r="B4" t="s">
        <v>31</v>
      </c>
      <c r="C4">
        <v>-15543.98</v>
      </c>
      <c r="D4" t="s">
        <v>147</v>
      </c>
      <c r="E4" t="s">
        <v>32</v>
      </c>
      <c r="F4" t="s">
        <v>148</v>
      </c>
      <c r="G4" t="s">
        <v>32</v>
      </c>
      <c r="H4" t="s">
        <v>17</v>
      </c>
      <c r="I4" t="s">
        <v>39</v>
      </c>
    </row>
    <row r="5" spans="1:9">
      <c r="A5" t="s">
        <v>138</v>
      </c>
      <c r="B5" t="s">
        <v>31</v>
      </c>
      <c r="C5">
        <v>47295.16</v>
      </c>
      <c r="D5" t="s">
        <v>149</v>
      </c>
      <c r="E5" t="s">
        <v>150</v>
      </c>
      <c r="F5" t="s">
        <v>14</v>
      </c>
      <c r="G5" t="s">
        <v>150</v>
      </c>
      <c r="H5" t="s">
        <v>15</v>
      </c>
      <c r="I5" t="s">
        <v>35</v>
      </c>
    </row>
    <row r="6" spans="1:9">
      <c r="A6" t="s">
        <v>138</v>
      </c>
      <c r="B6" t="s">
        <v>31</v>
      </c>
      <c r="C6">
        <v>22250.39</v>
      </c>
      <c r="D6" t="s">
        <v>151</v>
      </c>
      <c r="E6" t="s">
        <v>152</v>
      </c>
      <c r="F6" t="s">
        <v>14</v>
      </c>
      <c r="G6" t="s">
        <v>152</v>
      </c>
      <c r="H6" t="s">
        <v>153</v>
      </c>
      <c r="I6" t="s">
        <v>154</v>
      </c>
    </row>
    <row r="7" spans="1:9">
      <c r="A7" t="s">
        <v>138</v>
      </c>
      <c r="B7" t="s">
        <v>31</v>
      </c>
      <c r="C7">
        <v>-560682.23</v>
      </c>
      <c r="D7" t="s">
        <v>155</v>
      </c>
      <c r="E7" t="s">
        <v>156</v>
      </c>
      <c r="F7" t="s">
        <v>156</v>
      </c>
      <c r="G7" t="s">
        <v>156</v>
      </c>
      <c r="H7" t="s">
        <v>16</v>
      </c>
      <c r="I7" t="s">
        <v>37</v>
      </c>
    </row>
    <row r="8" spans="1:9">
      <c r="A8" t="s">
        <v>138</v>
      </c>
      <c r="B8" t="s">
        <v>31</v>
      </c>
      <c r="C8">
        <v>-1762168.36</v>
      </c>
      <c r="D8" t="s">
        <v>157</v>
      </c>
      <c r="E8" t="s">
        <v>158</v>
      </c>
      <c r="F8" t="s">
        <v>158</v>
      </c>
      <c r="G8" t="s">
        <v>158</v>
      </c>
      <c r="H8" t="s">
        <v>15</v>
      </c>
      <c r="I8" t="s">
        <v>38</v>
      </c>
    </row>
    <row r="9" spans="1:9">
      <c r="A9" t="s">
        <v>138</v>
      </c>
      <c r="B9" t="s">
        <v>31</v>
      </c>
      <c r="C9">
        <v>-45357</v>
      </c>
      <c r="D9" t="s">
        <v>159</v>
      </c>
      <c r="E9" t="s">
        <v>160</v>
      </c>
      <c r="F9" t="s">
        <v>161</v>
      </c>
      <c r="G9" t="s">
        <v>160</v>
      </c>
      <c r="H9" t="s">
        <v>162</v>
      </c>
      <c r="I9" t="s">
        <v>163</v>
      </c>
    </row>
    <row r="10" spans="1:9">
      <c r="A10" t="s">
        <v>164</v>
      </c>
      <c r="B10" t="s">
        <v>31</v>
      </c>
      <c r="C10">
        <v>-430613.02</v>
      </c>
      <c r="D10" t="s">
        <v>165</v>
      </c>
      <c r="E10" t="s">
        <v>166</v>
      </c>
      <c r="F10" t="s">
        <v>166</v>
      </c>
      <c r="G10" t="s">
        <v>166</v>
      </c>
      <c r="H10" t="s">
        <v>16</v>
      </c>
      <c r="I10" t="s">
        <v>37</v>
      </c>
    </row>
    <row r="11" spans="1:9">
      <c r="A11" t="s">
        <v>164</v>
      </c>
      <c r="B11" t="s">
        <v>31</v>
      </c>
      <c r="C11">
        <v>-1440506.55</v>
      </c>
      <c r="D11" t="s">
        <v>167</v>
      </c>
      <c r="E11" t="s">
        <v>168</v>
      </c>
      <c r="F11" t="s">
        <v>168</v>
      </c>
      <c r="G11" t="s">
        <v>168</v>
      </c>
      <c r="H11" t="s">
        <v>15</v>
      </c>
      <c r="I11" t="s">
        <v>38</v>
      </c>
    </row>
    <row r="12" spans="1:9">
      <c r="A12" t="s">
        <v>164</v>
      </c>
      <c r="B12" t="s">
        <v>31</v>
      </c>
      <c r="C12">
        <v>22964.6</v>
      </c>
      <c r="D12" t="s">
        <v>169</v>
      </c>
      <c r="E12" t="s">
        <v>170</v>
      </c>
      <c r="F12" t="s">
        <v>14</v>
      </c>
      <c r="G12" t="s">
        <v>170</v>
      </c>
      <c r="H12" t="s">
        <v>153</v>
      </c>
      <c r="I12" t="s">
        <v>154</v>
      </c>
    </row>
    <row r="13" spans="1:9">
      <c r="A13" t="s">
        <v>164</v>
      </c>
      <c r="B13" t="s">
        <v>31</v>
      </c>
      <c r="C13">
        <v>47907.9</v>
      </c>
      <c r="D13" t="s">
        <v>171</v>
      </c>
      <c r="E13" t="s">
        <v>172</v>
      </c>
      <c r="F13" t="s">
        <v>14</v>
      </c>
      <c r="G13" t="s">
        <v>172</v>
      </c>
      <c r="H13" t="s">
        <v>15</v>
      </c>
      <c r="I13" t="s">
        <v>35</v>
      </c>
    </row>
    <row r="14" spans="1:9">
      <c r="A14" t="s">
        <v>173</v>
      </c>
      <c r="B14" t="s">
        <v>31</v>
      </c>
      <c r="C14">
        <v>-37835.99</v>
      </c>
      <c r="D14" t="s">
        <v>174</v>
      </c>
      <c r="E14" t="s">
        <v>32</v>
      </c>
      <c r="F14" t="s">
        <v>175</v>
      </c>
      <c r="G14" t="s">
        <v>32</v>
      </c>
      <c r="H14" t="s">
        <v>17</v>
      </c>
      <c r="I14" t="s">
        <v>39</v>
      </c>
    </row>
    <row r="15" spans="1:9">
      <c r="A15" t="s">
        <v>173</v>
      </c>
      <c r="B15" t="s">
        <v>31</v>
      </c>
      <c r="C15">
        <v>-672133.95</v>
      </c>
      <c r="D15" t="s">
        <v>176</v>
      </c>
      <c r="E15" t="s">
        <v>177</v>
      </c>
      <c r="F15" t="s">
        <v>177</v>
      </c>
      <c r="G15" t="s">
        <v>177</v>
      </c>
      <c r="H15" t="s">
        <v>16</v>
      </c>
      <c r="I15" t="s">
        <v>37</v>
      </c>
    </row>
    <row r="16" spans="1:9">
      <c r="A16" t="s">
        <v>173</v>
      </c>
      <c r="B16" t="s">
        <v>31</v>
      </c>
      <c r="C16">
        <v>-1864783.13</v>
      </c>
      <c r="D16" t="s">
        <v>178</v>
      </c>
      <c r="E16" t="s">
        <v>179</v>
      </c>
      <c r="F16" t="s">
        <v>179</v>
      </c>
      <c r="G16" t="s">
        <v>179</v>
      </c>
      <c r="H16" t="s">
        <v>15</v>
      </c>
      <c r="I16" t="s">
        <v>38</v>
      </c>
    </row>
    <row r="17" spans="1:9">
      <c r="A17" t="s">
        <v>173</v>
      </c>
      <c r="B17" t="s">
        <v>31</v>
      </c>
      <c r="C17">
        <v>5193.08</v>
      </c>
      <c r="D17" t="s">
        <v>180</v>
      </c>
      <c r="E17" t="s">
        <v>181</v>
      </c>
      <c r="F17" t="s">
        <v>14</v>
      </c>
      <c r="G17" t="s">
        <v>181</v>
      </c>
      <c r="H17" t="s">
        <v>153</v>
      </c>
      <c r="I17" t="s">
        <v>154</v>
      </c>
    </row>
    <row r="18" spans="1:9">
      <c r="A18" t="s">
        <v>173</v>
      </c>
      <c r="B18" t="s">
        <v>31</v>
      </c>
      <c r="C18">
        <v>240154.28</v>
      </c>
      <c r="D18" t="s">
        <v>182</v>
      </c>
      <c r="E18" t="s">
        <v>183</v>
      </c>
      <c r="F18" t="s">
        <v>14</v>
      </c>
      <c r="G18" t="s">
        <v>183</v>
      </c>
      <c r="H18" t="s">
        <v>15</v>
      </c>
      <c r="I18" t="s">
        <v>35</v>
      </c>
    </row>
    <row r="19" spans="1:9">
      <c r="A19" t="s">
        <v>184</v>
      </c>
      <c r="B19" t="s">
        <v>31</v>
      </c>
      <c r="C19">
        <v>-17244.09</v>
      </c>
      <c r="D19" t="s">
        <v>185</v>
      </c>
      <c r="E19" t="s">
        <v>32</v>
      </c>
      <c r="F19" t="s">
        <v>186</v>
      </c>
      <c r="G19" t="s">
        <v>32</v>
      </c>
      <c r="H19" t="s">
        <v>17</v>
      </c>
      <c r="I19" t="s">
        <v>39</v>
      </c>
    </row>
    <row r="20" spans="1:9">
      <c r="A20" t="s">
        <v>184</v>
      </c>
      <c r="B20" t="s">
        <v>31</v>
      </c>
      <c r="C20">
        <v>-654758.86</v>
      </c>
      <c r="D20" t="s">
        <v>187</v>
      </c>
      <c r="E20" t="s">
        <v>188</v>
      </c>
      <c r="F20" t="s">
        <v>188</v>
      </c>
      <c r="G20" t="s">
        <v>188</v>
      </c>
      <c r="H20" t="s">
        <v>16</v>
      </c>
      <c r="I20" t="s">
        <v>37</v>
      </c>
    </row>
    <row r="21" spans="1:9">
      <c r="A21" t="s">
        <v>184</v>
      </c>
      <c r="B21" t="s">
        <v>31</v>
      </c>
      <c r="C21">
        <v>-3607650.82</v>
      </c>
      <c r="D21" t="s">
        <v>189</v>
      </c>
      <c r="E21" t="s">
        <v>190</v>
      </c>
      <c r="F21" t="s">
        <v>190</v>
      </c>
      <c r="G21" t="s">
        <v>190</v>
      </c>
      <c r="H21" t="s">
        <v>15</v>
      </c>
      <c r="I21" t="s">
        <v>38</v>
      </c>
    </row>
    <row r="22" spans="1:9">
      <c r="A22" t="s">
        <v>184</v>
      </c>
      <c r="B22" t="s">
        <v>31</v>
      </c>
      <c r="C22">
        <v>20528.14</v>
      </c>
      <c r="D22" t="s">
        <v>191</v>
      </c>
      <c r="E22" t="s">
        <v>192</v>
      </c>
      <c r="F22" t="s">
        <v>14</v>
      </c>
      <c r="G22" t="s">
        <v>192</v>
      </c>
      <c r="H22" t="s">
        <v>153</v>
      </c>
      <c r="I22" t="s">
        <v>154</v>
      </c>
    </row>
    <row r="23" spans="1:9">
      <c r="A23" t="s">
        <v>184</v>
      </c>
      <c r="B23" t="s">
        <v>31</v>
      </c>
      <c r="C23">
        <v>255.8</v>
      </c>
      <c r="D23" t="s">
        <v>193</v>
      </c>
      <c r="E23" t="s">
        <v>194</v>
      </c>
      <c r="F23" t="s">
        <v>14</v>
      </c>
      <c r="G23" t="s">
        <v>194</v>
      </c>
      <c r="H23" t="s">
        <v>15</v>
      </c>
      <c r="I23" t="s">
        <v>35</v>
      </c>
    </row>
    <row r="24" spans="1:9">
      <c r="A24" t="s">
        <v>195</v>
      </c>
      <c r="B24" t="s">
        <v>31</v>
      </c>
      <c r="C24">
        <v>-542012.31000000006</v>
      </c>
      <c r="D24" t="s">
        <v>196</v>
      </c>
      <c r="E24" t="s">
        <v>197</v>
      </c>
      <c r="F24" t="s">
        <v>197</v>
      </c>
      <c r="G24" t="s">
        <v>197</v>
      </c>
      <c r="H24" t="s">
        <v>16</v>
      </c>
      <c r="I24" t="s">
        <v>37</v>
      </c>
    </row>
    <row r="25" spans="1:9">
      <c r="A25" t="s">
        <v>195</v>
      </c>
      <c r="B25" t="s">
        <v>31</v>
      </c>
      <c r="C25">
        <v>-2364102.21</v>
      </c>
      <c r="D25" t="s">
        <v>198</v>
      </c>
      <c r="E25" t="s">
        <v>199</v>
      </c>
      <c r="F25" t="s">
        <v>199</v>
      </c>
      <c r="G25" t="s">
        <v>199</v>
      </c>
      <c r="H25" t="s">
        <v>15</v>
      </c>
      <c r="I25" t="s">
        <v>38</v>
      </c>
    </row>
    <row r="26" spans="1:9">
      <c r="A26" t="s">
        <v>195</v>
      </c>
      <c r="B26" t="s">
        <v>31</v>
      </c>
      <c r="C26">
        <v>150531.75</v>
      </c>
      <c r="D26" t="s">
        <v>200</v>
      </c>
      <c r="E26" t="s">
        <v>201</v>
      </c>
      <c r="F26" t="s">
        <v>14</v>
      </c>
      <c r="G26" t="s">
        <v>201</v>
      </c>
      <c r="H26" t="s">
        <v>15</v>
      </c>
      <c r="I26" t="s">
        <v>35</v>
      </c>
    </row>
    <row r="27" spans="1:9">
      <c r="A27" t="s">
        <v>195</v>
      </c>
      <c r="B27" t="s">
        <v>31</v>
      </c>
      <c r="C27">
        <v>8624.9599999999991</v>
      </c>
      <c r="D27" t="s">
        <v>202</v>
      </c>
      <c r="E27" t="s">
        <v>203</v>
      </c>
      <c r="F27" t="s">
        <v>14</v>
      </c>
      <c r="G27" t="s">
        <v>203</v>
      </c>
      <c r="H27" t="s">
        <v>16</v>
      </c>
      <c r="I27" t="s">
        <v>36</v>
      </c>
    </row>
    <row r="28" spans="1:9">
      <c r="A28" t="s">
        <v>204</v>
      </c>
      <c r="B28" t="s">
        <v>31</v>
      </c>
      <c r="C28">
        <v>-291182.76</v>
      </c>
      <c r="D28" t="s">
        <v>205</v>
      </c>
      <c r="E28" t="s">
        <v>206</v>
      </c>
      <c r="F28" t="s">
        <v>206</v>
      </c>
      <c r="G28" t="s">
        <v>206</v>
      </c>
      <c r="H28" t="s">
        <v>16</v>
      </c>
      <c r="I28" t="s">
        <v>37</v>
      </c>
    </row>
    <row r="29" spans="1:9">
      <c r="A29" t="s">
        <v>204</v>
      </c>
      <c r="B29" t="s">
        <v>31</v>
      </c>
      <c r="C29">
        <v>800.49</v>
      </c>
      <c r="D29" t="s">
        <v>207</v>
      </c>
      <c r="E29" t="s">
        <v>208</v>
      </c>
      <c r="F29" t="s">
        <v>14</v>
      </c>
      <c r="G29" t="s">
        <v>208</v>
      </c>
      <c r="H29" t="s">
        <v>15</v>
      </c>
      <c r="I29" t="s">
        <v>35</v>
      </c>
    </row>
    <row r="30" spans="1:9">
      <c r="A30" t="s">
        <v>204</v>
      </c>
      <c r="B30" t="s">
        <v>31</v>
      </c>
      <c r="C30">
        <v>10139.73</v>
      </c>
      <c r="D30" t="s">
        <v>209</v>
      </c>
      <c r="E30" t="s">
        <v>210</v>
      </c>
      <c r="F30" t="s">
        <v>14</v>
      </c>
      <c r="G30" t="s">
        <v>210</v>
      </c>
      <c r="H30" t="s">
        <v>15</v>
      </c>
      <c r="I30" t="s">
        <v>35</v>
      </c>
    </row>
    <row r="31" spans="1:9">
      <c r="A31" t="s">
        <v>204</v>
      </c>
      <c r="B31" t="s">
        <v>31</v>
      </c>
      <c r="C31">
        <v>8320.4</v>
      </c>
      <c r="D31" t="s">
        <v>211</v>
      </c>
      <c r="E31" t="s">
        <v>212</v>
      </c>
      <c r="F31" t="s">
        <v>14</v>
      </c>
      <c r="G31" t="s">
        <v>212</v>
      </c>
      <c r="H31" t="s">
        <v>16</v>
      </c>
      <c r="I31" t="s">
        <v>36</v>
      </c>
    </row>
    <row r="32" spans="1:9">
      <c r="A32" t="s">
        <v>204</v>
      </c>
      <c r="B32" t="s">
        <v>31</v>
      </c>
      <c r="C32">
        <v>-3010695.03</v>
      </c>
      <c r="D32" t="s">
        <v>213</v>
      </c>
      <c r="E32" t="s">
        <v>214</v>
      </c>
      <c r="F32" t="s">
        <v>214</v>
      </c>
      <c r="G32" t="s">
        <v>214</v>
      </c>
      <c r="H32" t="s">
        <v>15</v>
      </c>
      <c r="I32" t="s">
        <v>38</v>
      </c>
    </row>
    <row r="33" spans="1:9">
      <c r="A33" t="s">
        <v>215</v>
      </c>
      <c r="B33" t="s">
        <v>31</v>
      </c>
      <c r="C33">
        <v>-765262.21</v>
      </c>
      <c r="D33" t="s">
        <v>216</v>
      </c>
      <c r="E33" t="s">
        <v>217</v>
      </c>
      <c r="F33" t="s">
        <v>217</v>
      </c>
      <c r="G33" t="s">
        <v>217</v>
      </c>
      <c r="H33" t="s">
        <v>16</v>
      </c>
      <c r="I33" t="s">
        <v>37</v>
      </c>
    </row>
    <row r="34" spans="1:9">
      <c r="A34" t="s">
        <v>215</v>
      </c>
      <c r="B34" t="s">
        <v>31</v>
      </c>
      <c r="C34">
        <v>-2230396.7000000002</v>
      </c>
      <c r="D34" t="s">
        <v>218</v>
      </c>
      <c r="E34" t="s">
        <v>219</v>
      </c>
      <c r="F34" t="s">
        <v>219</v>
      </c>
      <c r="G34" t="s">
        <v>219</v>
      </c>
      <c r="H34" t="s">
        <v>15</v>
      </c>
      <c r="I34" t="s">
        <v>38</v>
      </c>
    </row>
    <row r="35" spans="1:9">
      <c r="A35" t="s">
        <v>215</v>
      </c>
      <c r="B35" t="s">
        <v>31</v>
      </c>
      <c r="C35">
        <v>20479.34</v>
      </c>
      <c r="D35" t="s">
        <v>220</v>
      </c>
      <c r="E35" t="s">
        <v>221</v>
      </c>
      <c r="F35" t="s">
        <v>14</v>
      </c>
      <c r="G35" t="s">
        <v>221</v>
      </c>
      <c r="H35" t="s">
        <v>15</v>
      </c>
      <c r="I35" t="s">
        <v>35</v>
      </c>
    </row>
    <row r="36" spans="1:9">
      <c r="A36" t="s">
        <v>215</v>
      </c>
      <c r="B36" t="s">
        <v>31</v>
      </c>
      <c r="C36">
        <v>165889.07</v>
      </c>
      <c r="D36" t="s">
        <v>222</v>
      </c>
      <c r="E36" t="s">
        <v>223</v>
      </c>
      <c r="F36" t="s">
        <v>14</v>
      </c>
      <c r="G36" t="s">
        <v>223</v>
      </c>
      <c r="H36" t="s">
        <v>15</v>
      </c>
      <c r="I36" t="s">
        <v>35</v>
      </c>
    </row>
    <row r="37" spans="1:9">
      <c r="A37" t="s">
        <v>215</v>
      </c>
      <c r="B37" t="s">
        <v>31</v>
      </c>
      <c r="C37">
        <v>15260</v>
      </c>
      <c r="D37" t="s">
        <v>224</v>
      </c>
      <c r="E37" t="s">
        <v>225</v>
      </c>
      <c r="F37" t="s">
        <v>14</v>
      </c>
      <c r="G37" t="s">
        <v>225</v>
      </c>
      <c r="H37" t="s">
        <v>16</v>
      </c>
      <c r="I37" t="s">
        <v>36</v>
      </c>
    </row>
    <row r="38" spans="1:9">
      <c r="A38" t="s">
        <v>226</v>
      </c>
      <c r="B38" t="s">
        <v>31</v>
      </c>
      <c r="C38">
        <v>-31406.09</v>
      </c>
      <c r="D38" t="s">
        <v>227</v>
      </c>
      <c r="E38" t="s">
        <v>32</v>
      </c>
      <c r="F38" t="s">
        <v>228</v>
      </c>
      <c r="G38" t="s">
        <v>32</v>
      </c>
      <c r="H38" t="s">
        <v>17</v>
      </c>
      <c r="I38" t="s">
        <v>39</v>
      </c>
    </row>
    <row r="39" spans="1:9">
      <c r="A39" t="s">
        <v>226</v>
      </c>
      <c r="B39" t="s">
        <v>31</v>
      </c>
      <c r="C39">
        <v>300</v>
      </c>
      <c r="D39" t="s">
        <v>229</v>
      </c>
      <c r="E39" t="s">
        <v>230</v>
      </c>
      <c r="F39" t="s">
        <v>14</v>
      </c>
      <c r="G39" t="s">
        <v>230</v>
      </c>
      <c r="H39" t="s">
        <v>15</v>
      </c>
      <c r="I39" t="s">
        <v>35</v>
      </c>
    </row>
    <row r="40" spans="1:9">
      <c r="A40" t="s">
        <v>226</v>
      </c>
      <c r="B40" t="s">
        <v>31</v>
      </c>
      <c r="C40">
        <v>45981.19</v>
      </c>
      <c r="D40" t="s">
        <v>231</v>
      </c>
      <c r="E40" t="s">
        <v>232</v>
      </c>
      <c r="F40" t="s">
        <v>14</v>
      </c>
      <c r="G40" t="s">
        <v>232</v>
      </c>
      <c r="H40" t="s">
        <v>15</v>
      </c>
      <c r="I40" t="s">
        <v>35</v>
      </c>
    </row>
    <row r="41" spans="1:9">
      <c r="A41" t="s">
        <v>226</v>
      </c>
      <c r="B41" t="s">
        <v>31</v>
      </c>
      <c r="C41">
        <v>-2346482.4300000002</v>
      </c>
      <c r="D41" t="s">
        <v>233</v>
      </c>
      <c r="E41" t="s">
        <v>234</v>
      </c>
      <c r="F41" t="s">
        <v>234</v>
      </c>
      <c r="G41" t="s">
        <v>234</v>
      </c>
      <c r="H41" t="s">
        <v>15</v>
      </c>
      <c r="I41" t="s">
        <v>38</v>
      </c>
    </row>
    <row r="42" spans="1:9">
      <c r="A42" t="s">
        <v>226</v>
      </c>
      <c r="B42" t="s">
        <v>31</v>
      </c>
      <c r="C42">
        <v>-827001.84</v>
      </c>
      <c r="D42" t="s">
        <v>233</v>
      </c>
      <c r="E42" t="s">
        <v>235</v>
      </c>
      <c r="F42" t="s">
        <v>235</v>
      </c>
      <c r="G42" t="s">
        <v>235</v>
      </c>
      <c r="H42" t="s">
        <v>16</v>
      </c>
      <c r="I42" t="s">
        <v>37</v>
      </c>
    </row>
    <row r="43" spans="1:9">
      <c r="A43" t="s">
        <v>226</v>
      </c>
      <c r="B43" t="s">
        <v>31</v>
      </c>
      <c r="C43">
        <v>17051.599999999999</v>
      </c>
      <c r="D43" t="s">
        <v>236</v>
      </c>
      <c r="E43" t="s">
        <v>237</v>
      </c>
      <c r="F43" t="s">
        <v>14</v>
      </c>
      <c r="G43" t="s">
        <v>237</v>
      </c>
      <c r="H43" t="s">
        <v>16</v>
      </c>
      <c r="I43" t="s">
        <v>36</v>
      </c>
    </row>
    <row r="44" spans="1:9">
      <c r="A44" t="s">
        <v>238</v>
      </c>
      <c r="B44" t="s">
        <v>31</v>
      </c>
      <c r="C44">
        <v>-466927.1</v>
      </c>
      <c r="D44" t="s">
        <v>239</v>
      </c>
      <c r="E44" t="s">
        <v>240</v>
      </c>
      <c r="F44" t="s">
        <v>240</v>
      </c>
      <c r="G44" t="s">
        <v>240</v>
      </c>
      <c r="H44" t="s">
        <v>16</v>
      </c>
      <c r="I44" t="s">
        <v>37</v>
      </c>
    </row>
    <row r="45" spans="1:9">
      <c r="A45" t="s">
        <v>238</v>
      </c>
      <c r="B45" t="s">
        <v>31</v>
      </c>
      <c r="C45">
        <v>-1842024.12</v>
      </c>
      <c r="D45" t="s">
        <v>241</v>
      </c>
      <c r="E45" t="s">
        <v>242</v>
      </c>
      <c r="F45" t="s">
        <v>242</v>
      </c>
      <c r="G45" t="s">
        <v>242</v>
      </c>
      <c r="H45" t="s">
        <v>15</v>
      </c>
      <c r="I45" t="s">
        <v>38</v>
      </c>
    </row>
    <row r="46" spans="1:9">
      <c r="A46" t="s">
        <v>238</v>
      </c>
      <c r="B46" t="s">
        <v>31</v>
      </c>
      <c r="C46">
        <v>28918.39</v>
      </c>
      <c r="D46" t="s">
        <v>243</v>
      </c>
      <c r="E46" t="s">
        <v>244</v>
      </c>
      <c r="F46" t="s">
        <v>14</v>
      </c>
      <c r="G46" t="s">
        <v>244</v>
      </c>
      <c r="H46" t="s">
        <v>15</v>
      </c>
      <c r="I46" t="s">
        <v>35</v>
      </c>
    </row>
    <row r="47" spans="1:9">
      <c r="A47" t="s">
        <v>238</v>
      </c>
      <c r="B47" t="s">
        <v>31</v>
      </c>
      <c r="C47">
        <v>3576.36</v>
      </c>
      <c r="D47" t="s">
        <v>245</v>
      </c>
      <c r="E47" t="s">
        <v>246</v>
      </c>
      <c r="F47" t="s">
        <v>14</v>
      </c>
      <c r="G47" t="s">
        <v>246</v>
      </c>
      <c r="H47" t="s">
        <v>16</v>
      </c>
      <c r="I47" t="s">
        <v>36</v>
      </c>
    </row>
    <row r="48" spans="1:9">
      <c r="A48" t="s">
        <v>238</v>
      </c>
      <c r="B48" t="s">
        <v>31</v>
      </c>
      <c r="C48">
        <v>-234310.32</v>
      </c>
      <c r="D48" t="s">
        <v>247</v>
      </c>
      <c r="E48" t="s">
        <v>248</v>
      </c>
      <c r="F48" t="s">
        <v>249</v>
      </c>
      <c r="G48" t="s">
        <v>248</v>
      </c>
      <c r="H48" t="s">
        <v>17</v>
      </c>
      <c r="I48" t="s">
        <v>250</v>
      </c>
    </row>
    <row r="49" spans="1:9">
      <c r="A49" t="s">
        <v>251</v>
      </c>
      <c r="B49" t="s">
        <v>31</v>
      </c>
      <c r="C49">
        <v>100834.59</v>
      </c>
      <c r="D49" t="s">
        <v>252</v>
      </c>
      <c r="E49" t="s">
        <v>253</v>
      </c>
      <c r="F49" t="s">
        <v>14</v>
      </c>
      <c r="G49" t="s">
        <v>253</v>
      </c>
      <c r="H49" t="s">
        <v>15</v>
      </c>
      <c r="I49" t="s">
        <v>35</v>
      </c>
    </row>
    <row r="50" spans="1:9">
      <c r="A50" t="s">
        <v>251</v>
      </c>
      <c r="B50" t="s">
        <v>31</v>
      </c>
      <c r="C50">
        <v>-1638426.32</v>
      </c>
      <c r="D50" t="s">
        <v>254</v>
      </c>
      <c r="E50" t="s">
        <v>255</v>
      </c>
      <c r="F50" t="s">
        <v>255</v>
      </c>
      <c r="G50" t="s">
        <v>255</v>
      </c>
      <c r="H50" t="s">
        <v>16</v>
      </c>
      <c r="I50" t="s">
        <v>37</v>
      </c>
    </row>
    <row r="51" spans="1:9">
      <c r="A51" t="s">
        <v>251</v>
      </c>
      <c r="B51" t="s">
        <v>31</v>
      </c>
      <c r="C51">
        <v>-3259867.85</v>
      </c>
      <c r="D51" t="s">
        <v>256</v>
      </c>
      <c r="E51" t="s">
        <v>257</v>
      </c>
      <c r="F51" t="s">
        <v>257</v>
      </c>
      <c r="G51" t="s">
        <v>257</v>
      </c>
      <c r="H51" t="s">
        <v>15</v>
      </c>
      <c r="I51" t="s">
        <v>38</v>
      </c>
    </row>
    <row r="52" spans="1:9">
      <c r="A52" t="s">
        <v>251</v>
      </c>
      <c r="B52" t="s">
        <v>31</v>
      </c>
      <c r="C52">
        <v>-17239.98</v>
      </c>
      <c r="D52" t="s">
        <v>258</v>
      </c>
      <c r="E52" t="s">
        <v>32</v>
      </c>
      <c r="F52" t="s">
        <v>259</v>
      </c>
      <c r="G52" t="s">
        <v>32</v>
      </c>
      <c r="H52" t="s">
        <v>17</v>
      </c>
      <c r="I52" t="s">
        <v>39</v>
      </c>
    </row>
    <row r="53" spans="1:9">
      <c r="A53" t="s">
        <v>251</v>
      </c>
      <c r="B53" t="s">
        <v>31</v>
      </c>
      <c r="C53">
        <v>6534.38</v>
      </c>
      <c r="D53" t="s">
        <v>260</v>
      </c>
      <c r="E53" t="s">
        <v>261</v>
      </c>
      <c r="F53" t="s">
        <v>14</v>
      </c>
      <c r="G53" t="s">
        <v>261</v>
      </c>
      <c r="H53" t="s">
        <v>16</v>
      </c>
      <c r="I53" t="s">
        <v>36</v>
      </c>
    </row>
    <row r="54" spans="1:9">
      <c r="A54" t="s">
        <v>262</v>
      </c>
      <c r="B54" t="s">
        <v>31</v>
      </c>
      <c r="C54">
        <v>23279.79</v>
      </c>
      <c r="D54" t="s">
        <v>263</v>
      </c>
      <c r="E54" t="s">
        <v>264</v>
      </c>
      <c r="F54" t="s">
        <v>14</v>
      </c>
      <c r="G54" t="s">
        <v>264</v>
      </c>
      <c r="H54" t="s">
        <v>16</v>
      </c>
      <c r="I54" t="s">
        <v>36</v>
      </c>
    </row>
    <row r="55" spans="1:9">
      <c r="A55" t="s">
        <v>262</v>
      </c>
      <c r="B55" t="s">
        <v>31</v>
      </c>
      <c r="C55">
        <v>-521215.81</v>
      </c>
      <c r="D55" t="s">
        <v>265</v>
      </c>
      <c r="E55" t="s">
        <v>266</v>
      </c>
      <c r="F55" t="s">
        <v>266</v>
      </c>
      <c r="G55" t="s">
        <v>266</v>
      </c>
      <c r="H55" t="s">
        <v>16</v>
      </c>
      <c r="I55" t="s">
        <v>37</v>
      </c>
    </row>
    <row r="56" spans="1:9">
      <c r="A56" t="s">
        <v>262</v>
      </c>
      <c r="B56" t="s">
        <v>31</v>
      </c>
      <c r="C56">
        <v>-1603892.2</v>
      </c>
      <c r="D56" t="s">
        <v>267</v>
      </c>
      <c r="E56" t="s">
        <v>268</v>
      </c>
      <c r="F56" t="s">
        <v>268</v>
      </c>
      <c r="G56" t="s">
        <v>268</v>
      </c>
      <c r="H56" t="s">
        <v>15</v>
      </c>
      <c r="I56" t="s">
        <v>38</v>
      </c>
    </row>
    <row r="57" spans="1:9">
      <c r="A57" t="s">
        <v>262</v>
      </c>
      <c r="B57" t="s">
        <v>31</v>
      </c>
      <c r="C57">
        <v>15416.52</v>
      </c>
      <c r="D57" t="s">
        <v>269</v>
      </c>
      <c r="E57" t="s">
        <v>270</v>
      </c>
      <c r="F57" t="s">
        <v>14</v>
      </c>
      <c r="G57" t="s">
        <v>270</v>
      </c>
      <c r="H57" t="s">
        <v>15</v>
      </c>
      <c r="I57" t="s">
        <v>35</v>
      </c>
    </row>
    <row r="58" spans="1:9">
      <c r="A58" t="s">
        <v>271</v>
      </c>
      <c r="B58" t="s">
        <v>31</v>
      </c>
      <c r="C58">
        <v>24844.880000000001</v>
      </c>
      <c r="D58" t="s">
        <v>272</v>
      </c>
      <c r="E58" t="s">
        <v>273</v>
      </c>
      <c r="F58" t="s">
        <v>14</v>
      </c>
      <c r="G58" t="s">
        <v>273</v>
      </c>
      <c r="H58" t="s">
        <v>15</v>
      </c>
      <c r="I58" t="s">
        <v>35</v>
      </c>
    </row>
    <row r="59" spans="1:9">
      <c r="A59" t="s">
        <v>271</v>
      </c>
      <c r="B59" t="s">
        <v>31</v>
      </c>
      <c r="C59">
        <v>150100</v>
      </c>
      <c r="D59" t="s">
        <v>274</v>
      </c>
      <c r="E59" t="s">
        <v>275</v>
      </c>
      <c r="F59" t="s">
        <v>14</v>
      </c>
      <c r="G59" t="s">
        <v>275</v>
      </c>
      <c r="H59" t="s">
        <v>16</v>
      </c>
      <c r="I59" t="s">
        <v>36</v>
      </c>
    </row>
    <row r="60" spans="1:9">
      <c r="A60" t="s">
        <v>271</v>
      </c>
      <c r="B60" t="s">
        <v>31</v>
      </c>
      <c r="C60">
        <v>-830765.4</v>
      </c>
      <c r="D60" t="s">
        <v>276</v>
      </c>
      <c r="E60" t="s">
        <v>277</v>
      </c>
      <c r="F60" t="s">
        <v>277</v>
      </c>
      <c r="G60" t="s">
        <v>277</v>
      </c>
      <c r="H60" t="s">
        <v>16</v>
      </c>
      <c r="I60" t="s">
        <v>37</v>
      </c>
    </row>
    <row r="61" spans="1:9">
      <c r="A61" t="s">
        <v>271</v>
      </c>
      <c r="B61" t="s">
        <v>31</v>
      </c>
      <c r="C61">
        <v>-2722335.41</v>
      </c>
      <c r="D61" t="s">
        <v>278</v>
      </c>
      <c r="E61" t="s">
        <v>279</v>
      </c>
      <c r="F61" t="s">
        <v>279</v>
      </c>
      <c r="G61" t="s">
        <v>279</v>
      </c>
      <c r="H61" t="s">
        <v>15</v>
      </c>
      <c r="I61" t="s">
        <v>38</v>
      </c>
    </row>
    <row r="62" spans="1:9">
      <c r="A62" t="s">
        <v>99</v>
      </c>
      <c r="B62" t="s">
        <v>31</v>
      </c>
      <c r="C62">
        <v>5829.2</v>
      </c>
      <c r="D62" t="s">
        <v>101</v>
      </c>
      <c r="E62" t="s">
        <v>102</v>
      </c>
      <c r="F62" t="s">
        <v>14</v>
      </c>
      <c r="G62" t="s">
        <v>102</v>
      </c>
      <c r="H62" t="s">
        <v>15</v>
      </c>
      <c r="I62" t="s">
        <v>35</v>
      </c>
    </row>
    <row r="63" spans="1:9">
      <c r="A63" t="s">
        <v>99</v>
      </c>
      <c r="B63" t="s">
        <v>31</v>
      </c>
      <c r="C63">
        <v>-648409.64</v>
      </c>
      <c r="D63" t="s">
        <v>103</v>
      </c>
      <c r="E63" t="s">
        <v>104</v>
      </c>
      <c r="F63" t="s">
        <v>104</v>
      </c>
      <c r="G63" t="s">
        <v>104</v>
      </c>
      <c r="H63" t="s">
        <v>16</v>
      </c>
      <c r="I63" t="s">
        <v>37</v>
      </c>
    </row>
    <row r="64" spans="1:9">
      <c r="A64" t="s">
        <v>99</v>
      </c>
      <c r="B64" t="s">
        <v>31</v>
      </c>
      <c r="C64">
        <v>-1833212.68</v>
      </c>
      <c r="D64" t="s">
        <v>105</v>
      </c>
      <c r="E64" t="s">
        <v>106</v>
      </c>
      <c r="F64" t="s">
        <v>106</v>
      </c>
      <c r="G64" t="s">
        <v>106</v>
      </c>
      <c r="H64" t="s">
        <v>15</v>
      </c>
      <c r="I64" t="s">
        <v>38</v>
      </c>
    </row>
    <row r="65" spans="1:9">
      <c r="A65" t="s">
        <v>99</v>
      </c>
      <c r="B65" t="s">
        <v>31</v>
      </c>
      <c r="C65">
        <v>-5850</v>
      </c>
      <c r="D65" t="s">
        <v>107</v>
      </c>
      <c r="E65" t="s">
        <v>32</v>
      </c>
      <c r="F65" t="s">
        <v>108</v>
      </c>
      <c r="G65" t="s">
        <v>32</v>
      </c>
      <c r="H65" t="s">
        <v>17</v>
      </c>
      <c r="I65" t="s">
        <v>39</v>
      </c>
    </row>
    <row r="66" spans="1:9">
      <c r="A66" t="s">
        <v>99</v>
      </c>
      <c r="B66" t="s">
        <v>31</v>
      </c>
      <c r="C66">
        <v>3870.54</v>
      </c>
      <c r="D66" t="s">
        <v>109</v>
      </c>
      <c r="E66" t="s">
        <v>110</v>
      </c>
      <c r="F66" t="s">
        <v>14</v>
      </c>
      <c r="G66" t="s">
        <v>110</v>
      </c>
      <c r="H66" t="s">
        <v>16</v>
      </c>
      <c r="I66" t="s">
        <v>36</v>
      </c>
    </row>
    <row r="67" spans="1:9">
      <c r="A67" t="s">
        <v>99</v>
      </c>
      <c r="B67" t="s">
        <v>31</v>
      </c>
      <c r="C67">
        <v>-35887.29</v>
      </c>
      <c r="D67" t="s">
        <v>280</v>
      </c>
      <c r="E67" t="s">
        <v>281</v>
      </c>
      <c r="F67" t="s">
        <v>282</v>
      </c>
      <c r="G67" t="s">
        <v>281</v>
      </c>
      <c r="H67" t="s">
        <v>283</v>
      </c>
      <c r="I67" t="s">
        <v>284</v>
      </c>
    </row>
    <row r="68" spans="1:9">
      <c r="A68" t="s">
        <v>99</v>
      </c>
      <c r="B68" t="s">
        <v>31</v>
      </c>
      <c r="C68">
        <v>-13605</v>
      </c>
      <c r="D68" t="s">
        <v>285</v>
      </c>
      <c r="E68" t="s">
        <v>286</v>
      </c>
      <c r="F68" t="s">
        <v>287</v>
      </c>
      <c r="G68" t="s">
        <v>286</v>
      </c>
      <c r="H68" t="s">
        <v>283</v>
      </c>
      <c r="I68" t="s">
        <v>284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8"/>
  <sheetViews>
    <sheetView workbookViewId="0">
      <selection activeCell="F37" sqref="F37"/>
    </sheetView>
  </sheetViews>
  <sheetFormatPr defaultRowHeight="12.75"/>
  <cols>
    <col min="1" max="1" width="12.28515625" bestFit="1" customWidth="1"/>
    <col min="2" max="2" width="15.42578125" bestFit="1" customWidth="1"/>
    <col min="3" max="3" width="28.42578125" bestFit="1" customWidth="1"/>
    <col min="4" max="4" width="11.85546875" bestFit="1" customWidth="1"/>
    <col min="5" max="5" width="15.42578125" bestFit="1" customWidth="1"/>
    <col min="6" max="6" width="28.42578125" bestFit="1" customWidth="1"/>
    <col min="7" max="7" width="11.85546875" bestFit="1" customWidth="1"/>
    <col min="8" max="8" width="22.140625" bestFit="1" customWidth="1"/>
  </cols>
  <sheetData>
    <row r="1" spans="1:8" ht="20.25">
      <c r="A1" s="53" t="s">
        <v>0</v>
      </c>
      <c r="B1" s="41" t="s">
        <v>4</v>
      </c>
      <c r="C1" s="42"/>
      <c r="D1" s="43"/>
      <c r="E1" s="44" t="s">
        <v>55</v>
      </c>
      <c r="F1" s="45"/>
      <c r="G1" s="46"/>
      <c r="H1" s="50" t="s">
        <v>5</v>
      </c>
    </row>
    <row r="2" spans="1:8" ht="14.25">
      <c r="A2" s="53"/>
      <c r="B2" s="12" t="s">
        <v>33</v>
      </c>
      <c r="C2" s="12" t="s">
        <v>27</v>
      </c>
      <c r="D2" s="13" t="s">
        <v>56</v>
      </c>
      <c r="E2" s="12" t="s">
        <v>33</v>
      </c>
      <c r="F2" s="12" t="s">
        <v>27</v>
      </c>
      <c r="G2" s="13" t="s">
        <v>57</v>
      </c>
      <c r="H2" s="51"/>
    </row>
    <row r="3" spans="1:8" ht="12.75" customHeight="1">
      <c r="A3" s="53"/>
      <c r="B3" s="48" t="s">
        <v>1</v>
      </c>
      <c r="C3" s="48" t="s">
        <v>2</v>
      </c>
      <c r="D3" s="49" t="s">
        <v>3</v>
      </c>
      <c r="E3" s="48" t="s">
        <v>1</v>
      </c>
      <c r="F3" s="48" t="s">
        <v>2</v>
      </c>
      <c r="G3" s="49" t="s">
        <v>3</v>
      </c>
      <c r="H3" s="51"/>
    </row>
    <row r="4" spans="1:8" ht="12.75" customHeight="1">
      <c r="A4" s="53"/>
      <c r="B4" s="48"/>
      <c r="C4" s="48"/>
      <c r="D4" s="49"/>
      <c r="E4" s="48"/>
      <c r="F4" s="48"/>
      <c r="G4" s="49"/>
      <c r="H4" s="51"/>
    </row>
    <row r="5" spans="1:8" ht="12.75" customHeight="1">
      <c r="A5" s="53"/>
      <c r="B5" s="48"/>
      <c r="C5" s="48"/>
      <c r="D5" s="49"/>
      <c r="E5" s="48"/>
      <c r="F5" s="48"/>
      <c r="G5" s="49"/>
      <c r="H5" s="52"/>
    </row>
    <row r="6" spans="1:8" ht="14.25">
      <c r="A6" s="6">
        <v>43252</v>
      </c>
      <c r="B6" s="8">
        <v>194803.08</v>
      </c>
      <c r="C6" s="8">
        <v>193603.08</v>
      </c>
      <c r="D6" s="9">
        <f t="shared" ref="D6:D27" si="0">B6-H6-C6</f>
        <v>0</v>
      </c>
      <c r="E6" s="8">
        <v>7381.95</v>
      </c>
      <c r="F6" s="8">
        <v>6181.95</v>
      </c>
      <c r="G6" s="9">
        <f t="shared" ref="G6:G27" si="1">E6-H6-F6</f>
        <v>0</v>
      </c>
      <c r="H6" s="1">
        <v>1200</v>
      </c>
    </row>
    <row r="7" spans="1:8" ht="14.25">
      <c r="A7" s="6">
        <v>43255</v>
      </c>
      <c r="B7" s="8">
        <v>199958.28</v>
      </c>
      <c r="C7" s="8">
        <v>199958.28</v>
      </c>
      <c r="D7" s="9">
        <f t="shared" si="0"/>
        <v>0</v>
      </c>
      <c r="E7" s="8">
        <v>5099.3999999999996</v>
      </c>
      <c r="F7" s="28">
        <v>5099.3999999999996</v>
      </c>
      <c r="G7" s="9">
        <f t="shared" si="1"/>
        <v>0</v>
      </c>
      <c r="H7" s="1">
        <v>0</v>
      </c>
    </row>
    <row r="8" spans="1:8" ht="14.25">
      <c r="A8" s="6">
        <v>43256</v>
      </c>
      <c r="B8" s="8">
        <v>199999.88</v>
      </c>
      <c r="C8" s="8">
        <v>199999.88</v>
      </c>
      <c r="D8" s="9">
        <f t="shared" si="0"/>
        <v>0</v>
      </c>
      <c r="E8" s="8"/>
      <c r="F8" s="8"/>
      <c r="G8" s="9">
        <f t="shared" si="1"/>
        <v>0</v>
      </c>
      <c r="H8" s="1">
        <v>0</v>
      </c>
    </row>
    <row r="9" spans="1:8" ht="14.25">
      <c r="A9" s="6">
        <v>43257</v>
      </c>
      <c r="B9" s="8">
        <v>199973.56</v>
      </c>
      <c r="C9" s="8">
        <v>199973.56</v>
      </c>
      <c r="D9" s="9">
        <f t="shared" si="0"/>
        <v>0</v>
      </c>
      <c r="E9" s="8">
        <v>735.07</v>
      </c>
      <c r="F9" s="8">
        <v>735.07</v>
      </c>
      <c r="G9" s="9">
        <f t="shared" si="1"/>
        <v>0</v>
      </c>
      <c r="H9" s="1">
        <v>0</v>
      </c>
    </row>
    <row r="10" spans="1:8" ht="14.25">
      <c r="A10" s="6">
        <v>43258</v>
      </c>
      <c r="B10" s="8">
        <v>199991.01</v>
      </c>
      <c r="C10" s="8">
        <v>193691.01</v>
      </c>
      <c r="D10" s="9">
        <f t="shared" si="0"/>
        <v>0</v>
      </c>
      <c r="E10" s="8">
        <v>7546.93</v>
      </c>
      <c r="F10" s="8">
        <v>1246.93</v>
      </c>
      <c r="G10" s="9">
        <f t="shared" si="1"/>
        <v>0</v>
      </c>
      <c r="H10" s="1">
        <v>6300</v>
      </c>
    </row>
    <row r="11" spans="1:8" ht="14.25">
      <c r="A11" s="6">
        <v>43259</v>
      </c>
      <c r="B11" s="8">
        <v>199978.07</v>
      </c>
      <c r="C11" s="8">
        <v>199978.07</v>
      </c>
      <c r="D11" s="9">
        <f t="shared" si="0"/>
        <v>0</v>
      </c>
      <c r="E11" s="8"/>
      <c r="F11" s="8"/>
      <c r="G11" s="9">
        <f t="shared" si="1"/>
        <v>0</v>
      </c>
      <c r="H11" s="1">
        <v>0</v>
      </c>
    </row>
    <row r="12" spans="1:8" ht="14.25">
      <c r="A12" s="6">
        <v>43262</v>
      </c>
      <c r="B12" s="8">
        <v>199989.03</v>
      </c>
      <c r="C12" s="8">
        <v>199989.03</v>
      </c>
      <c r="D12" s="9">
        <f t="shared" si="0"/>
        <v>0</v>
      </c>
      <c r="E12" s="8"/>
      <c r="F12" s="8"/>
      <c r="G12" s="9">
        <f t="shared" si="1"/>
        <v>0</v>
      </c>
      <c r="H12" s="1">
        <v>0</v>
      </c>
    </row>
    <row r="13" spans="1:8" ht="14.25">
      <c r="A13" s="6">
        <v>43263</v>
      </c>
      <c r="B13" s="8">
        <v>199993.94</v>
      </c>
      <c r="C13" s="8">
        <v>199993.94</v>
      </c>
      <c r="D13" s="9">
        <f t="shared" si="0"/>
        <v>0</v>
      </c>
      <c r="E13" s="8"/>
      <c r="F13" s="8"/>
      <c r="G13" s="9">
        <f t="shared" si="1"/>
        <v>0</v>
      </c>
      <c r="H13" s="1">
        <v>0</v>
      </c>
    </row>
    <row r="14" spans="1:8" ht="14.25">
      <c r="A14" s="6">
        <v>43264</v>
      </c>
      <c r="B14" s="8">
        <v>199995.97</v>
      </c>
      <c r="C14" s="8">
        <v>199995.97</v>
      </c>
      <c r="D14" s="9">
        <f t="shared" si="0"/>
        <v>0</v>
      </c>
      <c r="E14" s="8">
        <v>6082.04</v>
      </c>
      <c r="F14" s="8">
        <v>6082.04</v>
      </c>
      <c r="G14" s="9">
        <f t="shared" si="1"/>
        <v>0</v>
      </c>
      <c r="H14" s="1">
        <v>0</v>
      </c>
    </row>
    <row r="15" spans="1:8" ht="14.25">
      <c r="A15" s="6">
        <v>43265</v>
      </c>
      <c r="B15" s="8">
        <v>199949.21</v>
      </c>
      <c r="C15" s="8">
        <v>199949.21</v>
      </c>
      <c r="D15" s="9">
        <f t="shared" si="0"/>
        <v>0</v>
      </c>
      <c r="E15" s="8">
        <v>373.5</v>
      </c>
      <c r="F15" s="8">
        <v>373.5</v>
      </c>
      <c r="G15" s="9">
        <f t="shared" si="1"/>
        <v>0</v>
      </c>
      <c r="H15" s="1">
        <v>0</v>
      </c>
    </row>
    <row r="16" spans="1:8" ht="14.25">
      <c r="A16" s="6">
        <v>43266</v>
      </c>
      <c r="B16" s="8">
        <v>199996.42</v>
      </c>
      <c r="C16" s="8">
        <v>194265.46</v>
      </c>
      <c r="D16" s="9">
        <f t="shared" si="0"/>
        <v>0</v>
      </c>
      <c r="E16" s="8">
        <v>8152.92</v>
      </c>
      <c r="F16" s="8">
        <v>2421.96</v>
      </c>
      <c r="G16" s="9">
        <f t="shared" si="1"/>
        <v>-2.0918378140777349E-11</v>
      </c>
      <c r="H16" s="1">
        <v>5730.960000000021</v>
      </c>
    </row>
    <row r="17" spans="1:8" ht="14.25">
      <c r="A17" s="6">
        <v>43270</v>
      </c>
      <c r="B17" s="8">
        <v>199979.26</v>
      </c>
      <c r="C17" s="8">
        <v>199979.26</v>
      </c>
      <c r="D17" s="9">
        <f t="shared" si="0"/>
        <v>0</v>
      </c>
      <c r="E17" s="8">
        <v>18065</v>
      </c>
      <c r="F17" s="8">
        <v>18065</v>
      </c>
      <c r="G17" s="9">
        <f t="shared" si="1"/>
        <v>0</v>
      </c>
      <c r="H17" s="1">
        <v>0</v>
      </c>
    </row>
    <row r="18" spans="1:8" ht="14.25">
      <c r="A18" s="6">
        <v>43271</v>
      </c>
      <c r="B18" s="8">
        <v>201009.55</v>
      </c>
      <c r="C18" s="8">
        <v>199477.54</v>
      </c>
      <c r="D18" s="9">
        <f t="shared" si="0"/>
        <v>0</v>
      </c>
      <c r="E18" s="8">
        <v>1532.01</v>
      </c>
      <c r="F18" s="8"/>
      <c r="G18" s="9">
        <f t="shared" si="1"/>
        <v>1.9781509763561189E-11</v>
      </c>
      <c r="H18" s="1">
        <v>1532.0099999999802</v>
      </c>
    </row>
    <row r="19" spans="1:8" ht="14.25">
      <c r="A19" s="6">
        <v>43272</v>
      </c>
      <c r="B19" s="8">
        <v>199998.97</v>
      </c>
      <c r="C19" s="8">
        <v>199996.97</v>
      </c>
      <c r="D19" s="9">
        <f t="shared" si="0"/>
        <v>0</v>
      </c>
      <c r="E19" s="8">
        <v>7938.56</v>
      </c>
      <c r="F19" s="8">
        <v>7936.56</v>
      </c>
      <c r="G19" s="9">
        <f t="shared" si="1"/>
        <v>0</v>
      </c>
      <c r="H19" s="1">
        <v>2</v>
      </c>
    </row>
    <row r="20" spans="1:8" ht="14.25">
      <c r="A20" s="6">
        <v>43273</v>
      </c>
      <c r="B20" s="8">
        <v>202391.66</v>
      </c>
      <c r="C20" s="8">
        <v>199991.66</v>
      </c>
      <c r="D20" s="9">
        <f t="shared" si="0"/>
        <v>0</v>
      </c>
      <c r="E20" s="8">
        <v>5305.79</v>
      </c>
      <c r="F20" s="8">
        <v>2905.79</v>
      </c>
      <c r="G20" s="9">
        <f t="shared" si="1"/>
        <v>0</v>
      </c>
      <c r="H20" s="1">
        <v>2400</v>
      </c>
    </row>
    <row r="21" spans="1:8" ht="14.25">
      <c r="A21" s="6">
        <v>43276</v>
      </c>
      <c r="B21" s="8">
        <v>199991.92</v>
      </c>
      <c r="C21" s="8">
        <v>199940.45</v>
      </c>
      <c r="D21" s="9">
        <f t="shared" si="0"/>
        <v>0</v>
      </c>
      <c r="E21" s="8">
        <v>444.39</v>
      </c>
      <c r="F21" s="8">
        <v>392.92</v>
      </c>
      <c r="G21" s="9">
        <f t="shared" si="1"/>
        <v>-1.1937117960769683E-12</v>
      </c>
      <c r="H21" s="1">
        <v>51.470000000001164</v>
      </c>
    </row>
    <row r="22" spans="1:8" ht="14.25">
      <c r="A22" s="6">
        <v>43277</v>
      </c>
      <c r="B22" s="8">
        <v>201545.05</v>
      </c>
      <c r="C22" s="8">
        <v>199976.98</v>
      </c>
      <c r="D22" s="9">
        <f t="shared" si="0"/>
        <v>0</v>
      </c>
      <c r="E22" s="7">
        <v>1568.07</v>
      </c>
      <c r="F22" s="8"/>
      <c r="G22" s="9">
        <f t="shared" si="1"/>
        <v>-7.0485839387401938E-12</v>
      </c>
      <c r="H22" s="1">
        <v>1568.070000000007</v>
      </c>
    </row>
    <row r="23" spans="1:8" ht="14.25">
      <c r="A23" s="6"/>
      <c r="B23" s="8"/>
      <c r="C23" s="8"/>
      <c r="D23" s="9">
        <f t="shared" si="0"/>
        <v>0</v>
      </c>
      <c r="E23" s="7"/>
      <c r="F23" s="8"/>
      <c r="G23" s="9">
        <f t="shared" si="1"/>
        <v>0</v>
      </c>
      <c r="H23" s="1"/>
    </row>
    <row r="24" spans="1:8" ht="14.25">
      <c r="A24" s="6"/>
      <c r="B24" s="8"/>
      <c r="C24" s="8"/>
      <c r="D24" s="9">
        <f t="shared" si="0"/>
        <v>0</v>
      </c>
      <c r="E24" s="8"/>
      <c r="F24" s="8"/>
      <c r="G24" s="9">
        <f t="shared" si="1"/>
        <v>0</v>
      </c>
      <c r="H24" s="1"/>
    </row>
    <row r="25" spans="1:8" ht="14.25">
      <c r="A25" s="6"/>
      <c r="B25" s="8"/>
      <c r="C25" s="8"/>
      <c r="D25" s="9">
        <f t="shared" si="0"/>
        <v>0</v>
      </c>
      <c r="E25" s="8"/>
      <c r="F25" s="8"/>
      <c r="G25" s="9">
        <f t="shared" si="1"/>
        <v>0</v>
      </c>
      <c r="H25" s="1"/>
    </row>
    <row r="26" spans="1:8" ht="14.25">
      <c r="A26" s="6"/>
      <c r="B26" s="8"/>
      <c r="C26" s="8"/>
      <c r="D26" s="9">
        <f t="shared" si="0"/>
        <v>0</v>
      </c>
      <c r="E26" s="7"/>
      <c r="F26" s="7"/>
      <c r="G26" s="9">
        <f t="shared" si="1"/>
        <v>0</v>
      </c>
      <c r="H26" s="1"/>
    </row>
    <row r="27" spans="1:8" ht="14.25">
      <c r="A27" s="6"/>
      <c r="B27" s="8"/>
      <c r="C27" s="8"/>
      <c r="D27" s="9">
        <f t="shared" si="0"/>
        <v>0</v>
      </c>
      <c r="E27" s="8"/>
      <c r="F27" s="7"/>
      <c r="G27" s="9">
        <f t="shared" si="1"/>
        <v>0</v>
      </c>
      <c r="H27" s="1"/>
    </row>
    <row r="28" spans="1:8">
      <c r="F28" s="23"/>
    </row>
  </sheetData>
  <autoFilter ref="A1:H27">
    <filterColumn colId="1" showButton="0"/>
    <filterColumn colId="2" showButton="0"/>
    <filterColumn colId="4" showButton="0"/>
    <filterColumn colId="5" showButton="0"/>
  </autoFilter>
  <mergeCells count="10">
    <mergeCell ref="F3:F5"/>
    <mergeCell ref="G3:G5"/>
    <mergeCell ref="H1:H5"/>
    <mergeCell ref="B1:D1"/>
    <mergeCell ref="E1:G1"/>
    <mergeCell ref="A1:A5"/>
    <mergeCell ref="B3:B5"/>
    <mergeCell ref="C3:C5"/>
    <mergeCell ref="D3:D5"/>
    <mergeCell ref="E3:E5"/>
  </mergeCells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45"/>
  <sheetViews>
    <sheetView workbookViewId="0">
      <pane ySplit="1" topLeftCell="A104" activePane="bottomLeft" state="frozen"/>
      <selection pane="bottomLeft" activeCell="I132" sqref="I132"/>
    </sheetView>
  </sheetViews>
  <sheetFormatPr defaultRowHeight="12.75"/>
  <cols>
    <col min="1" max="1" width="23" bestFit="1" customWidth="1"/>
    <col min="2" max="2" width="27.85546875" bestFit="1" customWidth="1"/>
    <col min="3" max="3" width="22" bestFit="1" customWidth="1"/>
    <col min="4" max="4" width="14.5703125" bestFit="1" customWidth="1"/>
    <col min="5" max="5" width="12.7109375" bestFit="1" customWidth="1"/>
    <col min="6" max="6" width="11.85546875" bestFit="1" customWidth="1"/>
    <col min="7" max="7" width="13.28515625" bestFit="1" customWidth="1"/>
    <col min="8" max="8" width="8.140625" bestFit="1" customWidth="1"/>
    <col min="9" max="9" width="11.5703125" bestFit="1" customWidth="1"/>
    <col min="10" max="10" width="13.140625" bestFit="1" customWidth="1"/>
  </cols>
  <sheetData>
    <row r="1" spans="1:10" ht="27.75" thickBot="1">
      <c r="A1" s="14" t="s">
        <v>18</v>
      </c>
      <c r="B1" s="15" t="s">
        <v>19</v>
      </c>
      <c r="C1" s="16" t="s">
        <v>20</v>
      </c>
      <c r="D1" s="14" t="s">
        <v>21</v>
      </c>
      <c r="E1" s="17" t="s">
        <v>22</v>
      </c>
      <c r="F1" s="18" t="s">
        <v>23</v>
      </c>
      <c r="G1" s="19" t="s">
        <v>24</v>
      </c>
      <c r="H1" s="20" t="s">
        <v>25</v>
      </c>
      <c r="I1" s="17" t="s">
        <v>26</v>
      </c>
    </row>
    <row r="2" spans="1:10" ht="14.25">
      <c r="A2" s="29">
        <v>43252</v>
      </c>
      <c r="G2" s="30"/>
      <c r="H2" s="31"/>
      <c r="I2" s="32"/>
    </row>
    <row r="3" spans="1:10">
      <c r="A3" t="s">
        <v>78</v>
      </c>
      <c r="B3" s="25" t="s">
        <v>79</v>
      </c>
      <c r="C3" s="25" t="s">
        <v>80</v>
      </c>
      <c r="D3" s="33">
        <v>621036.47</v>
      </c>
      <c r="E3" s="33">
        <v>800003.21</v>
      </c>
      <c r="F3">
        <v>221113.72</v>
      </c>
      <c r="G3" s="34">
        <f t="shared" ref="G3:G9" si="0">E3-D3</f>
        <v>178966.74</v>
      </c>
      <c r="H3" s="31"/>
      <c r="I3" s="32">
        <f t="shared" ref="I3:I9" si="1">F3-G3</f>
        <v>42146.98000000001</v>
      </c>
      <c r="J3" t="s">
        <v>81</v>
      </c>
    </row>
    <row r="4" spans="1:10">
      <c r="A4" t="s">
        <v>82</v>
      </c>
      <c r="B4" s="25" t="s">
        <v>67</v>
      </c>
      <c r="C4" s="25" t="s">
        <v>27</v>
      </c>
      <c r="D4" s="33">
        <v>206396.92</v>
      </c>
      <c r="E4" s="33">
        <v>400000</v>
      </c>
      <c r="F4">
        <v>194803.08</v>
      </c>
      <c r="G4" s="34">
        <f t="shared" si="0"/>
        <v>193603.08</v>
      </c>
      <c r="H4" s="31"/>
      <c r="I4" s="32">
        <f t="shared" si="1"/>
        <v>1200</v>
      </c>
      <c r="J4" t="s">
        <v>81</v>
      </c>
    </row>
    <row r="5" spans="1:10">
      <c r="A5" t="s">
        <v>83</v>
      </c>
      <c r="B5" s="25" t="s">
        <v>84</v>
      </c>
      <c r="C5" s="25" t="s">
        <v>85</v>
      </c>
      <c r="D5" s="33">
        <v>1786028.42</v>
      </c>
      <c r="E5" s="33">
        <v>2400000</v>
      </c>
      <c r="F5">
        <v>731656.2</v>
      </c>
      <c r="G5" s="34">
        <f t="shared" si="0"/>
        <v>613971.58000000007</v>
      </c>
      <c r="H5" s="31"/>
      <c r="I5" s="32">
        <f t="shared" si="1"/>
        <v>117684.61999999988</v>
      </c>
      <c r="J5" t="s">
        <v>81</v>
      </c>
    </row>
    <row r="6" spans="1:10">
      <c r="A6" t="s">
        <v>86</v>
      </c>
      <c r="B6" s="25" t="s">
        <v>87</v>
      </c>
      <c r="C6" s="25" t="s">
        <v>88</v>
      </c>
      <c r="D6" s="33">
        <v>111000</v>
      </c>
      <c r="E6" s="33">
        <v>120000</v>
      </c>
      <c r="F6">
        <v>9000</v>
      </c>
      <c r="G6" s="34">
        <f t="shared" si="0"/>
        <v>9000</v>
      </c>
      <c r="H6" s="31"/>
      <c r="I6" s="32">
        <f t="shared" si="1"/>
        <v>0</v>
      </c>
    </row>
    <row r="7" spans="1:10">
      <c r="A7" t="s">
        <v>89</v>
      </c>
      <c r="B7" s="25" t="s">
        <v>90</v>
      </c>
      <c r="C7" s="25" t="s">
        <v>91</v>
      </c>
      <c r="D7" s="33">
        <v>317315.05</v>
      </c>
      <c r="E7" s="33">
        <v>500000</v>
      </c>
      <c r="F7">
        <v>194924.95</v>
      </c>
      <c r="G7" s="34">
        <f t="shared" si="0"/>
        <v>182684.95</v>
      </c>
      <c r="H7" s="31"/>
      <c r="I7" s="32">
        <f t="shared" si="1"/>
        <v>12240</v>
      </c>
      <c r="J7" t="s">
        <v>81</v>
      </c>
    </row>
    <row r="8" spans="1:10">
      <c r="A8" t="s">
        <v>92</v>
      </c>
      <c r="B8" s="25" t="s">
        <v>93</v>
      </c>
      <c r="C8" s="25" t="s">
        <v>94</v>
      </c>
      <c r="D8" s="33">
        <v>637253.59</v>
      </c>
      <c r="E8" s="33">
        <v>700000</v>
      </c>
      <c r="F8">
        <v>62746.41</v>
      </c>
      <c r="G8" s="34">
        <f t="shared" si="0"/>
        <v>62746.410000000033</v>
      </c>
      <c r="H8" s="31"/>
      <c r="I8" s="32">
        <f t="shared" si="1"/>
        <v>0</v>
      </c>
    </row>
    <row r="9" spans="1:10">
      <c r="A9" t="s">
        <v>95</v>
      </c>
      <c r="B9" s="25" t="s">
        <v>96</v>
      </c>
      <c r="C9" s="25" t="s">
        <v>97</v>
      </c>
      <c r="D9" s="33">
        <v>86448.24</v>
      </c>
      <c r="E9" s="33">
        <v>100000</v>
      </c>
      <c r="F9">
        <v>13551.76</v>
      </c>
      <c r="G9" s="34">
        <f t="shared" si="0"/>
        <v>13551.759999999995</v>
      </c>
      <c r="H9" s="31"/>
      <c r="I9" s="32">
        <f t="shared" si="1"/>
        <v>0</v>
      </c>
    </row>
    <row r="10" spans="1:10" ht="14.25">
      <c r="A10" s="29">
        <v>43255</v>
      </c>
      <c r="G10" s="30"/>
      <c r="H10" s="31"/>
      <c r="I10" s="32"/>
    </row>
    <row r="11" spans="1:10">
      <c r="A11" t="s">
        <v>78</v>
      </c>
      <c r="B11" s="25" t="s">
        <v>79</v>
      </c>
      <c r="C11" s="25" t="s">
        <v>80</v>
      </c>
      <c r="D11" s="33">
        <v>458537.85</v>
      </c>
      <c r="E11" s="33">
        <v>800003.21</v>
      </c>
      <c r="F11">
        <v>412661.78</v>
      </c>
      <c r="G11" s="34">
        <f t="shared" ref="G11:G17" si="2">E11-D11</f>
        <v>341465.36</v>
      </c>
      <c r="H11" s="31"/>
      <c r="I11" s="32">
        <f t="shared" ref="I11:I17" si="3">F11-G11</f>
        <v>71196.420000000042</v>
      </c>
      <c r="J11" t="s">
        <v>81</v>
      </c>
    </row>
    <row r="12" spans="1:10">
      <c r="A12" t="s">
        <v>82</v>
      </c>
      <c r="B12" s="25" t="s">
        <v>67</v>
      </c>
      <c r="C12" s="25" t="s">
        <v>27</v>
      </c>
      <c r="D12" s="33">
        <v>200041.72</v>
      </c>
      <c r="E12" s="33">
        <v>400000</v>
      </c>
      <c r="F12">
        <v>199958.28</v>
      </c>
      <c r="G12" s="34">
        <f t="shared" si="2"/>
        <v>199958.28</v>
      </c>
      <c r="H12" s="31"/>
      <c r="I12" s="32">
        <f t="shared" si="3"/>
        <v>0</v>
      </c>
    </row>
    <row r="13" spans="1:10">
      <c r="A13" t="s">
        <v>83</v>
      </c>
      <c r="B13" s="25" t="s">
        <v>84</v>
      </c>
      <c r="C13" s="25" t="s">
        <v>85</v>
      </c>
      <c r="D13" s="33">
        <v>1291126.26</v>
      </c>
      <c r="E13" s="33">
        <v>2400000</v>
      </c>
      <c r="F13">
        <v>1357228.23</v>
      </c>
      <c r="G13" s="34">
        <f t="shared" si="2"/>
        <v>1108873.74</v>
      </c>
      <c r="H13" s="31"/>
      <c r="I13" s="32">
        <f t="shared" si="3"/>
        <v>248354.49</v>
      </c>
      <c r="J13" t="s">
        <v>81</v>
      </c>
    </row>
    <row r="14" spans="1:10">
      <c r="A14" t="s">
        <v>86</v>
      </c>
      <c r="B14" s="25" t="s">
        <v>87</v>
      </c>
      <c r="C14" s="25" t="s">
        <v>88</v>
      </c>
      <c r="D14" s="33">
        <v>68135.23</v>
      </c>
      <c r="E14" s="33">
        <v>120000</v>
      </c>
      <c r="F14">
        <v>51864.77</v>
      </c>
      <c r="G14" s="34">
        <f t="shared" si="2"/>
        <v>51864.770000000004</v>
      </c>
      <c r="H14" s="31"/>
      <c r="I14" s="32">
        <f t="shared" si="3"/>
        <v>0</v>
      </c>
    </row>
    <row r="15" spans="1:10">
      <c r="A15" t="s">
        <v>89</v>
      </c>
      <c r="B15" s="25" t="s">
        <v>90</v>
      </c>
      <c r="C15" s="25" t="s">
        <v>91</v>
      </c>
      <c r="D15" s="33">
        <v>250011.48</v>
      </c>
      <c r="E15" s="33">
        <v>500000</v>
      </c>
      <c r="F15">
        <v>250173.72</v>
      </c>
      <c r="G15" s="34">
        <f t="shared" si="2"/>
        <v>249988.52</v>
      </c>
      <c r="H15" s="31"/>
      <c r="I15" s="32">
        <f t="shared" si="3"/>
        <v>185.20000000001164</v>
      </c>
      <c r="J15" t="s">
        <v>81</v>
      </c>
    </row>
    <row r="16" spans="1:10">
      <c r="A16" t="s">
        <v>92</v>
      </c>
      <c r="B16" s="25" t="s">
        <v>93</v>
      </c>
      <c r="C16" s="25" t="s">
        <v>94</v>
      </c>
      <c r="D16" s="33">
        <v>340053.35</v>
      </c>
      <c r="E16" s="33">
        <v>700000</v>
      </c>
      <c r="F16">
        <v>359946.65</v>
      </c>
      <c r="G16" s="34">
        <f t="shared" si="2"/>
        <v>359946.65</v>
      </c>
      <c r="H16" s="31"/>
      <c r="I16" s="32">
        <f t="shared" si="3"/>
        <v>0</v>
      </c>
    </row>
    <row r="17" spans="1:10">
      <c r="A17" t="s">
        <v>95</v>
      </c>
      <c r="B17" s="25" t="s">
        <v>96</v>
      </c>
      <c r="C17" s="25" t="s">
        <v>97</v>
      </c>
      <c r="D17" s="33">
        <v>57110.92</v>
      </c>
      <c r="E17" s="33">
        <v>100000</v>
      </c>
      <c r="F17">
        <v>55061.440000000002</v>
      </c>
      <c r="G17" s="34">
        <f t="shared" si="2"/>
        <v>42889.08</v>
      </c>
      <c r="H17" s="31"/>
      <c r="I17" s="32">
        <f t="shared" si="3"/>
        <v>12172.36</v>
      </c>
      <c r="J17" t="s">
        <v>81</v>
      </c>
    </row>
    <row r="18" spans="1:10" ht="14.25">
      <c r="A18" s="29">
        <v>43256</v>
      </c>
      <c r="G18" s="30"/>
      <c r="H18" s="31"/>
      <c r="I18" s="32"/>
    </row>
    <row r="19" spans="1:10">
      <c r="A19" t="s">
        <v>78</v>
      </c>
      <c r="B19" s="25" t="s">
        <v>79</v>
      </c>
      <c r="C19" s="25" t="s">
        <v>80</v>
      </c>
      <c r="D19" s="33">
        <v>421043.34</v>
      </c>
      <c r="E19" s="33">
        <v>800003.21</v>
      </c>
      <c r="F19">
        <v>509900.82</v>
      </c>
      <c r="G19" s="34">
        <f t="shared" ref="G19:G25" si="4">E19-D19</f>
        <v>378959.86999999994</v>
      </c>
      <c r="H19" s="31"/>
      <c r="I19" s="32">
        <f t="shared" ref="I19:I25" si="5">F19-G19</f>
        <v>130940.95000000007</v>
      </c>
      <c r="J19" t="s">
        <v>81</v>
      </c>
    </row>
    <row r="20" spans="1:10">
      <c r="A20" t="s">
        <v>82</v>
      </c>
      <c r="B20" s="25" t="s">
        <v>67</v>
      </c>
      <c r="C20" s="25" t="s">
        <v>27</v>
      </c>
      <c r="D20" s="33">
        <v>200000.12</v>
      </c>
      <c r="E20" s="33">
        <v>400000</v>
      </c>
      <c r="F20">
        <v>199999.88</v>
      </c>
      <c r="G20" s="34">
        <f t="shared" si="4"/>
        <v>199999.88</v>
      </c>
      <c r="H20" s="31"/>
      <c r="I20" s="32">
        <f t="shared" si="5"/>
        <v>0</v>
      </c>
    </row>
    <row r="21" spans="1:10">
      <c r="A21" t="s">
        <v>83</v>
      </c>
      <c r="B21" s="25" t="s">
        <v>84</v>
      </c>
      <c r="C21" s="25" t="s">
        <v>85</v>
      </c>
      <c r="D21" s="33">
        <v>1226487.1599999999</v>
      </c>
      <c r="E21" s="33">
        <v>2400000</v>
      </c>
      <c r="F21">
        <v>1444274.96</v>
      </c>
      <c r="G21" s="34">
        <f t="shared" si="4"/>
        <v>1173512.8400000001</v>
      </c>
      <c r="H21" s="31"/>
      <c r="I21" s="32">
        <f t="shared" si="5"/>
        <v>270762.11999999988</v>
      </c>
      <c r="J21" t="s">
        <v>81</v>
      </c>
    </row>
    <row r="22" spans="1:10">
      <c r="A22" t="s">
        <v>86</v>
      </c>
      <c r="B22" s="25" t="s">
        <v>87</v>
      </c>
      <c r="C22" s="25" t="s">
        <v>88</v>
      </c>
      <c r="D22" s="33">
        <v>101305.79</v>
      </c>
      <c r="E22" s="33">
        <v>120000</v>
      </c>
      <c r="F22">
        <v>18694.21</v>
      </c>
      <c r="G22" s="34">
        <f t="shared" si="4"/>
        <v>18694.210000000006</v>
      </c>
      <c r="H22" s="31"/>
      <c r="I22" s="32">
        <f t="shared" si="5"/>
        <v>0</v>
      </c>
    </row>
    <row r="23" spans="1:10">
      <c r="A23" t="s">
        <v>89</v>
      </c>
      <c r="B23" s="25" t="s">
        <v>90</v>
      </c>
      <c r="C23" s="25" t="s">
        <v>91</v>
      </c>
      <c r="D23" s="33">
        <v>245536.86</v>
      </c>
      <c r="E23" s="33">
        <v>500000</v>
      </c>
      <c r="F23">
        <v>258381.37</v>
      </c>
      <c r="G23" s="34">
        <f t="shared" si="4"/>
        <v>254463.14</v>
      </c>
      <c r="H23" s="31"/>
      <c r="I23" s="32">
        <f t="shared" si="5"/>
        <v>3918.2299999999814</v>
      </c>
      <c r="J23" t="s">
        <v>81</v>
      </c>
    </row>
    <row r="24" spans="1:10">
      <c r="A24" t="s">
        <v>92</v>
      </c>
      <c r="B24" s="25" t="s">
        <v>93</v>
      </c>
      <c r="C24" s="25" t="s">
        <v>94</v>
      </c>
      <c r="D24" s="33">
        <v>350236.08</v>
      </c>
      <c r="E24" s="33">
        <v>700000</v>
      </c>
      <c r="F24">
        <v>355343.2</v>
      </c>
      <c r="G24" s="34">
        <f t="shared" si="4"/>
        <v>349763.92</v>
      </c>
      <c r="H24" s="31"/>
      <c r="I24" s="32">
        <f t="shared" si="5"/>
        <v>5579.2800000000279</v>
      </c>
      <c r="J24" t="s">
        <v>81</v>
      </c>
    </row>
    <row r="25" spans="1:10">
      <c r="A25" t="s">
        <v>95</v>
      </c>
      <c r="B25" s="25" t="s">
        <v>96</v>
      </c>
      <c r="C25" s="25" t="s">
        <v>97</v>
      </c>
      <c r="D25" s="33">
        <v>59297.19</v>
      </c>
      <c r="E25" s="33">
        <v>100000</v>
      </c>
      <c r="F25">
        <v>44597.21</v>
      </c>
      <c r="G25" s="34">
        <f t="shared" si="4"/>
        <v>40702.81</v>
      </c>
      <c r="H25" s="31"/>
      <c r="I25" s="32">
        <f t="shared" si="5"/>
        <v>3894.4000000000015</v>
      </c>
      <c r="J25" t="s">
        <v>81</v>
      </c>
    </row>
    <row r="26" spans="1:10" ht="14.25">
      <c r="A26" s="29">
        <v>43257</v>
      </c>
      <c r="G26" s="30"/>
      <c r="H26" s="31"/>
      <c r="I26" s="32"/>
    </row>
    <row r="27" spans="1:10">
      <c r="A27" t="s">
        <v>78</v>
      </c>
      <c r="B27" s="25" t="s">
        <v>79</v>
      </c>
      <c r="C27" s="25" t="s">
        <v>80</v>
      </c>
      <c r="D27" s="33">
        <v>521077.14</v>
      </c>
      <c r="E27" s="33">
        <v>800003.21</v>
      </c>
      <c r="F27">
        <v>322568.28000000003</v>
      </c>
      <c r="G27" s="34">
        <f t="shared" ref="G27:G33" si="6">E27-D27</f>
        <v>278926.06999999995</v>
      </c>
      <c r="H27" s="31"/>
      <c r="I27" s="32">
        <f t="shared" ref="I27:I33" si="7">F27-G27</f>
        <v>43642.210000000079</v>
      </c>
      <c r="J27" t="s">
        <v>81</v>
      </c>
    </row>
    <row r="28" spans="1:10">
      <c r="A28" t="s">
        <v>82</v>
      </c>
      <c r="B28" s="25" t="s">
        <v>67</v>
      </c>
      <c r="C28" s="25" t="s">
        <v>27</v>
      </c>
      <c r="D28" s="33">
        <v>200026.44</v>
      </c>
      <c r="E28" s="33">
        <v>400000</v>
      </c>
      <c r="F28">
        <v>199973.56</v>
      </c>
      <c r="G28" s="34">
        <f t="shared" si="6"/>
        <v>199973.56</v>
      </c>
      <c r="H28" s="31"/>
      <c r="I28" s="32">
        <f t="shared" si="7"/>
        <v>0</v>
      </c>
    </row>
    <row r="29" spans="1:10">
      <c r="A29" t="s">
        <v>83</v>
      </c>
      <c r="B29" s="25" t="s">
        <v>84</v>
      </c>
      <c r="C29" s="25" t="s">
        <v>85</v>
      </c>
      <c r="D29" s="33">
        <v>1195762.1599999999</v>
      </c>
      <c r="E29" s="33">
        <v>2400000</v>
      </c>
      <c r="F29">
        <v>1409219.12</v>
      </c>
      <c r="G29" s="34">
        <f t="shared" si="6"/>
        <v>1204237.8400000001</v>
      </c>
      <c r="H29" s="31"/>
      <c r="I29" s="32">
        <f t="shared" si="7"/>
        <v>204981.28000000003</v>
      </c>
      <c r="J29" t="s">
        <v>81</v>
      </c>
    </row>
    <row r="30" spans="1:10">
      <c r="A30" t="s">
        <v>86</v>
      </c>
      <c r="B30" s="25" t="s">
        <v>87</v>
      </c>
      <c r="C30" s="25" t="s">
        <v>88</v>
      </c>
      <c r="D30" s="33">
        <v>70413.399999999994</v>
      </c>
      <c r="E30" s="33">
        <v>120000</v>
      </c>
      <c r="F30">
        <v>51460.72</v>
      </c>
      <c r="G30" s="34">
        <f t="shared" si="6"/>
        <v>49586.600000000006</v>
      </c>
      <c r="H30" s="31"/>
      <c r="I30" s="32">
        <f t="shared" si="7"/>
        <v>1874.1199999999953</v>
      </c>
      <c r="J30" t="s">
        <v>81</v>
      </c>
    </row>
    <row r="31" spans="1:10">
      <c r="A31" t="s">
        <v>89</v>
      </c>
      <c r="B31" s="25" t="s">
        <v>90</v>
      </c>
      <c r="C31" s="25" t="s">
        <v>91</v>
      </c>
      <c r="D31" s="33">
        <f>588.78+254463.14</f>
        <v>255051.92</v>
      </c>
      <c r="E31" s="33">
        <v>500000</v>
      </c>
      <c r="F31">
        <f>273998.08</f>
        <v>273998.08000000002</v>
      </c>
      <c r="G31" s="34">
        <f t="shared" si="6"/>
        <v>244948.08</v>
      </c>
      <c r="H31" s="31"/>
      <c r="I31" s="32">
        <f t="shared" si="7"/>
        <v>29050.000000000029</v>
      </c>
      <c r="J31" t="s">
        <v>98</v>
      </c>
    </row>
    <row r="32" spans="1:10">
      <c r="A32" t="s">
        <v>92</v>
      </c>
      <c r="B32" s="25" t="s">
        <v>93</v>
      </c>
      <c r="C32" s="25" t="s">
        <v>94</v>
      </c>
      <c r="D32" s="33">
        <v>350252.82</v>
      </c>
      <c r="E32" s="33">
        <v>700000</v>
      </c>
      <c r="F32">
        <v>349747.18</v>
      </c>
      <c r="G32" s="34">
        <f t="shared" si="6"/>
        <v>349747.18</v>
      </c>
      <c r="H32" s="31"/>
      <c r="I32" s="32">
        <f t="shared" si="7"/>
        <v>0</v>
      </c>
    </row>
    <row r="33" spans="1:10">
      <c r="A33" t="s">
        <v>95</v>
      </c>
      <c r="B33" s="25" t="s">
        <v>96</v>
      </c>
      <c r="C33" s="25" t="s">
        <v>97</v>
      </c>
      <c r="D33" s="33">
        <v>55806.46</v>
      </c>
      <c r="E33" s="33">
        <v>100000</v>
      </c>
      <c r="F33">
        <v>46401.22</v>
      </c>
      <c r="G33" s="34">
        <f t="shared" si="6"/>
        <v>44193.54</v>
      </c>
      <c r="H33" s="31"/>
      <c r="I33" s="32">
        <f t="shared" si="7"/>
        <v>2207.6800000000003</v>
      </c>
      <c r="J33" t="s">
        <v>81</v>
      </c>
    </row>
    <row r="34" spans="1:10" ht="14.25">
      <c r="A34" s="29">
        <v>43258</v>
      </c>
      <c r="G34" s="30"/>
      <c r="H34" s="31"/>
      <c r="I34" s="32"/>
    </row>
    <row r="35" spans="1:10">
      <c r="A35" t="s">
        <v>78</v>
      </c>
      <c r="B35" s="25" t="s">
        <v>79</v>
      </c>
      <c r="C35" s="25" t="s">
        <v>80</v>
      </c>
      <c r="D35" s="33">
        <v>448757.96</v>
      </c>
      <c r="E35" s="33">
        <v>800003.21</v>
      </c>
      <c r="F35">
        <v>431487.59</v>
      </c>
      <c r="G35" s="34">
        <f t="shared" ref="G35:G41" si="8">E35-D35</f>
        <v>351245.24999999994</v>
      </c>
      <c r="H35" s="31"/>
      <c r="I35" s="32">
        <f t="shared" ref="I35:I41" si="9">F35-G35</f>
        <v>80242.340000000084</v>
      </c>
      <c r="J35" t="s">
        <v>81</v>
      </c>
    </row>
    <row r="36" spans="1:10">
      <c r="A36" t="s">
        <v>82</v>
      </c>
      <c r="B36" s="25" t="s">
        <v>67</v>
      </c>
      <c r="C36" s="25" t="s">
        <v>27</v>
      </c>
      <c r="D36" s="33">
        <v>206308.99</v>
      </c>
      <c r="E36" s="33">
        <v>400000</v>
      </c>
      <c r="F36">
        <v>199991.01</v>
      </c>
      <c r="G36" s="34">
        <f t="shared" si="8"/>
        <v>193691.01</v>
      </c>
      <c r="H36" s="31"/>
      <c r="I36" s="32">
        <f t="shared" si="9"/>
        <v>6300</v>
      </c>
      <c r="J36" t="s">
        <v>81</v>
      </c>
    </row>
    <row r="37" spans="1:10">
      <c r="A37" t="s">
        <v>83</v>
      </c>
      <c r="B37" s="25" t="s">
        <v>84</v>
      </c>
      <c r="C37" s="25" t="s">
        <v>85</v>
      </c>
      <c r="D37" s="33">
        <v>1533578.39</v>
      </c>
      <c r="E37" s="33">
        <v>2400000</v>
      </c>
      <c r="F37">
        <v>1118119.18</v>
      </c>
      <c r="G37" s="34">
        <f t="shared" si="8"/>
        <v>866421.6100000001</v>
      </c>
      <c r="H37" s="31"/>
      <c r="I37" s="32">
        <f t="shared" si="9"/>
        <v>251697.56999999983</v>
      </c>
      <c r="J37" t="s">
        <v>81</v>
      </c>
    </row>
    <row r="38" spans="1:10">
      <c r="A38" t="s">
        <v>86</v>
      </c>
      <c r="B38" s="25" t="s">
        <v>87</v>
      </c>
      <c r="C38" s="25" t="s">
        <v>88</v>
      </c>
      <c r="D38" s="33">
        <v>78533.42</v>
      </c>
      <c r="E38" s="33">
        <v>120000</v>
      </c>
      <c r="F38">
        <v>56137.82</v>
      </c>
      <c r="G38" s="34">
        <f t="shared" si="8"/>
        <v>41466.58</v>
      </c>
      <c r="H38" s="31"/>
      <c r="I38" s="32">
        <f t="shared" si="9"/>
        <v>14671.239999999998</v>
      </c>
      <c r="J38" t="s">
        <v>81</v>
      </c>
    </row>
    <row r="39" spans="1:10">
      <c r="A39" t="s">
        <v>89</v>
      </c>
      <c r="B39" s="25" t="s">
        <v>90</v>
      </c>
      <c r="C39" s="25" t="s">
        <v>91</v>
      </c>
      <c r="D39" s="33">
        <v>245045.64</v>
      </c>
      <c r="E39" s="33">
        <v>500000</v>
      </c>
      <c r="F39">
        <v>385786.56</v>
      </c>
      <c r="G39" s="34">
        <f t="shared" si="8"/>
        <v>254954.36</v>
      </c>
      <c r="H39" s="31"/>
      <c r="I39" s="32">
        <f t="shared" si="9"/>
        <v>130832.20000000001</v>
      </c>
      <c r="J39" t="s">
        <v>81</v>
      </c>
    </row>
    <row r="40" spans="1:10">
      <c r="A40" t="s">
        <v>92</v>
      </c>
      <c r="B40" s="25" t="s">
        <v>93</v>
      </c>
      <c r="C40" s="25" t="s">
        <v>94</v>
      </c>
      <c r="D40" s="33">
        <v>350855.06</v>
      </c>
      <c r="E40" s="33">
        <v>700000</v>
      </c>
      <c r="F40">
        <v>352029.14</v>
      </c>
      <c r="G40" s="34">
        <f t="shared" si="8"/>
        <v>349144.94</v>
      </c>
      <c r="H40" s="31"/>
      <c r="I40" s="32">
        <f t="shared" si="9"/>
        <v>2884.2000000000116</v>
      </c>
      <c r="J40" t="s">
        <v>81</v>
      </c>
    </row>
    <row r="41" spans="1:10">
      <c r="A41" t="s">
        <v>95</v>
      </c>
      <c r="B41" s="25" t="s">
        <v>96</v>
      </c>
      <c r="C41" s="25" t="s">
        <v>97</v>
      </c>
      <c r="D41" s="33">
        <v>51557.51</v>
      </c>
      <c r="E41" s="33">
        <v>100000</v>
      </c>
      <c r="F41">
        <v>50646.99</v>
      </c>
      <c r="G41" s="34">
        <f t="shared" si="8"/>
        <v>48442.49</v>
      </c>
      <c r="H41" s="31"/>
      <c r="I41" s="32">
        <f t="shared" si="9"/>
        <v>2204.5</v>
      </c>
      <c r="J41" t="s">
        <v>81</v>
      </c>
    </row>
    <row r="42" spans="1:10" ht="14.25">
      <c r="A42" s="29">
        <v>43259</v>
      </c>
      <c r="G42" s="30"/>
      <c r="H42" s="31"/>
      <c r="I42" s="32"/>
    </row>
    <row r="43" spans="1:10">
      <c r="A43" t="s">
        <v>78</v>
      </c>
      <c r="B43" s="25" t="s">
        <v>79</v>
      </c>
      <c r="C43" s="25" t="s">
        <v>80</v>
      </c>
      <c r="D43" s="33">
        <v>401991.67999999999</v>
      </c>
      <c r="E43" s="33">
        <v>800003.21</v>
      </c>
      <c r="F43">
        <v>477585.27</v>
      </c>
      <c r="G43" s="34">
        <f t="shared" ref="G43:G49" si="10">E43-D43</f>
        <v>398011.52999999997</v>
      </c>
      <c r="H43" s="31"/>
      <c r="I43" s="32">
        <f t="shared" ref="I43:I49" si="11">F43-G43</f>
        <v>79573.740000000049</v>
      </c>
      <c r="J43" t="s">
        <v>81</v>
      </c>
    </row>
    <row r="44" spans="1:10">
      <c r="A44" t="s">
        <v>82</v>
      </c>
      <c r="B44" s="25" t="s">
        <v>67</v>
      </c>
      <c r="C44" s="25" t="s">
        <v>27</v>
      </c>
      <c r="D44" s="33">
        <v>200021.93</v>
      </c>
      <c r="E44" s="33">
        <v>400000</v>
      </c>
      <c r="F44">
        <v>199978.07</v>
      </c>
      <c r="G44" s="34">
        <f t="shared" si="10"/>
        <v>199978.07</v>
      </c>
      <c r="H44" s="31"/>
      <c r="I44" s="32">
        <f t="shared" si="11"/>
        <v>0</v>
      </c>
    </row>
    <row r="45" spans="1:10">
      <c r="A45" t="s">
        <v>83</v>
      </c>
      <c r="B45" s="25" t="s">
        <v>84</v>
      </c>
      <c r="C45" s="25" t="s">
        <v>85</v>
      </c>
      <c r="D45" s="33">
        <v>1712939.97</v>
      </c>
      <c r="E45" s="33">
        <v>2400000</v>
      </c>
      <c r="F45">
        <v>743897.65</v>
      </c>
      <c r="G45" s="34">
        <f t="shared" si="10"/>
        <v>687060.03</v>
      </c>
      <c r="H45" s="31"/>
      <c r="I45" s="32">
        <f t="shared" si="11"/>
        <v>56837.619999999995</v>
      </c>
      <c r="J45" t="s">
        <v>81</v>
      </c>
    </row>
    <row r="46" spans="1:10">
      <c r="A46" t="s">
        <v>86</v>
      </c>
      <c r="B46" s="25" t="s">
        <v>87</v>
      </c>
      <c r="C46" s="25" t="s">
        <v>88</v>
      </c>
      <c r="D46" s="33">
        <v>88372.96</v>
      </c>
      <c r="E46" s="33">
        <v>120000</v>
      </c>
      <c r="F46">
        <v>49455.45</v>
      </c>
      <c r="G46" s="34">
        <f t="shared" si="10"/>
        <v>31627.039999999994</v>
      </c>
      <c r="H46" s="31"/>
      <c r="I46" s="32">
        <f t="shared" si="11"/>
        <v>17828.410000000003</v>
      </c>
      <c r="J46" t="s">
        <v>81</v>
      </c>
    </row>
    <row r="47" spans="1:10">
      <c r="A47" t="s">
        <v>89</v>
      </c>
      <c r="B47" s="25" t="s">
        <v>90</v>
      </c>
      <c r="C47" s="25" t="s">
        <v>91</v>
      </c>
      <c r="D47" s="33">
        <v>250013.68</v>
      </c>
      <c r="E47" s="33">
        <v>500000</v>
      </c>
      <c r="F47">
        <v>250883.57</v>
      </c>
      <c r="G47" s="34">
        <f t="shared" si="10"/>
        <v>249986.32</v>
      </c>
      <c r="H47" s="31"/>
      <c r="I47" s="32">
        <f t="shared" si="11"/>
        <v>897.25</v>
      </c>
      <c r="J47" t="s">
        <v>81</v>
      </c>
    </row>
    <row r="48" spans="1:10">
      <c r="A48" t="s">
        <v>92</v>
      </c>
      <c r="B48" s="25" t="s">
        <v>93</v>
      </c>
      <c r="C48" s="25" t="s">
        <v>94</v>
      </c>
      <c r="D48" s="33">
        <v>396318.39</v>
      </c>
      <c r="E48" s="33">
        <v>700000</v>
      </c>
      <c r="F48">
        <v>303681.61</v>
      </c>
      <c r="G48" s="34">
        <f t="shared" si="10"/>
        <v>303681.61</v>
      </c>
      <c r="H48" s="31"/>
      <c r="I48" s="32">
        <f t="shared" si="11"/>
        <v>0</v>
      </c>
    </row>
    <row r="49" spans="1:10">
      <c r="A49" t="s">
        <v>95</v>
      </c>
      <c r="B49" s="25" t="s">
        <v>96</v>
      </c>
      <c r="C49" s="25" t="s">
        <v>97</v>
      </c>
      <c r="D49" s="33">
        <v>68554.289999999994</v>
      </c>
      <c r="E49" s="33">
        <v>100000</v>
      </c>
      <c r="F49">
        <v>31445.71</v>
      </c>
      <c r="G49" s="34">
        <f t="shared" si="10"/>
        <v>31445.710000000006</v>
      </c>
      <c r="H49" s="31"/>
      <c r="I49" s="32">
        <f t="shared" si="11"/>
        <v>0</v>
      </c>
    </row>
    <row r="50" spans="1:10" ht="14.25">
      <c r="A50" s="29">
        <v>43262</v>
      </c>
      <c r="G50" s="30"/>
      <c r="H50" s="31"/>
      <c r="I50" s="32"/>
    </row>
    <row r="51" spans="1:10">
      <c r="A51" t="s">
        <v>78</v>
      </c>
      <c r="B51" s="25" t="s">
        <v>79</v>
      </c>
      <c r="C51" s="25" t="s">
        <v>80</v>
      </c>
      <c r="D51" s="33">
        <v>400103.99</v>
      </c>
      <c r="E51" s="33">
        <v>800003.21</v>
      </c>
      <c r="F51">
        <v>456789.88</v>
      </c>
      <c r="G51" s="34">
        <f t="shared" ref="G51:G57" si="12">E51-D51</f>
        <v>399899.22</v>
      </c>
      <c r="H51" s="31"/>
      <c r="I51" s="32">
        <f t="shared" ref="I51:I57" si="13">F51-G51</f>
        <v>56890.660000000033</v>
      </c>
      <c r="J51" t="s">
        <v>81</v>
      </c>
    </row>
    <row r="52" spans="1:10">
      <c r="A52" t="s">
        <v>82</v>
      </c>
      <c r="B52" s="25" t="s">
        <v>67</v>
      </c>
      <c r="C52" s="25" t="s">
        <v>27</v>
      </c>
      <c r="D52" s="33">
        <v>200010.97</v>
      </c>
      <c r="E52" s="33">
        <v>400000</v>
      </c>
      <c r="F52">
        <v>199989.03</v>
      </c>
      <c r="G52" s="34">
        <f t="shared" si="12"/>
        <v>199989.03</v>
      </c>
      <c r="H52" s="31"/>
      <c r="I52" s="32">
        <f t="shared" si="13"/>
        <v>0</v>
      </c>
    </row>
    <row r="53" spans="1:10">
      <c r="A53" t="s">
        <v>83</v>
      </c>
      <c r="B53" s="25" t="s">
        <v>84</v>
      </c>
      <c r="C53" s="25" t="s">
        <v>85</v>
      </c>
      <c r="D53" s="33">
        <v>1200042.8999999999</v>
      </c>
      <c r="E53" s="33">
        <v>2400000</v>
      </c>
      <c r="F53">
        <v>1454977.3</v>
      </c>
      <c r="G53" s="34">
        <f t="shared" si="12"/>
        <v>1199957.1000000001</v>
      </c>
      <c r="H53" s="31"/>
      <c r="I53" s="32">
        <f t="shared" si="13"/>
        <v>255020.19999999995</v>
      </c>
      <c r="J53" t="s">
        <v>81</v>
      </c>
    </row>
    <row r="54" spans="1:10">
      <c r="A54" t="s">
        <v>86</v>
      </c>
      <c r="B54" s="25" t="s">
        <v>87</v>
      </c>
      <c r="C54" s="25" t="s">
        <v>88</v>
      </c>
      <c r="D54" s="33">
        <v>60049.279999999999</v>
      </c>
      <c r="E54" s="33">
        <v>120000</v>
      </c>
      <c r="F54">
        <v>59950.720000000001</v>
      </c>
      <c r="G54" s="34">
        <f t="shared" si="12"/>
        <v>59950.720000000001</v>
      </c>
      <c r="H54" s="31"/>
      <c r="I54" s="32">
        <f t="shared" si="13"/>
        <v>0</v>
      </c>
    </row>
    <row r="55" spans="1:10">
      <c r="A55" t="s">
        <v>89</v>
      </c>
      <c r="B55" s="25" t="s">
        <v>90</v>
      </c>
      <c r="C55" s="25" t="s">
        <v>91</v>
      </c>
      <c r="D55" s="33">
        <v>250019.85</v>
      </c>
      <c r="E55" s="33">
        <v>500000</v>
      </c>
      <c r="F55">
        <v>253776.75</v>
      </c>
      <c r="G55" s="34">
        <f t="shared" si="12"/>
        <v>249980.15</v>
      </c>
      <c r="H55" s="31"/>
      <c r="I55" s="32">
        <f t="shared" si="13"/>
        <v>3796.6000000000058</v>
      </c>
      <c r="J55" t="s">
        <v>81</v>
      </c>
    </row>
    <row r="56" spans="1:10">
      <c r="A56" t="s">
        <v>92</v>
      </c>
      <c r="B56" s="25" t="s">
        <v>93</v>
      </c>
      <c r="C56" s="25" t="s">
        <v>94</v>
      </c>
      <c r="D56" s="33">
        <v>350015.49</v>
      </c>
      <c r="E56" s="33">
        <v>700000</v>
      </c>
      <c r="F56">
        <v>354384.51</v>
      </c>
      <c r="G56" s="34">
        <f t="shared" si="12"/>
        <v>349984.51</v>
      </c>
      <c r="H56" s="31"/>
      <c r="I56" s="32">
        <f t="shared" si="13"/>
        <v>4400</v>
      </c>
      <c r="J56" t="s">
        <v>81</v>
      </c>
    </row>
    <row r="57" spans="1:10">
      <c r="A57" t="s">
        <v>95</v>
      </c>
      <c r="B57" s="25" t="s">
        <v>96</v>
      </c>
      <c r="C57" s="25" t="s">
        <v>97</v>
      </c>
      <c r="D57" s="33">
        <v>51928.83</v>
      </c>
      <c r="E57" s="33">
        <v>100000</v>
      </c>
      <c r="F57">
        <v>51618.68</v>
      </c>
      <c r="G57" s="34">
        <f t="shared" si="12"/>
        <v>48071.17</v>
      </c>
      <c r="H57" s="31"/>
      <c r="I57" s="32">
        <f t="shared" si="13"/>
        <v>3547.510000000002</v>
      </c>
      <c r="J57" t="s">
        <v>81</v>
      </c>
    </row>
    <row r="58" spans="1:10" ht="14.25">
      <c r="A58" s="29">
        <v>43263</v>
      </c>
      <c r="G58" s="30"/>
      <c r="H58" s="31"/>
      <c r="I58" s="32"/>
    </row>
    <row r="59" spans="1:10">
      <c r="A59" t="s">
        <v>78</v>
      </c>
      <c r="B59" s="25" t="s">
        <v>79</v>
      </c>
      <c r="C59" s="25" t="s">
        <v>80</v>
      </c>
      <c r="D59" s="33">
        <v>400012.72</v>
      </c>
      <c r="E59" s="33">
        <v>800003.21</v>
      </c>
      <c r="F59">
        <v>415113.97</v>
      </c>
      <c r="G59" s="34">
        <f t="shared" ref="G59:G65" si="14">E59-D59</f>
        <v>399990.49</v>
      </c>
      <c r="H59" s="31"/>
      <c r="I59" s="32">
        <f t="shared" ref="I59:I65" si="15">F59-G59</f>
        <v>15123.479999999981</v>
      </c>
      <c r="J59" t="s">
        <v>81</v>
      </c>
    </row>
    <row r="60" spans="1:10">
      <c r="A60" t="s">
        <v>82</v>
      </c>
      <c r="B60" s="25" t="s">
        <v>67</v>
      </c>
      <c r="C60" s="25" t="s">
        <v>27</v>
      </c>
      <c r="D60" s="33">
        <v>200006.06</v>
      </c>
      <c r="E60" s="33">
        <v>400000</v>
      </c>
      <c r="F60">
        <v>199993.94</v>
      </c>
      <c r="G60" s="34">
        <f t="shared" si="14"/>
        <v>199993.94</v>
      </c>
      <c r="H60" s="31"/>
      <c r="I60" s="32">
        <f t="shared" si="15"/>
        <v>0</v>
      </c>
    </row>
    <row r="61" spans="1:10">
      <c r="A61" t="s">
        <v>83</v>
      </c>
      <c r="B61" s="25" t="s">
        <v>84</v>
      </c>
      <c r="C61" s="25" t="s">
        <v>85</v>
      </c>
      <c r="D61" s="33">
        <v>1230701.94</v>
      </c>
      <c r="E61" s="33">
        <v>2400000</v>
      </c>
      <c r="F61">
        <v>1506027.75</v>
      </c>
      <c r="G61" s="34">
        <f t="shared" si="14"/>
        <v>1169298.06</v>
      </c>
      <c r="H61" s="31"/>
      <c r="I61" s="32">
        <f t="shared" si="15"/>
        <v>336729.68999999994</v>
      </c>
      <c r="J61" t="s">
        <v>81</v>
      </c>
    </row>
    <row r="62" spans="1:10">
      <c r="A62" t="s">
        <v>86</v>
      </c>
      <c r="B62" s="25" t="s">
        <v>87</v>
      </c>
      <c r="C62" s="25" t="s">
        <v>88</v>
      </c>
      <c r="D62" s="33">
        <v>61054.01</v>
      </c>
      <c r="E62" s="33">
        <v>120000</v>
      </c>
      <c r="F62">
        <v>58945.99</v>
      </c>
      <c r="G62" s="34">
        <f t="shared" si="14"/>
        <v>58945.99</v>
      </c>
      <c r="H62" s="31"/>
      <c r="I62" s="32">
        <f t="shared" si="15"/>
        <v>0</v>
      </c>
    </row>
    <row r="63" spans="1:10">
      <c r="A63" t="s">
        <v>89</v>
      </c>
      <c r="B63" s="25" t="s">
        <v>90</v>
      </c>
      <c r="C63" s="25" t="s">
        <v>91</v>
      </c>
      <c r="D63" s="33">
        <v>250024.2</v>
      </c>
      <c r="E63" s="33">
        <v>500000</v>
      </c>
      <c r="F63">
        <v>250985.03</v>
      </c>
      <c r="G63" s="34">
        <f t="shared" si="14"/>
        <v>249975.8</v>
      </c>
      <c r="H63" s="31"/>
      <c r="I63" s="32">
        <f t="shared" si="15"/>
        <v>1009.2300000000105</v>
      </c>
      <c r="J63" t="s">
        <v>81</v>
      </c>
    </row>
    <row r="64" spans="1:10">
      <c r="A64" t="s">
        <v>92</v>
      </c>
      <c r="B64" s="25" t="s">
        <v>93</v>
      </c>
      <c r="C64" s="25" t="s">
        <v>94</v>
      </c>
      <c r="D64" s="33">
        <v>350132.15</v>
      </c>
      <c r="E64" s="33">
        <v>700000</v>
      </c>
      <c r="F64">
        <v>431856.76</v>
      </c>
      <c r="G64" s="34">
        <f t="shared" si="14"/>
        <v>349867.85</v>
      </c>
      <c r="H64" s="31"/>
      <c r="I64" s="32">
        <f t="shared" si="15"/>
        <v>81988.910000000033</v>
      </c>
      <c r="J64" t="s">
        <v>81</v>
      </c>
    </row>
    <row r="65" spans="1:10">
      <c r="A65" t="s">
        <v>95</v>
      </c>
      <c r="B65" s="25" t="s">
        <v>96</v>
      </c>
      <c r="C65" s="25" t="s">
        <v>97</v>
      </c>
      <c r="D65" s="33">
        <v>52051.03</v>
      </c>
      <c r="E65" s="33">
        <v>100000</v>
      </c>
      <c r="F65">
        <v>51941.46</v>
      </c>
      <c r="G65" s="34">
        <f t="shared" si="14"/>
        <v>47948.97</v>
      </c>
      <c r="H65" s="31"/>
      <c r="I65" s="32">
        <f t="shared" si="15"/>
        <v>3992.489999999998</v>
      </c>
      <c r="J65" t="s">
        <v>81</v>
      </c>
    </row>
    <row r="66" spans="1:10" ht="14.25">
      <c r="A66" s="29">
        <v>43264</v>
      </c>
      <c r="D66" s="33"/>
      <c r="G66" s="30"/>
      <c r="H66" s="31"/>
      <c r="I66" s="32"/>
    </row>
    <row r="67" spans="1:10">
      <c r="A67" t="s">
        <v>78</v>
      </c>
      <c r="B67" s="25" t="s">
        <v>79</v>
      </c>
      <c r="C67" s="25" t="s">
        <v>80</v>
      </c>
      <c r="D67" s="33">
        <v>496169.24</v>
      </c>
      <c r="E67" s="33">
        <v>800003.21</v>
      </c>
      <c r="F67">
        <v>433089.43</v>
      </c>
      <c r="G67" s="34">
        <f t="shared" ref="G67:G73" si="16">E67-D67</f>
        <v>303833.96999999997</v>
      </c>
      <c r="H67" s="31"/>
      <c r="I67" s="32">
        <f t="shared" ref="I67:I73" si="17">F67-G67</f>
        <v>129255.46000000002</v>
      </c>
      <c r="J67" t="s">
        <v>81</v>
      </c>
    </row>
    <row r="68" spans="1:10">
      <c r="A68" t="s">
        <v>82</v>
      </c>
      <c r="B68" s="25" t="s">
        <v>67</v>
      </c>
      <c r="C68" s="25" t="s">
        <v>27</v>
      </c>
      <c r="D68" s="33">
        <v>200004.03</v>
      </c>
      <c r="E68" s="33">
        <v>400000</v>
      </c>
      <c r="F68">
        <v>199995.97</v>
      </c>
      <c r="G68" s="34">
        <f t="shared" si="16"/>
        <v>199995.97</v>
      </c>
      <c r="H68" s="31"/>
      <c r="I68" s="32">
        <f t="shared" si="17"/>
        <v>0</v>
      </c>
    </row>
    <row r="69" spans="1:10">
      <c r="A69" t="s">
        <v>83</v>
      </c>
      <c r="B69" s="25" t="s">
        <v>84</v>
      </c>
      <c r="C69" s="25" t="s">
        <v>85</v>
      </c>
      <c r="D69" s="33">
        <v>1600919.39</v>
      </c>
      <c r="E69" s="33">
        <v>2400000</v>
      </c>
      <c r="F69">
        <v>1039045.02</v>
      </c>
      <c r="G69" s="34">
        <f t="shared" si="16"/>
        <v>799080.6100000001</v>
      </c>
      <c r="H69" s="31"/>
      <c r="I69" s="32">
        <f t="shared" si="17"/>
        <v>239964.40999999992</v>
      </c>
      <c r="J69" t="s">
        <v>81</v>
      </c>
    </row>
    <row r="70" spans="1:10">
      <c r="A70" t="s">
        <v>86</v>
      </c>
      <c r="B70" s="25" t="s">
        <v>87</v>
      </c>
      <c r="C70" s="25" t="s">
        <v>88</v>
      </c>
      <c r="D70" s="33">
        <v>63185.36</v>
      </c>
      <c r="E70" s="33">
        <v>120000</v>
      </c>
      <c r="F70">
        <v>56814.64</v>
      </c>
      <c r="G70" s="34">
        <f t="shared" si="16"/>
        <v>56814.64</v>
      </c>
      <c r="H70" s="31"/>
      <c r="I70" s="32">
        <f t="shared" si="17"/>
        <v>0</v>
      </c>
    </row>
    <row r="71" spans="1:10">
      <c r="A71" t="s">
        <v>89</v>
      </c>
      <c r="B71" s="25" t="s">
        <v>90</v>
      </c>
      <c r="C71" s="25" t="s">
        <v>91</v>
      </c>
      <c r="D71" s="33">
        <v>250017.02</v>
      </c>
      <c r="E71" s="33">
        <v>500000</v>
      </c>
      <c r="F71">
        <v>250162.02</v>
      </c>
      <c r="G71" s="34">
        <f t="shared" si="16"/>
        <v>249982.98</v>
      </c>
      <c r="H71" s="31"/>
      <c r="I71" s="32">
        <f t="shared" si="17"/>
        <v>179.03999999997905</v>
      </c>
      <c r="J71" t="s">
        <v>81</v>
      </c>
    </row>
    <row r="72" spans="1:10">
      <c r="A72" t="s">
        <v>92</v>
      </c>
      <c r="B72" s="25" t="s">
        <v>93</v>
      </c>
      <c r="C72" s="25" t="s">
        <v>94</v>
      </c>
      <c r="D72" s="33">
        <v>423958.01</v>
      </c>
      <c r="E72" s="33">
        <v>700000</v>
      </c>
      <c r="F72">
        <v>331429.99</v>
      </c>
      <c r="G72" s="34">
        <f t="shared" si="16"/>
        <v>276041.99</v>
      </c>
      <c r="H72" s="31"/>
      <c r="I72" s="32">
        <f t="shared" si="17"/>
        <v>55388</v>
      </c>
      <c r="J72" t="s">
        <v>81</v>
      </c>
    </row>
    <row r="73" spans="1:10">
      <c r="A73" t="s">
        <v>95</v>
      </c>
      <c r="B73" s="25" t="s">
        <v>96</v>
      </c>
      <c r="C73" s="25" t="s">
        <v>97</v>
      </c>
      <c r="D73" s="33">
        <v>50059.26</v>
      </c>
      <c r="E73" s="33">
        <v>100000</v>
      </c>
      <c r="F73">
        <v>51837.84</v>
      </c>
      <c r="G73" s="34">
        <f t="shared" si="16"/>
        <v>49940.74</v>
      </c>
      <c r="H73" s="31"/>
      <c r="I73" s="32">
        <f t="shared" si="17"/>
        <v>1897.0999999999985</v>
      </c>
      <c r="J73" t="s">
        <v>81</v>
      </c>
    </row>
    <row r="74" spans="1:10" ht="14.25">
      <c r="A74" s="29">
        <v>43265</v>
      </c>
      <c r="G74" s="30"/>
      <c r="H74" s="31"/>
      <c r="I74" s="32"/>
    </row>
    <row r="75" spans="1:10">
      <c r="A75" t="s">
        <v>78</v>
      </c>
      <c r="B75" s="25" t="s">
        <v>79</v>
      </c>
      <c r="C75" s="25" t="s">
        <v>80</v>
      </c>
      <c r="D75" s="33">
        <v>549498.44999999995</v>
      </c>
      <c r="E75" s="33">
        <v>800003.21</v>
      </c>
      <c r="F75">
        <v>300976.53999999998</v>
      </c>
      <c r="G75" s="34">
        <f t="shared" ref="G75:G81" si="18">E75-D75</f>
        <v>250504.76</v>
      </c>
      <c r="H75" s="31"/>
      <c r="I75" s="32">
        <f t="shared" ref="I75:I81" si="19">F75-G75</f>
        <v>50471.77999999997</v>
      </c>
      <c r="J75" t="s">
        <v>81</v>
      </c>
    </row>
    <row r="76" spans="1:10">
      <c r="A76" t="s">
        <v>82</v>
      </c>
      <c r="B76" s="25" t="s">
        <v>67</v>
      </c>
      <c r="C76" s="25" t="s">
        <v>27</v>
      </c>
      <c r="D76" s="33">
        <v>200050.79</v>
      </c>
      <c r="E76" s="33">
        <v>400000</v>
      </c>
      <c r="F76">
        <v>199949.21</v>
      </c>
      <c r="G76" s="34">
        <f t="shared" si="18"/>
        <v>199949.21</v>
      </c>
      <c r="H76" s="31"/>
      <c r="I76" s="32">
        <f t="shared" si="19"/>
        <v>0</v>
      </c>
    </row>
    <row r="77" spans="1:10">
      <c r="A77" t="s">
        <v>83</v>
      </c>
      <c r="B77" s="25" t="s">
        <v>84</v>
      </c>
      <c r="C77" s="25" t="s">
        <v>85</v>
      </c>
      <c r="D77" s="33">
        <v>1401661.29</v>
      </c>
      <c r="E77" s="33">
        <v>2400000</v>
      </c>
      <c r="F77">
        <v>1131051.27</v>
      </c>
      <c r="G77" s="34">
        <f t="shared" si="18"/>
        <v>998338.71</v>
      </c>
      <c r="H77" s="31"/>
      <c r="I77" s="32">
        <f t="shared" si="19"/>
        <v>132712.56000000006</v>
      </c>
      <c r="J77" t="s">
        <v>81</v>
      </c>
    </row>
    <row r="78" spans="1:10">
      <c r="A78" t="s">
        <v>86</v>
      </c>
      <c r="B78" s="25" t="s">
        <v>87</v>
      </c>
      <c r="C78" s="25" t="s">
        <v>88</v>
      </c>
      <c r="D78" s="33">
        <v>80240.62</v>
      </c>
      <c r="E78" s="33">
        <v>120000</v>
      </c>
      <c r="F78">
        <v>43744.6</v>
      </c>
      <c r="G78" s="34">
        <f t="shared" si="18"/>
        <v>39759.380000000005</v>
      </c>
      <c r="H78" s="31"/>
      <c r="I78" s="32">
        <f t="shared" si="19"/>
        <v>3985.2199999999939</v>
      </c>
      <c r="J78" t="s">
        <v>81</v>
      </c>
    </row>
    <row r="79" spans="1:10">
      <c r="A79" t="s">
        <v>89</v>
      </c>
      <c r="B79" s="25" t="s">
        <v>90</v>
      </c>
      <c r="C79" s="25" t="s">
        <v>91</v>
      </c>
      <c r="D79" s="33">
        <v>250004.66</v>
      </c>
      <c r="E79" s="33">
        <v>500000</v>
      </c>
      <c r="F79">
        <v>249995.34</v>
      </c>
      <c r="G79" s="34">
        <f t="shared" si="18"/>
        <v>249995.34</v>
      </c>
      <c r="H79" s="31"/>
      <c r="I79" s="32">
        <f t="shared" si="19"/>
        <v>0</v>
      </c>
    </row>
    <row r="80" spans="1:10">
      <c r="A80" t="s">
        <v>92</v>
      </c>
      <c r="B80" s="25" t="s">
        <v>93</v>
      </c>
      <c r="C80" s="25" t="s">
        <v>94</v>
      </c>
      <c r="D80" s="33">
        <v>350115.69</v>
      </c>
      <c r="E80" s="33">
        <v>700000</v>
      </c>
      <c r="F80">
        <v>349884.31</v>
      </c>
      <c r="G80" s="34">
        <f t="shared" si="18"/>
        <v>349884.31</v>
      </c>
      <c r="H80" s="31"/>
      <c r="I80" s="32">
        <f t="shared" si="19"/>
        <v>0</v>
      </c>
    </row>
    <row r="81" spans="1:10">
      <c r="A81" t="s">
        <v>95</v>
      </c>
      <c r="B81" s="25" t="s">
        <v>96</v>
      </c>
      <c r="C81" s="25" t="s">
        <v>97</v>
      </c>
      <c r="D81" s="33">
        <v>51036.65</v>
      </c>
      <c r="E81" s="33">
        <v>100000</v>
      </c>
      <c r="F81">
        <v>48963.35</v>
      </c>
      <c r="G81" s="34">
        <f t="shared" si="18"/>
        <v>48963.35</v>
      </c>
      <c r="H81" s="31"/>
      <c r="I81" s="32">
        <f t="shared" si="19"/>
        <v>0</v>
      </c>
    </row>
    <row r="82" spans="1:10" ht="14.25">
      <c r="A82" s="29">
        <v>43266</v>
      </c>
      <c r="D82" s="33"/>
      <c r="G82" s="30"/>
      <c r="H82" s="31"/>
      <c r="I82" s="32"/>
    </row>
    <row r="83" spans="1:10">
      <c r="A83" t="s">
        <v>78</v>
      </c>
      <c r="B83" s="25" t="s">
        <v>79</v>
      </c>
      <c r="C83" s="25" t="s">
        <v>80</v>
      </c>
      <c r="D83" s="33">
        <f>474338.62+2065</f>
        <v>476403.62</v>
      </c>
      <c r="E83" s="33">
        <v>800003.21</v>
      </c>
      <c r="F83">
        <v>372149.68</v>
      </c>
      <c r="G83" s="34">
        <f t="shared" ref="G83:G89" si="20">E83-D83</f>
        <v>323599.58999999997</v>
      </c>
      <c r="H83" s="31"/>
      <c r="I83" s="32">
        <f t="shared" ref="I83:I89" si="21">F83-G83</f>
        <v>48550.090000000026</v>
      </c>
      <c r="J83" t="s">
        <v>81</v>
      </c>
    </row>
    <row r="84" spans="1:10">
      <c r="A84" t="s">
        <v>82</v>
      </c>
      <c r="B84" s="25" t="s">
        <v>67</v>
      </c>
      <c r="C84" s="25" t="s">
        <v>27</v>
      </c>
      <c r="D84" s="33">
        <f>199244.54+6490</f>
        <v>205734.54</v>
      </c>
      <c r="E84" s="33">
        <v>400000</v>
      </c>
      <c r="F84">
        <v>199996.42</v>
      </c>
      <c r="G84" s="34">
        <f t="shared" si="20"/>
        <v>194265.46</v>
      </c>
      <c r="H84" s="31"/>
      <c r="I84" s="32">
        <f t="shared" si="21"/>
        <v>5730.960000000021</v>
      </c>
      <c r="J84" t="s">
        <v>81</v>
      </c>
    </row>
    <row r="85" spans="1:10">
      <c r="A85" t="s">
        <v>83</v>
      </c>
      <c r="B85" s="25" t="s">
        <v>84</v>
      </c>
      <c r="C85" s="25" t="s">
        <v>85</v>
      </c>
      <c r="D85" s="33">
        <f>1573691.26+9580</f>
        <v>1583271.26</v>
      </c>
      <c r="E85" s="33">
        <v>2400000</v>
      </c>
      <c r="F85">
        <v>945655.92</v>
      </c>
      <c r="G85" s="34">
        <f t="shared" si="20"/>
        <v>816728.74</v>
      </c>
      <c r="H85" s="31"/>
      <c r="I85" s="32">
        <f t="shared" si="21"/>
        <v>128927.18000000005</v>
      </c>
      <c r="J85" t="s">
        <v>81</v>
      </c>
    </row>
    <row r="86" spans="1:10">
      <c r="A86" t="s">
        <v>86</v>
      </c>
      <c r="B86" s="25" t="s">
        <v>87</v>
      </c>
      <c r="C86" s="25" t="s">
        <v>88</v>
      </c>
      <c r="D86" s="33">
        <f>63678.37+750</f>
        <v>64428.37</v>
      </c>
      <c r="E86" s="33">
        <v>120000</v>
      </c>
      <c r="F86">
        <v>59984.05</v>
      </c>
      <c r="G86" s="34">
        <f t="shared" si="20"/>
        <v>55571.63</v>
      </c>
      <c r="H86" s="31"/>
      <c r="I86" s="32">
        <f t="shared" si="21"/>
        <v>4412.4200000000055</v>
      </c>
      <c r="J86" t="s">
        <v>81</v>
      </c>
    </row>
    <row r="87" spans="1:10">
      <c r="A87" t="s">
        <v>89</v>
      </c>
      <c r="B87" s="25" t="s">
        <v>90</v>
      </c>
      <c r="C87" s="25" t="s">
        <v>91</v>
      </c>
      <c r="D87" s="33">
        <f>246518.65+3495</f>
        <v>250013.65</v>
      </c>
      <c r="E87" s="33">
        <v>500000</v>
      </c>
      <c r="F87">
        <v>250905.84</v>
      </c>
      <c r="G87" s="34">
        <f t="shared" si="20"/>
        <v>249986.35</v>
      </c>
      <c r="H87" s="31"/>
      <c r="I87" s="32">
        <f t="shared" si="21"/>
        <v>919.48999999999069</v>
      </c>
      <c r="J87" t="s">
        <v>81</v>
      </c>
    </row>
    <row r="88" spans="1:10">
      <c r="A88" t="s">
        <v>92</v>
      </c>
      <c r="B88" s="25" t="s">
        <v>93</v>
      </c>
      <c r="C88" s="25" t="s">
        <v>94</v>
      </c>
      <c r="D88" s="33">
        <v>468253.03</v>
      </c>
      <c r="E88" s="33">
        <v>700000</v>
      </c>
      <c r="F88">
        <v>289741.96999999997</v>
      </c>
      <c r="G88" s="34">
        <f t="shared" si="20"/>
        <v>231746.96999999997</v>
      </c>
      <c r="H88" s="31"/>
      <c r="I88" s="32">
        <f t="shared" si="21"/>
        <v>57995</v>
      </c>
      <c r="J88" t="s">
        <v>81</v>
      </c>
    </row>
    <row r="89" spans="1:10">
      <c r="A89" t="s">
        <v>95</v>
      </c>
      <c r="B89" s="25" t="s">
        <v>96</v>
      </c>
      <c r="C89" s="25" t="s">
        <v>97</v>
      </c>
      <c r="D89" s="33">
        <f>62458.79+895</f>
        <v>63353.79</v>
      </c>
      <c r="E89" s="33">
        <v>100000</v>
      </c>
      <c r="F89">
        <v>36646.21</v>
      </c>
      <c r="G89" s="34">
        <f t="shared" si="20"/>
        <v>36646.21</v>
      </c>
      <c r="H89" s="31"/>
      <c r="I89" s="32">
        <f t="shared" si="21"/>
        <v>0</v>
      </c>
    </row>
    <row r="90" spans="1:10" ht="14.25">
      <c r="A90" s="29">
        <v>43270</v>
      </c>
      <c r="G90" s="30"/>
      <c r="H90" s="31"/>
      <c r="I90" s="32"/>
    </row>
    <row r="91" spans="1:10">
      <c r="A91" t="s">
        <v>78</v>
      </c>
      <c r="B91" s="25" t="s">
        <v>79</v>
      </c>
      <c r="C91" s="25" t="s">
        <v>80</v>
      </c>
      <c r="D91" s="33">
        <v>441322.88</v>
      </c>
      <c r="E91" s="33">
        <v>800003.21</v>
      </c>
      <c r="F91">
        <v>437278.83</v>
      </c>
      <c r="G91" s="34">
        <f t="shared" ref="G91:G97" si="22">E91-D91</f>
        <v>358680.32999999996</v>
      </c>
      <c r="H91" s="31"/>
      <c r="I91" s="32">
        <f t="shared" ref="I91:I97" si="23">F91-G91</f>
        <v>78598.500000000058</v>
      </c>
      <c r="J91" t="s">
        <v>81</v>
      </c>
    </row>
    <row r="92" spans="1:10">
      <c r="A92" t="s">
        <v>82</v>
      </c>
      <c r="B92" s="25" t="s">
        <v>67</v>
      </c>
      <c r="C92" s="25" t="s">
        <v>27</v>
      </c>
      <c r="D92" s="33">
        <v>200020.74</v>
      </c>
      <c r="E92" s="33">
        <v>400000</v>
      </c>
      <c r="F92">
        <v>199979.26</v>
      </c>
      <c r="G92" s="34">
        <f t="shared" si="22"/>
        <v>199979.26</v>
      </c>
      <c r="H92" s="31"/>
      <c r="I92" s="32">
        <f t="shared" si="23"/>
        <v>0</v>
      </c>
    </row>
    <row r="93" spans="1:10">
      <c r="A93" t="s">
        <v>83</v>
      </c>
      <c r="B93" s="25" t="s">
        <v>84</v>
      </c>
      <c r="C93" s="25" t="s">
        <v>85</v>
      </c>
      <c r="D93" s="33">
        <v>1200032.1299999999</v>
      </c>
      <c r="E93" s="33">
        <v>2400000</v>
      </c>
      <c r="F93">
        <v>1400859.53</v>
      </c>
      <c r="G93" s="34">
        <f t="shared" si="22"/>
        <v>1199967.8700000001</v>
      </c>
      <c r="H93" s="31"/>
      <c r="I93" s="32">
        <f t="shared" si="23"/>
        <v>200891.65999999992</v>
      </c>
      <c r="J93" t="s">
        <v>81</v>
      </c>
    </row>
    <row r="94" spans="1:10">
      <c r="A94" t="s">
        <v>86</v>
      </c>
      <c r="B94" s="25" t="s">
        <v>87</v>
      </c>
      <c r="C94" s="25" t="s">
        <v>88</v>
      </c>
      <c r="D94" s="33">
        <v>60107.46</v>
      </c>
      <c r="E94" s="33">
        <v>120000</v>
      </c>
      <c r="F94">
        <v>59892.54</v>
      </c>
      <c r="G94" s="34">
        <f t="shared" si="22"/>
        <v>59892.54</v>
      </c>
      <c r="H94" s="31"/>
      <c r="I94" s="32">
        <f t="shared" si="23"/>
        <v>0</v>
      </c>
    </row>
    <row r="95" spans="1:10">
      <c r="A95" t="s">
        <v>89</v>
      </c>
      <c r="B95" s="25" t="s">
        <v>90</v>
      </c>
      <c r="C95" s="25" t="s">
        <v>91</v>
      </c>
      <c r="D95" s="33">
        <v>250020.74</v>
      </c>
      <c r="E95" s="33">
        <v>500000</v>
      </c>
      <c r="F95">
        <v>249979.26</v>
      </c>
      <c r="G95" s="34">
        <f t="shared" si="22"/>
        <v>249979.26</v>
      </c>
      <c r="H95" s="31"/>
      <c r="I95" s="32">
        <f t="shared" si="23"/>
        <v>0</v>
      </c>
    </row>
    <row r="96" spans="1:10">
      <c r="A96" t="s">
        <v>92</v>
      </c>
      <c r="B96" s="25" t="s">
        <v>93</v>
      </c>
      <c r="C96" s="25" t="s">
        <v>94</v>
      </c>
      <c r="D96" s="33">
        <f>352442.96-2005</f>
        <v>350437.96</v>
      </c>
      <c r="E96" s="33">
        <v>700000</v>
      </c>
      <c r="F96">
        <f>353091.57</f>
        <v>353091.57</v>
      </c>
      <c r="G96" s="34">
        <f t="shared" si="22"/>
        <v>349562.04</v>
      </c>
      <c r="H96" s="31"/>
      <c r="I96" s="32">
        <f t="shared" si="23"/>
        <v>3529.5300000000279</v>
      </c>
      <c r="J96" t="s">
        <v>81</v>
      </c>
    </row>
    <row r="97" spans="1:10">
      <c r="A97" t="s">
        <v>95</v>
      </c>
      <c r="B97" s="25" t="s">
        <v>96</v>
      </c>
      <c r="C97" s="25" t="s">
        <v>97</v>
      </c>
      <c r="D97" s="33">
        <v>50333.58</v>
      </c>
      <c r="E97" s="33">
        <v>100000</v>
      </c>
      <c r="F97">
        <v>49987.1</v>
      </c>
      <c r="G97" s="34">
        <f t="shared" si="22"/>
        <v>49666.42</v>
      </c>
      <c r="H97" s="31"/>
      <c r="I97" s="32">
        <f t="shared" si="23"/>
        <v>320.68000000000029</v>
      </c>
      <c r="J97" t="s">
        <v>81</v>
      </c>
    </row>
    <row r="98" spans="1:10" ht="14.25">
      <c r="A98" s="29">
        <v>43271</v>
      </c>
      <c r="G98" s="30"/>
      <c r="H98" s="31"/>
      <c r="I98" s="32"/>
    </row>
    <row r="99" spans="1:10">
      <c r="A99" t="s">
        <v>78</v>
      </c>
      <c r="B99" s="25" t="s">
        <v>79</v>
      </c>
      <c r="C99" s="25" t="s">
        <v>80</v>
      </c>
      <c r="D99" s="33">
        <v>400112.18</v>
      </c>
      <c r="E99" s="33">
        <v>800003.21</v>
      </c>
      <c r="F99">
        <v>479991.15</v>
      </c>
      <c r="G99" s="34">
        <f t="shared" ref="G99:G105" si="24">E99-D99</f>
        <v>399891.02999999997</v>
      </c>
      <c r="H99" s="31"/>
      <c r="I99" s="32">
        <f t="shared" ref="I99:I105" si="25">F99-G99</f>
        <v>80100.120000000054</v>
      </c>
      <c r="J99" t="s">
        <v>81</v>
      </c>
    </row>
    <row r="100" spans="1:10">
      <c r="A100" t="s">
        <v>82</v>
      </c>
      <c r="B100" s="25" t="s">
        <v>67</v>
      </c>
      <c r="C100" s="25" t="s">
        <v>27</v>
      </c>
      <c r="D100" s="33">
        <v>200522.46</v>
      </c>
      <c r="E100" s="33">
        <v>400000</v>
      </c>
      <c r="F100">
        <v>201009.55</v>
      </c>
      <c r="G100" s="34">
        <f t="shared" si="24"/>
        <v>199477.54</v>
      </c>
      <c r="H100" s="31"/>
      <c r="I100" s="32">
        <f t="shared" si="25"/>
        <v>1532.0099999999802</v>
      </c>
      <c r="J100" t="s">
        <v>81</v>
      </c>
    </row>
    <row r="101" spans="1:10">
      <c r="A101" t="s">
        <v>83</v>
      </c>
      <c r="B101" s="25" t="s">
        <v>84</v>
      </c>
      <c r="C101" s="25" t="s">
        <v>85</v>
      </c>
      <c r="D101" s="33">
        <v>1406728.58</v>
      </c>
      <c r="E101" s="33">
        <v>2400000</v>
      </c>
      <c r="F101">
        <v>1239541.94</v>
      </c>
      <c r="G101" s="34">
        <f>E101-D101+133</f>
        <v>993404.41999999993</v>
      </c>
      <c r="H101" s="31"/>
      <c r="I101" s="32">
        <f t="shared" si="25"/>
        <v>246137.52000000002</v>
      </c>
      <c r="J101" t="s">
        <v>81</v>
      </c>
    </row>
    <row r="102" spans="1:10">
      <c r="A102" t="s">
        <v>86</v>
      </c>
      <c r="B102" s="25" t="s">
        <v>87</v>
      </c>
      <c r="C102" s="25" t="s">
        <v>88</v>
      </c>
      <c r="D102" s="33">
        <v>65957.08</v>
      </c>
      <c r="E102" s="33">
        <v>120000</v>
      </c>
      <c r="F102">
        <v>56540.26</v>
      </c>
      <c r="G102" s="34">
        <f t="shared" si="24"/>
        <v>54042.92</v>
      </c>
      <c r="H102" s="31"/>
      <c r="I102" s="32">
        <f t="shared" si="25"/>
        <v>2497.3400000000038</v>
      </c>
      <c r="J102" t="s">
        <v>81</v>
      </c>
    </row>
    <row r="103" spans="1:10">
      <c r="A103" t="s">
        <v>89</v>
      </c>
      <c r="B103" s="25" t="s">
        <v>90</v>
      </c>
      <c r="C103" s="25" t="s">
        <v>91</v>
      </c>
      <c r="D103" s="33">
        <v>250035.02</v>
      </c>
      <c r="E103" s="33">
        <v>500000</v>
      </c>
      <c r="F103">
        <v>251964.98</v>
      </c>
      <c r="G103" s="34">
        <f t="shared" si="24"/>
        <v>249964.98</v>
      </c>
      <c r="H103" s="31"/>
      <c r="I103" s="32">
        <f t="shared" si="25"/>
        <v>2000</v>
      </c>
      <c r="J103" t="s">
        <v>81</v>
      </c>
    </row>
    <row r="104" spans="1:10">
      <c r="A104" t="s">
        <v>92</v>
      </c>
      <c r="B104" s="25" t="s">
        <v>93</v>
      </c>
      <c r="C104" s="25" t="s">
        <v>94</v>
      </c>
      <c r="D104" s="33">
        <f>387237.07</f>
        <v>387237.07</v>
      </c>
      <c r="E104" s="33">
        <v>700000</v>
      </c>
      <c r="F104">
        <f>315267.93</f>
        <v>315267.93</v>
      </c>
      <c r="G104" s="34">
        <f>E104-D104+2005</f>
        <v>314767.93</v>
      </c>
      <c r="H104" s="31"/>
      <c r="I104" s="32">
        <f t="shared" si="25"/>
        <v>500</v>
      </c>
      <c r="J104" t="s">
        <v>81</v>
      </c>
    </row>
    <row r="105" spans="1:10">
      <c r="A105" t="s">
        <v>95</v>
      </c>
      <c r="B105" s="25" t="s">
        <v>96</v>
      </c>
      <c r="C105" s="25" t="s">
        <v>97</v>
      </c>
      <c r="D105" s="33">
        <v>64542.78</v>
      </c>
      <c r="E105" s="33">
        <v>100000</v>
      </c>
      <c r="F105">
        <v>35457.22</v>
      </c>
      <c r="G105" s="34">
        <f t="shared" si="24"/>
        <v>35457.22</v>
      </c>
      <c r="H105" s="31"/>
      <c r="I105" s="32">
        <f t="shared" si="25"/>
        <v>0</v>
      </c>
    </row>
    <row r="106" spans="1:10" ht="14.25">
      <c r="A106" s="29">
        <v>43272</v>
      </c>
      <c r="G106" s="30"/>
      <c r="H106" s="31"/>
      <c r="I106" s="32"/>
    </row>
    <row r="107" spans="1:10">
      <c r="A107" t="s">
        <v>78</v>
      </c>
      <c r="B107" s="25" t="s">
        <v>79</v>
      </c>
      <c r="C107" s="25" t="s">
        <v>80</v>
      </c>
      <c r="D107" s="33">
        <v>401032.28</v>
      </c>
      <c r="E107" s="33">
        <v>800003.21</v>
      </c>
      <c r="F107">
        <v>468025.23</v>
      </c>
      <c r="G107" s="34">
        <f>E107-D107</f>
        <v>398970.92999999993</v>
      </c>
      <c r="H107" s="31"/>
      <c r="I107" s="32">
        <f t="shared" ref="I107:I113" si="26">F107-G107</f>
        <v>69054.300000000047</v>
      </c>
      <c r="J107" t="s">
        <v>81</v>
      </c>
    </row>
    <row r="108" spans="1:10">
      <c r="A108" t="s">
        <v>82</v>
      </c>
      <c r="B108" s="25" t="s">
        <v>67</v>
      </c>
      <c r="C108" s="25" t="s">
        <v>27</v>
      </c>
      <c r="D108" s="33">
        <v>200003.03</v>
      </c>
      <c r="E108" s="33">
        <v>400000</v>
      </c>
      <c r="F108">
        <v>199998.97</v>
      </c>
      <c r="G108" s="34">
        <f>E108-D108</f>
        <v>199996.97</v>
      </c>
      <c r="H108" s="31"/>
      <c r="I108" s="32">
        <f t="shared" si="26"/>
        <v>2</v>
      </c>
      <c r="J108" t="s">
        <v>81</v>
      </c>
    </row>
    <row r="109" spans="1:10">
      <c r="A109" t="s">
        <v>83</v>
      </c>
      <c r="B109" s="25" t="s">
        <v>84</v>
      </c>
      <c r="C109" s="25" t="s">
        <v>85</v>
      </c>
      <c r="D109" s="33">
        <v>1443185.95</v>
      </c>
      <c r="E109" s="33">
        <v>2400000</v>
      </c>
      <c r="F109">
        <v>1132450.8500000001</v>
      </c>
      <c r="G109" s="34">
        <f>E109-D109</f>
        <v>956814.05</v>
      </c>
      <c r="H109" s="31"/>
      <c r="I109" s="32">
        <f t="shared" si="26"/>
        <v>175636.80000000005</v>
      </c>
      <c r="J109" t="s">
        <v>81</v>
      </c>
    </row>
    <row r="110" spans="1:10">
      <c r="A110" t="s">
        <v>86</v>
      </c>
      <c r="B110" s="25" t="s">
        <v>87</v>
      </c>
      <c r="C110" s="25" t="s">
        <v>88</v>
      </c>
      <c r="D110" s="33">
        <v>72561.850000000006</v>
      </c>
      <c r="E110" s="33">
        <v>120000</v>
      </c>
      <c r="F110">
        <v>47438.15</v>
      </c>
      <c r="G110" s="34">
        <f>E110-D110</f>
        <v>47438.149999999994</v>
      </c>
      <c r="H110" s="31"/>
      <c r="I110" s="32">
        <f t="shared" si="26"/>
        <v>0</v>
      </c>
    </row>
    <row r="111" spans="1:10">
      <c r="A111" t="s">
        <v>89</v>
      </c>
      <c r="B111" s="25" t="s">
        <v>90</v>
      </c>
      <c r="C111" s="25" t="s">
        <v>91</v>
      </c>
      <c r="D111" s="33">
        <v>250037.25</v>
      </c>
      <c r="E111" s="33">
        <v>500000</v>
      </c>
      <c r="F111">
        <v>252013.8</v>
      </c>
      <c r="G111" s="34">
        <f>E111-D111</f>
        <v>249962.75</v>
      </c>
      <c r="H111" s="31"/>
      <c r="I111" s="32">
        <f t="shared" si="26"/>
        <v>2051.0499999999884</v>
      </c>
      <c r="J111" t="s">
        <v>81</v>
      </c>
    </row>
    <row r="112" spans="1:10">
      <c r="A112" t="s">
        <v>92</v>
      </c>
      <c r="B112" s="25" t="s">
        <v>93</v>
      </c>
      <c r="C112" s="25" t="s">
        <v>94</v>
      </c>
      <c r="D112" s="33">
        <v>352021.1</v>
      </c>
      <c r="E112" s="33">
        <v>700000</v>
      </c>
      <c r="F112">
        <v>357865.83</v>
      </c>
      <c r="G112" s="34">
        <f>E112-D112+2005</f>
        <v>349983.9</v>
      </c>
      <c r="H112" s="31"/>
      <c r="I112" s="32">
        <f t="shared" si="26"/>
        <v>7881.929999999993</v>
      </c>
      <c r="J112" t="s">
        <v>81</v>
      </c>
    </row>
    <row r="113" spans="1:10">
      <c r="A113" t="s">
        <v>95</v>
      </c>
      <c r="B113" s="25" t="s">
        <v>96</v>
      </c>
      <c r="C113" s="25" t="s">
        <v>97</v>
      </c>
      <c r="D113" s="33">
        <v>59644.72</v>
      </c>
      <c r="E113" s="33">
        <v>100000</v>
      </c>
      <c r="F113">
        <v>40355.279999999999</v>
      </c>
      <c r="G113" s="34">
        <f>E113-D113</f>
        <v>40355.279999999999</v>
      </c>
      <c r="H113" s="31"/>
      <c r="I113" s="32">
        <f t="shared" si="26"/>
        <v>0</v>
      </c>
    </row>
    <row r="114" spans="1:10" ht="14.25">
      <c r="A114" s="29">
        <v>43273</v>
      </c>
      <c r="G114" s="30"/>
      <c r="H114" s="31"/>
      <c r="I114" s="32"/>
    </row>
    <row r="115" spans="1:10">
      <c r="A115" t="s">
        <v>78</v>
      </c>
      <c r="B115" s="25" t="s">
        <v>79</v>
      </c>
      <c r="C115" s="25" t="s">
        <v>80</v>
      </c>
      <c r="D115" s="33">
        <v>497361.35</v>
      </c>
      <c r="E115" s="33">
        <v>800003.21</v>
      </c>
      <c r="F115">
        <v>378334.75</v>
      </c>
      <c r="G115" s="34">
        <f t="shared" ref="G115:G121" si="27">E115-D115</f>
        <v>302641.86</v>
      </c>
      <c r="H115" s="31"/>
      <c r="I115" s="32">
        <f t="shared" ref="I115:I121" si="28">F115-G115</f>
        <v>75692.890000000014</v>
      </c>
      <c r="J115" t="s">
        <v>81</v>
      </c>
    </row>
    <row r="116" spans="1:10">
      <c r="A116" t="s">
        <v>82</v>
      </c>
      <c r="B116" s="25" t="s">
        <v>67</v>
      </c>
      <c r="C116" s="25" t="s">
        <v>27</v>
      </c>
      <c r="D116" s="33">
        <v>200008.34</v>
      </c>
      <c r="E116" s="33">
        <v>400000</v>
      </c>
      <c r="F116">
        <v>202391.66</v>
      </c>
      <c r="G116" s="34">
        <f t="shared" si="27"/>
        <v>199991.66</v>
      </c>
      <c r="H116" s="31"/>
      <c r="I116" s="32">
        <f t="shared" si="28"/>
        <v>2400</v>
      </c>
      <c r="J116" t="s">
        <v>81</v>
      </c>
    </row>
    <row r="117" spans="1:10">
      <c r="A117" t="s">
        <v>83</v>
      </c>
      <c r="B117" s="25" t="s">
        <v>84</v>
      </c>
      <c r="C117" s="25" t="s">
        <v>85</v>
      </c>
      <c r="D117" s="33">
        <v>1391274.01</v>
      </c>
      <c r="E117" s="33">
        <v>2400000</v>
      </c>
      <c r="F117">
        <v>1183907.96</v>
      </c>
      <c r="G117" s="34">
        <f t="shared" si="27"/>
        <v>1008725.99</v>
      </c>
      <c r="H117" s="31"/>
      <c r="I117" s="32">
        <f t="shared" si="28"/>
        <v>175181.96999999997</v>
      </c>
      <c r="J117" t="s">
        <v>81</v>
      </c>
    </row>
    <row r="118" spans="1:10">
      <c r="A118" t="s">
        <v>86</v>
      </c>
      <c r="B118" s="25" t="s">
        <v>87</v>
      </c>
      <c r="C118" s="25" t="s">
        <v>88</v>
      </c>
      <c r="D118" s="33">
        <v>60747.75</v>
      </c>
      <c r="E118" s="33">
        <v>120000</v>
      </c>
      <c r="F118">
        <v>59252.25</v>
      </c>
      <c r="G118" s="34">
        <f t="shared" si="27"/>
        <v>59252.25</v>
      </c>
      <c r="H118" s="31"/>
      <c r="I118" s="32">
        <f t="shared" si="28"/>
        <v>0</v>
      </c>
    </row>
    <row r="119" spans="1:10">
      <c r="A119" t="s">
        <v>89</v>
      </c>
      <c r="B119" s="25" t="s">
        <v>90</v>
      </c>
      <c r="C119" s="25" t="s">
        <v>91</v>
      </c>
      <c r="D119" s="33">
        <v>250022.92</v>
      </c>
      <c r="E119" s="33">
        <v>500000</v>
      </c>
      <c r="F119">
        <v>249977.08</v>
      </c>
      <c r="G119" s="34">
        <f t="shared" si="27"/>
        <v>249977.08</v>
      </c>
      <c r="H119" s="31"/>
      <c r="I119" s="32">
        <f t="shared" si="28"/>
        <v>0</v>
      </c>
    </row>
    <row r="120" spans="1:10">
      <c r="A120" t="s">
        <v>92</v>
      </c>
      <c r="B120" s="25" t="s">
        <v>93</v>
      </c>
      <c r="C120" s="25" t="s">
        <v>94</v>
      </c>
      <c r="D120" s="33">
        <v>452992.53</v>
      </c>
      <c r="E120" s="33">
        <v>700000</v>
      </c>
      <c r="F120">
        <f>249012.47-2005</f>
        <v>247007.47</v>
      </c>
      <c r="G120" s="34">
        <f t="shared" si="27"/>
        <v>247007.46999999997</v>
      </c>
      <c r="H120" s="31"/>
      <c r="I120" s="32">
        <f t="shared" si="28"/>
        <v>0</v>
      </c>
    </row>
    <row r="121" spans="1:10">
      <c r="A121" t="s">
        <v>95</v>
      </c>
      <c r="B121" s="25" t="s">
        <v>96</v>
      </c>
      <c r="C121" s="25" t="s">
        <v>97</v>
      </c>
      <c r="D121" s="33">
        <v>82653.58</v>
      </c>
      <c r="E121" s="33">
        <v>100000</v>
      </c>
      <c r="F121">
        <v>21895.62</v>
      </c>
      <c r="G121" s="34">
        <f t="shared" si="27"/>
        <v>17346.419999999998</v>
      </c>
      <c r="H121" s="31"/>
      <c r="I121" s="32">
        <f t="shared" si="28"/>
        <v>4549.2000000000007</v>
      </c>
      <c r="J121" t="s">
        <v>81</v>
      </c>
    </row>
    <row r="122" spans="1:10" ht="14.25">
      <c r="A122" s="29">
        <v>43276</v>
      </c>
      <c r="G122" s="30"/>
      <c r="H122" s="31"/>
      <c r="I122" s="32"/>
    </row>
    <row r="123" spans="1:10">
      <c r="A123" t="s">
        <v>78</v>
      </c>
      <c r="B123" s="25" t="s">
        <v>79</v>
      </c>
      <c r="C123" s="25" t="s">
        <v>80</v>
      </c>
      <c r="D123" s="33">
        <v>484446.33</v>
      </c>
      <c r="E123" s="33">
        <v>800003.21</v>
      </c>
      <c r="F123">
        <v>421006.16</v>
      </c>
      <c r="G123" s="34">
        <f t="shared" ref="G123:G129" si="29">E123-D123</f>
        <v>315556.87999999995</v>
      </c>
      <c r="H123" s="31"/>
      <c r="I123" s="32">
        <f t="shared" ref="I123:I129" si="30">F123-G123</f>
        <v>105449.28000000003</v>
      </c>
      <c r="J123" t="s">
        <v>81</v>
      </c>
    </row>
    <row r="124" spans="1:10">
      <c r="A124" t="s">
        <v>82</v>
      </c>
      <c r="B124" s="25" t="s">
        <v>67</v>
      </c>
      <c r="C124" s="25" t="s">
        <v>27</v>
      </c>
      <c r="D124" s="33">
        <v>200059.55</v>
      </c>
      <c r="E124" s="33">
        <v>400000</v>
      </c>
      <c r="F124">
        <v>199991.92</v>
      </c>
      <c r="G124" s="34">
        <f t="shared" si="29"/>
        <v>199940.45</v>
      </c>
      <c r="H124" s="31"/>
      <c r="I124" s="32">
        <f t="shared" si="30"/>
        <v>51.470000000001164</v>
      </c>
      <c r="J124" t="s">
        <v>81</v>
      </c>
    </row>
    <row r="125" spans="1:10">
      <c r="A125" t="s">
        <v>83</v>
      </c>
      <c r="B125" s="25" t="s">
        <v>84</v>
      </c>
      <c r="C125" s="25" t="s">
        <v>85</v>
      </c>
      <c r="D125" s="33">
        <v>1198984.44</v>
      </c>
      <c r="E125" s="33">
        <v>2400000</v>
      </c>
      <c r="F125">
        <v>1527517.5</v>
      </c>
      <c r="G125" s="34">
        <f t="shared" si="29"/>
        <v>1201015.56</v>
      </c>
      <c r="H125" s="31"/>
      <c r="I125" s="32">
        <f t="shared" si="30"/>
        <v>326501.93999999994</v>
      </c>
      <c r="J125" t="s">
        <v>81</v>
      </c>
    </row>
    <row r="126" spans="1:10">
      <c r="A126" t="s">
        <v>86</v>
      </c>
      <c r="B126" s="25" t="s">
        <v>87</v>
      </c>
      <c r="C126" s="25" t="s">
        <v>88</v>
      </c>
      <c r="D126" s="33">
        <v>60126.07</v>
      </c>
      <c r="E126" s="33">
        <v>120000</v>
      </c>
      <c r="F126">
        <v>59873.93</v>
      </c>
      <c r="G126" s="34">
        <f t="shared" si="29"/>
        <v>59873.93</v>
      </c>
      <c r="H126" s="31"/>
      <c r="I126" s="32">
        <f t="shared" si="30"/>
        <v>0</v>
      </c>
    </row>
    <row r="127" spans="1:10">
      <c r="A127" t="s">
        <v>89</v>
      </c>
      <c r="B127" s="25" t="s">
        <v>90</v>
      </c>
      <c r="C127" s="25" t="s">
        <v>91</v>
      </c>
      <c r="D127" s="33">
        <v>250027.31</v>
      </c>
      <c r="E127" s="33">
        <v>500000</v>
      </c>
      <c r="F127">
        <v>249972.69</v>
      </c>
      <c r="G127" s="34">
        <f t="shared" si="29"/>
        <v>249972.69</v>
      </c>
      <c r="H127" s="31"/>
      <c r="I127" s="32">
        <f t="shared" si="30"/>
        <v>0</v>
      </c>
    </row>
    <row r="128" spans="1:10">
      <c r="A128" t="s">
        <v>92</v>
      </c>
      <c r="B128" s="25" t="s">
        <v>93</v>
      </c>
      <c r="C128" s="25" t="s">
        <v>94</v>
      </c>
      <c r="D128" s="33">
        <v>350006.59</v>
      </c>
      <c r="E128" s="33">
        <v>700000</v>
      </c>
      <c r="F128">
        <v>349993.41</v>
      </c>
      <c r="G128" s="34">
        <f t="shared" si="29"/>
        <v>349993.41</v>
      </c>
      <c r="H128" s="31"/>
      <c r="I128" s="32">
        <f t="shared" si="30"/>
        <v>0</v>
      </c>
    </row>
    <row r="129" spans="1:10">
      <c r="A129" t="s">
        <v>95</v>
      </c>
      <c r="B129" s="25" t="s">
        <v>96</v>
      </c>
      <c r="C129" s="25" t="s">
        <v>97</v>
      </c>
      <c r="D129" s="33">
        <v>52190.73</v>
      </c>
      <c r="E129" s="33">
        <v>100000</v>
      </c>
      <c r="F129">
        <v>51581.97</v>
      </c>
      <c r="G129" s="34">
        <f t="shared" si="29"/>
        <v>47809.27</v>
      </c>
      <c r="H129" s="31"/>
      <c r="I129" s="32">
        <f t="shared" si="30"/>
        <v>3772.7000000000044</v>
      </c>
      <c r="J129" t="s">
        <v>81</v>
      </c>
    </row>
    <row r="130" spans="1:10" ht="14.25">
      <c r="A130" s="29">
        <v>43277</v>
      </c>
      <c r="G130" s="30"/>
      <c r="H130" s="31"/>
      <c r="I130" s="32"/>
    </row>
    <row r="131" spans="1:10">
      <c r="A131" t="s">
        <v>78</v>
      </c>
      <c r="B131" s="25" t="s">
        <v>79</v>
      </c>
      <c r="C131" s="25" t="s">
        <v>80</v>
      </c>
      <c r="D131" s="33">
        <v>400062.47</v>
      </c>
      <c r="E131" s="33">
        <v>800003.21</v>
      </c>
      <c r="F131" s="36">
        <v>450478.24000000005</v>
      </c>
      <c r="G131" s="34">
        <f t="shared" ref="G131:G137" si="31">E131-D131</f>
        <v>399940.74</v>
      </c>
      <c r="H131" s="31"/>
      <c r="I131" s="32">
        <f t="shared" ref="I131:I137" si="32">F131-G131</f>
        <v>50537.500000000058</v>
      </c>
      <c r="J131" t="s">
        <v>81</v>
      </c>
    </row>
    <row r="132" spans="1:10">
      <c r="A132" t="s">
        <v>82</v>
      </c>
      <c r="B132" s="25" t="s">
        <v>67</v>
      </c>
      <c r="C132" s="25" t="s">
        <v>27</v>
      </c>
      <c r="D132" s="33">
        <v>200023.02</v>
      </c>
      <c r="E132" s="33">
        <v>400000</v>
      </c>
      <c r="F132" s="37">
        <v>201545.05000000002</v>
      </c>
      <c r="G132" s="34">
        <f t="shared" si="31"/>
        <v>199976.98</v>
      </c>
      <c r="H132" s="31"/>
      <c r="I132" s="32">
        <f t="shared" si="32"/>
        <v>1568.070000000007</v>
      </c>
      <c r="J132" t="s">
        <v>81</v>
      </c>
    </row>
    <row r="133" spans="1:10">
      <c r="A133" t="s">
        <v>83</v>
      </c>
      <c r="B133" s="25" t="s">
        <v>84</v>
      </c>
      <c r="C133" s="25" t="s">
        <v>85</v>
      </c>
      <c r="D133" s="33">
        <v>1237443.95</v>
      </c>
      <c r="E133" s="33">
        <v>2400000</v>
      </c>
      <c r="F133" s="38">
        <v>1461536.71</v>
      </c>
      <c r="G133" s="34">
        <f t="shared" si="31"/>
        <v>1162556.05</v>
      </c>
      <c r="H133" s="31"/>
      <c r="I133" s="32">
        <f t="shared" si="32"/>
        <v>298980.65999999992</v>
      </c>
      <c r="J133" t="s">
        <v>81</v>
      </c>
    </row>
    <row r="134" spans="1:10">
      <c r="A134" t="s">
        <v>86</v>
      </c>
      <c r="B134" s="25" t="s">
        <v>87</v>
      </c>
      <c r="C134" s="25" t="s">
        <v>88</v>
      </c>
      <c r="D134" s="33">
        <v>69865.27</v>
      </c>
      <c r="E134" s="33">
        <v>120000</v>
      </c>
      <c r="F134" s="37">
        <v>50134.729999999996</v>
      </c>
      <c r="G134" s="34">
        <f t="shared" si="31"/>
        <v>50134.729999999996</v>
      </c>
      <c r="H134" s="31"/>
      <c r="I134" s="32">
        <f t="shared" si="32"/>
        <v>0</v>
      </c>
    </row>
    <row r="135" spans="1:10">
      <c r="A135" t="s">
        <v>89</v>
      </c>
      <c r="B135" s="25" t="s">
        <v>90</v>
      </c>
      <c r="C135" s="25" t="s">
        <v>91</v>
      </c>
      <c r="D135" s="33">
        <v>250040.28</v>
      </c>
      <c r="E135" s="33">
        <v>500000</v>
      </c>
      <c r="F135" s="37">
        <v>260088.88999999998</v>
      </c>
      <c r="G135" s="34">
        <f t="shared" si="31"/>
        <v>249959.72</v>
      </c>
      <c r="H135" s="31"/>
      <c r="I135" s="32">
        <f t="shared" si="32"/>
        <v>10129.169999999984</v>
      </c>
      <c r="J135" t="s">
        <v>81</v>
      </c>
    </row>
    <row r="136" spans="1:10">
      <c r="A136" t="s">
        <v>92</v>
      </c>
      <c r="B136" s="25" t="s">
        <v>93</v>
      </c>
      <c r="C136" s="25" t="s">
        <v>94</v>
      </c>
      <c r="D136" s="33">
        <v>369762.09</v>
      </c>
      <c r="E136" s="33">
        <v>700000</v>
      </c>
      <c r="F136" s="37">
        <v>330237.91000000003</v>
      </c>
      <c r="G136" s="34">
        <f t="shared" si="31"/>
        <v>330237.90999999997</v>
      </c>
      <c r="H136" s="31"/>
      <c r="I136" s="32">
        <f t="shared" si="32"/>
        <v>0</v>
      </c>
    </row>
    <row r="137" spans="1:10">
      <c r="A137" t="s">
        <v>95</v>
      </c>
      <c r="B137" s="25" t="s">
        <v>96</v>
      </c>
      <c r="C137" s="25" t="s">
        <v>97</v>
      </c>
      <c r="D137" s="33">
        <v>50538.94</v>
      </c>
      <c r="E137" s="33">
        <v>100000</v>
      </c>
      <c r="F137" s="37">
        <v>54608.56</v>
      </c>
      <c r="G137" s="34">
        <f t="shared" si="31"/>
        <v>49461.06</v>
      </c>
      <c r="H137" s="31"/>
      <c r="I137" s="32">
        <f t="shared" si="32"/>
        <v>5147.5</v>
      </c>
      <c r="J137" t="s">
        <v>81</v>
      </c>
    </row>
    <row r="138" spans="1:10" ht="14.25">
      <c r="A138" s="29">
        <v>43278</v>
      </c>
      <c r="G138" s="30"/>
      <c r="H138" s="31"/>
      <c r="I138" s="32"/>
    </row>
    <row r="139" spans="1:10">
      <c r="A139" t="s">
        <v>78</v>
      </c>
      <c r="B139" s="25" t="s">
        <v>79</v>
      </c>
      <c r="C139" s="25" t="s">
        <v>80</v>
      </c>
      <c r="D139" s="33">
        <v>455208.73</v>
      </c>
      <c r="E139" s="33">
        <v>800003.21</v>
      </c>
      <c r="F139">
        <v>394562.49999999983</v>
      </c>
      <c r="G139" s="34">
        <f t="shared" ref="G139:G145" si="33">E139-D139</f>
        <v>344794.48</v>
      </c>
      <c r="H139" s="31"/>
      <c r="I139" s="32">
        <f t="shared" ref="I139:I145" si="34">F139-G139</f>
        <v>49768.019999999844</v>
      </c>
      <c r="J139" t="s">
        <v>81</v>
      </c>
    </row>
    <row r="140" spans="1:10">
      <c r="A140" t="s">
        <v>82</v>
      </c>
      <c r="B140" s="25" t="s">
        <v>67</v>
      </c>
      <c r="C140" s="25" t="s">
        <v>27</v>
      </c>
      <c r="D140" s="33">
        <v>203254.75</v>
      </c>
      <c r="E140" s="33">
        <v>400000</v>
      </c>
      <c r="F140">
        <v>199999.92000000004</v>
      </c>
      <c r="G140" s="34">
        <f t="shared" si="33"/>
        <v>196745.25</v>
      </c>
      <c r="H140" s="31"/>
      <c r="I140" s="32">
        <f t="shared" si="34"/>
        <v>3254.6700000000419</v>
      </c>
      <c r="J140" t="s">
        <v>81</v>
      </c>
    </row>
    <row r="141" spans="1:10">
      <c r="A141" t="s">
        <v>83</v>
      </c>
      <c r="B141" s="25" t="s">
        <v>84</v>
      </c>
      <c r="C141" s="25" t="s">
        <v>85</v>
      </c>
      <c r="D141" s="33">
        <v>1200018.8600000001</v>
      </c>
      <c r="E141" s="33">
        <v>2400000</v>
      </c>
      <c r="F141">
        <v>1394478.45</v>
      </c>
      <c r="G141" s="34">
        <f t="shared" si="33"/>
        <v>1199981.1399999999</v>
      </c>
      <c r="H141" s="31"/>
      <c r="I141" s="32">
        <f t="shared" si="34"/>
        <v>194497.31000000006</v>
      </c>
      <c r="J141" t="s">
        <v>81</v>
      </c>
    </row>
    <row r="142" spans="1:10">
      <c r="A142" t="s">
        <v>86</v>
      </c>
      <c r="B142" s="25" t="s">
        <v>87</v>
      </c>
      <c r="C142" s="25" t="s">
        <v>88</v>
      </c>
      <c r="D142" s="33">
        <v>88659.64</v>
      </c>
      <c r="E142" s="33">
        <v>120000</v>
      </c>
      <c r="F142" s="37">
        <v>70091.66</v>
      </c>
      <c r="G142" s="34">
        <f t="shared" si="33"/>
        <v>31340.36</v>
      </c>
      <c r="H142" s="31"/>
      <c r="I142" s="32">
        <f t="shared" si="34"/>
        <v>38751.300000000003</v>
      </c>
      <c r="J142" t="s">
        <v>81</v>
      </c>
    </row>
    <row r="143" spans="1:10">
      <c r="A143" t="s">
        <v>89</v>
      </c>
      <c r="B143" s="25" t="s">
        <v>90</v>
      </c>
      <c r="C143" s="25" t="s">
        <v>91</v>
      </c>
      <c r="D143" s="33">
        <v>250016.12</v>
      </c>
      <c r="E143" s="33">
        <v>500000</v>
      </c>
      <c r="F143">
        <v>257013.87999999998</v>
      </c>
      <c r="G143" s="34">
        <f t="shared" si="33"/>
        <v>249983.88</v>
      </c>
      <c r="H143" s="31"/>
      <c r="I143" s="32">
        <f t="shared" si="34"/>
        <v>7029.9999999999709</v>
      </c>
      <c r="J143" t="s">
        <v>81</v>
      </c>
    </row>
    <row r="144" spans="1:10">
      <c r="A144" t="s">
        <v>92</v>
      </c>
      <c r="B144" s="25" t="s">
        <v>93</v>
      </c>
      <c r="C144" s="25" t="s">
        <v>94</v>
      </c>
      <c r="D144" s="33">
        <v>352559.14</v>
      </c>
      <c r="E144" s="33">
        <v>700000</v>
      </c>
      <c r="F144">
        <v>349583.66000000003</v>
      </c>
      <c r="G144" s="34">
        <f t="shared" si="33"/>
        <v>347440.86</v>
      </c>
      <c r="H144" s="31"/>
      <c r="I144" s="32">
        <f t="shared" si="34"/>
        <v>2142.8000000000466</v>
      </c>
      <c r="J144" t="s">
        <v>81</v>
      </c>
    </row>
    <row r="145" spans="1:10">
      <c r="A145" t="s">
        <v>95</v>
      </c>
      <c r="B145" s="25" t="s">
        <v>96</v>
      </c>
      <c r="C145" s="25" t="s">
        <v>97</v>
      </c>
      <c r="D145" s="33">
        <v>65291.81</v>
      </c>
      <c r="E145" s="33">
        <v>100000</v>
      </c>
      <c r="F145">
        <v>35518.230000000003</v>
      </c>
      <c r="G145" s="34">
        <f t="shared" si="33"/>
        <v>34708.19</v>
      </c>
      <c r="H145" s="31"/>
      <c r="I145" s="32">
        <f t="shared" si="34"/>
        <v>810.04000000000087</v>
      </c>
      <c r="J145" t="s">
        <v>81</v>
      </c>
    </row>
  </sheetData>
  <autoFilter ref="A1:J129"/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8"/>
  <sheetViews>
    <sheetView workbookViewId="0">
      <selection activeCell="C2" sqref="C2"/>
    </sheetView>
  </sheetViews>
  <sheetFormatPr defaultRowHeight="12.75"/>
  <cols>
    <col min="1" max="1" width="11" bestFit="1" customWidth="1"/>
    <col min="2" max="2" width="22" bestFit="1" customWidth="1"/>
    <col min="3" max="3" width="8.7109375" bestFit="1" customWidth="1"/>
    <col min="4" max="4" width="19.5703125" bestFit="1" customWidth="1"/>
    <col min="5" max="5" width="18" bestFit="1" customWidth="1"/>
    <col min="7" max="7" width="18" bestFit="1" customWidth="1"/>
    <col min="8" max="8" width="36.140625" bestFit="1" customWidth="1"/>
    <col min="9" max="9" width="22" bestFit="1" customWidth="1"/>
  </cols>
  <sheetData>
    <row r="1" spans="1:9">
      <c r="A1" t="s">
        <v>99</v>
      </c>
      <c r="B1" t="s">
        <v>27</v>
      </c>
      <c r="C1">
        <v>2400</v>
      </c>
      <c r="D1" t="s">
        <v>115</v>
      </c>
      <c r="E1" t="s">
        <v>102</v>
      </c>
      <c r="F1" t="s">
        <v>14</v>
      </c>
      <c r="G1" t="s">
        <v>102</v>
      </c>
      <c r="H1" t="s">
        <v>15</v>
      </c>
      <c r="I1" t="s">
        <v>35</v>
      </c>
    </row>
    <row r="2" spans="1:9">
      <c r="A2" t="s">
        <v>100</v>
      </c>
      <c r="B2" t="s">
        <v>27</v>
      </c>
      <c r="C2">
        <v>392.92</v>
      </c>
      <c r="D2" t="s">
        <v>116</v>
      </c>
      <c r="E2" t="s">
        <v>113</v>
      </c>
      <c r="F2" t="s">
        <v>14</v>
      </c>
      <c r="G2" t="s">
        <v>113</v>
      </c>
      <c r="H2" t="s">
        <v>15</v>
      </c>
      <c r="I2" t="s">
        <v>35</v>
      </c>
    </row>
    <row r="3" spans="1:9">
      <c r="A3" t="s">
        <v>100</v>
      </c>
      <c r="B3" t="s">
        <v>27</v>
      </c>
      <c r="C3">
        <v>7131</v>
      </c>
      <c r="D3" t="s">
        <v>116</v>
      </c>
      <c r="E3" t="s">
        <v>113</v>
      </c>
      <c r="F3" t="s">
        <v>14</v>
      </c>
      <c r="G3" t="s">
        <v>113</v>
      </c>
      <c r="H3" t="s">
        <v>15</v>
      </c>
      <c r="I3" t="s">
        <v>35</v>
      </c>
    </row>
    <row r="4" spans="1:9">
      <c r="A4" t="s">
        <v>66</v>
      </c>
      <c r="B4" t="s">
        <v>27</v>
      </c>
      <c r="C4">
        <v>2905.79</v>
      </c>
      <c r="D4" t="s">
        <v>117</v>
      </c>
      <c r="E4" t="s">
        <v>73</v>
      </c>
      <c r="F4" t="s">
        <v>14</v>
      </c>
      <c r="G4" t="s">
        <v>73</v>
      </c>
      <c r="H4" t="s">
        <v>15</v>
      </c>
      <c r="I4" t="s">
        <v>35</v>
      </c>
    </row>
    <row r="5" spans="1:9">
      <c r="A5" t="s">
        <v>66</v>
      </c>
      <c r="B5" t="s">
        <v>27</v>
      </c>
      <c r="C5">
        <v>4506</v>
      </c>
      <c r="D5" t="s">
        <v>117</v>
      </c>
      <c r="E5" t="s">
        <v>73</v>
      </c>
      <c r="F5" t="s">
        <v>14</v>
      </c>
      <c r="G5" t="s">
        <v>73</v>
      </c>
      <c r="H5" t="s">
        <v>15</v>
      </c>
      <c r="I5" t="s">
        <v>35</v>
      </c>
    </row>
    <row r="6" spans="1:9">
      <c r="A6" t="s">
        <v>68</v>
      </c>
      <c r="B6" t="s">
        <v>27</v>
      </c>
      <c r="C6">
        <v>7936.56</v>
      </c>
      <c r="D6" t="s">
        <v>118</v>
      </c>
      <c r="E6" t="s">
        <v>74</v>
      </c>
      <c r="F6" t="s">
        <v>14</v>
      </c>
      <c r="G6" t="s">
        <v>74</v>
      </c>
      <c r="H6" t="s">
        <v>15</v>
      </c>
      <c r="I6" t="s">
        <v>35</v>
      </c>
    </row>
    <row r="7" spans="1:9">
      <c r="A7" t="s">
        <v>68</v>
      </c>
      <c r="B7" t="s">
        <v>27</v>
      </c>
      <c r="C7">
        <v>2627</v>
      </c>
      <c r="D7" t="s">
        <v>119</v>
      </c>
      <c r="E7" t="s">
        <v>74</v>
      </c>
      <c r="F7" t="s">
        <v>14</v>
      </c>
      <c r="G7" t="s">
        <v>74</v>
      </c>
      <c r="H7" t="s">
        <v>15</v>
      </c>
      <c r="I7" t="s">
        <v>35</v>
      </c>
    </row>
    <row r="8" spans="1:9">
      <c r="A8" t="s">
        <v>69</v>
      </c>
      <c r="B8" t="s">
        <v>27</v>
      </c>
      <c r="C8">
        <v>4045</v>
      </c>
      <c r="D8" t="s">
        <v>120</v>
      </c>
      <c r="E8" t="s">
        <v>75</v>
      </c>
      <c r="F8" t="s">
        <v>14</v>
      </c>
      <c r="G8" t="s">
        <v>75</v>
      </c>
      <c r="H8" t="s">
        <v>15</v>
      </c>
      <c r="I8" t="s">
        <v>35</v>
      </c>
    </row>
    <row r="9" spans="1:9">
      <c r="A9" t="s">
        <v>70</v>
      </c>
      <c r="B9" t="s">
        <v>27</v>
      </c>
      <c r="C9">
        <v>18065</v>
      </c>
      <c r="D9" t="s">
        <v>121</v>
      </c>
      <c r="E9" t="s">
        <v>76</v>
      </c>
      <c r="F9" t="s">
        <v>14</v>
      </c>
      <c r="G9" t="s">
        <v>76</v>
      </c>
      <c r="H9" t="s">
        <v>15</v>
      </c>
      <c r="I9" t="s">
        <v>35</v>
      </c>
    </row>
    <row r="10" spans="1:9">
      <c r="A10" t="s">
        <v>70</v>
      </c>
      <c r="B10" t="s">
        <v>27</v>
      </c>
      <c r="C10">
        <v>5085</v>
      </c>
      <c r="D10" t="s">
        <v>121</v>
      </c>
      <c r="E10" t="s">
        <v>76</v>
      </c>
      <c r="F10" t="s">
        <v>14</v>
      </c>
      <c r="G10" t="s">
        <v>76</v>
      </c>
      <c r="H10" t="s">
        <v>15</v>
      </c>
      <c r="I10" t="s">
        <v>35</v>
      </c>
    </row>
    <row r="11" spans="1:9">
      <c r="A11" t="s">
        <v>71</v>
      </c>
      <c r="B11" t="s">
        <v>27</v>
      </c>
      <c r="C11">
        <v>2421.96</v>
      </c>
      <c r="D11" t="s">
        <v>122</v>
      </c>
      <c r="E11" t="s">
        <v>77</v>
      </c>
      <c r="F11" t="s">
        <v>14</v>
      </c>
      <c r="G11" t="s">
        <v>77</v>
      </c>
      <c r="H11" t="s">
        <v>15</v>
      </c>
      <c r="I11" t="s">
        <v>35</v>
      </c>
    </row>
    <row r="12" spans="1:9">
      <c r="A12" t="s">
        <v>72</v>
      </c>
      <c r="B12" t="s">
        <v>27</v>
      </c>
      <c r="C12">
        <v>373.5</v>
      </c>
      <c r="D12" t="s">
        <v>123</v>
      </c>
      <c r="E12" t="s">
        <v>124</v>
      </c>
      <c r="F12" t="s">
        <v>14</v>
      </c>
      <c r="G12" t="s">
        <v>124</v>
      </c>
      <c r="H12" t="s">
        <v>15</v>
      </c>
      <c r="I12" t="s">
        <v>35</v>
      </c>
    </row>
    <row r="13" spans="1:9">
      <c r="A13" t="s">
        <v>72</v>
      </c>
      <c r="B13" t="s">
        <v>27</v>
      </c>
      <c r="C13">
        <v>1275</v>
      </c>
      <c r="D13" t="s">
        <v>125</v>
      </c>
      <c r="E13" t="s">
        <v>124</v>
      </c>
      <c r="F13" t="s">
        <v>14</v>
      </c>
      <c r="G13" t="s">
        <v>124</v>
      </c>
      <c r="H13" t="s">
        <v>15</v>
      </c>
      <c r="I13" t="s">
        <v>35</v>
      </c>
    </row>
    <row r="14" spans="1:9">
      <c r="A14" t="s">
        <v>45</v>
      </c>
      <c r="B14" t="s">
        <v>27</v>
      </c>
      <c r="C14">
        <v>3825</v>
      </c>
      <c r="D14" t="s">
        <v>126</v>
      </c>
      <c r="E14" t="s">
        <v>58</v>
      </c>
      <c r="F14" t="s">
        <v>14</v>
      </c>
      <c r="G14" t="s">
        <v>58</v>
      </c>
      <c r="H14" t="s">
        <v>15</v>
      </c>
      <c r="I14" t="s">
        <v>35</v>
      </c>
    </row>
    <row r="15" spans="1:9">
      <c r="A15" t="s">
        <v>45</v>
      </c>
      <c r="B15" t="s">
        <v>27</v>
      </c>
      <c r="C15">
        <v>6082.04</v>
      </c>
      <c r="D15" t="s">
        <v>126</v>
      </c>
      <c r="E15" t="s">
        <v>58</v>
      </c>
      <c r="F15" t="s">
        <v>14</v>
      </c>
      <c r="G15" t="s">
        <v>58</v>
      </c>
      <c r="H15" t="s">
        <v>15</v>
      </c>
      <c r="I15" t="s">
        <v>35</v>
      </c>
    </row>
    <row r="16" spans="1:9">
      <c r="A16" t="s">
        <v>46</v>
      </c>
      <c r="B16" t="s">
        <v>27</v>
      </c>
      <c r="C16">
        <v>4535</v>
      </c>
      <c r="D16" t="s">
        <v>127</v>
      </c>
      <c r="E16" t="s">
        <v>59</v>
      </c>
      <c r="F16" t="s">
        <v>14</v>
      </c>
      <c r="G16" t="s">
        <v>59</v>
      </c>
      <c r="H16" t="s">
        <v>15</v>
      </c>
      <c r="I16" t="s">
        <v>35</v>
      </c>
    </row>
    <row r="17" spans="1:9">
      <c r="A17" t="s">
        <v>60</v>
      </c>
      <c r="B17" t="s">
        <v>27</v>
      </c>
      <c r="C17">
        <v>2165</v>
      </c>
      <c r="D17" t="s">
        <v>128</v>
      </c>
      <c r="E17" t="s">
        <v>61</v>
      </c>
      <c r="F17" t="s">
        <v>14</v>
      </c>
      <c r="G17" t="s">
        <v>61</v>
      </c>
      <c r="H17" t="s">
        <v>15</v>
      </c>
      <c r="I17" t="s">
        <v>35</v>
      </c>
    </row>
    <row r="18" spans="1:9">
      <c r="A18" t="s">
        <v>47</v>
      </c>
      <c r="B18" t="s">
        <v>27</v>
      </c>
      <c r="C18">
        <v>1246.93</v>
      </c>
      <c r="D18" t="s">
        <v>129</v>
      </c>
      <c r="E18" t="s">
        <v>62</v>
      </c>
      <c r="F18" t="s">
        <v>14</v>
      </c>
      <c r="G18" t="s">
        <v>62</v>
      </c>
      <c r="H18" t="s">
        <v>15</v>
      </c>
      <c r="I18" t="s">
        <v>35</v>
      </c>
    </row>
    <row r="19" spans="1:9">
      <c r="A19" t="s">
        <v>47</v>
      </c>
      <c r="B19" t="s">
        <v>27</v>
      </c>
      <c r="C19">
        <v>425</v>
      </c>
      <c r="D19" t="s">
        <v>129</v>
      </c>
      <c r="E19" t="s">
        <v>62</v>
      </c>
      <c r="F19" t="s">
        <v>14</v>
      </c>
      <c r="G19" t="s">
        <v>62</v>
      </c>
      <c r="H19" t="s">
        <v>15</v>
      </c>
      <c r="I19" t="s">
        <v>35</v>
      </c>
    </row>
    <row r="20" spans="1:9">
      <c r="A20" t="s">
        <v>48</v>
      </c>
      <c r="B20" t="s">
        <v>27</v>
      </c>
      <c r="C20">
        <v>735.07</v>
      </c>
      <c r="D20" t="s">
        <v>130</v>
      </c>
      <c r="E20" t="s">
        <v>63</v>
      </c>
      <c r="F20" t="s">
        <v>14</v>
      </c>
      <c r="G20" t="s">
        <v>63</v>
      </c>
      <c r="H20" t="s">
        <v>15</v>
      </c>
      <c r="I20" t="s">
        <v>35</v>
      </c>
    </row>
    <row r="21" spans="1:9">
      <c r="A21" t="s">
        <v>48</v>
      </c>
      <c r="B21" t="s">
        <v>27</v>
      </c>
      <c r="C21">
        <v>795</v>
      </c>
      <c r="D21" t="s">
        <v>130</v>
      </c>
      <c r="E21" t="s">
        <v>63</v>
      </c>
      <c r="F21" t="s">
        <v>14</v>
      </c>
      <c r="G21" t="s">
        <v>63</v>
      </c>
      <c r="H21" t="s">
        <v>15</v>
      </c>
      <c r="I21" t="s">
        <v>35</v>
      </c>
    </row>
    <row r="22" spans="1:9">
      <c r="A22" t="s">
        <v>49</v>
      </c>
      <c r="B22" t="s">
        <v>27</v>
      </c>
      <c r="C22">
        <v>690</v>
      </c>
      <c r="D22" t="s">
        <v>131</v>
      </c>
      <c r="E22" t="s">
        <v>64</v>
      </c>
      <c r="F22" t="s">
        <v>14</v>
      </c>
      <c r="G22" t="s">
        <v>64</v>
      </c>
      <c r="H22" t="s">
        <v>15</v>
      </c>
      <c r="I22" t="s">
        <v>35</v>
      </c>
    </row>
    <row r="23" spans="1:9">
      <c r="A23" t="s">
        <v>50</v>
      </c>
      <c r="B23" t="s">
        <v>27</v>
      </c>
      <c r="C23">
        <v>5099.3999999999996</v>
      </c>
      <c r="D23" t="s">
        <v>132</v>
      </c>
      <c r="E23" t="s">
        <v>65</v>
      </c>
      <c r="F23" t="s">
        <v>14</v>
      </c>
      <c r="G23" t="s">
        <v>65</v>
      </c>
      <c r="H23" t="s">
        <v>15</v>
      </c>
      <c r="I23" t="s">
        <v>35</v>
      </c>
    </row>
    <row r="24" spans="1:9">
      <c r="A24" t="s">
        <v>50</v>
      </c>
      <c r="B24" t="s">
        <v>27</v>
      </c>
      <c r="C24">
        <v>5355</v>
      </c>
      <c r="D24" t="s">
        <v>132</v>
      </c>
      <c r="E24" t="s">
        <v>65</v>
      </c>
      <c r="F24" t="s">
        <v>14</v>
      </c>
      <c r="G24" t="s">
        <v>65</v>
      </c>
      <c r="H24" t="s">
        <v>15</v>
      </c>
      <c r="I24" t="s">
        <v>35</v>
      </c>
    </row>
    <row r="25" spans="1:9">
      <c r="A25" t="s">
        <v>51</v>
      </c>
      <c r="B25" t="s">
        <v>27</v>
      </c>
      <c r="C25">
        <v>6181.95</v>
      </c>
      <c r="D25" t="s">
        <v>133</v>
      </c>
      <c r="E25" t="s">
        <v>134</v>
      </c>
      <c r="F25" t="s">
        <v>14</v>
      </c>
      <c r="G25" t="s">
        <v>134</v>
      </c>
      <c r="H25" t="s">
        <v>15</v>
      </c>
      <c r="I25" t="s">
        <v>35</v>
      </c>
    </row>
    <row r="26" spans="1:9">
      <c r="A26" t="s">
        <v>51</v>
      </c>
      <c r="B26" t="s">
        <v>27</v>
      </c>
      <c r="C26">
        <v>2360</v>
      </c>
      <c r="D26" t="s">
        <v>135</v>
      </c>
      <c r="E26" t="s">
        <v>134</v>
      </c>
      <c r="F26" t="s">
        <v>14</v>
      </c>
      <c r="G26" t="s">
        <v>134</v>
      </c>
      <c r="H26" t="s">
        <v>15</v>
      </c>
      <c r="I26" t="s">
        <v>35</v>
      </c>
    </row>
    <row r="27" spans="1:9">
      <c r="A27" t="s">
        <v>40</v>
      </c>
      <c r="B27" t="s">
        <v>27</v>
      </c>
      <c r="C27">
        <v>1227.17</v>
      </c>
      <c r="D27" t="s">
        <v>136</v>
      </c>
      <c r="E27" t="s">
        <v>41</v>
      </c>
      <c r="F27" t="s">
        <v>14</v>
      </c>
      <c r="G27" t="s">
        <v>41</v>
      </c>
      <c r="H27" t="s">
        <v>15</v>
      </c>
      <c r="I27" t="s">
        <v>35</v>
      </c>
    </row>
    <row r="28" spans="1:9">
      <c r="A28" t="s">
        <v>40</v>
      </c>
      <c r="B28" t="s">
        <v>27</v>
      </c>
      <c r="C28">
        <v>3080</v>
      </c>
      <c r="D28" t="s">
        <v>137</v>
      </c>
      <c r="E28" t="s">
        <v>41</v>
      </c>
      <c r="F28" t="s">
        <v>14</v>
      </c>
      <c r="G28" t="s">
        <v>41</v>
      </c>
      <c r="H28" t="s">
        <v>15</v>
      </c>
      <c r="I28" t="s">
        <v>35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工行-1780</vt:lpstr>
      <vt:lpstr>工行-1780明细</vt:lpstr>
      <vt:lpstr>工行-8121</vt:lpstr>
      <vt:lpstr>工行-8121明细</vt:lpstr>
      <vt:lpstr>工行-8121筛选VBA</vt:lpstr>
      <vt:lpstr>工行-3747</vt:lpstr>
      <vt:lpstr>资金池</vt:lpstr>
      <vt:lpstr>Sheet1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Fu Zihao</cp:lastModifiedBy>
  <cp:revision/>
  <dcterms:created xsi:type="dcterms:W3CDTF">2014-02-07T12:28:20Z</dcterms:created>
  <dcterms:modified xsi:type="dcterms:W3CDTF">2018-07-16T09:25:11Z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  <property fmtid="{D5CDD505-2E9C-101B-9397-08002B2CF9AE}" pid="3" name="WorkbookGuid">
    <vt:lpwstr>3c4b2bde-5f7f-4ff2-b7db-fbc64f2aa37f</vt:lpwstr>
  </property>
</Properties>
</file>