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CAR196桌面文件\sun\调账\writeoff\APS\"/>
    </mc:Choice>
  </mc:AlternateContent>
  <bookViews>
    <workbookView xWindow="120" yWindow="120" windowWidth="15135" windowHeight="9300" tabRatio="192" firstSheet="1" activeTab="2"/>
  </bookViews>
  <sheets>
    <sheet name="Parameters" sheetId="5" r:id="rId1"/>
    <sheet name="凭证录入" sheetId="11" r:id="rId2"/>
    <sheet name="Sheet1" sheetId="12" r:id="rId3"/>
    <sheet name="AceSol" sheetId="4" state="veryHidden" r:id="rId4"/>
  </sheets>
  <definedNames>
    <definedName name="_xlnm._FilterDatabase" localSheetId="1" hidden="1">凭证录入!$A$2:$Y$637</definedName>
    <definedName name="Branch">#REF!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凭证录入!$2:$2</definedName>
  </definedNames>
  <calcPr calcId="152511"/>
</workbook>
</file>

<file path=xl/calcChain.xml><?xml version="1.0" encoding="utf-8"?>
<calcChain xmlns="http://schemas.openxmlformats.org/spreadsheetml/2006/main">
  <c r="Z4" i="11" l="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3" i="11"/>
</calcChain>
</file>

<file path=xl/comments1.xml><?xml version="1.0" encoding="utf-8"?>
<comments xmlns="http://schemas.openxmlformats.org/spreadsheetml/2006/main">
  <authors>
    <author>NCAR035</author>
    <author>NCAR123</author>
  </authors>
  <commentList>
    <comment ref="C7" authorId="0" shapeId="0">
      <text>
        <r>
          <rPr>
            <b/>
            <sz val="10"/>
            <color indexed="81"/>
            <rFont val="宋体"/>
            <family val="3"/>
            <charset val="134"/>
          </rPr>
          <t>入账期间</t>
        </r>
      </text>
    </comment>
    <comment ref="C9" authorId="0" shapeId="0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comments2.xml><?xml version="1.0" encoding="utf-8"?>
<comments xmlns="http://schemas.openxmlformats.org/spreadsheetml/2006/main">
  <authors>
    <author>NCAR035</author>
    <author>Shan, Connie-JJ</author>
  </authors>
  <commentList>
    <comment ref="K1" authorId="0" shapeId="0">
      <text>
        <r>
          <rPr>
            <b/>
            <sz val="12"/>
            <color indexed="81"/>
            <rFont val="宋体"/>
            <family val="3"/>
            <charset val="134"/>
          </rPr>
          <t>根据实际需要选择</t>
        </r>
        <r>
          <rPr>
            <b/>
            <sz val="12"/>
            <color indexed="81"/>
            <rFont val="Tahoma"/>
            <family val="2"/>
          </rPr>
          <t>E/I/H</t>
        </r>
        <r>
          <rPr>
            <b/>
            <sz val="12"/>
            <color indexed="81"/>
            <rFont val="宋体"/>
            <family val="3"/>
            <charset val="134"/>
          </rPr>
          <t>，其中</t>
        </r>
        <r>
          <rPr>
            <b/>
            <sz val="12"/>
            <color indexed="81"/>
            <rFont val="Tahoma"/>
            <family val="2"/>
          </rPr>
          <t>I/H</t>
        </r>
        <r>
          <rPr>
            <b/>
            <sz val="12"/>
            <color indexed="81"/>
            <rFont val="宋体"/>
            <family val="3"/>
            <charset val="134"/>
          </rPr>
          <t>为</t>
        </r>
        <r>
          <rPr>
            <b/>
            <sz val="12"/>
            <color indexed="81"/>
            <rFont val="Tahoma"/>
            <family val="2"/>
          </rPr>
          <t>CHO</t>
        </r>
        <r>
          <rPr>
            <b/>
            <sz val="12"/>
            <color indexed="81"/>
            <rFont val="宋体"/>
            <family val="3"/>
            <charset val="134"/>
          </rPr>
          <t>用户使用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" authorId="1" shapeId="0">
      <text>
        <r>
          <rPr>
            <sz val="10"/>
            <color indexed="81"/>
            <rFont val="宋体"/>
            <family val="3"/>
            <charset val="134"/>
          </rPr>
          <t xml:space="preserve">传票号码不能为空，且前两码同凭证类型！
</t>
        </r>
      </text>
    </comment>
    <comment ref="M2" authorId="1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外币代码不能为空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N2" authorId="0" shapeId="0">
      <text>
        <r>
          <rPr>
            <b/>
            <sz val="10"/>
            <color indexed="81"/>
            <rFont val="宋体"/>
            <family val="3"/>
            <charset val="134"/>
          </rPr>
          <t>外币金额必须输入</t>
        </r>
      </text>
    </comment>
    <comment ref="O2" authorId="0" shapeId="0">
      <text>
        <r>
          <rPr>
            <b/>
            <sz val="10"/>
            <color indexed="81"/>
            <rFont val="宋体"/>
            <family val="3"/>
            <charset val="134"/>
          </rPr>
          <t xml:space="preserve">本币金额必须输入
</t>
        </r>
      </text>
    </comment>
  </commentList>
</comments>
</file>

<file path=xl/sharedStrings.xml><?xml version="1.0" encoding="utf-8"?>
<sst xmlns="http://schemas.openxmlformats.org/spreadsheetml/2006/main" count="532" uniqueCount="153">
  <si>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</si>
  <si>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</si>
  <si>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</si>
  <si>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</si>
  <si>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</si>
  <si>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2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</si>
  <si>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</si>
  <si>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</si>
  <si>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</si>
  <si>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</si>
  <si>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2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</si>
  <si>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</si>
  <si>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</si>
  <si>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</si>
  <si>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</si>
  <si>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</si>
  <si>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</si>
  <si>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</si>
  <si>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</si>
  <si>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</si>
  <si>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</si>
  <si>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</si>
  <si>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2" type="noConversion"/>
  </si>
  <si>
    <t xml:space="preserve">a_rp(M_DB,"'T1","Output=T1_Code,T1_Name,T1_Lkup,T1_PPost,T1_Upd","K=T1_Code,F={P1}",M_T1,"Sortfld=,,,,","","Extcode=T1","Lk=""","Dx=0""Ws=凭证录入!","Bt=T1","" )_x000D_
</t>
    <phoneticPr fontId="2" type="noConversion"/>
  </si>
  <si>
    <t xml:space="preserve">a_rp(M_DB,"'T4","Output=T4_Code,T4_Name,T4_Lkup,T4_PPost,T4_Upd","K=T4_Code,F={P1}",M_T4,"Sortfld=,,,,","","Extcode=T4","Lk=""","Dx=0""Ws=凭证录入!","Bt=T4","" )_x000D_
</t>
    <phoneticPr fontId="2" type="noConversion"/>
  </si>
  <si>
    <t xml:space="preserve">a_rp(M_DB,"'T3","Output=T3_Code,T3_Name,T3_Lkup,T3_PPost,T3_Upd","K=T3_Code,F={P1}",M_T3,"Sortfld=,,,,","","Extcode=T3","Lk=""","Dx=0""Ws=凭证录入!","Bt=T3","" )_x000D_
</t>
    <phoneticPr fontId="2" type="noConversion"/>
  </si>
  <si>
    <t xml:space="preserve">a_rp(M_DB,"'T2","Output=T2_Code,T2_Name,T2_Lkup,T2_PPost,T2_Upd","K=T2_Code,F={P1}",M_T2,"Sortfld=,,,,","","Extcode=T2","Lk=""","Dx=0""Ws=凭证录入!","Bt=T2","" )_x000D_
</t>
    <phoneticPr fontId="2" type="noConversion"/>
  </si>
  <si>
    <t xml:space="preserve">a_rp(M_DB,"'T5","Output=T5_Code,T5_Name,T5_Lkup,T5_PPost,T5_Upd","K=T5_Code,F={P1}",M_T5,"Sortfld=,,,,","","Extcode=T5","Lk=""","Dx=0""Ws=凭证录入!","Bt=T5","" )_x000D_
</t>
    <phoneticPr fontId="2" type="noConversion"/>
  </si>
  <si>
    <t xml:space="preserve">a_rp(M_DB,"'T6","Output=T6_Code,T6_Name,T6_Lkup,T6_PPost,T6_Upd","K=T6_Code,F={P1}",M_T6,"Sortfld=,,,,","","Extcode=T6","Lk=""","Dx=0""Ws=凭证录入!","Bt=T6","" )_x000D_
</t>
    <phoneticPr fontId="2" type="noConversion"/>
  </si>
  <si>
    <t xml:space="preserve">a_rp(M_DB,"'T7","Output=T7_Name,T7_Lkup,T7_PPost,T7_Code,T7_Upd","K=T7_Code,F={P1}",M_T7,"Sortfld=,,,,","","Extcode=T7","Lk=""","Dx=0""Ws=凭证录入!","Bt=T7","" )_x000D_
</t>
    <phoneticPr fontId="2" type="noConversion"/>
  </si>
  <si>
    <t xml:space="preserve">a_rp(M_DB,"'T8","Output=T8_Code,T8_Name,T8_Lkup,T8_PPost,T8_Upd","K=T8_Code,F={P1}",M_T8,"Sortfld=,,,,","","Extcode=T8","Lk=""","Dx=0""Ws=凭证录入!","Bt=T8","" )_x000D_
</t>
    <phoneticPr fontId="2" type="noConversion"/>
  </si>
  <si>
    <t xml:space="preserve">a_rp(M_DB,"'T9","Output=T9_Code,T9_Name,T9_Lkup,T9_PPost,T9_Upd","K=T9_Code,F={P1}",M_T9,"Sortfld=,,,,","","Extcode=T9","Lk=""","Dx=0""Ws=凭证录入!","Bt=T9","" )_x000D_
</t>
    <phoneticPr fontId="2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</si>
  <si>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</si>
  <si>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</si>
  <si>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</si>
  <si>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</si>
  <si>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</si>
  <si>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</si>
  <si>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</si>
  <si>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</si>
  <si>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</si>
  <si>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</si>
  <si>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</si>
  <si>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</si>
  <si>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</si>
  <si>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2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</si>
  <si>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</si>
  <si>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</si>
  <si>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2" type="noConversion"/>
  </si>
  <si>
    <t>M_Preview</t>
  </si>
  <si>
    <t xml:space="preserve">a_gm("K=Run_JI_Prv,T=,F=凭证录入,S=JI_E",,"Button=预览错误信息","Macro=M_Preview","","Extcode=M_Preview")_x000D_
</t>
    <phoneticPr fontId="2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</si>
  <si>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</si>
  <si>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</si>
  <si>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2" type="noConversion"/>
  </si>
  <si>
    <t>当前期间：</t>
    <phoneticPr fontId="5" type="noConversion"/>
  </si>
  <si>
    <t>科目</t>
    <phoneticPr fontId="5" type="noConversion"/>
  </si>
  <si>
    <t>T0</t>
    <phoneticPr fontId="5" type="noConversion"/>
  </si>
  <si>
    <t>T1</t>
    <phoneticPr fontId="5" type="noConversion"/>
  </si>
  <si>
    <t>T2</t>
    <phoneticPr fontId="5" type="noConversion"/>
  </si>
  <si>
    <t>T3</t>
    <phoneticPr fontId="5" type="noConversion"/>
  </si>
  <si>
    <t>T4</t>
    <phoneticPr fontId="5" type="noConversion"/>
  </si>
  <si>
    <t>T5</t>
    <phoneticPr fontId="5" type="noConversion"/>
  </si>
  <si>
    <t>T6</t>
    <phoneticPr fontId="5" type="noConversion"/>
  </si>
  <si>
    <t>T7</t>
    <phoneticPr fontId="5" type="noConversion"/>
  </si>
  <si>
    <t>T8</t>
    <phoneticPr fontId="5" type="noConversion"/>
  </si>
  <si>
    <t>T9</t>
    <phoneticPr fontId="5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</si>
  <si>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5" type="noConversion"/>
  </si>
  <si>
    <t>D:\TEST.SAF</t>
    <phoneticPr fontId="5" type="noConversion"/>
  </si>
  <si>
    <t>账务（过账）：</t>
    <phoneticPr fontId="5" type="noConversion"/>
  </si>
  <si>
    <t>凭证基本信息</t>
    <phoneticPr fontId="2" type="noConversion"/>
  </si>
  <si>
    <t>科目名称</t>
    <phoneticPr fontId="2" type="noConversion"/>
  </si>
  <si>
    <t>T0</t>
    <phoneticPr fontId="2" type="noConversion"/>
  </si>
  <si>
    <t>T1</t>
    <phoneticPr fontId="2" type="noConversion"/>
  </si>
  <si>
    <t>T2</t>
    <phoneticPr fontId="2" type="noConversion"/>
  </si>
  <si>
    <t>T3</t>
    <phoneticPr fontId="2" type="noConversion"/>
  </si>
  <si>
    <t>T4</t>
    <phoneticPr fontId="2" type="noConversion"/>
  </si>
  <si>
    <t>T5</t>
    <phoneticPr fontId="2" type="noConversion"/>
  </si>
  <si>
    <t>T6</t>
    <phoneticPr fontId="2" type="noConversion"/>
  </si>
  <si>
    <t>交易日期</t>
    <phoneticPr fontId="2" type="noConversion"/>
  </si>
  <si>
    <t>摘要</t>
    <phoneticPr fontId="2" type="noConversion"/>
  </si>
  <si>
    <t>外币代码</t>
    <phoneticPr fontId="2" type="noConversion"/>
  </si>
  <si>
    <t>外币金额</t>
    <phoneticPr fontId="2" type="noConversion"/>
  </si>
  <si>
    <t>本币金额</t>
    <phoneticPr fontId="2" type="noConversion"/>
  </si>
  <si>
    <t>T7</t>
    <phoneticPr fontId="2" type="noConversion"/>
  </si>
  <si>
    <t>T8</t>
    <phoneticPr fontId="2" type="noConversion"/>
  </si>
  <si>
    <t>T9</t>
    <phoneticPr fontId="2" type="noConversion"/>
  </si>
  <si>
    <t>1.在“Parameter”表中设置参数，如数据库、期间、凭证类型和制单员等</t>
    <phoneticPr fontId="5" type="noConversion"/>
  </si>
  <si>
    <t>2.设置“凭证录入”表中K1单元格的目标帐套</t>
    <phoneticPr fontId="5" type="noConversion"/>
  </si>
  <si>
    <t>3.在“凭证录入”表输入账务信息</t>
    <phoneticPr fontId="5" type="noConversion"/>
  </si>
  <si>
    <t>4.凭证输入完成后可点击“预览错误信息”查看错误</t>
    <phoneticPr fontId="5" type="noConversion"/>
  </si>
  <si>
    <t>5.可点击“生成SAF档”或“凭证直接转入预算档（K/E/H/G)”</t>
    <phoneticPr fontId="5" type="noConversion"/>
  </si>
  <si>
    <t>使用说明：</t>
    <phoneticPr fontId="5" type="noConversion"/>
  </si>
  <si>
    <t>凭证类型：</t>
    <phoneticPr fontId="5" type="noConversion"/>
  </si>
  <si>
    <t>制单员：</t>
    <phoneticPr fontId="5" type="noConversion"/>
  </si>
  <si>
    <t xml:space="preserve">a_rp(M_DB,"JD","Output=JD_Code,JD_Name","",,"Sortfld=,","","Extcode=JD","Lk=$C$10","Dx=0""Ws=Parameters!","","Noflds=","","" )_x000D_
</t>
    <phoneticPr fontId="2" type="noConversion"/>
  </si>
  <si>
    <t xml:space="preserve">a_rp(M_DB,"CA","Output=CA_Ac,CA_Nme,CA_AT","",,"Sortfld=,,","","Extcode=CA_Para","Lk=$C$11","Dx=1""Ws=Parameters!","","Noflds=","","" )_x000D_
</t>
    <phoneticPr fontId="2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</si>
  <si>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2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</si>
  <si>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2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</si>
  <si>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2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</si>
  <si>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2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</si>
  <si>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2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</si>
  <si>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2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</si>
  <si>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2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</si>
  <si>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2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</si>
  <si>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2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</si>
  <si>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2" type="noConversion"/>
  </si>
  <si>
    <t xml:space="preserve">a_rp(M_DB,"AP","Output=AP_Code","",,"Sortfld=","","Extcode=AP","Lk=$C$7","Dx=1""Ws=Parameters!","","Noflds=","","" )_x000D_
</t>
    <phoneticPr fontId="2" type="noConversion"/>
  </si>
  <si>
    <t>传票号码</t>
    <phoneticPr fontId="2" type="noConversion"/>
  </si>
  <si>
    <t>JI_budget</t>
  </si>
  <si>
    <t>CDT</t>
    <phoneticPr fontId="5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</si>
  <si>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</si>
  <si>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</si>
  <si>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</si>
  <si>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15" type="noConversion"/>
  </si>
  <si>
    <t>E</t>
    <phoneticPr fontId="2" type="noConversion"/>
  </si>
  <si>
    <t>传票号码不能为空</t>
    <phoneticPr fontId="5" type="noConversion"/>
  </si>
  <si>
    <t>外币代码不能为空</t>
    <phoneticPr fontId="5" type="noConversion"/>
  </si>
  <si>
    <t>外币金额不能为空</t>
    <phoneticPr fontId="5" type="noConversion"/>
  </si>
  <si>
    <t>本币金额不能为空</t>
    <phoneticPr fontId="5" type="noConversion"/>
  </si>
  <si>
    <t>请检查下列单元格的信息</t>
    <phoneticPr fontId="5" type="noConversion"/>
  </si>
  <si>
    <t>H39</t>
  </si>
  <si>
    <t>AB</t>
  </si>
  <si>
    <t>086</t>
  </si>
  <si>
    <t>E</t>
    <phoneticPr fontId="5" type="noConversion"/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</si>
  <si>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</si>
  <si>
    <t>{P12},K=T2,F={P13},K=T3,F={P14},K=T4,F={P15},K=T5,F={P16},K=T6,F={P17},K=T7,F={P18},K=T9,F={P19}",A3,M_JT,M_CP,J3,K3,L3,JNLSOURCE,O3,N3,M3,P3,Q3,R3,S3,T3,U3,V3,W3,Y3,"Setup=","Extcode=JI_A","Cell=凭证录入!$N$9","ChkErO=Y","","","","","Misc=1,0,0,1,0,0,0,1,1,0</t>
  </si>
  <si>
    <t xml:space="preserve">,1,9,0,,")_x000D_
</t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</si>
  <si>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</si>
  <si>
    <t>=T2,F={P13},K=T3,F={P14},K=T4,F={P15},K=T5,F={P16},K=T6,F={P17},K=T7,F={P18},K=T9,F={P19}",A3,M_JT,M_CP,J3,K3,L3,JNLSOURCE,O3,N3,M3,P3,Q3,R3,S3,T3,U3,V3,W3,Y3,"Setup=","Extcode=JI_budget","Cell=凭证录入!$N$9","ChkErO=Y","","MandConv=Y","","","Misc=1,0,1,1,0,0</t>
  </si>
  <si>
    <t xml:space="preserve">,0,1,1,0,1,9,0,,")_x000D_
</t>
  </si>
  <si>
    <t>AB</t>
    <phoneticPr fontId="2" type="noConversion"/>
  </si>
  <si>
    <t>A01</t>
  </si>
  <si>
    <t>020</t>
    <phoneticPr fontId="2" type="noConversion"/>
  </si>
  <si>
    <t>032</t>
    <phoneticPr fontId="2" type="noConversion"/>
  </si>
  <si>
    <t>034</t>
    <phoneticPr fontId="2" type="noConversion"/>
  </si>
  <si>
    <t>030</t>
    <phoneticPr fontId="2" type="noConversion"/>
  </si>
  <si>
    <t>033</t>
    <phoneticPr fontId="2" type="noConversion"/>
  </si>
  <si>
    <t>041</t>
    <phoneticPr fontId="2" type="noConversion"/>
  </si>
  <si>
    <t>010</t>
    <phoneticPr fontId="2" type="noConversion"/>
  </si>
  <si>
    <t>031</t>
    <phoneticPr fontId="2" type="noConversion"/>
  </si>
  <si>
    <t>A01</t>
    <phoneticPr fontId="2" type="noConversion"/>
  </si>
  <si>
    <t>UA1</t>
  </si>
  <si>
    <t>UA1</t>
    <phoneticPr fontId="2" type="noConversion"/>
  </si>
  <si>
    <t>冲预算账务</t>
  </si>
  <si>
    <t>冲预Writeoff-2014APS 佣金</t>
  </si>
  <si>
    <t>冲预Writeoff-2014APS 欠款</t>
  </si>
  <si>
    <t>冲预Writeoff-2014APS 押金</t>
  </si>
  <si>
    <t>冲预Writeoff-2014APS APF</t>
  </si>
  <si>
    <t>冲预Writeoff-2014APS LPF</t>
  </si>
  <si>
    <t>---------------------------</t>
  </si>
  <si>
    <t>分录转入过账报告</t>
  </si>
  <si>
    <r>
      <t>批次号码</t>
    </r>
    <r>
      <rPr>
        <sz val="10"/>
        <rFont val="Arial"/>
        <family val="2"/>
      </rPr>
      <t xml:space="preserve"> 0129001 </t>
    </r>
    <r>
      <rPr>
        <sz val="10"/>
        <rFont val="宋体"/>
        <family val="3"/>
        <charset val="134"/>
      </rPr>
      <t>成功过账到</t>
    </r>
    <r>
      <rPr>
        <sz val="10"/>
        <rFont val="Arial"/>
        <family val="2"/>
      </rPr>
      <t xml:space="preserve"> Budget E 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 xml:space="preserve"> CDT </t>
    </r>
    <r>
      <rPr>
        <sz val="10"/>
        <rFont val="宋体"/>
        <family val="3"/>
        <charset val="134"/>
      </rPr>
      <t>数据库</t>
    </r>
    <r>
      <rPr>
        <sz val="10"/>
        <rFont val="Arial"/>
        <family val="2"/>
      </rPr>
      <t xml:space="preserve"> (JI_budget)</t>
    </r>
  </si>
  <si>
    <t xml:space="preserve">OK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</si>
</sst>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m/d/yy;@"/>
    <numFmt numFmtId="210" formatCode="#,##0.00_);[Red]\(#,##0.00\)"/>
  </numFmts>
  <fonts count="72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sz val="8"/>
      <color indexed="81"/>
      <name val="Tahoma"/>
      <family val="2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b/>
      <sz val="12"/>
      <color indexed="81"/>
      <name val="宋体"/>
      <family val="3"/>
      <charset val="134"/>
    </font>
    <font>
      <b/>
      <sz val="12"/>
      <color indexed="81"/>
      <name val="Tahoma"/>
      <family val="2"/>
    </font>
    <font>
      <b/>
      <sz val="10"/>
      <name val="Arial"/>
      <family val="2"/>
    </font>
    <font>
      <sz val="10"/>
      <color indexed="81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b/>
      <sz val="8"/>
      <color rgb="FF0000FF"/>
      <name val="Arial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  <font>
      <sz val="11"/>
      <name val="宋体"/>
      <family val="3"/>
      <charset val="134"/>
    </font>
    <font>
      <sz val="1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957">
    <xf numFmtId="0" fontId="0" fillId="0" borderId="0" applyNumberFormat="0" applyFill="0" applyBorder="0" applyAlignment="0" applyProtection="0"/>
    <xf numFmtId="0" fontId="3" fillId="0" borderId="0"/>
    <xf numFmtId="0" fontId="1" fillId="0" borderId="0"/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0" fontId="23" fillId="0" borderId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3" fillId="0" borderId="0"/>
    <xf numFmtId="0" fontId="23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0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1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9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9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0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3" fillId="0" borderId="0"/>
    <xf numFmtId="0" fontId="23" fillId="0" borderId="0"/>
    <xf numFmtId="0" fontId="23" fillId="0" borderId="0"/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>
      <protection locked="0"/>
    </xf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2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183" fontId="22" fillId="0" borderId="0" applyFill="0" applyBorder="0" applyProtection="0">
      <alignment horizontal="right"/>
    </xf>
    <xf numFmtId="184" fontId="22" fillId="0" borderId="0" applyFill="0" applyBorder="0" applyProtection="0">
      <alignment horizontal="right"/>
    </xf>
    <xf numFmtId="185" fontId="25" fillId="0" borderId="0" applyFill="0" applyBorder="0" applyProtection="0">
      <alignment horizontal="center"/>
    </xf>
    <xf numFmtId="186" fontId="25" fillId="0" borderId="0" applyFill="0" applyBorder="0" applyProtection="0">
      <alignment horizontal="center"/>
    </xf>
    <xf numFmtId="187" fontId="26" fillId="0" borderId="0" applyFill="0" applyBorder="0" applyProtection="0">
      <alignment horizontal="right"/>
    </xf>
    <xf numFmtId="188" fontId="22" fillId="0" borderId="0" applyFill="0" applyBorder="0" applyProtection="0">
      <alignment horizontal="right"/>
    </xf>
    <xf numFmtId="189" fontId="22" fillId="0" borderId="0" applyFill="0" applyBorder="0" applyProtection="0">
      <alignment horizontal="right"/>
    </xf>
    <xf numFmtId="190" fontId="22" fillId="0" borderId="0" applyFill="0" applyBorder="0" applyProtection="0">
      <alignment horizontal="right"/>
    </xf>
    <xf numFmtId="191" fontId="22" fillId="0" borderId="0" applyFill="0" applyBorder="0" applyProtection="0">
      <alignment horizontal="right"/>
    </xf>
    <xf numFmtId="0" fontId="1" fillId="0" borderId="0" applyNumberFormat="0" applyFill="0" applyBorder="0" applyAlignment="0" applyProtection="0"/>
    <xf numFmtId="192" fontId="27" fillId="0" borderId="0">
      <alignment horizontal="centerContinuous"/>
    </xf>
    <xf numFmtId="193" fontId="28" fillId="0" borderId="0" applyFill="0" applyBorder="0" applyAlignment="0"/>
    <xf numFmtId="194" fontId="9" fillId="0" borderId="0" applyFill="0" applyBorder="0" applyAlignment="0"/>
    <xf numFmtId="182" fontId="9" fillId="0" borderId="0" applyFill="0" applyBorder="0" applyAlignment="0"/>
    <xf numFmtId="195" fontId="1" fillId="0" borderId="0" applyFill="0" applyBorder="0" applyAlignment="0"/>
    <xf numFmtId="196" fontId="1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29" fillId="0" borderId="0"/>
    <xf numFmtId="178" fontId="9" fillId="0" borderId="0" applyFont="0" applyFill="0" applyBorder="0" applyAlignment="0" applyProtection="0"/>
    <xf numFmtId="198" fontId="30" fillId="0" borderId="0">
      <protection locked="0"/>
    </xf>
    <xf numFmtId="194" fontId="9" fillId="0" borderId="0" applyFont="0" applyFill="0" applyBorder="0" applyAlignment="0" applyProtection="0"/>
    <xf numFmtId="198" fontId="30" fillId="0" borderId="0">
      <protection locked="0"/>
    </xf>
    <xf numFmtId="198" fontId="30" fillId="0" borderId="0">
      <protection locked="0"/>
    </xf>
    <xf numFmtId="14" fontId="24" fillId="0" borderId="0" applyFill="0" applyBorder="0" applyAlignment="0"/>
    <xf numFmtId="0" fontId="3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199" fontId="22" fillId="0" borderId="0" applyFont="0" applyFill="0" applyBorder="0" applyAlignment="0" applyProtection="0"/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198" fontId="30" fillId="0" borderId="0">
      <protection locked="0"/>
    </xf>
    <xf numFmtId="38" fontId="5" fillId="2" borderId="0" applyNumberFormat="0" applyBorder="0" applyAlignment="0" applyProtection="0"/>
    <xf numFmtId="0" fontId="32" fillId="0" borderId="0">
      <alignment horizontal="left"/>
    </xf>
    <xf numFmtId="0" fontId="33" fillId="0" borderId="1" applyNumberFormat="0" applyAlignment="0" applyProtection="0">
      <alignment horizontal="left" vertical="center"/>
    </xf>
    <xf numFmtId="0" fontId="33" fillId="0" borderId="2">
      <alignment horizontal="left" vertical="center"/>
    </xf>
    <xf numFmtId="200" fontId="1" fillId="0" borderId="0">
      <protection locked="0"/>
    </xf>
    <xf numFmtId="200" fontId="1" fillId="0" borderId="0">
      <protection locked="0"/>
    </xf>
    <xf numFmtId="10" fontId="5" fillId="3" borderId="3" applyNumberFormat="0" applyBorder="0" applyAlignment="0" applyProtection="0"/>
    <xf numFmtId="44" fontId="34" fillId="0" borderId="0">
      <alignment horizontal="center" vertical="center"/>
      <protection locked="0"/>
    </xf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35" fillId="0" borderId="4"/>
    <xf numFmtId="176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0" fontId="36" fillId="4" borderId="5">
      <alignment horizontal="center"/>
    </xf>
    <xf numFmtId="37" fontId="37" fillId="0" borderId="0"/>
    <xf numFmtId="0" fontId="1" fillId="0" borderId="0"/>
    <xf numFmtId="0" fontId="38" fillId="0" borderId="0"/>
    <xf numFmtId="0" fontId="1" fillId="0" borderId="0"/>
    <xf numFmtId="196" fontId="1" fillId="0" borderId="0" applyFont="0" applyFill="0" applyBorder="0" applyAlignment="0" applyProtection="0"/>
    <xf numFmtId="201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202" fontId="7" fillId="0" borderId="0"/>
    <xf numFmtId="0" fontId="9" fillId="0" borderId="0"/>
    <xf numFmtId="0" fontId="21" fillId="0" borderId="0"/>
    <xf numFmtId="0" fontId="35" fillId="0" borderId="0"/>
    <xf numFmtId="49" fontId="24" fillId="0" borderId="0" applyFill="0" applyBorder="0" applyAlignment="0"/>
    <xf numFmtId="203" fontId="1" fillId="0" borderId="0" applyFill="0" applyBorder="0" applyAlignment="0"/>
    <xf numFmtId="204" fontId="1" fillId="0" borderId="0" applyFill="0" applyBorder="0" applyAlignment="0"/>
    <xf numFmtId="180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205" fontId="1" fillId="0" borderId="0" applyFont="0" applyFill="0" applyBorder="0" applyAlignment="0" applyProtection="0"/>
    <xf numFmtId="206" fontId="1" fillId="0" borderId="0" applyFont="0" applyFill="0" applyBorder="0" applyAlignment="0" applyProtection="0"/>
    <xf numFmtId="0" fontId="15" fillId="0" borderId="0"/>
    <xf numFmtId="0" fontId="3" fillId="0" borderId="0" applyNumberFormat="0" applyFill="0" applyBorder="0" applyAlignment="0" applyProtection="0"/>
    <xf numFmtId="177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179" fontId="1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39" fontId="41" fillId="0" borderId="0" applyFill="0" applyBorder="0" applyProtection="0"/>
    <xf numFmtId="0" fontId="3" fillId="0" borderId="0"/>
    <xf numFmtId="0" fontId="1" fillId="0" borderId="0"/>
    <xf numFmtId="0" fontId="3" fillId="0" borderId="0">
      <alignment vertical="center"/>
    </xf>
    <xf numFmtId="9" fontId="39" fillId="0" borderId="0" applyFont="0" applyFill="0" applyBorder="0" applyAlignment="0" applyProtection="0"/>
    <xf numFmtId="0" fontId="42" fillId="0" borderId="0"/>
    <xf numFmtId="0" fontId="22" fillId="0" borderId="0"/>
    <xf numFmtId="0" fontId="1" fillId="0" borderId="0" applyNumberFormat="0" applyFill="0" applyBorder="0" applyAlignment="0" applyProtection="0"/>
    <xf numFmtId="17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1" fillId="0" borderId="0"/>
    <xf numFmtId="207" fontId="39" fillId="0" borderId="0" applyFont="0" applyFill="0" applyBorder="0" applyAlignment="0" applyProtection="0"/>
    <xf numFmtId="208" fontId="39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9" fillId="0" borderId="0"/>
    <xf numFmtId="41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179" fontId="1" fillId="0" borderId="0" applyFont="0" applyFill="0" applyBorder="0" applyAlignment="0" applyProtection="0"/>
  </cellStyleXfs>
  <cellXfs count="120">
    <xf numFmtId="0" fontId="0" fillId="0" borderId="0" xfId="0"/>
    <xf numFmtId="0" fontId="52" fillId="0" borderId="0" xfId="0" applyFont="1" applyAlignment="1"/>
    <xf numFmtId="0" fontId="52" fillId="0" borderId="0" xfId="0" applyFont="1" applyAlignment="1">
      <alignment vertical="center"/>
    </xf>
    <xf numFmtId="0" fontId="51" fillId="0" borderId="0" xfId="941" applyFont="1" applyAlignment="1">
      <alignment horizontal="left" vertical="center"/>
    </xf>
    <xf numFmtId="20" fontId="51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3" fillId="0" borderId="0" xfId="941">
      <alignment vertical="center"/>
    </xf>
    <xf numFmtId="49" fontId="0" fillId="0" borderId="0" xfId="0" applyNumberFormat="1" applyAlignment="1">
      <alignment wrapText="1"/>
    </xf>
    <xf numFmtId="0" fontId="16" fillId="5" borderId="0" xfId="908" applyFont="1" applyFill="1" applyBorder="1"/>
    <xf numFmtId="0" fontId="17" fillId="5" borderId="0" xfId="908" applyFont="1" applyFill="1" applyBorder="1"/>
    <xf numFmtId="0" fontId="3" fillId="0" borderId="0" xfId="941" applyBorder="1">
      <alignment vertical="center"/>
    </xf>
    <xf numFmtId="0" fontId="12" fillId="5" borderId="6" xfId="908" applyFont="1" applyFill="1" applyBorder="1"/>
    <xf numFmtId="0" fontId="18" fillId="6" borderId="7" xfId="940" applyFont="1" applyFill="1" applyBorder="1" applyAlignment="1">
      <alignment horizontal="left" indent="1"/>
    </xf>
    <xf numFmtId="0" fontId="6" fillId="6" borderId="8" xfId="940" applyFont="1" applyFill="1" applyBorder="1"/>
    <xf numFmtId="0" fontId="6" fillId="6" borderId="9" xfId="940" applyFont="1" applyFill="1" applyBorder="1"/>
    <xf numFmtId="0" fontId="8" fillId="7" borderId="10" xfId="940" applyFont="1" applyFill="1" applyBorder="1" applyAlignment="1">
      <alignment horizontal="left" indent="1"/>
    </xf>
    <xf numFmtId="49" fontId="8" fillId="7" borderId="10" xfId="940" applyNumberFormat="1" applyFont="1" applyFill="1" applyBorder="1" applyAlignment="1">
      <alignment horizontal="left" indent="1"/>
    </xf>
    <xf numFmtId="0" fontId="31" fillId="0" borderId="0" xfId="941" applyFont="1" applyBorder="1">
      <alignment vertical="center"/>
    </xf>
    <xf numFmtId="0" fontId="19" fillId="0" borderId="10" xfId="940" applyFont="1" applyBorder="1"/>
    <xf numFmtId="0" fontId="19" fillId="0" borderId="0" xfId="940" applyFont="1" applyBorder="1"/>
    <xf numFmtId="0" fontId="19" fillId="0" borderId="11" xfId="940" applyFont="1" applyBorder="1"/>
    <xf numFmtId="0" fontId="43" fillId="7" borderId="12" xfId="940" applyFont="1" applyFill="1" applyBorder="1"/>
    <xf numFmtId="0" fontId="43" fillId="7" borderId="13" xfId="940" applyFont="1" applyFill="1" applyBorder="1"/>
    <xf numFmtId="0" fontId="43" fillId="7" borderId="14" xfId="940" applyFont="1" applyFill="1" applyBorder="1"/>
    <xf numFmtId="0" fontId="45" fillId="7" borderId="11" xfId="940" applyFont="1" applyFill="1" applyBorder="1"/>
    <xf numFmtId="0" fontId="45" fillId="5" borderId="15" xfId="940" quotePrefix="1" applyNumberFormat="1" applyFont="1" applyFill="1" applyBorder="1" applyAlignment="1">
      <alignment horizontal="center"/>
    </xf>
    <xf numFmtId="0" fontId="31" fillId="7" borderId="11" xfId="941" applyFont="1" applyFill="1" applyBorder="1">
      <alignment vertical="center"/>
    </xf>
    <xf numFmtId="0" fontId="45" fillId="5" borderId="15" xfId="941" applyFont="1" applyFill="1" applyBorder="1" applyAlignment="1">
      <alignment vertical="center"/>
    </xf>
    <xf numFmtId="0" fontId="44" fillId="7" borderId="10" xfId="940" applyFont="1" applyFill="1" applyBorder="1" applyAlignment="1">
      <alignment horizontal="left" indent="1"/>
    </xf>
    <xf numFmtId="0" fontId="46" fillId="7" borderId="10" xfId="940" applyFont="1" applyFill="1" applyBorder="1" applyAlignment="1">
      <alignment horizontal="left" indent="1"/>
    </xf>
    <xf numFmtId="0" fontId="47" fillId="5" borderId="15" xfId="941" applyFont="1" applyFill="1" applyBorder="1" applyAlignment="1">
      <alignment vertical="center"/>
    </xf>
    <xf numFmtId="0" fontId="44" fillId="7" borderId="16" xfId="940" applyFont="1" applyFill="1" applyBorder="1" applyAlignment="1">
      <alignment horizontal="left" indent="1"/>
    </xf>
    <xf numFmtId="0" fontId="45" fillId="5" borderId="17" xfId="941" applyFont="1" applyFill="1" applyBorder="1" applyAlignment="1">
      <alignment vertical="center"/>
    </xf>
    <xf numFmtId="0" fontId="31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50" fillId="0" borderId="0" xfId="941" applyFont="1" applyBorder="1">
      <alignment vertical="center"/>
    </xf>
    <xf numFmtId="0" fontId="53" fillId="0" borderId="0" xfId="941" applyFont="1" applyAlignment="1">
      <alignment vertical="center"/>
    </xf>
    <xf numFmtId="0" fontId="3" fillId="0" borderId="0" xfId="941" applyFill="1" applyBorder="1">
      <alignment vertical="center"/>
    </xf>
    <xf numFmtId="0" fontId="43" fillId="0" borderId="0" xfId="940" applyFont="1" applyFill="1" applyBorder="1"/>
    <xf numFmtId="0" fontId="31" fillId="0" borderId="0" xfId="941" applyFont="1" applyFill="1" applyBorder="1">
      <alignment vertical="center"/>
    </xf>
    <xf numFmtId="0" fontId="18" fillId="0" borderId="0" xfId="940" applyFont="1" applyFill="1" applyBorder="1" applyAlignment="1">
      <alignment horizontal="left" indent="1"/>
    </xf>
    <xf numFmtId="0" fontId="6" fillId="0" borderId="0" xfId="940" applyFont="1" applyFill="1" applyBorder="1"/>
    <xf numFmtId="0" fontId="8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8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1" fillId="0" borderId="0" xfId="941" applyFont="1" applyFill="1" applyBorder="1" applyAlignment="1">
      <alignment horizontal="center" vertical="center"/>
    </xf>
    <xf numFmtId="0" fontId="11" fillId="5" borderId="0" xfId="0" applyFont="1" applyFill="1" applyAlignment="1" applyProtection="1">
      <alignment horizontal="left"/>
      <protection locked="0"/>
    </xf>
    <xf numFmtId="0" fontId="10" fillId="5" borderId="19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protection locked="0"/>
    </xf>
    <xf numFmtId="0" fontId="11" fillId="0" borderId="0" xfId="0" applyFont="1" applyFill="1" applyAlignment="1" applyProtection="1">
      <protection locked="0"/>
    </xf>
    <xf numFmtId="0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0" fontId="49" fillId="8" borderId="3" xfId="0" applyNumberFormat="1" applyFont="1" applyFill="1" applyBorder="1" applyAlignment="1" applyProtection="1">
      <alignment horizontal="left" vertical="center" wrapText="1"/>
      <protection locked="0"/>
    </xf>
    <xf numFmtId="0" fontId="10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protection locked="0"/>
    </xf>
    <xf numFmtId="179" fontId="11" fillId="0" borderId="0" xfId="932" applyFont="1" applyAlignment="1" applyProtection="1">
      <protection locked="0"/>
    </xf>
    <xf numFmtId="0" fontId="59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11" fillId="5" borderId="0" xfId="0" applyNumberFormat="1" applyFont="1" applyFill="1" applyAlignment="1" applyProtection="1">
      <alignment horizontal="left"/>
      <protection locked="0"/>
    </xf>
    <xf numFmtId="4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0" fontId="31" fillId="0" borderId="0" xfId="941" applyFont="1" applyBorder="1" applyAlignment="1">
      <alignment vertical="center"/>
    </xf>
    <xf numFmtId="0" fontId="51" fillId="0" borderId="0" xfId="941" applyFont="1" applyBorder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941" applyFont="1" applyAlignment="1">
      <alignment vertical="center"/>
    </xf>
    <xf numFmtId="0" fontId="3" fillId="0" borderId="0" xfId="941" applyBorder="1" applyAlignment="1">
      <alignment vertical="center"/>
    </xf>
    <xf numFmtId="20" fontId="61" fillId="0" borderId="0" xfId="941" applyNumberFormat="1" applyFont="1" applyAlignment="1">
      <alignment vertical="center"/>
    </xf>
    <xf numFmtId="0" fontId="62" fillId="0" borderId="0" xfId="941" applyFont="1">
      <alignment vertical="center"/>
    </xf>
    <xf numFmtId="0" fontId="63" fillId="0" borderId="0" xfId="941" applyFont="1" applyBorder="1">
      <alignment vertical="center"/>
    </xf>
    <xf numFmtId="0" fontId="62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209" fontId="48" fillId="10" borderId="21" xfId="0" applyNumberFormat="1" applyFont="1" applyFill="1" applyBorder="1" applyAlignment="1" applyProtection="1">
      <alignment horizontal="center" vertical="center"/>
    </xf>
    <xf numFmtId="20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209" fontId="11" fillId="0" borderId="0" xfId="0" applyNumberFormat="1" applyFont="1" applyAlignment="1" applyProtection="1">
      <alignment horizontal="left"/>
      <protection locked="0"/>
    </xf>
    <xf numFmtId="40" fontId="11" fillId="5" borderId="0" xfId="932" applyNumberFormat="1" applyFont="1" applyFill="1" applyAlignment="1" applyProtection="1">
      <protection locked="0"/>
    </xf>
    <xf numFmtId="40" fontId="10" fillId="8" borderId="3" xfId="932" applyNumberFormat="1" applyFont="1" applyFill="1" applyBorder="1" applyAlignment="1" applyProtection="1">
      <alignment horizontal="center" vertical="center" wrapText="1"/>
      <protection locked="0"/>
    </xf>
    <xf numFmtId="40" fontId="11" fillId="0" borderId="0" xfId="932" applyNumberFormat="1" applyFont="1" applyAlignment="1" applyProtection="1">
      <protection locked="0"/>
    </xf>
    <xf numFmtId="49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11" fillId="5" borderId="0" xfId="0" applyNumberFormat="1" applyFont="1" applyFill="1" applyAlignment="1" applyProtection="1">
      <protection locked="0"/>
    </xf>
    <xf numFmtId="49" fontId="11" fillId="0" borderId="0" xfId="0" applyNumberFormat="1" applyFont="1" applyFill="1" applyAlignment="1" applyProtection="1">
      <protection locked="0"/>
    </xf>
    <xf numFmtId="0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alignment horizontal="left"/>
      <protection locked="0"/>
    </xf>
    <xf numFmtId="14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applyFont="1" applyFill="1" applyAlignment="1" applyProtection="1">
      <alignment horizontal="left"/>
      <protection locked="0"/>
    </xf>
    <xf numFmtId="210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protection locked="0"/>
    </xf>
    <xf numFmtId="0" fontId="11" fillId="0" borderId="0" xfId="0" quotePrefix="1" applyNumberFormat="1" applyFont="1" applyFill="1" applyAlignment="1" applyProtection="1">
      <alignment horizontal="left"/>
      <protection locked="0"/>
    </xf>
    <xf numFmtId="179" fontId="11" fillId="0" borderId="0" xfId="956" applyFont="1" applyFill="1"/>
    <xf numFmtId="0" fontId="11" fillId="0" borderId="0" xfId="0" applyFont="1" applyFill="1"/>
    <xf numFmtId="49" fontId="11" fillId="0" borderId="0" xfId="0" applyNumberFormat="1" applyFont="1" applyFill="1" applyAlignment="1" applyProtection="1">
      <alignment horizontal="left"/>
      <protection locked="0"/>
    </xf>
    <xf numFmtId="0" fontId="0" fillId="0" borderId="0" xfId="0" applyFill="1"/>
    <xf numFmtId="210" fontId="11" fillId="0" borderId="0" xfId="956" applyNumberFormat="1" applyFont="1" applyFill="1" applyAlignment="1">
      <alignment horizontal="left"/>
    </xf>
    <xf numFmtId="210" fontId="11" fillId="0" borderId="0" xfId="956" applyNumberFormat="1" applyFont="1" applyAlignment="1" applyProtection="1">
      <alignment horizontal="left"/>
      <protection locked="0"/>
    </xf>
    <xf numFmtId="49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956" applyNumberFormat="1" applyFont="1" applyAlignment="1" applyProtection="1">
      <alignment horizontal="left"/>
      <protection locked="0"/>
    </xf>
    <xf numFmtId="179" fontId="11" fillId="0" borderId="0" xfId="956" applyFont="1" applyFill="1" applyAlignment="1" applyProtection="1">
      <alignment horizontal="left"/>
      <protection locked="0"/>
    </xf>
    <xf numFmtId="0" fontId="70" fillId="0" borderId="0" xfId="0" applyFont="1" applyFill="1" applyAlignment="1" applyProtection="1">
      <alignment horizontal="left"/>
      <protection locked="0"/>
    </xf>
    <xf numFmtId="0" fontId="11" fillId="12" borderId="0" xfId="0" applyNumberFormat="1" applyFont="1" applyFill="1" applyAlignment="1" applyProtection="1">
      <alignment horizontal="left"/>
      <protection locked="0"/>
    </xf>
    <xf numFmtId="0" fontId="11" fillId="12" borderId="0" xfId="0" quotePrefix="1" applyFont="1" applyFill="1" applyAlignment="1" applyProtection="1">
      <alignment horizontal="left"/>
      <protection locked="0"/>
    </xf>
    <xf numFmtId="0" fontId="11" fillId="12" borderId="0" xfId="0" applyFont="1" applyFill="1" applyAlignment="1" applyProtection="1">
      <alignment horizontal="left"/>
      <protection locked="0"/>
    </xf>
    <xf numFmtId="0" fontId="70" fillId="12" borderId="0" xfId="0" applyFont="1" applyFill="1" applyAlignment="1" applyProtection="1">
      <alignment horizontal="left"/>
      <protection locked="0"/>
    </xf>
    <xf numFmtId="210" fontId="11" fillId="12" borderId="0" xfId="956" applyNumberFormat="1" applyFont="1" applyFill="1" applyAlignment="1" applyProtection="1">
      <alignment horizontal="left"/>
      <protection locked="0"/>
    </xf>
    <xf numFmtId="0" fontId="11" fillId="12" borderId="0" xfId="956" applyNumberFormat="1" applyFont="1" applyFill="1" applyAlignment="1" applyProtection="1">
      <alignment horizontal="left"/>
      <protection locked="0"/>
    </xf>
    <xf numFmtId="0" fontId="11" fillId="12" borderId="0" xfId="0" applyFont="1" applyFill="1" applyAlignment="1" applyProtection="1">
      <protection locked="0"/>
    </xf>
    <xf numFmtId="0" fontId="11" fillId="12" borderId="0" xfId="0" quotePrefix="1" applyFont="1" applyFill="1" applyAlignment="1" applyProtection="1">
      <protection locked="0"/>
    </xf>
    <xf numFmtId="0" fontId="11" fillId="12" borderId="0" xfId="0" quotePrefix="1" applyNumberFormat="1" applyFont="1" applyFill="1" applyAlignment="1" applyProtection="1">
      <alignment horizontal="left"/>
      <protection locked="0"/>
    </xf>
    <xf numFmtId="210" fontId="11" fillId="0" borderId="0" xfId="0" applyNumberFormat="1" applyFont="1" applyFill="1" applyAlignment="1" applyProtection="1">
      <protection locked="0"/>
    </xf>
    <xf numFmtId="0" fontId="13" fillId="5" borderId="6" xfId="908" applyFont="1" applyFill="1" applyBorder="1" applyAlignment="1">
      <alignment vertical="center" wrapText="1"/>
    </xf>
    <xf numFmtId="0" fontId="71" fillId="0" borderId="0" xfId="0" applyFont="1"/>
  </cellXfs>
  <cellStyles count="957">
    <cellStyle name="??" xfId="1"/>
    <cellStyle name="?鹎%U龡&amp;H?_x0008_e_x0005_9_x0006__x0007__x0001__x0001_" xfId="2"/>
    <cellStyle name="@_text" xfId="3"/>
    <cellStyle name="@_text_Deferred tax final voucher-SH" xfId="4"/>
    <cellStyle name="@_text_Deferred tax final voucher-template-SH" xfId="5"/>
    <cellStyle name="@_text_GAAP Voucher Template_ZA_CY0110" xfId="6"/>
    <cellStyle name="@_text_Reconciliation for B659&amp;A295 on TB level" xfId="7"/>
    <cellStyle name="@_text_Sheet1" xfId="8"/>
    <cellStyle name="_~1538174" xfId="9"/>
    <cellStyle name="_~1894191" xfId="10"/>
    <cellStyle name="_~2779875" xfId="11"/>
    <cellStyle name="_~2779875_~1894191" xfId="12"/>
    <cellStyle name="_~2779875_~1894191_reserve" xfId="13"/>
    <cellStyle name="_~2779875_DT-wp" xfId="14"/>
    <cellStyle name="_~2779875_FA openning balance-2005" xfId="15"/>
    <cellStyle name="_~2779875_FA openning balance-2005_~1894191" xfId="16"/>
    <cellStyle name="_~2779875_FA openning balance-2005_~1894191_reserve" xfId="17"/>
    <cellStyle name="_~2779875_FA openning balance-2005_Opening Balance 2006_AIA SZ 0310 WP" xfId="18"/>
    <cellStyle name="_~2779875_FA openning balance-2005_Opening Balance 2006_AIA SZ 0310 WP_reserve" xfId="19"/>
    <cellStyle name="_~2779875_FA openning balance-2005_Opening Balance 2006_AIA SZ 0310 WP_Spreadsheet AIA BJ 2007_20080408_v2" xfId="20"/>
    <cellStyle name="_~2779875_FA openning balance-2005_Spreadsheet AIA BJ 2007_20080312_V3" xfId="21"/>
    <cellStyle name="_~2779875_FA openning balance-2005_Spreadsheet AIA BJ 2007_20080312_V3_reserve" xfId="22"/>
    <cellStyle name="_~2779875_FA openning balance-2005_Spreadsheet AIA BJ 2007_20080312_V3_Spreadsheet AIA BJ 2007_20080408_v2" xfId="23"/>
    <cellStyle name="_~2779875_FA openning balance-2005_Spreadsheet AIA BJ 2007_20080328" xfId="24"/>
    <cellStyle name="_~2779875_FA openning balance-2005_Spreadsheet AIA BJ 2007_20080328_reserve" xfId="25"/>
    <cellStyle name="_~2779875_FA openning balance-2005_Spreadsheet AIA BJ 2007_20080328_v1" xfId="26"/>
    <cellStyle name="_~2779875_FA openning balance-2005_Spreadsheet AIA BJ 2007_20080328_v1_reserve" xfId="27"/>
    <cellStyle name="_~2779875_FA openning balance-2005_Working Paper of AIABJ 2008 - DT - V2" xfId="28"/>
    <cellStyle name="_~2779875_FA openning balance-2005_Working Paper of AIABJ 2008 - DT - V2_reserve" xfId="29"/>
    <cellStyle name="_~2779875_FA openning balance-2005_Working Paper of AIABJ 2008 - DT - V2_Spreadsheet AIA BJ 2007_20080408_v2" xfId="30"/>
    <cellStyle name="_~2779875_FA openning balance-2006" xfId="31"/>
    <cellStyle name="_~2779875_FA openning balance-2006_~1894191" xfId="32"/>
    <cellStyle name="_~2779875_FA openning balance-2006_~1894191_reserve" xfId="33"/>
    <cellStyle name="_~2779875_FA openning balance-2006_Opening Balance 2006_AIA SZ 0310 WP" xfId="34"/>
    <cellStyle name="_~2779875_FA openning balance-2006_Opening Balance 2006_AIA SZ 0310 WP_reserve" xfId="35"/>
    <cellStyle name="_~2779875_FA openning balance-2006_Opening Balance 2006_AIA SZ 0310 WP_Spreadsheet AIA BJ 2007_20080408_v2" xfId="36"/>
    <cellStyle name="_~2779875_FA openning balance-2006_Spreadsheet AIA BJ 2007_20080312_V3" xfId="37"/>
    <cellStyle name="_~2779875_FA openning balance-2006_Spreadsheet AIA BJ 2007_20080312_V3_reserve" xfId="38"/>
    <cellStyle name="_~2779875_FA openning balance-2006_Spreadsheet AIA BJ 2007_20080312_V3_Spreadsheet AIA BJ 2007_20080408_v2" xfId="39"/>
    <cellStyle name="_~2779875_FA openning balance-2006_Spreadsheet AIA BJ 2007_20080328" xfId="40"/>
    <cellStyle name="_~2779875_FA openning balance-2006_Spreadsheet AIA BJ 2007_20080328_reserve" xfId="41"/>
    <cellStyle name="_~2779875_FA openning balance-2006_Spreadsheet AIA BJ 2007_20080328_v1" xfId="42"/>
    <cellStyle name="_~2779875_FA openning balance-2006_Spreadsheet AIA BJ 2007_20080328_v1_reserve" xfId="43"/>
    <cellStyle name="_~2779875_FA openning balance-2006_Working Paper of AIABJ 2008 - DT - V2" xfId="44"/>
    <cellStyle name="_~2779875_FA openning balance-2006_Working Paper of AIABJ 2008 - DT - V2_reserve" xfId="45"/>
    <cellStyle name="_~2779875_FA openning balance-2006_Working Paper of AIABJ 2008 - DT - V2_Spreadsheet AIA BJ 2007_20080408_v2" xfId="46"/>
    <cellStyle name="_~2779875_OP balance" xfId="47"/>
    <cellStyle name="_~2779875_OP balance_~1894191" xfId="48"/>
    <cellStyle name="_~2779875_OP balance_~1894191_reserve" xfId="49"/>
    <cellStyle name="_~2779875_OP balance_Opening Balance 2006_AIA SZ 0310 WP" xfId="50"/>
    <cellStyle name="_~2779875_OP balance_Opening Balance 2006_AIA SZ 0310 WP_reserve" xfId="51"/>
    <cellStyle name="_~2779875_OP balance_Opening Balance 2006_AIA SZ 0310 WP_Spreadsheet AIA BJ 2007_20080408_v2" xfId="52"/>
    <cellStyle name="_~2779875_OP balance_Spreadsheet AIA BJ 2007_20080312_V3" xfId="53"/>
    <cellStyle name="_~2779875_OP balance_Spreadsheet AIA BJ 2007_20080312_V3_reserve" xfId="54"/>
    <cellStyle name="_~2779875_OP balance_Spreadsheet AIA BJ 2007_20080312_V3_Spreadsheet AIA BJ 2007_20080408_v2" xfId="55"/>
    <cellStyle name="_~2779875_OP balance_Spreadsheet AIA BJ 2007_20080328" xfId="56"/>
    <cellStyle name="_~2779875_OP balance_Spreadsheet AIA BJ 2007_20080328_reserve" xfId="57"/>
    <cellStyle name="_~2779875_OP balance_Spreadsheet AIA BJ 2007_20080328_v1" xfId="58"/>
    <cellStyle name="_~2779875_OP balance_Spreadsheet AIA BJ 2007_20080328_v1_reserve" xfId="59"/>
    <cellStyle name="_~2779875_OP balance_Working Paper of AIABJ 2008 - DT - V2" xfId="60"/>
    <cellStyle name="_~2779875_OP balance_Working Paper of AIABJ 2008 - DT - V2_reserve" xfId="61"/>
    <cellStyle name="_~2779875_OP balance_Working Paper of AIABJ 2008 - DT - V2_Spreadsheet AIA BJ 2007_20080408_v2" xfId="62"/>
    <cellStyle name="_~2779875_Spreadsheet AIA BJ 2007_20080328" xfId="63"/>
    <cellStyle name="_~2779875_Spreadsheet AIA BJ 2007_20080328_reserve" xfId="64"/>
    <cellStyle name="_~2779875_Spreadsheet AIA BJ 2007_20080328_v1" xfId="65"/>
    <cellStyle name="_~2779875_Spreadsheet AIA BJ 2007_20080328_v1_reserve" xfId="66"/>
    <cellStyle name="_~2779875_Spreadsheet AIA BJ 2007_20080408_v2" xfId="67"/>
    <cellStyle name="_~2779875_Tax projection 20080331" xfId="68"/>
    <cellStyle name="_~2779875_所得税调整BJ" xfId="69"/>
    <cellStyle name="_~2779875_所得税调整BJ_Opening Balance 2006_AIA SZ 0310 WP" xfId="70"/>
    <cellStyle name="_~2779875_所得税调整BJ_Opening Balance 2006_AIA SZ 0310 WP_reserve" xfId="71"/>
    <cellStyle name="_~2779875_所得税调整BJ_Opening Balance 2006_AIA SZ 0310 WP_Spreadsheet AIA BJ 2007_20080408_v2" xfId="72"/>
    <cellStyle name="_~2779875_所得税调整BJ_reserve" xfId="73"/>
    <cellStyle name="_~3458097" xfId="74"/>
    <cellStyle name="_~3458097_GAAP Voucher Template_ZA_CY0110" xfId="75"/>
    <cellStyle name="_~8808434" xfId="76"/>
    <cellStyle name="_~8808434_~1894191" xfId="77"/>
    <cellStyle name="_~8808434_~1894191_reserve" xfId="78"/>
    <cellStyle name="_~8808434_DT-wp" xfId="79"/>
    <cellStyle name="_~8808434_Spreadsheet AIA BJ 2007_20080328" xfId="80"/>
    <cellStyle name="_~8808434_Spreadsheet AIA BJ 2007_20080328_reserve" xfId="81"/>
    <cellStyle name="_~8808434_Spreadsheet AIA BJ 2007_20080328_v1" xfId="82"/>
    <cellStyle name="_~8808434_Spreadsheet AIA BJ 2007_20080328_v1_reserve" xfId="83"/>
    <cellStyle name="_~8808434_Spreadsheet AIA BJ 2007_20080408_v2" xfId="84"/>
    <cellStyle name="_~8808434_Tax projection 20080331" xfId="85"/>
    <cellStyle name="_~8808434_所得税调整BJ" xfId="86"/>
    <cellStyle name="_~8808434_所得税调整BJ_Opening Balance 2006_AIA SZ 0310 WP" xfId="87"/>
    <cellStyle name="_~8808434_所得税调整BJ_Opening Balance 2006_AIA SZ 0310 WP_reserve" xfId="88"/>
    <cellStyle name="_~8808434_所得税调整BJ_Opening Balance 2006_AIA SZ 0310 WP_Spreadsheet AIA BJ 2007_20080408_v2" xfId="89"/>
    <cellStyle name="_~8808434_所得税调整BJ_reserve" xfId="90"/>
    <cellStyle name="_~9415781" xfId="91"/>
    <cellStyle name="_00-纳税调整2005012" xfId="92"/>
    <cellStyle name="_00-纳税调整2005012v" xfId="93"/>
    <cellStyle name="_01-纳税调整2006012" xfId="94"/>
    <cellStyle name="_1.偿付能力报表2006wkg" xfId="95"/>
    <cellStyle name="_1.偿付能力报表2006wkg_~1894191" xfId="96"/>
    <cellStyle name="_1.偿付能力报表2006wkg_~1894191_reserve" xfId="97"/>
    <cellStyle name="_1.偿付能力报表2006wkg_DT-wp" xfId="98"/>
    <cellStyle name="_1.偿付能力报表2006wkg_Spreadsheet AIA BJ 2007_20080328" xfId="99"/>
    <cellStyle name="_1.偿付能力报表2006wkg_Spreadsheet AIA BJ 2007_20080328_reserve" xfId="100"/>
    <cellStyle name="_1.偿付能力报表2006wkg_Spreadsheet AIA BJ 2007_20080328_v1" xfId="101"/>
    <cellStyle name="_1.偿付能力报表2006wkg_Spreadsheet AIA BJ 2007_20080328_v1_reserve" xfId="102"/>
    <cellStyle name="_1.偿付能力报表2006wkg_Spreadsheet AIA BJ 2007_20080408_v2" xfId="103"/>
    <cellStyle name="_1.偿付能力报表2006wkg_Tax projection 20080331" xfId="104"/>
    <cellStyle name="_1.偿付能力报表2006wkg_所得税调整BJ" xfId="105"/>
    <cellStyle name="_1.偿付能力报表2006wkg_所得税调整BJ_Opening Balance 2006_AIA SZ 0310 WP" xfId="106"/>
    <cellStyle name="_1.偿付能力报表2006wkg_所得税调整BJ_Opening Balance 2006_AIA SZ 0310 WP_reserve" xfId="107"/>
    <cellStyle name="_1.偿付能力报表2006wkg_所得税调整BJ_Opening Balance 2006_AIA SZ 0310 WP_Spreadsheet AIA BJ 2007_20080408_v2" xfId="108"/>
    <cellStyle name="_1.偿付能力报表2006wkg_所得税调整BJ_reserve" xfId="109"/>
    <cellStyle name="_11 (2)" xfId="110"/>
    <cellStyle name="_1300411004" xfId="111"/>
    <cellStyle name="_2005" xfId="112"/>
    <cellStyle name="_2005 Annual report wkf(Final)" xfId="113"/>
    <cellStyle name="_2005 Annual report wkf(Final)_~1894191" xfId="114"/>
    <cellStyle name="_2005 Annual report wkf(Final)_~1894191_reserve" xfId="115"/>
    <cellStyle name="_2005 Annual report wkf(Final)_DT-wp" xfId="116"/>
    <cellStyle name="_2005 Annual report wkf(Final)_Spreadsheet AIA BJ 2007_20080328" xfId="117"/>
    <cellStyle name="_2005 Annual report wkf(Final)_Spreadsheet AIA BJ 2007_20080328_reserve" xfId="118"/>
    <cellStyle name="_2005 Annual report wkf(Final)_Spreadsheet AIA BJ 2007_20080328_v1" xfId="119"/>
    <cellStyle name="_2005 Annual report wkf(Final)_Spreadsheet AIA BJ 2007_20080328_v1_reserve" xfId="120"/>
    <cellStyle name="_2005 Annual report wkf(Final)_Spreadsheet AIA BJ 2007_20080408_v2" xfId="121"/>
    <cellStyle name="_2005 Annual report wkf(Final)_Tax projection 20080331" xfId="122"/>
    <cellStyle name="_2005 Annual report wkf(Final)_所得税调整BJ" xfId="123"/>
    <cellStyle name="_2005 Annual report wkf(Final)_所得税调整BJ_Opening Balance 2006_AIA SZ 0310 WP" xfId="124"/>
    <cellStyle name="_2005 Annual report wkf(Final)_所得税调整BJ_Opening Balance 2006_AIA SZ 0310 WP_reserve" xfId="125"/>
    <cellStyle name="_2005 Annual report wkf(Final)_所得税调整BJ_Opening Balance 2006_AIA SZ 0310 WP_Spreadsheet AIA BJ 2007_20080408_v2" xfId="126"/>
    <cellStyle name="_2005 Annual report wkf(Final)_所得税调整BJ_reserve" xfId="127"/>
    <cellStyle name="_2006 AIA Beijing Spreadsheet20070326" xfId="128"/>
    <cellStyle name="_2006 AIA Beijing Spreadsheet20070326_~1894191" xfId="129"/>
    <cellStyle name="_2006 AIA Beijing Spreadsheet20070326_~1894191_reserve" xfId="130"/>
    <cellStyle name="_2006 AIA Beijing Spreadsheet20070326_DT-wp" xfId="131"/>
    <cellStyle name="_2006 AIA Beijing Spreadsheet20070326_Spreadsheet AIA BJ 2007_20080328" xfId="132"/>
    <cellStyle name="_2006 AIA Beijing Spreadsheet20070326_Spreadsheet AIA BJ 2007_20080328_reserve" xfId="133"/>
    <cellStyle name="_2006 AIA Beijing Spreadsheet20070326_Spreadsheet AIA BJ 2007_20080328_v1" xfId="134"/>
    <cellStyle name="_2006 AIA Beijing Spreadsheet20070326_Spreadsheet AIA BJ 2007_20080328_v1_reserve" xfId="135"/>
    <cellStyle name="_2006 AIA Beijing Spreadsheet20070326_Spreadsheet AIA BJ 2007_20080408_v2" xfId="136"/>
    <cellStyle name="_2006 AIA Beijing Spreadsheet20070326_Tax projection 20080331" xfId="137"/>
    <cellStyle name="_2006 AIA Beijing Spreadsheet20070326_所得税调整BJ" xfId="138"/>
    <cellStyle name="_2006 AIA Beijing Spreadsheet20070326_所得税调整BJ_Opening Balance 2006_AIA SZ 0310 WP" xfId="139"/>
    <cellStyle name="_2006 AIA Beijing Spreadsheet20070326_所得税调整BJ_Opening Balance 2006_AIA SZ 0310 WP_reserve" xfId="140"/>
    <cellStyle name="_2006 AIA Beijing Spreadsheet20070326_所得税调整BJ_Opening Balance 2006_AIA SZ 0310 WP_Spreadsheet AIA BJ 2007_20080408_v2" xfId="141"/>
    <cellStyle name="_2006 AIA Beijing Spreadsheet20070326_所得税调整BJ_reserve" xfId="142"/>
    <cellStyle name="_2006 AIA Beijing Spreadsheet20070423" xfId="143"/>
    <cellStyle name="_2006 AIA Beijing Spreadsheet20070423_~1894191" xfId="144"/>
    <cellStyle name="_2006 AIA Beijing Spreadsheet20070423_~1894191_reserve" xfId="145"/>
    <cellStyle name="_2006 AIA Beijing Spreadsheet20070423_DT-wp" xfId="146"/>
    <cellStyle name="_2006 AIA Beijing Spreadsheet20070423_Spreadsheet AIA BJ 2007_20080328" xfId="147"/>
    <cellStyle name="_2006 AIA Beijing Spreadsheet20070423_Spreadsheet AIA BJ 2007_20080328_reserve" xfId="148"/>
    <cellStyle name="_2006 AIA Beijing Spreadsheet20070423_Spreadsheet AIA BJ 2007_20080328_v1" xfId="149"/>
    <cellStyle name="_2006 AIA Beijing Spreadsheet20070423_Spreadsheet AIA BJ 2007_20080328_v1_reserve" xfId="150"/>
    <cellStyle name="_2006 AIA Beijing Spreadsheet20070423_Spreadsheet AIA BJ 2007_20080408_v2" xfId="151"/>
    <cellStyle name="_2006 AIA Beijing Spreadsheet20070423_Tax projection 20080331" xfId="152"/>
    <cellStyle name="_2006 AIA Beijing Spreadsheet20070423_所得税调整BJ" xfId="153"/>
    <cellStyle name="_2006 AIA Beijing Spreadsheet20070423_所得税调整BJ_Opening Balance 2006_AIA SZ 0310 WP" xfId="154"/>
    <cellStyle name="_2006 AIA Beijing Spreadsheet20070423_所得税调整BJ_Opening Balance 2006_AIA SZ 0310 WP_reserve" xfId="155"/>
    <cellStyle name="_2006 AIA Beijing Spreadsheet20070423_所得税调整BJ_Opening Balance 2006_AIA SZ 0310 WP_Spreadsheet AIA BJ 2007_20080408_v2" xfId="156"/>
    <cellStyle name="_2006 AIA Beijing Spreadsheet20070423_所得税调整BJ_reserve" xfId="157"/>
    <cellStyle name="_2006 AIA JM Sol WP 200704018" xfId="158"/>
    <cellStyle name="_2006 AIA JM Sol WP 200704018_GAAP Voucher Template_ZA_CY0110" xfId="159"/>
    <cellStyle name="_2006 AIA SU Sol WP_200604018" xfId="160"/>
    <cellStyle name="_2006 AIA SU Sol WP_200604018_GAAP Voucher Template_ZA_CY0110" xfId="161"/>
    <cellStyle name="_2006年度资产负债表及利润表(new CAS)" xfId="162"/>
    <cellStyle name="_2006年申报表" xfId="163"/>
    <cellStyle name="_2007 ESTIMED- GOE" xfId="164"/>
    <cellStyle name="_2007年1-12月TB Debit&amp;Credit-u" xfId="165"/>
    <cellStyle name="_2007年1-12月TB Debit&amp;Credit-u_reserve" xfId="166"/>
    <cellStyle name="_2007年1-12月TB Debit&amp;Credit-u_Spreadsheet AIA BJ 2007_20080408_v2" xfId="167"/>
    <cellStyle name="_2007年度CIRC workingsheet" xfId="168"/>
    <cellStyle name="_3000 cash wp-sz" xfId="169"/>
    <cellStyle name="_3000 cash wp-sz_~1894191" xfId="170"/>
    <cellStyle name="_3000 cash wp-sz_~1894191_reserve" xfId="171"/>
    <cellStyle name="_3000 cash wp-sz_DT-wp" xfId="172"/>
    <cellStyle name="_3000 cash wp-sz_Spreadsheet AIA BJ 2007_20080328" xfId="173"/>
    <cellStyle name="_3000 cash wp-sz_Spreadsheet AIA BJ 2007_20080328_reserve" xfId="174"/>
    <cellStyle name="_3000 cash wp-sz_Spreadsheet AIA BJ 2007_20080328_v1" xfId="175"/>
    <cellStyle name="_3000 cash wp-sz_Spreadsheet AIA BJ 2007_20080328_v1_reserve" xfId="176"/>
    <cellStyle name="_3000 cash wp-sz_Spreadsheet AIA BJ 2007_20080408_v2" xfId="177"/>
    <cellStyle name="_3000 cash wp-sz_Tax projection 20080331" xfId="178"/>
    <cellStyle name="_3000 cash wp-sz_所得税调整BJ" xfId="179"/>
    <cellStyle name="_3000 cash wp-sz_所得税调整BJ_Opening Balance 2006_AIA SZ 0310 WP" xfId="180"/>
    <cellStyle name="_3000 cash wp-sz_所得税调整BJ_Opening Balance 2006_AIA SZ 0310 WP_reserve" xfId="181"/>
    <cellStyle name="_3000 cash wp-sz_所得税调整BJ_Opening Balance 2006_AIA SZ 0310 WP_Spreadsheet AIA BJ 2007_20080408_v2" xfId="182"/>
    <cellStyle name="_3000 cash wp-sz_所得税调整BJ_reserve" xfId="183"/>
    <cellStyle name="_3070011003" xfId="184"/>
    <cellStyle name="_4250 - Accruals, provisions and other liabilities" xfId="185"/>
    <cellStyle name="_6100 G&amp;A Disclosure" xfId="186"/>
    <cellStyle name="_6AB38000" xfId="187"/>
    <cellStyle name="_7400110003" xfId="188"/>
    <cellStyle name="_7470013004" xfId="189"/>
    <cellStyle name="_7470013013" xfId="190"/>
    <cellStyle name="_7470013014" xfId="191"/>
    <cellStyle name="_A code summary v2" xfId="192"/>
    <cellStyle name="_a1 Marketable securities" xfId="193"/>
    <cellStyle name="_a10 Marketable securities" xfId="194"/>
    <cellStyle name="_a10 Marketable securities_Opening balance 2006_AIA DG 0321 WP" xfId="195"/>
    <cellStyle name="_a10 Marketable securities_reserve" xfId="196"/>
    <cellStyle name="_a10 Marketable securities_Spreadsheet AIA BJ 2007_20080408_v2" xfId="197"/>
    <cellStyle name="_a10 Marketable securities_首次执行_v2" xfId="198"/>
    <cellStyle name="_A1-SHAIA SHANGHAI-Total Operation" xfId="199"/>
    <cellStyle name="_A1-SZ000AIA SHENZHEN-AGENCY TRAINING       (TB)" xfId="200"/>
    <cellStyle name="_A1-SZ000AIA SHENZHEN-FUTIAN AGENCY OFFICE   (DB)" xfId="201"/>
    <cellStyle name="_A1-SZ000AIA SHENZHEN-LONGGANG AGENCY OFFICE (IB)" xfId="202"/>
    <cellStyle name="_A1-SZ000AIA SHENZHEN-MIS             (QD)" xfId="203"/>
    <cellStyle name="_A1-SZ000AIA SHENZHEN-RENWEN AGENCY OFFICE (KB)" xfId="204"/>
    <cellStyle name="_A1-SZAIA SHENZHEN-Total Operation" xfId="205"/>
    <cellStyle name="_A1差异分析" xfId="206"/>
    <cellStyle name="_a2 Spread Sheet of AIA Dongguan 2007" xfId="207"/>
    <cellStyle name="_a2 Spread Sheet of AIA Dongguan 2007_~1894191" xfId="208"/>
    <cellStyle name="_a2 Spread Sheet of AIA Dongguan 2007_~1894191_reserve" xfId="209"/>
    <cellStyle name="_a2 Spread Sheet of AIA Dongguan 2007_Spreadsheet AIA BJ 2007_20080328" xfId="210"/>
    <cellStyle name="_a2 Spread Sheet of AIA Dongguan 2007_Spreadsheet AIA BJ 2007_20080328_reserve" xfId="211"/>
    <cellStyle name="_a2 Spread Sheet of AIA Dongguan 2007_Spreadsheet AIA BJ 2007_20080328_v1" xfId="212"/>
    <cellStyle name="_a2 Spread Sheet of AIA Dongguan 2007_Spreadsheet AIA BJ 2007_20080328_v1_reserve" xfId="213"/>
    <cellStyle name="_a2 Spread Sheet of AIA Dongguan 2007_Spreadsheet AIA BJ 2007_20080408_v2" xfId="214"/>
    <cellStyle name="_a2 Spreadsheet_AIA SZ_updated" xfId="215"/>
    <cellStyle name="_a2 Spreadsheet_AIA SZ_updated_~1894191" xfId="216"/>
    <cellStyle name="_a2 Spreadsheet_AIA SZ_updated_~1894191_reserve" xfId="217"/>
    <cellStyle name="_a2 Spreadsheet_AIA SZ_updated_Spreadsheet AIA BJ 2007_20080328" xfId="218"/>
    <cellStyle name="_a2 Spreadsheet_AIA SZ_updated_Spreadsheet AIA BJ 2007_20080328_reserve" xfId="219"/>
    <cellStyle name="_a2 Spreadsheet_AIA SZ_updated_Spreadsheet AIA BJ 2007_20080328_v1" xfId="220"/>
    <cellStyle name="_a2 Spreadsheet_AIA SZ_updated_Spreadsheet AIA BJ 2007_20080328_v1_reserve" xfId="221"/>
    <cellStyle name="_a2 Spreadsheet_AIA SZ_updated_Spreadsheet AIA BJ 2007_20080408_v2" xfId="222"/>
    <cellStyle name="_a3 Solvency WP_AIA SH_2006" xfId="223"/>
    <cellStyle name="_Admitted(A)" xfId="224"/>
    <cellStyle name="_AIA BJ OP Dis" xfId="225"/>
    <cellStyle name="_AIA JM Spreadsheet 2006(20070326)" xfId="226"/>
    <cellStyle name="_AIA JM Spreadsheet 2006(20070326)_reserve" xfId="227"/>
    <cellStyle name="_AIA JM Spreadsheet 2006(20070326)_Spreadsheet AIA BJ 2007_20080408_v2" xfId="228"/>
    <cellStyle name="_AIA JM Spreadsheet 2006(20070326)_UL DG_0318" xfId="229"/>
    <cellStyle name="_AIA JM Spreadsheet 2006(20070326)_UL DG_0318_Opening balance 2006_AIA DG 0321 WP" xfId="230"/>
    <cellStyle name="_AIA JM Spreadsheet 2006(20070326)_UL DG_0318_首次执行_v2" xfId="231"/>
    <cellStyle name="_AIA SH OP WP" xfId="232"/>
    <cellStyle name="_AIA SH Spreadsheet_20070304" xfId="233"/>
    <cellStyle name="_AIA TAX summary_V12_0428" xfId="234"/>
    <cellStyle name="_AL" xfId="235"/>
    <cellStyle name="_AL_1" xfId="236"/>
    <cellStyle name="_BALANCE" xfId="237"/>
    <cellStyle name="_Balance Sheet 2007.12--diff" xfId="238"/>
    <cellStyle name="_Balance Sheet 2007.12--Group Premium调整 10" xfId="239"/>
    <cellStyle name="_Balance Sheet 2007.12--ILP调整 7" xfId="240"/>
    <cellStyle name="_Balance Sheet 2007.12--调整Par special reserve 2" xfId="241"/>
    <cellStyle name="_BALANCE_1" xfId="242"/>
    <cellStyle name="_Bank confirmation control sheet" xfId="243"/>
    <cellStyle name="_BJ" xfId="244"/>
    <cellStyle name="_BJ Solvency WP 20070418" xfId="245"/>
    <cellStyle name="_Book1" xfId="246"/>
    <cellStyle name="_Book1_reserve" xfId="247"/>
    <cellStyle name="_Book1_Spreadsheet AIA BJ 2007_20080408_v2" xfId="248"/>
    <cellStyle name="_Book1_UL DG_0318" xfId="249"/>
    <cellStyle name="_Book1_UL DG_0318_Opening balance 2006_AIA DG 0321 WP" xfId="250"/>
    <cellStyle name="_Book1_UL DG_0318_首次执行_v2" xfId="251"/>
    <cellStyle name="_Book2" xfId="252"/>
    <cellStyle name="_Book2_2007 v6" xfId="253"/>
    <cellStyle name="_Book2_Cashflow_2007year" xfId="254"/>
    <cellStyle name="_Book2_Opening balance 2006_AIA DG 0321 WP" xfId="255"/>
    <cellStyle name="_Book2_Spreadsheet AIA DG 2007_20080313_V6" xfId="256"/>
    <cellStyle name="_Book2_首次执行_v2" xfId="257"/>
    <cellStyle name="_branch code" xfId="258"/>
    <cellStyle name="_Breakdown(Business Tax)" xfId="259"/>
    <cellStyle name="_Breakdown(Business Tax)_~1894191" xfId="260"/>
    <cellStyle name="_Breakdown(Business Tax)_~1894191_reserve" xfId="261"/>
    <cellStyle name="_Breakdown(Business Tax)_DT-wp" xfId="262"/>
    <cellStyle name="_Breakdown(Business Tax)_Spreadsheet AIA BJ 2007_20080328" xfId="263"/>
    <cellStyle name="_Breakdown(Business Tax)_Spreadsheet AIA BJ 2007_20080328_reserve" xfId="264"/>
    <cellStyle name="_Breakdown(Business Tax)_Spreadsheet AIA BJ 2007_20080328_v1" xfId="265"/>
    <cellStyle name="_Breakdown(Business Tax)_Spreadsheet AIA BJ 2007_20080328_v1_reserve" xfId="266"/>
    <cellStyle name="_Breakdown(Business Tax)_Spreadsheet AIA BJ 2007_20080408_v2" xfId="267"/>
    <cellStyle name="_Breakdown(Business Tax)_Tax projection 20080331" xfId="268"/>
    <cellStyle name="_Breakdown(Business Tax)_所得税调整BJ" xfId="269"/>
    <cellStyle name="_Breakdown(Business Tax)_所得税调整BJ_Opening Balance 2006_AIA SZ 0310 WP" xfId="270"/>
    <cellStyle name="_Breakdown(Business Tax)_所得税调整BJ_Opening Balance 2006_AIA SZ 0310 WP_reserve" xfId="271"/>
    <cellStyle name="_Breakdown(Business Tax)_所得税调整BJ_Opening Balance 2006_AIA SZ 0310 WP_Spreadsheet AIA BJ 2007_20080408_v2" xfId="272"/>
    <cellStyle name="_Breakdown(Business Tax)_所得税调整BJ_reserve" xfId="273"/>
    <cellStyle name="_Bs_080121" xfId="274"/>
    <cellStyle name="_BSRecon.for Tax&amp;AP other&amp;accrue-April 2008new." xfId="275"/>
    <cellStyle name="_BSRecon.for Tax&amp;AP other&amp;accrue-Nov 2007" xfId="276"/>
    <cellStyle name="_BT" xfId="277"/>
    <cellStyle name="_BUD_GOE_B7_REPORT1" xfId="278"/>
    <cellStyle name="_CA" xfId="279"/>
    <cellStyle name="_CAGIUL4" xfId="280"/>
    <cellStyle name="_CA-GIUL4" xfId="281"/>
    <cellStyle name="_CAinput" xfId="282"/>
    <cellStyle name="_CCR to By-Line 0712" xfId="283"/>
    <cellStyle name="_Central A1" xfId="284"/>
    <cellStyle name="_CF(Final)" xfId="285"/>
    <cellStyle name="_CF(Final)_~1894191" xfId="286"/>
    <cellStyle name="_CF(Final)_~1894191_reserve" xfId="287"/>
    <cellStyle name="_CF(Final)_Spreadsheet AIA BJ 2007_20080328" xfId="288"/>
    <cellStyle name="_CF(Final)_Spreadsheet AIA BJ 2007_20080328_reserve" xfId="289"/>
    <cellStyle name="_CF(Final)_Spreadsheet AIA BJ 2007_20080328_v1" xfId="290"/>
    <cellStyle name="_CF(Final)_Spreadsheet AIA BJ 2007_20080328_v1_reserve" xfId="291"/>
    <cellStyle name="_CF(Final)_Spreadsheet AIA BJ 2007_20080408_v2" xfId="292"/>
    <cellStyle name="_CF-WP" xfId="293"/>
    <cellStyle name="_CF-WP_~1894191" xfId="294"/>
    <cellStyle name="_CF-WP_~1894191_reserve" xfId="295"/>
    <cellStyle name="_CF-WP_Spreadsheet AIA BJ 2007_20080328" xfId="296"/>
    <cellStyle name="_CF-WP_Spreadsheet AIA BJ 2007_20080328_reserve" xfId="297"/>
    <cellStyle name="_CF-WP_Spreadsheet AIA BJ 2007_20080328_v1" xfId="298"/>
    <cellStyle name="_CF-WP_Spreadsheet AIA BJ 2007_20080328_v1_reserve" xfId="299"/>
    <cellStyle name="_CF-WP_Spreadsheet AIA BJ 2007_20080408_v2" xfId="300"/>
    <cellStyle name="_China Headcount 2008" xfId="301"/>
    <cellStyle name="_Commmission" xfId="302"/>
    <cellStyle name="_Copy of portia总表0612" xfId="303"/>
    <cellStyle name="_Copy of Q_SI Workbook 0308_BN" xfId="304"/>
    <cellStyle name="_corporate tax booking -FS 2007  2008.01.08" xfId="305"/>
    <cellStyle name="_corporate tax booking worksheetV3" xfId="306"/>
    <cellStyle name="_Defer tax" xfId="307"/>
    <cellStyle name="_Defer tax-GZ 20071231" xfId="308"/>
    <cellStyle name="_DEFERED TAX -ASSET 2006.12.31" xfId="309"/>
    <cellStyle name="_DEFERED TAX -ASSET 2006.12.31考虑提前报废" xfId="310"/>
    <cellStyle name="_Deferred tax assets&amp;Valuation allowance" xfId="311"/>
    <cellStyle name="_Deferred tax final voucher-SH" xfId="312"/>
    <cellStyle name="_Deferred tax final voucher-template-SH" xfId="313"/>
    <cellStyle name="_deferred tax wkg-2q08" xfId="314"/>
    <cellStyle name="_deferred tax working" xfId="315"/>
    <cellStyle name="_Detail" xfId="316"/>
    <cellStyle name="_DG OP AR" xfId="317"/>
    <cellStyle name="_DG_ILP" xfId="318"/>
    <cellStyle name="_Disclosure-JJGF" xfId="319"/>
    <cellStyle name="_DT" xfId="320"/>
    <cellStyle name="_East A1" xfId="321"/>
    <cellStyle name="_East BE" xfId="322"/>
    <cellStyle name="_FA openning balance-2005" xfId="323"/>
    <cellStyle name="_FA openning balance-2005_~1894191" xfId="324"/>
    <cellStyle name="_FA openning balance-2005_~1894191_reserve" xfId="325"/>
    <cellStyle name="_FA openning balance-2005_Opening Balance 2006_AIA SZ 0310 WP" xfId="326"/>
    <cellStyle name="_FA openning balance-2005_Opening Balance 2006_AIA SZ 0310 WP_reserve" xfId="327"/>
    <cellStyle name="_FA openning balance-2005_Opening Balance 2006_AIA SZ 0310 WP_Spreadsheet AIA BJ 2007_20080408_v2" xfId="328"/>
    <cellStyle name="_FA openning balance-2005_Spreadsheet AIA BJ 2007_20080312_V3" xfId="329"/>
    <cellStyle name="_FA openning balance-2005_Spreadsheet AIA BJ 2007_20080312_V3_reserve" xfId="330"/>
    <cellStyle name="_FA openning balance-2005_Spreadsheet AIA BJ 2007_20080312_V3_Spreadsheet AIA BJ 2007_20080408_v2" xfId="331"/>
    <cellStyle name="_FA openning balance-2005_Spreadsheet AIA BJ 2007_20080328" xfId="332"/>
    <cellStyle name="_FA openning balance-2005_Spreadsheet AIA BJ 2007_20080328_reserve" xfId="333"/>
    <cellStyle name="_FA openning balance-2005_Spreadsheet AIA BJ 2007_20080328_v1" xfId="334"/>
    <cellStyle name="_FA openning balance-2005_Spreadsheet AIA BJ 2007_20080328_v1_reserve" xfId="335"/>
    <cellStyle name="_FA openning balance-2005_Working Paper of AIABJ 2008 - DT - V2" xfId="336"/>
    <cellStyle name="_FA openning balance-2005_Working Paper of AIABJ 2008 - DT - V2_reserve" xfId="337"/>
    <cellStyle name="_FA openning balance-2005_Working Paper of AIABJ 2008 - DT - V2_Spreadsheet AIA BJ 2007_20080408_v2" xfId="338"/>
    <cellStyle name="_FA openning balance-2006" xfId="339"/>
    <cellStyle name="_FA openning balance-2006_~1894191" xfId="340"/>
    <cellStyle name="_FA openning balance-2006_~1894191_reserve" xfId="341"/>
    <cellStyle name="_FA openning balance-2006_Opening Balance 2006_AIA SZ 0310 WP" xfId="342"/>
    <cellStyle name="_FA openning balance-2006_Opening Balance 2006_AIA SZ 0310 WP_reserve" xfId="343"/>
    <cellStyle name="_FA openning balance-2006_Opening Balance 2006_AIA SZ 0310 WP_Spreadsheet AIA BJ 2007_20080408_v2" xfId="344"/>
    <cellStyle name="_FA openning balance-2006_Spreadsheet AIA BJ 2007_20080312_V3" xfId="345"/>
    <cellStyle name="_FA openning balance-2006_Spreadsheet AIA BJ 2007_20080312_V3_reserve" xfId="346"/>
    <cellStyle name="_FA openning balance-2006_Spreadsheet AIA BJ 2007_20080312_V3_Spreadsheet AIA BJ 2007_20080408_v2" xfId="347"/>
    <cellStyle name="_FA openning balance-2006_Spreadsheet AIA BJ 2007_20080328" xfId="348"/>
    <cellStyle name="_FA openning balance-2006_Spreadsheet AIA BJ 2007_20080328_reserve" xfId="349"/>
    <cellStyle name="_FA openning balance-2006_Spreadsheet AIA BJ 2007_20080328_v1" xfId="350"/>
    <cellStyle name="_FA openning balance-2006_Spreadsheet AIA BJ 2007_20080328_v1_reserve" xfId="351"/>
    <cellStyle name="_FA openning balance-2006_Working Paper of AIABJ 2008 - DT - V2" xfId="352"/>
    <cellStyle name="_FA openning balance-2006_Working Paper of AIABJ 2008 - DT - V2_reserve" xfId="353"/>
    <cellStyle name="_FA openning balance-2006_Working Paper of AIABJ 2008 - DT - V2_Spreadsheet AIA BJ 2007_20080408_v2" xfId="354"/>
    <cellStyle name="_FEIT - Fixed Assets" xfId="355"/>
    <cellStyle name="_FEIT - Fixed Assets_reserve" xfId="356"/>
    <cellStyle name="_FEIT - Fixed Assets_Spreadsheet AIA BJ 2007_20080408_v2" xfId="357"/>
    <cellStyle name="_FEIT - Fixed Assets_UL DG_0318" xfId="358"/>
    <cellStyle name="_FEIT - Fixed Assets_UL DG_0318_Opening balance 2006_AIA DG 0321 WP" xfId="359"/>
    <cellStyle name="_FEIT - Fixed Assets_UL DG_0318_首次执行_v2" xfId="360"/>
    <cellStyle name="_Financial Report-final(3.22)" xfId="361"/>
    <cellStyle name="_Financial Report-final(3.22)_~1894191" xfId="362"/>
    <cellStyle name="_Financial Report-final(3.22)_~1894191_reserve" xfId="363"/>
    <cellStyle name="_Financial Report-final(3.22)_DT-wp" xfId="364"/>
    <cellStyle name="_Financial Report-final(3.22)_Spreadsheet AIA BJ 2007_20080328" xfId="365"/>
    <cellStyle name="_Financial Report-final(3.22)_Spreadsheet AIA BJ 2007_20080328_reserve" xfId="366"/>
    <cellStyle name="_Financial Report-final(3.22)_Spreadsheet AIA BJ 2007_20080328_v1" xfId="367"/>
    <cellStyle name="_Financial Report-final(3.22)_Spreadsheet AIA BJ 2007_20080328_v1_reserve" xfId="368"/>
    <cellStyle name="_Financial Report-final(3.22)_Spreadsheet AIA BJ 2007_20080408_v2" xfId="369"/>
    <cellStyle name="_Financial Report-final(3.22)_Tax projection 20080331" xfId="370"/>
    <cellStyle name="_Financial Report-final(3.22)_所得税调整BJ" xfId="371"/>
    <cellStyle name="_Financial Report-final(3.22)_所得税调整BJ_Opening Balance 2006_AIA SZ 0310 WP" xfId="372"/>
    <cellStyle name="_Financial Report-final(3.22)_所得税调整BJ_Opening Balance 2006_AIA SZ 0310 WP_reserve" xfId="373"/>
    <cellStyle name="_Financial Report-final(3.22)_所得税调整BJ_Opening Balance 2006_AIA SZ 0310 WP_Spreadsheet AIA BJ 2007_20080408_v2" xfId="374"/>
    <cellStyle name="_Financial Report-final(3.22)_所得税调整BJ_reserve" xfId="375"/>
    <cellStyle name="_Financial Report-final(3.22)-wkf" xfId="376"/>
    <cellStyle name="_Financial Report-final(3.22)-wkf_~1894191" xfId="377"/>
    <cellStyle name="_Financial Report-final(3.22)-wkf_~1894191_reserve" xfId="378"/>
    <cellStyle name="_Financial Report-final(3.22)-wkf_a10 Marketable securities" xfId="379"/>
    <cellStyle name="_Financial Report-final(3.22)-wkf_a10 Marketable securities_Opening balance 2006_AIA DG 0321 WP" xfId="380"/>
    <cellStyle name="_Financial Report-final(3.22)-wkf_a10 Marketable securities_首次执行_v2" xfId="381"/>
    <cellStyle name="_Financial Report-final(3.22)-wkf_Spreadsheet AIA BJ 2007_20080328" xfId="382"/>
    <cellStyle name="_Financial Report-final(3.22)-wkf_Spreadsheet AIA BJ 2007_20080328_reserve" xfId="383"/>
    <cellStyle name="_Financial Report-final(3.22)-wkf_Spreadsheet AIA BJ 2007_20080328_v1" xfId="384"/>
    <cellStyle name="_Financial Report-final(3.22)-wkf_Spreadsheet AIA BJ 2007_20080328_v1_reserve" xfId="385"/>
    <cellStyle name="_Financial Report-final(3.22)-wkf_Spreadsheet AIA BJ 2007_20080408_v2" xfId="386"/>
    <cellStyle name="_Financial Report-final(3.22)-wkf_UL DG_0318" xfId="387"/>
    <cellStyle name="_Financial Report-final(3.22)-wkf_UL DG_0318_Opening balance 2006_AIA DG 0321 WP" xfId="388"/>
    <cellStyle name="_Financial Report-final(3.22)-wkf_UL DG_0318_首次执行_v2" xfId="389"/>
    <cellStyle name="_Financial Report-final(3.28)" xfId="390"/>
    <cellStyle name="_Financial Report-final(3.28)_reserve" xfId="391"/>
    <cellStyle name="_Financial Report-final(3.28)_Spreadsheet AIA BJ 2007_20080408_v2" xfId="392"/>
    <cellStyle name="_FS Nor" xfId="393"/>
    <cellStyle name="_FS opening balance 080407" xfId="394"/>
    <cellStyle name="_FS ver 0330" xfId="395"/>
    <cellStyle name="_Fund" xfId="396"/>
    <cellStyle name="_General Income(2007)" xfId="397"/>
    <cellStyle name="_GIUL4" xfId="398"/>
    <cellStyle name="_GM presentation (2009 budget template) V3 0 (2)" xfId="399"/>
    <cellStyle name="_GOE" xfId="400"/>
    <cellStyle name="_GOE_BE_GD 0709updated" xfId="401"/>
    <cellStyle name="_GUIL split-JS" xfId="402"/>
    <cellStyle name="_GUL" xfId="403"/>
    <cellStyle name="_GZ SSC" xfId="404"/>
    <cellStyle name="_insurance deck" xfId="405"/>
    <cellStyle name="_Investment defer tax(wkg)2005.12.31" xfId="406"/>
    <cellStyle name="_Investment inc." xfId="407"/>
    <cellStyle name="_Investment inc._~1894191" xfId="408"/>
    <cellStyle name="_Investment inc._~1894191_reserve" xfId="409"/>
    <cellStyle name="_Investment inc._Spreadsheet AIA BJ 2007_20080328" xfId="410"/>
    <cellStyle name="_Investment inc._Spreadsheet AIA BJ 2007_20080328_reserve" xfId="411"/>
    <cellStyle name="_Investment inc._Spreadsheet AIA BJ 2007_20080328_v1" xfId="412"/>
    <cellStyle name="_Investment inc._Spreadsheet AIA BJ 2007_20080328_v1_reserve" xfId="413"/>
    <cellStyle name="_Investment inc._Spreadsheet AIA BJ 2007_20080408_v2" xfId="414"/>
    <cellStyle name="_JSB7" xfId="415"/>
    <cellStyle name="_LP" xfId="416"/>
    <cellStyle name="_LS&amp;BD_USD" xfId="417"/>
    <cellStyle name="_LS&amp;BD_USD_~1894191" xfId="418"/>
    <cellStyle name="_LS&amp;BD_USD_~1894191_reserve" xfId="419"/>
    <cellStyle name="_LS&amp;BD_USD_Spreadsheet AIA BJ 2007_20080328" xfId="420"/>
    <cellStyle name="_LS&amp;BD_USD_Spreadsheet AIA BJ 2007_20080328_reserve" xfId="421"/>
    <cellStyle name="_LS&amp;BD_USD_Spreadsheet AIA BJ 2007_20080328_v1" xfId="422"/>
    <cellStyle name="_LS&amp;BD_USD_Spreadsheet AIA BJ 2007_20080328_v1_reserve" xfId="423"/>
    <cellStyle name="_LS&amp;BD_USD_Spreadsheet AIA BJ 2007_20080408_v2" xfId="424"/>
    <cellStyle name="_LVSU0209" xfId="425"/>
    <cellStyle name="_LVSU0509" xfId="426"/>
    <cellStyle name="_Marketable securities" xfId="427"/>
    <cellStyle name="_Marketable securities_~1894191" xfId="428"/>
    <cellStyle name="_Marketable securities_~1894191_reserve" xfId="429"/>
    <cellStyle name="_Marketable securities_Spreadsheet AIA BJ 2007_20080328" xfId="430"/>
    <cellStyle name="_Marketable securities_Spreadsheet AIA BJ 2007_20080328_reserve" xfId="431"/>
    <cellStyle name="_Marketable securities_Spreadsheet AIA BJ 2007_20080328_v1" xfId="432"/>
    <cellStyle name="_Marketable securities_Spreadsheet AIA BJ 2007_20080328_v1_reserve" xfId="433"/>
    <cellStyle name="_Marketable securities_Spreadsheet AIA BJ 2007_20080408_v2" xfId="434"/>
    <cellStyle name="_Mgt Exp disclosure" xfId="435"/>
    <cellStyle name="_MOE working paper SHA_2006" xfId="436"/>
    <cellStyle name="_monthly report CY06.12--新准则下的" xfId="437"/>
    <cellStyle name="_notes pwc&amp;aia DIF" xfId="438"/>
    <cellStyle name="_notes pwc&amp;aia DIF_~1894191" xfId="439"/>
    <cellStyle name="_notes pwc&amp;aia DIF_~1894191_reserve" xfId="440"/>
    <cellStyle name="_notes pwc&amp;aia DIF_DT-wp" xfId="441"/>
    <cellStyle name="_notes pwc&amp;aia DIF_Spreadsheet AIA BJ 2007_20080328" xfId="442"/>
    <cellStyle name="_notes pwc&amp;aia DIF_Spreadsheet AIA BJ 2007_20080328_reserve" xfId="443"/>
    <cellStyle name="_notes pwc&amp;aia DIF_Spreadsheet AIA BJ 2007_20080328_v1" xfId="444"/>
    <cellStyle name="_notes pwc&amp;aia DIF_Spreadsheet AIA BJ 2007_20080328_v1_reserve" xfId="445"/>
    <cellStyle name="_notes pwc&amp;aia DIF_Spreadsheet AIA BJ 2007_20080408_v2" xfId="446"/>
    <cellStyle name="_notes pwc&amp;aia DIF_Tax projection 20080331" xfId="447"/>
    <cellStyle name="_notes pwc&amp;aia DIF_所得税调整BJ" xfId="448"/>
    <cellStyle name="_notes pwc&amp;aia DIF_所得税调整BJ_Opening Balance 2006_AIA SZ 0310 WP" xfId="449"/>
    <cellStyle name="_notes pwc&amp;aia DIF_所得税调整BJ_Opening Balance 2006_AIA SZ 0310 WP_reserve" xfId="450"/>
    <cellStyle name="_notes pwc&amp;aia DIF_所得税调整BJ_Opening Balance 2006_AIA SZ 0310 WP_Spreadsheet AIA BJ 2007_20080408_v2" xfId="451"/>
    <cellStyle name="_notes pwc&amp;aia DIF_所得税调整BJ_reserve" xfId="452"/>
    <cellStyle name="_OP balance" xfId="453"/>
    <cellStyle name="_op disclosure" xfId="454"/>
    <cellStyle name="_op shenzhen disclosure (2)" xfId="455"/>
    <cellStyle name="_Opening balance 2006_AIA BJ 0420_DT WP" xfId="456"/>
    <cellStyle name="_Opening balance 2006_AIA DG 0310 WP" xfId="457"/>
    <cellStyle name="_Opening balance 2006_AIA DG 0321 WP" xfId="458"/>
    <cellStyle name="_Opening balance 2006_AIA SH 0424 WP" xfId="459"/>
    <cellStyle name="_Opening Balance 2006_AIA SZ 0423_v1" xfId="460"/>
    <cellStyle name="_opening balance adjustment" xfId="461"/>
    <cellStyle name="_opening balance adjustment 022508" xfId="462"/>
    <cellStyle name="_opening balance adjustment TO CHO" xfId="463"/>
    <cellStyle name="_Opening balance AIA DG 1023" xfId="464"/>
    <cellStyle name="_Opening balance AIA GD 20080407" xfId="465"/>
    <cellStyle name="_Opening balance AIA SU 080331" xfId="466"/>
    <cellStyle name="_P&amp;A" xfId="467"/>
    <cellStyle name="_Portia 20061231" xfId="468"/>
    <cellStyle name="_portia总表0612" xfId="469"/>
    <cellStyle name="_portia总表0612_Opening balance 2006_AIA DG 0321 WP" xfId="470"/>
    <cellStyle name="_portia总表0612_reserve" xfId="471"/>
    <cellStyle name="_portia总表0612_Spreadsheet AIA BJ 2007_20080408_v2" xfId="472"/>
    <cellStyle name="_portia总表0612_首次执行_v2" xfId="473"/>
    <cellStyle name="_Premium reconcilation" xfId="474"/>
    <cellStyle name="_Premium reconcilation_~1894191" xfId="475"/>
    <cellStyle name="_Premium reconcilation_~1894191_reserve" xfId="476"/>
    <cellStyle name="_Premium reconcilation_DT-wp" xfId="477"/>
    <cellStyle name="_Premium reconcilation_Spreadsheet AIA BJ 2007_20080328" xfId="478"/>
    <cellStyle name="_Premium reconcilation_Spreadsheet AIA BJ 2007_20080328_reserve" xfId="479"/>
    <cellStyle name="_Premium reconcilation_Spreadsheet AIA BJ 2007_20080328_v1" xfId="480"/>
    <cellStyle name="_Premium reconcilation_Spreadsheet AIA BJ 2007_20080328_v1_reserve" xfId="481"/>
    <cellStyle name="_Premium reconcilation_Spreadsheet AIA BJ 2007_20080408_v2" xfId="482"/>
    <cellStyle name="_Premium reconcilation_Tax projection 20080331" xfId="483"/>
    <cellStyle name="_Premium reconcilation_所得税调整BJ" xfId="484"/>
    <cellStyle name="_Premium reconcilation_所得税调整BJ_Opening Balance 2006_AIA SZ 0310 WP" xfId="485"/>
    <cellStyle name="_Premium reconcilation_所得税调整BJ_Opening Balance 2006_AIA SZ 0310 WP_reserve" xfId="486"/>
    <cellStyle name="_Premium reconcilation_所得税调整BJ_Opening Balance 2006_AIA SZ 0310 WP_Spreadsheet AIA BJ 2007_20080408_v2" xfId="487"/>
    <cellStyle name="_Premium reconcilation_所得税调整BJ_reserve" xfId="488"/>
    <cellStyle name="_Q_SI Workbook PPYY_TT" xfId="489"/>
    <cellStyle name="_Q_SI Workbook PPYY_TT_20080529" xfId="490"/>
    <cellStyle name="_Q_SI Workbook PPYY_TT-1" xfId="491"/>
    <cellStyle name="_Q_SI Workbook PPYY_TT-3" xfId="492"/>
    <cellStyle name="_Q_SI Workbook PPYY_TT-4" xfId="493"/>
    <cellStyle name="_Reconciliation for B659&amp;A295 on TB level" xfId="494"/>
    <cellStyle name="_reserve" xfId="495"/>
    <cellStyle name="_Sample1" xfId="496"/>
    <cellStyle name="_Sample2" xfId="497"/>
    <cellStyle name="_SH Par Template-06-3 New method 0424" xfId="498"/>
    <cellStyle name="_Sheet1" xfId="499"/>
    <cellStyle name="_Sheet1_~1894191" xfId="500"/>
    <cellStyle name="_Sheet1_~1894191_reserve" xfId="501"/>
    <cellStyle name="_Sheet1_Spreadsheet AIA BJ 2007_20080328" xfId="502"/>
    <cellStyle name="_Sheet1_Spreadsheet AIA BJ 2007_20080328_reserve" xfId="503"/>
    <cellStyle name="_Sheet1_Spreadsheet AIA BJ 2007_20080328_v1" xfId="504"/>
    <cellStyle name="_Sheet1_Spreadsheet AIA BJ 2007_20080328_v1_reserve" xfId="505"/>
    <cellStyle name="_Sheet1_Spreadsheet AIA BJ 2007_20080408_v2" xfId="506"/>
    <cellStyle name="_Sheet1_UL" xfId="507"/>
    <cellStyle name="_Sheet1_凭证" xfId="508"/>
    <cellStyle name="_Sheet2" xfId="509"/>
    <cellStyle name="_Sheet2_LJ0517-0SU" xfId="510"/>
    <cellStyle name="_Sheet2_LJ0518-PSU" xfId="511"/>
    <cellStyle name="_Sheet2_LVSU0409" xfId="512"/>
    <cellStyle name="_Sheet2_Sheet3" xfId="513"/>
    <cellStyle name="_Sheet2_Sheet8" xfId="514"/>
    <cellStyle name="_Sheet2_UL" xfId="515"/>
    <cellStyle name="_Sheet2_概要联结" xfId="517"/>
    <cellStyle name="_Sheet2_凭证" xfId="516"/>
    <cellStyle name="_Sheet3" xfId="518"/>
    <cellStyle name="_Sheet4" xfId="519"/>
    <cellStyle name="_Sheet4_reserve" xfId="520"/>
    <cellStyle name="_Sheet4_Spreadsheet AIA BJ 2007_20080408_v2" xfId="521"/>
    <cellStyle name="_SI Workbook (Quarterly Schedules)-1" xfId="522"/>
    <cellStyle name="_Solvency Report Working-V10" xfId="523"/>
    <cellStyle name="_solvency worksheet-1206" xfId="524"/>
    <cellStyle name="_Solvency WP_AIA DG_Final" xfId="525"/>
    <cellStyle name="_Solvency WP_AIA DG_Final_reserve" xfId="526"/>
    <cellStyle name="_Solvency WP_AIA DG_Final_Spreadsheet AIA BJ 2007_20080408_v2" xfId="527"/>
    <cellStyle name="_Solvency WP_AIA DG_Final_UL DG_0318" xfId="528"/>
    <cellStyle name="_Solvency WP_AIA DG_Final_UL DG_0318_Opening balance 2006_AIA DG 0321 WP" xfId="529"/>
    <cellStyle name="_Solvency WP_AIA DG_Final_UL DG_0318_首次执行_v2" xfId="530"/>
    <cellStyle name="_Solvency WP_AIA GD_2006_Final" xfId="531"/>
    <cellStyle name="_Solvency WP_AIA GD_2006_Final_reserve" xfId="532"/>
    <cellStyle name="_Solvency WP_AIA GD_2006_Final_Spreadsheet AIA BJ 2007_20080408_v2" xfId="533"/>
    <cellStyle name="_Solvency WP_AIA GD_2006_Final_UL DG_0318" xfId="534"/>
    <cellStyle name="_Solvency WP_AIA GD_2006_Final_UL DG_0318_Opening balance 2006_AIA DG 0321 WP" xfId="535"/>
    <cellStyle name="_Solvency WP_AIA GD_2006_Final_UL DG_0318_首次执行_v2" xfId="536"/>
    <cellStyle name="_Solvency WP_AIA SH_2006" xfId="537"/>
    <cellStyle name="_Southwest A1" xfId="538"/>
    <cellStyle name="_Southwest BE" xfId="539"/>
    <cellStyle name="_Sovency draft_AIA_SZ0703" xfId="540"/>
    <cellStyle name="_Sovency draft_AIA_SZ0703 V3" xfId="541"/>
    <cellStyle name="_Sovency draft_AIA_SZ0703 V3_~1894191" xfId="542"/>
    <cellStyle name="_Sovency draft_AIA_SZ0703 V3_~1894191_reserve" xfId="543"/>
    <cellStyle name="_Sovency draft_AIA_SZ0703 V3_DT-wp" xfId="544"/>
    <cellStyle name="_Sovency draft_AIA_SZ0703 V3_Spreadsheet AIA BJ 2007_20080328" xfId="545"/>
    <cellStyle name="_Sovency draft_AIA_SZ0703 V3_Spreadsheet AIA BJ 2007_20080328_reserve" xfId="546"/>
    <cellStyle name="_Sovency draft_AIA_SZ0703 V3_Spreadsheet AIA BJ 2007_20080328_v1" xfId="547"/>
    <cellStyle name="_Sovency draft_AIA_SZ0703 V3_Spreadsheet AIA BJ 2007_20080328_v1_reserve" xfId="548"/>
    <cellStyle name="_Sovency draft_AIA_SZ0703 V3_Spreadsheet AIA BJ 2007_20080408_v2" xfId="549"/>
    <cellStyle name="_Sovency draft_AIA_SZ0703 V3_Tax projection 20080331" xfId="550"/>
    <cellStyle name="_Sovency draft_AIA_SZ0703 V3_所得税调整BJ" xfId="551"/>
    <cellStyle name="_Sovency draft_AIA_SZ0703 V3_所得税调整BJ_Opening Balance 2006_AIA SZ 0310 WP" xfId="552"/>
    <cellStyle name="_Sovency draft_AIA_SZ0703 V3_所得税调整BJ_Opening Balance 2006_AIA SZ 0310 WP_reserve" xfId="553"/>
    <cellStyle name="_Sovency draft_AIA_SZ0703 V3_所得税调整BJ_Opening Balance 2006_AIA SZ 0310 WP_Spreadsheet AIA BJ 2007_20080408_v2" xfId="554"/>
    <cellStyle name="_Sovency draft_AIA_SZ0703 V3_所得税调整BJ_reserve" xfId="555"/>
    <cellStyle name="_Sovency draft_AIA_SZ0703_~1894191" xfId="556"/>
    <cellStyle name="_Sovency draft_AIA_SZ0703_~1894191_reserve" xfId="557"/>
    <cellStyle name="_Sovency draft_AIA_SZ0703_DT-wp" xfId="558"/>
    <cellStyle name="_Sovency draft_AIA_SZ0703_Spreadsheet AIA BJ 2007_20080328" xfId="559"/>
    <cellStyle name="_Sovency draft_AIA_SZ0703_Spreadsheet AIA BJ 2007_20080328_reserve" xfId="560"/>
    <cellStyle name="_Sovency draft_AIA_SZ0703_Spreadsheet AIA BJ 2007_20080328_v1" xfId="561"/>
    <cellStyle name="_Sovency draft_AIA_SZ0703_Spreadsheet AIA BJ 2007_20080328_v1_reserve" xfId="562"/>
    <cellStyle name="_Sovency draft_AIA_SZ0703_Spreadsheet AIA BJ 2007_20080408_v2" xfId="563"/>
    <cellStyle name="_Sovency draft_AIA_SZ0703_Tax projection 20080331" xfId="564"/>
    <cellStyle name="_Sovency draft_AIA_SZ0703_所得税调整BJ" xfId="565"/>
    <cellStyle name="_Sovency draft_AIA_SZ0703_所得税调整BJ_Opening Balance 2006_AIA SZ 0310 WP" xfId="566"/>
    <cellStyle name="_Sovency draft_AIA_SZ0703_所得税调整BJ_Opening Balance 2006_AIA SZ 0310 WP_reserve" xfId="567"/>
    <cellStyle name="_Sovency draft_AIA_SZ0703_所得税调整BJ_Opening Balance 2006_AIA SZ 0310 WP_Spreadsheet AIA BJ 2007_20080408_v2" xfId="568"/>
    <cellStyle name="_Sovency draft_AIA_SZ0703_所得税调整BJ_reserve" xfId="569"/>
    <cellStyle name="_Sovency Final_AIA_SZ 2006 Final" xfId="570"/>
    <cellStyle name="_Spreadsheet" xfId="571"/>
    <cellStyle name="_Spreadsheet AIA BJ 2007_20080312_V3" xfId="572"/>
    <cellStyle name="_Spreadsheet AIA BJ 2007_20080312_V3_reserve" xfId="573"/>
    <cellStyle name="_Spreadsheet AIA BJ 2007_20080312_V3_Spreadsheet AIA BJ 2007_20080408_v2" xfId="574"/>
    <cellStyle name="_Spreadsheet AIA BJ 2007_20080328" xfId="575"/>
    <cellStyle name="_Spreadsheet AIA BJ 2007_20080328_reserve" xfId="576"/>
    <cellStyle name="_Spreadsheet AIA BJ 2007_20080328_v1" xfId="577"/>
    <cellStyle name="_Spreadsheet AIA BJ 2007_20080328_v1_reserve" xfId="578"/>
    <cellStyle name="_Spreadsheet AIA BJ 2007_20080408_v2" xfId="579"/>
    <cellStyle name="_Spreadsheet AIA DG 2007_20080311" xfId="580"/>
    <cellStyle name="_Spreadsheet AIA DG 2007_combined opening_V1" xfId="581"/>
    <cellStyle name="_Spreadsheet AIA DG 2007_combined opening_V11_final" xfId="582"/>
    <cellStyle name="_Spreadsheet AIA SH 2007_20080312_V3" xfId="583"/>
    <cellStyle name="_Spreadsheet AIA SZ 2007_20080312_V3" xfId="584"/>
    <cellStyle name="_Spreadsheet_~1894191" xfId="585"/>
    <cellStyle name="_Spreadsheet_~1894191_reserve" xfId="586"/>
    <cellStyle name="_Spreadsheet_1" xfId="587"/>
    <cellStyle name="_Spreadsheet_AIA GD (include FS) 2006 Final" xfId="588"/>
    <cellStyle name="_Spreadsheet_Spreadsheet AIA BJ 2007_20080328" xfId="589"/>
    <cellStyle name="_Spreadsheet_Spreadsheet AIA BJ 2007_20080328_reserve" xfId="590"/>
    <cellStyle name="_Spreadsheet_Spreadsheet AIA BJ 2007_20080328_v1" xfId="591"/>
    <cellStyle name="_Spreadsheet_Spreadsheet AIA BJ 2007_20080328_v1_reserve" xfId="592"/>
    <cellStyle name="_Spreadsheet_Spreadsheet AIA BJ 2007_20080408_v2" xfId="593"/>
    <cellStyle name="_Spreadsheet-AIA Shanghai 2007" xfId="594"/>
    <cellStyle name="_Spreadsheet-JM07-0414-opening-V2" xfId="595"/>
    <cellStyle name="_SSC budget" xfId="596"/>
    <cellStyle name="_SSC_XPAB 2008 GD PLAN " xfId="597"/>
    <cellStyle name="_SSPF" xfId="598"/>
    <cellStyle name="_Statutory report 2006 restate" xfId="599"/>
    <cellStyle name="_Statutory report 2006 restate_reserve" xfId="600"/>
    <cellStyle name="_Statutory report 2006 restate_Spreadsheet AIA BJ 2007_20080408_v2" xfId="601"/>
    <cellStyle name="_Statutory report 2006 restate_UL DG_0318" xfId="602"/>
    <cellStyle name="_Statutory report 2006 restate_UL DG_0318_Opening balance 2006_AIA DG 0321 WP" xfId="603"/>
    <cellStyle name="_Statutory report 2006 restate_UL DG_0318_首次执行_v2" xfId="604"/>
    <cellStyle name="_SUD" xfId="605"/>
    <cellStyle name="_Supplementary Information-AR(from Irene)" xfId="606"/>
    <cellStyle name="_Supplementary Information-FA(from wilson)" xfId="607"/>
    <cellStyle name="_SZ Prem AR" xfId="608"/>
    <cellStyle name="_SZ Prem AR_reserve" xfId="609"/>
    <cellStyle name="_SZ Prem AR_Spreadsheet AIA BJ 2007_20080408_v2" xfId="610"/>
    <cellStyle name="_SZ Prem AR_UL DG_0318" xfId="611"/>
    <cellStyle name="_SZ Prem AR_UL DG_0318_Opening balance 2006_AIA DG 0321 WP" xfId="612"/>
    <cellStyle name="_SZ Prem AR_UL DG_0318_首次执行_v2" xfId="613"/>
    <cellStyle name="_SZ_ Par checking_2005" xfId="614"/>
    <cellStyle name="_SZ_ Par checking_2005_~1894191" xfId="615"/>
    <cellStyle name="_SZ_ Par checking_2005_~1894191_reserve" xfId="616"/>
    <cellStyle name="_SZ_ Par checking_2005_DT-wp" xfId="617"/>
    <cellStyle name="_SZ_ Par checking_2005_Spreadsheet AIA BJ 2007_20080328" xfId="618"/>
    <cellStyle name="_SZ_ Par checking_2005_Spreadsheet AIA BJ 2007_20080328_reserve" xfId="619"/>
    <cellStyle name="_SZ_ Par checking_2005_Spreadsheet AIA BJ 2007_20080328_v1" xfId="620"/>
    <cellStyle name="_SZ_ Par checking_2005_Spreadsheet AIA BJ 2007_20080328_v1_reserve" xfId="621"/>
    <cellStyle name="_SZ_ Par checking_2005_Spreadsheet AIA BJ 2007_20080408_v2" xfId="622"/>
    <cellStyle name="_SZ_ Par checking_2005_Tax projection 20080331" xfId="623"/>
    <cellStyle name="_SZ_ Par checking_2005_所得税调整BJ" xfId="624"/>
    <cellStyle name="_SZ_ Par checking_2005_所得税调整BJ_Opening Balance 2006_AIA SZ 0310 WP" xfId="625"/>
    <cellStyle name="_SZ_ Par checking_2005_所得税调整BJ_Opening Balance 2006_AIA SZ 0310 WP_reserve" xfId="626"/>
    <cellStyle name="_SZ_ Par checking_2005_所得税调整BJ_Opening Balance 2006_AIA SZ 0310 WP_Spreadsheet AIA BJ 2007_20080408_v2" xfId="627"/>
    <cellStyle name="_SZ_ Par checking_2005_所得税调整BJ_reserve" xfId="628"/>
    <cellStyle name="_Tax computation template - P&amp;L - Branches (SH)" xfId="629"/>
    <cellStyle name="_Tax computation template - P&amp;L - Branches (SU)" xfId="630"/>
    <cellStyle name="_Tax projection 20080331" xfId="631"/>
    <cellStyle name="_Tax Saving Calculation_2007 &amp; Onwards" xfId="632"/>
    <cellStyle name="_TB 2006.01--2006.12" xfId="633"/>
    <cellStyle name="_TB20080325" xfId="634"/>
    <cellStyle name="_TBFMT0018" xfId="635"/>
    <cellStyle name="_UL" xfId="636"/>
    <cellStyle name="_UL DG_0318" xfId="637"/>
    <cellStyle name="_UL DG_0318_Opening balance 2006_AIA DG 0321 WP" xfId="638"/>
    <cellStyle name="_UL DG_0318_首次执行_v2" xfId="639"/>
    <cellStyle name="_v1 2007 12 PORTIA" xfId="640"/>
    <cellStyle name="_v1 2007 12 PORTIA_~1894191" xfId="641"/>
    <cellStyle name="_v1 2007 12 PORTIA_~1894191_reserve" xfId="642"/>
    <cellStyle name="_v1 2007 12 PORTIA_Spreadsheet AIA BJ 2007_20080328" xfId="643"/>
    <cellStyle name="_v1 2007 12 PORTIA_Spreadsheet AIA BJ 2007_20080328_reserve" xfId="644"/>
    <cellStyle name="_v1 2007 12 PORTIA_Spreadsheet AIA BJ 2007_20080328_v1" xfId="645"/>
    <cellStyle name="_v1 2007 12 PORTIA_Spreadsheet AIA BJ 2007_20080328_v1_reserve" xfId="646"/>
    <cellStyle name="_v1 2007 12 PORTIA_Spreadsheet AIA BJ 2007_20080408_v2" xfId="647"/>
    <cellStyle name="_v18 Rico_Marketable securities" xfId="648"/>
    <cellStyle name="_v40 Spreadsheet_AIA SZ 2006(PWC Final)" xfId="649"/>
    <cellStyle name="_v40 Spreadsheet_AIA SZ 2006(PWC Final)_~1894191" xfId="650"/>
    <cellStyle name="_v40 Spreadsheet_AIA SZ 2006(PWC Final)_~1894191_reserve" xfId="651"/>
    <cellStyle name="_v40 Spreadsheet_AIA SZ 2006(PWC Final)_Spreadsheet AIA BJ 2007_20080328" xfId="652"/>
    <cellStyle name="_v40 Spreadsheet_AIA SZ 2006(PWC Final)_Spreadsheet AIA BJ 2007_20080328_reserve" xfId="653"/>
    <cellStyle name="_v40 Spreadsheet_AIA SZ 2006(PWC Final)_Spreadsheet AIA BJ 2007_20080328_v1" xfId="654"/>
    <cellStyle name="_v40 Spreadsheet_AIA SZ 2006(PWC Final)_Spreadsheet AIA BJ 2007_20080328_v1_reserve" xfId="655"/>
    <cellStyle name="_v40 Spreadsheet_AIA SZ 2006(PWC Final)_Spreadsheet AIA BJ 2007_20080408_v2" xfId="656"/>
    <cellStyle name="_v42 Spreadsheet_AIA SZ 2006" xfId="657"/>
    <cellStyle name="_v42 Spreadsheet_AIA SZ 2006_reserve" xfId="658"/>
    <cellStyle name="_v42 Spreadsheet_AIA SZ 2006_Spreadsheet AIA BJ 2007_20080408_v2" xfId="659"/>
    <cellStyle name="_v8 Solvency WP_AIA GZ_2006_draft" xfId="660"/>
    <cellStyle name="_vision" xfId="661"/>
    <cellStyle name="_Working Paper of AIABJ 2008 - DT - V2" xfId="662"/>
    <cellStyle name="_XPAB summary combined 2008 to CHO" xfId="663"/>
    <cellStyle name="_XPAB-BJ080031-EDP-CSC TELEPHONE" xfId="664"/>
    <cellStyle name="_偿付能力报表2005wkg" xfId="667"/>
    <cellStyle name="_偿付能力报表2005wkg_~1894191" xfId="668"/>
    <cellStyle name="_偿付能力报表2005wkg_~1894191_reserve" xfId="669"/>
    <cellStyle name="_偿付能力报表2005wkg_DT-wp" xfId="670"/>
    <cellStyle name="_偿付能力报表2005wkg_Spreadsheet AIA BJ 2007_20080328" xfId="671"/>
    <cellStyle name="_偿付能力报表2005wkg_Spreadsheet AIA BJ 2007_20080328_reserve" xfId="672"/>
    <cellStyle name="_偿付能力报表2005wkg_Spreadsheet AIA BJ 2007_20080328_v1" xfId="673"/>
    <cellStyle name="_偿付能力报表2005wkg_Spreadsheet AIA BJ 2007_20080328_v1_reserve" xfId="674"/>
    <cellStyle name="_偿付能力报表2005wkg_Spreadsheet AIA BJ 2007_20080408_v2" xfId="675"/>
    <cellStyle name="_偿付能力报表2005wkg_Tax projection 20080331" xfId="676"/>
    <cellStyle name="_偿付能力报表2005wkg_所得税调整BJ" xfId="677"/>
    <cellStyle name="_偿付能力报表2005wkg_所得税调整BJ_Opening Balance 2006_AIA SZ 0310 WP" xfId="678"/>
    <cellStyle name="_偿付能力报表2005wkg_所得税调整BJ_Opening Balance 2006_AIA SZ 0310 WP_reserve" xfId="679"/>
    <cellStyle name="_偿付能力报表2005wkg_所得税调整BJ_Opening Balance 2006_AIA SZ 0310 WP_Spreadsheet AIA BJ 2007_20080408_v2" xfId="680"/>
    <cellStyle name="_偿付能力报表2005wkg_所得税调整BJ_reserve" xfId="681"/>
    <cellStyle name="_偿付能力报告worksheet-06年报" xfId="665"/>
    <cellStyle name="_偿付能力报告worksheet-06年报 V1" xfId="666"/>
    <cellStyle name="_待摊费用摊销200712-1240015001" xfId="715"/>
    <cellStyle name="_递延所得税-期初调整 v2--AFS adj HTM" xfId="758"/>
    <cellStyle name="_递延所得税-期初调整 v2--AFS adj HTM_~1894191" xfId="759"/>
    <cellStyle name="_递延所得税-期初调整 v2--AFS adj HTM_~1894191_reserve" xfId="760"/>
    <cellStyle name="_递延所得税-期初调整 v2--AFS adj HTM_a10 Marketable securities" xfId="761"/>
    <cellStyle name="_递延所得税-期初调整 v2--AFS adj HTM_a10 Marketable securities_Opening balance 2006_AIA DG 0321 WP" xfId="762"/>
    <cellStyle name="_递延所得税-期初调整 v2--AFS adj HTM_a10 Marketable securities_首次执行_v2" xfId="763"/>
    <cellStyle name="_递延所得税-期初调整 v2--AFS adj HTM_Spreadsheet AIA BJ 2007_20080328" xfId="764"/>
    <cellStyle name="_递延所得税-期初调整 v2--AFS adj HTM_Spreadsheet AIA BJ 2007_20080328_reserve" xfId="765"/>
    <cellStyle name="_递延所得税-期初调整 v2--AFS adj HTM_Spreadsheet AIA BJ 2007_20080328_v1" xfId="766"/>
    <cellStyle name="_递延所得税-期初调整 v2--AFS adj HTM_Spreadsheet AIA BJ 2007_20080328_v1_reserve" xfId="767"/>
    <cellStyle name="_递延所得税-期初调整 v2--AFS adj HTM_Spreadsheet AIA BJ 2007_20080408_v2" xfId="768"/>
    <cellStyle name="_递延所得税-期初调整 v2--AFS adj HTM_UL DG_0318" xfId="769"/>
    <cellStyle name="_递延所得税-期初调整 v2--AFS adj HTM_UL DG_0318_Opening balance 2006_AIA DG 0321 WP" xfId="770"/>
    <cellStyle name="_递延所得税-期初调整 v2--AFS adj HTM_UL DG_0318_首次执行_v2" xfId="771"/>
    <cellStyle name="_概要联结" xfId="752"/>
    <cellStyle name="_概要联结_1" xfId="753"/>
    <cellStyle name="_汇兑损益" xfId="754"/>
    <cellStyle name="_汇兑损益_reserve" xfId="755"/>
    <cellStyle name="_汇兑损益_Spreadsheet AIA BJ 2007_20080408_v2" xfId="756"/>
    <cellStyle name="_凭证" xfId="682"/>
    <cellStyle name="_凭证录入" xfId="683"/>
    <cellStyle name="_手续费2006" xfId="718"/>
    <cellStyle name="_手续费2006_~1894191" xfId="719"/>
    <cellStyle name="_手续费2006_~1894191_reserve" xfId="720"/>
    <cellStyle name="_手续费2006_DT-wp" xfId="721"/>
    <cellStyle name="_手续费2006_Spreadsheet AIA BJ 2007_20080328" xfId="722"/>
    <cellStyle name="_手续费2006_Spreadsheet AIA BJ 2007_20080328_reserve" xfId="723"/>
    <cellStyle name="_手续费2006_Spreadsheet AIA BJ 2007_20080328_v1" xfId="724"/>
    <cellStyle name="_手续费2006_Spreadsheet AIA BJ 2007_20080328_v1_reserve" xfId="725"/>
    <cellStyle name="_手续费2006_Spreadsheet AIA BJ 2007_20080408_v2" xfId="726"/>
    <cellStyle name="_手续费2006_Tax projection 20080331" xfId="727"/>
    <cellStyle name="_手续费2006_所得税调整BJ" xfId="728"/>
    <cellStyle name="_手续费2006_所得税调整BJ_Opening Balance 2006_AIA SZ 0310 WP" xfId="729"/>
    <cellStyle name="_手续费2006_所得税调整BJ_Opening Balance 2006_AIA SZ 0310 WP_reserve" xfId="730"/>
    <cellStyle name="_手续费2006_所得税调整BJ_Opening Balance 2006_AIA SZ 0310 WP_Spreadsheet AIA BJ 2007_20080408_v2" xfId="731"/>
    <cellStyle name="_手续费2006_所得税调整BJ_reserve" xfId="732"/>
    <cellStyle name="_所得税调整BJ-CATHY" xfId="716"/>
    <cellStyle name="_所得税调整BJ-CATHY (2)" xfId="717"/>
    <cellStyle name="_未决赔款准备金-短期（精算）" xfId="751"/>
    <cellStyle name="_详细报告" xfId="757"/>
    <cellStyle name="_小于8000" xfId="684"/>
    <cellStyle name="_小于8000_~1894191" xfId="685"/>
    <cellStyle name="_小于8000_~1894191_reserve" xfId="686"/>
    <cellStyle name="_小于8000_Opening Balance 2006_AIA SZ 0310 WP" xfId="687"/>
    <cellStyle name="_小于8000_Opening Balance 2006_AIA SZ 0310 WP_reserve" xfId="688"/>
    <cellStyle name="_小于8000_Opening Balance 2006_AIA SZ 0310 WP_Spreadsheet AIA BJ 2007_20080408_v2" xfId="689"/>
    <cellStyle name="_小于8000_Spreadsheet AIA BJ 2007_20080312_V3" xfId="690"/>
    <cellStyle name="_小于8000_Spreadsheet AIA BJ 2007_20080312_V3_reserve" xfId="691"/>
    <cellStyle name="_小于8000_Spreadsheet AIA BJ 2007_20080312_V3_Spreadsheet AIA BJ 2007_20080408_v2" xfId="692"/>
    <cellStyle name="_小于8000_Spreadsheet AIA BJ 2007_20080328" xfId="693"/>
    <cellStyle name="_小于8000_Spreadsheet AIA BJ 2007_20080328_reserve" xfId="694"/>
    <cellStyle name="_小于8000_Spreadsheet AIA BJ 2007_20080328_v1" xfId="695"/>
    <cellStyle name="_小于8000_Spreadsheet AIA BJ 2007_20080328_v1_reserve" xfId="696"/>
    <cellStyle name="_小于8000_Working Paper of AIABJ 2008 - DT - V2" xfId="697"/>
    <cellStyle name="_小于8000_Working Paper of AIABJ 2008 - DT - V2_reserve" xfId="698"/>
    <cellStyle name="_小于8000_Working Paper of AIABJ 2008 - DT - V2_Spreadsheet AIA BJ 2007_20080408_v2" xfId="699"/>
    <cellStyle name="_新旧准则对比V2" xfId="733"/>
    <cellStyle name="_新旧准则对比V2_reserve" xfId="734"/>
    <cellStyle name="_新旧准则对比V2_Spreadsheet AIA BJ 2007_20080408_v2" xfId="735"/>
    <cellStyle name="_新旧准则对比-v2--AFS adj HTM" xfId="736"/>
    <cellStyle name="_新旧准则对比-v2--AFS adj HTM_~1894191" xfId="737"/>
    <cellStyle name="_新旧准则对比-v2--AFS adj HTM_~1894191_reserve" xfId="738"/>
    <cellStyle name="_新旧准则对比-v2--AFS adj HTM_a10 Marketable securities" xfId="739"/>
    <cellStyle name="_新旧准则对比-v2--AFS adj HTM_a10 Marketable securities_Opening balance 2006_AIA DG 0321 WP" xfId="740"/>
    <cellStyle name="_新旧准则对比-v2--AFS adj HTM_a10 Marketable securities_首次执行_v2" xfId="741"/>
    <cellStyle name="_新旧准则对比-v2--AFS adj HTM_Spreadsheet AIA BJ 2007_20080328" xfId="742"/>
    <cellStyle name="_新旧准则对比-v2--AFS adj HTM_Spreadsheet AIA BJ 2007_20080328_reserve" xfId="743"/>
    <cellStyle name="_新旧准则对比-v2--AFS adj HTM_Spreadsheet AIA BJ 2007_20080328_v1" xfId="744"/>
    <cellStyle name="_新旧准则对比-v2--AFS adj HTM_Spreadsheet AIA BJ 2007_20080328_v1_reserve" xfId="745"/>
    <cellStyle name="_新旧准则对比-v2--AFS adj HTM_Spreadsheet AIA BJ 2007_20080408_v2" xfId="746"/>
    <cellStyle name="_新旧准则对比-v2--AFS adj HTM_UL DG_0318" xfId="747"/>
    <cellStyle name="_新旧准则对比-v2--AFS adj HTM_UL DG_0318_Opening balance 2006_AIA DG 0321 WP" xfId="748"/>
    <cellStyle name="_新旧准则对比-v2--AFS adj HTM_UL DG_0318_首次执行_v2" xfId="749"/>
    <cellStyle name="_应收利息 AIA SZ" xfId="700"/>
    <cellStyle name="_应收利息 AIA SZ_~1894191" xfId="701"/>
    <cellStyle name="_应收利息 AIA SZ_~1894191_reserve" xfId="702"/>
    <cellStyle name="_应收利息 AIA SZ_DT-wp" xfId="703"/>
    <cellStyle name="_应收利息 AIA SZ_Spreadsheet AIA BJ 2007_20080328" xfId="704"/>
    <cellStyle name="_应收利息 AIA SZ_Spreadsheet AIA BJ 2007_20080328_reserve" xfId="705"/>
    <cellStyle name="_应收利息 AIA SZ_Spreadsheet AIA BJ 2007_20080328_v1" xfId="706"/>
    <cellStyle name="_应收利息 AIA SZ_Spreadsheet AIA BJ 2007_20080328_v1_reserve" xfId="707"/>
    <cellStyle name="_应收利息 AIA SZ_Spreadsheet AIA BJ 2007_20080408_v2" xfId="708"/>
    <cellStyle name="_应收利息 AIA SZ_Tax projection 20080331" xfId="709"/>
    <cellStyle name="_应收利息 AIA SZ_所得税调整BJ" xfId="710"/>
    <cellStyle name="_应收利息 AIA SZ_所得税调整BJ_Opening Balance 2006_AIA SZ 0310 WP" xfId="711"/>
    <cellStyle name="_应收利息 AIA SZ_所得税调整BJ_Opening Balance 2006_AIA SZ 0310 WP_reserve" xfId="712"/>
    <cellStyle name="_应收利息 AIA SZ_所得税调整BJ_Opening Balance 2006_AIA SZ 0310 WP_Spreadsheet AIA BJ 2007_20080408_v2" xfId="713"/>
    <cellStyle name="_应收利息 AIA SZ_所得税调整BJ_reserve" xfId="714"/>
    <cellStyle name="_预提费用调增" xfId="846"/>
    <cellStyle name="_长期待摊wp" xfId="772"/>
    <cellStyle name="_长期待摊费用" xfId="773"/>
    <cellStyle name="_长期待摊费用的合理性测" xfId="775"/>
    <cellStyle name="_长期待摊费用的合理性测_~1894191" xfId="776"/>
    <cellStyle name="_长期待摊费用的合理性测_~1894191_reserve" xfId="777"/>
    <cellStyle name="_长期待摊费用的合理性测_DT-wp" xfId="778"/>
    <cellStyle name="_长期待摊费用的合理性测_EDP" xfId="779"/>
    <cellStyle name="_长期待摊费用的合理性测_EDP_reserve" xfId="780"/>
    <cellStyle name="_长期待摊费用的合理性测_EDP_Spreadsheet AIA BJ 2007_20080408_v2" xfId="781"/>
    <cellStyle name="_长期待摊费用的合理性测_EDP_UL DG_0318" xfId="782"/>
    <cellStyle name="_长期待摊费用的合理性测_EDP_UL DG_0318_Opening balance 2006_AIA DG 0321 WP" xfId="783"/>
    <cellStyle name="_长期待摊费用的合理性测_EDP_UL DG_0318_首次执行_v2" xfId="784"/>
    <cellStyle name="_长期待摊费用的合理性测_Opening balance 2006_AIA DG 0310 WP" xfId="785"/>
    <cellStyle name="_长期待摊费用的合理性测_Opening balance AIA GD 0918" xfId="786"/>
    <cellStyle name="_长期待摊费用的合理性测_Opening balance AIA GD 0918_reserve" xfId="787"/>
    <cellStyle name="_长期待摊费用的合理性测_Opening balance AIA GD 0918_Spreadsheet AIA BJ 2007_20080408_v2" xfId="788"/>
    <cellStyle name="_长期待摊费用的合理性测_Opening balance AIA GD 0918_UL DG_0318" xfId="789"/>
    <cellStyle name="_长期待摊费用的合理性测_Opening balance AIA GD 0918_UL DG_0318_Opening balance 2006_AIA DG 0321 WP" xfId="790"/>
    <cellStyle name="_长期待摊费用的合理性测_Opening balance AIA GD 0918_UL DG_0318_首次执行_v2" xfId="791"/>
    <cellStyle name="_长期待摊费用的合理性测_Opening balance AIA GD 0924" xfId="792"/>
    <cellStyle name="_长期待摊费用的合理性测_Opening balance AIA GD 20080321" xfId="793"/>
    <cellStyle name="_长期待摊费用的合理性测_Opening balance AIA GD 20080324-Irene" xfId="794"/>
    <cellStyle name="_长期待摊费用的合理性测_Opening balance AIA SH 0813" xfId="795"/>
    <cellStyle name="_长期待摊费用的合理性测_Opening balance AIA SH 0813_~1894191" xfId="796"/>
    <cellStyle name="_长期待摊费用的合理性测_Opening balance AIA SH 0813_~1894191_reserve" xfId="797"/>
    <cellStyle name="_长期待摊费用的合理性测_Opening balance AIA SH 0813_Opening Balance 2006_AIA SZ 0310 WP" xfId="798"/>
    <cellStyle name="_长期待摊费用的合理性测_Opening balance AIA SH 0813_Opening Balance 2006_AIA SZ 0310 WP_reserve" xfId="799"/>
    <cellStyle name="_长期待摊费用的合理性测_Opening balance AIA SH 0813_Opening Balance 2006_AIA SZ 0310 WP_Spreadsheet AIA BJ 2007_20080408_v2" xfId="800"/>
    <cellStyle name="_长期待摊费用的合理性测_Opening balance AIA SH 0813_Spreadsheet AIA BJ 2007_20080312_V3" xfId="801"/>
    <cellStyle name="_长期待摊费用的合理性测_Opening balance AIA SH 0813_Spreadsheet AIA BJ 2007_20080312_V3_reserve" xfId="802"/>
    <cellStyle name="_长期待摊费用的合理性测_Opening balance AIA SH 0813_Spreadsheet AIA BJ 2007_20080312_V3_Spreadsheet AIA BJ 2007_20080408_v2" xfId="803"/>
    <cellStyle name="_长期待摊费用的合理性测_Opening balance AIA SH 0813_Spreadsheet AIA BJ 2007_20080328" xfId="804"/>
    <cellStyle name="_长期待摊费用的合理性测_Opening balance AIA SH 0813_Spreadsheet AIA BJ 2007_20080328_reserve" xfId="805"/>
    <cellStyle name="_长期待摊费用的合理性测_Opening balance AIA SH 0813_Spreadsheet AIA BJ 2007_20080328_v1" xfId="806"/>
    <cellStyle name="_长期待摊费用的合理性测_Opening balance AIA SH 0813_Spreadsheet AIA BJ 2007_20080328_v1_reserve" xfId="807"/>
    <cellStyle name="_长期待摊费用的合理性测_Opening balance AIA SH 0813_Working Paper of AIABJ 2008 - DT - V2" xfId="808"/>
    <cellStyle name="_长期待摊费用的合理性测_Opening balance AIA SH 0813_Working Paper of AIABJ 2008 - DT - V2_reserve" xfId="809"/>
    <cellStyle name="_长期待摊费用的合理性测_Opening balance AIA SH 0813_Working Paper of AIABJ 2008 - DT - V2_Spreadsheet AIA BJ 2007_20080408_v2" xfId="810"/>
    <cellStyle name="_长期待摊费用的合理性测_Opening balance AIA SH 0821" xfId="811"/>
    <cellStyle name="_长期待摊费用的合理性测_Opening balance AIA SH 0821_reserve" xfId="812"/>
    <cellStyle name="_长期待摊费用的合理性测_Opening balance AIA SH 0821_Spreadsheet AIA BJ 2007_20080408_v2" xfId="813"/>
    <cellStyle name="_长期待摊费用的合理性测_Opening balance AIA SH 0821_UL DG_0318" xfId="814"/>
    <cellStyle name="_长期待摊费用的合理性测_Opening balance AIA SH 0821_UL DG_0318_Opening balance 2006_AIA DG 0321 WP" xfId="815"/>
    <cellStyle name="_长期待摊费用的合理性测_Opening balance AIA SH 0821_UL DG_0318_首次执行_v2" xfId="816"/>
    <cellStyle name="_长期待摊费用的合理性测_Opening balance AIA SU 0823" xfId="817"/>
    <cellStyle name="_长期待摊费用的合理性测_Opening balance AIA SU 0823_reserve" xfId="818"/>
    <cellStyle name="_长期待摊费用的合理性测_Opening balance AIA SU 0823_Spreadsheet AIA BJ 2007_20080408_v2" xfId="819"/>
    <cellStyle name="_长期待摊费用的合理性测_Opening balance AIA SU 0823_UL DG_0318" xfId="820"/>
    <cellStyle name="_长期待摊费用的合理性测_Opening balance AIA SU 0823_UL DG_0318_Opening balance 2006_AIA DG 0321 WP" xfId="821"/>
    <cellStyle name="_长期待摊费用的合理性测_Opening balance AIA SU 0823_UL DG_0318_首次执行_v2" xfId="822"/>
    <cellStyle name="_长期待摊费用的合理性测_PPE-Irene" xfId="823"/>
    <cellStyle name="_长期待摊费用的合理性测_PPE-Irene_reserve" xfId="824"/>
    <cellStyle name="_长期待摊费用的合理性测_PPE-Irene_Spreadsheet AIA BJ 2007_20080408_v2" xfId="825"/>
    <cellStyle name="_长期待摊费用的合理性测_PPE-Irene_UL DG_0318" xfId="826"/>
    <cellStyle name="_长期待摊费用的合理性测_PPE-Irene_UL DG_0318_Opening balance 2006_AIA DG 0321 WP" xfId="827"/>
    <cellStyle name="_长期待摊费用的合理性测_PPE-Irene_UL DG_0318_首次执行_v2" xfId="828"/>
    <cellStyle name="_长期待摊费用的合理性测_Reserve Mapping-0325" xfId="829"/>
    <cellStyle name="_长期待摊费用的合理性测_Spreadsheet AIA BJ 2007_20080328" xfId="830"/>
    <cellStyle name="_长期待摊费用的合理性测_Spreadsheet AIA BJ 2007_20080328_reserve" xfId="831"/>
    <cellStyle name="_长期待摊费用的合理性测_Spreadsheet AIA BJ 2007_20080328_v1" xfId="832"/>
    <cellStyle name="_长期待摊费用的合理性测_Spreadsheet AIA BJ 2007_20080328_v1_reserve" xfId="833"/>
    <cellStyle name="_长期待摊费用的合理性测_Spreadsheet AIA BJ 2007_20080408_v2" xfId="834"/>
    <cellStyle name="_长期待摊费用的合理性测_Spreadsheet AIA DG 2007_combined opening_V1" xfId="835"/>
    <cellStyle name="_长期待摊费用的合理性测_Spreadsheet AIA JS 2007_20080402" xfId="836"/>
    <cellStyle name="_长期待摊费用的合理性测_Tax projection 20080331" xfId="837"/>
    <cellStyle name="_长期待摊费用的合理性测_UL DG_0318" xfId="838"/>
    <cellStyle name="_长期待摊费用的合理性测_UL DG_0318_Opening balance 2006_AIA DG 0321 WP" xfId="839"/>
    <cellStyle name="_长期待摊费用的合理性测_UL DG_0318_首次执行_v2" xfId="840"/>
    <cellStyle name="_长期待摊费用的合理性测_所得税调整BJ" xfId="841"/>
    <cellStyle name="_长期待摊费用的合理性测_所得税调整BJ_Opening Balance 2006_AIA SZ 0310 WP" xfId="842"/>
    <cellStyle name="_长期待摊费用的合理性测_所得税调整BJ_Opening Balance 2006_AIA SZ 0310 WP_reserve" xfId="843"/>
    <cellStyle name="_长期待摊费用的合理性测_所得税调整BJ_Opening Balance 2006_AIA SZ 0310 WP_Spreadsheet AIA BJ 2007_20080408_v2" xfId="844"/>
    <cellStyle name="_长期待摊费用的合理性测_所得税调整BJ_reserve" xfId="845"/>
    <cellStyle name="_长期待摊费用合理性测试" xfId="774"/>
    <cellStyle name="_最低偿付能力 (2)" xfId="750"/>
    <cellStyle name="{Comma [0]}" xfId="847"/>
    <cellStyle name="{Comma}" xfId="848"/>
    <cellStyle name="{Date}" xfId="849"/>
    <cellStyle name="{Month}" xfId="850"/>
    <cellStyle name="{Percent}" xfId="851"/>
    <cellStyle name="{Thousand [0]}" xfId="852"/>
    <cellStyle name="{Thousand}" xfId="853"/>
    <cellStyle name="{Z'0000(1 dec)}" xfId="854"/>
    <cellStyle name="{Z'0000(4 dec)}" xfId="855"/>
    <cellStyle name="=C:\WINNT\SYSTEM32\COMMAND.COM" xfId="856"/>
    <cellStyle name="ak" xfId="857"/>
    <cellStyle name="Calc Currency (0)" xfId="858"/>
    <cellStyle name="Calc Currency (2)" xfId="859"/>
    <cellStyle name="Calc Percent (0)" xfId="860"/>
    <cellStyle name="Calc Percent (1)" xfId="861"/>
    <cellStyle name="Calc Percent (2)" xfId="862"/>
    <cellStyle name="Calc Units (0)" xfId="863"/>
    <cellStyle name="Calc Units (1)" xfId="864"/>
    <cellStyle name="Calc Units (2)" xfId="865"/>
    <cellStyle name="category" xfId="866"/>
    <cellStyle name="Comma" xfId="956"/>
    <cellStyle name="Comma [00]" xfId="867"/>
    <cellStyle name="Comma0" xfId="868"/>
    <cellStyle name="Currency [00]" xfId="869"/>
    <cellStyle name="Currency0" xfId="870"/>
    <cellStyle name="Date" xfId="871"/>
    <cellStyle name="Date Short" xfId="872"/>
    <cellStyle name="Date_capinves" xfId="873"/>
    <cellStyle name="Enter Currency (0)" xfId="874"/>
    <cellStyle name="Enter Currency (2)" xfId="875"/>
    <cellStyle name="Enter Units (0)" xfId="876"/>
    <cellStyle name="Enter Units (1)" xfId="877"/>
    <cellStyle name="Enter Units (2)" xfId="878"/>
    <cellStyle name="Euro" xfId="879"/>
    <cellStyle name="F2" xfId="880"/>
    <cellStyle name="F3" xfId="881"/>
    <cellStyle name="F4" xfId="882"/>
    <cellStyle name="F5" xfId="883"/>
    <cellStyle name="F6" xfId="884"/>
    <cellStyle name="F7" xfId="885"/>
    <cellStyle name="F8" xfId="886"/>
    <cellStyle name="Fixed" xfId="887"/>
    <cellStyle name="Grey" xfId="888"/>
    <cellStyle name="HEADER" xfId="889"/>
    <cellStyle name="Header1" xfId="890"/>
    <cellStyle name="Header2" xfId="891"/>
    <cellStyle name="Heading1" xfId="892"/>
    <cellStyle name="Heading2" xfId="893"/>
    <cellStyle name="Input [yellow]" xfId="894"/>
    <cellStyle name="jktitle" xfId="895"/>
    <cellStyle name="Link Currency (0)" xfId="896"/>
    <cellStyle name="Link Currency (2)" xfId="897"/>
    <cellStyle name="Link Units (0)" xfId="898"/>
    <cellStyle name="Link Units (1)" xfId="899"/>
    <cellStyle name="Link Units (2)" xfId="900"/>
    <cellStyle name="Model" xfId="901"/>
    <cellStyle name="Monétaire [0]_PERSONAL" xfId="902"/>
    <cellStyle name="Monétaire_PERSONAL" xfId="903"/>
    <cellStyle name="NewStyle" xfId="904"/>
    <cellStyle name="no dec" xfId="905"/>
    <cellStyle name="Nor}al" xfId="906"/>
    <cellStyle name="Normal - Style1" xfId="907"/>
    <cellStyle name="Normal_income projection model v9 (Final chinese)" xfId="908"/>
    <cellStyle name="Percent [0]" xfId="909"/>
    <cellStyle name="Percent [00]" xfId="910"/>
    <cellStyle name="Percent [2]" xfId="911"/>
    <cellStyle name="PrePop Currency (0)" xfId="912"/>
    <cellStyle name="PrePop Currency (2)" xfId="913"/>
    <cellStyle name="PrePop Units (0)" xfId="914"/>
    <cellStyle name="PrePop Units (1)" xfId="915"/>
    <cellStyle name="PrePop Units (2)" xfId="916"/>
    <cellStyle name="price" xfId="917"/>
    <cellStyle name="Style 1" xfId="918"/>
    <cellStyle name="Style 2" xfId="919"/>
    <cellStyle name="subhead" xfId="920"/>
    <cellStyle name="Text Indent A" xfId="921"/>
    <cellStyle name="Text Indent B" xfId="922"/>
    <cellStyle name="Text Indent C" xfId="923"/>
    <cellStyle name="Tusental (0)_pldt" xfId="924"/>
    <cellStyle name="Tusental_pldt" xfId="925"/>
    <cellStyle name="Valuta (0)_pldt" xfId="926"/>
    <cellStyle name="Valuta_pldt" xfId="927"/>
    <cellStyle name="百分比 2" xfId="951"/>
    <cellStyle name="標準_ALICO PL" xfId="948"/>
    <cellStyle name="常规" xfId="0" builtinId="0"/>
    <cellStyle name="常规 2" xfId="939"/>
    <cellStyle name="常规_AM Training1214" xfId="940"/>
    <cellStyle name="常规_Book1" xfId="941"/>
    <cellStyle name="超级链接_AIAgz cashflow2002 " xfId="952"/>
    <cellStyle name="分级显示行_2_TB" xfId="929"/>
    <cellStyle name="归盒啦_95" xfId="942"/>
    <cellStyle name="桁区切り [0.00]_By-Line form" xfId="946"/>
    <cellStyle name="桁区切り_Sun_America-PL_WS" xfId="947"/>
    <cellStyle name="后继超级链接_AIAgz cashflow2002 " xfId="937"/>
    <cellStyle name="霓付 [0]_95" xfId="954"/>
    <cellStyle name="霓付_95" xfId="955"/>
    <cellStyle name="烹拳 [0]_95" xfId="949"/>
    <cellStyle name="烹拳_95" xfId="950"/>
    <cellStyle name="普通_ 白土" xfId="944"/>
    <cellStyle name="千分位[0]_ 白土" xfId="935"/>
    <cellStyle name="千分位_ 白土" xfId="936"/>
    <cellStyle name="千位[0]_Balance" xfId="930"/>
    <cellStyle name="千位_Balance" xfId="931"/>
    <cellStyle name="千位分隔" xfId="932" builtinId="3"/>
    <cellStyle name="千位分隔 2" xfId="933"/>
    <cellStyle name="千位分隔[0] 2" xfId="934"/>
    <cellStyle name="钎霖_4岿角利" xfId="953"/>
    <cellStyle name="审计调整分录" xfId="938"/>
    <cellStyle name="样式 1" xfId="945"/>
    <cellStyle name="一般_2003原料進耗存表" xfId="928"/>
    <cellStyle name="昗弨_ Index" xfId="94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/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1123950</xdr:colOff>
          <xdr:row>0</xdr:row>
          <xdr:rowOff>381000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1114425</xdr:colOff>
          <xdr:row>0</xdr:row>
          <xdr:rowOff>752475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</xdr:rowOff>
        </xdr:from>
        <xdr:to>
          <xdr:col>13</xdr:col>
          <xdr:colOff>447675</xdr:colOff>
          <xdr:row>0</xdr:row>
          <xdr:rowOff>361950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381000</xdr:rowOff>
        </xdr:from>
        <xdr:to>
          <xdr:col>13</xdr:col>
          <xdr:colOff>447675</xdr:colOff>
          <xdr:row>0</xdr:row>
          <xdr:rowOff>742950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5"/>
    <pageSetUpPr fitToPage="1"/>
  </sheetPr>
  <dimension ref="A1:AS29"/>
  <sheetViews>
    <sheetView showGridLines="0" view="pageBreakPreview" zoomScaleNormal="100" workbookViewId="0">
      <selection activeCell="D13" sqref="D13"/>
    </sheetView>
  </sheetViews>
  <sheetFormatPr defaultColWidth="10.28515625" defaultRowHeight="14.25"/>
  <cols>
    <col min="1" max="1" width="1.85546875" style="8" customWidth="1"/>
    <col min="2" max="2" width="20.28515625" style="8" bestFit="1" customWidth="1"/>
    <col min="3" max="5" width="18.7109375" style="8" bestFit="1" customWidth="1"/>
    <col min="6" max="6" width="27" style="8" customWidth="1"/>
    <col min="7" max="8" width="18.7109375" style="8" bestFit="1" customWidth="1"/>
    <col min="9" max="16384" width="10.28515625" style="8"/>
  </cols>
  <sheetData>
    <row r="1" spans="1:45" s="11" customFormat="1" ht="51.75" customHeight="1" thickBot="1">
      <c r="A1" s="13"/>
      <c r="B1" s="13"/>
      <c r="C1" s="118" t="s">
        <v>113</v>
      </c>
      <c r="D1" s="118"/>
      <c r="E1" s="118"/>
      <c r="F1" s="118"/>
      <c r="G1" s="118"/>
      <c r="H1" s="118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 ht="3.75" customHeight="1" thickTop="1" thickBot="1">
      <c r="B2" s="12"/>
      <c r="C2" s="12"/>
      <c r="D2" s="12"/>
      <c r="E2" s="12"/>
      <c r="F2" s="12"/>
      <c r="G2" s="12"/>
      <c r="H2" s="12"/>
    </row>
    <row r="3" spans="1:45" ht="15">
      <c r="B3" s="14" t="s">
        <v>69</v>
      </c>
      <c r="C3" s="15"/>
      <c r="D3" s="16"/>
      <c r="E3" s="19"/>
      <c r="F3" s="43"/>
      <c r="G3" s="44"/>
      <c r="H3" s="40"/>
    </row>
    <row r="4" spans="1:45" ht="3" customHeight="1">
      <c r="B4" s="20"/>
      <c r="C4" s="21"/>
      <c r="D4" s="22"/>
      <c r="E4" s="19"/>
      <c r="F4" s="41"/>
      <c r="G4" s="41"/>
      <c r="H4" s="40"/>
    </row>
    <row r="5" spans="1:45" ht="15">
      <c r="B5" s="23"/>
      <c r="C5" s="24"/>
      <c r="D5" s="25"/>
      <c r="E5" s="19"/>
      <c r="F5" s="66" t="s">
        <v>91</v>
      </c>
      <c r="G5" s="41"/>
      <c r="H5" s="40"/>
    </row>
    <row r="6" spans="1:45" ht="15">
      <c r="B6" s="17" t="s">
        <v>53</v>
      </c>
      <c r="C6" s="36" t="s">
        <v>109</v>
      </c>
      <c r="D6" s="26"/>
      <c r="E6" s="19"/>
      <c r="F6" s="45" t="s">
        <v>86</v>
      </c>
      <c r="G6" s="46"/>
      <c r="H6" s="40"/>
    </row>
    <row r="7" spans="1:45" ht="15">
      <c r="B7" s="18" t="s">
        <v>54</v>
      </c>
      <c r="C7" s="27">
        <v>2018006</v>
      </c>
      <c r="D7" s="26"/>
      <c r="E7" s="19"/>
      <c r="F7" s="47" t="s">
        <v>87</v>
      </c>
      <c r="G7" s="48"/>
      <c r="H7" s="40"/>
    </row>
    <row r="8" spans="1:45" ht="15">
      <c r="B8" s="17" t="s">
        <v>68</v>
      </c>
      <c r="C8" s="37" t="s">
        <v>123</v>
      </c>
      <c r="D8" s="26"/>
      <c r="E8" s="19"/>
      <c r="F8" s="45"/>
      <c r="G8" s="46"/>
      <c r="H8" s="40"/>
    </row>
    <row r="9" spans="1:45" ht="15">
      <c r="B9" s="17" t="s">
        <v>93</v>
      </c>
      <c r="C9" s="67" t="s">
        <v>120</v>
      </c>
      <c r="D9" s="28"/>
      <c r="E9" s="19"/>
      <c r="F9" s="47" t="s">
        <v>88</v>
      </c>
      <c r="G9" s="49"/>
      <c r="H9" s="40"/>
    </row>
    <row r="10" spans="1:45" ht="15">
      <c r="B10" s="17" t="s">
        <v>92</v>
      </c>
      <c r="C10" s="67" t="s">
        <v>121</v>
      </c>
      <c r="D10" s="28"/>
      <c r="E10" s="19"/>
      <c r="F10" s="47" t="s">
        <v>89</v>
      </c>
      <c r="G10" s="42"/>
      <c r="H10" s="40"/>
    </row>
    <row r="11" spans="1:45" ht="15">
      <c r="B11" s="17" t="s">
        <v>55</v>
      </c>
      <c r="C11" s="29"/>
      <c r="D11" s="28"/>
      <c r="E11" s="19"/>
      <c r="F11" s="47" t="s">
        <v>90</v>
      </c>
      <c r="G11" s="38"/>
      <c r="H11" s="38"/>
    </row>
    <row r="12" spans="1:45" ht="15">
      <c r="B12" s="30" t="s">
        <v>56</v>
      </c>
      <c r="C12" s="29"/>
      <c r="D12" s="28"/>
      <c r="E12" s="71"/>
      <c r="F12" s="4"/>
      <c r="G12" s="2"/>
      <c r="H12" s="2"/>
    </row>
    <row r="13" spans="1:45" ht="15">
      <c r="B13" s="30" t="s">
        <v>57</v>
      </c>
      <c r="C13" s="29"/>
      <c r="D13" s="28"/>
      <c r="E13" s="71"/>
      <c r="F13" s="76"/>
      <c r="G13" s="1"/>
      <c r="H13" s="1"/>
    </row>
    <row r="14" spans="1:45" ht="15">
      <c r="B14" s="30" t="s">
        <v>58</v>
      </c>
      <c r="C14" s="29"/>
      <c r="D14" s="28"/>
      <c r="E14" s="71"/>
      <c r="F14" s="72"/>
      <c r="G14" s="2"/>
      <c r="H14" s="2"/>
    </row>
    <row r="15" spans="1:45" ht="15">
      <c r="B15" s="30" t="s">
        <v>59</v>
      </c>
      <c r="C15" s="29"/>
      <c r="D15" s="28"/>
      <c r="E15" s="71"/>
      <c r="F15" s="2"/>
      <c r="G15" s="2"/>
      <c r="H15" s="2"/>
    </row>
    <row r="16" spans="1:45" ht="15">
      <c r="B16" s="30" t="s">
        <v>60</v>
      </c>
      <c r="C16" s="29"/>
      <c r="D16" s="28"/>
      <c r="E16" s="71"/>
      <c r="F16" s="73"/>
      <c r="G16" s="2"/>
      <c r="H16" s="2"/>
    </row>
    <row r="17" spans="2:8" ht="15">
      <c r="B17" s="31" t="s">
        <v>61</v>
      </c>
      <c r="C17" s="32"/>
      <c r="D17" s="28"/>
      <c r="E17" s="71"/>
      <c r="F17" s="2"/>
      <c r="G17" s="2"/>
      <c r="H17" s="2"/>
    </row>
    <row r="18" spans="2:8" ht="15" customHeight="1">
      <c r="B18" s="30" t="s">
        <v>62</v>
      </c>
      <c r="C18" s="29"/>
      <c r="D18" s="28"/>
      <c r="E18" s="71"/>
      <c r="F18" s="39"/>
      <c r="G18" s="74"/>
      <c r="H18" s="74"/>
    </row>
    <row r="19" spans="2:8" ht="15">
      <c r="B19" s="31" t="s">
        <v>63</v>
      </c>
      <c r="C19" s="32"/>
      <c r="D19" s="28"/>
      <c r="E19" s="71"/>
      <c r="F19" s="39"/>
      <c r="G19" s="2"/>
      <c r="H19" s="2"/>
    </row>
    <row r="20" spans="2:8" ht="15">
      <c r="B20" s="31" t="s">
        <v>64</v>
      </c>
      <c r="C20" s="32"/>
      <c r="D20" s="28"/>
      <c r="E20" s="71"/>
      <c r="F20" s="3"/>
      <c r="G20" s="3"/>
      <c r="H20" s="3"/>
    </row>
    <row r="21" spans="2:8" ht="15">
      <c r="B21" s="30" t="s">
        <v>65</v>
      </c>
      <c r="C21" s="29"/>
      <c r="D21" s="28"/>
      <c r="E21" s="71"/>
      <c r="F21" s="3"/>
      <c r="G21" s="3"/>
      <c r="H21" s="3"/>
    </row>
    <row r="22" spans="2:8" ht="15.75" thickBot="1">
      <c r="B22" s="33" t="s">
        <v>66</v>
      </c>
      <c r="C22" s="34" t="s">
        <v>67</v>
      </c>
      <c r="D22" s="35"/>
      <c r="E22" s="75"/>
      <c r="F22" s="75"/>
      <c r="G22" s="75"/>
      <c r="H22" s="75"/>
    </row>
    <row r="23" spans="2:8">
      <c r="B23" s="12"/>
      <c r="C23" s="12"/>
      <c r="D23" s="12"/>
    </row>
    <row r="24" spans="2:8">
      <c r="B24" s="78" t="s">
        <v>119</v>
      </c>
      <c r="C24" s="12"/>
      <c r="D24" s="12"/>
    </row>
    <row r="25" spans="2:8">
      <c r="B25" s="12"/>
      <c r="C25" s="12"/>
      <c r="D25" s="12"/>
    </row>
    <row r="26" spans="2:8">
      <c r="B26" s="79" t="s">
        <v>115</v>
      </c>
      <c r="C26" s="79" t="s">
        <v>116</v>
      </c>
      <c r="D26" s="79" t="s">
        <v>117</v>
      </c>
      <c r="E26" s="79" t="s">
        <v>118</v>
      </c>
    </row>
    <row r="27" spans="2:8">
      <c r="B27" s="80"/>
      <c r="C27" s="80"/>
      <c r="D27" s="80"/>
      <c r="E27" s="80"/>
    </row>
    <row r="28" spans="2:8">
      <c r="B28" s="77"/>
    </row>
    <row r="29" spans="2:8">
      <c r="B29" s="77"/>
    </row>
  </sheetData>
  <mergeCells count="1">
    <mergeCell ref="C1:H1"/>
  </mergeCells>
  <phoneticPr fontId="5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42"/>
  </sheetPr>
  <dimension ref="A1:Z637"/>
  <sheetViews>
    <sheetView zoomScaleNormal="100" workbookViewId="0">
      <pane ySplit="2" topLeftCell="A3" activePane="bottomLeft" state="frozen"/>
      <selection pane="bottomLeft" activeCell="AB77" sqref="AB77"/>
    </sheetView>
  </sheetViews>
  <sheetFormatPr defaultRowHeight="14.25" outlineLevelCol="1"/>
  <cols>
    <col min="1" max="1" width="13.5703125" style="70" bestFit="1" customWidth="1"/>
    <col min="2" max="2" width="41.5703125" style="63" hidden="1" customWidth="1" outlineLevel="1"/>
    <col min="3" max="9" width="9" style="63" hidden="1" customWidth="1" outlineLevel="1"/>
    <col min="10" max="10" width="5.7109375" style="63" customWidth="1" collapsed="1"/>
    <col min="11" max="11" width="12.28515625" style="83" bestFit="1" customWidth="1"/>
    <col min="12" max="12" width="29.7109375" style="64" bestFit="1" customWidth="1"/>
    <col min="13" max="13" width="6.42578125" style="70" customWidth="1"/>
    <col min="14" max="14" width="21.42578125" style="86" bestFit="1" customWidth="1"/>
    <col min="15" max="15" width="21.42578125" style="86" customWidth="1"/>
    <col min="16" max="16" width="8.7109375" style="65" customWidth="1"/>
    <col min="17" max="17" width="15.42578125" style="54" bestFit="1" customWidth="1"/>
    <col min="18" max="22" width="8.7109375" style="54" customWidth="1"/>
    <col min="23" max="24" width="8.7109375" style="54" hidden="1" customWidth="1"/>
    <col min="25" max="25" width="8.7109375" style="89" customWidth="1"/>
    <col min="26" max="16384" width="9.140625" style="54"/>
  </cols>
  <sheetData>
    <row r="1" spans="1:26" ht="60" customHeight="1" thickBot="1">
      <c r="A1" s="68"/>
      <c r="B1" s="50"/>
      <c r="C1" s="50"/>
      <c r="D1" s="50"/>
      <c r="E1" s="50"/>
      <c r="F1" s="50"/>
      <c r="G1" s="50"/>
      <c r="H1" s="50"/>
      <c r="I1" s="50"/>
      <c r="J1" s="51" t="s">
        <v>143</v>
      </c>
      <c r="K1" s="81" t="s">
        <v>114</v>
      </c>
      <c r="L1" s="52"/>
      <c r="M1" s="68"/>
      <c r="N1" s="84"/>
      <c r="O1" s="84"/>
      <c r="P1" s="53"/>
      <c r="Q1" s="53"/>
      <c r="R1" s="53"/>
      <c r="S1" s="53"/>
      <c r="T1" s="53"/>
      <c r="U1" s="53"/>
      <c r="V1" s="53"/>
      <c r="W1" s="53"/>
      <c r="X1" s="53"/>
      <c r="Y1" s="88"/>
    </row>
    <row r="2" spans="1:26" s="62" customFormat="1" ht="27">
      <c r="A2" s="69" t="s">
        <v>11</v>
      </c>
      <c r="B2" s="55" t="s">
        <v>70</v>
      </c>
      <c r="C2" s="56" t="s">
        <v>71</v>
      </c>
      <c r="D2" s="56" t="s">
        <v>72</v>
      </c>
      <c r="E2" s="56" t="s">
        <v>73</v>
      </c>
      <c r="F2" s="56" t="s">
        <v>74</v>
      </c>
      <c r="G2" s="56" t="s">
        <v>75</v>
      </c>
      <c r="H2" s="56" t="s">
        <v>76</v>
      </c>
      <c r="I2" s="56" t="s">
        <v>77</v>
      </c>
      <c r="J2" s="57" t="s">
        <v>107</v>
      </c>
      <c r="K2" s="82" t="s">
        <v>78</v>
      </c>
      <c r="L2" s="58" t="s">
        <v>79</v>
      </c>
      <c r="M2" s="87" t="s">
        <v>80</v>
      </c>
      <c r="N2" s="85" t="s">
        <v>81</v>
      </c>
      <c r="O2" s="85" t="s">
        <v>82</v>
      </c>
      <c r="P2" s="59" t="s">
        <v>71</v>
      </c>
      <c r="Q2" s="59" t="s">
        <v>72</v>
      </c>
      <c r="R2" s="59" t="s">
        <v>73</v>
      </c>
      <c r="S2" s="59" t="s">
        <v>74</v>
      </c>
      <c r="T2" s="59" t="s">
        <v>75</v>
      </c>
      <c r="U2" s="59" t="s">
        <v>76</v>
      </c>
      <c r="V2" s="59" t="s">
        <v>77</v>
      </c>
      <c r="W2" s="60" t="s">
        <v>83</v>
      </c>
      <c r="X2" s="60" t="s">
        <v>84</v>
      </c>
      <c r="Y2" s="61" t="s">
        <v>85</v>
      </c>
    </row>
    <row r="3" spans="1:26">
      <c r="A3" s="90">
        <v>2302020101</v>
      </c>
      <c r="B3" s="91"/>
      <c r="C3" s="91"/>
      <c r="D3" s="91"/>
      <c r="E3" s="91"/>
      <c r="F3" s="91"/>
      <c r="G3" s="91"/>
      <c r="H3" s="91"/>
      <c r="I3" s="91"/>
      <c r="J3" s="63" t="s">
        <v>130</v>
      </c>
      <c r="K3" s="92">
        <v>43276</v>
      </c>
      <c r="L3" s="107" t="s">
        <v>144</v>
      </c>
      <c r="M3" s="91" t="s">
        <v>122</v>
      </c>
      <c r="N3" s="94">
        <v>-134499.93</v>
      </c>
      <c r="O3" s="94">
        <v>-134499.93</v>
      </c>
      <c r="P3" s="95"/>
      <c r="Y3" s="96" t="s">
        <v>132</v>
      </c>
      <c r="Z3" s="117">
        <f>N3-O3</f>
        <v>0</v>
      </c>
    </row>
    <row r="4" spans="1:26">
      <c r="A4" s="90">
        <v>46000307</v>
      </c>
      <c r="B4" s="91"/>
      <c r="C4" s="97"/>
      <c r="D4" s="91"/>
      <c r="E4" s="97"/>
      <c r="F4" s="91"/>
      <c r="G4" s="97"/>
      <c r="H4" s="91"/>
      <c r="I4" s="97"/>
      <c r="J4" s="63" t="s">
        <v>130</v>
      </c>
      <c r="K4" s="92">
        <v>43276</v>
      </c>
      <c r="L4" s="107" t="s">
        <v>144</v>
      </c>
      <c r="M4" s="91" t="s">
        <v>122</v>
      </c>
      <c r="N4" s="94">
        <v>134499.93</v>
      </c>
      <c r="O4" s="94">
        <v>134499.93</v>
      </c>
      <c r="P4" s="93"/>
      <c r="R4" s="93"/>
      <c r="S4" s="90" t="s">
        <v>140</v>
      </c>
      <c r="T4" s="93"/>
      <c r="U4" s="90"/>
      <c r="V4" s="93"/>
      <c r="X4" s="93"/>
      <c r="Y4" s="96" t="s">
        <v>132</v>
      </c>
      <c r="Z4" s="117">
        <f t="shared" ref="Z4:Z67" si="0">N4-O4</f>
        <v>0</v>
      </c>
    </row>
    <row r="5" spans="1:26">
      <c r="A5" s="90">
        <v>540403</v>
      </c>
      <c r="B5" s="91"/>
      <c r="C5" s="91"/>
      <c r="D5" s="91"/>
      <c r="E5" s="91"/>
      <c r="F5" s="91"/>
      <c r="G5" s="91"/>
      <c r="H5" s="91"/>
      <c r="I5" s="91"/>
      <c r="J5" s="63" t="s">
        <v>130</v>
      </c>
      <c r="K5" s="92">
        <v>43276</v>
      </c>
      <c r="L5" s="107" t="s">
        <v>145</v>
      </c>
      <c r="M5" s="91" t="s">
        <v>122</v>
      </c>
      <c r="N5" s="94">
        <v>-350537.73</v>
      </c>
      <c r="O5" s="94">
        <v>-350537.73</v>
      </c>
      <c r="P5" s="95"/>
      <c r="S5" s="54" t="s">
        <v>131</v>
      </c>
      <c r="Y5" s="96" t="s">
        <v>132</v>
      </c>
      <c r="Z5" s="117">
        <f t="shared" si="0"/>
        <v>0</v>
      </c>
    </row>
    <row r="6" spans="1:26">
      <c r="A6" s="90">
        <v>13060101</v>
      </c>
      <c r="B6" s="91"/>
      <c r="C6" s="97"/>
      <c r="D6" s="91"/>
      <c r="E6" s="97"/>
      <c r="F6" s="91"/>
      <c r="G6" s="97"/>
      <c r="H6" s="91"/>
      <c r="I6" s="97"/>
      <c r="J6" s="63" t="s">
        <v>130</v>
      </c>
      <c r="K6" s="92">
        <v>43276</v>
      </c>
      <c r="L6" s="107" t="s">
        <v>145</v>
      </c>
      <c r="M6" s="91" t="s">
        <v>122</v>
      </c>
      <c r="N6" s="94">
        <v>350537.73</v>
      </c>
      <c r="O6" s="94">
        <v>350537.73</v>
      </c>
      <c r="P6" s="93"/>
      <c r="Y6" s="96" t="s">
        <v>132</v>
      </c>
      <c r="Z6" s="117">
        <f t="shared" si="0"/>
        <v>0</v>
      </c>
    </row>
    <row r="7" spans="1:26">
      <c r="A7" s="90">
        <v>23100105</v>
      </c>
      <c r="B7" s="91"/>
      <c r="C7" s="91"/>
      <c r="D7" s="91"/>
      <c r="E7" s="91"/>
      <c r="F7" s="91"/>
      <c r="G7" s="91"/>
      <c r="H7" s="91"/>
      <c r="I7" s="91"/>
      <c r="J7" s="63" t="s">
        <v>130</v>
      </c>
      <c r="K7" s="92">
        <v>43276</v>
      </c>
      <c r="L7" s="107" t="s">
        <v>146</v>
      </c>
      <c r="M7" s="91" t="s">
        <v>122</v>
      </c>
      <c r="N7" s="94">
        <v>-296113.74</v>
      </c>
      <c r="O7" s="94">
        <v>-296113.74</v>
      </c>
      <c r="P7" s="95"/>
      <c r="Y7" s="96" t="s">
        <v>132</v>
      </c>
      <c r="Z7" s="117">
        <f t="shared" si="0"/>
        <v>0</v>
      </c>
    </row>
    <row r="8" spans="1:26">
      <c r="A8" s="90">
        <v>460001</v>
      </c>
      <c r="B8" s="91"/>
      <c r="C8" s="97"/>
      <c r="D8" s="91"/>
      <c r="E8" s="97"/>
      <c r="F8" s="91"/>
      <c r="G8" s="97"/>
      <c r="H8" s="91"/>
      <c r="I8" s="97"/>
      <c r="J8" s="63" t="s">
        <v>130</v>
      </c>
      <c r="K8" s="92">
        <v>43276</v>
      </c>
      <c r="L8" s="107" t="s">
        <v>146</v>
      </c>
      <c r="M8" s="91" t="s">
        <v>122</v>
      </c>
      <c r="N8" s="94">
        <v>296113.74</v>
      </c>
      <c r="O8" s="94">
        <v>296113.74</v>
      </c>
      <c r="P8" s="93"/>
      <c r="R8" s="54" t="s">
        <v>142</v>
      </c>
      <c r="Y8" s="96" t="s">
        <v>132</v>
      </c>
      <c r="Z8" s="117">
        <f t="shared" si="0"/>
        <v>0</v>
      </c>
    </row>
    <row r="9" spans="1:26">
      <c r="A9" s="90">
        <v>23061004</v>
      </c>
      <c r="B9" s="91"/>
      <c r="C9" s="91"/>
      <c r="D9" s="91"/>
      <c r="E9" s="91"/>
      <c r="F9" s="91"/>
      <c r="G9" s="91"/>
      <c r="H9" s="91"/>
      <c r="I9" s="91"/>
      <c r="J9" s="63" t="s">
        <v>130</v>
      </c>
      <c r="K9" s="92">
        <v>43276</v>
      </c>
      <c r="L9" s="107" t="s">
        <v>147</v>
      </c>
      <c r="M9" s="91" t="s">
        <v>122</v>
      </c>
      <c r="N9" s="94">
        <v>-356220.82</v>
      </c>
      <c r="O9" s="94">
        <v>-356220.82</v>
      </c>
      <c r="P9" s="95"/>
      <c r="Y9" s="96" t="s">
        <v>132</v>
      </c>
      <c r="Z9" s="117">
        <f t="shared" si="0"/>
        <v>0</v>
      </c>
    </row>
    <row r="10" spans="1:26">
      <c r="A10" s="90">
        <v>46000307</v>
      </c>
      <c r="B10" s="91"/>
      <c r="C10" s="97"/>
      <c r="D10" s="91"/>
      <c r="E10" s="97"/>
      <c r="F10" s="91"/>
      <c r="G10" s="97"/>
      <c r="H10" s="91"/>
      <c r="I10" s="97"/>
      <c r="J10" s="63" t="s">
        <v>130</v>
      </c>
      <c r="K10" s="92">
        <v>43276</v>
      </c>
      <c r="L10" s="107" t="s">
        <v>147</v>
      </c>
      <c r="M10" s="91" t="s">
        <v>122</v>
      </c>
      <c r="N10" s="94">
        <v>356220.82</v>
      </c>
      <c r="O10" s="94">
        <v>356220.82</v>
      </c>
      <c r="P10" s="93"/>
      <c r="S10" s="54" t="s">
        <v>131</v>
      </c>
      <c r="Y10" s="96" t="s">
        <v>132</v>
      </c>
      <c r="Z10" s="117">
        <f t="shared" si="0"/>
        <v>0</v>
      </c>
    </row>
    <row r="11" spans="1:26">
      <c r="A11" s="90">
        <v>23061004</v>
      </c>
      <c r="B11" s="91"/>
      <c r="C11" s="91"/>
      <c r="D11" s="91"/>
      <c r="E11" s="91"/>
      <c r="F11" s="91"/>
      <c r="G11" s="91"/>
      <c r="H11" s="91"/>
      <c r="I11" s="91"/>
      <c r="J11" s="63" t="s">
        <v>130</v>
      </c>
      <c r="K11" s="92">
        <v>43276</v>
      </c>
      <c r="L11" s="107" t="s">
        <v>148</v>
      </c>
      <c r="M11" s="91" t="s">
        <v>122</v>
      </c>
      <c r="N11" s="94">
        <v>-20780.93</v>
      </c>
      <c r="O11" s="94">
        <v>-20780.93</v>
      </c>
      <c r="P11" s="95"/>
      <c r="Y11" s="96" t="s">
        <v>132</v>
      </c>
      <c r="Z11" s="117">
        <f t="shared" si="0"/>
        <v>0</v>
      </c>
    </row>
    <row r="12" spans="1:26">
      <c r="A12" s="90">
        <v>46000307</v>
      </c>
      <c r="B12" s="91"/>
      <c r="C12" s="97"/>
      <c r="D12" s="91"/>
      <c r="E12" s="97"/>
      <c r="F12" s="91"/>
      <c r="G12" s="97"/>
      <c r="H12" s="91"/>
      <c r="I12" s="97"/>
      <c r="J12" s="63" t="s">
        <v>130</v>
      </c>
      <c r="K12" s="92">
        <v>43276</v>
      </c>
      <c r="L12" s="107" t="s">
        <v>148</v>
      </c>
      <c r="M12" s="91" t="s">
        <v>122</v>
      </c>
      <c r="N12" s="94">
        <v>20780.93</v>
      </c>
      <c r="O12" s="94">
        <v>20780.93</v>
      </c>
      <c r="P12" s="93"/>
      <c r="S12" s="54" t="s">
        <v>131</v>
      </c>
      <c r="Y12" s="96" t="s">
        <v>132</v>
      </c>
      <c r="Z12" s="117">
        <f t="shared" si="0"/>
        <v>0</v>
      </c>
    </row>
    <row r="13" spans="1:26">
      <c r="A13" s="108">
        <v>2302020101</v>
      </c>
      <c r="B13" s="109"/>
      <c r="C13" s="109"/>
      <c r="D13" s="109"/>
      <c r="E13" s="109"/>
      <c r="F13" s="109"/>
      <c r="G13" s="109"/>
      <c r="H13" s="109"/>
      <c r="I13" s="109"/>
      <c r="J13" s="110" t="s">
        <v>130</v>
      </c>
      <c r="K13" s="92">
        <v>43276</v>
      </c>
      <c r="L13" s="111" t="s">
        <v>144</v>
      </c>
      <c r="M13" s="109" t="s">
        <v>122</v>
      </c>
      <c r="N13" s="112">
        <v>-26406.15</v>
      </c>
      <c r="O13" s="94">
        <v>-26406.15</v>
      </c>
      <c r="P13" s="113"/>
      <c r="Q13" s="114"/>
      <c r="R13" s="114"/>
      <c r="S13" s="114"/>
      <c r="T13" s="114"/>
      <c r="U13" s="114"/>
      <c r="V13" s="114"/>
      <c r="W13" s="114"/>
      <c r="X13" s="114"/>
      <c r="Y13" s="115" t="s">
        <v>133</v>
      </c>
      <c r="Z13" s="117">
        <f t="shared" si="0"/>
        <v>0</v>
      </c>
    </row>
    <row r="14" spans="1:26">
      <c r="A14" s="108">
        <v>46000307</v>
      </c>
      <c r="B14" s="109"/>
      <c r="C14" s="116"/>
      <c r="D14" s="109"/>
      <c r="E14" s="116"/>
      <c r="F14" s="109"/>
      <c r="G14" s="116"/>
      <c r="H14" s="109"/>
      <c r="I14" s="116"/>
      <c r="J14" s="110" t="s">
        <v>130</v>
      </c>
      <c r="K14" s="92">
        <v>43276</v>
      </c>
      <c r="L14" s="111" t="s">
        <v>144</v>
      </c>
      <c r="M14" s="109" t="s">
        <v>122</v>
      </c>
      <c r="N14" s="112">
        <v>26406.15</v>
      </c>
      <c r="O14" s="94">
        <v>26406.15</v>
      </c>
      <c r="P14" s="113"/>
      <c r="Q14" s="114"/>
      <c r="R14" s="114"/>
      <c r="S14" s="114" t="s">
        <v>131</v>
      </c>
      <c r="T14" s="114"/>
      <c r="U14" s="114"/>
      <c r="V14" s="114"/>
      <c r="W14" s="114"/>
      <c r="X14" s="114"/>
      <c r="Y14" s="115" t="s">
        <v>133</v>
      </c>
      <c r="Z14" s="117">
        <f t="shared" si="0"/>
        <v>0</v>
      </c>
    </row>
    <row r="15" spans="1:26">
      <c r="A15" s="108">
        <v>540403</v>
      </c>
      <c r="B15" s="109"/>
      <c r="C15" s="109"/>
      <c r="D15" s="109"/>
      <c r="E15" s="109"/>
      <c r="F15" s="109"/>
      <c r="G15" s="109"/>
      <c r="H15" s="109"/>
      <c r="I15" s="109"/>
      <c r="J15" s="110" t="s">
        <v>130</v>
      </c>
      <c r="K15" s="92">
        <v>43276</v>
      </c>
      <c r="L15" s="111" t="s">
        <v>145</v>
      </c>
      <c r="M15" s="109" t="s">
        <v>122</v>
      </c>
      <c r="N15" s="112">
        <v>-774645.61</v>
      </c>
      <c r="O15" s="94">
        <v>-774645.61</v>
      </c>
      <c r="P15" s="113"/>
      <c r="Q15" s="114"/>
      <c r="R15" s="114"/>
      <c r="S15" s="114" t="s">
        <v>131</v>
      </c>
      <c r="T15" s="114"/>
      <c r="U15" s="114"/>
      <c r="V15" s="114"/>
      <c r="W15" s="114"/>
      <c r="X15" s="114"/>
      <c r="Y15" s="115" t="s">
        <v>133</v>
      </c>
      <c r="Z15" s="117">
        <f t="shared" si="0"/>
        <v>0</v>
      </c>
    </row>
    <row r="16" spans="1:26">
      <c r="A16" s="108">
        <v>13060101</v>
      </c>
      <c r="B16" s="109"/>
      <c r="C16" s="116"/>
      <c r="D16" s="109"/>
      <c r="E16" s="116"/>
      <c r="F16" s="109"/>
      <c r="G16" s="116"/>
      <c r="H16" s="109"/>
      <c r="I16" s="116"/>
      <c r="J16" s="110" t="s">
        <v>130</v>
      </c>
      <c r="K16" s="92">
        <v>43276</v>
      </c>
      <c r="L16" s="111" t="s">
        <v>145</v>
      </c>
      <c r="M16" s="109" t="s">
        <v>122</v>
      </c>
      <c r="N16" s="112">
        <v>774645.61</v>
      </c>
      <c r="O16" s="94">
        <v>774645.61</v>
      </c>
      <c r="P16" s="110"/>
      <c r="Q16" s="114"/>
      <c r="R16" s="114"/>
      <c r="S16" s="114"/>
      <c r="T16" s="114"/>
      <c r="U16" s="114"/>
      <c r="V16" s="114"/>
      <c r="W16" s="114"/>
      <c r="X16" s="114"/>
      <c r="Y16" s="115" t="s">
        <v>133</v>
      </c>
      <c r="Z16" s="117">
        <f t="shared" si="0"/>
        <v>0</v>
      </c>
    </row>
    <row r="17" spans="1:26">
      <c r="A17" s="108">
        <v>23100105</v>
      </c>
      <c r="B17" s="109"/>
      <c r="C17" s="109"/>
      <c r="D17" s="109"/>
      <c r="E17" s="109"/>
      <c r="F17" s="109"/>
      <c r="G17" s="109"/>
      <c r="H17" s="109"/>
      <c r="I17" s="109"/>
      <c r="J17" s="110" t="s">
        <v>130</v>
      </c>
      <c r="K17" s="92">
        <v>43276</v>
      </c>
      <c r="L17" s="111" t="s">
        <v>146</v>
      </c>
      <c r="M17" s="109" t="s">
        <v>122</v>
      </c>
      <c r="N17" s="112">
        <v>-185547.45</v>
      </c>
      <c r="O17" s="94">
        <v>-185547.45</v>
      </c>
      <c r="P17" s="113"/>
      <c r="Q17" s="114"/>
      <c r="R17" s="114"/>
      <c r="S17" s="114"/>
      <c r="T17" s="114"/>
      <c r="U17" s="114"/>
      <c r="V17" s="114"/>
      <c r="W17" s="114"/>
      <c r="X17" s="114"/>
      <c r="Y17" s="115" t="s">
        <v>133</v>
      </c>
      <c r="Z17" s="117">
        <f t="shared" si="0"/>
        <v>0</v>
      </c>
    </row>
    <row r="18" spans="1:26">
      <c r="A18" s="108">
        <v>460001</v>
      </c>
      <c r="B18" s="109"/>
      <c r="C18" s="116"/>
      <c r="D18" s="109"/>
      <c r="E18" s="116"/>
      <c r="F18" s="109"/>
      <c r="G18" s="116"/>
      <c r="H18" s="109"/>
      <c r="I18" s="116"/>
      <c r="J18" s="110" t="s">
        <v>130</v>
      </c>
      <c r="K18" s="92">
        <v>43276</v>
      </c>
      <c r="L18" s="111" t="s">
        <v>146</v>
      </c>
      <c r="M18" s="109" t="s">
        <v>122</v>
      </c>
      <c r="N18" s="112">
        <v>185547.45</v>
      </c>
      <c r="O18" s="94">
        <v>185547.45</v>
      </c>
      <c r="P18" s="113"/>
      <c r="Q18" s="114"/>
      <c r="R18" s="54" t="s">
        <v>141</v>
      </c>
      <c r="S18" s="114"/>
      <c r="T18" s="114"/>
      <c r="U18" s="114"/>
      <c r="V18" s="114"/>
      <c r="W18" s="114"/>
      <c r="X18" s="114"/>
      <c r="Y18" s="115" t="s">
        <v>133</v>
      </c>
      <c r="Z18" s="117">
        <f t="shared" si="0"/>
        <v>0</v>
      </c>
    </row>
    <row r="19" spans="1:26">
      <c r="A19" s="108">
        <v>23061004</v>
      </c>
      <c r="B19" s="109"/>
      <c r="C19" s="109"/>
      <c r="D19" s="109"/>
      <c r="E19" s="109"/>
      <c r="F19" s="109"/>
      <c r="G19" s="109"/>
      <c r="H19" s="109"/>
      <c r="I19" s="109"/>
      <c r="J19" s="110" t="s">
        <v>130</v>
      </c>
      <c r="K19" s="92">
        <v>43276</v>
      </c>
      <c r="L19" s="111" t="s">
        <v>147</v>
      </c>
      <c r="M19" s="109" t="s">
        <v>122</v>
      </c>
      <c r="N19" s="112">
        <v>-8455.73</v>
      </c>
      <c r="O19" s="94">
        <v>-8455.73</v>
      </c>
      <c r="P19" s="113"/>
      <c r="Q19" s="114"/>
      <c r="R19" s="114"/>
      <c r="S19" s="114"/>
      <c r="T19" s="114"/>
      <c r="U19" s="114"/>
      <c r="V19" s="114"/>
      <c r="W19" s="114"/>
      <c r="X19" s="114"/>
      <c r="Y19" s="115" t="s">
        <v>133</v>
      </c>
      <c r="Z19" s="117">
        <f t="shared" si="0"/>
        <v>0</v>
      </c>
    </row>
    <row r="20" spans="1:26">
      <c r="A20" s="108">
        <v>46000307</v>
      </c>
      <c r="B20" s="109"/>
      <c r="C20" s="116"/>
      <c r="D20" s="109"/>
      <c r="E20" s="116"/>
      <c r="F20" s="109"/>
      <c r="G20" s="116"/>
      <c r="H20" s="109"/>
      <c r="I20" s="116"/>
      <c r="J20" s="110" t="s">
        <v>130</v>
      </c>
      <c r="K20" s="92">
        <v>43276</v>
      </c>
      <c r="L20" s="111" t="s">
        <v>147</v>
      </c>
      <c r="M20" s="109" t="s">
        <v>122</v>
      </c>
      <c r="N20" s="112">
        <v>8455.73</v>
      </c>
      <c r="O20" s="94">
        <v>8455.73</v>
      </c>
      <c r="P20" s="113"/>
      <c r="Q20" s="114"/>
      <c r="R20" s="114"/>
      <c r="S20" s="114" t="s">
        <v>131</v>
      </c>
      <c r="T20" s="114"/>
      <c r="U20" s="114"/>
      <c r="V20" s="114"/>
      <c r="W20" s="114"/>
      <c r="X20" s="114"/>
      <c r="Y20" s="115" t="s">
        <v>133</v>
      </c>
      <c r="Z20" s="117">
        <f t="shared" si="0"/>
        <v>0</v>
      </c>
    </row>
    <row r="21" spans="1:26">
      <c r="A21" s="108">
        <v>23061004</v>
      </c>
      <c r="B21" s="109"/>
      <c r="C21" s="109"/>
      <c r="D21" s="109"/>
      <c r="E21" s="109"/>
      <c r="F21" s="109"/>
      <c r="G21" s="109"/>
      <c r="H21" s="109"/>
      <c r="I21" s="109"/>
      <c r="J21" s="110" t="s">
        <v>130</v>
      </c>
      <c r="K21" s="92">
        <v>43276</v>
      </c>
      <c r="L21" s="111" t="s">
        <v>148</v>
      </c>
      <c r="M21" s="109" t="s">
        <v>122</v>
      </c>
      <c r="N21" s="112">
        <v>-1897.33</v>
      </c>
      <c r="O21" s="94">
        <v>-1897.33</v>
      </c>
      <c r="P21" s="110"/>
      <c r="Q21" s="114"/>
      <c r="R21" s="114"/>
      <c r="S21" s="114"/>
      <c r="T21" s="114"/>
      <c r="U21" s="114"/>
      <c r="V21" s="114"/>
      <c r="W21" s="114"/>
      <c r="X21" s="114"/>
      <c r="Y21" s="115" t="s">
        <v>133</v>
      </c>
      <c r="Z21" s="117">
        <f t="shared" si="0"/>
        <v>0</v>
      </c>
    </row>
    <row r="22" spans="1:26">
      <c r="A22" s="108">
        <v>46000307</v>
      </c>
      <c r="B22" s="109"/>
      <c r="C22" s="116"/>
      <c r="D22" s="109"/>
      <c r="E22" s="116"/>
      <c r="F22" s="109"/>
      <c r="G22" s="116"/>
      <c r="H22" s="109"/>
      <c r="I22" s="116"/>
      <c r="J22" s="110" t="s">
        <v>130</v>
      </c>
      <c r="K22" s="92">
        <v>43276</v>
      </c>
      <c r="L22" s="111" t="s">
        <v>148</v>
      </c>
      <c r="M22" s="109" t="s">
        <v>122</v>
      </c>
      <c r="N22" s="112">
        <v>1897.33</v>
      </c>
      <c r="O22" s="94">
        <v>1897.33</v>
      </c>
      <c r="P22" s="113"/>
      <c r="Q22" s="114"/>
      <c r="R22" s="114"/>
      <c r="S22" s="114" t="s">
        <v>131</v>
      </c>
      <c r="T22" s="114"/>
      <c r="U22" s="114"/>
      <c r="V22" s="114"/>
      <c r="W22" s="114"/>
      <c r="X22" s="114"/>
      <c r="Y22" s="115" t="s">
        <v>133</v>
      </c>
      <c r="Z22" s="117">
        <f t="shared" si="0"/>
        <v>0</v>
      </c>
    </row>
    <row r="23" spans="1:26">
      <c r="A23" s="90">
        <v>2302020101</v>
      </c>
      <c r="B23" s="91"/>
      <c r="C23" s="91"/>
      <c r="D23" s="91"/>
      <c r="E23" s="91"/>
      <c r="F23" s="91"/>
      <c r="G23" s="91"/>
      <c r="H23" s="91"/>
      <c r="I23" s="91"/>
      <c r="J23" s="63" t="s">
        <v>130</v>
      </c>
      <c r="K23" s="92">
        <v>43276</v>
      </c>
      <c r="L23" s="107" t="s">
        <v>144</v>
      </c>
      <c r="M23" s="91" t="s">
        <v>122</v>
      </c>
      <c r="N23" s="94">
        <v>-33500.86</v>
      </c>
      <c r="O23" s="94">
        <v>-33500.86</v>
      </c>
      <c r="P23" s="93"/>
      <c r="Y23" s="96" t="s">
        <v>134</v>
      </c>
      <c r="Z23" s="117">
        <f t="shared" si="0"/>
        <v>0</v>
      </c>
    </row>
    <row r="24" spans="1:26">
      <c r="A24" s="90">
        <v>46000307</v>
      </c>
      <c r="B24" s="91"/>
      <c r="C24" s="97"/>
      <c r="D24" s="91"/>
      <c r="E24" s="97"/>
      <c r="F24" s="91"/>
      <c r="G24" s="97"/>
      <c r="H24" s="91"/>
      <c r="I24" s="97"/>
      <c r="J24" s="63" t="s">
        <v>130</v>
      </c>
      <c r="K24" s="92">
        <v>43276</v>
      </c>
      <c r="L24" s="107" t="s">
        <v>144</v>
      </c>
      <c r="M24" s="91" t="s">
        <v>122</v>
      </c>
      <c r="N24" s="94">
        <v>33500.86</v>
      </c>
      <c r="O24" s="94">
        <v>33500.86</v>
      </c>
      <c r="P24" s="93"/>
      <c r="S24" s="54" t="s">
        <v>131</v>
      </c>
      <c r="Y24" s="96" t="s">
        <v>134</v>
      </c>
      <c r="Z24" s="117">
        <f t="shared" si="0"/>
        <v>0</v>
      </c>
    </row>
    <row r="25" spans="1:26">
      <c r="A25" s="90">
        <v>540403</v>
      </c>
      <c r="B25" s="91"/>
      <c r="C25" s="91"/>
      <c r="D25" s="91"/>
      <c r="E25" s="91"/>
      <c r="F25" s="91"/>
      <c r="G25" s="91"/>
      <c r="H25" s="91"/>
      <c r="I25" s="91"/>
      <c r="J25" s="63" t="s">
        <v>130</v>
      </c>
      <c r="K25" s="92">
        <v>43276</v>
      </c>
      <c r="L25" s="107" t="s">
        <v>145</v>
      </c>
      <c r="M25" s="91" t="s">
        <v>122</v>
      </c>
      <c r="N25" s="94">
        <v>-105986.79</v>
      </c>
      <c r="O25" s="94">
        <v>-105986.79</v>
      </c>
      <c r="P25" s="93"/>
      <c r="S25" s="54" t="s">
        <v>131</v>
      </c>
      <c r="Y25" s="96" t="s">
        <v>134</v>
      </c>
      <c r="Z25" s="117">
        <f t="shared" si="0"/>
        <v>0</v>
      </c>
    </row>
    <row r="26" spans="1:26">
      <c r="A26" s="90">
        <v>13060101</v>
      </c>
      <c r="B26" s="91"/>
      <c r="C26" s="97"/>
      <c r="D26" s="91"/>
      <c r="E26" s="97"/>
      <c r="F26" s="91"/>
      <c r="G26" s="97"/>
      <c r="H26" s="91"/>
      <c r="I26" s="97"/>
      <c r="J26" s="63" t="s">
        <v>130</v>
      </c>
      <c r="K26" s="92">
        <v>43276</v>
      </c>
      <c r="L26" s="107" t="s">
        <v>145</v>
      </c>
      <c r="M26" s="91" t="s">
        <v>122</v>
      </c>
      <c r="N26" s="94">
        <v>105986.79</v>
      </c>
      <c r="O26" s="94">
        <v>105986.79</v>
      </c>
      <c r="P26" s="93"/>
      <c r="Y26" s="96" t="s">
        <v>134</v>
      </c>
      <c r="Z26" s="117">
        <f t="shared" si="0"/>
        <v>0</v>
      </c>
    </row>
    <row r="27" spans="1:26">
      <c r="A27" s="90">
        <v>23100105</v>
      </c>
      <c r="B27" s="91"/>
      <c r="C27" s="91"/>
      <c r="D27" s="91"/>
      <c r="E27" s="91"/>
      <c r="F27" s="91"/>
      <c r="G27" s="91"/>
      <c r="H27" s="91"/>
      <c r="I27" s="91"/>
      <c r="J27" s="63" t="s">
        <v>130</v>
      </c>
      <c r="K27" s="92">
        <v>43276</v>
      </c>
      <c r="L27" s="107" t="s">
        <v>146</v>
      </c>
      <c r="M27" s="91" t="s">
        <v>122</v>
      </c>
      <c r="N27" s="94">
        <v>-117564.54</v>
      </c>
      <c r="O27" s="94">
        <v>-117564.54</v>
      </c>
      <c r="P27" s="93"/>
      <c r="Y27" s="96" t="s">
        <v>134</v>
      </c>
      <c r="Z27" s="117">
        <f t="shared" si="0"/>
        <v>0</v>
      </c>
    </row>
    <row r="28" spans="1:26">
      <c r="A28" s="90">
        <v>460001</v>
      </c>
      <c r="B28" s="91"/>
      <c r="C28" s="97"/>
      <c r="D28" s="91"/>
      <c r="E28" s="97"/>
      <c r="F28" s="91"/>
      <c r="G28" s="97"/>
      <c r="H28" s="91"/>
      <c r="I28" s="97"/>
      <c r="J28" s="63" t="s">
        <v>130</v>
      </c>
      <c r="K28" s="92">
        <v>43276</v>
      </c>
      <c r="L28" s="107" t="s">
        <v>146</v>
      </c>
      <c r="M28" s="91" t="s">
        <v>122</v>
      </c>
      <c r="N28" s="94">
        <v>117564.54</v>
      </c>
      <c r="O28" s="94">
        <v>117564.54</v>
      </c>
      <c r="P28" s="93"/>
      <c r="R28" s="54" t="s">
        <v>141</v>
      </c>
      <c r="Y28" s="96" t="s">
        <v>134</v>
      </c>
      <c r="Z28" s="117">
        <f t="shared" si="0"/>
        <v>0</v>
      </c>
    </row>
    <row r="29" spans="1:26">
      <c r="A29" s="90">
        <v>23061004</v>
      </c>
      <c r="B29" s="91"/>
      <c r="C29" s="91"/>
      <c r="D29" s="91"/>
      <c r="E29" s="91"/>
      <c r="F29" s="91"/>
      <c r="G29" s="91"/>
      <c r="H29" s="91"/>
      <c r="I29" s="91"/>
      <c r="J29" s="63" t="s">
        <v>130</v>
      </c>
      <c r="K29" s="92">
        <v>43276</v>
      </c>
      <c r="L29" s="107" t="s">
        <v>147</v>
      </c>
      <c r="M29" s="91" t="s">
        <v>122</v>
      </c>
      <c r="N29" s="94">
        <v>-42470.25</v>
      </c>
      <c r="O29" s="94">
        <v>-42470.25</v>
      </c>
      <c r="P29" s="93"/>
      <c r="Y29" s="96" t="s">
        <v>134</v>
      </c>
      <c r="Z29" s="117">
        <f t="shared" si="0"/>
        <v>0</v>
      </c>
    </row>
    <row r="30" spans="1:26">
      <c r="A30" s="90">
        <v>46000307</v>
      </c>
      <c r="B30" s="91"/>
      <c r="C30" s="97"/>
      <c r="D30" s="91"/>
      <c r="E30" s="97"/>
      <c r="F30" s="91"/>
      <c r="G30" s="97"/>
      <c r="H30" s="91"/>
      <c r="I30" s="97"/>
      <c r="J30" s="63" t="s">
        <v>130</v>
      </c>
      <c r="K30" s="92">
        <v>43276</v>
      </c>
      <c r="L30" s="107" t="s">
        <v>147</v>
      </c>
      <c r="M30" s="91" t="s">
        <v>122</v>
      </c>
      <c r="N30" s="94">
        <v>42470.25</v>
      </c>
      <c r="O30" s="94">
        <v>42470.25</v>
      </c>
      <c r="P30" s="93"/>
      <c r="S30" s="54" t="s">
        <v>131</v>
      </c>
      <c r="Y30" s="96" t="s">
        <v>134</v>
      </c>
      <c r="Z30" s="117">
        <f t="shared" si="0"/>
        <v>0</v>
      </c>
    </row>
    <row r="31" spans="1:26">
      <c r="A31" s="90">
        <v>23061004</v>
      </c>
      <c r="B31" s="91"/>
      <c r="C31" s="91"/>
      <c r="D31" s="91"/>
      <c r="E31" s="91"/>
      <c r="F31" s="91"/>
      <c r="G31" s="91"/>
      <c r="H31" s="91"/>
      <c r="I31" s="91"/>
      <c r="J31" s="63" t="s">
        <v>130</v>
      </c>
      <c r="K31" s="92">
        <v>43276</v>
      </c>
      <c r="L31" s="107" t="s">
        <v>148</v>
      </c>
      <c r="M31" s="91" t="s">
        <v>122</v>
      </c>
      <c r="N31" s="94">
        <v>-94.47</v>
      </c>
      <c r="O31" s="94">
        <v>-94.47</v>
      </c>
      <c r="P31" s="93"/>
      <c r="Y31" s="96" t="s">
        <v>134</v>
      </c>
      <c r="Z31" s="117">
        <f t="shared" si="0"/>
        <v>0</v>
      </c>
    </row>
    <row r="32" spans="1:26">
      <c r="A32" s="90">
        <v>46000307</v>
      </c>
      <c r="B32" s="91"/>
      <c r="C32" s="97"/>
      <c r="D32" s="91"/>
      <c r="E32" s="97"/>
      <c r="F32" s="91"/>
      <c r="G32" s="97"/>
      <c r="H32" s="91"/>
      <c r="I32" s="97"/>
      <c r="J32" s="63" t="s">
        <v>130</v>
      </c>
      <c r="K32" s="92">
        <v>43276</v>
      </c>
      <c r="L32" s="107" t="s">
        <v>148</v>
      </c>
      <c r="M32" s="91" t="s">
        <v>122</v>
      </c>
      <c r="N32" s="94">
        <v>94.47</v>
      </c>
      <c r="O32" s="94">
        <v>94.47</v>
      </c>
      <c r="P32" s="93"/>
      <c r="S32" s="54" t="s">
        <v>131</v>
      </c>
      <c r="Y32" s="96" t="s">
        <v>134</v>
      </c>
      <c r="Z32" s="117">
        <f t="shared" si="0"/>
        <v>0</v>
      </c>
    </row>
    <row r="33" spans="1:26">
      <c r="A33" s="108">
        <v>2302020101</v>
      </c>
      <c r="B33" s="109"/>
      <c r="C33" s="109"/>
      <c r="D33" s="109"/>
      <c r="E33" s="109"/>
      <c r="F33" s="109"/>
      <c r="G33" s="109"/>
      <c r="H33" s="109"/>
      <c r="I33" s="109"/>
      <c r="J33" s="110" t="s">
        <v>130</v>
      </c>
      <c r="K33" s="92">
        <v>43276</v>
      </c>
      <c r="L33" s="111" t="s">
        <v>144</v>
      </c>
      <c r="M33" s="109" t="s">
        <v>122</v>
      </c>
      <c r="N33" s="112">
        <v>-75999.28</v>
      </c>
      <c r="O33" s="94">
        <v>-75999.28</v>
      </c>
      <c r="P33" s="113"/>
      <c r="Q33" s="114"/>
      <c r="R33" s="114"/>
      <c r="S33" s="114"/>
      <c r="T33" s="114"/>
      <c r="U33" s="114"/>
      <c r="V33" s="114"/>
      <c r="W33" s="114"/>
      <c r="X33" s="114"/>
      <c r="Y33" s="115" t="s">
        <v>135</v>
      </c>
      <c r="Z33" s="117">
        <f t="shared" si="0"/>
        <v>0</v>
      </c>
    </row>
    <row r="34" spans="1:26">
      <c r="A34" s="108">
        <v>46000307</v>
      </c>
      <c r="B34" s="109"/>
      <c r="C34" s="116"/>
      <c r="D34" s="109"/>
      <c r="E34" s="116"/>
      <c r="F34" s="109"/>
      <c r="G34" s="116"/>
      <c r="H34" s="109"/>
      <c r="I34" s="116"/>
      <c r="J34" s="110" t="s">
        <v>130</v>
      </c>
      <c r="K34" s="92">
        <v>43276</v>
      </c>
      <c r="L34" s="111" t="s">
        <v>144</v>
      </c>
      <c r="M34" s="109" t="s">
        <v>122</v>
      </c>
      <c r="N34" s="112">
        <v>75999.28</v>
      </c>
      <c r="O34" s="94">
        <v>75999.28</v>
      </c>
      <c r="P34" s="113"/>
      <c r="Q34" s="114"/>
      <c r="R34" s="114"/>
      <c r="S34" s="114" t="s">
        <v>131</v>
      </c>
      <c r="T34" s="114"/>
      <c r="U34" s="114"/>
      <c r="V34" s="114"/>
      <c r="W34" s="114"/>
      <c r="X34" s="114"/>
      <c r="Y34" s="115" t="s">
        <v>135</v>
      </c>
      <c r="Z34" s="117">
        <f t="shared" si="0"/>
        <v>0</v>
      </c>
    </row>
    <row r="35" spans="1:26">
      <c r="A35" s="108">
        <v>540403</v>
      </c>
      <c r="B35" s="109"/>
      <c r="C35" s="109"/>
      <c r="D35" s="109"/>
      <c r="E35" s="109"/>
      <c r="F35" s="109"/>
      <c r="G35" s="109"/>
      <c r="H35" s="109"/>
      <c r="I35" s="109"/>
      <c r="J35" s="110" t="s">
        <v>130</v>
      </c>
      <c r="K35" s="92">
        <v>43276</v>
      </c>
      <c r="L35" s="111" t="s">
        <v>145</v>
      </c>
      <c r="M35" s="109" t="s">
        <v>122</v>
      </c>
      <c r="N35" s="112">
        <v>-1496991.51</v>
      </c>
      <c r="O35" s="94">
        <v>-1496991.51</v>
      </c>
      <c r="P35" s="113"/>
      <c r="Q35" s="114"/>
      <c r="R35" s="114"/>
      <c r="S35" s="114" t="s">
        <v>131</v>
      </c>
      <c r="T35" s="114"/>
      <c r="U35" s="114"/>
      <c r="V35" s="114"/>
      <c r="W35" s="114"/>
      <c r="X35" s="114"/>
      <c r="Y35" s="115" t="s">
        <v>135</v>
      </c>
      <c r="Z35" s="117">
        <f t="shared" si="0"/>
        <v>0</v>
      </c>
    </row>
    <row r="36" spans="1:26">
      <c r="A36" s="108">
        <v>13060101</v>
      </c>
      <c r="B36" s="109"/>
      <c r="C36" s="116"/>
      <c r="D36" s="109"/>
      <c r="E36" s="116"/>
      <c r="F36" s="109"/>
      <c r="G36" s="116"/>
      <c r="H36" s="109"/>
      <c r="I36" s="116"/>
      <c r="J36" s="110" t="s">
        <v>130</v>
      </c>
      <c r="K36" s="92">
        <v>43276</v>
      </c>
      <c r="L36" s="111" t="s">
        <v>145</v>
      </c>
      <c r="M36" s="109" t="s">
        <v>122</v>
      </c>
      <c r="N36" s="112">
        <v>1496991.51</v>
      </c>
      <c r="O36" s="94">
        <v>1496991.51</v>
      </c>
      <c r="P36" s="110"/>
      <c r="Q36" s="114"/>
      <c r="R36" s="114"/>
      <c r="S36" s="114"/>
      <c r="T36" s="114"/>
      <c r="U36" s="114"/>
      <c r="V36" s="114"/>
      <c r="W36" s="114"/>
      <c r="X36" s="114"/>
      <c r="Y36" s="115" t="s">
        <v>135</v>
      </c>
      <c r="Z36" s="117">
        <f t="shared" si="0"/>
        <v>0</v>
      </c>
    </row>
    <row r="37" spans="1:26">
      <c r="A37" s="108">
        <v>23100105</v>
      </c>
      <c r="B37" s="109"/>
      <c r="C37" s="109"/>
      <c r="D37" s="109"/>
      <c r="E37" s="109"/>
      <c r="F37" s="109"/>
      <c r="G37" s="109"/>
      <c r="H37" s="109"/>
      <c r="I37" s="109"/>
      <c r="J37" s="110" t="s">
        <v>130</v>
      </c>
      <c r="K37" s="92">
        <v>43276</v>
      </c>
      <c r="L37" s="111" t="s">
        <v>146</v>
      </c>
      <c r="M37" s="109" t="s">
        <v>122</v>
      </c>
      <c r="N37" s="112">
        <v>-207511.67</v>
      </c>
      <c r="O37" s="94">
        <v>-207511.67</v>
      </c>
      <c r="P37" s="113"/>
      <c r="Q37" s="114"/>
      <c r="R37" s="114"/>
      <c r="S37" s="114"/>
      <c r="T37" s="114"/>
      <c r="U37" s="114"/>
      <c r="V37" s="114"/>
      <c r="W37" s="114"/>
      <c r="X37" s="114"/>
      <c r="Y37" s="115" t="s">
        <v>135</v>
      </c>
      <c r="Z37" s="117">
        <f t="shared" si="0"/>
        <v>0</v>
      </c>
    </row>
    <row r="38" spans="1:26">
      <c r="A38" s="108">
        <v>460001</v>
      </c>
      <c r="B38" s="109"/>
      <c r="C38" s="116"/>
      <c r="D38" s="109"/>
      <c r="E38" s="116"/>
      <c r="F38" s="109"/>
      <c r="G38" s="116"/>
      <c r="H38" s="109"/>
      <c r="I38" s="116"/>
      <c r="J38" s="110" t="s">
        <v>130</v>
      </c>
      <c r="K38" s="92">
        <v>43276</v>
      </c>
      <c r="L38" s="111" t="s">
        <v>146</v>
      </c>
      <c r="M38" s="109" t="s">
        <v>122</v>
      </c>
      <c r="N38" s="112">
        <v>207511.67</v>
      </c>
      <c r="O38" s="94">
        <v>207511.67</v>
      </c>
      <c r="P38" s="113"/>
      <c r="Q38" s="114"/>
      <c r="R38" s="54" t="s">
        <v>141</v>
      </c>
      <c r="S38" s="114"/>
      <c r="T38" s="114"/>
      <c r="U38" s="114"/>
      <c r="V38" s="114"/>
      <c r="W38" s="114"/>
      <c r="X38" s="114"/>
      <c r="Y38" s="115" t="s">
        <v>135</v>
      </c>
      <c r="Z38" s="117">
        <f t="shared" si="0"/>
        <v>0</v>
      </c>
    </row>
    <row r="39" spans="1:26">
      <c r="A39" s="108">
        <v>23061004</v>
      </c>
      <c r="B39" s="109"/>
      <c r="C39" s="109"/>
      <c r="D39" s="109"/>
      <c r="E39" s="109"/>
      <c r="F39" s="109"/>
      <c r="G39" s="109"/>
      <c r="H39" s="109"/>
      <c r="I39" s="109"/>
      <c r="J39" s="110" t="s">
        <v>130</v>
      </c>
      <c r="K39" s="92">
        <v>43276</v>
      </c>
      <c r="L39" s="111" t="s">
        <v>147</v>
      </c>
      <c r="M39" s="109" t="s">
        <v>122</v>
      </c>
      <c r="N39" s="112">
        <v>-123369.57</v>
      </c>
      <c r="O39" s="94">
        <v>-123369.57</v>
      </c>
      <c r="P39" s="113"/>
      <c r="Q39" s="114"/>
      <c r="R39" s="114"/>
      <c r="S39" s="114"/>
      <c r="T39" s="114"/>
      <c r="U39" s="114"/>
      <c r="V39" s="114"/>
      <c r="W39" s="114"/>
      <c r="X39" s="114"/>
      <c r="Y39" s="115" t="s">
        <v>135</v>
      </c>
      <c r="Z39" s="117">
        <f t="shared" si="0"/>
        <v>0</v>
      </c>
    </row>
    <row r="40" spans="1:26">
      <c r="A40" s="108">
        <v>46000307</v>
      </c>
      <c r="B40" s="109"/>
      <c r="C40" s="116"/>
      <c r="D40" s="109"/>
      <c r="E40" s="116"/>
      <c r="F40" s="109"/>
      <c r="G40" s="116"/>
      <c r="H40" s="109"/>
      <c r="I40" s="116"/>
      <c r="J40" s="110" t="s">
        <v>130</v>
      </c>
      <c r="K40" s="92">
        <v>43276</v>
      </c>
      <c r="L40" s="111" t="s">
        <v>147</v>
      </c>
      <c r="M40" s="109" t="s">
        <v>122</v>
      </c>
      <c r="N40" s="112">
        <v>123369.57</v>
      </c>
      <c r="O40" s="94">
        <v>123369.57</v>
      </c>
      <c r="P40" s="113"/>
      <c r="Q40" s="114"/>
      <c r="R40" s="114"/>
      <c r="S40" s="114" t="s">
        <v>131</v>
      </c>
      <c r="T40" s="114"/>
      <c r="U40" s="114"/>
      <c r="V40" s="114"/>
      <c r="W40" s="114"/>
      <c r="X40" s="114"/>
      <c r="Y40" s="115" t="s">
        <v>135</v>
      </c>
      <c r="Z40" s="117">
        <f t="shared" si="0"/>
        <v>0</v>
      </c>
    </row>
    <row r="41" spans="1:26">
      <c r="A41" s="108">
        <v>23061004</v>
      </c>
      <c r="B41" s="109"/>
      <c r="C41" s="109"/>
      <c r="D41" s="109"/>
      <c r="E41" s="109"/>
      <c r="F41" s="109"/>
      <c r="G41" s="109"/>
      <c r="H41" s="109"/>
      <c r="I41" s="109"/>
      <c r="J41" s="110" t="s">
        <v>130</v>
      </c>
      <c r="K41" s="92">
        <v>43276</v>
      </c>
      <c r="L41" s="111" t="s">
        <v>148</v>
      </c>
      <c r="M41" s="109" t="s">
        <v>122</v>
      </c>
      <c r="N41" s="112">
        <v>-17331</v>
      </c>
      <c r="O41" s="94">
        <v>-17331</v>
      </c>
      <c r="P41" s="110"/>
      <c r="Q41" s="114"/>
      <c r="R41" s="114"/>
      <c r="S41" s="114"/>
      <c r="T41" s="114"/>
      <c r="U41" s="114"/>
      <c r="V41" s="114"/>
      <c r="W41" s="114"/>
      <c r="X41" s="114"/>
      <c r="Y41" s="115" t="s">
        <v>135</v>
      </c>
      <c r="Z41" s="117">
        <f t="shared" si="0"/>
        <v>0</v>
      </c>
    </row>
    <row r="42" spans="1:26">
      <c r="A42" s="108">
        <v>46000307</v>
      </c>
      <c r="B42" s="109"/>
      <c r="C42" s="116"/>
      <c r="D42" s="109"/>
      <c r="E42" s="116"/>
      <c r="F42" s="109"/>
      <c r="G42" s="116"/>
      <c r="H42" s="109"/>
      <c r="I42" s="116"/>
      <c r="J42" s="110" t="s">
        <v>130</v>
      </c>
      <c r="K42" s="92">
        <v>43276</v>
      </c>
      <c r="L42" s="111" t="s">
        <v>148</v>
      </c>
      <c r="M42" s="109" t="s">
        <v>122</v>
      </c>
      <c r="N42" s="112">
        <v>17331</v>
      </c>
      <c r="O42" s="94">
        <v>17331</v>
      </c>
      <c r="P42" s="113"/>
      <c r="Q42" s="114"/>
      <c r="R42" s="114"/>
      <c r="S42" s="114" t="s">
        <v>131</v>
      </c>
      <c r="T42" s="114"/>
      <c r="U42" s="114"/>
      <c r="V42" s="114"/>
      <c r="W42" s="114"/>
      <c r="X42" s="114"/>
      <c r="Y42" s="115" t="s">
        <v>135</v>
      </c>
      <c r="Z42" s="117">
        <f t="shared" si="0"/>
        <v>0</v>
      </c>
    </row>
    <row r="43" spans="1:26">
      <c r="A43" s="90">
        <v>2302020101</v>
      </c>
      <c r="B43" s="91"/>
      <c r="C43" s="91"/>
      <c r="D43" s="91"/>
      <c r="E43" s="91"/>
      <c r="F43" s="91"/>
      <c r="G43" s="91"/>
      <c r="H43" s="91"/>
      <c r="I43" s="91"/>
      <c r="J43" s="63" t="s">
        <v>130</v>
      </c>
      <c r="K43" s="92">
        <v>43276</v>
      </c>
      <c r="L43" s="107" t="s">
        <v>144</v>
      </c>
      <c r="M43" s="91" t="s">
        <v>122</v>
      </c>
      <c r="N43" s="94">
        <v>-13383.31</v>
      </c>
      <c r="O43" s="94">
        <v>-13383.31</v>
      </c>
      <c r="P43" s="93"/>
      <c r="Y43" s="96" t="s">
        <v>136</v>
      </c>
      <c r="Z43" s="117">
        <f t="shared" si="0"/>
        <v>0</v>
      </c>
    </row>
    <row r="44" spans="1:26">
      <c r="A44" s="90">
        <v>46000307</v>
      </c>
      <c r="B44" s="91"/>
      <c r="C44" s="97"/>
      <c r="D44" s="91"/>
      <c r="E44" s="97"/>
      <c r="F44" s="91"/>
      <c r="G44" s="97"/>
      <c r="H44" s="91"/>
      <c r="I44" s="97"/>
      <c r="J44" s="63" t="s">
        <v>130</v>
      </c>
      <c r="K44" s="92">
        <v>43276</v>
      </c>
      <c r="L44" s="107" t="s">
        <v>144</v>
      </c>
      <c r="M44" s="91" t="s">
        <v>122</v>
      </c>
      <c r="N44" s="94">
        <v>13383.31</v>
      </c>
      <c r="O44" s="94">
        <v>13383.31</v>
      </c>
      <c r="P44" s="93"/>
      <c r="S44" s="54" t="s">
        <v>131</v>
      </c>
      <c r="Y44" s="96" t="s">
        <v>136</v>
      </c>
      <c r="Z44" s="117">
        <f t="shared" si="0"/>
        <v>0</v>
      </c>
    </row>
    <row r="45" spans="1:26">
      <c r="A45" s="90">
        <v>540403</v>
      </c>
      <c r="B45" s="91"/>
      <c r="C45" s="91"/>
      <c r="D45" s="91"/>
      <c r="E45" s="91"/>
      <c r="F45" s="91"/>
      <c r="G45" s="91"/>
      <c r="H45" s="91"/>
      <c r="I45" s="91"/>
      <c r="J45" s="63" t="s">
        <v>130</v>
      </c>
      <c r="K45" s="92">
        <v>43276</v>
      </c>
      <c r="L45" s="107" t="s">
        <v>145</v>
      </c>
      <c r="M45" s="91" t="s">
        <v>122</v>
      </c>
      <c r="N45" s="94">
        <v>-23607.16</v>
      </c>
      <c r="O45" s="94">
        <v>-23607.16</v>
      </c>
      <c r="P45" s="93"/>
      <c r="S45" s="54" t="s">
        <v>131</v>
      </c>
      <c r="Y45" s="96" t="s">
        <v>136</v>
      </c>
      <c r="Z45" s="117">
        <f t="shared" si="0"/>
        <v>0</v>
      </c>
    </row>
    <row r="46" spans="1:26">
      <c r="A46" s="90">
        <v>13060101</v>
      </c>
      <c r="B46" s="91"/>
      <c r="C46" s="97"/>
      <c r="D46" s="91"/>
      <c r="E46" s="97"/>
      <c r="F46" s="91"/>
      <c r="G46" s="97"/>
      <c r="H46" s="91"/>
      <c r="I46" s="97"/>
      <c r="J46" s="63" t="s">
        <v>130</v>
      </c>
      <c r="K46" s="92">
        <v>43276</v>
      </c>
      <c r="L46" s="107" t="s">
        <v>145</v>
      </c>
      <c r="M46" s="91" t="s">
        <v>122</v>
      </c>
      <c r="N46" s="94">
        <v>23607.16</v>
      </c>
      <c r="O46" s="94">
        <v>23607.16</v>
      </c>
      <c r="P46" s="93"/>
      <c r="Y46" s="96" t="s">
        <v>136</v>
      </c>
      <c r="Z46" s="117">
        <f t="shared" si="0"/>
        <v>0</v>
      </c>
    </row>
    <row r="47" spans="1:26">
      <c r="A47" s="90">
        <v>23100105</v>
      </c>
      <c r="B47" s="91"/>
      <c r="C47" s="91"/>
      <c r="D47" s="91"/>
      <c r="E47" s="91"/>
      <c r="F47" s="91"/>
      <c r="G47" s="91"/>
      <c r="H47" s="91"/>
      <c r="I47" s="91"/>
      <c r="J47" s="63" t="s">
        <v>130</v>
      </c>
      <c r="K47" s="92">
        <v>43276</v>
      </c>
      <c r="L47" s="107" t="s">
        <v>146</v>
      </c>
      <c r="M47" s="91" t="s">
        <v>122</v>
      </c>
      <c r="N47" s="94">
        <v>-28335.8</v>
      </c>
      <c r="O47" s="94">
        <v>-28335.8</v>
      </c>
      <c r="P47" s="93"/>
      <c r="Y47" s="96" t="s">
        <v>136</v>
      </c>
      <c r="Z47" s="117">
        <f t="shared" si="0"/>
        <v>0</v>
      </c>
    </row>
    <row r="48" spans="1:26">
      <c r="A48" s="90">
        <v>460001</v>
      </c>
      <c r="B48" s="91"/>
      <c r="C48" s="97"/>
      <c r="D48" s="91"/>
      <c r="E48" s="97"/>
      <c r="F48" s="91"/>
      <c r="G48" s="97"/>
      <c r="H48" s="91"/>
      <c r="I48" s="97"/>
      <c r="J48" s="63" t="s">
        <v>130</v>
      </c>
      <c r="K48" s="92">
        <v>43276</v>
      </c>
      <c r="L48" s="107" t="s">
        <v>146</v>
      </c>
      <c r="M48" s="91" t="s">
        <v>122</v>
      </c>
      <c r="N48" s="94">
        <v>28335.8</v>
      </c>
      <c r="O48" s="94">
        <v>28335.8</v>
      </c>
      <c r="P48" s="93"/>
      <c r="R48" s="54" t="s">
        <v>141</v>
      </c>
      <c r="Y48" s="96" t="s">
        <v>136</v>
      </c>
      <c r="Z48" s="117">
        <f t="shared" si="0"/>
        <v>0</v>
      </c>
    </row>
    <row r="49" spans="1:26">
      <c r="A49" s="90">
        <v>23061004</v>
      </c>
      <c r="B49" s="91"/>
      <c r="C49" s="91"/>
      <c r="D49" s="91"/>
      <c r="E49" s="91"/>
      <c r="F49" s="91"/>
      <c r="G49" s="91"/>
      <c r="H49" s="91"/>
      <c r="I49" s="91"/>
      <c r="J49" s="63" t="s">
        <v>130</v>
      </c>
      <c r="K49" s="92">
        <v>43276</v>
      </c>
      <c r="L49" s="107" t="s">
        <v>147</v>
      </c>
      <c r="M49" s="91" t="s">
        <v>122</v>
      </c>
      <c r="N49" s="94">
        <v>-41005.074000000001</v>
      </c>
      <c r="O49" s="94">
        <v>-41005.074000000001</v>
      </c>
      <c r="P49" s="93"/>
      <c r="Y49" s="96" t="s">
        <v>136</v>
      </c>
      <c r="Z49" s="117">
        <f t="shared" si="0"/>
        <v>0</v>
      </c>
    </row>
    <row r="50" spans="1:26">
      <c r="A50" s="90">
        <v>46000307</v>
      </c>
      <c r="B50" s="91"/>
      <c r="C50" s="97"/>
      <c r="D50" s="91"/>
      <c r="E50" s="97"/>
      <c r="F50" s="91"/>
      <c r="G50" s="97"/>
      <c r="H50" s="91"/>
      <c r="I50" s="97"/>
      <c r="J50" s="63" t="s">
        <v>130</v>
      </c>
      <c r="K50" s="92">
        <v>43276</v>
      </c>
      <c r="L50" s="107" t="s">
        <v>147</v>
      </c>
      <c r="M50" s="91" t="s">
        <v>122</v>
      </c>
      <c r="N50" s="94">
        <v>41005.07</v>
      </c>
      <c r="O50" s="94">
        <v>41005.07</v>
      </c>
      <c r="P50" s="93"/>
      <c r="S50" s="54" t="s">
        <v>131</v>
      </c>
      <c r="Y50" s="96" t="s">
        <v>136</v>
      </c>
      <c r="Z50" s="117">
        <f t="shared" si="0"/>
        <v>0</v>
      </c>
    </row>
    <row r="51" spans="1:26">
      <c r="A51" s="90">
        <v>23061004</v>
      </c>
      <c r="B51" s="91"/>
      <c r="C51" s="91"/>
      <c r="D51" s="91"/>
      <c r="E51" s="91"/>
      <c r="F51" s="91"/>
      <c r="G51" s="91"/>
      <c r="H51" s="91"/>
      <c r="I51" s="91"/>
      <c r="J51" s="63" t="s">
        <v>130</v>
      </c>
      <c r="K51" s="92">
        <v>43276</v>
      </c>
      <c r="L51" s="107" t="s">
        <v>148</v>
      </c>
      <c r="M51" s="91" t="s">
        <v>122</v>
      </c>
      <c r="N51" s="94">
        <v>-1413.78</v>
      </c>
      <c r="O51" s="94">
        <v>-1413.78</v>
      </c>
      <c r="P51" s="93"/>
      <c r="R51" s="98"/>
      <c r="Y51" s="96" t="s">
        <v>136</v>
      </c>
      <c r="Z51" s="117">
        <f t="shared" si="0"/>
        <v>0</v>
      </c>
    </row>
    <row r="52" spans="1:26">
      <c r="A52" s="90">
        <v>46000307</v>
      </c>
      <c r="B52" s="91"/>
      <c r="C52" s="97"/>
      <c r="D52" s="91"/>
      <c r="E52" s="97"/>
      <c r="F52" s="91"/>
      <c r="G52" s="97"/>
      <c r="H52" s="91"/>
      <c r="I52" s="97"/>
      <c r="J52" s="63" t="s">
        <v>130</v>
      </c>
      <c r="K52" s="92">
        <v>43276</v>
      </c>
      <c r="L52" s="107" t="s">
        <v>148</v>
      </c>
      <c r="M52" s="91" t="s">
        <v>122</v>
      </c>
      <c r="N52" s="94">
        <v>1413.78</v>
      </c>
      <c r="O52" s="94">
        <v>1413.78</v>
      </c>
      <c r="P52" s="93"/>
      <c r="R52" s="98"/>
      <c r="S52" s="54" t="s">
        <v>131</v>
      </c>
      <c r="Y52" s="96" t="s">
        <v>136</v>
      </c>
      <c r="Z52" s="117">
        <f t="shared" si="0"/>
        <v>0</v>
      </c>
    </row>
    <row r="53" spans="1:26">
      <c r="A53" s="108">
        <v>2302020101</v>
      </c>
      <c r="B53" s="109"/>
      <c r="C53" s="109"/>
      <c r="D53" s="109"/>
      <c r="E53" s="109"/>
      <c r="F53" s="109"/>
      <c r="G53" s="109"/>
      <c r="H53" s="109"/>
      <c r="I53" s="109"/>
      <c r="J53" s="110" t="s">
        <v>130</v>
      </c>
      <c r="K53" s="92">
        <v>43276</v>
      </c>
      <c r="L53" s="111" t="s">
        <v>144</v>
      </c>
      <c r="M53" s="109" t="s">
        <v>122</v>
      </c>
      <c r="N53" s="112">
        <v>-130512.49</v>
      </c>
      <c r="O53" s="94">
        <v>-130512.49</v>
      </c>
      <c r="P53" s="113"/>
      <c r="Q53" s="114"/>
      <c r="R53" s="114"/>
      <c r="S53" s="114"/>
      <c r="T53" s="114"/>
      <c r="U53" s="114"/>
      <c r="V53" s="114"/>
      <c r="W53" s="114"/>
      <c r="X53" s="114"/>
      <c r="Y53" s="115" t="s">
        <v>137</v>
      </c>
      <c r="Z53" s="117">
        <f t="shared" si="0"/>
        <v>0</v>
      </c>
    </row>
    <row r="54" spans="1:26">
      <c r="A54" s="108">
        <v>46000307</v>
      </c>
      <c r="B54" s="109"/>
      <c r="C54" s="116"/>
      <c r="D54" s="109"/>
      <c r="E54" s="116"/>
      <c r="F54" s="109"/>
      <c r="G54" s="116"/>
      <c r="H54" s="109"/>
      <c r="I54" s="116"/>
      <c r="J54" s="110" t="s">
        <v>130</v>
      </c>
      <c r="K54" s="92">
        <v>43276</v>
      </c>
      <c r="L54" s="111" t="s">
        <v>144</v>
      </c>
      <c r="M54" s="109" t="s">
        <v>122</v>
      </c>
      <c r="N54" s="112">
        <v>130512.49</v>
      </c>
      <c r="O54" s="94">
        <v>130512.49</v>
      </c>
      <c r="P54" s="113"/>
      <c r="Q54" s="114"/>
      <c r="R54" s="114"/>
      <c r="S54" s="114" t="s">
        <v>131</v>
      </c>
      <c r="T54" s="114"/>
      <c r="U54" s="114"/>
      <c r="V54" s="114"/>
      <c r="W54" s="114"/>
      <c r="X54" s="114"/>
      <c r="Y54" s="115" t="s">
        <v>137</v>
      </c>
      <c r="Z54" s="117">
        <f t="shared" si="0"/>
        <v>0</v>
      </c>
    </row>
    <row r="55" spans="1:26">
      <c r="A55" s="108">
        <v>540403</v>
      </c>
      <c r="B55" s="109"/>
      <c r="C55" s="109"/>
      <c r="D55" s="109"/>
      <c r="E55" s="109"/>
      <c r="F55" s="109"/>
      <c r="G55" s="109"/>
      <c r="H55" s="109"/>
      <c r="I55" s="109"/>
      <c r="J55" s="110" t="s">
        <v>130</v>
      </c>
      <c r="K55" s="92">
        <v>43276</v>
      </c>
      <c r="L55" s="111" t="s">
        <v>145</v>
      </c>
      <c r="M55" s="109" t="s">
        <v>122</v>
      </c>
      <c r="N55" s="112">
        <v>-764849.37</v>
      </c>
      <c r="O55" s="94">
        <v>-764849.37</v>
      </c>
      <c r="P55" s="113"/>
      <c r="Q55" s="114"/>
      <c r="R55" s="114"/>
      <c r="S55" s="114" t="s">
        <v>131</v>
      </c>
      <c r="T55" s="114"/>
      <c r="U55" s="114"/>
      <c r="V55" s="114"/>
      <c r="W55" s="114"/>
      <c r="X55" s="114"/>
      <c r="Y55" s="115" t="s">
        <v>137</v>
      </c>
      <c r="Z55" s="117">
        <f t="shared" si="0"/>
        <v>0</v>
      </c>
    </row>
    <row r="56" spans="1:26">
      <c r="A56" s="108">
        <v>13060101</v>
      </c>
      <c r="B56" s="109"/>
      <c r="C56" s="116"/>
      <c r="D56" s="109"/>
      <c r="E56" s="116"/>
      <c r="F56" s="109"/>
      <c r="G56" s="116"/>
      <c r="H56" s="109"/>
      <c r="I56" s="116"/>
      <c r="J56" s="110" t="s">
        <v>130</v>
      </c>
      <c r="K56" s="92">
        <v>43276</v>
      </c>
      <c r="L56" s="111" t="s">
        <v>145</v>
      </c>
      <c r="M56" s="109" t="s">
        <v>122</v>
      </c>
      <c r="N56" s="112">
        <v>764849.37</v>
      </c>
      <c r="O56" s="94">
        <v>764849.37</v>
      </c>
      <c r="P56" s="110"/>
      <c r="Q56" s="114"/>
      <c r="R56" s="114"/>
      <c r="S56" s="114"/>
      <c r="T56" s="114"/>
      <c r="U56" s="114"/>
      <c r="V56" s="114"/>
      <c r="W56" s="114"/>
      <c r="X56" s="114"/>
      <c r="Y56" s="115" t="s">
        <v>137</v>
      </c>
      <c r="Z56" s="117">
        <f t="shared" si="0"/>
        <v>0</v>
      </c>
    </row>
    <row r="57" spans="1:26">
      <c r="A57" s="108">
        <v>23100105</v>
      </c>
      <c r="B57" s="109"/>
      <c r="C57" s="109"/>
      <c r="D57" s="109"/>
      <c r="E57" s="109"/>
      <c r="F57" s="109"/>
      <c r="G57" s="109"/>
      <c r="H57" s="109"/>
      <c r="I57" s="109"/>
      <c r="J57" s="110" t="s">
        <v>130</v>
      </c>
      <c r="K57" s="92">
        <v>43276</v>
      </c>
      <c r="L57" s="111" t="s">
        <v>146</v>
      </c>
      <c r="M57" s="109" t="s">
        <v>122</v>
      </c>
      <c r="N57" s="112">
        <v>-1179614.22</v>
      </c>
      <c r="O57" s="94">
        <v>-1179614.22</v>
      </c>
      <c r="P57" s="113"/>
      <c r="Q57" s="114"/>
      <c r="R57" s="114"/>
      <c r="S57" s="114"/>
      <c r="T57" s="114"/>
      <c r="U57" s="114"/>
      <c r="V57" s="114"/>
      <c r="W57" s="114"/>
      <c r="X57" s="114"/>
      <c r="Y57" s="115" t="s">
        <v>137</v>
      </c>
      <c r="Z57" s="117">
        <f t="shared" si="0"/>
        <v>0</v>
      </c>
    </row>
    <row r="58" spans="1:26">
      <c r="A58" s="108">
        <v>460001</v>
      </c>
      <c r="B58" s="109"/>
      <c r="C58" s="116"/>
      <c r="D58" s="109"/>
      <c r="E58" s="116"/>
      <c r="F58" s="109"/>
      <c r="G58" s="116"/>
      <c r="H58" s="109"/>
      <c r="I58" s="116"/>
      <c r="J58" s="110" t="s">
        <v>130</v>
      </c>
      <c r="K58" s="92">
        <v>43276</v>
      </c>
      <c r="L58" s="111" t="s">
        <v>146</v>
      </c>
      <c r="M58" s="109" t="s">
        <v>122</v>
      </c>
      <c r="N58" s="112">
        <v>1179614.22</v>
      </c>
      <c r="O58" s="94">
        <v>1179614.22</v>
      </c>
      <c r="P58" s="113"/>
      <c r="Q58" s="114"/>
      <c r="R58" s="54" t="s">
        <v>141</v>
      </c>
      <c r="S58" s="114"/>
      <c r="T58" s="114"/>
      <c r="U58" s="114"/>
      <c r="V58" s="114"/>
      <c r="W58" s="114"/>
      <c r="X58" s="114"/>
      <c r="Y58" s="115" t="s">
        <v>137</v>
      </c>
      <c r="Z58" s="117">
        <f t="shared" si="0"/>
        <v>0</v>
      </c>
    </row>
    <row r="59" spans="1:26">
      <c r="A59" s="108">
        <v>23061004</v>
      </c>
      <c r="B59" s="109"/>
      <c r="C59" s="109"/>
      <c r="D59" s="109"/>
      <c r="E59" s="109"/>
      <c r="F59" s="109"/>
      <c r="G59" s="109"/>
      <c r="H59" s="109"/>
      <c r="I59" s="109"/>
      <c r="J59" s="110" t="s">
        <v>130</v>
      </c>
      <c r="K59" s="92">
        <v>43276</v>
      </c>
      <c r="L59" s="111" t="s">
        <v>147</v>
      </c>
      <c r="M59" s="109" t="s">
        <v>122</v>
      </c>
      <c r="N59" s="112">
        <v>-31727.03</v>
      </c>
      <c r="O59" s="94">
        <v>-31727.03</v>
      </c>
      <c r="P59" s="113"/>
      <c r="Q59" s="114"/>
      <c r="R59" s="114"/>
      <c r="S59" s="114"/>
      <c r="T59" s="114"/>
      <c r="U59" s="114"/>
      <c r="V59" s="114"/>
      <c r="W59" s="114"/>
      <c r="X59" s="114"/>
      <c r="Y59" s="115" t="s">
        <v>137</v>
      </c>
      <c r="Z59" s="117">
        <f t="shared" si="0"/>
        <v>0</v>
      </c>
    </row>
    <row r="60" spans="1:26">
      <c r="A60" s="108">
        <v>46000307</v>
      </c>
      <c r="B60" s="109"/>
      <c r="C60" s="116"/>
      <c r="D60" s="109"/>
      <c r="E60" s="116"/>
      <c r="F60" s="109"/>
      <c r="G60" s="116"/>
      <c r="H60" s="109"/>
      <c r="I60" s="116"/>
      <c r="J60" s="110" t="s">
        <v>130</v>
      </c>
      <c r="K60" s="92">
        <v>43276</v>
      </c>
      <c r="L60" s="111" t="s">
        <v>147</v>
      </c>
      <c r="M60" s="109" t="s">
        <v>122</v>
      </c>
      <c r="N60" s="112">
        <v>31727.03</v>
      </c>
      <c r="O60" s="94">
        <v>31727.03</v>
      </c>
      <c r="P60" s="113"/>
      <c r="Q60" s="114"/>
      <c r="R60" s="114"/>
      <c r="S60" s="114" t="s">
        <v>131</v>
      </c>
      <c r="T60" s="114"/>
      <c r="U60" s="114"/>
      <c r="V60" s="114"/>
      <c r="W60" s="114"/>
      <c r="X60" s="114"/>
      <c r="Y60" s="115" t="s">
        <v>137</v>
      </c>
      <c r="Z60" s="117">
        <f t="shared" si="0"/>
        <v>0</v>
      </c>
    </row>
    <row r="61" spans="1:26">
      <c r="A61" s="108">
        <v>23061004</v>
      </c>
      <c r="B61" s="109"/>
      <c r="C61" s="109"/>
      <c r="D61" s="109"/>
      <c r="E61" s="109"/>
      <c r="F61" s="109"/>
      <c r="G61" s="109"/>
      <c r="H61" s="109"/>
      <c r="I61" s="109"/>
      <c r="J61" s="110" t="s">
        <v>130</v>
      </c>
      <c r="K61" s="92">
        <v>43276</v>
      </c>
      <c r="L61" s="111" t="s">
        <v>148</v>
      </c>
      <c r="M61" s="109" t="s">
        <v>122</v>
      </c>
      <c r="N61" s="112">
        <v>-10847.06</v>
      </c>
      <c r="O61" s="94">
        <v>-10847.06</v>
      </c>
      <c r="P61" s="110"/>
      <c r="Q61" s="114"/>
      <c r="R61" s="114"/>
      <c r="S61" s="114"/>
      <c r="T61" s="114"/>
      <c r="U61" s="114"/>
      <c r="V61" s="114"/>
      <c r="W61" s="114"/>
      <c r="X61" s="114"/>
      <c r="Y61" s="115" t="s">
        <v>137</v>
      </c>
      <c r="Z61" s="117">
        <f t="shared" si="0"/>
        <v>0</v>
      </c>
    </row>
    <row r="62" spans="1:26">
      <c r="A62" s="108">
        <v>46000307</v>
      </c>
      <c r="B62" s="109"/>
      <c r="C62" s="116"/>
      <c r="D62" s="109"/>
      <c r="E62" s="116"/>
      <c r="F62" s="109"/>
      <c r="G62" s="116"/>
      <c r="H62" s="109"/>
      <c r="I62" s="116"/>
      <c r="J62" s="110" t="s">
        <v>130</v>
      </c>
      <c r="K62" s="92">
        <v>43276</v>
      </c>
      <c r="L62" s="111" t="s">
        <v>148</v>
      </c>
      <c r="M62" s="109" t="s">
        <v>122</v>
      </c>
      <c r="N62" s="112">
        <v>10847.06</v>
      </c>
      <c r="O62" s="94">
        <v>10847.06</v>
      </c>
      <c r="P62" s="113"/>
      <c r="Q62" s="114"/>
      <c r="R62" s="114"/>
      <c r="S62" s="114" t="s">
        <v>131</v>
      </c>
      <c r="T62" s="114"/>
      <c r="U62" s="114"/>
      <c r="V62" s="114"/>
      <c r="W62" s="114"/>
      <c r="X62" s="114"/>
      <c r="Y62" s="115" t="s">
        <v>137</v>
      </c>
      <c r="Z62" s="117">
        <f t="shared" si="0"/>
        <v>0</v>
      </c>
    </row>
    <row r="63" spans="1:26">
      <c r="A63" s="90">
        <v>2302020101</v>
      </c>
      <c r="B63" s="91"/>
      <c r="C63" s="91"/>
      <c r="D63" s="91"/>
      <c r="E63" s="91"/>
      <c r="F63" s="91"/>
      <c r="G63" s="91"/>
      <c r="H63" s="91"/>
      <c r="I63" s="91"/>
      <c r="J63" s="63" t="s">
        <v>130</v>
      </c>
      <c r="K63" s="92">
        <v>43276</v>
      </c>
      <c r="L63" s="107" t="s">
        <v>144</v>
      </c>
      <c r="M63" s="91" t="s">
        <v>122</v>
      </c>
      <c r="N63" s="94">
        <v>-90925.63</v>
      </c>
      <c r="O63" s="94">
        <v>-90925.63</v>
      </c>
      <c r="P63" s="93"/>
      <c r="Y63" s="96" t="s">
        <v>138</v>
      </c>
      <c r="Z63" s="117">
        <f t="shared" si="0"/>
        <v>0</v>
      </c>
    </row>
    <row r="64" spans="1:26">
      <c r="A64" s="90">
        <v>46000307</v>
      </c>
      <c r="B64" s="91"/>
      <c r="C64" s="97"/>
      <c r="D64" s="91"/>
      <c r="E64" s="97"/>
      <c r="F64" s="91"/>
      <c r="G64" s="97"/>
      <c r="H64" s="91"/>
      <c r="I64" s="97"/>
      <c r="J64" s="63" t="s">
        <v>130</v>
      </c>
      <c r="K64" s="92">
        <v>43276</v>
      </c>
      <c r="L64" s="107" t="s">
        <v>144</v>
      </c>
      <c r="M64" s="91" t="s">
        <v>122</v>
      </c>
      <c r="N64" s="94">
        <v>90925.63</v>
      </c>
      <c r="O64" s="94">
        <v>90925.63</v>
      </c>
      <c r="P64" s="93"/>
      <c r="S64" s="54" t="s">
        <v>131</v>
      </c>
      <c r="Y64" s="96" t="s">
        <v>138</v>
      </c>
      <c r="Z64" s="117">
        <f t="shared" si="0"/>
        <v>0</v>
      </c>
    </row>
    <row r="65" spans="1:26">
      <c r="A65" s="90">
        <v>540403</v>
      </c>
      <c r="B65" s="91"/>
      <c r="C65" s="91"/>
      <c r="D65" s="91"/>
      <c r="E65" s="91"/>
      <c r="F65" s="91"/>
      <c r="G65" s="91"/>
      <c r="H65" s="91"/>
      <c r="I65" s="91"/>
      <c r="J65" s="63" t="s">
        <v>130</v>
      </c>
      <c r="K65" s="92">
        <v>43276</v>
      </c>
      <c r="L65" s="107" t="s">
        <v>145</v>
      </c>
      <c r="M65" s="91" t="s">
        <v>122</v>
      </c>
      <c r="N65" s="94">
        <v>-1062104.94</v>
      </c>
      <c r="O65" s="94">
        <v>-1062104.94</v>
      </c>
      <c r="P65" s="93"/>
      <c r="S65" s="54" t="s">
        <v>131</v>
      </c>
      <c r="Y65" s="96" t="s">
        <v>138</v>
      </c>
      <c r="Z65" s="117">
        <f t="shared" si="0"/>
        <v>0</v>
      </c>
    </row>
    <row r="66" spans="1:26">
      <c r="A66" s="90">
        <v>13060101</v>
      </c>
      <c r="B66" s="91"/>
      <c r="C66" s="97"/>
      <c r="D66" s="91"/>
      <c r="E66" s="97"/>
      <c r="F66" s="91"/>
      <c r="G66" s="97"/>
      <c r="H66" s="91"/>
      <c r="I66" s="97"/>
      <c r="J66" s="63" t="s">
        <v>130</v>
      </c>
      <c r="K66" s="92">
        <v>43276</v>
      </c>
      <c r="L66" s="107" t="s">
        <v>145</v>
      </c>
      <c r="M66" s="91" t="s">
        <v>122</v>
      </c>
      <c r="N66" s="94">
        <v>1062104.94</v>
      </c>
      <c r="O66" s="94">
        <v>1062104.94</v>
      </c>
      <c r="P66" s="93"/>
      <c r="Y66" s="96" t="s">
        <v>138</v>
      </c>
      <c r="Z66" s="117">
        <f t="shared" si="0"/>
        <v>0</v>
      </c>
    </row>
    <row r="67" spans="1:26">
      <c r="A67" s="90">
        <v>23100105</v>
      </c>
      <c r="B67" s="91"/>
      <c r="C67" s="91"/>
      <c r="D67" s="91"/>
      <c r="E67" s="91"/>
      <c r="F67" s="91"/>
      <c r="G67" s="91"/>
      <c r="H67" s="91"/>
      <c r="I67" s="91"/>
      <c r="J67" s="63" t="s">
        <v>130</v>
      </c>
      <c r="K67" s="92">
        <v>43276</v>
      </c>
      <c r="L67" s="107" t="s">
        <v>146</v>
      </c>
      <c r="M67" s="91" t="s">
        <v>122</v>
      </c>
      <c r="N67" s="94">
        <v>-214182.17</v>
      </c>
      <c r="O67" s="94">
        <v>-214182.17</v>
      </c>
      <c r="P67" s="93"/>
      <c r="Y67" s="96" t="s">
        <v>138</v>
      </c>
      <c r="Z67" s="117">
        <f t="shared" si="0"/>
        <v>0</v>
      </c>
    </row>
    <row r="68" spans="1:26">
      <c r="A68" s="90">
        <v>460001</v>
      </c>
      <c r="B68" s="91"/>
      <c r="C68" s="97"/>
      <c r="D68" s="91"/>
      <c r="E68" s="97"/>
      <c r="F68" s="91"/>
      <c r="G68" s="97"/>
      <c r="H68" s="91"/>
      <c r="I68" s="97"/>
      <c r="J68" s="63" t="s">
        <v>130</v>
      </c>
      <c r="K68" s="92">
        <v>43276</v>
      </c>
      <c r="L68" s="107" t="s">
        <v>146</v>
      </c>
      <c r="M68" s="91" t="s">
        <v>122</v>
      </c>
      <c r="N68" s="94">
        <v>214182.17</v>
      </c>
      <c r="O68" s="94">
        <v>214182.17</v>
      </c>
      <c r="P68" s="93"/>
      <c r="R68" s="54" t="s">
        <v>141</v>
      </c>
      <c r="Y68" s="96" t="s">
        <v>138</v>
      </c>
      <c r="Z68" s="117">
        <f t="shared" ref="Z68:Z82" si="1">N68-O68</f>
        <v>0</v>
      </c>
    </row>
    <row r="69" spans="1:26">
      <c r="A69" s="90">
        <v>23061004</v>
      </c>
      <c r="B69" s="91"/>
      <c r="C69" s="91"/>
      <c r="D69" s="91"/>
      <c r="E69" s="91"/>
      <c r="F69" s="91"/>
      <c r="G69" s="91"/>
      <c r="H69" s="91"/>
      <c r="I69" s="91"/>
      <c r="J69" s="63" t="s">
        <v>130</v>
      </c>
      <c r="K69" s="92">
        <v>43276</v>
      </c>
      <c r="L69" s="107" t="s">
        <v>147</v>
      </c>
      <c r="M69" s="91" t="s">
        <v>122</v>
      </c>
      <c r="N69" s="94">
        <v>-109951.78</v>
      </c>
      <c r="O69" s="94">
        <v>-109951.78</v>
      </c>
      <c r="P69" s="93"/>
      <c r="Y69" s="96" t="s">
        <v>138</v>
      </c>
      <c r="Z69" s="117">
        <f t="shared" si="1"/>
        <v>0</v>
      </c>
    </row>
    <row r="70" spans="1:26">
      <c r="A70" s="90">
        <v>46000307</v>
      </c>
      <c r="B70" s="91"/>
      <c r="C70" s="97"/>
      <c r="D70" s="91"/>
      <c r="E70" s="97"/>
      <c r="F70" s="91"/>
      <c r="G70" s="97"/>
      <c r="H70" s="91"/>
      <c r="I70" s="97"/>
      <c r="J70" s="63" t="s">
        <v>130</v>
      </c>
      <c r="K70" s="92">
        <v>43276</v>
      </c>
      <c r="L70" s="107" t="s">
        <v>147</v>
      </c>
      <c r="M70" s="91" t="s">
        <v>122</v>
      </c>
      <c r="N70" s="94">
        <v>109951.78</v>
      </c>
      <c r="O70" s="94">
        <v>109951.78</v>
      </c>
      <c r="P70" s="93"/>
      <c r="S70" s="54" t="s">
        <v>131</v>
      </c>
      <c r="Y70" s="96" t="s">
        <v>138</v>
      </c>
      <c r="Z70" s="117">
        <f t="shared" si="1"/>
        <v>0</v>
      </c>
    </row>
    <row r="71" spans="1:26">
      <c r="A71" s="90">
        <v>23061004</v>
      </c>
      <c r="B71" s="91"/>
      <c r="C71" s="91"/>
      <c r="D71" s="91"/>
      <c r="E71" s="91"/>
      <c r="F71" s="91"/>
      <c r="G71" s="91"/>
      <c r="H71" s="91"/>
      <c r="I71" s="91"/>
      <c r="J71" s="63" t="s">
        <v>130</v>
      </c>
      <c r="K71" s="92">
        <v>43276</v>
      </c>
      <c r="L71" s="107" t="s">
        <v>148</v>
      </c>
      <c r="M71" s="91" t="s">
        <v>122</v>
      </c>
      <c r="N71" s="94">
        <v>-2057.38</v>
      </c>
      <c r="O71" s="94">
        <v>-2057.38</v>
      </c>
      <c r="P71" s="93"/>
      <c r="R71" s="98"/>
      <c r="Y71" s="96" t="s">
        <v>138</v>
      </c>
      <c r="Z71" s="117">
        <f t="shared" si="1"/>
        <v>0</v>
      </c>
    </row>
    <row r="72" spans="1:26">
      <c r="A72" s="90">
        <v>46000307</v>
      </c>
      <c r="B72" s="91"/>
      <c r="C72" s="97"/>
      <c r="D72" s="91"/>
      <c r="E72" s="97"/>
      <c r="F72" s="91"/>
      <c r="G72" s="97"/>
      <c r="H72" s="91"/>
      <c r="I72" s="97"/>
      <c r="J72" s="63" t="s">
        <v>130</v>
      </c>
      <c r="K72" s="92">
        <v>43276</v>
      </c>
      <c r="L72" s="107" t="s">
        <v>148</v>
      </c>
      <c r="M72" s="91" t="s">
        <v>122</v>
      </c>
      <c r="N72" s="94">
        <v>2057.38</v>
      </c>
      <c r="O72" s="94">
        <v>2057.38</v>
      </c>
      <c r="P72" s="93"/>
      <c r="R72" s="98"/>
      <c r="S72" s="54" t="s">
        <v>131</v>
      </c>
      <c r="Y72" s="96" t="s">
        <v>138</v>
      </c>
      <c r="Z72" s="117">
        <f t="shared" si="1"/>
        <v>0</v>
      </c>
    </row>
    <row r="73" spans="1:26">
      <c r="A73" s="108">
        <v>2302020101</v>
      </c>
      <c r="B73" s="109"/>
      <c r="C73" s="109"/>
      <c r="D73" s="109"/>
      <c r="E73" s="109"/>
      <c r="F73" s="109"/>
      <c r="G73" s="109"/>
      <c r="H73" s="109"/>
      <c r="I73" s="109"/>
      <c r="J73" s="110" t="s">
        <v>130</v>
      </c>
      <c r="K73" s="92">
        <v>43276</v>
      </c>
      <c r="L73" s="111" t="s">
        <v>144</v>
      </c>
      <c r="M73" s="109" t="s">
        <v>122</v>
      </c>
      <c r="N73" s="112">
        <v>-92440.78</v>
      </c>
      <c r="O73" s="94">
        <v>-92440.78</v>
      </c>
      <c r="P73" s="113"/>
      <c r="Q73" s="114"/>
      <c r="R73" s="114"/>
      <c r="S73" s="114"/>
      <c r="T73" s="114"/>
      <c r="U73" s="114"/>
      <c r="V73" s="114"/>
      <c r="W73" s="114"/>
      <c r="X73" s="114"/>
      <c r="Y73" s="115" t="s">
        <v>139</v>
      </c>
      <c r="Z73" s="117">
        <f t="shared" si="1"/>
        <v>0</v>
      </c>
    </row>
    <row r="74" spans="1:26">
      <c r="A74" s="108">
        <v>46000307</v>
      </c>
      <c r="B74" s="109"/>
      <c r="C74" s="116"/>
      <c r="D74" s="109"/>
      <c r="E74" s="116"/>
      <c r="F74" s="109"/>
      <c r="G74" s="116"/>
      <c r="H74" s="109"/>
      <c r="I74" s="116"/>
      <c r="J74" s="110" t="s">
        <v>130</v>
      </c>
      <c r="K74" s="92">
        <v>43276</v>
      </c>
      <c r="L74" s="111" t="s">
        <v>144</v>
      </c>
      <c r="M74" s="109" t="s">
        <v>122</v>
      </c>
      <c r="N74" s="112">
        <v>92440.78</v>
      </c>
      <c r="O74" s="94">
        <v>92440.78</v>
      </c>
      <c r="P74" s="113"/>
      <c r="Q74" s="114"/>
      <c r="R74" s="114"/>
      <c r="S74" s="114" t="s">
        <v>131</v>
      </c>
      <c r="T74" s="114"/>
      <c r="U74" s="114"/>
      <c r="V74" s="114"/>
      <c r="W74" s="114"/>
      <c r="X74" s="114"/>
      <c r="Y74" s="115" t="s">
        <v>139</v>
      </c>
      <c r="Z74" s="117">
        <f t="shared" si="1"/>
        <v>0</v>
      </c>
    </row>
    <row r="75" spans="1:26">
      <c r="A75" s="108">
        <v>540403</v>
      </c>
      <c r="B75" s="109"/>
      <c r="C75" s="109"/>
      <c r="D75" s="109"/>
      <c r="E75" s="109"/>
      <c r="F75" s="109"/>
      <c r="G75" s="109"/>
      <c r="H75" s="109"/>
      <c r="I75" s="109"/>
      <c r="J75" s="110" t="s">
        <v>130</v>
      </c>
      <c r="K75" s="92">
        <v>43276</v>
      </c>
      <c r="L75" s="111" t="s">
        <v>145</v>
      </c>
      <c r="M75" s="109" t="s">
        <v>122</v>
      </c>
      <c r="N75" s="112">
        <v>-168899.84</v>
      </c>
      <c r="O75" s="94">
        <v>-168899.84</v>
      </c>
      <c r="P75" s="113"/>
      <c r="Q75" s="114"/>
      <c r="R75" s="114"/>
      <c r="S75" s="114" t="s">
        <v>131</v>
      </c>
      <c r="T75" s="114"/>
      <c r="U75" s="114"/>
      <c r="V75" s="114"/>
      <c r="W75" s="114"/>
      <c r="X75" s="114"/>
      <c r="Y75" s="115" t="s">
        <v>139</v>
      </c>
      <c r="Z75" s="117">
        <f t="shared" si="1"/>
        <v>0</v>
      </c>
    </row>
    <row r="76" spans="1:26">
      <c r="A76" s="108">
        <v>13060101</v>
      </c>
      <c r="B76" s="109"/>
      <c r="C76" s="116"/>
      <c r="D76" s="109"/>
      <c r="E76" s="116"/>
      <c r="F76" s="109"/>
      <c r="G76" s="116"/>
      <c r="H76" s="109"/>
      <c r="I76" s="116"/>
      <c r="J76" s="110" t="s">
        <v>130</v>
      </c>
      <c r="K76" s="92">
        <v>43276</v>
      </c>
      <c r="L76" s="111" t="s">
        <v>145</v>
      </c>
      <c r="M76" s="109" t="s">
        <v>122</v>
      </c>
      <c r="N76" s="112">
        <v>168899.84</v>
      </c>
      <c r="O76" s="94">
        <v>168899.84</v>
      </c>
      <c r="P76" s="110"/>
      <c r="Q76" s="114"/>
      <c r="R76" s="114"/>
      <c r="S76" s="114"/>
      <c r="T76" s="114"/>
      <c r="U76" s="114"/>
      <c r="V76" s="114"/>
      <c r="W76" s="114"/>
      <c r="X76" s="114"/>
      <c r="Y76" s="115" t="s">
        <v>139</v>
      </c>
      <c r="Z76" s="117">
        <f t="shared" si="1"/>
        <v>0</v>
      </c>
    </row>
    <row r="77" spans="1:26">
      <c r="A77" s="108">
        <v>23100105</v>
      </c>
      <c r="B77" s="109"/>
      <c r="C77" s="109"/>
      <c r="D77" s="109"/>
      <c r="E77" s="109"/>
      <c r="F77" s="109"/>
      <c r="G77" s="109"/>
      <c r="H77" s="109"/>
      <c r="I77" s="109"/>
      <c r="J77" s="110" t="s">
        <v>130</v>
      </c>
      <c r="K77" s="92">
        <v>43276</v>
      </c>
      <c r="L77" s="111" t="s">
        <v>146</v>
      </c>
      <c r="M77" s="109" t="s">
        <v>122</v>
      </c>
      <c r="N77" s="112">
        <v>-1277428.7</v>
      </c>
      <c r="O77" s="94">
        <v>-1277428.7</v>
      </c>
      <c r="P77" s="113"/>
      <c r="Q77" s="114"/>
      <c r="R77" s="114"/>
      <c r="S77" s="114"/>
      <c r="T77" s="114"/>
      <c r="U77" s="114"/>
      <c r="V77" s="114"/>
      <c r="W77" s="114"/>
      <c r="X77" s="114"/>
      <c r="Y77" s="115" t="s">
        <v>139</v>
      </c>
      <c r="Z77" s="117">
        <f t="shared" si="1"/>
        <v>0</v>
      </c>
    </row>
    <row r="78" spans="1:26">
      <c r="A78" s="108">
        <v>460001</v>
      </c>
      <c r="B78" s="109"/>
      <c r="C78" s="116"/>
      <c r="D78" s="109"/>
      <c r="E78" s="116"/>
      <c r="F78" s="109"/>
      <c r="G78" s="116"/>
      <c r="H78" s="109"/>
      <c r="I78" s="116"/>
      <c r="J78" s="110" t="s">
        <v>130</v>
      </c>
      <c r="K78" s="92">
        <v>43276</v>
      </c>
      <c r="L78" s="111" t="s">
        <v>146</v>
      </c>
      <c r="M78" s="109" t="s">
        <v>122</v>
      </c>
      <c r="N78" s="112">
        <v>1277428.7</v>
      </c>
      <c r="O78" s="94">
        <v>1277428.7</v>
      </c>
      <c r="P78" s="113"/>
      <c r="Q78" s="114"/>
      <c r="R78" s="54" t="s">
        <v>141</v>
      </c>
      <c r="S78" s="114"/>
      <c r="T78" s="114"/>
      <c r="U78" s="114"/>
      <c r="V78" s="114"/>
      <c r="W78" s="114"/>
      <c r="X78" s="114"/>
      <c r="Y78" s="115" t="s">
        <v>139</v>
      </c>
      <c r="Z78" s="117">
        <f t="shared" si="1"/>
        <v>0</v>
      </c>
    </row>
    <row r="79" spans="1:26">
      <c r="A79" s="108">
        <v>23061004</v>
      </c>
      <c r="B79" s="109"/>
      <c r="C79" s="109"/>
      <c r="D79" s="109"/>
      <c r="E79" s="109"/>
      <c r="F79" s="109"/>
      <c r="G79" s="109"/>
      <c r="H79" s="109"/>
      <c r="I79" s="109"/>
      <c r="J79" s="110" t="s">
        <v>130</v>
      </c>
      <c r="K79" s="92">
        <v>43276</v>
      </c>
      <c r="L79" s="111" t="s">
        <v>147</v>
      </c>
      <c r="M79" s="109" t="s">
        <v>122</v>
      </c>
      <c r="N79" s="112">
        <v>-88619.91</v>
      </c>
      <c r="O79" s="94">
        <v>-88619.91</v>
      </c>
      <c r="P79" s="113"/>
      <c r="Q79" s="114"/>
      <c r="R79" s="114"/>
      <c r="S79" s="114"/>
      <c r="T79" s="114"/>
      <c r="U79" s="114"/>
      <c r="V79" s="114"/>
      <c r="W79" s="114"/>
      <c r="X79" s="114"/>
      <c r="Y79" s="115" t="s">
        <v>139</v>
      </c>
      <c r="Z79" s="117">
        <f t="shared" si="1"/>
        <v>0</v>
      </c>
    </row>
    <row r="80" spans="1:26">
      <c r="A80" s="108">
        <v>46000307</v>
      </c>
      <c r="B80" s="109"/>
      <c r="C80" s="116"/>
      <c r="D80" s="109"/>
      <c r="E80" s="116"/>
      <c r="F80" s="109"/>
      <c r="G80" s="116"/>
      <c r="H80" s="109"/>
      <c r="I80" s="116"/>
      <c r="J80" s="110" t="s">
        <v>130</v>
      </c>
      <c r="K80" s="92">
        <v>43276</v>
      </c>
      <c r="L80" s="111" t="s">
        <v>147</v>
      </c>
      <c r="M80" s="109" t="s">
        <v>122</v>
      </c>
      <c r="N80" s="112">
        <v>88619.91</v>
      </c>
      <c r="O80" s="94">
        <v>88619.91</v>
      </c>
      <c r="P80" s="113"/>
      <c r="Q80" s="114"/>
      <c r="R80" s="114"/>
      <c r="S80" s="114" t="s">
        <v>131</v>
      </c>
      <c r="T80" s="114"/>
      <c r="U80" s="114"/>
      <c r="V80" s="114"/>
      <c r="W80" s="114"/>
      <c r="X80" s="114"/>
      <c r="Y80" s="115" t="s">
        <v>139</v>
      </c>
      <c r="Z80" s="117">
        <f t="shared" si="1"/>
        <v>0</v>
      </c>
    </row>
    <row r="81" spans="1:26">
      <c r="A81" s="108">
        <v>23061004</v>
      </c>
      <c r="B81" s="109"/>
      <c r="C81" s="109"/>
      <c r="D81" s="109"/>
      <c r="E81" s="109"/>
      <c r="F81" s="109"/>
      <c r="G81" s="109"/>
      <c r="H81" s="109"/>
      <c r="I81" s="109"/>
      <c r="J81" s="110" t="s">
        <v>130</v>
      </c>
      <c r="K81" s="92">
        <v>43276</v>
      </c>
      <c r="L81" s="111" t="s">
        <v>148</v>
      </c>
      <c r="M81" s="109" t="s">
        <v>122</v>
      </c>
      <c r="N81" s="112">
        <v>-1881.31</v>
      </c>
      <c r="O81" s="94">
        <v>-1881.31</v>
      </c>
      <c r="P81" s="110"/>
      <c r="Q81" s="114"/>
      <c r="R81" s="114"/>
      <c r="S81" s="114"/>
      <c r="T81" s="114"/>
      <c r="U81" s="114"/>
      <c r="V81" s="114"/>
      <c r="W81" s="114"/>
      <c r="X81" s="114"/>
      <c r="Y81" s="115" t="s">
        <v>139</v>
      </c>
      <c r="Z81" s="117">
        <f t="shared" si="1"/>
        <v>0</v>
      </c>
    </row>
    <row r="82" spans="1:26">
      <c r="A82" s="108">
        <v>46000307</v>
      </c>
      <c r="B82" s="109"/>
      <c r="C82" s="116"/>
      <c r="D82" s="109"/>
      <c r="E82" s="116"/>
      <c r="F82" s="109"/>
      <c r="G82" s="116"/>
      <c r="H82" s="109"/>
      <c r="I82" s="116"/>
      <c r="J82" s="110" t="s">
        <v>130</v>
      </c>
      <c r="K82" s="92">
        <v>43276</v>
      </c>
      <c r="L82" s="111" t="s">
        <v>148</v>
      </c>
      <c r="M82" s="109" t="s">
        <v>122</v>
      </c>
      <c r="N82" s="112">
        <v>1881.31</v>
      </c>
      <c r="O82" s="94">
        <v>1881.31</v>
      </c>
      <c r="P82" s="113"/>
      <c r="Q82" s="114"/>
      <c r="R82" s="114"/>
      <c r="S82" s="114" t="s">
        <v>131</v>
      </c>
      <c r="T82" s="114"/>
      <c r="U82" s="114"/>
      <c r="V82" s="114"/>
      <c r="W82" s="114"/>
      <c r="X82" s="114"/>
      <c r="Y82" s="115" t="s">
        <v>139</v>
      </c>
      <c r="Z82" s="117">
        <f t="shared" si="1"/>
        <v>0</v>
      </c>
    </row>
    <row r="83" spans="1:26">
      <c r="A83" s="100"/>
      <c r="B83" s="93"/>
      <c r="C83" s="93"/>
      <c r="D83" s="93"/>
      <c r="E83" s="93"/>
      <c r="F83" s="93"/>
      <c r="G83" s="93"/>
      <c r="H83" s="93"/>
      <c r="I83" s="93"/>
      <c r="K83" s="92"/>
      <c r="L83" s="93"/>
      <c r="M83" s="91"/>
      <c r="N83" s="94"/>
      <c r="O83" s="94"/>
      <c r="P83" s="95"/>
      <c r="Y83" s="54"/>
    </row>
    <row r="84" spans="1:26">
      <c r="A84" s="100"/>
      <c r="B84" s="93"/>
      <c r="C84" s="93"/>
      <c r="D84" s="93"/>
      <c r="E84" s="93"/>
      <c r="F84" s="93"/>
      <c r="G84" s="93"/>
      <c r="H84" s="93"/>
      <c r="I84" s="93"/>
      <c r="K84" s="92"/>
      <c r="L84" s="93"/>
      <c r="M84" s="91"/>
      <c r="N84" s="94"/>
      <c r="O84" s="94"/>
      <c r="P84" s="95"/>
      <c r="Y84" s="54"/>
    </row>
    <row r="85" spans="1:26">
      <c r="A85" s="100"/>
      <c r="B85" s="93"/>
      <c r="C85" s="93"/>
      <c r="D85" s="93"/>
      <c r="E85" s="93"/>
      <c r="F85" s="93"/>
      <c r="G85" s="93"/>
      <c r="H85" s="93"/>
      <c r="I85" s="93"/>
      <c r="K85" s="92"/>
      <c r="L85" s="93"/>
      <c r="M85" s="91"/>
      <c r="N85" s="94"/>
      <c r="O85" s="94"/>
      <c r="P85" s="95"/>
      <c r="Y85" s="54"/>
    </row>
    <row r="86" spans="1:26">
      <c r="A86" s="100"/>
      <c r="B86" s="93"/>
      <c r="C86" s="93"/>
      <c r="D86" s="93"/>
      <c r="E86" s="93"/>
      <c r="F86" s="93"/>
      <c r="G86" s="93"/>
      <c r="H86" s="93"/>
      <c r="I86" s="93"/>
      <c r="K86" s="92"/>
      <c r="L86" s="93"/>
      <c r="M86" s="91"/>
      <c r="N86" s="94"/>
      <c r="O86" s="94"/>
      <c r="P86" s="95"/>
      <c r="Y86" s="54"/>
    </row>
    <row r="87" spans="1:26">
      <c r="A87" s="100"/>
      <c r="B87" s="93"/>
      <c r="C87" s="93"/>
      <c r="D87" s="93"/>
      <c r="E87" s="93"/>
      <c r="F87" s="93"/>
      <c r="G87" s="93"/>
      <c r="H87" s="93"/>
      <c r="I87" s="93"/>
      <c r="K87" s="92"/>
      <c r="L87" s="93"/>
      <c r="M87" s="91"/>
      <c r="N87" s="94"/>
      <c r="O87" s="94"/>
      <c r="P87" s="95"/>
      <c r="Y87" s="54"/>
    </row>
    <row r="88" spans="1:26">
      <c r="A88" s="100"/>
      <c r="B88" s="93"/>
      <c r="C88" s="93"/>
      <c r="D88" s="93"/>
      <c r="E88" s="93"/>
      <c r="F88" s="93"/>
      <c r="G88" s="93"/>
      <c r="H88" s="93"/>
      <c r="I88" s="93"/>
      <c r="K88" s="92"/>
      <c r="L88" s="93"/>
      <c r="M88" s="91"/>
      <c r="N88" s="94"/>
      <c r="O88" s="94"/>
      <c r="P88" s="95"/>
      <c r="Y88" s="54"/>
    </row>
    <row r="89" spans="1:26">
      <c r="A89" s="100"/>
      <c r="B89" s="93"/>
      <c r="C89" s="93"/>
      <c r="D89" s="93"/>
      <c r="E89" s="93"/>
      <c r="F89" s="93"/>
      <c r="G89" s="93"/>
      <c r="H89" s="93"/>
      <c r="I89" s="93"/>
      <c r="K89" s="92"/>
      <c r="L89" s="93"/>
      <c r="M89" s="91"/>
      <c r="N89" s="94"/>
      <c r="O89" s="94"/>
      <c r="P89" s="95"/>
      <c r="Y89" s="54"/>
    </row>
    <row r="90" spans="1:26">
      <c r="A90" s="100"/>
      <c r="B90" s="93"/>
      <c r="C90" s="93"/>
      <c r="D90" s="93"/>
      <c r="E90" s="93"/>
      <c r="F90" s="93"/>
      <c r="G90" s="93"/>
      <c r="H90" s="93"/>
      <c r="I90" s="93"/>
      <c r="K90" s="92"/>
      <c r="L90" s="93"/>
      <c r="M90" s="91"/>
      <c r="N90" s="94"/>
      <c r="O90" s="94"/>
      <c r="P90" s="95"/>
      <c r="Y90" s="54"/>
    </row>
    <row r="91" spans="1:26">
      <c r="A91" s="100"/>
      <c r="B91" s="93"/>
      <c r="C91" s="93"/>
      <c r="D91" s="93"/>
      <c r="E91" s="93"/>
      <c r="F91" s="93"/>
      <c r="G91" s="93"/>
      <c r="H91" s="93"/>
      <c r="I91" s="93"/>
      <c r="K91" s="92"/>
      <c r="L91" s="93"/>
      <c r="M91" s="91"/>
      <c r="N91" s="94"/>
      <c r="O91" s="94"/>
      <c r="P91" s="95"/>
      <c r="Y91" s="54"/>
    </row>
    <row r="92" spans="1:26">
      <c r="A92" s="100"/>
      <c r="B92" s="93"/>
      <c r="C92" s="93"/>
      <c r="D92" s="93"/>
      <c r="E92" s="93"/>
      <c r="F92" s="93"/>
      <c r="G92" s="93"/>
      <c r="H92" s="93"/>
      <c r="I92" s="93"/>
      <c r="K92" s="92"/>
      <c r="L92" s="93"/>
      <c r="M92" s="91"/>
      <c r="N92" s="94"/>
      <c r="O92" s="94"/>
      <c r="P92" s="95"/>
      <c r="Y92" s="54"/>
    </row>
    <row r="93" spans="1:26">
      <c r="A93" s="100"/>
      <c r="B93" s="93"/>
      <c r="C93" s="93"/>
      <c r="D93" s="93"/>
      <c r="E93" s="93"/>
      <c r="F93" s="93"/>
      <c r="G93" s="93"/>
      <c r="H93" s="93"/>
      <c r="I93" s="93"/>
      <c r="K93" s="92"/>
      <c r="L93" s="93"/>
      <c r="M93" s="91"/>
      <c r="N93" s="94"/>
      <c r="O93" s="94"/>
      <c r="P93" s="95"/>
      <c r="Y93" s="54"/>
    </row>
    <row r="94" spans="1:26">
      <c r="A94" s="100"/>
      <c r="B94" s="93"/>
      <c r="C94" s="93"/>
      <c r="D94" s="93"/>
      <c r="E94" s="93"/>
      <c r="F94" s="93"/>
      <c r="G94" s="93"/>
      <c r="H94" s="93"/>
      <c r="I94" s="93"/>
      <c r="K94" s="92"/>
      <c r="L94" s="93"/>
      <c r="M94" s="91"/>
      <c r="N94" s="94"/>
      <c r="O94" s="94"/>
      <c r="P94" s="95"/>
      <c r="Y94" s="54"/>
    </row>
    <row r="95" spans="1:26">
      <c r="A95" s="100"/>
      <c r="B95" s="93"/>
      <c r="C95" s="93"/>
      <c r="D95" s="93"/>
      <c r="E95" s="93"/>
      <c r="F95" s="93"/>
      <c r="G95" s="93"/>
      <c r="H95" s="93"/>
      <c r="I95" s="93"/>
      <c r="K95" s="92"/>
      <c r="L95" s="93"/>
      <c r="M95" s="91"/>
      <c r="N95" s="103"/>
      <c r="O95" s="94"/>
      <c r="P95" s="95"/>
      <c r="Y95" s="54"/>
    </row>
    <row r="96" spans="1:26">
      <c r="A96" s="100"/>
      <c r="B96" s="93"/>
      <c r="C96" s="93"/>
      <c r="D96" s="93"/>
      <c r="E96" s="93"/>
      <c r="F96" s="93"/>
      <c r="G96" s="93"/>
      <c r="H96" s="93"/>
      <c r="I96" s="93"/>
      <c r="K96" s="92"/>
      <c r="L96" s="93"/>
      <c r="M96" s="91"/>
      <c r="N96" s="94"/>
      <c r="O96" s="94"/>
      <c r="P96" s="95"/>
      <c r="Y96" s="54"/>
    </row>
    <row r="97" spans="1:25">
      <c r="A97" s="100"/>
      <c r="B97" s="93"/>
      <c r="C97" s="93"/>
      <c r="D97" s="93"/>
      <c r="E97" s="93"/>
      <c r="F97" s="93"/>
      <c r="G97" s="93"/>
      <c r="H97" s="93"/>
      <c r="I97" s="93"/>
      <c r="K97" s="92"/>
      <c r="L97" s="93"/>
      <c r="M97" s="91"/>
      <c r="N97" s="94"/>
      <c r="O97" s="94"/>
      <c r="P97" s="95"/>
      <c r="Y97" s="54"/>
    </row>
    <row r="98" spans="1:25">
      <c r="A98" s="100"/>
      <c r="B98" s="93"/>
      <c r="C98" s="93"/>
      <c r="D98" s="93"/>
      <c r="E98" s="93"/>
      <c r="F98" s="93"/>
      <c r="G98" s="93"/>
      <c r="H98" s="93"/>
      <c r="I98" s="93"/>
      <c r="K98" s="92"/>
      <c r="L98" s="93"/>
      <c r="M98" s="91"/>
      <c r="N98" s="94"/>
      <c r="O98" s="94"/>
      <c r="P98" s="95"/>
      <c r="Y98" s="54"/>
    </row>
    <row r="99" spans="1:25">
      <c r="A99" s="100"/>
      <c r="B99" s="93"/>
      <c r="C99" s="93"/>
      <c r="D99" s="93"/>
      <c r="E99" s="93"/>
      <c r="F99" s="93"/>
      <c r="G99" s="93"/>
      <c r="H99" s="93"/>
      <c r="I99" s="93"/>
      <c r="K99" s="92"/>
      <c r="L99" s="93"/>
      <c r="M99" s="91"/>
      <c r="N99" s="94"/>
      <c r="O99" s="94"/>
      <c r="P99" s="95"/>
      <c r="Y99" s="54"/>
    </row>
    <row r="100" spans="1:25">
      <c r="A100" s="100"/>
      <c r="B100" s="93"/>
      <c r="C100" s="93"/>
      <c r="D100" s="93"/>
      <c r="E100" s="93"/>
      <c r="F100" s="93"/>
      <c r="G100" s="93"/>
      <c r="H100" s="93"/>
      <c r="I100" s="93"/>
      <c r="K100" s="92"/>
      <c r="L100" s="93"/>
      <c r="M100" s="91"/>
      <c r="N100" s="94"/>
      <c r="O100" s="94"/>
      <c r="P100" s="95"/>
      <c r="Y100" s="54"/>
    </row>
    <row r="101" spans="1:25">
      <c r="A101" s="100"/>
      <c r="B101" s="93"/>
      <c r="C101" s="93"/>
      <c r="D101" s="93"/>
      <c r="E101" s="93"/>
      <c r="F101" s="93"/>
      <c r="G101" s="93"/>
      <c r="H101" s="93"/>
      <c r="I101" s="93"/>
      <c r="K101" s="92"/>
      <c r="L101" s="93"/>
      <c r="M101" s="91"/>
      <c r="N101" s="94"/>
      <c r="O101" s="94"/>
      <c r="P101" s="95"/>
      <c r="Y101" s="54"/>
    </row>
    <row r="102" spans="1:25">
      <c r="A102" s="100"/>
      <c r="B102" s="93"/>
      <c r="C102" s="93"/>
      <c r="D102" s="93"/>
      <c r="E102" s="93"/>
      <c r="F102" s="93"/>
      <c r="G102" s="93"/>
      <c r="H102" s="93"/>
      <c r="I102" s="93"/>
      <c r="K102" s="92"/>
      <c r="L102" s="93"/>
      <c r="M102" s="91"/>
      <c r="N102" s="94"/>
      <c r="O102" s="94"/>
      <c r="P102" s="95"/>
      <c r="Y102" s="54"/>
    </row>
    <row r="103" spans="1:25">
      <c r="A103" s="100"/>
      <c r="B103" s="93"/>
      <c r="C103" s="93"/>
      <c r="D103" s="93"/>
      <c r="E103" s="93"/>
      <c r="F103" s="93"/>
      <c r="G103" s="93"/>
      <c r="H103" s="93"/>
      <c r="I103" s="93"/>
      <c r="K103" s="92"/>
      <c r="L103" s="93"/>
      <c r="M103" s="91"/>
      <c r="N103" s="94"/>
      <c r="O103" s="94"/>
      <c r="P103" s="95"/>
      <c r="Y103" s="54"/>
    </row>
    <row r="104" spans="1:25">
      <c r="A104" s="100"/>
      <c r="B104" s="93"/>
      <c r="C104" s="93"/>
      <c r="D104" s="93"/>
      <c r="E104" s="93"/>
      <c r="F104" s="93"/>
      <c r="G104" s="93"/>
      <c r="H104" s="93"/>
      <c r="I104" s="93"/>
      <c r="K104" s="92"/>
      <c r="L104" s="93"/>
      <c r="M104" s="91"/>
      <c r="N104" s="94"/>
      <c r="O104" s="94"/>
      <c r="P104" s="95"/>
      <c r="Y104" s="54"/>
    </row>
    <row r="105" spans="1:25">
      <c r="A105" s="100"/>
      <c r="B105" s="93"/>
      <c r="C105" s="93"/>
      <c r="D105" s="93"/>
      <c r="E105" s="93"/>
      <c r="F105" s="93"/>
      <c r="G105" s="93"/>
      <c r="H105" s="93"/>
      <c r="I105" s="93"/>
      <c r="K105" s="92"/>
      <c r="L105" s="93"/>
      <c r="M105" s="91"/>
      <c r="N105" s="94"/>
      <c r="O105" s="94"/>
      <c r="P105" s="95"/>
      <c r="Y105" s="54"/>
    </row>
    <row r="106" spans="1:25">
      <c r="A106" s="100"/>
      <c r="B106" s="93"/>
      <c r="C106" s="93"/>
      <c r="D106" s="93"/>
      <c r="E106" s="93"/>
      <c r="F106" s="93"/>
      <c r="G106" s="93"/>
      <c r="H106" s="93"/>
      <c r="I106" s="93"/>
      <c r="K106" s="92"/>
      <c r="L106" s="93"/>
      <c r="M106" s="91"/>
      <c r="N106" s="94"/>
      <c r="O106" s="94"/>
      <c r="P106" s="95"/>
      <c r="Y106" s="54"/>
    </row>
    <row r="107" spans="1:25">
      <c r="A107" s="100"/>
      <c r="B107" s="93"/>
      <c r="C107" s="93"/>
      <c r="D107" s="93"/>
      <c r="E107" s="93"/>
      <c r="F107" s="93"/>
      <c r="G107" s="93"/>
      <c r="H107" s="93"/>
      <c r="I107" s="93"/>
      <c r="K107" s="92"/>
      <c r="L107" s="93"/>
      <c r="M107" s="91"/>
      <c r="N107" s="103"/>
      <c r="O107" s="94"/>
      <c r="P107" s="95"/>
      <c r="Y107" s="54"/>
    </row>
    <row r="108" spans="1:25">
      <c r="A108" s="100"/>
      <c r="B108" s="93"/>
      <c r="C108" s="93"/>
      <c r="D108" s="93"/>
      <c r="E108" s="93"/>
      <c r="F108" s="93"/>
      <c r="G108" s="93"/>
      <c r="H108" s="93"/>
      <c r="I108" s="93"/>
      <c r="K108" s="92"/>
      <c r="L108" s="93"/>
      <c r="M108" s="91"/>
      <c r="N108" s="94"/>
      <c r="O108" s="94"/>
      <c r="P108" s="95"/>
      <c r="Y108" s="54"/>
    </row>
    <row r="109" spans="1:25">
      <c r="A109" s="100"/>
      <c r="B109" s="93"/>
      <c r="C109" s="93"/>
      <c r="D109" s="93"/>
      <c r="E109" s="93"/>
      <c r="F109" s="93"/>
      <c r="G109" s="93"/>
      <c r="H109" s="93"/>
      <c r="I109" s="93"/>
      <c r="K109" s="92"/>
      <c r="L109" s="93"/>
      <c r="M109" s="91"/>
      <c r="N109" s="94"/>
      <c r="O109" s="94"/>
      <c r="P109" s="95"/>
      <c r="Y109" s="54"/>
    </row>
    <row r="110" spans="1:25">
      <c r="A110" s="100"/>
      <c r="B110" s="93"/>
      <c r="C110" s="93"/>
      <c r="D110" s="93"/>
      <c r="E110" s="93"/>
      <c r="F110" s="93"/>
      <c r="G110" s="93"/>
      <c r="H110" s="93"/>
      <c r="I110" s="93"/>
      <c r="K110" s="92"/>
      <c r="L110" s="93"/>
      <c r="M110" s="91"/>
      <c r="N110" s="94"/>
      <c r="O110" s="94"/>
      <c r="P110" s="95"/>
      <c r="Y110" s="54"/>
    </row>
    <row r="111" spans="1:25">
      <c r="A111" s="100"/>
      <c r="B111" s="93"/>
      <c r="C111" s="93"/>
      <c r="D111" s="93"/>
      <c r="E111" s="93"/>
      <c r="F111" s="93"/>
      <c r="G111" s="93"/>
      <c r="H111" s="93"/>
      <c r="I111" s="93"/>
      <c r="K111" s="92"/>
      <c r="L111" s="93"/>
      <c r="M111" s="91"/>
      <c r="N111" s="94"/>
      <c r="O111" s="94"/>
      <c r="P111" s="95"/>
      <c r="Y111" s="54"/>
    </row>
    <row r="112" spans="1:25">
      <c r="A112" s="100"/>
      <c r="B112" s="93"/>
      <c r="C112" s="93"/>
      <c r="D112" s="93"/>
      <c r="E112" s="93"/>
      <c r="F112" s="93"/>
      <c r="G112" s="93"/>
      <c r="H112" s="93"/>
      <c r="I112" s="93"/>
      <c r="K112" s="92"/>
      <c r="L112" s="93"/>
      <c r="M112" s="91"/>
      <c r="N112" s="94"/>
      <c r="O112" s="94"/>
      <c r="P112" s="95"/>
      <c r="Y112" s="54"/>
    </row>
    <row r="113" spans="1:25">
      <c r="A113" s="100"/>
      <c r="B113" s="93"/>
      <c r="C113" s="93"/>
      <c r="D113" s="93"/>
      <c r="E113" s="93"/>
      <c r="F113" s="93"/>
      <c r="G113" s="93"/>
      <c r="H113" s="93"/>
      <c r="I113" s="93"/>
      <c r="K113" s="92"/>
      <c r="L113" s="93"/>
      <c r="M113" s="91"/>
      <c r="N113" s="94"/>
      <c r="O113" s="94"/>
      <c r="P113" s="95"/>
      <c r="Y113" s="54"/>
    </row>
    <row r="114" spans="1:25">
      <c r="A114" s="100"/>
      <c r="B114" s="93"/>
      <c r="C114" s="93"/>
      <c r="D114" s="93"/>
      <c r="E114" s="93"/>
      <c r="F114" s="93"/>
      <c r="G114" s="93"/>
      <c r="H114" s="93"/>
      <c r="I114" s="93"/>
      <c r="K114" s="92"/>
      <c r="L114" s="93"/>
      <c r="M114" s="91"/>
      <c r="N114" s="94"/>
      <c r="O114" s="94"/>
      <c r="P114" s="95"/>
      <c r="Y114" s="54"/>
    </row>
    <row r="115" spans="1:25">
      <c r="A115" s="100"/>
      <c r="B115" s="93"/>
      <c r="C115" s="93"/>
      <c r="D115" s="93"/>
      <c r="E115" s="93"/>
      <c r="F115" s="93"/>
      <c r="G115" s="93"/>
      <c r="H115" s="93"/>
      <c r="I115" s="93"/>
      <c r="K115" s="92"/>
      <c r="L115" s="93"/>
      <c r="M115" s="91"/>
      <c r="N115" s="94"/>
      <c r="O115" s="94"/>
      <c r="P115" s="95"/>
      <c r="Y115" s="54"/>
    </row>
    <row r="116" spans="1:25">
      <c r="A116" s="100"/>
      <c r="B116" s="93"/>
      <c r="C116" s="93"/>
      <c r="D116" s="93"/>
      <c r="E116" s="93"/>
      <c r="F116" s="93"/>
      <c r="G116" s="93"/>
      <c r="H116" s="93"/>
      <c r="I116" s="93"/>
      <c r="K116" s="92"/>
      <c r="L116" s="93"/>
      <c r="M116" s="91"/>
      <c r="N116" s="94"/>
      <c r="O116" s="94"/>
      <c r="P116" s="95"/>
      <c r="Y116" s="54"/>
    </row>
    <row r="117" spans="1:25">
      <c r="A117" s="100"/>
      <c r="B117" s="93"/>
      <c r="C117" s="93"/>
      <c r="D117" s="93"/>
      <c r="E117" s="93"/>
      <c r="F117" s="93"/>
      <c r="G117" s="93"/>
      <c r="H117" s="93"/>
      <c r="I117" s="93"/>
      <c r="K117" s="92"/>
      <c r="L117" s="93"/>
      <c r="M117" s="91"/>
      <c r="N117" s="103"/>
      <c r="O117" s="94"/>
      <c r="P117" s="95"/>
      <c r="Y117" s="54"/>
    </row>
    <row r="118" spans="1:25">
      <c r="A118" s="100"/>
      <c r="B118" s="93"/>
      <c r="C118" s="93"/>
      <c r="D118" s="93"/>
      <c r="E118" s="93"/>
      <c r="F118" s="93"/>
      <c r="G118" s="93"/>
      <c r="H118" s="93"/>
      <c r="I118" s="93"/>
      <c r="K118" s="92"/>
      <c r="L118" s="93"/>
      <c r="M118" s="91"/>
      <c r="N118" s="94"/>
      <c r="O118" s="94"/>
      <c r="P118" s="95"/>
      <c r="Y118" s="54"/>
    </row>
    <row r="119" spans="1:25">
      <c r="A119" s="100"/>
      <c r="B119" s="93"/>
      <c r="C119" s="93"/>
      <c r="D119" s="93"/>
      <c r="E119" s="93"/>
      <c r="F119" s="93"/>
      <c r="G119" s="93"/>
      <c r="H119" s="93"/>
      <c r="I119" s="93"/>
      <c r="K119" s="92"/>
      <c r="L119" s="93"/>
      <c r="M119" s="91"/>
      <c r="N119" s="94"/>
      <c r="O119" s="94"/>
      <c r="P119" s="95"/>
      <c r="R119" s="99"/>
      <c r="S119" s="99"/>
      <c r="T119" s="99"/>
      <c r="Y119" s="96"/>
    </row>
    <row r="120" spans="1:25">
      <c r="A120" s="100"/>
      <c r="B120" s="93"/>
      <c r="C120" s="93"/>
      <c r="D120" s="93"/>
      <c r="E120" s="93"/>
      <c r="F120" s="93"/>
      <c r="G120" s="93"/>
      <c r="H120" s="93"/>
      <c r="I120" s="93"/>
      <c r="K120" s="92"/>
      <c r="L120" s="93"/>
      <c r="M120" s="91"/>
      <c r="N120" s="94"/>
      <c r="O120" s="94"/>
      <c r="P120" s="95"/>
      <c r="R120" s="99"/>
      <c r="S120" s="99"/>
      <c r="T120" s="99"/>
      <c r="Y120" s="96"/>
    </row>
    <row r="121" spans="1:25">
      <c r="A121" s="100"/>
      <c r="B121" s="93"/>
      <c r="C121" s="93"/>
      <c r="D121" s="93"/>
      <c r="E121" s="93"/>
      <c r="F121" s="93"/>
      <c r="G121" s="93"/>
      <c r="H121" s="93"/>
      <c r="I121" s="93"/>
      <c r="K121" s="92"/>
      <c r="L121" s="93"/>
      <c r="M121" s="91"/>
      <c r="N121" s="94"/>
      <c r="O121" s="94"/>
      <c r="P121" s="95"/>
      <c r="R121" s="99"/>
      <c r="S121" s="99"/>
      <c r="T121" s="99"/>
      <c r="Y121" s="96"/>
    </row>
    <row r="122" spans="1:25">
      <c r="A122" s="100"/>
      <c r="B122" s="93"/>
      <c r="C122" s="93"/>
      <c r="D122" s="93"/>
      <c r="E122" s="93"/>
      <c r="F122" s="93"/>
      <c r="G122" s="93"/>
      <c r="H122" s="93"/>
      <c r="I122" s="93"/>
      <c r="K122" s="92"/>
      <c r="L122" s="93"/>
      <c r="M122" s="91"/>
      <c r="N122" s="94"/>
      <c r="O122" s="94"/>
      <c r="P122" s="95"/>
      <c r="R122" s="99"/>
      <c r="S122" s="99"/>
      <c r="T122" s="99"/>
      <c r="Y122" s="96"/>
    </row>
    <row r="123" spans="1:25">
      <c r="A123" s="100"/>
      <c r="B123" s="93"/>
      <c r="C123" s="93"/>
      <c r="D123" s="93"/>
      <c r="E123" s="93"/>
      <c r="F123" s="93"/>
      <c r="G123" s="93"/>
      <c r="H123" s="93"/>
      <c r="I123" s="93"/>
      <c r="K123" s="92"/>
      <c r="L123" s="93"/>
      <c r="M123" s="91"/>
      <c r="N123" s="94"/>
      <c r="O123" s="94"/>
      <c r="P123" s="95"/>
      <c r="R123" s="99"/>
      <c r="S123" s="99"/>
      <c r="T123" s="99"/>
      <c r="Y123" s="96"/>
    </row>
    <row r="124" spans="1:25">
      <c r="A124" s="100"/>
      <c r="B124" s="93"/>
      <c r="C124" s="93"/>
      <c r="D124" s="93"/>
      <c r="E124" s="93"/>
      <c r="F124" s="93"/>
      <c r="G124" s="93"/>
      <c r="H124" s="93"/>
      <c r="I124" s="93"/>
      <c r="K124" s="92"/>
      <c r="L124" s="93"/>
      <c r="M124" s="91"/>
      <c r="N124" s="94"/>
      <c r="O124" s="94"/>
      <c r="P124" s="95"/>
      <c r="Y124" s="54"/>
    </row>
    <row r="125" spans="1:25">
      <c r="A125" s="100"/>
      <c r="B125" s="93"/>
      <c r="C125" s="93"/>
      <c r="D125" s="93"/>
      <c r="E125" s="93"/>
      <c r="F125" s="93"/>
      <c r="G125" s="93"/>
      <c r="H125" s="93"/>
      <c r="I125" s="93"/>
      <c r="K125" s="92"/>
      <c r="L125" s="93"/>
      <c r="M125" s="91"/>
      <c r="N125" s="94"/>
      <c r="O125" s="94"/>
      <c r="P125" s="95"/>
      <c r="Y125" s="54"/>
    </row>
    <row r="126" spans="1:25">
      <c r="A126" s="100"/>
      <c r="B126" s="93"/>
      <c r="C126" s="93"/>
      <c r="D126" s="93"/>
      <c r="E126" s="93"/>
      <c r="F126" s="93"/>
      <c r="G126" s="93"/>
      <c r="H126" s="93"/>
      <c r="I126" s="93"/>
      <c r="K126" s="92"/>
      <c r="L126" s="93"/>
      <c r="M126" s="91"/>
      <c r="N126" s="94"/>
      <c r="O126" s="94"/>
      <c r="P126" s="95"/>
      <c r="Y126" s="54"/>
    </row>
    <row r="127" spans="1:25">
      <c r="A127" s="100"/>
      <c r="B127" s="93"/>
      <c r="C127" s="93"/>
      <c r="D127" s="93"/>
      <c r="E127" s="93"/>
      <c r="F127" s="93"/>
      <c r="G127" s="93"/>
      <c r="H127" s="93"/>
      <c r="I127" s="93"/>
      <c r="K127" s="92"/>
      <c r="L127" s="93"/>
      <c r="M127" s="91"/>
      <c r="N127" s="94"/>
      <c r="O127" s="94"/>
      <c r="P127" s="95"/>
      <c r="Y127" s="54"/>
    </row>
    <row r="128" spans="1:25">
      <c r="A128" s="100"/>
      <c r="B128" s="93"/>
      <c r="C128" s="93"/>
      <c r="D128" s="93"/>
      <c r="E128" s="93"/>
      <c r="F128" s="93"/>
      <c r="G128" s="93"/>
      <c r="H128" s="93"/>
      <c r="I128" s="93"/>
      <c r="K128" s="92"/>
      <c r="L128" s="93"/>
      <c r="M128" s="91"/>
      <c r="N128" s="94"/>
      <c r="O128" s="94"/>
      <c r="P128" s="95"/>
      <c r="Y128" s="54"/>
    </row>
    <row r="129" spans="1:25">
      <c r="A129" s="100"/>
      <c r="B129" s="93"/>
      <c r="C129" s="93"/>
      <c r="D129" s="93"/>
      <c r="E129" s="93"/>
      <c r="F129" s="93"/>
      <c r="G129" s="93"/>
      <c r="H129" s="93"/>
      <c r="I129" s="93"/>
      <c r="K129" s="92"/>
      <c r="L129" s="93"/>
      <c r="M129" s="91"/>
      <c r="N129" s="94"/>
      <c r="O129" s="94"/>
      <c r="P129" s="95"/>
      <c r="Y129" s="54"/>
    </row>
    <row r="130" spans="1:25">
      <c r="A130" s="100"/>
      <c r="B130" s="93"/>
      <c r="C130" s="93"/>
      <c r="D130" s="93"/>
      <c r="E130" s="93"/>
      <c r="F130" s="93"/>
      <c r="G130" s="93"/>
      <c r="H130" s="93"/>
      <c r="I130" s="93"/>
      <c r="K130" s="92"/>
      <c r="L130" s="93"/>
      <c r="M130" s="91"/>
      <c r="N130" s="94"/>
      <c r="O130" s="94"/>
      <c r="P130" s="95"/>
      <c r="Y130" s="54"/>
    </row>
    <row r="131" spans="1:25">
      <c r="A131" s="100"/>
      <c r="B131" s="93"/>
      <c r="C131" s="93"/>
      <c r="D131" s="93"/>
      <c r="E131" s="93"/>
      <c r="F131" s="93"/>
      <c r="G131" s="93"/>
      <c r="H131" s="93"/>
      <c r="I131" s="93"/>
      <c r="K131" s="92"/>
      <c r="L131" s="93"/>
      <c r="M131" s="91"/>
      <c r="N131" s="94"/>
      <c r="O131" s="94"/>
      <c r="P131" s="95"/>
      <c r="Y131" s="54"/>
    </row>
    <row r="132" spans="1:25">
      <c r="A132" s="100"/>
      <c r="B132" s="93"/>
      <c r="C132" s="93"/>
      <c r="D132" s="93"/>
      <c r="E132" s="93"/>
      <c r="F132" s="93"/>
      <c r="G132" s="93"/>
      <c r="H132" s="93"/>
      <c r="I132" s="93"/>
      <c r="K132" s="92"/>
      <c r="L132" s="93"/>
      <c r="M132" s="91"/>
      <c r="N132" s="94"/>
      <c r="O132" s="94"/>
      <c r="P132" s="95"/>
      <c r="Y132" s="54"/>
    </row>
    <row r="133" spans="1:25">
      <c r="A133" s="100"/>
      <c r="B133" s="93"/>
      <c r="C133" s="93"/>
      <c r="D133" s="93"/>
      <c r="E133" s="93"/>
      <c r="F133" s="93"/>
      <c r="G133" s="93"/>
      <c r="H133" s="93"/>
      <c r="I133" s="93"/>
      <c r="K133" s="92"/>
      <c r="L133" s="93"/>
      <c r="M133" s="91"/>
      <c r="N133" s="94"/>
      <c r="O133" s="94"/>
      <c r="P133" s="95"/>
      <c r="Y133" s="54"/>
    </row>
    <row r="134" spans="1:25">
      <c r="A134" s="100"/>
      <c r="B134" s="93"/>
      <c r="C134" s="93"/>
      <c r="D134" s="93"/>
      <c r="E134" s="93"/>
      <c r="F134" s="93"/>
      <c r="G134" s="93"/>
      <c r="H134" s="93"/>
      <c r="I134" s="93"/>
      <c r="K134" s="92"/>
      <c r="L134" s="93"/>
      <c r="M134" s="91"/>
      <c r="N134" s="94"/>
      <c r="O134" s="94"/>
      <c r="P134" s="95"/>
      <c r="Y134" s="54"/>
    </row>
    <row r="135" spans="1:25">
      <c r="A135" s="100"/>
      <c r="B135" s="93"/>
      <c r="C135" s="93"/>
      <c r="D135" s="93"/>
      <c r="E135" s="93"/>
      <c r="F135" s="93"/>
      <c r="G135" s="93"/>
      <c r="H135" s="93"/>
      <c r="I135" s="93"/>
      <c r="K135" s="92"/>
      <c r="L135" s="93"/>
      <c r="M135" s="91"/>
      <c r="N135" s="94"/>
      <c r="O135" s="94"/>
      <c r="P135" s="95"/>
      <c r="Y135" s="54"/>
    </row>
    <row r="136" spans="1:25">
      <c r="A136" s="100"/>
      <c r="B136" s="93"/>
      <c r="C136" s="93"/>
      <c r="D136" s="93"/>
      <c r="E136" s="93"/>
      <c r="F136" s="93"/>
      <c r="G136" s="93"/>
      <c r="H136" s="93"/>
      <c r="I136" s="93"/>
      <c r="K136" s="92"/>
      <c r="L136" s="93"/>
      <c r="M136" s="91"/>
      <c r="N136" s="94"/>
      <c r="O136" s="94"/>
      <c r="P136" s="95"/>
      <c r="Y136" s="54"/>
    </row>
    <row r="137" spans="1:25">
      <c r="A137" s="100"/>
      <c r="B137" s="93"/>
      <c r="C137" s="93"/>
      <c r="D137" s="93"/>
      <c r="E137" s="93"/>
      <c r="F137" s="93"/>
      <c r="G137" s="93"/>
      <c r="H137" s="93"/>
      <c r="I137" s="93"/>
      <c r="K137" s="92"/>
      <c r="L137" s="93"/>
      <c r="M137" s="91"/>
      <c r="N137" s="94"/>
      <c r="O137" s="94"/>
      <c r="P137" s="95"/>
      <c r="Y137" s="54"/>
    </row>
    <row r="138" spans="1:25">
      <c r="A138" s="100"/>
      <c r="B138" s="93"/>
      <c r="C138" s="93"/>
      <c r="D138" s="93"/>
      <c r="E138" s="93"/>
      <c r="F138" s="93"/>
      <c r="G138" s="93"/>
      <c r="H138" s="93"/>
      <c r="I138" s="93"/>
      <c r="K138" s="92"/>
      <c r="L138" s="93"/>
      <c r="M138" s="91"/>
      <c r="N138" s="94"/>
      <c r="O138" s="94"/>
      <c r="P138" s="95"/>
      <c r="Y138" s="54"/>
    </row>
    <row r="139" spans="1:25">
      <c r="A139" s="100"/>
      <c r="B139" s="93"/>
      <c r="C139" s="93"/>
      <c r="D139" s="93"/>
      <c r="E139" s="93"/>
      <c r="F139" s="93"/>
      <c r="G139" s="93"/>
      <c r="H139" s="93"/>
      <c r="I139" s="93"/>
      <c r="K139" s="92"/>
      <c r="L139" s="93"/>
      <c r="M139" s="91"/>
      <c r="N139" s="94"/>
      <c r="O139" s="94"/>
      <c r="P139" s="95"/>
      <c r="Y139" s="54"/>
    </row>
    <row r="140" spans="1:25">
      <c r="A140" s="100"/>
      <c r="B140" s="93"/>
      <c r="C140" s="93"/>
      <c r="D140" s="93"/>
      <c r="E140" s="93"/>
      <c r="F140" s="93"/>
      <c r="G140" s="93"/>
      <c r="H140" s="93"/>
      <c r="I140" s="93"/>
      <c r="K140" s="92"/>
      <c r="L140" s="93"/>
      <c r="M140" s="91"/>
      <c r="N140" s="94"/>
      <c r="O140" s="94"/>
      <c r="P140" s="95"/>
      <c r="Y140" s="54"/>
    </row>
    <row r="141" spans="1:25">
      <c r="A141" s="100"/>
      <c r="B141" s="93"/>
      <c r="C141" s="93"/>
      <c r="D141" s="93"/>
      <c r="E141" s="93"/>
      <c r="F141" s="93"/>
      <c r="G141" s="93"/>
      <c r="H141" s="93"/>
      <c r="I141" s="93"/>
      <c r="K141" s="92"/>
      <c r="L141" s="93"/>
      <c r="M141" s="91"/>
      <c r="N141" s="94"/>
      <c r="O141" s="94"/>
      <c r="P141" s="95"/>
      <c r="Y141" s="54"/>
    </row>
    <row r="142" spans="1:25">
      <c r="A142" s="100"/>
      <c r="B142" s="93"/>
      <c r="C142" s="93"/>
      <c r="D142" s="93"/>
      <c r="E142" s="93"/>
      <c r="F142" s="93"/>
      <c r="G142" s="93"/>
      <c r="H142" s="93"/>
      <c r="I142" s="93"/>
      <c r="K142" s="92"/>
      <c r="L142" s="93"/>
      <c r="M142" s="91"/>
      <c r="N142" s="94"/>
      <c r="O142" s="94"/>
      <c r="P142" s="95"/>
      <c r="Y142" s="54"/>
    </row>
    <row r="143" spans="1:25">
      <c r="A143" s="100"/>
      <c r="B143" s="93"/>
      <c r="C143" s="93"/>
      <c r="D143" s="93"/>
      <c r="E143" s="93"/>
      <c r="F143" s="93"/>
      <c r="G143" s="93"/>
      <c r="H143" s="93"/>
      <c r="I143" s="93"/>
      <c r="K143" s="92"/>
      <c r="L143" s="93"/>
      <c r="M143" s="91"/>
      <c r="N143" s="94"/>
      <c r="O143" s="94"/>
      <c r="P143" s="95"/>
      <c r="Y143" s="54"/>
    </row>
    <row r="144" spans="1:25">
      <c r="A144" s="100"/>
      <c r="B144" s="93"/>
      <c r="C144" s="93"/>
      <c r="D144" s="93"/>
      <c r="E144" s="93"/>
      <c r="F144" s="93"/>
      <c r="G144" s="93"/>
      <c r="H144" s="93"/>
      <c r="I144" s="93"/>
      <c r="K144" s="92"/>
      <c r="L144" s="93"/>
      <c r="M144" s="91"/>
      <c r="N144" s="94"/>
      <c r="O144" s="94"/>
      <c r="P144" s="95"/>
      <c r="Y144" s="54"/>
    </row>
    <row r="145" spans="1:25">
      <c r="A145" s="100"/>
      <c r="B145" s="93"/>
      <c r="C145" s="93"/>
      <c r="D145" s="93"/>
      <c r="E145" s="93"/>
      <c r="F145" s="93"/>
      <c r="G145" s="93"/>
      <c r="H145" s="93"/>
      <c r="I145" s="93"/>
      <c r="K145" s="92"/>
      <c r="L145" s="93"/>
      <c r="M145" s="91"/>
      <c r="N145" s="94"/>
      <c r="O145" s="94"/>
      <c r="P145" s="95"/>
      <c r="Y145" s="54"/>
    </row>
    <row r="146" spans="1:25">
      <c r="A146" s="100"/>
      <c r="B146" s="93"/>
      <c r="C146" s="93"/>
      <c r="D146" s="93"/>
      <c r="E146" s="93"/>
      <c r="F146" s="93"/>
      <c r="G146" s="93"/>
      <c r="H146" s="93"/>
      <c r="I146" s="93"/>
      <c r="K146" s="92"/>
      <c r="L146" s="93"/>
      <c r="M146" s="91"/>
      <c r="N146" s="94"/>
      <c r="O146" s="94"/>
      <c r="P146" s="95"/>
      <c r="Y146" s="54"/>
    </row>
    <row r="147" spans="1:25">
      <c r="A147" s="100"/>
      <c r="B147" s="93"/>
      <c r="C147" s="93"/>
      <c r="D147" s="93"/>
      <c r="E147" s="93"/>
      <c r="F147" s="93"/>
      <c r="G147" s="93"/>
      <c r="H147" s="93"/>
      <c r="I147" s="93"/>
      <c r="K147" s="92"/>
      <c r="L147" s="93"/>
      <c r="M147" s="91"/>
      <c r="N147" s="94"/>
      <c r="O147" s="94"/>
      <c r="P147" s="95"/>
      <c r="Y147" s="54"/>
    </row>
    <row r="148" spans="1:25">
      <c r="A148" s="100"/>
      <c r="B148" s="93"/>
      <c r="C148" s="93"/>
      <c r="D148" s="93"/>
      <c r="E148" s="93"/>
      <c r="F148" s="93"/>
      <c r="G148" s="93"/>
      <c r="H148" s="93"/>
      <c r="I148" s="93"/>
      <c r="K148" s="92"/>
      <c r="L148" s="93"/>
      <c r="M148" s="91"/>
      <c r="N148" s="94"/>
      <c r="O148" s="94"/>
      <c r="P148" s="95"/>
      <c r="Y148" s="54"/>
    </row>
    <row r="149" spans="1:25">
      <c r="A149" s="100"/>
      <c r="B149" s="93"/>
      <c r="C149" s="93"/>
      <c r="D149" s="93"/>
      <c r="E149" s="93"/>
      <c r="F149" s="93"/>
      <c r="G149" s="93"/>
      <c r="H149" s="93"/>
      <c r="I149" s="93"/>
      <c r="K149" s="92"/>
      <c r="L149" s="93"/>
      <c r="M149" s="91"/>
      <c r="N149" s="94"/>
      <c r="O149" s="94"/>
      <c r="P149" s="95"/>
      <c r="Y149" s="54"/>
    </row>
    <row r="150" spans="1:25">
      <c r="A150" s="100"/>
      <c r="B150" s="93"/>
      <c r="C150" s="93"/>
      <c r="D150" s="93"/>
      <c r="E150" s="93"/>
      <c r="F150" s="93"/>
      <c r="G150" s="93"/>
      <c r="H150" s="93"/>
      <c r="I150" s="93"/>
      <c r="K150" s="92"/>
      <c r="L150" s="93"/>
      <c r="M150" s="91"/>
      <c r="N150" s="94"/>
      <c r="O150" s="94"/>
      <c r="P150" s="95"/>
      <c r="Y150" s="54"/>
    </row>
    <row r="151" spans="1:25">
      <c r="A151" s="100"/>
      <c r="B151" s="93"/>
      <c r="C151" s="93"/>
      <c r="D151" s="93"/>
      <c r="E151" s="93"/>
      <c r="F151" s="93"/>
      <c r="G151" s="93"/>
      <c r="H151" s="93"/>
      <c r="I151" s="93"/>
      <c r="K151" s="92"/>
      <c r="L151" s="93"/>
      <c r="M151" s="91"/>
      <c r="N151" s="94"/>
      <c r="O151" s="94"/>
      <c r="P151" s="95"/>
      <c r="Y151" s="54"/>
    </row>
    <row r="152" spans="1:25">
      <c r="A152" s="100"/>
      <c r="B152" s="93"/>
      <c r="C152" s="93"/>
      <c r="D152" s="93"/>
      <c r="E152" s="93"/>
      <c r="F152" s="93"/>
      <c r="G152" s="93"/>
      <c r="H152" s="93"/>
      <c r="I152" s="93"/>
      <c r="K152" s="92"/>
      <c r="L152" s="93"/>
      <c r="M152" s="91"/>
      <c r="N152" s="94"/>
      <c r="O152" s="94"/>
      <c r="P152" s="95"/>
      <c r="Y152" s="54"/>
    </row>
    <row r="153" spans="1:25">
      <c r="A153" s="100"/>
      <c r="B153" s="93"/>
      <c r="C153" s="93"/>
      <c r="D153" s="93"/>
      <c r="E153" s="93"/>
      <c r="F153" s="93"/>
      <c r="G153" s="93"/>
      <c r="H153" s="93"/>
      <c r="I153" s="93"/>
      <c r="K153" s="92"/>
      <c r="L153" s="93"/>
      <c r="M153" s="91"/>
      <c r="N153" s="94"/>
      <c r="O153" s="94"/>
      <c r="P153" s="95"/>
      <c r="Y153" s="54"/>
    </row>
    <row r="154" spans="1:25">
      <c r="A154" s="100"/>
      <c r="B154" s="93"/>
      <c r="C154" s="93"/>
      <c r="D154" s="93"/>
      <c r="E154" s="93"/>
      <c r="F154" s="93"/>
      <c r="G154" s="93"/>
      <c r="H154" s="93"/>
      <c r="I154" s="93"/>
      <c r="K154" s="92"/>
      <c r="L154" s="93"/>
      <c r="M154" s="91"/>
      <c r="N154" s="94"/>
      <c r="O154" s="94"/>
      <c r="P154" s="95"/>
      <c r="Y154" s="54"/>
    </row>
    <row r="155" spans="1:25">
      <c r="A155" s="100"/>
      <c r="B155" s="93"/>
      <c r="C155" s="93"/>
      <c r="D155" s="93"/>
      <c r="E155" s="93"/>
      <c r="F155" s="93"/>
      <c r="G155" s="93"/>
      <c r="H155" s="93"/>
      <c r="I155" s="93"/>
      <c r="K155" s="92"/>
      <c r="L155" s="93"/>
      <c r="M155" s="91"/>
      <c r="N155" s="94"/>
      <c r="O155" s="94"/>
      <c r="P155" s="95"/>
      <c r="Y155" s="54"/>
    </row>
    <row r="156" spans="1:25">
      <c r="A156" s="100"/>
      <c r="B156" s="93"/>
      <c r="C156" s="93"/>
      <c r="D156" s="93"/>
      <c r="E156" s="93"/>
      <c r="F156" s="93"/>
      <c r="G156" s="93"/>
      <c r="H156" s="93"/>
      <c r="I156" s="93"/>
      <c r="K156" s="92"/>
      <c r="L156" s="93"/>
      <c r="M156" s="91"/>
      <c r="N156" s="94"/>
      <c r="O156" s="94"/>
      <c r="P156" s="95"/>
      <c r="Y156" s="54"/>
    </row>
    <row r="157" spans="1:25">
      <c r="A157" s="100"/>
      <c r="B157" s="93"/>
      <c r="C157" s="93"/>
      <c r="D157" s="93"/>
      <c r="E157" s="93"/>
      <c r="F157" s="93"/>
      <c r="G157" s="93"/>
      <c r="H157" s="93"/>
      <c r="I157" s="93"/>
      <c r="K157" s="92"/>
      <c r="L157" s="93"/>
      <c r="M157" s="91"/>
      <c r="N157" s="94"/>
      <c r="O157" s="94"/>
      <c r="P157" s="95"/>
      <c r="Y157" s="54"/>
    </row>
    <row r="158" spans="1:25">
      <c r="A158" s="100"/>
      <c r="B158" s="93"/>
      <c r="C158" s="93"/>
      <c r="D158" s="93"/>
      <c r="E158" s="93"/>
      <c r="F158" s="93"/>
      <c r="G158" s="93"/>
      <c r="H158" s="93"/>
      <c r="I158" s="93"/>
      <c r="K158" s="92"/>
      <c r="L158" s="93"/>
      <c r="M158" s="91"/>
      <c r="N158" s="94"/>
      <c r="O158" s="94"/>
      <c r="P158" s="95"/>
      <c r="Y158" s="54"/>
    </row>
    <row r="159" spans="1:25">
      <c r="A159" s="100"/>
      <c r="B159" s="93"/>
      <c r="C159" s="93"/>
      <c r="D159" s="93"/>
      <c r="E159" s="93"/>
      <c r="F159" s="93"/>
      <c r="G159" s="93"/>
      <c r="H159" s="93"/>
      <c r="I159" s="93"/>
      <c r="K159" s="92"/>
      <c r="L159" s="93"/>
      <c r="M159" s="91"/>
      <c r="N159" s="94"/>
      <c r="O159" s="94"/>
      <c r="P159" s="95"/>
      <c r="Y159" s="54"/>
    </row>
    <row r="160" spans="1:25">
      <c r="A160" s="100"/>
      <c r="B160" s="93"/>
      <c r="C160" s="93"/>
      <c r="D160" s="93"/>
      <c r="E160" s="93"/>
      <c r="F160" s="93"/>
      <c r="G160" s="93"/>
      <c r="H160" s="93"/>
      <c r="I160" s="93"/>
      <c r="K160" s="92"/>
      <c r="L160" s="93"/>
      <c r="M160" s="91"/>
      <c r="N160" s="94"/>
      <c r="O160" s="94"/>
      <c r="P160" s="95"/>
      <c r="Y160" s="54"/>
    </row>
    <row r="161" spans="1:25">
      <c r="A161" s="100"/>
      <c r="B161" s="93"/>
      <c r="C161" s="93"/>
      <c r="D161" s="93"/>
      <c r="E161" s="93"/>
      <c r="F161" s="93"/>
      <c r="G161" s="93"/>
      <c r="H161" s="93"/>
      <c r="I161" s="93"/>
      <c r="K161" s="92"/>
      <c r="L161" s="93"/>
      <c r="M161" s="91"/>
      <c r="N161" s="94"/>
      <c r="O161" s="94"/>
      <c r="P161" s="95"/>
      <c r="Y161" s="54"/>
    </row>
    <row r="162" spans="1:25">
      <c r="A162" s="100"/>
      <c r="B162" s="93"/>
      <c r="C162" s="93"/>
      <c r="D162" s="93"/>
      <c r="E162" s="93"/>
      <c r="F162" s="93"/>
      <c r="G162" s="93"/>
      <c r="H162" s="93"/>
      <c r="I162" s="93"/>
      <c r="K162" s="92"/>
      <c r="L162" s="93"/>
      <c r="M162" s="91"/>
      <c r="N162" s="94"/>
      <c r="O162" s="94"/>
      <c r="P162" s="95"/>
      <c r="Y162" s="54"/>
    </row>
    <row r="163" spans="1:25">
      <c r="A163" s="100"/>
      <c r="B163" s="93"/>
      <c r="C163" s="93"/>
      <c r="D163" s="93"/>
      <c r="E163" s="93"/>
      <c r="F163" s="93"/>
      <c r="G163" s="93"/>
      <c r="H163" s="93"/>
      <c r="I163" s="93"/>
      <c r="K163" s="92"/>
      <c r="L163" s="93"/>
      <c r="M163" s="91"/>
      <c r="N163" s="94"/>
      <c r="O163" s="94"/>
      <c r="P163" s="95"/>
      <c r="Y163" s="54"/>
    </row>
    <row r="164" spans="1:25">
      <c r="A164" s="100"/>
      <c r="B164" s="93"/>
      <c r="C164" s="93"/>
      <c r="D164" s="93"/>
      <c r="E164" s="93"/>
      <c r="F164" s="93"/>
      <c r="G164" s="93"/>
      <c r="H164" s="93"/>
      <c r="I164" s="93"/>
      <c r="K164" s="92"/>
      <c r="L164" s="93"/>
      <c r="M164" s="91"/>
      <c r="N164" s="94"/>
      <c r="O164" s="94"/>
      <c r="P164" s="95"/>
      <c r="Y164" s="54"/>
    </row>
    <row r="165" spans="1:25">
      <c r="A165" s="100"/>
      <c r="B165" s="93"/>
      <c r="C165" s="93"/>
      <c r="D165" s="93"/>
      <c r="E165" s="93"/>
      <c r="F165" s="93"/>
      <c r="G165" s="93"/>
      <c r="H165" s="93"/>
      <c r="I165" s="93"/>
      <c r="K165" s="92"/>
      <c r="L165" s="93"/>
      <c r="M165" s="91"/>
      <c r="N165" s="94"/>
      <c r="O165" s="94"/>
      <c r="P165" s="95"/>
      <c r="Y165" s="54"/>
    </row>
    <row r="166" spans="1:25">
      <c r="A166" s="100"/>
      <c r="B166" s="93"/>
      <c r="C166" s="93"/>
      <c r="D166" s="93"/>
      <c r="E166" s="93"/>
      <c r="F166" s="93"/>
      <c r="G166" s="93"/>
      <c r="H166" s="93"/>
      <c r="I166" s="93"/>
      <c r="K166" s="92"/>
      <c r="L166" s="93"/>
      <c r="M166" s="91"/>
      <c r="N166" s="94"/>
      <c r="O166" s="94"/>
      <c r="P166" s="95"/>
      <c r="Y166" s="54"/>
    </row>
    <row r="167" spans="1:25">
      <c r="A167" s="100"/>
      <c r="B167" s="93"/>
      <c r="C167" s="93"/>
      <c r="D167" s="93"/>
      <c r="E167" s="93"/>
      <c r="F167" s="93"/>
      <c r="G167" s="93"/>
      <c r="H167" s="93"/>
      <c r="I167" s="93"/>
      <c r="K167" s="92"/>
      <c r="L167" s="93"/>
      <c r="M167" s="91"/>
      <c r="N167" s="94"/>
      <c r="O167" s="94"/>
      <c r="P167" s="95"/>
      <c r="Y167" s="54"/>
    </row>
    <row r="168" spans="1:25">
      <c r="A168" s="100"/>
      <c r="B168" s="93"/>
      <c r="C168" s="93"/>
      <c r="D168" s="93"/>
      <c r="E168" s="93"/>
      <c r="F168" s="93"/>
      <c r="G168" s="93"/>
      <c r="H168" s="93"/>
      <c r="I168" s="93"/>
      <c r="K168" s="92"/>
      <c r="L168" s="93"/>
      <c r="M168" s="91"/>
      <c r="N168" s="94"/>
      <c r="O168" s="94"/>
      <c r="P168" s="95"/>
      <c r="Y168" s="96"/>
    </row>
    <row r="169" spans="1:25">
      <c r="A169" s="100"/>
      <c r="B169" s="93"/>
      <c r="C169" s="93"/>
      <c r="D169" s="93"/>
      <c r="E169" s="93"/>
      <c r="F169" s="93"/>
      <c r="G169" s="93"/>
      <c r="H169" s="93"/>
      <c r="I169" s="93"/>
      <c r="K169" s="92"/>
      <c r="L169" s="93"/>
      <c r="M169" s="91"/>
      <c r="N169" s="94"/>
      <c r="O169" s="94"/>
      <c r="P169" s="95"/>
      <c r="S169" s="90"/>
      <c r="T169" s="93"/>
      <c r="U169" s="90"/>
      <c r="V169" s="93"/>
      <c r="X169" s="93"/>
      <c r="Y169" s="96"/>
    </row>
    <row r="170" spans="1:25">
      <c r="A170" s="100"/>
      <c r="B170" s="93"/>
      <c r="C170" s="93"/>
      <c r="D170" s="93"/>
      <c r="E170" s="93"/>
      <c r="F170" s="93"/>
      <c r="G170" s="93"/>
      <c r="H170" s="93"/>
      <c r="I170" s="93"/>
      <c r="K170" s="92"/>
      <c r="L170" s="93"/>
      <c r="M170" s="91"/>
      <c r="N170" s="94"/>
      <c r="O170" s="94"/>
      <c r="P170" s="95"/>
      <c r="Y170" s="96"/>
    </row>
    <row r="171" spans="1:25">
      <c r="A171" s="100"/>
      <c r="B171" s="93"/>
      <c r="C171" s="93"/>
      <c r="D171" s="93"/>
      <c r="E171" s="93"/>
      <c r="F171" s="93"/>
      <c r="G171" s="93"/>
      <c r="H171" s="93"/>
      <c r="I171" s="93"/>
      <c r="K171" s="92"/>
      <c r="L171" s="93"/>
      <c r="M171" s="91"/>
      <c r="N171" s="94"/>
      <c r="O171" s="94"/>
      <c r="P171" s="95"/>
      <c r="Y171" s="96"/>
    </row>
    <row r="172" spans="1:25">
      <c r="A172" s="100"/>
      <c r="B172" s="93"/>
      <c r="C172" s="93"/>
      <c r="D172" s="93"/>
      <c r="E172" s="93"/>
      <c r="F172" s="93"/>
      <c r="G172" s="93"/>
      <c r="H172" s="93"/>
      <c r="I172" s="93"/>
      <c r="K172" s="92"/>
      <c r="L172" s="93"/>
      <c r="M172" s="91"/>
      <c r="N172" s="94"/>
      <c r="O172" s="94"/>
      <c r="P172" s="104"/>
      <c r="Y172" s="96"/>
    </row>
    <row r="173" spans="1:25">
      <c r="A173" s="100"/>
      <c r="B173" s="93"/>
      <c r="C173" s="93"/>
      <c r="D173" s="93"/>
      <c r="E173" s="93"/>
      <c r="F173" s="93"/>
      <c r="G173" s="93"/>
      <c r="H173" s="93"/>
      <c r="I173" s="93"/>
      <c r="K173" s="92"/>
      <c r="L173" s="93"/>
      <c r="M173" s="91"/>
      <c r="N173" s="103"/>
      <c r="O173" s="94"/>
      <c r="P173" s="104"/>
      <c r="Y173" s="96"/>
    </row>
    <row r="174" spans="1:25">
      <c r="A174" s="100"/>
      <c r="B174" s="93"/>
      <c r="C174" s="93"/>
      <c r="D174" s="93"/>
      <c r="E174" s="93"/>
      <c r="F174" s="93"/>
      <c r="G174" s="93"/>
      <c r="H174" s="93"/>
      <c r="I174" s="93"/>
      <c r="K174" s="92"/>
      <c r="L174" s="93"/>
      <c r="M174" s="91"/>
      <c r="N174" s="103"/>
      <c r="O174" s="94"/>
      <c r="P174" s="104"/>
      <c r="Y174" s="96"/>
    </row>
    <row r="175" spans="1:25">
      <c r="A175" s="100"/>
      <c r="B175" s="93"/>
      <c r="C175" s="93"/>
      <c r="D175" s="93"/>
      <c r="E175" s="93"/>
      <c r="F175" s="93"/>
      <c r="G175" s="93"/>
      <c r="H175" s="93"/>
      <c r="I175" s="93"/>
      <c r="K175" s="92"/>
      <c r="L175" s="93"/>
      <c r="M175" s="91"/>
      <c r="N175" s="103"/>
      <c r="O175" s="94"/>
      <c r="P175" s="104"/>
      <c r="Y175" s="96"/>
    </row>
    <row r="176" spans="1:25">
      <c r="A176" s="100"/>
      <c r="B176" s="93"/>
      <c r="C176" s="93"/>
      <c r="D176" s="93"/>
      <c r="E176" s="93"/>
      <c r="F176" s="93"/>
      <c r="G176" s="93"/>
      <c r="H176" s="93"/>
      <c r="I176" s="93"/>
      <c r="K176" s="92"/>
      <c r="L176" s="93"/>
      <c r="M176" s="91"/>
      <c r="N176" s="103"/>
      <c r="O176" s="94"/>
      <c r="P176" s="104"/>
      <c r="Y176" s="96"/>
    </row>
    <row r="177" spans="1:25">
      <c r="A177" s="100"/>
      <c r="B177" s="93"/>
      <c r="C177" s="93"/>
      <c r="D177" s="93"/>
      <c r="E177" s="93"/>
      <c r="F177" s="93"/>
      <c r="G177" s="93"/>
      <c r="H177" s="93"/>
      <c r="I177" s="93"/>
      <c r="K177" s="92"/>
      <c r="L177" s="93"/>
      <c r="M177" s="91"/>
      <c r="N177" s="103"/>
      <c r="O177" s="94"/>
      <c r="P177" s="104"/>
      <c r="Y177" s="96"/>
    </row>
    <row r="178" spans="1:25">
      <c r="A178" s="100"/>
      <c r="B178" s="93"/>
      <c r="C178" s="93"/>
      <c r="D178" s="93"/>
      <c r="E178" s="93"/>
      <c r="F178" s="93"/>
      <c r="G178" s="93"/>
      <c r="H178" s="93"/>
      <c r="I178" s="93"/>
      <c r="K178" s="92"/>
      <c r="L178" s="93"/>
      <c r="M178" s="91"/>
      <c r="N178" s="103"/>
      <c r="O178" s="94"/>
      <c r="P178" s="104"/>
      <c r="Y178" s="96"/>
    </row>
    <row r="179" spans="1:25">
      <c r="A179" s="100"/>
      <c r="B179" s="93"/>
      <c r="C179" s="93"/>
      <c r="D179" s="93"/>
      <c r="E179" s="93"/>
      <c r="F179" s="93"/>
      <c r="G179" s="93"/>
      <c r="H179" s="93"/>
      <c r="I179" s="93"/>
      <c r="K179" s="92"/>
      <c r="L179" s="93"/>
      <c r="M179" s="91"/>
      <c r="N179" s="103"/>
      <c r="O179" s="94"/>
      <c r="P179" s="104"/>
      <c r="Y179" s="96"/>
    </row>
    <row r="180" spans="1:25">
      <c r="A180" s="100"/>
      <c r="B180" s="93"/>
      <c r="C180" s="93"/>
      <c r="D180" s="93"/>
      <c r="E180" s="93"/>
      <c r="F180" s="93"/>
      <c r="G180" s="93"/>
      <c r="H180" s="93"/>
      <c r="I180" s="93"/>
      <c r="K180" s="92"/>
      <c r="L180" s="93"/>
      <c r="M180" s="91"/>
      <c r="N180" s="103"/>
      <c r="O180" s="94"/>
      <c r="P180" s="104"/>
      <c r="Y180" s="96"/>
    </row>
    <row r="181" spans="1:25">
      <c r="A181" s="100"/>
      <c r="B181" s="93"/>
      <c r="C181" s="93"/>
      <c r="D181" s="93"/>
      <c r="E181" s="93"/>
      <c r="F181" s="93"/>
      <c r="G181" s="93"/>
      <c r="H181" s="93"/>
      <c r="I181" s="93"/>
      <c r="K181" s="92"/>
      <c r="L181" s="93"/>
      <c r="M181" s="91"/>
      <c r="N181" s="103"/>
      <c r="O181" s="94"/>
      <c r="P181" s="104"/>
      <c r="Y181" s="96"/>
    </row>
    <row r="182" spans="1:25">
      <c r="A182" s="100"/>
      <c r="B182" s="93"/>
      <c r="C182" s="93"/>
      <c r="D182" s="93"/>
      <c r="E182" s="93"/>
      <c r="F182" s="93"/>
      <c r="G182" s="93"/>
      <c r="H182" s="93"/>
      <c r="I182" s="93"/>
      <c r="K182" s="92"/>
      <c r="L182" s="93"/>
      <c r="M182" s="91"/>
      <c r="N182" s="103"/>
      <c r="O182" s="94"/>
      <c r="P182" s="104"/>
      <c r="Y182" s="96"/>
    </row>
    <row r="183" spans="1:25">
      <c r="A183" s="100"/>
      <c r="B183" s="93"/>
      <c r="C183" s="93"/>
      <c r="D183" s="93"/>
      <c r="E183" s="93"/>
      <c r="F183" s="93"/>
      <c r="G183" s="93"/>
      <c r="H183" s="93"/>
      <c r="I183" s="93"/>
      <c r="K183" s="92"/>
      <c r="L183" s="93"/>
      <c r="M183" s="91"/>
      <c r="N183" s="103"/>
      <c r="O183" s="94"/>
      <c r="P183" s="104"/>
      <c r="Y183" s="96"/>
    </row>
    <row r="184" spans="1:25">
      <c r="A184" s="100"/>
      <c r="B184" s="93"/>
      <c r="C184" s="93"/>
      <c r="D184" s="93"/>
      <c r="E184" s="93"/>
      <c r="F184" s="93"/>
      <c r="G184" s="93"/>
      <c r="H184" s="93"/>
      <c r="I184" s="93"/>
      <c r="K184" s="92"/>
      <c r="L184" s="93"/>
      <c r="M184" s="91"/>
      <c r="N184" s="103"/>
      <c r="O184" s="94"/>
      <c r="P184" s="104"/>
      <c r="Y184" s="96"/>
    </row>
    <row r="185" spans="1:25">
      <c r="A185" s="100"/>
      <c r="B185" s="93"/>
      <c r="C185" s="93"/>
      <c r="D185" s="93"/>
      <c r="E185" s="93"/>
      <c r="F185" s="93"/>
      <c r="G185" s="93"/>
      <c r="H185" s="93"/>
      <c r="I185" s="93"/>
      <c r="K185" s="92"/>
      <c r="L185" s="93"/>
      <c r="M185" s="91"/>
      <c r="N185" s="103"/>
      <c r="O185" s="94"/>
      <c r="P185" s="104"/>
      <c r="Y185" s="96"/>
    </row>
    <row r="186" spans="1:25">
      <c r="A186" s="100"/>
      <c r="B186" s="93"/>
      <c r="C186" s="93"/>
      <c r="D186" s="93"/>
      <c r="E186" s="93"/>
      <c r="F186" s="93"/>
      <c r="G186" s="93"/>
      <c r="H186" s="93"/>
      <c r="I186" s="93"/>
      <c r="K186" s="92"/>
      <c r="L186" s="93"/>
      <c r="M186" s="91"/>
      <c r="N186" s="103"/>
      <c r="O186" s="94"/>
      <c r="P186" s="104"/>
      <c r="Y186" s="96"/>
    </row>
    <row r="187" spans="1:25">
      <c r="A187" s="100"/>
      <c r="B187" s="93"/>
      <c r="C187" s="93"/>
      <c r="D187" s="93"/>
      <c r="E187" s="93"/>
      <c r="F187" s="93"/>
      <c r="G187" s="93"/>
      <c r="H187" s="93"/>
      <c r="I187" s="93"/>
      <c r="K187" s="92"/>
      <c r="L187" s="93"/>
      <c r="M187" s="91"/>
      <c r="N187" s="103"/>
      <c r="O187" s="94"/>
      <c r="P187" s="104"/>
      <c r="Y187" s="96"/>
    </row>
    <row r="188" spans="1:25">
      <c r="A188" s="100"/>
      <c r="B188" s="93"/>
      <c r="C188" s="93"/>
      <c r="D188" s="93"/>
      <c r="E188" s="93"/>
      <c r="F188" s="93"/>
      <c r="G188" s="93"/>
      <c r="H188" s="93"/>
      <c r="I188" s="93"/>
      <c r="K188" s="92"/>
      <c r="L188" s="93"/>
      <c r="M188" s="91"/>
      <c r="N188" s="103"/>
      <c r="O188" s="94"/>
      <c r="P188" s="104"/>
      <c r="Y188" s="96"/>
    </row>
    <row r="189" spans="1:25">
      <c r="A189" s="100"/>
      <c r="B189" s="93"/>
      <c r="C189" s="93"/>
      <c r="D189" s="93"/>
      <c r="E189" s="93"/>
      <c r="F189" s="93"/>
      <c r="G189" s="93"/>
      <c r="H189" s="93"/>
      <c r="I189" s="93"/>
      <c r="K189" s="92"/>
      <c r="L189" s="93"/>
      <c r="M189" s="91"/>
      <c r="N189" s="103"/>
      <c r="O189" s="94"/>
      <c r="P189" s="104"/>
      <c r="Y189" s="96"/>
    </row>
    <row r="190" spans="1:25">
      <c r="A190" s="100"/>
      <c r="B190" s="93"/>
      <c r="C190" s="93"/>
      <c r="D190" s="93"/>
      <c r="E190" s="93"/>
      <c r="F190" s="93"/>
      <c r="G190" s="93"/>
      <c r="H190" s="93"/>
      <c r="I190" s="93"/>
      <c r="K190" s="92"/>
      <c r="L190" s="93"/>
      <c r="M190" s="91"/>
      <c r="N190" s="103"/>
      <c r="O190" s="94"/>
      <c r="P190" s="104"/>
      <c r="Y190" s="96"/>
    </row>
    <row r="191" spans="1:25">
      <c r="A191" s="100"/>
      <c r="B191" s="93"/>
      <c r="C191" s="93"/>
      <c r="D191" s="93"/>
      <c r="E191" s="93"/>
      <c r="F191" s="93"/>
      <c r="G191" s="93"/>
      <c r="H191" s="93"/>
      <c r="I191" s="93"/>
      <c r="K191" s="92"/>
      <c r="L191" s="93"/>
      <c r="M191" s="91"/>
      <c r="N191" s="103"/>
      <c r="O191" s="94"/>
      <c r="P191" s="104"/>
      <c r="Y191" s="96"/>
    </row>
    <row r="192" spans="1:25">
      <c r="A192" s="100"/>
      <c r="B192" s="93"/>
      <c r="C192" s="93"/>
      <c r="D192" s="93"/>
      <c r="E192" s="93"/>
      <c r="F192" s="93"/>
      <c r="G192" s="93"/>
      <c r="H192" s="93"/>
      <c r="I192" s="93"/>
      <c r="K192" s="92"/>
      <c r="L192" s="93"/>
      <c r="M192" s="91"/>
      <c r="N192" s="103"/>
      <c r="O192" s="94"/>
      <c r="P192" s="104"/>
      <c r="Y192" s="96"/>
    </row>
    <row r="193" spans="1:25">
      <c r="A193" s="100"/>
      <c r="B193" s="93"/>
      <c r="C193" s="93"/>
      <c r="D193" s="93"/>
      <c r="E193" s="93"/>
      <c r="F193" s="93"/>
      <c r="G193" s="93"/>
      <c r="H193" s="93"/>
      <c r="I193" s="93"/>
      <c r="K193" s="92"/>
      <c r="L193" s="93"/>
      <c r="M193" s="91"/>
      <c r="N193" s="103"/>
      <c r="O193" s="94"/>
      <c r="P193" s="104"/>
      <c r="Y193" s="96"/>
    </row>
    <row r="194" spans="1:25">
      <c r="A194" s="100"/>
      <c r="B194" s="93"/>
      <c r="C194" s="93"/>
      <c r="D194" s="93"/>
      <c r="E194" s="93"/>
      <c r="F194" s="93"/>
      <c r="G194" s="93"/>
      <c r="H194" s="93"/>
      <c r="I194" s="93"/>
      <c r="K194" s="92"/>
      <c r="L194" s="93"/>
      <c r="M194" s="91"/>
      <c r="N194" s="103"/>
      <c r="O194" s="94"/>
      <c r="P194" s="104"/>
      <c r="Y194" s="96"/>
    </row>
    <row r="195" spans="1:25">
      <c r="A195" s="100"/>
      <c r="B195" s="93"/>
      <c r="C195" s="93"/>
      <c r="D195" s="93"/>
      <c r="E195" s="93"/>
      <c r="F195" s="93"/>
      <c r="G195" s="93"/>
      <c r="H195" s="93"/>
      <c r="I195" s="93"/>
      <c r="K195" s="92"/>
      <c r="L195" s="93"/>
      <c r="M195" s="91"/>
      <c r="N195" s="103"/>
      <c r="O195" s="94"/>
      <c r="P195" s="104"/>
      <c r="Y195" s="96"/>
    </row>
    <row r="196" spans="1:25">
      <c r="A196" s="100"/>
      <c r="B196" s="93"/>
      <c r="C196" s="93"/>
      <c r="D196" s="93"/>
      <c r="E196" s="93"/>
      <c r="F196" s="93"/>
      <c r="G196" s="93"/>
      <c r="H196" s="93"/>
      <c r="I196" s="93"/>
      <c r="K196" s="92"/>
      <c r="L196" s="93"/>
      <c r="M196" s="91"/>
      <c r="N196" s="103"/>
      <c r="O196" s="94"/>
      <c r="P196" s="104"/>
      <c r="Y196" s="96"/>
    </row>
    <row r="197" spans="1:25">
      <c r="A197" s="100"/>
      <c r="B197" s="93"/>
      <c r="C197" s="93"/>
      <c r="D197" s="93"/>
      <c r="E197" s="93"/>
      <c r="F197" s="93"/>
      <c r="G197" s="93"/>
      <c r="H197" s="93"/>
      <c r="I197" s="93"/>
      <c r="K197" s="92"/>
      <c r="L197" s="93"/>
      <c r="M197" s="91"/>
      <c r="N197" s="103"/>
      <c r="O197" s="94"/>
      <c r="P197" s="104"/>
      <c r="Y197" s="96"/>
    </row>
    <row r="198" spans="1:25">
      <c r="A198" s="100"/>
      <c r="B198" s="93"/>
      <c r="C198" s="93"/>
      <c r="D198" s="93"/>
      <c r="E198" s="93"/>
      <c r="F198" s="93"/>
      <c r="G198" s="93"/>
      <c r="H198" s="93"/>
      <c r="I198" s="93"/>
      <c r="K198" s="92"/>
      <c r="L198" s="93"/>
      <c r="M198" s="91"/>
      <c r="N198" s="103"/>
      <c r="O198" s="94"/>
      <c r="P198" s="104"/>
      <c r="Y198" s="96"/>
    </row>
    <row r="199" spans="1:25">
      <c r="A199" s="100"/>
      <c r="B199" s="93"/>
      <c r="C199" s="93"/>
      <c r="D199" s="93"/>
      <c r="E199" s="93"/>
      <c r="F199" s="93"/>
      <c r="G199" s="93"/>
      <c r="H199" s="93"/>
      <c r="I199" s="93"/>
      <c r="K199" s="92"/>
      <c r="L199" s="93"/>
      <c r="M199" s="91"/>
      <c r="N199" s="103"/>
      <c r="O199" s="94"/>
      <c r="P199" s="104"/>
      <c r="Y199" s="96"/>
    </row>
    <row r="200" spans="1:25">
      <c r="A200" s="100"/>
      <c r="B200" s="93"/>
      <c r="C200" s="93"/>
      <c r="D200" s="93"/>
      <c r="E200" s="93"/>
      <c r="F200" s="93"/>
      <c r="G200" s="93"/>
      <c r="H200" s="93"/>
      <c r="I200" s="93"/>
      <c r="K200" s="92"/>
      <c r="L200" s="93"/>
      <c r="M200" s="91"/>
      <c r="N200" s="103"/>
      <c r="O200" s="94"/>
      <c r="P200" s="104"/>
      <c r="Y200" s="96"/>
    </row>
    <row r="201" spans="1:25">
      <c r="A201" s="100"/>
      <c r="B201" s="93"/>
      <c r="C201" s="93"/>
      <c r="D201" s="93"/>
      <c r="E201" s="93"/>
      <c r="F201" s="93"/>
      <c r="G201" s="93"/>
      <c r="H201" s="93"/>
      <c r="I201" s="93"/>
      <c r="K201" s="92"/>
      <c r="L201" s="93"/>
      <c r="M201" s="91"/>
      <c r="N201" s="103"/>
      <c r="O201" s="94"/>
      <c r="P201" s="104"/>
      <c r="Y201" s="96"/>
    </row>
    <row r="202" spans="1:25">
      <c r="A202" s="100"/>
      <c r="B202" s="93"/>
      <c r="C202" s="93"/>
      <c r="D202" s="93"/>
      <c r="E202" s="93"/>
      <c r="F202" s="93"/>
      <c r="G202" s="93"/>
      <c r="H202" s="93"/>
      <c r="I202" s="93"/>
      <c r="K202" s="92"/>
      <c r="L202" s="93"/>
      <c r="M202" s="91"/>
      <c r="N202" s="103"/>
      <c r="O202" s="94"/>
      <c r="P202" s="104"/>
      <c r="Y202" s="96"/>
    </row>
    <row r="203" spans="1:25">
      <c r="A203" s="100"/>
      <c r="B203" s="93"/>
      <c r="C203" s="93"/>
      <c r="D203" s="93"/>
      <c r="E203" s="93"/>
      <c r="F203" s="93"/>
      <c r="G203" s="93"/>
      <c r="H203" s="93"/>
      <c r="I203" s="93"/>
      <c r="K203" s="92"/>
      <c r="L203" s="93"/>
      <c r="M203" s="91"/>
      <c r="N203" s="103"/>
      <c r="O203" s="94"/>
      <c r="P203" s="104"/>
      <c r="Y203" s="96"/>
    </row>
    <row r="204" spans="1:25">
      <c r="A204" s="100"/>
      <c r="B204" s="93"/>
      <c r="C204" s="93"/>
      <c r="D204" s="93"/>
      <c r="E204" s="93"/>
      <c r="F204" s="93"/>
      <c r="G204" s="93"/>
      <c r="H204" s="93"/>
      <c r="I204" s="93"/>
      <c r="K204" s="92"/>
      <c r="L204" s="93"/>
      <c r="M204" s="91"/>
      <c r="N204" s="103"/>
      <c r="O204" s="94"/>
      <c r="P204" s="104"/>
      <c r="Y204" s="96"/>
    </row>
    <row r="205" spans="1:25">
      <c r="A205" s="100"/>
      <c r="B205" s="93"/>
      <c r="C205" s="93"/>
      <c r="D205" s="93"/>
      <c r="E205" s="93"/>
      <c r="F205" s="93"/>
      <c r="G205" s="93"/>
      <c r="H205" s="93"/>
      <c r="I205" s="93"/>
      <c r="K205" s="92"/>
      <c r="L205" s="93"/>
      <c r="M205" s="91"/>
      <c r="N205" s="103"/>
      <c r="O205" s="94"/>
      <c r="P205" s="104"/>
      <c r="Y205" s="96"/>
    </row>
    <row r="206" spans="1:25">
      <c r="A206" s="100"/>
      <c r="B206" s="93"/>
      <c r="C206" s="93"/>
      <c r="D206" s="93"/>
      <c r="E206" s="93"/>
      <c r="F206" s="93"/>
      <c r="G206" s="93"/>
      <c r="H206" s="93"/>
      <c r="I206" s="93"/>
      <c r="K206" s="92"/>
      <c r="L206" s="93"/>
      <c r="M206" s="91"/>
      <c r="N206" s="103"/>
      <c r="O206" s="94"/>
      <c r="P206" s="104"/>
      <c r="Y206" s="96"/>
    </row>
    <row r="207" spans="1:25">
      <c r="A207" s="100"/>
      <c r="B207" s="93"/>
      <c r="C207" s="93"/>
      <c r="D207" s="93"/>
      <c r="E207" s="93"/>
      <c r="F207" s="93"/>
      <c r="G207" s="93"/>
      <c r="H207" s="93"/>
      <c r="I207" s="93"/>
      <c r="K207" s="92"/>
      <c r="L207" s="93"/>
      <c r="M207" s="91"/>
      <c r="N207" s="103"/>
      <c r="O207" s="94"/>
      <c r="P207" s="104"/>
      <c r="Y207" s="96"/>
    </row>
    <row r="208" spans="1:25">
      <c r="A208" s="100"/>
      <c r="B208" s="93"/>
      <c r="C208" s="93"/>
      <c r="D208" s="93"/>
      <c r="E208" s="93"/>
      <c r="F208" s="93"/>
      <c r="G208" s="93"/>
      <c r="H208" s="93"/>
      <c r="I208" s="93"/>
      <c r="K208" s="92"/>
      <c r="L208" s="93"/>
      <c r="M208" s="91"/>
      <c r="N208" s="103"/>
      <c r="O208" s="94"/>
      <c r="P208" s="104"/>
      <c r="Y208" s="96"/>
    </row>
    <row r="209" spans="1:25">
      <c r="A209" s="100"/>
      <c r="B209" s="93"/>
      <c r="C209" s="93"/>
      <c r="D209" s="93"/>
      <c r="E209" s="93"/>
      <c r="F209" s="93"/>
      <c r="G209" s="93"/>
      <c r="H209" s="93"/>
      <c r="I209" s="93"/>
      <c r="K209" s="92"/>
      <c r="L209" s="93"/>
      <c r="M209" s="91"/>
      <c r="N209" s="103"/>
      <c r="O209" s="94"/>
      <c r="P209" s="104"/>
      <c r="Y209" s="96"/>
    </row>
    <row r="210" spans="1:25">
      <c r="A210" s="100"/>
      <c r="B210" s="93"/>
      <c r="C210" s="93"/>
      <c r="D210" s="93"/>
      <c r="E210" s="93"/>
      <c r="F210" s="93"/>
      <c r="G210" s="93"/>
      <c r="H210" s="93"/>
      <c r="I210" s="93"/>
      <c r="K210" s="92"/>
      <c r="L210" s="93"/>
      <c r="M210" s="91"/>
      <c r="N210" s="103"/>
      <c r="O210" s="94"/>
      <c r="P210" s="104"/>
      <c r="Y210" s="96"/>
    </row>
    <row r="211" spans="1:25">
      <c r="A211" s="100"/>
      <c r="B211" s="93"/>
      <c r="C211" s="93"/>
      <c r="D211" s="93"/>
      <c r="E211" s="93"/>
      <c r="F211" s="93"/>
      <c r="G211" s="93"/>
      <c r="H211" s="93"/>
      <c r="I211" s="93"/>
      <c r="K211" s="92"/>
      <c r="L211" s="93"/>
      <c r="M211" s="91"/>
      <c r="N211" s="103"/>
      <c r="O211" s="94"/>
      <c r="P211" s="104"/>
      <c r="Y211" s="96"/>
    </row>
    <row r="212" spans="1:25">
      <c r="A212" s="100"/>
      <c r="B212" s="93"/>
      <c r="C212" s="93"/>
      <c r="D212" s="93"/>
      <c r="E212" s="93"/>
      <c r="F212" s="93"/>
      <c r="G212" s="93"/>
      <c r="H212" s="93"/>
      <c r="I212" s="93"/>
      <c r="K212" s="92"/>
      <c r="L212" s="93"/>
      <c r="M212" s="91"/>
      <c r="N212" s="103"/>
      <c r="O212" s="94"/>
      <c r="P212" s="104"/>
      <c r="Y212" s="96"/>
    </row>
    <row r="213" spans="1:25">
      <c r="A213" s="100"/>
      <c r="B213" s="93"/>
      <c r="C213" s="93"/>
      <c r="D213" s="93"/>
      <c r="E213" s="93"/>
      <c r="F213" s="93"/>
      <c r="G213" s="93"/>
      <c r="H213" s="93"/>
      <c r="I213" s="93"/>
      <c r="K213" s="92"/>
      <c r="L213" s="93"/>
      <c r="M213" s="91"/>
      <c r="N213" s="103"/>
      <c r="O213" s="94"/>
      <c r="P213" s="104"/>
      <c r="Y213" s="96"/>
    </row>
    <row r="214" spans="1:25">
      <c r="A214" s="100"/>
      <c r="B214" s="93"/>
      <c r="C214" s="93"/>
      <c r="D214" s="93"/>
      <c r="E214" s="93"/>
      <c r="F214" s="93"/>
      <c r="G214" s="93"/>
      <c r="H214" s="93"/>
      <c r="I214" s="93"/>
      <c r="K214" s="92"/>
      <c r="L214" s="93"/>
      <c r="M214" s="91"/>
      <c r="N214" s="103"/>
      <c r="O214" s="94"/>
      <c r="P214" s="104"/>
      <c r="Y214" s="96"/>
    </row>
    <row r="215" spans="1:25">
      <c r="A215" s="100"/>
      <c r="B215" s="93"/>
      <c r="C215" s="93"/>
      <c r="D215" s="93"/>
      <c r="E215" s="93"/>
      <c r="F215" s="93"/>
      <c r="G215" s="93"/>
      <c r="H215" s="93"/>
      <c r="I215" s="93"/>
      <c r="K215" s="92"/>
      <c r="L215" s="93"/>
      <c r="M215" s="91"/>
      <c r="N215" s="103"/>
      <c r="O215" s="94"/>
      <c r="P215" s="104"/>
      <c r="Y215" s="96"/>
    </row>
    <row r="216" spans="1:25">
      <c r="A216" s="100"/>
      <c r="B216" s="93"/>
      <c r="C216" s="93"/>
      <c r="D216" s="93"/>
      <c r="E216" s="93"/>
      <c r="F216" s="93"/>
      <c r="G216" s="93"/>
      <c r="H216" s="93"/>
      <c r="I216" s="93"/>
      <c r="K216" s="92"/>
      <c r="L216" s="93"/>
      <c r="M216" s="91"/>
      <c r="N216" s="103"/>
      <c r="O216" s="94"/>
      <c r="P216" s="104"/>
      <c r="Y216" s="96"/>
    </row>
    <row r="217" spans="1:25">
      <c r="A217" s="100"/>
      <c r="B217" s="93"/>
      <c r="C217" s="93"/>
      <c r="D217" s="93"/>
      <c r="E217" s="93"/>
      <c r="F217" s="93"/>
      <c r="G217" s="93"/>
      <c r="H217" s="93"/>
      <c r="I217" s="93"/>
      <c r="K217" s="92"/>
      <c r="L217" s="93"/>
      <c r="M217" s="91"/>
      <c r="N217" s="103"/>
      <c r="O217" s="94"/>
      <c r="P217" s="104"/>
      <c r="Y217" s="96"/>
    </row>
    <row r="218" spans="1:25">
      <c r="A218" s="100"/>
      <c r="B218" s="93"/>
      <c r="C218" s="93"/>
      <c r="D218" s="93"/>
      <c r="E218" s="93"/>
      <c r="F218" s="93"/>
      <c r="G218" s="93"/>
      <c r="H218" s="93"/>
      <c r="I218" s="93"/>
      <c r="K218" s="92"/>
      <c r="L218" s="93"/>
      <c r="M218" s="91"/>
      <c r="N218" s="103"/>
      <c r="O218" s="94"/>
      <c r="P218" s="104"/>
      <c r="Y218" s="96"/>
    </row>
    <row r="219" spans="1:25">
      <c r="A219" s="100"/>
      <c r="B219" s="93"/>
      <c r="C219" s="93"/>
      <c r="D219" s="93"/>
      <c r="E219" s="93"/>
      <c r="F219" s="93"/>
      <c r="G219" s="93"/>
      <c r="H219" s="93"/>
      <c r="I219" s="93"/>
      <c r="K219" s="92"/>
      <c r="L219" s="93"/>
      <c r="M219" s="91"/>
      <c r="N219" s="103"/>
      <c r="O219" s="94"/>
      <c r="P219" s="104"/>
      <c r="S219" s="101"/>
      <c r="T219" s="101"/>
      <c r="Y219" s="96"/>
    </row>
    <row r="220" spans="1:25">
      <c r="A220" s="100"/>
      <c r="B220" s="93"/>
      <c r="C220" s="93"/>
      <c r="D220" s="93"/>
      <c r="E220" s="93"/>
      <c r="F220" s="93"/>
      <c r="G220" s="93"/>
      <c r="H220" s="93"/>
      <c r="I220" s="93"/>
      <c r="K220" s="92"/>
      <c r="L220" s="93"/>
      <c r="M220" s="91"/>
      <c r="N220" s="103"/>
      <c r="O220" s="94"/>
      <c r="P220" s="104"/>
      <c r="S220" s="101"/>
      <c r="T220" s="101"/>
      <c r="Y220" s="96"/>
    </row>
    <row r="221" spans="1:25">
      <c r="A221" s="100"/>
      <c r="B221" s="93"/>
      <c r="C221" s="93"/>
      <c r="D221" s="93"/>
      <c r="E221" s="93"/>
      <c r="F221" s="93"/>
      <c r="G221" s="93"/>
      <c r="H221" s="93"/>
      <c r="I221" s="93"/>
      <c r="K221" s="92"/>
      <c r="L221" s="93"/>
      <c r="M221" s="91"/>
      <c r="N221" s="103"/>
      <c r="O221" s="94"/>
      <c r="P221" s="104"/>
      <c r="Y221" s="54"/>
    </row>
    <row r="222" spans="1:25">
      <c r="A222" s="100"/>
      <c r="B222" s="93"/>
      <c r="C222" s="93"/>
      <c r="D222" s="93"/>
      <c r="E222" s="93"/>
      <c r="F222" s="93"/>
      <c r="G222" s="93"/>
      <c r="H222" s="93"/>
      <c r="I222" s="93"/>
      <c r="K222" s="92"/>
      <c r="L222" s="93"/>
      <c r="M222" s="91"/>
      <c r="N222" s="103"/>
      <c r="O222" s="94"/>
      <c r="P222" s="104"/>
      <c r="Y222" s="54"/>
    </row>
    <row r="223" spans="1:25">
      <c r="A223" s="100"/>
      <c r="B223" s="93"/>
      <c r="C223" s="93"/>
      <c r="D223" s="93"/>
      <c r="E223" s="93"/>
      <c r="F223" s="93"/>
      <c r="G223" s="93"/>
      <c r="H223" s="93"/>
      <c r="I223" s="93"/>
      <c r="K223" s="92"/>
      <c r="L223" s="93"/>
      <c r="M223" s="91"/>
      <c r="N223" s="103"/>
      <c r="O223" s="94"/>
      <c r="P223" s="104"/>
      <c r="Y223" s="54"/>
    </row>
    <row r="224" spans="1:25">
      <c r="A224" s="100"/>
      <c r="B224" s="93"/>
      <c r="C224" s="93"/>
      <c r="D224" s="93"/>
      <c r="E224" s="93"/>
      <c r="F224" s="93"/>
      <c r="G224" s="93"/>
      <c r="H224" s="93"/>
      <c r="I224" s="93"/>
      <c r="K224" s="92"/>
      <c r="L224" s="93"/>
      <c r="M224" s="91"/>
      <c r="N224" s="103"/>
      <c r="O224" s="94"/>
      <c r="P224" s="104"/>
      <c r="Y224" s="54"/>
    </row>
    <row r="225" spans="1:25">
      <c r="A225" s="100"/>
      <c r="B225" s="93"/>
      <c r="C225" s="93"/>
      <c r="D225" s="93"/>
      <c r="E225" s="93"/>
      <c r="F225" s="93"/>
      <c r="G225" s="93"/>
      <c r="H225" s="93"/>
      <c r="I225" s="93"/>
      <c r="K225" s="92"/>
      <c r="L225" s="93"/>
      <c r="M225" s="91"/>
      <c r="N225" s="103"/>
      <c r="O225" s="94"/>
      <c r="P225" s="104"/>
      <c r="Y225" s="54"/>
    </row>
    <row r="226" spans="1:25">
      <c r="A226" s="100"/>
      <c r="B226" s="93"/>
      <c r="C226" s="93"/>
      <c r="D226" s="93"/>
      <c r="E226" s="93"/>
      <c r="F226" s="93"/>
      <c r="G226" s="93"/>
      <c r="H226" s="93"/>
      <c r="I226" s="93"/>
      <c r="K226" s="92"/>
      <c r="L226" s="93"/>
      <c r="M226" s="91"/>
      <c r="N226" s="103"/>
      <c r="O226" s="94"/>
      <c r="P226" s="104"/>
      <c r="S226" s="99"/>
      <c r="T226" s="99"/>
      <c r="Y226" s="96"/>
    </row>
    <row r="227" spans="1:25">
      <c r="A227" s="100"/>
      <c r="B227" s="93"/>
      <c r="C227" s="93"/>
      <c r="D227" s="93"/>
      <c r="E227" s="93"/>
      <c r="F227" s="93"/>
      <c r="G227" s="93"/>
      <c r="H227" s="93"/>
      <c r="I227" s="93"/>
      <c r="K227" s="92"/>
      <c r="L227" s="93"/>
      <c r="M227" s="91"/>
      <c r="N227" s="103"/>
      <c r="O227" s="94"/>
      <c r="P227" s="104"/>
      <c r="S227" s="99"/>
      <c r="T227" s="99"/>
      <c r="Y227" s="96"/>
    </row>
    <row r="228" spans="1:25">
      <c r="A228" s="100"/>
      <c r="B228" s="93"/>
      <c r="C228" s="93"/>
      <c r="D228" s="93"/>
      <c r="E228" s="93"/>
      <c r="F228" s="93"/>
      <c r="G228" s="93"/>
      <c r="H228" s="93"/>
      <c r="I228" s="93"/>
      <c r="K228" s="92"/>
      <c r="L228" s="93"/>
      <c r="M228" s="91"/>
      <c r="N228" s="103"/>
      <c r="O228" s="94"/>
      <c r="P228" s="104"/>
      <c r="S228" s="99"/>
      <c r="T228" s="99"/>
      <c r="Y228" s="96"/>
    </row>
    <row r="229" spans="1:25">
      <c r="A229" s="100"/>
      <c r="B229" s="93"/>
      <c r="C229" s="93"/>
      <c r="D229" s="93"/>
      <c r="E229" s="93"/>
      <c r="F229" s="93"/>
      <c r="G229" s="93"/>
      <c r="H229" s="93"/>
      <c r="I229" s="93"/>
      <c r="K229" s="92"/>
      <c r="L229" s="93"/>
      <c r="M229" s="91"/>
      <c r="N229" s="103"/>
      <c r="O229" s="94"/>
      <c r="P229" s="104"/>
      <c r="S229" s="99"/>
      <c r="T229" s="99"/>
      <c r="Y229" s="96"/>
    </row>
    <row r="230" spans="1:25">
      <c r="A230" s="100"/>
      <c r="B230" s="93"/>
      <c r="C230" s="93"/>
      <c r="D230" s="93"/>
      <c r="E230" s="93"/>
      <c r="F230" s="93"/>
      <c r="G230" s="93"/>
      <c r="H230" s="93"/>
      <c r="I230" s="93"/>
      <c r="K230" s="92"/>
      <c r="L230" s="93"/>
      <c r="M230" s="91"/>
      <c r="N230" s="103"/>
      <c r="O230" s="94"/>
      <c r="P230" s="104"/>
      <c r="Y230" s="54"/>
    </row>
    <row r="231" spans="1:25">
      <c r="A231" s="100"/>
      <c r="B231" s="93"/>
      <c r="C231" s="93"/>
      <c r="D231" s="93"/>
      <c r="E231" s="93"/>
      <c r="F231" s="93"/>
      <c r="G231" s="93"/>
      <c r="H231" s="93"/>
      <c r="I231" s="93"/>
      <c r="K231" s="92"/>
      <c r="L231" s="93"/>
      <c r="M231" s="91"/>
      <c r="N231" s="103"/>
      <c r="O231" s="94"/>
      <c r="P231" s="104"/>
      <c r="Y231" s="54"/>
    </row>
    <row r="232" spans="1:25">
      <c r="A232" s="100"/>
      <c r="B232" s="93"/>
      <c r="C232" s="93"/>
      <c r="D232" s="93"/>
      <c r="E232" s="93"/>
      <c r="F232" s="93"/>
      <c r="G232" s="93"/>
      <c r="H232" s="93"/>
      <c r="I232" s="93"/>
      <c r="K232" s="92"/>
      <c r="L232" s="93"/>
      <c r="M232" s="91"/>
      <c r="N232" s="103"/>
      <c r="O232" s="94"/>
      <c r="P232" s="104"/>
      <c r="Y232" s="54"/>
    </row>
    <row r="233" spans="1:25">
      <c r="A233" s="100"/>
      <c r="B233" s="93"/>
      <c r="C233" s="93"/>
      <c r="D233" s="93"/>
      <c r="E233" s="93"/>
      <c r="F233" s="93"/>
      <c r="G233" s="93"/>
      <c r="H233" s="93"/>
      <c r="I233" s="93"/>
      <c r="K233" s="92"/>
      <c r="L233" s="93"/>
      <c r="M233" s="91"/>
      <c r="N233" s="103"/>
      <c r="O233" s="94"/>
      <c r="P233" s="104"/>
      <c r="Y233" s="54"/>
    </row>
    <row r="234" spans="1:25">
      <c r="A234" s="100"/>
      <c r="B234" s="93"/>
      <c r="C234" s="93"/>
      <c r="D234" s="93"/>
      <c r="E234" s="93"/>
      <c r="F234" s="93"/>
      <c r="G234" s="93"/>
      <c r="H234" s="93"/>
      <c r="I234" s="93"/>
      <c r="K234" s="92"/>
      <c r="L234" s="93"/>
      <c r="M234" s="91"/>
      <c r="N234" s="103"/>
      <c r="O234" s="94"/>
      <c r="P234" s="104"/>
      <c r="Y234" s="54"/>
    </row>
    <row r="235" spans="1:25">
      <c r="A235" s="100"/>
      <c r="B235" s="93"/>
      <c r="C235" s="93"/>
      <c r="D235" s="93"/>
      <c r="E235" s="93"/>
      <c r="F235" s="93"/>
      <c r="G235" s="93"/>
      <c r="H235" s="93"/>
      <c r="I235" s="93"/>
      <c r="K235" s="92"/>
      <c r="L235" s="93"/>
      <c r="M235" s="91"/>
      <c r="N235" s="103"/>
      <c r="O235" s="94"/>
      <c r="P235" s="104"/>
      <c r="Y235" s="54"/>
    </row>
    <row r="236" spans="1:25">
      <c r="A236" s="100"/>
      <c r="B236" s="93"/>
      <c r="C236" s="93"/>
      <c r="D236" s="93"/>
      <c r="E236" s="93"/>
      <c r="F236" s="93"/>
      <c r="G236" s="93"/>
      <c r="H236" s="93"/>
      <c r="I236" s="93"/>
      <c r="K236" s="92"/>
      <c r="L236" s="93"/>
      <c r="M236" s="91"/>
      <c r="N236" s="103"/>
      <c r="O236" s="94"/>
      <c r="P236" s="104"/>
      <c r="Y236" s="54"/>
    </row>
    <row r="237" spans="1:25">
      <c r="A237" s="100"/>
      <c r="B237" s="93"/>
      <c r="C237" s="93"/>
      <c r="D237" s="93"/>
      <c r="E237" s="93"/>
      <c r="F237" s="93"/>
      <c r="G237" s="93"/>
      <c r="H237" s="93"/>
      <c r="I237" s="93"/>
      <c r="K237" s="92"/>
      <c r="L237" s="93"/>
      <c r="M237" s="91"/>
      <c r="N237" s="103"/>
      <c r="O237" s="94"/>
      <c r="P237" s="104"/>
      <c r="Y237" s="54"/>
    </row>
    <row r="238" spans="1:25">
      <c r="A238" s="100"/>
      <c r="B238" s="93"/>
      <c r="C238" s="93"/>
      <c r="D238" s="93"/>
      <c r="E238" s="93"/>
      <c r="F238" s="93"/>
      <c r="G238" s="93"/>
      <c r="H238" s="93"/>
      <c r="I238" s="93"/>
      <c r="K238" s="92"/>
      <c r="L238" s="93"/>
      <c r="M238" s="91"/>
      <c r="N238" s="103"/>
      <c r="O238" s="94"/>
      <c r="P238" s="104"/>
      <c r="Y238" s="54"/>
    </row>
    <row r="239" spans="1:25">
      <c r="A239" s="100"/>
      <c r="B239" s="93"/>
      <c r="C239" s="93"/>
      <c r="D239" s="93"/>
      <c r="E239" s="93"/>
      <c r="F239" s="93"/>
      <c r="G239" s="93"/>
      <c r="H239" s="93"/>
      <c r="I239" s="93"/>
      <c r="K239" s="92"/>
      <c r="L239" s="93"/>
      <c r="M239" s="91"/>
      <c r="N239" s="103"/>
      <c r="O239" s="94"/>
      <c r="P239" s="104"/>
      <c r="Y239" s="54"/>
    </row>
    <row r="240" spans="1:25">
      <c r="A240" s="100"/>
      <c r="B240" s="93"/>
      <c r="C240" s="93"/>
      <c r="D240" s="93"/>
      <c r="E240" s="93"/>
      <c r="F240" s="93"/>
      <c r="G240" s="93"/>
      <c r="H240" s="93"/>
      <c r="I240" s="93"/>
      <c r="K240" s="92"/>
      <c r="L240" s="93"/>
      <c r="M240" s="91"/>
      <c r="N240" s="103"/>
      <c r="O240" s="94"/>
      <c r="P240" s="104"/>
      <c r="Y240" s="54"/>
    </row>
    <row r="241" spans="1:25">
      <c r="A241" s="100"/>
      <c r="B241" s="93"/>
      <c r="C241" s="93"/>
      <c r="D241" s="93"/>
      <c r="E241" s="93"/>
      <c r="F241" s="93"/>
      <c r="G241" s="93"/>
      <c r="H241" s="93"/>
      <c r="I241" s="93"/>
      <c r="K241" s="92"/>
      <c r="L241" s="93"/>
      <c r="M241" s="91"/>
      <c r="N241" s="103"/>
      <c r="O241" s="94"/>
      <c r="P241" s="104"/>
      <c r="Y241" s="96"/>
    </row>
    <row r="242" spans="1:25">
      <c r="A242" s="100"/>
      <c r="B242" s="93"/>
      <c r="C242" s="93"/>
      <c r="D242" s="93"/>
      <c r="E242" s="93"/>
      <c r="F242" s="93"/>
      <c r="G242" s="93"/>
      <c r="H242" s="93"/>
      <c r="I242" s="93"/>
      <c r="K242" s="92"/>
      <c r="L242" s="93"/>
      <c r="M242" s="91"/>
      <c r="N242" s="103"/>
      <c r="O242" s="94"/>
      <c r="P242" s="104"/>
      <c r="Y242" s="54"/>
    </row>
    <row r="243" spans="1:25">
      <c r="A243" s="100"/>
      <c r="B243" s="93"/>
      <c r="C243" s="93"/>
      <c r="D243" s="93"/>
      <c r="E243" s="93"/>
      <c r="F243" s="93"/>
      <c r="G243" s="93"/>
      <c r="H243" s="93"/>
      <c r="I243" s="93"/>
      <c r="K243" s="92"/>
      <c r="L243" s="93"/>
      <c r="M243" s="91"/>
      <c r="N243" s="103"/>
      <c r="O243" s="94"/>
      <c r="P243" s="104"/>
      <c r="Y243" s="54"/>
    </row>
    <row r="244" spans="1:25">
      <c r="A244" s="100"/>
      <c r="B244" s="93"/>
      <c r="C244" s="93"/>
      <c r="D244" s="93"/>
      <c r="E244" s="93"/>
      <c r="F244" s="93"/>
      <c r="G244" s="93"/>
      <c r="H244" s="93"/>
      <c r="I244" s="93"/>
      <c r="K244" s="92"/>
      <c r="L244" s="93"/>
      <c r="M244" s="91"/>
      <c r="N244" s="103"/>
      <c r="O244" s="94"/>
      <c r="P244" s="104"/>
      <c r="Y244" s="54"/>
    </row>
    <row r="245" spans="1:25">
      <c r="A245" s="100"/>
      <c r="B245" s="93"/>
      <c r="C245" s="93"/>
      <c r="D245" s="93"/>
      <c r="E245" s="93"/>
      <c r="F245" s="93"/>
      <c r="G245" s="93"/>
      <c r="H245" s="93"/>
      <c r="I245" s="93"/>
      <c r="K245" s="92"/>
      <c r="L245" s="93"/>
      <c r="M245" s="91"/>
      <c r="N245" s="103"/>
      <c r="O245" s="94"/>
      <c r="P245" s="104"/>
      <c r="Y245" s="54"/>
    </row>
    <row r="246" spans="1:25">
      <c r="A246" s="100"/>
      <c r="B246" s="93"/>
      <c r="C246" s="93"/>
      <c r="D246" s="93"/>
      <c r="E246" s="93"/>
      <c r="F246" s="93"/>
      <c r="G246" s="93"/>
      <c r="H246" s="93"/>
      <c r="I246" s="93"/>
      <c r="K246" s="92"/>
      <c r="L246" s="93"/>
      <c r="M246" s="91"/>
      <c r="N246" s="103"/>
      <c r="O246" s="94"/>
      <c r="P246" s="104"/>
      <c r="Y246" s="54"/>
    </row>
    <row r="247" spans="1:25">
      <c r="A247" s="100"/>
      <c r="B247" s="93"/>
      <c r="C247" s="93"/>
      <c r="D247" s="93"/>
      <c r="E247" s="93"/>
      <c r="F247" s="93"/>
      <c r="G247" s="93"/>
      <c r="H247" s="93"/>
      <c r="I247" s="93"/>
      <c r="K247" s="92"/>
      <c r="L247" s="93"/>
      <c r="M247" s="91"/>
      <c r="N247" s="103"/>
      <c r="O247" s="94"/>
      <c r="P247" s="104"/>
      <c r="Y247" s="54"/>
    </row>
    <row r="248" spans="1:25">
      <c r="A248" s="100"/>
      <c r="B248" s="93"/>
      <c r="C248" s="93"/>
      <c r="D248" s="93"/>
      <c r="E248" s="93"/>
      <c r="F248" s="93"/>
      <c r="G248" s="93"/>
      <c r="H248" s="93"/>
      <c r="I248" s="93"/>
      <c r="K248" s="92"/>
      <c r="L248" s="93"/>
      <c r="M248" s="91"/>
      <c r="N248" s="103"/>
      <c r="O248" s="94"/>
      <c r="P248" s="104"/>
      <c r="Y248" s="54"/>
    </row>
    <row r="249" spans="1:25">
      <c r="A249" s="100"/>
      <c r="B249" s="93"/>
      <c r="C249" s="93"/>
      <c r="D249" s="93"/>
      <c r="E249" s="93"/>
      <c r="F249" s="93"/>
      <c r="G249" s="93"/>
      <c r="H249" s="93"/>
      <c r="I249" s="93"/>
      <c r="K249" s="92"/>
      <c r="L249" s="93"/>
      <c r="M249" s="91"/>
      <c r="N249" s="103"/>
      <c r="O249" s="94"/>
      <c r="P249" s="104"/>
      <c r="Y249" s="54"/>
    </row>
    <row r="250" spans="1:25">
      <c r="A250" s="100"/>
      <c r="B250" s="93"/>
      <c r="C250" s="93"/>
      <c r="D250" s="93"/>
      <c r="E250" s="93"/>
      <c r="F250" s="93"/>
      <c r="G250" s="93"/>
      <c r="H250" s="93"/>
      <c r="I250" s="93"/>
      <c r="K250" s="92"/>
      <c r="L250" s="93"/>
      <c r="M250" s="91"/>
      <c r="N250" s="103"/>
      <c r="O250" s="94"/>
      <c r="P250" s="104"/>
      <c r="Y250" s="54"/>
    </row>
    <row r="251" spans="1:25">
      <c r="A251" s="100"/>
      <c r="B251" s="93"/>
      <c r="C251" s="93"/>
      <c r="D251" s="93"/>
      <c r="E251" s="93"/>
      <c r="F251" s="93"/>
      <c r="G251" s="93"/>
      <c r="H251" s="93"/>
      <c r="I251" s="93"/>
      <c r="K251" s="92"/>
      <c r="L251" s="93"/>
      <c r="M251" s="91"/>
      <c r="N251" s="94"/>
      <c r="O251" s="94"/>
      <c r="P251" s="95"/>
      <c r="Y251" s="54"/>
    </row>
    <row r="252" spans="1:25">
      <c r="A252" s="100"/>
      <c r="B252" s="93"/>
      <c r="C252" s="93"/>
      <c r="D252" s="93"/>
      <c r="E252" s="93"/>
      <c r="F252" s="93"/>
      <c r="G252" s="93"/>
      <c r="H252" s="93"/>
      <c r="I252" s="93"/>
      <c r="K252" s="92"/>
      <c r="L252" s="93"/>
      <c r="M252" s="91"/>
      <c r="N252" s="94"/>
      <c r="O252" s="94"/>
      <c r="P252" s="95"/>
      <c r="Y252" s="54"/>
    </row>
    <row r="253" spans="1:25">
      <c r="A253" s="100"/>
      <c r="B253" s="93"/>
      <c r="C253" s="93"/>
      <c r="D253" s="93"/>
      <c r="E253" s="93"/>
      <c r="F253" s="93"/>
      <c r="G253" s="93"/>
      <c r="H253" s="93"/>
      <c r="I253" s="93"/>
      <c r="K253" s="92"/>
      <c r="L253" s="93"/>
      <c r="M253" s="91"/>
      <c r="N253" s="94"/>
      <c r="O253" s="94"/>
      <c r="P253" s="95"/>
      <c r="Y253" s="54"/>
    </row>
    <row r="254" spans="1:25">
      <c r="A254" s="100"/>
      <c r="B254" s="93"/>
      <c r="C254" s="93"/>
      <c r="D254" s="93"/>
      <c r="E254" s="93"/>
      <c r="F254" s="93"/>
      <c r="G254" s="93"/>
      <c r="H254" s="93"/>
      <c r="I254" s="93"/>
      <c r="K254" s="92"/>
      <c r="L254" s="93"/>
      <c r="M254" s="91"/>
      <c r="N254" s="94"/>
      <c r="O254" s="94"/>
      <c r="P254" s="95"/>
      <c r="Y254" s="54"/>
    </row>
    <row r="255" spans="1:25">
      <c r="A255" s="100"/>
      <c r="B255" s="93"/>
      <c r="C255" s="93"/>
      <c r="D255" s="93"/>
      <c r="E255" s="93"/>
      <c r="F255" s="93"/>
      <c r="G255" s="93"/>
      <c r="H255" s="93"/>
      <c r="I255" s="93"/>
      <c r="K255" s="92"/>
      <c r="L255" s="93"/>
      <c r="M255" s="91"/>
      <c r="N255" s="94"/>
      <c r="O255" s="94"/>
      <c r="P255" s="95"/>
      <c r="Y255" s="54"/>
    </row>
    <row r="256" spans="1:25">
      <c r="A256" s="100"/>
      <c r="B256" s="93"/>
      <c r="C256" s="93"/>
      <c r="D256" s="93"/>
      <c r="E256" s="93"/>
      <c r="F256" s="93"/>
      <c r="G256" s="93"/>
      <c r="H256" s="93"/>
      <c r="I256" s="93"/>
      <c r="K256" s="92"/>
      <c r="L256" s="93"/>
      <c r="M256" s="91"/>
      <c r="N256" s="94"/>
      <c r="O256" s="94"/>
      <c r="P256" s="95"/>
      <c r="Y256" s="54"/>
    </row>
    <row r="257" spans="1:25">
      <c r="A257" s="100"/>
      <c r="B257" s="93"/>
      <c r="C257" s="93"/>
      <c r="D257" s="93"/>
      <c r="E257" s="93"/>
      <c r="F257" s="93"/>
      <c r="G257" s="93"/>
      <c r="H257" s="93"/>
      <c r="I257" s="93"/>
      <c r="K257" s="92"/>
      <c r="L257" s="93"/>
      <c r="M257" s="91"/>
      <c r="N257" s="94"/>
      <c r="O257" s="94"/>
      <c r="P257" s="95"/>
      <c r="Y257" s="54"/>
    </row>
    <row r="258" spans="1:25">
      <c r="A258" s="100"/>
      <c r="B258" s="93"/>
      <c r="C258" s="93"/>
      <c r="D258" s="93"/>
      <c r="E258" s="93"/>
      <c r="F258" s="93"/>
      <c r="G258" s="93"/>
      <c r="H258" s="93"/>
      <c r="I258" s="93"/>
      <c r="K258" s="92"/>
      <c r="L258" s="93"/>
      <c r="M258" s="91"/>
      <c r="N258" s="94"/>
      <c r="O258" s="94"/>
      <c r="P258" s="95"/>
      <c r="Y258" s="54"/>
    </row>
    <row r="259" spans="1:25">
      <c r="A259" s="100"/>
      <c r="B259" s="93"/>
      <c r="C259" s="93"/>
      <c r="D259" s="93"/>
      <c r="E259" s="93"/>
      <c r="F259" s="93"/>
      <c r="G259" s="93"/>
      <c r="H259" s="93"/>
      <c r="I259" s="93"/>
      <c r="K259" s="92"/>
      <c r="L259" s="93"/>
      <c r="M259" s="91"/>
      <c r="N259" s="94"/>
      <c r="O259" s="94"/>
      <c r="P259" s="95"/>
      <c r="Y259" s="54"/>
    </row>
    <row r="260" spans="1:25">
      <c r="A260" s="100"/>
      <c r="B260" s="93"/>
      <c r="C260" s="93"/>
      <c r="D260" s="93"/>
      <c r="E260" s="93"/>
      <c r="F260" s="93"/>
      <c r="G260" s="93"/>
      <c r="H260" s="93"/>
      <c r="I260" s="93"/>
      <c r="K260" s="92"/>
      <c r="L260" s="93"/>
      <c r="M260" s="91"/>
      <c r="N260" s="94"/>
      <c r="O260" s="94"/>
      <c r="P260" s="95"/>
      <c r="Y260" s="54"/>
    </row>
    <row r="261" spans="1:25">
      <c r="A261" s="100"/>
      <c r="B261" s="93"/>
      <c r="C261" s="93"/>
      <c r="D261" s="93"/>
      <c r="E261" s="93"/>
      <c r="F261" s="93"/>
      <c r="G261" s="93"/>
      <c r="H261" s="93"/>
      <c r="I261" s="93"/>
      <c r="K261" s="92"/>
      <c r="L261" s="93"/>
      <c r="M261" s="91"/>
      <c r="N261" s="94"/>
      <c r="O261" s="94"/>
      <c r="P261" s="95"/>
      <c r="Y261" s="54"/>
    </row>
    <row r="262" spans="1:25">
      <c r="A262" s="100"/>
      <c r="B262" s="93"/>
      <c r="C262" s="93"/>
      <c r="D262" s="93"/>
      <c r="E262" s="93"/>
      <c r="F262" s="93"/>
      <c r="G262" s="93"/>
      <c r="H262" s="93"/>
      <c r="I262" s="93"/>
      <c r="K262" s="92"/>
      <c r="L262" s="93"/>
      <c r="M262" s="91"/>
      <c r="N262" s="94"/>
      <c r="O262" s="94"/>
      <c r="P262" s="95"/>
      <c r="Y262" s="54"/>
    </row>
    <row r="263" spans="1:25">
      <c r="A263" s="100"/>
      <c r="B263" s="93"/>
      <c r="C263" s="93"/>
      <c r="D263" s="93"/>
      <c r="E263" s="93"/>
      <c r="F263" s="93"/>
      <c r="G263" s="93"/>
      <c r="H263" s="93"/>
      <c r="I263" s="93"/>
      <c r="K263" s="92"/>
      <c r="L263" s="93"/>
      <c r="M263" s="91"/>
      <c r="N263" s="94"/>
      <c r="O263" s="94"/>
      <c r="P263" s="95"/>
      <c r="Y263" s="54"/>
    </row>
    <row r="264" spans="1:25">
      <c r="A264" s="100"/>
      <c r="B264" s="93"/>
      <c r="C264" s="93"/>
      <c r="D264" s="93"/>
      <c r="E264" s="93"/>
      <c r="F264" s="93"/>
      <c r="G264" s="93"/>
      <c r="H264" s="93"/>
      <c r="I264" s="93"/>
      <c r="K264" s="92"/>
      <c r="L264" s="93"/>
      <c r="M264" s="91"/>
      <c r="N264" s="94"/>
      <c r="O264" s="94"/>
      <c r="P264" s="95"/>
      <c r="Y264" s="54"/>
    </row>
    <row r="265" spans="1:25">
      <c r="A265" s="100"/>
      <c r="B265" s="93"/>
      <c r="C265" s="93"/>
      <c r="D265" s="93"/>
      <c r="E265" s="93"/>
      <c r="F265" s="93"/>
      <c r="G265" s="93"/>
      <c r="H265" s="93"/>
      <c r="I265" s="93"/>
      <c r="K265" s="92"/>
      <c r="L265" s="93"/>
      <c r="M265" s="91"/>
      <c r="N265" s="94"/>
      <c r="O265" s="94"/>
      <c r="P265" s="95"/>
      <c r="Y265" s="54"/>
    </row>
    <row r="266" spans="1:25">
      <c r="A266" s="100"/>
      <c r="B266" s="93"/>
      <c r="C266" s="93"/>
      <c r="D266" s="93"/>
      <c r="E266" s="93"/>
      <c r="F266" s="93"/>
      <c r="G266" s="93"/>
      <c r="H266" s="93"/>
      <c r="I266" s="93"/>
      <c r="K266" s="92"/>
      <c r="L266" s="93"/>
      <c r="M266" s="91"/>
      <c r="N266" s="94"/>
      <c r="O266" s="94"/>
      <c r="P266" s="95"/>
      <c r="Y266" s="54"/>
    </row>
    <row r="267" spans="1:25">
      <c r="A267" s="100"/>
      <c r="B267" s="93"/>
      <c r="C267" s="93"/>
      <c r="D267" s="93"/>
      <c r="E267" s="93"/>
      <c r="F267" s="93"/>
      <c r="G267" s="93"/>
      <c r="H267" s="93"/>
      <c r="I267" s="93"/>
      <c r="K267" s="92"/>
      <c r="L267" s="93"/>
      <c r="M267" s="91"/>
      <c r="N267" s="94"/>
      <c r="O267" s="94"/>
      <c r="P267" s="95"/>
      <c r="Y267" s="54"/>
    </row>
    <row r="268" spans="1:25">
      <c r="A268" s="100"/>
      <c r="B268" s="93"/>
      <c r="C268" s="93"/>
      <c r="D268" s="93"/>
      <c r="E268" s="93"/>
      <c r="F268" s="93"/>
      <c r="G268" s="93"/>
      <c r="H268" s="93"/>
      <c r="I268" s="93"/>
      <c r="K268" s="92"/>
      <c r="L268" s="93"/>
      <c r="M268" s="91"/>
      <c r="N268" s="94"/>
      <c r="O268" s="94"/>
      <c r="P268" s="95"/>
      <c r="Y268" s="54"/>
    </row>
    <row r="269" spans="1:25">
      <c r="A269" s="100"/>
      <c r="B269" s="93"/>
      <c r="C269" s="93"/>
      <c r="D269" s="93"/>
      <c r="E269" s="93"/>
      <c r="F269" s="93"/>
      <c r="G269" s="93"/>
      <c r="H269" s="93"/>
      <c r="I269" s="93"/>
      <c r="K269" s="92"/>
      <c r="L269" s="93"/>
      <c r="M269" s="91"/>
      <c r="N269" s="94"/>
      <c r="O269" s="94"/>
      <c r="P269" s="95"/>
      <c r="Y269" s="54"/>
    </row>
    <row r="270" spans="1:25">
      <c r="A270" s="100"/>
      <c r="B270" s="93"/>
      <c r="C270" s="93"/>
      <c r="D270" s="93"/>
      <c r="E270" s="93"/>
      <c r="F270" s="93"/>
      <c r="G270" s="93"/>
      <c r="H270" s="93"/>
      <c r="I270" s="93"/>
      <c r="K270" s="92"/>
      <c r="L270" s="93"/>
      <c r="M270" s="91"/>
      <c r="N270" s="94"/>
      <c r="O270" s="94"/>
      <c r="P270" s="95"/>
      <c r="Y270" s="54"/>
    </row>
    <row r="271" spans="1:25">
      <c r="A271" s="100"/>
      <c r="B271" s="93"/>
      <c r="C271" s="93"/>
      <c r="D271" s="93"/>
      <c r="E271" s="93"/>
      <c r="F271" s="93"/>
      <c r="G271" s="93"/>
      <c r="H271" s="93"/>
      <c r="I271" s="93"/>
      <c r="K271" s="92"/>
      <c r="L271" s="93"/>
      <c r="M271" s="91"/>
      <c r="N271" s="94"/>
      <c r="O271" s="94"/>
      <c r="P271" s="95"/>
      <c r="Y271" s="54"/>
    </row>
    <row r="272" spans="1:25">
      <c r="A272" s="100"/>
      <c r="B272" s="93"/>
      <c r="C272" s="93"/>
      <c r="D272" s="93"/>
      <c r="E272" s="93"/>
      <c r="F272" s="93"/>
      <c r="G272" s="93"/>
      <c r="H272" s="93"/>
      <c r="I272" s="93"/>
      <c r="K272" s="92"/>
      <c r="L272" s="93"/>
      <c r="M272" s="91"/>
      <c r="N272" s="94"/>
      <c r="O272" s="94"/>
      <c r="P272" s="95"/>
      <c r="Y272" s="54"/>
    </row>
    <row r="273" spans="1:25">
      <c r="A273" s="100"/>
      <c r="B273" s="93"/>
      <c r="C273" s="93"/>
      <c r="D273" s="93"/>
      <c r="E273" s="93"/>
      <c r="F273" s="93"/>
      <c r="G273" s="93"/>
      <c r="H273" s="93"/>
      <c r="I273" s="93"/>
      <c r="K273" s="92"/>
      <c r="L273" s="93"/>
      <c r="M273" s="91"/>
      <c r="N273" s="94"/>
      <c r="O273" s="94"/>
      <c r="P273" s="95"/>
      <c r="Y273" s="54"/>
    </row>
    <row r="274" spans="1:25">
      <c r="A274" s="100"/>
      <c r="B274" s="93"/>
      <c r="C274" s="93"/>
      <c r="D274" s="93"/>
      <c r="E274" s="93"/>
      <c r="F274" s="93"/>
      <c r="G274" s="93"/>
      <c r="H274" s="93"/>
      <c r="I274" s="93"/>
      <c r="K274" s="92"/>
      <c r="L274" s="93"/>
      <c r="M274" s="91"/>
      <c r="N274" s="94"/>
      <c r="O274" s="94"/>
      <c r="P274" s="95"/>
      <c r="Y274" s="54"/>
    </row>
    <row r="275" spans="1:25">
      <c r="A275" s="100"/>
      <c r="B275" s="93"/>
      <c r="C275" s="93"/>
      <c r="D275" s="93"/>
      <c r="E275" s="93"/>
      <c r="F275" s="93"/>
      <c r="G275" s="93"/>
      <c r="H275" s="93"/>
      <c r="I275" s="93"/>
      <c r="K275" s="92"/>
      <c r="L275" s="93"/>
      <c r="M275" s="91"/>
      <c r="N275" s="94"/>
      <c r="O275" s="94"/>
      <c r="P275" s="95"/>
      <c r="Y275" s="54"/>
    </row>
    <row r="276" spans="1:25">
      <c r="A276" s="100"/>
      <c r="B276" s="93"/>
      <c r="C276" s="93"/>
      <c r="D276" s="93"/>
      <c r="E276" s="93"/>
      <c r="F276" s="93"/>
      <c r="G276" s="93"/>
      <c r="H276" s="93"/>
      <c r="I276" s="93"/>
      <c r="K276" s="92"/>
      <c r="L276" s="93"/>
      <c r="M276" s="91"/>
      <c r="N276" s="94"/>
      <c r="O276" s="94"/>
      <c r="P276" s="95"/>
      <c r="Y276" s="54"/>
    </row>
    <row r="277" spans="1:25">
      <c r="A277" s="100"/>
      <c r="B277" s="93"/>
      <c r="C277" s="93"/>
      <c r="D277" s="93"/>
      <c r="E277" s="93"/>
      <c r="F277" s="93"/>
      <c r="G277" s="93"/>
      <c r="H277" s="93"/>
      <c r="I277" s="93"/>
      <c r="K277" s="92"/>
      <c r="L277" s="93"/>
      <c r="M277" s="91"/>
      <c r="N277" s="94"/>
      <c r="O277" s="94"/>
      <c r="P277" s="95"/>
      <c r="Y277" s="54"/>
    </row>
    <row r="278" spans="1:25">
      <c r="A278" s="100"/>
      <c r="B278" s="93"/>
      <c r="C278" s="93"/>
      <c r="D278" s="93"/>
      <c r="E278" s="93"/>
      <c r="F278" s="93"/>
      <c r="G278" s="93"/>
      <c r="H278" s="93"/>
      <c r="I278" s="93"/>
      <c r="K278" s="92"/>
      <c r="L278" s="93"/>
      <c r="M278" s="91"/>
      <c r="N278" s="94"/>
      <c r="O278" s="94"/>
      <c r="P278" s="95"/>
      <c r="Y278" s="54"/>
    </row>
    <row r="279" spans="1:25">
      <c r="A279" s="100"/>
      <c r="B279" s="93"/>
      <c r="C279" s="93"/>
      <c r="D279" s="93"/>
      <c r="E279" s="93"/>
      <c r="F279" s="93"/>
      <c r="G279" s="93"/>
      <c r="H279" s="93"/>
      <c r="I279" s="93"/>
      <c r="K279" s="92"/>
      <c r="L279" s="93"/>
      <c r="M279" s="91"/>
      <c r="N279" s="94"/>
      <c r="O279" s="94"/>
      <c r="P279" s="95"/>
      <c r="Y279" s="54"/>
    </row>
    <row r="280" spans="1:25">
      <c r="A280" s="100"/>
      <c r="B280" s="93"/>
      <c r="C280" s="93"/>
      <c r="D280" s="93"/>
      <c r="E280" s="93"/>
      <c r="F280" s="93"/>
      <c r="G280" s="93"/>
      <c r="H280" s="93"/>
      <c r="I280" s="93"/>
      <c r="K280" s="92"/>
      <c r="L280" s="93"/>
      <c r="M280" s="91"/>
      <c r="N280" s="102"/>
      <c r="O280" s="94"/>
      <c r="P280" s="95"/>
      <c r="Y280" s="54"/>
    </row>
    <row r="281" spans="1:25">
      <c r="A281" s="100"/>
      <c r="B281" s="93"/>
      <c r="C281" s="93"/>
      <c r="D281" s="93"/>
      <c r="E281" s="93"/>
      <c r="F281" s="93"/>
      <c r="G281" s="93"/>
      <c r="H281" s="93"/>
      <c r="I281" s="93"/>
      <c r="K281" s="92"/>
      <c r="L281" s="93"/>
      <c r="M281" s="91"/>
      <c r="N281" s="102"/>
      <c r="O281" s="94"/>
      <c r="P281" s="95"/>
      <c r="Y281" s="54"/>
    </row>
    <row r="282" spans="1:25">
      <c r="A282" s="100"/>
      <c r="B282" s="93"/>
      <c r="C282" s="93"/>
      <c r="D282" s="93"/>
      <c r="E282" s="93"/>
      <c r="F282" s="93"/>
      <c r="G282" s="93"/>
      <c r="H282" s="93"/>
      <c r="I282" s="93"/>
      <c r="K282" s="92"/>
      <c r="L282" s="93"/>
      <c r="M282" s="91"/>
      <c r="N282" s="94"/>
      <c r="O282" s="94"/>
      <c r="P282" s="95"/>
      <c r="Y282" s="54"/>
    </row>
    <row r="283" spans="1:25">
      <c r="A283" s="100"/>
      <c r="B283" s="93"/>
      <c r="C283" s="93"/>
      <c r="D283" s="93"/>
      <c r="E283" s="93"/>
      <c r="F283" s="93"/>
      <c r="G283" s="93"/>
      <c r="H283" s="93"/>
      <c r="I283" s="93"/>
      <c r="K283" s="92"/>
      <c r="L283" s="93"/>
      <c r="M283" s="91"/>
      <c r="N283" s="94"/>
      <c r="O283" s="94"/>
      <c r="P283" s="95"/>
      <c r="Y283" s="54"/>
    </row>
    <row r="284" spans="1:25">
      <c r="A284" s="100"/>
      <c r="B284" s="93"/>
      <c r="C284" s="93"/>
      <c r="D284" s="93"/>
      <c r="E284" s="93"/>
      <c r="F284" s="93"/>
      <c r="G284" s="93"/>
      <c r="H284" s="93"/>
      <c r="I284" s="93"/>
      <c r="K284" s="92"/>
      <c r="L284" s="93"/>
      <c r="M284" s="91"/>
      <c r="N284" s="94"/>
      <c r="O284" s="94"/>
      <c r="P284" s="95"/>
      <c r="S284" s="99"/>
      <c r="T284" s="99"/>
      <c r="Y284" s="96"/>
    </row>
    <row r="285" spans="1:25">
      <c r="A285" s="100"/>
      <c r="B285" s="93"/>
      <c r="C285" s="93"/>
      <c r="D285" s="93"/>
      <c r="E285" s="93"/>
      <c r="F285" s="93"/>
      <c r="G285" s="93"/>
      <c r="H285" s="93"/>
      <c r="I285" s="93"/>
      <c r="K285" s="92"/>
      <c r="L285" s="93"/>
      <c r="M285" s="91"/>
      <c r="N285" s="94"/>
      <c r="O285" s="94"/>
      <c r="P285" s="95"/>
      <c r="S285" s="99"/>
      <c r="T285" s="99"/>
      <c r="Y285" s="96"/>
    </row>
    <row r="286" spans="1:25">
      <c r="A286" s="100"/>
      <c r="B286" s="93"/>
      <c r="C286" s="93"/>
      <c r="D286" s="93"/>
      <c r="E286" s="93"/>
      <c r="F286" s="93"/>
      <c r="G286" s="93"/>
      <c r="H286" s="93"/>
      <c r="I286" s="93"/>
      <c r="K286" s="92"/>
      <c r="L286" s="93"/>
      <c r="M286" s="91"/>
      <c r="N286" s="94"/>
      <c r="O286" s="94"/>
      <c r="P286" s="95"/>
      <c r="S286" s="99"/>
      <c r="T286" s="99"/>
      <c r="Y286" s="96"/>
    </row>
    <row r="287" spans="1:25">
      <c r="A287" s="100"/>
      <c r="B287" s="93"/>
      <c r="C287" s="93"/>
      <c r="D287" s="93"/>
      <c r="E287" s="93"/>
      <c r="F287" s="93"/>
      <c r="G287" s="93"/>
      <c r="H287" s="93"/>
      <c r="I287" s="93"/>
      <c r="K287" s="92"/>
      <c r="L287" s="93"/>
      <c r="M287" s="91"/>
      <c r="N287" s="94"/>
      <c r="O287" s="94"/>
      <c r="P287" s="95"/>
      <c r="S287" s="99"/>
      <c r="T287" s="99"/>
      <c r="Y287" s="96"/>
    </row>
    <row r="288" spans="1:25">
      <c r="A288" s="100"/>
      <c r="B288" s="93"/>
      <c r="C288" s="93"/>
      <c r="D288" s="93"/>
      <c r="E288" s="93"/>
      <c r="F288" s="93"/>
      <c r="G288" s="93"/>
      <c r="H288" s="93"/>
      <c r="I288" s="93"/>
      <c r="K288" s="92"/>
      <c r="L288" s="93"/>
      <c r="M288" s="91"/>
      <c r="N288" s="94"/>
      <c r="O288" s="94"/>
      <c r="P288" s="95"/>
      <c r="S288" s="99"/>
      <c r="T288" s="99"/>
      <c r="Y288" s="96"/>
    </row>
    <row r="289" spans="1:25">
      <c r="A289" s="100"/>
      <c r="B289" s="93"/>
      <c r="C289" s="93"/>
      <c r="D289" s="93"/>
      <c r="E289" s="93"/>
      <c r="F289" s="93"/>
      <c r="G289" s="93"/>
      <c r="H289" s="93"/>
      <c r="I289" s="93"/>
      <c r="K289" s="92"/>
      <c r="L289" s="93"/>
      <c r="M289" s="91"/>
      <c r="N289" s="94"/>
      <c r="O289" s="94"/>
      <c r="P289" s="95"/>
      <c r="Y289" s="54"/>
    </row>
    <row r="290" spans="1:25">
      <c r="A290" s="100"/>
      <c r="B290" s="93"/>
      <c r="C290" s="93"/>
      <c r="D290" s="93"/>
      <c r="E290" s="93"/>
      <c r="F290" s="93"/>
      <c r="G290" s="93"/>
      <c r="H290" s="93"/>
      <c r="I290" s="93"/>
      <c r="K290" s="92"/>
      <c r="L290" s="93"/>
      <c r="M290" s="91"/>
      <c r="N290" s="94"/>
      <c r="O290" s="94"/>
      <c r="P290" s="95"/>
      <c r="Y290" s="54"/>
    </row>
    <row r="291" spans="1:25">
      <c r="A291" s="100"/>
      <c r="B291" s="93"/>
      <c r="C291" s="93"/>
      <c r="D291" s="93"/>
      <c r="E291" s="93"/>
      <c r="F291" s="93"/>
      <c r="G291" s="93"/>
      <c r="H291" s="93"/>
      <c r="I291" s="93"/>
      <c r="K291" s="92"/>
      <c r="L291" s="93"/>
      <c r="M291" s="91"/>
      <c r="N291" s="94"/>
      <c r="O291" s="94"/>
      <c r="P291" s="95"/>
      <c r="Y291" s="54"/>
    </row>
    <row r="292" spans="1:25">
      <c r="A292" s="100"/>
      <c r="B292" s="93"/>
      <c r="C292" s="93"/>
      <c r="D292" s="93"/>
      <c r="E292" s="93"/>
      <c r="F292" s="93"/>
      <c r="G292" s="93"/>
      <c r="H292" s="93"/>
      <c r="I292" s="93"/>
      <c r="K292" s="92"/>
      <c r="L292" s="93"/>
      <c r="M292" s="91"/>
      <c r="N292" s="94"/>
      <c r="O292" s="94"/>
      <c r="P292" s="95"/>
      <c r="Y292" s="54"/>
    </row>
    <row r="293" spans="1:25">
      <c r="A293" s="100"/>
      <c r="B293" s="93"/>
      <c r="C293" s="93"/>
      <c r="D293" s="93"/>
      <c r="E293" s="93"/>
      <c r="F293" s="93"/>
      <c r="G293" s="93"/>
      <c r="H293" s="93"/>
      <c r="I293" s="93"/>
      <c r="K293" s="92"/>
      <c r="L293" s="93"/>
      <c r="M293" s="91"/>
      <c r="N293" s="94"/>
      <c r="O293" s="94"/>
      <c r="P293" s="95"/>
      <c r="Y293" s="54"/>
    </row>
    <row r="294" spans="1:25">
      <c r="A294" s="100"/>
      <c r="B294" s="93"/>
      <c r="C294" s="93"/>
      <c r="D294" s="93"/>
      <c r="E294" s="93"/>
      <c r="F294" s="93"/>
      <c r="G294" s="93"/>
      <c r="H294" s="93"/>
      <c r="I294" s="93"/>
      <c r="K294" s="92"/>
      <c r="L294" s="93"/>
      <c r="M294" s="91"/>
      <c r="N294" s="94"/>
      <c r="O294" s="94"/>
      <c r="P294" s="95"/>
      <c r="Y294" s="54"/>
    </row>
    <row r="295" spans="1:25">
      <c r="A295" s="100"/>
      <c r="B295" s="93"/>
      <c r="C295" s="93"/>
      <c r="D295" s="93"/>
      <c r="E295" s="93"/>
      <c r="F295" s="93"/>
      <c r="G295" s="93"/>
      <c r="H295" s="93"/>
      <c r="I295" s="93"/>
      <c r="K295" s="92"/>
      <c r="L295" s="93"/>
      <c r="M295" s="91"/>
      <c r="N295" s="94"/>
      <c r="O295" s="94"/>
      <c r="P295" s="95"/>
      <c r="Y295" s="54"/>
    </row>
    <row r="296" spans="1:25">
      <c r="A296" s="100"/>
      <c r="B296" s="93"/>
      <c r="C296" s="93"/>
      <c r="D296" s="93"/>
      <c r="E296" s="93"/>
      <c r="F296" s="93"/>
      <c r="G296" s="93"/>
      <c r="H296" s="93"/>
      <c r="I296" s="93"/>
      <c r="K296" s="92"/>
      <c r="L296" s="93"/>
      <c r="M296" s="91"/>
      <c r="N296" s="103"/>
      <c r="O296" s="94"/>
      <c r="P296" s="95"/>
      <c r="Y296" s="54"/>
    </row>
    <row r="297" spans="1:25">
      <c r="A297" s="100"/>
      <c r="B297" s="93"/>
      <c r="C297" s="93"/>
      <c r="D297" s="93"/>
      <c r="E297" s="93"/>
      <c r="F297" s="93"/>
      <c r="G297" s="93"/>
      <c r="H297" s="93"/>
      <c r="I297" s="93"/>
      <c r="K297" s="92"/>
      <c r="L297" s="93"/>
      <c r="M297" s="91"/>
      <c r="N297" s="94"/>
      <c r="O297" s="94"/>
      <c r="P297" s="95"/>
      <c r="Y297" s="54"/>
    </row>
    <row r="298" spans="1:25">
      <c r="A298" s="100"/>
      <c r="B298" s="93"/>
      <c r="C298" s="93"/>
      <c r="D298" s="93"/>
      <c r="E298" s="93"/>
      <c r="F298" s="93"/>
      <c r="G298" s="93"/>
      <c r="H298" s="93"/>
      <c r="I298" s="93"/>
      <c r="K298" s="92"/>
      <c r="L298" s="93"/>
      <c r="M298" s="91"/>
      <c r="N298" s="94"/>
      <c r="O298" s="94"/>
      <c r="P298" s="95"/>
      <c r="Y298" s="54"/>
    </row>
    <row r="299" spans="1:25">
      <c r="A299" s="100"/>
      <c r="B299" s="93"/>
      <c r="C299" s="93"/>
      <c r="D299" s="93"/>
      <c r="E299" s="93"/>
      <c r="F299" s="93"/>
      <c r="G299" s="93"/>
      <c r="H299" s="93"/>
      <c r="I299" s="93"/>
      <c r="K299" s="92"/>
      <c r="L299" s="93"/>
      <c r="M299" s="91"/>
      <c r="N299" s="94"/>
      <c r="O299" s="94"/>
      <c r="P299" s="95"/>
      <c r="Y299" s="54"/>
    </row>
    <row r="300" spans="1:25">
      <c r="A300" s="100"/>
      <c r="B300" s="93"/>
      <c r="C300" s="93"/>
      <c r="D300" s="93"/>
      <c r="E300" s="93"/>
      <c r="F300" s="93"/>
      <c r="G300" s="93"/>
      <c r="H300" s="93"/>
      <c r="I300" s="93"/>
      <c r="K300" s="92"/>
      <c r="L300" s="93"/>
      <c r="M300" s="91"/>
      <c r="N300" s="94"/>
      <c r="O300" s="94"/>
      <c r="P300" s="95"/>
      <c r="Y300" s="54"/>
    </row>
    <row r="301" spans="1:25">
      <c r="A301" s="100"/>
      <c r="B301" s="93"/>
      <c r="C301" s="93"/>
      <c r="D301" s="93"/>
      <c r="E301" s="93"/>
      <c r="F301" s="93"/>
      <c r="G301" s="93"/>
      <c r="H301" s="93"/>
      <c r="I301" s="93"/>
      <c r="K301" s="92"/>
      <c r="L301" s="93"/>
      <c r="M301" s="91"/>
      <c r="N301" s="94"/>
      <c r="O301" s="94"/>
      <c r="P301" s="95"/>
      <c r="Y301" s="54"/>
    </row>
    <row r="302" spans="1:25">
      <c r="A302" s="100"/>
      <c r="B302" s="93"/>
      <c r="C302" s="93"/>
      <c r="D302" s="93"/>
      <c r="E302" s="93"/>
      <c r="F302" s="93"/>
      <c r="G302" s="93"/>
      <c r="H302" s="93"/>
      <c r="I302" s="93"/>
      <c r="K302" s="92"/>
      <c r="L302" s="93"/>
      <c r="M302" s="91"/>
      <c r="N302" s="94"/>
      <c r="O302" s="94"/>
      <c r="P302" s="104"/>
      <c r="Y302" s="54"/>
    </row>
    <row r="303" spans="1:25">
      <c r="A303" s="100"/>
      <c r="B303" s="93"/>
      <c r="C303" s="93"/>
      <c r="D303" s="93"/>
      <c r="E303" s="93"/>
      <c r="F303" s="93"/>
      <c r="G303" s="93"/>
      <c r="H303" s="93"/>
      <c r="I303" s="93"/>
      <c r="K303" s="92"/>
      <c r="L303" s="93"/>
      <c r="M303" s="91"/>
      <c r="N303" s="94"/>
      <c r="O303" s="94"/>
      <c r="P303" s="104"/>
      <c r="Y303" s="54"/>
    </row>
    <row r="304" spans="1:25">
      <c r="A304" s="100"/>
      <c r="B304" s="93"/>
      <c r="C304" s="93"/>
      <c r="D304" s="93"/>
      <c r="E304" s="93"/>
      <c r="F304" s="93"/>
      <c r="G304" s="93"/>
      <c r="H304" s="93"/>
      <c r="I304" s="93"/>
      <c r="K304" s="92"/>
      <c r="L304" s="93"/>
      <c r="M304" s="91"/>
      <c r="N304" s="94"/>
      <c r="O304" s="94"/>
      <c r="P304" s="104"/>
      <c r="Y304" s="54"/>
    </row>
    <row r="305" spans="1:25">
      <c r="A305" s="100"/>
      <c r="B305" s="93"/>
      <c r="C305" s="93"/>
      <c r="D305" s="93"/>
      <c r="E305" s="93"/>
      <c r="F305" s="93"/>
      <c r="G305" s="93"/>
      <c r="H305" s="93"/>
      <c r="I305" s="93"/>
      <c r="K305" s="92"/>
      <c r="L305" s="93"/>
      <c r="M305" s="91"/>
      <c r="N305" s="94"/>
      <c r="O305" s="94"/>
      <c r="P305" s="104"/>
      <c r="Y305" s="54"/>
    </row>
    <row r="306" spans="1:25">
      <c r="A306" s="100"/>
      <c r="B306" s="93"/>
      <c r="C306" s="93"/>
      <c r="D306" s="93"/>
      <c r="E306" s="93"/>
      <c r="F306" s="93"/>
      <c r="G306" s="93"/>
      <c r="H306" s="93"/>
      <c r="I306" s="93"/>
      <c r="K306" s="92"/>
      <c r="L306" s="93"/>
      <c r="M306" s="91"/>
      <c r="N306" s="94"/>
      <c r="O306" s="94"/>
      <c r="P306" s="104"/>
      <c r="Y306" s="54"/>
    </row>
    <row r="307" spans="1:25">
      <c r="A307" s="100"/>
      <c r="B307" s="93"/>
      <c r="C307" s="93"/>
      <c r="D307" s="93"/>
      <c r="E307" s="93"/>
      <c r="F307" s="93"/>
      <c r="G307" s="93"/>
      <c r="H307" s="93"/>
      <c r="I307" s="93"/>
      <c r="K307" s="92"/>
      <c r="L307" s="93"/>
      <c r="M307" s="91"/>
      <c r="N307" s="94"/>
      <c r="O307" s="94"/>
      <c r="P307" s="104"/>
      <c r="Y307" s="54"/>
    </row>
    <row r="308" spans="1:25">
      <c r="A308" s="100"/>
      <c r="B308" s="93"/>
      <c r="C308" s="93"/>
      <c r="D308" s="93"/>
      <c r="E308" s="93"/>
      <c r="F308" s="93"/>
      <c r="G308" s="93"/>
      <c r="H308" s="93"/>
      <c r="I308" s="93"/>
      <c r="K308" s="92"/>
      <c r="L308" s="93"/>
      <c r="M308" s="91"/>
      <c r="N308" s="94"/>
      <c r="O308" s="94"/>
      <c r="P308" s="104"/>
      <c r="Y308" s="54"/>
    </row>
    <row r="309" spans="1:25">
      <c r="A309" s="100"/>
      <c r="B309" s="93"/>
      <c r="C309" s="93"/>
      <c r="D309" s="93"/>
      <c r="E309" s="93"/>
      <c r="F309" s="93"/>
      <c r="G309" s="93"/>
      <c r="H309" s="93"/>
      <c r="I309" s="93"/>
      <c r="K309" s="92"/>
      <c r="L309" s="93"/>
      <c r="M309" s="91"/>
      <c r="N309" s="94"/>
      <c r="O309" s="94"/>
      <c r="P309" s="104"/>
      <c r="Y309" s="54"/>
    </row>
    <row r="310" spans="1:25">
      <c r="A310" s="100"/>
      <c r="B310" s="93"/>
      <c r="C310" s="93"/>
      <c r="D310" s="93"/>
      <c r="E310" s="93"/>
      <c r="F310" s="93"/>
      <c r="G310" s="93"/>
      <c r="H310" s="93"/>
      <c r="I310" s="93"/>
      <c r="K310" s="92"/>
      <c r="L310" s="93"/>
      <c r="M310" s="91"/>
      <c r="N310" s="94"/>
      <c r="O310" s="94"/>
      <c r="P310" s="104"/>
      <c r="Y310" s="54"/>
    </row>
    <row r="311" spans="1:25">
      <c r="A311" s="100"/>
      <c r="B311" s="93"/>
      <c r="C311" s="93"/>
      <c r="D311" s="93"/>
      <c r="E311" s="93"/>
      <c r="F311" s="93"/>
      <c r="G311" s="93"/>
      <c r="H311" s="93"/>
      <c r="I311" s="93"/>
      <c r="K311" s="92"/>
      <c r="L311" s="93"/>
      <c r="M311" s="91"/>
      <c r="N311" s="94"/>
      <c r="O311" s="94"/>
      <c r="P311" s="104"/>
      <c r="Y311" s="54"/>
    </row>
    <row r="312" spans="1:25">
      <c r="A312" s="100"/>
      <c r="B312" s="93"/>
      <c r="C312" s="93"/>
      <c r="D312" s="93"/>
      <c r="E312" s="93"/>
      <c r="F312" s="93"/>
      <c r="G312" s="93"/>
      <c r="H312" s="93"/>
      <c r="I312" s="93"/>
      <c r="K312" s="92"/>
      <c r="L312" s="93"/>
      <c r="M312" s="91"/>
      <c r="N312" s="94"/>
      <c r="O312" s="94"/>
      <c r="P312" s="104"/>
      <c r="Y312" s="54"/>
    </row>
    <row r="313" spans="1:25">
      <c r="A313" s="100"/>
      <c r="B313" s="93"/>
      <c r="C313" s="93"/>
      <c r="D313" s="93"/>
      <c r="E313" s="93"/>
      <c r="F313" s="93"/>
      <c r="G313" s="93"/>
      <c r="H313" s="93"/>
      <c r="I313" s="93"/>
      <c r="K313" s="92"/>
      <c r="L313" s="93"/>
      <c r="M313" s="91"/>
      <c r="N313" s="94"/>
      <c r="O313" s="94"/>
      <c r="P313" s="104"/>
      <c r="Y313" s="54"/>
    </row>
    <row r="314" spans="1:25">
      <c r="A314" s="100"/>
      <c r="B314" s="93"/>
      <c r="C314" s="93"/>
      <c r="D314" s="93"/>
      <c r="E314" s="93"/>
      <c r="F314" s="93"/>
      <c r="G314" s="93"/>
      <c r="H314" s="93"/>
      <c r="I314" s="93"/>
      <c r="K314" s="92"/>
      <c r="L314" s="93"/>
      <c r="M314" s="91"/>
      <c r="N314" s="94"/>
      <c r="O314" s="94"/>
      <c r="P314" s="104"/>
      <c r="Y314" s="54"/>
    </row>
    <row r="315" spans="1:25">
      <c r="A315" s="100"/>
      <c r="B315" s="93"/>
      <c r="C315" s="93"/>
      <c r="D315" s="93"/>
      <c r="E315" s="93"/>
      <c r="F315" s="93"/>
      <c r="G315" s="93"/>
      <c r="H315" s="93"/>
      <c r="I315" s="93"/>
      <c r="K315" s="92"/>
      <c r="L315" s="93"/>
      <c r="M315" s="91"/>
      <c r="N315" s="94"/>
      <c r="O315" s="94"/>
      <c r="P315" s="104"/>
      <c r="Y315" s="54"/>
    </row>
    <row r="316" spans="1:25">
      <c r="A316" s="100"/>
      <c r="B316" s="93"/>
      <c r="C316" s="93"/>
      <c r="D316" s="93"/>
      <c r="E316" s="93"/>
      <c r="F316" s="93"/>
      <c r="G316" s="93"/>
      <c r="H316" s="93"/>
      <c r="I316" s="93"/>
      <c r="K316" s="92"/>
      <c r="L316" s="93"/>
      <c r="M316" s="91"/>
      <c r="N316" s="103"/>
      <c r="O316" s="94"/>
      <c r="P316" s="104"/>
      <c r="Y316" s="54"/>
    </row>
    <row r="317" spans="1:25">
      <c r="A317" s="100"/>
      <c r="B317" s="93"/>
      <c r="C317" s="93"/>
      <c r="D317" s="93"/>
      <c r="E317" s="93"/>
      <c r="F317" s="93"/>
      <c r="G317" s="93"/>
      <c r="H317" s="93"/>
      <c r="I317" s="93"/>
      <c r="K317" s="92"/>
      <c r="L317" s="93"/>
      <c r="M317" s="91"/>
      <c r="N317" s="94"/>
      <c r="O317" s="94"/>
      <c r="P317" s="104"/>
      <c r="Y317" s="54"/>
    </row>
    <row r="318" spans="1:25">
      <c r="A318" s="100"/>
      <c r="B318" s="93"/>
      <c r="C318" s="93"/>
      <c r="D318" s="93"/>
      <c r="E318" s="93"/>
      <c r="F318" s="93"/>
      <c r="G318" s="93"/>
      <c r="H318" s="93"/>
      <c r="I318" s="93"/>
      <c r="K318" s="92"/>
      <c r="L318" s="93"/>
      <c r="M318" s="91"/>
      <c r="N318" s="94"/>
      <c r="O318" s="94"/>
      <c r="P318" s="104"/>
      <c r="Y318" s="54"/>
    </row>
    <row r="319" spans="1:25">
      <c r="A319" s="100"/>
      <c r="B319" s="93"/>
      <c r="C319" s="93"/>
      <c r="D319" s="93"/>
      <c r="E319" s="93"/>
      <c r="F319" s="93"/>
      <c r="G319" s="93"/>
      <c r="H319" s="93"/>
      <c r="I319" s="93"/>
      <c r="K319" s="92"/>
      <c r="L319" s="93"/>
      <c r="M319" s="91"/>
      <c r="N319" s="94"/>
      <c r="O319" s="94"/>
      <c r="P319" s="104"/>
      <c r="Y319" s="54"/>
    </row>
    <row r="320" spans="1:25">
      <c r="A320" s="100"/>
      <c r="B320" s="93"/>
      <c r="C320" s="93"/>
      <c r="D320" s="93"/>
      <c r="E320" s="93"/>
      <c r="F320" s="93"/>
      <c r="G320" s="93"/>
      <c r="H320" s="93"/>
      <c r="I320" s="93"/>
      <c r="K320" s="92"/>
      <c r="L320" s="93"/>
      <c r="M320" s="91"/>
      <c r="N320" s="94"/>
      <c r="O320" s="94"/>
      <c r="P320" s="104"/>
      <c r="Y320" s="54"/>
    </row>
    <row r="321" spans="1:25">
      <c r="A321" s="100"/>
      <c r="B321" s="93"/>
      <c r="C321" s="93"/>
      <c r="D321" s="93"/>
      <c r="E321" s="93"/>
      <c r="F321" s="93"/>
      <c r="G321" s="93"/>
      <c r="H321" s="93"/>
      <c r="I321" s="93"/>
      <c r="K321" s="92"/>
      <c r="L321" s="93"/>
      <c r="M321" s="91"/>
      <c r="N321" s="94"/>
      <c r="O321" s="94"/>
      <c r="P321" s="104"/>
      <c r="Y321" s="54"/>
    </row>
    <row r="322" spans="1:25">
      <c r="A322" s="100"/>
      <c r="B322" s="93"/>
      <c r="C322" s="93"/>
      <c r="D322" s="93"/>
      <c r="E322" s="93"/>
      <c r="F322" s="93"/>
      <c r="G322" s="93"/>
      <c r="H322" s="93"/>
      <c r="I322" s="93"/>
      <c r="K322" s="92"/>
      <c r="L322" s="93"/>
      <c r="M322" s="91"/>
      <c r="N322" s="94"/>
      <c r="O322" s="94"/>
      <c r="P322" s="104"/>
      <c r="Y322" s="54"/>
    </row>
    <row r="323" spans="1:25">
      <c r="A323" s="100"/>
      <c r="B323" s="93"/>
      <c r="C323" s="93"/>
      <c r="D323" s="93"/>
      <c r="E323" s="93"/>
      <c r="F323" s="93"/>
      <c r="G323" s="93"/>
      <c r="H323" s="93"/>
      <c r="I323" s="93"/>
      <c r="K323" s="92"/>
      <c r="L323" s="93"/>
      <c r="M323" s="91"/>
      <c r="N323" s="94"/>
      <c r="O323" s="94"/>
      <c r="P323" s="104"/>
      <c r="Y323" s="54"/>
    </row>
    <row r="324" spans="1:25">
      <c r="A324" s="100"/>
      <c r="B324" s="93"/>
      <c r="C324" s="93"/>
      <c r="D324" s="93"/>
      <c r="E324" s="93"/>
      <c r="F324" s="93"/>
      <c r="G324" s="93"/>
      <c r="H324" s="93"/>
      <c r="I324" s="93"/>
      <c r="K324" s="92"/>
      <c r="L324" s="93"/>
      <c r="M324" s="91"/>
      <c r="N324" s="94"/>
      <c r="O324" s="94"/>
      <c r="P324" s="104"/>
      <c r="Y324" s="54"/>
    </row>
    <row r="325" spans="1:25">
      <c r="A325" s="100"/>
      <c r="B325" s="93"/>
      <c r="C325" s="93"/>
      <c r="D325" s="93"/>
      <c r="E325" s="93"/>
      <c r="F325" s="93"/>
      <c r="G325" s="93"/>
      <c r="H325" s="93"/>
      <c r="I325" s="93"/>
      <c r="K325" s="92"/>
      <c r="L325" s="93"/>
      <c r="M325" s="91"/>
      <c r="N325" s="94"/>
      <c r="O325" s="94"/>
      <c r="P325" s="104"/>
      <c r="Y325" s="54"/>
    </row>
    <row r="326" spans="1:25">
      <c r="A326" s="100"/>
      <c r="B326" s="93"/>
      <c r="C326" s="93"/>
      <c r="D326" s="93"/>
      <c r="E326" s="93"/>
      <c r="F326" s="93"/>
      <c r="G326" s="93"/>
      <c r="H326" s="93"/>
      <c r="I326" s="93"/>
      <c r="K326" s="92"/>
      <c r="L326" s="93"/>
      <c r="M326" s="91"/>
      <c r="N326" s="94"/>
      <c r="O326" s="94"/>
      <c r="P326" s="104"/>
      <c r="Y326" s="54"/>
    </row>
    <row r="327" spans="1:25">
      <c r="A327" s="100"/>
      <c r="B327" s="93"/>
      <c r="C327" s="93"/>
      <c r="D327" s="93"/>
      <c r="E327" s="93"/>
      <c r="F327" s="93"/>
      <c r="G327" s="93"/>
      <c r="H327" s="93"/>
      <c r="I327" s="93"/>
      <c r="K327" s="92"/>
      <c r="L327" s="93"/>
      <c r="M327" s="91"/>
      <c r="N327" s="94"/>
      <c r="O327" s="94"/>
      <c r="P327" s="104"/>
      <c r="Y327" s="54"/>
    </row>
    <row r="328" spans="1:25">
      <c r="A328" s="100"/>
      <c r="B328" s="93"/>
      <c r="C328" s="93"/>
      <c r="D328" s="93"/>
      <c r="E328" s="93"/>
      <c r="F328" s="93"/>
      <c r="G328" s="93"/>
      <c r="H328" s="93"/>
      <c r="I328" s="93"/>
      <c r="K328" s="92"/>
      <c r="L328" s="93"/>
      <c r="M328" s="91"/>
      <c r="N328" s="94"/>
      <c r="O328" s="94"/>
      <c r="P328" s="104"/>
      <c r="Y328" s="54"/>
    </row>
    <row r="329" spans="1:25">
      <c r="A329" s="100"/>
      <c r="B329" s="93"/>
      <c r="C329" s="93"/>
      <c r="D329" s="93"/>
      <c r="E329" s="93"/>
      <c r="F329" s="93"/>
      <c r="G329" s="93"/>
      <c r="H329" s="93"/>
      <c r="I329" s="93"/>
      <c r="K329" s="92"/>
      <c r="L329" s="93"/>
      <c r="M329" s="91"/>
      <c r="N329" s="103"/>
      <c r="O329" s="94"/>
      <c r="P329" s="104"/>
      <c r="Y329" s="54"/>
    </row>
    <row r="330" spans="1:25">
      <c r="A330" s="100"/>
      <c r="B330" s="93"/>
      <c r="C330" s="93"/>
      <c r="D330" s="93"/>
      <c r="E330" s="93"/>
      <c r="F330" s="93"/>
      <c r="G330" s="93"/>
      <c r="H330" s="93"/>
      <c r="I330" s="93"/>
      <c r="K330" s="92"/>
      <c r="L330" s="93"/>
      <c r="M330" s="91"/>
      <c r="N330" s="94"/>
      <c r="O330" s="94"/>
      <c r="P330" s="104"/>
      <c r="Y330" s="54"/>
    </row>
    <row r="331" spans="1:25">
      <c r="A331" s="100"/>
      <c r="B331" s="93"/>
      <c r="C331" s="93"/>
      <c r="D331" s="93"/>
      <c r="E331" s="93"/>
      <c r="F331" s="93"/>
      <c r="G331" s="93"/>
      <c r="H331" s="93"/>
      <c r="I331" s="93"/>
      <c r="K331" s="92"/>
      <c r="L331" s="93"/>
      <c r="M331" s="91"/>
      <c r="N331" s="94"/>
      <c r="O331" s="94"/>
      <c r="P331" s="104"/>
      <c r="Y331" s="54"/>
    </row>
    <row r="332" spans="1:25">
      <c r="A332" s="100"/>
      <c r="B332" s="93"/>
      <c r="C332" s="93"/>
      <c r="D332" s="93"/>
      <c r="E332" s="93"/>
      <c r="F332" s="93"/>
      <c r="G332" s="93"/>
      <c r="H332" s="93"/>
      <c r="I332" s="93"/>
      <c r="K332" s="92"/>
      <c r="L332" s="93"/>
      <c r="M332" s="91"/>
      <c r="N332" s="94"/>
      <c r="O332" s="94"/>
      <c r="P332" s="104"/>
      <c r="Y332" s="54"/>
    </row>
    <row r="333" spans="1:25">
      <c r="A333" s="100"/>
      <c r="B333" s="93"/>
      <c r="C333" s="93"/>
      <c r="D333" s="93"/>
      <c r="E333" s="93"/>
      <c r="F333" s="93"/>
      <c r="G333" s="93"/>
      <c r="H333" s="93"/>
      <c r="I333" s="93"/>
      <c r="K333" s="92"/>
      <c r="L333" s="93"/>
      <c r="M333" s="91"/>
      <c r="N333" s="94"/>
      <c r="O333" s="94"/>
      <c r="P333" s="104"/>
      <c r="Y333" s="54"/>
    </row>
    <row r="334" spans="1:25">
      <c r="A334" s="100"/>
      <c r="B334" s="93"/>
      <c r="C334" s="93"/>
      <c r="D334" s="93"/>
      <c r="E334" s="93"/>
      <c r="F334" s="93"/>
      <c r="G334" s="93"/>
      <c r="H334" s="93"/>
      <c r="I334" s="93"/>
      <c r="K334" s="92"/>
      <c r="L334" s="93"/>
      <c r="M334" s="91"/>
      <c r="N334" s="94"/>
      <c r="O334" s="94"/>
      <c r="P334" s="104"/>
      <c r="Y334" s="54"/>
    </row>
    <row r="335" spans="1:25">
      <c r="A335" s="100"/>
      <c r="B335" s="93"/>
      <c r="C335" s="93"/>
      <c r="D335" s="93"/>
      <c r="E335" s="93"/>
      <c r="F335" s="93"/>
      <c r="G335" s="93"/>
      <c r="H335" s="93"/>
      <c r="I335" s="93"/>
      <c r="K335" s="92"/>
      <c r="L335" s="93"/>
      <c r="M335" s="91"/>
      <c r="N335" s="94"/>
      <c r="O335" s="94"/>
      <c r="P335" s="104"/>
      <c r="Y335" s="54"/>
    </row>
    <row r="336" spans="1:25">
      <c r="A336" s="100"/>
      <c r="B336" s="93"/>
      <c r="C336" s="93"/>
      <c r="D336" s="93"/>
      <c r="E336" s="93"/>
      <c r="F336" s="93"/>
      <c r="G336" s="93"/>
      <c r="H336" s="93"/>
      <c r="I336" s="93"/>
      <c r="K336" s="92"/>
      <c r="L336" s="93"/>
      <c r="M336" s="91"/>
      <c r="N336" s="94"/>
      <c r="O336" s="94"/>
      <c r="P336" s="104"/>
      <c r="Y336" s="54"/>
    </row>
    <row r="337" spans="1:25">
      <c r="A337" s="100"/>
      <c r="B337" s="93"/>
      <c r="C337" s="93"/>
      <c r="D337" s="93"/>
      <c r="E337" s="93"/>
      <c r="F337" s="93"/>
      <c r="G337" s="93"/>
      <c r="H337" s="93"/>
      <c r="I337" s="93"/>
      <c r="K337" s="92"/>
      <c r="L337" s="93"/>
      <c r="M337" s="91"/>
      <c r="N337" s="94"/>
      <c r="O337" s="94"/>
      <c r="P337" s="104"/>
      <c r="Y337" s="54"/>
    </row>
    <row r="338" spans="1:25">
      <c r="A338" s="100"/>
      <c r="B338" s="93"/>
      <c r="C338" s="93"/>
      <c r="D338" s="93"/>
      <c r="E338" s="93"/>
      <c r="F338" s="93"/>
      <c r="G338" s="93"/>
      <c r="H338" s="93"/>
      <c r="I338" s="93"/>
      <c r="K338" s="92"/>
      <c r="L338" s="93"/>
      <c r="M338" s="91"/>
      <c r="N338" s="94"/>
      <c r="O338" s="94"/>
      <c r="P338" s="104"/>
      <c r="Y338" s="54"/>
    </row>
    <row r="339" spans="1:25">
      <c r="A339" s="100"/>
      <c r="B339" s="93"/>
      <c r="C339" s="93"/>
      <c r="D339" s="93"/>
      <c r="E339" s="93"/>
      <c r="F339" s="93"/>
      <c r="G339" s="93"/>
      <c r="H339" s="93"/>
      <c r="I339" s="93"/>
      <c r="K339" s="92"/>
      <c r="L339" s="93"/>
      <c r="M339" s="91"/>
      <c r="N339" s="94"/>
      <c r="O339" s="94"/>
      <c r="P339" s="104"/>
      <c r="Y339" s="54"/>
    </row>
    <row r="340" spans="1:25">
      <c r="A340" s="100"/>
      <c r="B340" s="93"/>
      <c r="C340" s="93"/>
      <c r="D340" s="93"/>
      <c r="E340" s="93"/>
      <c r="F340" s="93"/>
      <c r="G340" s="93"/>
      <c r="H340" s="93"/>
      <c r="I340" s="93"/>
      <c r="K340" s="92"/>
      <c r="L340" s="93"/>
      <c r="M340" s="91"/>
      <c r="N340" s="103"/>
      <c r="O340" s="94"/>
      <c r="P340" s="104"/>
      <c r="Y340" s="54"/>
    </row>
    <row r="341" spans="1:25">
      <c r="A341" s="100"/>
      <c r="B341" s="93"/>
      <c r="C341" s="93"/>
      <c r="D341" s="93"/>
      <c r="E341" s="93"/>
      <c r="F341" s="93"/>
      <c r="G341" s="93"/>
      <c r="H341" s="93"/>
      <c r="I341" s="93"/>
      <c r="K341" s="92"/>
      <c r="L341" s="93"/>
      <c r="M341" s="91"/>
      <c r="N341" s="103"/>
      <c r="O341" s="94"/>
      <c r="P341" s="104"/>
      <c r="Y341" s="54"/>
    </row>
    <row r="342" spans="1:25">
      <c r="A342" s="100"/>
      <c r="B342" s="93"/>
      <c r="K342" s="92"/>
      <c r="L342" s="93"/>
      <c r="M342" s="91"/>
      <c r="N342" s="103"/>
      <c r="O342" s="94"/>
      <c r="P342" s="105"/>
      <c r="Y342" s="96"/>
    </row>
    <row r="343" spans="1:25">
      <c r="A343" s="100"/>
      <c r="B343" s="93"/>
      <c r="C343" s="93"/>
      <c r="D343" s="93"/>
      <c r="E343" s="93"/>
      <c r="F343" s="93"/>
      <c r="G343" s="93"/>
      <c r="H343" s="93"/>
      <c r="I343" s="93"/>
      <c r="K343" s="92"/>
      <c r="L343" s="93"/>
      <c r="M343" s="91"/>
      <c r="N343" s="94"/>
      <c r="O343" s="94"/>
      <c r="P343" s="95"/>
      <c r="Y343" s="96"/>
    </row>
    <row r="344" spans="1:25">
      <c r="A344" s="100"/>
      <c r="B344" s="93"/>
      <c r="C344" s="93"/>
      <c r="D344" s="93"/>
      <c r="E344" s="93"/>
      <c r="F344" s="93"/>
      <c r="G344" s="93"/>
      <c r="H344" s="93"/>
      <c r="I344" s="93"/>
      <c r="K344" s="92"/>
      <c r="L344" s="93"/>
      <c r="M344" s="91"/>
      <c r="N344" s="94"/>
      <c r="O344" s="94"/>
      <c r="P344" s="95"/>
      <c r="Y344" s="96"/>
    </row>
    <row r="345" spans="1:25">
      <c r="A345" s="100"/>
      <c r="B345" s="93"/>
      <c r="C345" s="93"/>
      <c r="D345" s="93"/>
      <c r="E345" s="93"/>
      <c r="F345" s="93"/>
      <c r="G345" s="93"/>
      <c r="H345" s="93"/>
      <c r="I345" s="93"/>
      <c r="K345" s="92"/>
      <c r="L345" s="93"/>
      <c r="M345" s="91"/>
      <c r="N345" s="94"/>
      <c r="O345" s="94"/>
      <c r="P345" s="95"/>
      <c r="Y345" s="96"/>
    </row>
    <row r="346" spans="1:25">
      <c r="A346" s="100"/>
      <c r="B346" s="93"/>
      <c r="K346" s="92"/>
      <c r="L346" s="93"/>
      <c r="M346" s="91"/>
      <c r="N346" s="103"/>
      <c r="O346" s="94"/>
      <c r="P346" s="105"/>
      <c r="Y346" s="54"/>
    </row>
    <row r="347" spans="1:25">
      <c r="A347" s="100"/>
      <c r="B347" s="93"/>
      <c r="K347" s="92"/>
      <c r="L347" s="93"/>
      <c r="M347" s="91"/>
      <c r="N347" s="103"/>
      <c r="O347" s="94"/>
      <c r="P347" s="105"/>
      <c r="Y347" s="54"/>
    </row>
    <row r="348" spans="1:25">
      <c r="A348" s="100"/>
      <c r="B348" s="93"/>
      <c r="K348" s="92"/>
      <c r="L348" s="93"/>
      <c r="M348" s="91"/>
      <c r="N348" s="103"/>
      <c r="O348" s="94"/>
      <c r="P348" s="105"/>
      <c r="Y348" s="54"/>
    </row>
    <row r="349" spans="1:25">
      <c r="A349" s="100"/>
      <c r="B349" s="93"/>
      <c r="K349" s="92"/>
      <c r="L349" s="93"/>
      <c r="M349" s="91"/>
      <c r="N349" s="103"/>
      <c r="O349" s="94"/>
      <c r="P349" s="105"/>
      <c r="Y349" s="54"/>
    </row>
    <row r="350" spans="1:25">
      <c r="A350" s="100"/>
      <c r="B350" s="93"/>
      <c r="K350" s="92"/>
      <c r="L350" s="93"/>
      <c r="M350" s="91"/>
      <c r="N350" s="103"/>
      <c r="O350" s="94"/>
      <c r="P350" s="105"/>
      <c r="Y350" s="54"/>
    </row>
    <row r="351" spans="1:25">
      <c r="A351" s="100"/>
      <c r="K351" s="92"/>
      <c r="L351" s="93"/>
      <c r="M351" s="91"/>
      <c r="N351" s="103"/>
      <c r="O351" s="94"/>
      <c r="P351" s="105"/>
      <c r="Y351" s="54"/>
    </row>
    <row r="352" spans="1:25">
      <c r="A352" s="100"/>
      <c r="K352" s="92"/>
      <c r="L352" s="93"/>
      <c r="M352" s="91"/>
      <c r="N352" s="103"/>
      <c r="O352" s="94"/>
      <c r="P352" s="105"/>
      <c r="Y352" s="54"/>
    </row>
    <row r="353" spans="1:25">
      <c r="A353" s="100"/>
      <c r="K353" s="92"/>
      <c r="L353" s="93"/>
      <c r="M353" s="91"/>
      <c r="N353" s="103"/>
      <c r="O353" s="94"/>
      <c r="P353" s="105"/>
      <c r="Y353" s="54"/>
    </row>
    <row r="354" spans="1:25">
      <c r="A354" s="100"/>
      <c r="K354" s="92"/>
      <c r="L354" s="93"/>
      <c r="M354" s="91"/>
      <c r="N354" s="103"/>
      <c r="O354" s="94"/>
      <c r="P354" s="105"/>
      <c r="Y354" s="54"/>
    </row>
    <row r="355" spans="1:25">
      <c r="A355" s="100"/>
      <c r="K355" s="92"/>
      <c r="L355" s="93"/>
      <c r="M355" s="91"/>
      <c r="N355" s="103"/>
      <c r="O355" s="94"/>
      <c r="P355" s="105"/>
      <c r="Y355" s="54"/>
    </row>
    <row r="356" spans="1:25">
      <c r="A356" s="100"/>
      <c r="K356" s="92"/>
      <c r="L356" s="93"/>
      <c r="M356" s="91"/>
      <c r="N356" s="103"/>
      <c r="O356" s="94"/>
      <c r="P356" s="105"/>
      <c r="Y356" s="54"/>
    </row>
    <row r="357" spans="1:25">
      <c r="A357" s="100"/>
      <c r="K357" s="92"/>
      <c r="L357" s="93"/>
      <c r="M357" s="91"/>
      <c r="N357" s="103"/>
      <c r="O357" s="94"/>
      <c r="P357" s="105"/>
      <c r="Y357" s="54"/>
    </row>
    <row r="358" spans="1:25">
      <c r="A358" s="100"/>
      <c r="K358" s="92"/>
      <c r="L358" s="93"/>
      <c r="M358" s="91"/>
      <c r="N358" s="103"/>
      <c r="O358" s="94"/>
      <c r="P358" s="105"/>
      <c r="Y358" s="54"/>
    </row>
    <row r="359" spans="1:25">
      <c r="A359" s="100"/>
      <c r="K359" s="92"/>
      <c r="L359" s="93"/>
      <c r="M359" s="91"/>
      <c r="N359" s="103"/>
      <c r="O359" s="94"/>
      <c r="P359" s="105"/>
      <c r="Y359" s="54"/>
    </row>
    <row r="360" spans="1:25">
      <c r="A360" s="100"/>
      <c r="K360" s="92"/>
      <c r="L360" s="93"/>
      <c r="M360" s="91"/>
      <c r="N360" s="103"/>
      <c r="O360" s="94"/>
      <c r="P360" s="105"/>
      <c r="Y360" s="54"/>
    </row>
    <row r="361" spans="1:25">
      <c r="A361" s="54"/>
      <c r="B361" s="54"/>
      <c r="K361" s="92"/>
      <c r="L361" s="93"/>
      <c r="M361" s="91"/>
      <c r="N361" s="103"/>
      <c r="O361" s="94"/>
      <c r="P361" s="105"/>
      <c r="Y361" s="54"/>
    </row>
    <row r="362" spans="1:25">
      <c r="A362" s="100"/>
      <c r="B362" s="100"/>
      <c r="C362" s="93"/>
      <c r="D362" s="93"/>
      <c r="E362" s="93"/>
      <c r="F362" s="93"/>
      <c r="G362" s="93"/>
      <c r="H362" s="93"/>
      <c r="I362" s="93"/>
      <c r="K362" s="92"/>
      <c r="L362" s="93"/>
      <c r="M362" s="91"/>
      <c r="N362" s="94"/>
      <c r="O362" s="94"/>
      <c r="P362" s="106"/>
      <c r="Y362" s="54"/>
    </row>
    <row r="363" spans="1:25">
      <c r="A363" s="100"/>
      <c r="B363" s="100"/>
      <c r="C363" s="93"/>
      <c r="D363" s="93"/>
      <c r="E363" s="93"/>
      <c r="F363" s="93"/>
      <c r="G363" s="93"/>
      <c r="H363" s="93"/>
      <c r="I363" s="93"/>
      <c r="K363" s="92"/>
      <c r="L363" s="93"/>
      <c r="M363" s="91"/>
      <c r="N363" s="94"/>
      <c r="O363" s="94"/>
      <c r="P363" s="106"/>
      <c r="Y363" s="54"/>
    </row>
    <row r="364" spans="1:25">
      <c r="A364" s="100"/>
      <c r="B364" s="100"/>
      <c r="C364" s="93"/>
      <c r="D364" s="93"/>
      <c r="E364" s="93"/>
      <c r="F364" s="93"/>
      <c r="G364" s="93"/>
      <c r="H364" s="93"/>
      <c r="I364" s="93"/>
      <c r="K364" s="92"/>
      <c r="L364" s="93"/>
      <c r="M364" s="91"/>
      <c r="N364" s="94"/>
      <c r="O364" s="94"/>
      <c r="P364" s="106"/>
      <c r="Y364" s="54"/>
    </row>
    <row r="365" spans="1:25">
      <c r="A365" s="100"/>
      <c r="B365" s="100"/>
      <c r="C365" s="93"/>
      <c r="D365" s="93"/>
      <c r="E365" s="93"/>
      <c r="F365" s="93"/>
      <c r="G365" s="93"/>
      <c r="H365" s="93"/>
      <c r="I365" s="93"/>
      <c r="K365" s="92"/>
      <c r="L365" s="93"/>
      <c r="M365" s="91"/>
      <c r="N365" s="94"/>
      <c r="O365" s="94"/>
      <c r="P365" s="106"/>
      <c r="Y365" s="54"/>
    </row>
    <row r="366" spans="1:25">
      <c r="A366" s="100"/>
      <c r="B366" s="100"/>
      <c r="C366" s="93"/>
      <c r="D366" s="93"/>
      <c r="E366" s="93"/>
      <c r="F366" s="93"/>
      <c r="G366" s="93"/>
      <c r="H366" s="93"/>
      <c r="I366" s="93"/>
      <c r="K366" s="92"/>
      <c r="L366" s="93"/>
      <c r="M366" s="91"/>
      <c r="N366" s="94"/>
      <c r="O366" s="94"/>
      <c r="P366" s="106"/>
      <c r="Y366" s="54"/>
    </row>
    <row r="367" spans="1:25">
      <c r="A367" s="100"/>
      <c r="B367" s="100"/>
      <c r="C367" s="93"/>
      <c r="D367" s="93"/>
      <c r="E367" s="93"/>
      <c r="F367" s="93"/>
      <c r="G367" s="93"/>
      <c r="H367" s="93"/>
      <c r="I367" s="93"/>
      <c r="K367" s="92"/>
      <c r="L367" s="93"/>
      <c r="M367" s="91"/>
      <c r="N367" s="94"/>
      <c r="O367" s="94"/>
      <c r="P367" s="106"/>
      <c r="Y367" s="54"/>
    </row>
    <row r="368" spans="1:25">
      <c r="A368" s="100"/>
      <c r="B368" s="100"/>
      <c r="C368" s="93"/>
      <c r="D368" s="93"/>
      <c r="E368" s="93"/>
      <c r="F368" s="93"/>
      <c r="G368" s="93"/>
      <c r="H368" s="93"/>
      <c r="I368" s="93"/>
      <c r="K368" s="92"/>
      <c r="L368" s="93"/>
      <c r="M368" s="91"/>
      <c r="N368" s="94"/>
      <c r="O368" s="94"/>
      <c r="P368" s="106"/>
      <c r="Y368" s="54"/>
    </row>
    <row r="369" spans="1:25">
      <c r="A369" s="100"/>
      <c r="B369" s="100"/>
      <c r="C369" s="93"/>
      <c r="D369" s="93"/>
      <c r="E369" s="93"/>
      <c r="F369" s="93"/>
      <c r="G369" s="93"/>
      <c r="H369" s="93"/>
      <c r="I369" s="93"/>
      <c r="K369" s="92"/>
      <c r="L369" s="93"/>
      <c r="M369" s="91"/>
      <c r="N369" s="94"/>
      <c r="O369" s="94"/>
      <c r="P369" s="106"/>
      <c r="Y369" s="54"/>
    </row>
    <row r="370" spans="1:25">
      <c r="A370" s="100"/>
      <c r="B370" s="100"/>
      <c r="C370" s="93"/>
      <c r="D370" s="93"/>
      <c r="E370" s="93"/>
      <c r="F370" s="93"/>
      <c r="G370" s="93"/>
      <c r="H370" s="93"/>
      <c r="I370" s="93"/>
      <c r="K370" s="92"/>
      <c r="L370" s="93"/>
      <c r="M370" s="91"/>
      <c r="N370" s="94"/>
      <c r="O370" s="94"/>
      <c r="P370" s="106"/>
      <c r="Y370" s="54"/>
    </row>
    <row r="371" spans="1:25">
      <c r="A371" s="100"/>
      <c r="B371" s="100"/>
      <c r="C371" s="93"/>
      <c r="D371" s="93"/>
      <c r="E371" s="93"/>
      <c r="F371" s="93"/>
      <c r="G371" s="93"/>
      <c r="H371" s="93"/>
      <c r="I371" s="93"/>
      <c r="K371" s="92"/>
      <c r="L371" s="93"/>
      <c r="M371" s="91"/>
      <c r="N371" s="94"/>
      <c r="O371" s="94"/>
      <c r="P371" s="106"/>
      <c r="Y371" s="54"/>
    </row>
    <row r="372" spans="1:25">
      <c r="A372" s="100"/>
      <c r="B372" s="100"/>
      <c r="C372" s="93"/>
      <c r="D372" s="93"/>
      <c r="E372" s="93"/>
      <c r="F372" s="93"/>
      <c r="G372" s="93"/>
      <c r="H372" s="93"/>
      <c r="I372" s="93"/>
      <c r="K372" s="92"/>
      <c r="L372" s="93"/>
      <c r="M372" s="91"/>
      <c r="N372" s="94"/>
      <c r="O372" s="94"/>
      <c r="P372" s="106"/>
      <c r="Y372" s="54"/>
    </row>
    <row r="373" spans="1:25">
      <c r="A373" s="100"/>
      <c r="B373" s="100"/>
      <c r="C373" s="93"/>
      <c r="D373" s="93"/>
      <c r="E373" s="93"/>
      <c r="F373" s="93"/>
      <c r="G373" s="93"/>
      <c r="H373" s="93"/>
      <c r="I373" s="93"/>
      <c r="K373" s="92"/>
      <c r="L373" s="93"/>
      <c r="M373" s="91"/>
      <c r="N373" s="94"/>
      <c r="O373" s="94"/>
      <c r="P373" s="106"/>
      <c r="Y373" s="54"/>
    </row>
    <row r="374" spans="1:25">
      <c r="A374" s="100"/>
      <c r="B374" s="100"/>
      <c r="C374" s="93"/>
      <c r="D374" s="93"/>
      <c r="E374" s="93"/>
      <c r="F374" s="93"/>
      <c r="G374" s="93"/>
      <c r="H374" s="93"/>
      <c r="I374" s="93"/>
      <c r="K374" s="92"/>
      <c r="L374" s="93"/>
      <c r="M374" s="91"/>
      <c r="N374" s="94"/>
      <c r="O374" s="94"/>
      <c r="P374" s="106"/>
      <c r="Y374" s="54"/>
    </row>
    <row r="375" spans="1:25">
      <c r="A375" s="100"/>
      <c r="B375" s="100"/>
      <c r="C375" s="93"/>
      <c r="D375" s="93"/>
      <c r="E375" s="93"/>
      <c r="F375" s="93"/>
      <c r="G375" s="93"/>
      <c r="H375" s="93"/>
      <c r="I375" s="93"/>
      <c r="K375" s="92"/>
      <c r="L375" s="93"/>
      <c r="M375" s="91"/>
      <c r="N375" s="94"/>
      <c r="O375" s="94"/>
      <c r="P375" s="106"/>
      <c r="Y375" s="54"/>
    </row>
    <row r="376" spans="1:25">
      <c r="A376" s="100"/>
      <c r="B376" s="100"/>
      <c r="C376" s="93"/>
      <c r="D376" s="93"/>
      <c r="E376" s="93"/>
      <c r="F376" s="93"/>
      <c r="G376" s="93"/>
      <c r="H376" s="93"/>
      <c r="I376" s="93"/>
      <c r="K376" s="92"/>
      <c r="L376" s="93"/>
      <c r="M376" s="91"/>
      <c r="N376" s="94"/>
      <c r="O376" s="94"/>
      <c r="P376" s="106"/>
      <c r="Y376" s="54"/>
    </row>
    <row r="377" spans="1:25">
      <c r="A377" s="100"/>
      <c r="B377" s="100"/>
      <c r="C377" s="93"/>
      <c r="D377" s="93"/>
      <c r="E377" s="93"/>
      <c r="F377" s="93"/>
      <c r="G377" s="93"/>
      <c r="H377" s="93"/>
      <c r="I377" s="93"/>
      <c r="K377" s="92"/>
      <c r="L377" s="93"/>
      <c r="M377" s="91"/>
      <c r="N377" s="94"/>
      <c r="O377" s="94"/>
      <c r="P377" s="106"/>
      <c r="Y377" s="54"/>
    </row>
    <row r="378" spans="1:25">
      <c r="A378" s="100"/>
      <c r="B378" s="100"/>
      <c r="C378" s="93"/>
      <c r="D378" s="93"/>
      <c r="E378" s="93"/>
      <c r="F378" s="93"/>
      <c r="G378" s="93"/>
      <c r="H378" s="93"/>
      <c r="I378" s="93"/>
      <c r="K378" s="92"/>
      <c r="L378" s="93"/>
      <c r="M378" s="91"/>
      <c r="N378" s="94"/>
      <c r="O378" s="94"/>
      <c r="P378" s="106"/>
      <c r="Y378" s="54"/>
    </row>
    <row r="379" spans="1:25">
      <c r="A379" s="100"/>
      <c r="B379" s="100"/>
      <c r="C379" s="93"/>
      <c r="D379" s="93"/>
      <c r="E379" s="93"/>
      <c r="F379" s="93"/>
      <c r="G379" s="93"/>
      <c r="H379" s="93"/>
      <c r="I379" s="93"/>
      <c r="K379" s="92"/>
      <c r="L379" s="93"/>
      <c r="M379" s="91"/>
      <c r="N379" s="94"/>
      <c r="O379" s="94"/>
      <c r="P379" s="106"/>
      <c r="Y379" s="54"/>
    </row>
    <row r="380" spans="1:25">
      <c r="A380" s="100"/>
      <c r="B380" s="100"/>
      <c r="C380" s="93"/>
      <c r="D380" s="93"/>
      <c r="E380" s="93"/>
      <c r="F380" s="93"/>
      <c r="G380" s="93"/>
      <c r="H380" s="93"/>
      <c r="I380" s="93"/>
      <c r="K380" s="92"/>
      <c r="L380" s="93"/>
      <c r="M380" s="91"/>
      <c r="N380" s="94"/>
      <c r="O380" s="94"/>
      <c r="P380" s="106"/>
      <c r="Y380" s="54"/>
    </row>
    <row r="381" spans="1:25">
      <c r="A381" s="100"/>
      <c r="B381" s="100"/>
      <c r="C381" s="93"/>
      <c r="D381" s="93"/>
      <c r="E381" s="93"/>
      <c r="F381" s="93"/>
      <c r="G381" s="93"/>
      <c r="H381" s="93"/>
      <c r="I381" s="93"/>
      <c r="K381" s="92"/>
      <c r="L381" s="93"/>
      <c r="M381" s="91"/>
      <c r="N381" s="94"/>
      <c r="O381" s="94"/>
      <c r="P381" s="106"/>
      <c r="Y381" s="54"/>
    </row>
    <row r="382" spans="1:25">
      <c r="K382" s="92"/>
      <c r="L382" s="93"/>
      <c r="M382" s="91"/>
      <c r="N382" s="103"/>
      <c r="O382" s="94"/>
      <c r="P382" s="105"/>
      <c r="Y382" s="54"/>
    </row>
    <row r="383" spans="1:25">
      <c r="K383" s="92"/>
      <c r="L383" s="93"/>
      <c r="M383" s="91"/>
      <c r="N383" s="103"/>
      <c r="O383" s="94"/>
      <c r="P383" s="105"/>
      <c r="Y383" s="54"/>
    </row>
    <row r="384" spans="1:25">
      <c r="K384" s="92"/>
      <c r="L384" s="93"/>
      <c r="M384" s="91"/>
      <c r="N384" s="103"/>
      <c r="O384" s="94"/>
      <c r="P384" s="105"/>
      <c r="Y384" s="54"/>
    </row>
    <row r="385" spans="11:25">
      <c r="K385" s="92"/>
      <c r="L385" s="93"/>
      <c r="M385" s="91"/>
      <c r="N385" s="103"/>
      <c r="O385" s="94"/>
      <c r="P385" s="105"/>
      <c r="Y385" s="54"/>
    </row>
    <row r="386" spans="11:25">
      <c r="K386" s="92"/>
      <c r="L386" s="93"/>
      <c r="M386" s="91"/>
      <c r="N386" s="103"/>
      <c r="O386" s="94"/>
      <c r="P386" s="105"/>
      <c r="Y386" s="54"/>
    </row>
    <row r="387" spans="11:25">
      <c r="K387" s="92"/>
      <c r="L387" s="93"/>
      <c r="M387" s="91"/>
      <c r="N387" s="103"/>
      <c r="O387" s="94"/>
      <c r="P387" s="105"/>
      <c r="Y387" s="54"/>
    </row>
    <row r="388" spans="11:25">
      <c r="K388" s="92"/>
      <c r="L388" s="93"/>
      <c r="M388" s="91"/>
      <c r="N388" s="103"/>
      <c r="O388" s="94"/>
      <c r="P388" s="105"/>
      <c r="Y388" s="54"/>
    </row>
    <row r="389" spans="11:25">
      <c r="K389" s="92"/>
      <c r="L389" s="93"/>
      <c r="M389" s="91"/>
      <c r="N389" s="103"/>
      <c r="O389" s="94"/>
      <c r="P389" s="105"/>
      <c r="Y389" s="54"/>
    </row>
    <row r="390" spans="11:25">
      <c r="K390" s="92"/>
      <c r="L390" s="93"/>
      <c r="M390" s="91"/>
      <c r="N390" s="103"/>
      <c r="O390" s="94"/>
      <c r="P390" s="105"/>
      <c r="Y390" s="54"/>
    </row>
    <row r="391" spans="11:25">
      <c r="K391" s="92"/>
      <c r="L391" s="93"/>
      <c r="M391" s="91"/>
      <c r="N391" s="103"/>
      <c r="O391" s="94"/>
      <c r="P391" s="105"/>
      <c r="Y391" s="54"/>
    </row>
    <row r="392" spans="11:25">
      <c r="K392" s="92"/>
      <c r="L392" s="93"/>
      <c r="M392" s="91"/>
      <c r="N392" s="103"/>
      <c r="O392" s="94"/>
      <c r="P392" s="105"/>
      <c r="Y392" s="54"/>
    </row>
    <row r="393" spans="11:25">
      <c r="K393" s="92"/>
      <c r="L393" s="93"/>
      <c r="M393" s="91"/>
      <c r="N393" s="103"/>
      <c r="O393" s="94"/>
      <c r="P393" s="105"/>
      <c r="Y393" s="54"/>
    </row>
    <row r="394" spans="11:25">
      <c r="K394" s="92"/>
      <c r="L394" s="93"/>
      <c r="M394" s="91"/>
      <c r="N394" s="103"/>
      <c r="O394" s="94"/>
      <c r="P394" s="105"/>
      <c r="Y394" s="54"/>
    </row>
    <row r="395" spans="11:25">
      <c r="K395" s="92"/>
      <c r="L395" s="93"/>
      <c r="M395" s="91"/>
      <c r="N395" s="103"/>
      <c r="O395" s="94"/>
      <c r="P395" s="105"/>
      <c r="Y395" s="54"/>
    </row>
    <row r="396" spans="11:25">
      <c r="K396" s="92"/>
      <c r="L396" s="93"/>
      <c r="M396" s="91"/>
      <c r="N396" s="103"/>
      <c r="O396" s="94"/>
      <c r="P396" s="105"/>
      <c r="Y396" s="54"/>
    </row>
    <row r="397" spans="11:25">
      <c r="K397" s="92"/>
      <c r="L397" s="93"/>
      <c r="M397" s="91"/>
      <c r="N397" s="103"/>
      <c r="O397" s="94"/>
      <c r="P397" s="105"/>
      <c r="Y397" s="54"/>
    </row>
    <row r="398" spans="11:25">
      <c r="K398" s="92"/>
      <c r="L398" s="93"/>
      <c r="M398" s="91"/>
      <c r="N398" s="103"/>
      <c r="O398" s="94"/>
      <c r="P398" s="105"/>
      <c r="Y398" s="54"/>
    </row>
    <row r="399" spans="11:25">
      <c r="K399" s="92"/>
      <c r="L399" s="93"/>
      <c r="M399" s="91"/>
      <c r="N399" s="103"/>
      <c r="O399" s="94"/>
      <c r="P399" s="105"/>
      <c r="Y399" s="54"/>
    </row>
    <row r="400" spans="11:25">
      <c r="K400" s="92"/>
      <c r="L400" s="93"/>
      <c r="M400" s="91"/>
      <c r="N400" s="103"/>
      <c r="O400" s="94"/>
      <c r="P400" s="105"/>
      <c r="Y400" s="54"/>
    </row>
    <row r="401" spans="11:25">
      <c r="K401" s="92"/>
      <c r="L401" s="93"/>
      <c r="M401" s="91"/>
      <c r="N401" s="103"/>
      <c r="O401" s="94"/>
      <c r="P401" s="105"/>
      <c r="Y401" s="54"/>
    </row>
    <row r="402" spans="11:25">
      <c r="K402" s="92"/>
      <c r="L402" s="93"/>
      <c r="M402" s="91"/>
      <c r="N402" s="103"/>
      <c r="O402" s="94"/>
      <c r="P402" s="105"/>
      <c r="Y402" s="54"/>
    </row>
    <row r="403" spans="11:25">
      <c r="K403" s="92"/>
      <c r="L403" s="93"/>
      <c r="M403" s="91"/>
      <c r="N403" s="103"/>
      <c r="O403" s="94"/>
      <c r="P403" s="105"/>
      <c r="Y403" s="54"/>
    </row>
    <row r="404" spans="11:25">
      <c r="K404" s="92"/>
      <c r="L404" s="93"/>
      <c r="M404" s="91"/>
      <c r="N404" s="103"/>
      <c r="O404" s="94"/>
      <c r="P404" s="105"/>
      <c r="Y404" s="54"/>
    </row>
    <row r="405" spans="11:25">
      <c r="K405" s="92"/>
      <c r="L405" s="93"/>
      <c r="M405" s="91"/>
      <c r="N405" s="103"/>
      <c r="O405" s="94"/>
      <c r="P405" s="105"/>
      <c r="Y405" s="54"/>
    </row>
    <row r="406" spans="11:25">
      <c r="K406" s="92"/>
      <c r="L406" s="93"/>
      <c r="M406" s="91"/>
      <c r="N406" s="103"/>
      <c r="O406" s="94"/>
      <c r="P406" s="105"/>
      <c r="Y406" s="54"/>
    </row>
    <row r="407" spans="11:25">
      <c r="K407" s="92"/>
      <c r="L407" s="93"/>
      <c r="M407" s="91"/>
      <c r="N407" s="103"/>
      <c r="O407" s="94"/>
      <c r="P407" s="105"/>
      <c r="Y407" s="54"/>
    </row>
    <row r="408" spans="11:25">
      <c r="K408" s="92"/>
      <c r="L408" s="93"/>
      <c r="M408" s="91"/>
      <c r="N408" s="103"/>
      <c r="O408" s="94"/>
      <c r="P408" s="105"/>
      <c r="Y408" s="54"/>
    </row>
    <row r="409" spans="11:25">
      <c r="K409" s="92"/>
      <c r="L409" s="93"/>
      <c r="M409" s="91"/>
      <c r="N409" s="103"/>
      <c r="O409" s="94"/>
      <c r="P409" s="105"/>
      <c r="Y409" s="54"/>
    </row>
    <row r="410" spans="11:25">
      <c r="K410" s="92"/>
      <c r="L410" s="93"/>
      <c r="M410" s="91"/>
      <c r="N410" s="103"/>
      <c r="O410" s="94"/>
      <c r="P410" s="105"/>
      <c r="Y410" s="54"/>
    </row>
    <row r="411" spans="11:25">
      <c r="K411" s="92"/>
      <c r="L411" s="93"/>
      <c r="M411" s="91"/>
      <c r="N411" s="103"/>
      <c r="O411" s="94"/>
      <c r="P411" s="105"/>
      <c r="Y411" s="54"/>
    </row>
    <row r="412" spans="11:25">
      <c r="K412" s="92"/>
      <c r="L412" s="93"/>
      <c r="M412" s="91"/>
      <c r="N412" s="103"/>
      <c r="O412" s="94"/>
      <c r="P412" s="105"/>
      <c r="Y412" s="54"/>
    </row>
    <row r="413" spans="11:25">
      <c r="K413" s="92"/>
      <c r="L413" s="93"/>
      <c r="M413" s="91"/>
      <c r="N413" s="103"/>
      <c r="O413" s="94"/>
      <c r="P413" s="105"/>
      <c r="Y413" s="54"/>
    </row>
    <row r="414" spans="11:25">
      <c r="K414" s="92"/>
      <c r="L414" s="93"/>
      <c r="M414" s="91"/>
      <c r="N414" s="103"/>
      <c r="O414" s="94"/>
      <c r="P414" s="105"/>
      <c r="Y414" s="54"/>
    </row>
    <row r="415" spans="11:25">
      <c r="K415" s="92"/>
      <c r="L415" s="93"/>
      <c r="M415" s="91"/>
      <c r="N415" s="103"/>
      <c r="O415" s="94"/>
      <c r="P415" s="105"/>
      <c r="Y415" s="54"/>
    </row>
    <row r="416" spans="11:25">
      <c r="K416" s="92"/>
      <c r="L416" s="93"/>
      <c r="M416" s="91"/>
      <c r="N416" s="103"/>
      <c r="O416" s="94"/>
      <c r="P416" s="105"/>
      <c r="Y416" s="54"/>
    </row>
    <row r="417" spans="11:25">
      <c r="K417" s="92"/>
      <c r="L417" s="93"/>
      <c r="M417" s="91"/>
      <c r="N417" s="103"/>
      <c r="O417" s="94"/>
      <c r="P417" s="105"/>
      <c r="Y417" s="54"/>
    </row>
    <row r="418" spans="11:25">
      <c r="K418" s="92"/>
      <c r="L418" s="93"/>
      <c r="M418" s="91"/>
      <c r="N418" s="103"/>
      <c r="O418" s="94"/>
      <c r="P418" s="105"/>
      <c r="Y418" s="54"/>
    </row>
    <row r="419" spans="11:25">
      <c r="K419" s="92"/>
      <c r="L419" s="93"/>
      <c r="M419" s="91"/>
      <c r="N419" s="103"/>
      <c r="O419" s="94"/>
      <c r="P419" s="105"/>
      <c r="Y419" s="54"/>
    </row>
    <row r="420" spans="11:25">
      <c r="K420" s="92"/>
      <c r="L420" s="93"/>
      <c r="M420" s="91"/>
      <c r="N420" s="103"/>
      <c r="O420" s="94"/>
      <c r="P420" s="105"/>
      <c r="Y420" s="54"/>
    </row>
    <row r="421" spans="11:25">
      <c r="K421" s="92"/>
      <c r="L421" s="93"/>
      <c r="M421" s="91"/>
      <c r="N421" s="103"/>
      <c r="O421" s="94"/>
      <c r="P421" s="105"/>
      <c r="Y421" s="54"/>
    </row>
    <row r="422" spans="11:25">
      <c r="K422" s="92"/>
      <c r="L422" s="93"/>
      <c r="M422" s="91"/>
      <c r="N422" s="103"/>
      <c r="O422" s="94"/>
      <c r="P422" s="105"/>
      <c r="Y422" s="54"/>
    </row>
    <row r="423" spans="11:25">
      <c r="K423" s="92"/>
      <c r="L423" s="93"/>
      <c r="M423" s="91"/>
      <c r="N423" s="103"/>
      <c r="O423" s="94"/>
      <c r="P423" s="105"/>
      <c r="Y423" s="54"/>
    </row>
    <row r="424" spans="11:25">
      <c r="K424" s="92"/>
      <c r="L424" s="93"/>
      <c r="M424" s="91"/>
      <c r="N424" s="103"/>
      <c r="O424" s="94"/>
      <c r="P424" s="105"/>
      <c r="Y424" s="54"/>
    </row>
    <row r="425" spans="11:25">
      <c r="K425" s="92"/>
      <c r="L425" s="93"/>
      <c r="M425" s="91"/>
      <c r="N425" s="103"/>
      <c r="O425" s="94"/>
      <c r="P425" s="105"/>
      <c r="Y425" s="54"/>
    </row>
    <row r="426" spans="11:25">
      <c r="K426" s="92"/>
      <c r="L426" s="93"/>
      <c r="M426" s="91"/>
      <c r="N426" s="103"/>
      <c r="O426" s="94"/>
      <c r="P426" s="105"/>
      <c r="Y426" s="54"/>
    </row>
    <row r="427" spans="11:25">
      <c r="K427" s="92"/>
      <c r="L427" s="93"/>
      <c r="M427" s="91"/>
      <c r="N427" s="103"/>
      <c r="O427" s="94"/>
      <c r="P427" s="105"/>
      <c r="Y427" s="54"/>
    </row>
    <row r="428" spans="11:25">
      <c r="K428" s="92"/>
      <c r="L428" s="93"/>
      <c r="M428" s="91"/>
      <c r="N428" s="103"/>
      <c r="O428" s="94"/>
      <c r="P428" s="105"/>
      <c r="Y428" s="54"/>
    </row>
    <row r="429" spans="11:25">
      <c r="K429" s="92"/>
      <c r="L429" s="93"/>
      <c r="M429" s="91"/>
      <c r="N429" s="103"/>
      <c r="O429" s="94"/>
      <c r="P429" s="105"/>
      <c r="Y429" s="54"/>
    </row>
    <row r="430" spans="11:25">
      <c r="K430" s="92"/>
      <c r="L430" s="93"/>
      <c r="M430" s="91"/>
      <c r="N430" s="103"/>
      <c r="O430" s="94"/>
      <c r="P430" s="105"/>
      <c r="Y430" s="54"/>
    </row>
    <row r="431" spans="11:25">
      <c r="K431" s="92"/>
      <c r="L431" s="93"/>
      <c r="M431" s="91"/>
      <c r="N431" s="103"/>
      <c r="O431" s="94"/>
      <c r="P431" s="105"/>
      <c r="Y431" s="54"/>
    </row>
    <row r="432" spans="11:25">
      <c r="K432" s="92"/>
      <c r="L432" s="93"/>
      <c r="M432" s="91"/>
      <c r="N432" s="103"/>
      <c r="O432" s="94"/>
      <c r="P432" s="105"/>
      <c r="Y432" s="54"/>
    </row>
    <row r="433" spans="11:25">
      <c r="K433" s="92"/>
      <c r="L433" s="93"/>
      <c r="M433" s="91"/>
      <c r="N433" s="103"/>
      <c r="O433" s="94"/>
      <c r="P433" s="105"/>
      <c r="Y433" s="54"/>
    </row>
    <row r="434" spans="11:25">
      <c r="K434" s="92"/>
      <c r="L434" s="93"/>
      <c r="M434" s="91"/>
      <c r="N434" s="103"/>
      <c r="O434" s="94"/>
      <c r="P434" s="105"/>
      <c r="Y434" s="54"/>
    </row>
    <row r="435" spans="11:25">
      <c r="K435" s="92"/>
      <c r="L435" s="93"/>
      <c r="M435" s="91"/>
      <c r="N435" s="103"/>
      <c r="O435" s="94"/>
      <c r="P435" s="105"/>
      <c r="Y435" s="54"/>
    </row>
    <row r="436" spans="11:25">
      <c r="K436" s="92"/>
      <c r="L436" s="93"/>
      <c r="M436" s="91"/>
      <c r="N436" s="103"/>
      <c r="O436" s="94"/>
      <c r="P436" s="105"/>
      <c r="Y436" s="54"/>
    </row>
    <row r="437" spans="11:25">
      <c r="K437" s="92"/>
      <c r="L437" s="93"/>
      <c r="M437" s="91"/>
      <c r="N437" s="103"/>
      <c r="O437" s="94"/>
      <c r="P437" s="105"/>
      <c r="Y437" s="54"/>
    </row>
    <row r="438" spans="11:25">
      <c r="K438" s="92"/>
      <c r="L438" s="93"/>
      <c r="M438" s="91"/>
      <c r="N438" s="103"/>
      <c r="O438" s="94"/>
      <c r="P438" s="105"/>
      <c r="Y438" s="54"/>
    </row>
    <row r="439" spans="11:25">
      <c r="K439" s="92"/>
      <c r="L439" s="93"/>
      <c r="M439" s="91"/>
      <c r="N439" s="103"/>
      <c r="O439" s="94"/>
      <c r="P439" s="105"/>
      <c r="Y439" s="54"/>
    </row>
    <row r="440" spans="11:25">
      <c r="K440" s="92"/>
      <c r="L440" s="93"/>
      <c r="M440" s="91"/>
      <c r="N440" s="103"/>
      <c r="O440" s="94"/>
      <c r="P440" s="105"/>
      <c r="Y440" s="54"/>
    </row>
    <row r="441" spans="11:25">
      <c r="K441" s="92"/>
      <c r="L441" s="93"/>
      <c r="M441" s="91"/>
      <c r="N441" s="103"/>
      <c r="O441" s="94"/>
      <c r="P441" s="105"/>
      <c r="Y441" s="54"/>
    </row>
    <row r="442" spans="11:25">
      <c r="K442" s="92"/>
      <c r="L442" s="93"/>
      <c r="M442" s="91"/>
      <c r="N442" s="103"/>
      <c r="O442" s="94"/>
      <c r="P442" s="105"/>
      <c r="Y442" s="54"/>
    </row>
    <row r="443" spans="11:25">
      <c r="K443" s="92"/>
      <c r="L443" s="93"/>
      <c r="M443" s="91"/>
      <c r="N443" s="103"/>
      <c r="O443" s="94"/>
      <c r="P443" s="105"/>
      <c r="Y443" s="54"/>
    </row>
    <row r="444" spans="11:25">
      <c r="K444" s="92"/>
      <c r="L444" s="93"/>
      <c r="M444" s="91"/>
      <c r="N444" s="103"/>
      <c r="O444" s="94"/>
      <c r="P444" s="105"/>
      <c r="Y444" s="54"/>
    </row>
    <row r="445" spans="11:25">
      <c r="K445" s="92"/>
      <c r="L445" s="93"/>
      <c r="M445" s="91"/>
      <c r="N445" s="103"/>
      <c r="O445" s="94"/>
      <c r="P445" s="105"/>
      <c r="Y445" s="54"/>
    </row>
    <row r="446" spans="11:25">
      <c r="K446" s="92"/>
      <c r="L446" s="93"/>
      <c r="M446" s="91"/>
      <c r="N446" s="103"/>
      <c r="O446" s="94"/>
      <c r="P446" s="105"/>
      <c r="Y446" s="54"/>
    </row>
    <row r="447" spans="11:25">
      <c r="K447" s="92"/>
      <c r="L447" s="93"/>
      <c r="M447" s="91"/>
      <c r="N447" s="103"/>
      <c r="O447" s="94"/>
      <c r="P447" s="105"/>
      <c r="Y447" s="54"/>
    </row>
    <row r="448" spans="11:25">
      <c r="K448" s="92"/>
      <c r="L448" s="93"/>
      <c r="M448" s="91"/>
      <c r="N448" s="103"/>
      <c r="O448" s="94"/>
      <c r="P448" s="105"/>
      <c r="Y448" s="54"/>
    </row>
    <row r="449" spans="11:25">
      <c r="K449" s="92"/>
      <c r="L449" s="93"/>
      <c r="M449" s="91"/>
      <c r="N449" s="103"/>
      <c r="O449" s="94"/>
      <c r="P449" s="105"/>
      <c r="Y449" s="54"/>
    </row>
    <row r="450" spans="11:25">
      <c r="K450" s="92"/>
      <c r="L450" s="93"/>
      <c r="M450" s="91"/>
      <c r="N450" s="103"/>
      <c r="O450" s="94"/>
      <c r="P450" s="105"/>
      <c r="Y450" s="54"/>
    </row>
    <row r="451" spans="11:25">
      <c r="K451" s="92"/>
      <c r="L451" s="93"/>
      <c r="M451" s="91"/>
      <c r="N451" s="103"/>
      <c r="O451" s="94"/>
      <c r="P451" s="105"/>
      <c r="Y451" s="54"/>
    </row>
    <row r="452" spans="11:25">
      <c r="K452" s="92"/>
      <c r="L452" s="93"/>
      <c r="M452" s="91"/>
      <c r="N452" s="103"/>
      <c r="O452" s="94"/>
      <c r="P452" s="105"/>
      <c r="Y452" s="54"/>
    </row>
    <row r="453" spans="11:25">
      <c r="K453" s="92"/>
      <c r="L453" s="93"/>
      <c r="M453" s="91"/>
      <c r="N453" s="103"/>
      <c r="O453" s="94"/>
      <c r="P453" s="105"/>
      <c r="Y453" s="54"/>
    </row>
    <row r="454" spans="11:25">
      <c r="K454" s="92"/>
      <c r="L454" s="93"/>
      <c r="M454" s="91"/>
      <c r="N454" s="103"/>
      <c r="O454" s="94"/>
      <c r="P454" s="105"/>
      <c r="Y454" s="54"/>
    </row>
    <row r="455" spans="11:25">
      <c r="K455" s="92"/>
      <c r="L455" s="93"/>
      <c r="M455" s="91"/>
      <c r="N455" s="103"/>
      <c r="O455" s="94"/>
      <c r="P455" s="105"/>
      <c r="Y455" s="54"/>
    </row>
    <row r="456" spans="11:25">
      <c r="K456" s="92"/>
      <c r="L456" s="93"/>
      <c r="M456" s="91"/>
      <c r="N456" s="103"/>
      <c r="O456" s="94"/>
      <c r="P456" s="105"/>
      <c r="Y456" s="54"/>
    </row>
    <row r="457" spans="11:25">
      <c r="K457" s="92"/>
      <c r="L457" s="93"/>
      <c r="M457" s="91"/>
      <c r="N457" s="103"/>
      <c r="O457" s="94"/>
      <c r="P457" s="105"/>
      <c r="Y457" s="54"/>
    </row>
    <row r="458" spans="11:25">
      <c r="K458" s="92"/>
      <c r="L458" s="93"/>
      <c r="M458" s="91"/>
      <c r="N458" s="103"/>
      <c r="O458" s="94"/>
      <c r="P458" s="105"/>
      <c r="Y458" s="54"/>
    </row>
    <row r="459" spans="11:25">
      <c r="K459" s="92"/>
      <c r="L459" s="93"/>
      <c r="M459" s="91"/>
      <c r="N459" s="103"/>
      <c r="O459" s="94"/>
      <c r="P459" s="105"/>
      <c r="Y459" s="54"/>
    </row>
    <row r="460" spans="11:25">
      <c r="K460" s="92"/>
      <c r="L460" s="93"/>
      <c r="M460" s="91"/>
      <c r="N460" s="103"/>
      <c r="O460" s="94"/>
      <c r="P460" s="105"/>
      <c r="Y460" s="54"/>
    </row>
    <row r="461" spans="11:25">
      <c r="K461" s="92"/>
      <c r="L461" s="93"/>
      <c r="M461" s="91"/>
      <c r="N461" s="103"/>
      <c r="O461" s="94"/>
      <c r="P461" s="105"/>
      <c r="Y461" s="54"/>
    </row>
    <row r="462" spans="11:25">
      <c r="K462" s="92"/>
      <c r="L462" s="93"/>
      <c r="M462" s="91"/>
      <c r="N462" s="103"/>
      <c r="O462" s="94"/>
      <c r="P462" s="105"/>
      <c r="Y462" s="54"/>
    </row>
    <row r="463" spans="11:25">
      <c r="K463" s="92"/>
      <c r="L463" s="93"/>
      <c r="M463" s="91"/>
      <c r="N463" s="103"/>
      <c r="O463" s="94"/>
      <c r="P463" s="105"/>
      <c r="Y463" s="54"/>
    </row>
    <row r="464" spans="11:25">
      <c r="K464" s="92"/>
      <c r="L464" s="93"/>
      <c r="M464" s="91"/>
      <c r="N464" s="103"/>
      <c r="O464" s="94"/>
      <c r="P464" s="105"/>
      <c r="Y464" s="54"/>
    </row>
    <row r="465" spans="11:25">
      <c r="K465" s="92"/>
      <c r="L465" s="93"/>
      <c r="M465" s="91"/>
      <c r="N465" s="103"/>
      <c r="O465" s="94"/>
      <c r="P465" s="105"/>
      <c r="Y465" s="54"/>
    </row>
    <row r="466" spans="11:25">
      <c r="K466" s="92"/>
      <c r="L466" s="93"/>
      <c r="M466" s="91"/>
      <c r="N466" s="103"/>
      <c r="O466" s="94"/>
      <c r="P466" s="105"/>
      <c r="Y466" s="54"/>
    </row>
    <row r="467" spans="11:25">
      <c r="K467" s="92"/>
      <c r="L467" s="93"/>
      <c r="M467" s="91"/>
      <c r="N467" s="103"/>
      <c r="O467" s="94"/>
      <c r="P467" s="105"/>
      <c r="Y467" s="54"/>
    </row>
    <row r="468" spans="11:25">
      <c r="K468" s="92"/>
      <c r="L468" s="93"/>
      <c r="M468" s="91"/>
      <c r="N468" s="103"/>
      <c r="O468" s="94"/>
      <c r="P468" s="105"/>
      <c r="Y468" s="54"/>
    </row>
    <row r="469" spans="11:25">
      <c r="K469" s="92"/>
      <c r="L469" s="93"/>
      <c r="M469" s="91"/>
      <c r="N469" s="103"/>
      <c r="O469" s="94"/>
      <c r="P469" s="105"/>
      <c r="Y469" s="54"/>
    </row>
    <row r="470" spans="11:25">
      <c r="K470" s="92"/>
      <c r="L470" s="93"/>
      <c r="M470" s="91"/>
      <c r="N470" s="103"/>
      <c r="O470" s="94"/>
      <c r="P470" s="105"/>
      <c r="Y470" s="54"/>
    </row>
    <row r="471" spans="11:25">
      <c r="K471" s="92"/>
      <c r="L471" s="93"/>
      <c r="M471" s="91"/>
      <c r="N471" s="103"/>
      <c r="O471" s="94"/>
      <c r="P471" s="105"/>
      <c r="Y471" s="54"/>
    </row>
    <row r="472" spans="11:25">
      <c r="K472" s="92"/>
      <c r="L472" s="93"/>
      <c r="M472" s="91"/>
      <c r="N472" s="103"/>
      <c r="O472" s="94"/>
      <c r="P472" s="105"/>
      <c r="Y472" s="54"/>
    </row>
    <row r="473" spans="11:25">
      <c r="K473" s="92"/>
      <c r="L473" s="93"/>
      <c r="M473" s="91"/>
      <c r="N473" s="103"/>
      <c r="O473" s="94"/>
      <c r="P473" s="105"/>
      <c r="Y473" s="54"/>
    </row>
    <row r="474" spans="11:25">
      <c r="K474" s="92"/>
      <c r="L474" s="93"/>
      <c r="M474" s="91"/>
      <c r="N474" s="103"/>
      <c r="O474" s="94"/>
      <c r="P474" s="105"/>
      <c r="Y474" s="54"/>
    </row>
    <row r="475" spans="11:25">
      <c r="K475" s="92"/>
      <c r="L475" s="93"/>
      <c r="M475" s="91"/>
      <c r="N475" s="103"/>
      <c r="O475" s="94"/>
      <c r="P475" s="105"/>
      <c r="Y475" s="54"/>
    </row>
    <row r="476" spans="11:25">
      <c r="K476" s="92"/>
      <c r="L476" s="93"/>
      <c r="M476" s="91"/>
      <c r="N476" s="103"/>
      <c r="O476" s="94"/>
      <c r="P476" s="105"/>
      <c r="Y476" s="54"/>
    </row>
    <row r="477" spans="11:25">
      <c r="K477" s="92"/>
      <c r="L477" s="93"/>
      <c r="M477" s="91"/>
      <c r="N477" s="103"/>
      <c r="O477" s="94"/>
      <c r="P477" s="105"/>
      <c r="Y477" s="54"/>
    </row>
    <row r="478" spans="11:25">
      <c r="K478" s="92"/>
      <c r="L478" s="93"/>
      <c r="M478" s="91"/>
      <c r="N478" s="103"/>
      <c r="O478" s="94"/>
      <c r="P478" s="105"/>
      <c r="Y478" s="54"/>
    </row>
    <row r="479" spans="11:25">
      <c r="K479" s="92"/>
      <c r="L479" s="93"/>
      <c r="M479" s="91"/>
      <c r="N479" s="103"/>
      <c r="O479" s="94"/>
      <c r="P479" s="105"/>
      <c r="Y479" s="54"/>
    </row>
    <row r="480" spans="11:25">
      <c r="K480" s="92"/>
      <c r="L480" s="93"/>
      <c r="M480" s="91"/>
      <c r="N480" s="103"/>
      <c r="O480" s="94"/>
      <c r="P480" s="105"/>
      <c r="Y480" s="54"/>
    </row>
    <row r="481" spans="11:25">
      <c r="K481" s="92"/>
      <c r="L481" s="93"/>
      <c r="M481" s="91"/>
      <c r="N481" s="103"/>
      <c r="O481" s="94"/>
      <c r="P481" s="105"/>
      <c r="Y481" s="54"/>
    </row>
    <row r="482" spans="11:25">
      <c r="K482" s="92"/>
      <c r="L482" s="93"/>
      <c r="M482" s="91"/>
      <c r="N482" s="103"/>
      <c r="O482" s="94"/>
      <c r="P482" s="105"/>
      <c r="Y482" s="54"/>
    </row>
    <row r="483" spans="11:25">
      <c r="K483" s="92"/>
      <c r="L483" s="93"/>
      <c r="M483" s="91"/>
      <c r="N483" s="103"/>
      <c r="O483" s="94"/>
      <c r="P483" s="105"/>
      <c r="Y483" s="54"/>
    </row>
    <row r="484" spans="11:25">
      <c r="K484" s="92"/>
      <c r="L484" s="93"/>
      <c r="M484" s="91"/>
      <c r="N484" s="103"/>
      <c r="O484" s="94"/>
      <c r="P484" s="105"/>
      <c r="Y484" s="54"/>
    </row>
    <row r="485" spans="11:25">
      <c r="K485" s="92"/>
      <c r="L485" s="93"/>
      <c r="M485" s="91"/>
      <c r="N485" s="103"/>
      <c r="O485" s="94"/>
      <c r="P485" s="105"/>
      <c r="Y485" s="54"/>
    </row>
    <row r="486" spans="11:25">
      <c r="K486" s="92"/>
      <c r="L486" s="93"/>
      <c r="M486" s="91"/>
      <c r="N486" s="103"/>
      <c r="O486" s="94"/>
      <c r="P486" s="105"/>
      <c r="Y486" s="54"/>
    </row>
    <row r="487" spans="11:25">
      <c r="K487" s="92"/>
      <c r="L487" s="93"/>
      <c r="M487" s="91"/>
      <c r="N487" s="103"/>
      <c r="O487" s="94"/>
      <c r="P487" s="105"/>
      <c r="Y487" s="54"/>
    </row>
    <row r="488" spans="11:25">
      <c r="K488" s="92"/>
      <c r="L488" s="93"/>
      <c r="M488" s="91"/>
      <c r="N488" s="103"/>
      <c r="O488" s="94"/>
      <c r="P488" s="105"/>
      <c r="Y488" s="54"/>
    </row>
    <row r="489" spans="11:25">
      <c r="K489" s="92"/>
      <c r="L489" s="93"/>
      <c r="M489" s="91"/>
      <c r="N489" s="103"/>
      <c r="O489" s="94"/>
      <c r="P489" s="105"/>
      <c r="Y489" s="54"/>
    </row>
    <row r="490" spans="11:25">
      <c r="K490" s="92"/>
      <c r="L490" s="93"/>
      <c r="M490" s="91"/>
      <c r="N490" s="103"/>
      <c r="O490" s="94"/>
      <c r="P490" s="105"/>
      <c r="Y490" s="54"/>
    </row>
    <row r="491" spans="11:25">
      <c r="K491" s="92"/>
      <c r="L491" s="93"/>
      <c r="M491" s="91"/>
      <c r="N491" s="103"/>
      <c r="O491" s="94"/>
      <c r="P491" s="105"/>
      <c r="Y491" s="54"/>
    </row>
    <row r="492" spans="11:25">
      <c r="K492" s="92"/>
      <c r="L492" s="93"/>
      <c r="M492" s="91"/>
      <c r="N492" s="103"/>
      <c r="O492" s="94"/>
      <c r="P492" s="105"/>
      <c r="Y492" s="54"/>
    </row>
    <row r="493" spans="11:25">
      <c r="K493" s="92"/>
      <c r="L493" s="93"/>
      <c r="M493" s="91"/>
      <c r="N493" s="103"/>
      <c r="O493" s="94"/>
      <c r="P493" s="105"/>
      <c r="Y493" s="54"/>
    </row>
    <row r="494" spans="11:25">
      <c r="K494" s="92"/>
      <c r="L494" s="93"/>
      <c r="M494" s="91"/>
      <c r="N494" s="103"/>
      <c r="O494" s="94"/>
      <c r="P494" s="105"/>
      <c r="Y494" s="54"/>
    </row>
    <row r="495" spans="11:25">
      <c r="K495" s="92"/>
      <c r="L495" s="93"/>
      <c r="M495" s="91"/>
      <c r="N495" s="103"/>
      <c r="O495" s="94"/>
      <c r="P495" s="105"/>
      <c r="Y495" s="54"/>
    </row>
    <row r="496" spans="11:25">
      <c r="K496" s="92"/>
      <c r="L496" s="93"/>
      <c r="M496" s="91"/>
      <c r="N496" s="103"/>
      <c r="O496" s="94"/>
      <c r="P496" s="105"/>
      <c r="Y496" s="54"/>
    </row>
    <row r="497" spans="11:25">
      <c r="K497" s="92"/>
      <c r="L497" s="93"/>
      <c r="M497" s="91"/>
      <c r="N497" s="103"/>
      <c r="O497" s="94"/>
      <c r="P497" s="105"/>
      <c r="Y497" s="54"/>
    </row>
    <row r="498" spans="11:25">
      <c r="K498" s="92"/>
      <c r="L498" s="93"/>
      <c r="M498" s="91"/>
      <c r="N498" s="103"/>
      <c r="O498" s="94"/>
      <c r="P498" s="105"/>
      <c r="Y498" s="54"/>
    </row>
    <row r="499" spans="11:25">
      <c r="K499" s="92"/>
      <c r="L499" s="93"/>
      <c r="M499" s="91"/>
      <c r="N499" s="103"/>
      <c r="O499" s="94"/>
      <c r="P499" s="105"/>
      <c r="Y499" s="54"/>
    </row>
    <row r="500" spans="11:25">
      <c r="K500" s="92"/>
      <c r="L500" s="93"/>
      <c r="M500" s="91"/>
      <c r="N500" s="103"/>
      <c r="O500" s="94"/>
      <c r="P500" s="105"/>
      <c r="Y500" s="54"/>
    </row>
    <row r="501" spans="11:25">
      <c r="K501" s="92"/>
      <c r="L501" s="93"/>
      <c r="M501" s="91"/>
      <c r="N501" s="103"/>
      <c r="O501" s="94"/>
      <c r="P501" s="105"/>
      <c r="Y501" s="54"/>
    </row>
    <row r="502" spans="11:25">
      <c r="K502" s="92"/>
      <c r="L502" s="93"/>
      <c r="M502" s="91"/>
      <c r="N502" s="103"/>
      <c r="O502" s="94"/>
      <c r="P502" s="105"/>
      <c r="Y502" s="54"/>
    </row>
    <row r="503" spans="11:25">
      <c r="K503" s="92"/>
      <c r="L503" s="93"/>
      <c r="M503" s="91"/>
      <c r="N503" s="103"/>
      <c r="O503" s="94"/>
      <c r="P503" s="105"/>
      <c r="Y503" s="54"/>
    </row>
    <row r="504" spans="11:25">
      <c r="K504" s="92"/>
      <c r="L504" s="93"/>
      <c r="M504" s="91"/>
      <c r="N504" s="103"/>
      <c r="O504" s="94"/>
      <c r="P504" s="105"/>
      <c r="Y504" s="54"/>
    </row>
    <row r="505" spans="11:25">
      <c r="K505" s="92"/>
      <c r="L505" s="93"/>
      <c r="M505" s="91"/>
      <c r="N505" s="103"/>
      <c r="O505" s="94"/>
      <c r="P505" s="105"/>
      <c r="Y505" s="54"/>
    </row>
    <row r="506" spans="11:25">
      <c r="K506" s="92"/>
      <c r="L506" s="93"/>
      <c r="M506" s="91"/>
      <c r="N506" s="103"/>
      <c r="O506" s="94"/>
      <c r="P506" s="105"/>
      <c r="Y506" s="54"/>
    </row>
    <row r="507" spans="11:25">
      <c r="K507" s="92"/>
      <c r="L507" s="93"/>
      <c r="M507" s="91"/>
      <c r="N507" s="103"/>
      <c r="O507" s="94"/>
      <c r="P507" s="105"/>
      <c r="Y507" s="96"/>
    </row>
    <row r="508" spans="11:25">
      <c r="K508" s="92"/>
      <c r="L508" s="93"/>
      <c r="M508" s="91"/>
      <c r="N508" s="103"/>
      <c r="O508" s="94"/>
      <c r="P508" s="105"/>
      <c r="Y508" s="96"/>
    </row>
    <row r="509" spans="11:25">
      <c r="K509" s="92"/>
      <c r="L509" s="93"/>
      <c r="M509" s="91"/>
      <c r="N509" s="103"/>
      <c r="O509" s="94"/>
      <c r="P509" s="105"/>
      <c r="Y509" s="96"/>
    </row>
    <row r="510" spans="11:25">
      <c r="K510" s="92"/>
      <c r="L510" s="93"/>
      <c r="M510" s="91"/>
      <c r="N510" s="103"/>
      <c r="O510" s="94"/>
      <c r="P510" s="105"/>
      <c r="Y510" s="96"/>
    </row>
    <row r="511" spans="11:25">
      <c r="K511" s="92"/>
      <c r="L511" s="93"/>
      <c r="M511" s="91"/>
      <c r="N511" s="103"/>
      <c r="O511" s="94"/>
      <c r="P511" s="105"/>
      <c r="Y511" s="54"/>
    </row>
    <row r="512" spans="11:25">
      <c r="K512" s="92"/>
      <c r="L512" s="93"/>
      <c r="M512" s="91"/>
      <c r="N512" s="103"/>
      <c r="O512" s="94"/>
      <c r="P512" s="105"/>
      <c r="Y512" s="54"/>
    </row>
    <row r="513" spans="11:25">
      <c r="K513" s="92"/>
      <c r="L513" s="93"/>
      <c r="M513" s="91"/>
      <c r="N513" s="103"/>
      <c r="O513" s="94"/>
      <c r="P513" s="105"/>
      <c r="Y513" s="54"/>
    </row>
    <row r="514" spans="11:25">
      <c r="K514" s="92"/>
      <c r="L514" s="93"/>
      <c r="M514" s="91"/>
      <c r="N514" s="103"/>
      <c r="O514" s="94"/>
      <c r="P514" s="105"/>
      <c r="Y514" s="54"/>
    </row>
    <row r="515" spans="11:25">
      <c r="K515" s="92"/>
      <c r="L515" s="93"/>
      <c r="M515" s="91"/>
      <c r="N515" s="103"/>
      <c r="O515" s="94"/>
      <c r="P515" s="105"/>
      <c r="Y515" s="54"/>
    </row>
    <row r="516" spans="11:25">
      <c r="K516" s="92"/>
      <c r="L516" s="93"/>
      <c r="M516" s="91"/>
      <c r="N516" s="103"/>
      <c r="O516" s="94"/>
      <c r="P516" s="105"/>
      <c r="Y516" s="54"/>
    </row>
    <row r="517" spans="11:25">
      <c r="K517" s="92"/>
      <c r="L517" s="93"/>
      <c r="M517" s="91"/>
      <c r="N517" s="103"/>
      <c r="O517" s="94"/>
      <c r="P517" s="105"/>
      <c r="Y517" s="54"/>
    </row>
    <row r="518" spans="11:25">
      <c r="K518" s="92"/>
      <c r="L518" s="93"/>
      <c r="M518" s="91"/>
      <c r="N518" s="103"/>
      <c r="O518" s="94"/>
      <c r="P518" s="105"/>
      <c r="Y518" s="54"/>
    </row>
    <row r="519" spans="11:25">
      <c r="K519" s="92"/>
      <c r="L519" s="93"/>
      <c r="M519" s="91"/>
      <c r="N519" s="103"/>
      <c r="O519" s="94"/>
      <c r="P519" s="105"/>
      <c r="Y519" s="54"/>
    </row>
    <row r="520" spans="11:25">
      <c r="K520" s="92"/>
      <c r="L520" s="93"/>
      <c r="M520" s="91"/>
      <c r="N520" s="103"/>
      <c r="O520" s="94"/>
      <c r="P520" s="105"/>
      <c r="Y520" s="54"/>
    </row>
    <row r="521" spans="11:25">
      <c r="K521" s="92"/>
      <c r="L521" s="93"/>
      <c r="M521" s="91"/>
      <c r="N521" s="103"/>
      <c r="O521" s="94"/>
      <c r="P521" s="105"/>
      <c r="Y521" s="54"/>
    </row>
    <row r="522" spans="11:25">
      <c r="K522" s="92"/>
      <c r="L522" s="93"/>
      <c r="M522" s="91"/>
      <c r="N522" s="103"/>
      <c r="O522" s="94"/>
      <c r="P522" s="105"/>
      <c r="Y522" s="54"/>
    </row>
    <row r="523" spans="11:25">
      <c r="K523" s="92"/>
      <c r="L523" s="93"/>
      <c r="M523" s="91"/>
      <c r="N523" s="103"/>
      <c r="O523" s="94"/>
      <c r="P523" s="105"/>
      <c r="Y523" s="54"/>
    </row>
    <row r="524" spans="11:25">
      <c r="K524" s="92"/>
      <c r="L524" s="93"/>
      <c r="M524" s="91"/>
      <c r="N524" s="103"/>
      <c r="O524" s="94"/>
      <c r="P524" s="105"/>
      <c r="Y524" s="54"/>
    </row>
    <row r="525" spans="11:25">
      <c r="K525" s="92"/>
      <c r="L525" s="93"/>
      <c r="M525" s="91"/>
      <c r="N525" s="103"/>
      <c r="O525" s="94"/>
      <c r="P525" s="105"/>
      <c r="Y525" s="54"/>
    </row>
    <row r="526" spans="11:25">
      <c r="K526" s="92"/>
      <c r="L526" s="93"/>
      <c r="M526" s="91"/>
      <c r="N526" s="103"/>
      <c r="O526" s="94"/>
      <c r="P526" s="105"/>
      <c r="Y526" s="54"/>
    </row>
    <row r="527" spans="11:25">
      <c r="K527" s="92"/>
      <c r="L527" s="93"/>
      <c r="M527" s="91"/>
      <c r="N527" s="103"/>
      <c r="O527" s="94"/>
      <c r="P527" s="105"/>
      <c r="Y527" s="54"/>
    </row>
    <row r="528" spans="11:25">
      <c r="K528" s="92"/>
      <c r="L528" s="93"/>
      <c r="M528" s="91"/>
      <c r="N528" s="103"/>
      <c r="O528" s="94"/>
      <c r="P528" s="105"/>
      <c r="Y528" s="54"/>
    </row>
    <row r="529" spans="11:25">
      <c r="K529" s="92"/>
      <c r="L529" s="93"/>
      <c r="M529" s="91"/>
      <c r="N529" s="103"/>
      <c r="O529" s="94"/>
      <c r="P529" s="105"/>
      <c r="Y529" s="54"/>
    </row>
    <row r="530" spans="11:25">
      <c r="K530" s="92"/>
      <c r="L530" s="93"/>
      <c r="M530" s="91"/>
      <c r="N530" s="103"/>
      <c r="O530" s="94"/>
      <c r="P530" s="105"/>
      <c r="Y530" s="54"/>
    </row>
    <row r="531" spans="11:25">
      <c r="K531" s="92"/>
      <c r="L531" s="93"/>
      <c r="M531" s="91"/>
      <c r="N531" s="103"/>
      <c r="O531" s="94"/>
      <c r="P531" s="105"/>
      <c r="Y531" s="54"/>
    </row>
    <row r="532" spans="11:25">
      <c r="K532" s="92"/>
      <c r="L532" s="93"/>
      <c r="M532" s="91"/>
      <c r="N532" s="103"/>
      <c r="O532" s="94"/>
      <c r="P532" s="105"/>
      <c r="Y532" s="54"/>
    </row>
    <row r="533" spans="11:25">
      <c r="K533" s="92"/>
      <c r="L533" s="93"/>
      <c r="M533" s="91"/>
      <c r="N533" s="103"/>
      <c r="O533" s="94"/>
      <c r="P533" s="105"/>
      <c r="Y533" s="54"/>
    </row>
    <row r="534" spans="11:25">
      <c r="K534" s="92"/>
      <c r="L534" s="93"/>
      <c r="M534" s="91"/>
      <c r="N534" s="103"/>
      <c r="O534" s="94"/>
      <c r="P534" s="105"/>
      <c r="Y534" s="54"/>
    </row>
    <row r="535" spans="11:25">
      <c r="K535" s="92"/>
      <c r="L535" s="93"/>
      <c r="M535" s="91"/>
      <c r="N535" s="103"/>
      <c r="O535" s="94"/>
      <c r="P535" s="105"/>
      <c r="Y535" s="54"/>
    </row>
    <row r="536" spans="11:25">
      <c r="K536" s="92"/>
      <c r="L536" s="93"/>
      <c r="M536" s="91"/>
      <c r="N536" s="103"/>
      <c r="O536" s="94"/>
      <c r="P536" s="105"/>
      <c r="Y536" s="54"/>
    </row>
    <row r="537" spans="11:25">
      <c r="K537" s="92"/>
      <c r="L537" s="93"/>
      <c r="M537" s="91"/>
      <c r="N537" s="103"/>
      <c r="O537" s="94"/>
      <c r="P537" s="105"/>
      <c r="Y537" s="54"/>
    </row>
    <row r="538" spans="11:25">
      <c r="K538" s="92"/>
      <c r="L538" s="93"/>
      <c r="M538" s="91"/>
      <c r="N538" s="103"/>
      <c r="O538" s="94"/>
      <c r="P538" s="105"/>
      <c r="Y538" s="54"/>
    </row>
    <row r="539" spans="11:25">
      <c r="K539" s="92"/>
      <c r="L539" s="93"/>
      <c r="M539" s="91"/>
      <c r="N539" s="103"/>
      <c r="O539" s="94"/>
      <c r="P539" s="105"/>
      <c r="Y539" s="54"/>
    </row>
    <row r="540" spans="11:25">
      <c r="K540" s="92"/>
      <c r="L540" s="93"/>
      <c r="M540" s="91"/>
      <c r="N540" s="103"/>
      <c r="O540" s="94"/>
      <c r="P540" s="105"/>
      <c r="Y540" s="54"/>
    </row>
    <row r="541" spans="11:25">
      <c r="K541" s="92"/>
      <c r="L541" s="93"/>
      <c r="M541" s="91"/>
      <c r="N541" s="103"/>
      <c r="O541" s="94"/>
      <c r="P541" s="105"/>
      <c r="Y541" s="54"/>
    </row>
    <row r="542" spans="11:25">
      <c r="K542" s="92"/>
      <c r="L542" s="93"/>
      <c r="M542" s="91"/>
      <c r="N542" s="103"/>
      <c r="O542" s="94"/>
      <c r="P542" s="105"/>
      <c r="Y542" s="54"/>
    </row>
    <row r="543" spans="11:25">
      <c r="K543" s="92"/>
      <c r="L543" s="93"/>
      <c r="M543" s="91"/>
      <c r="N543" s="103"/>
      <c r="O543" s="94"/>
      <c r="P543" s="105"/>
      <c r="Y543" s="54"/>
    </row>
    <row r="544" spans="11:25">
      <c r="K544" s="92"/>
      <c r="L544" s="93"/>
      <c r="M544" s="91"/>
      <c r="N544" s="103"/>
      <c r="O544" s="94"/>
      <c r="P544" s="105"/>
      <c r="Y544" s="54"/>
    </row>
    <row r="545" spans="11:25">
      <c r="K545" s="92"/>
      <c r="L545" s="93"/>
      <c r="M545" s="91"/>
      <c r="N545" s="103"/>
      <c r="O545" s="94"/>
      <c r="P545" s="105"/>
      <c r="Y545" s="54"/>
    </row>
    <row r="546" spans="11:25">
      <c r="K546" s="92"/>
      <c r="L546" s="93"/>
      <c r="M546" s="91"/>
      <c r="N546" s="103"/>
      <c r="O546" s="94"/>
      <c r="P546" s="105"/>
      <c r="Y546" s="54"/>
    </row>
    <row r="547" spans="11:25">
      <c r="K547" s="92"/>
      <c r="L547" s="93"/>
      <c r="M547" s="91"/>
      <c r="N547" s="103"/>
      <c r="O547" s="94"/>
      <c r="P547" s="105"/>
      <c r="Y547" s="54"/>
    </row>
    <row r="548" spans="11:25">
      <c r="K548" s="92"/>
      <c r="L548" s="93"/>
      <c r="M548" s="91"/>
      <c r="N548" s="103"/>
      <c r="O548" s="94"/>
      <c r="P548" s="105"/>
      <c r="Y548" s="54"/>
    </row>
    <row r="549" spans="11:25">
      <c r="K549" s="92"/>
      <c r="L549" s="93"/>
      <c r="M549" s="91"/>
      <c r="N549" s="103"/>
      <c r="O549" s="94"/>
      <c r="P549" s="105"/>
      <c r="Y549" s="54"/>
    </row>
    <row r="550" spans="11:25">
      <c r="K550" s="92"/>
      <c r="L550" s="93"/>
      <c r="M550" s="91"/>
      <c r="N550" s="103"/>
      <c r="O550" s="94"/>
      <c r="P550" s="105"/>
      <c r="Y550" s="54"/>
    </row>
    <row r="551" spans="11:25">
      <c r="K551" s="92"/>
      <c r="L551" s="93"/>
      <c r="M551" s="91"/>
      <c r="N551" s="103"/>
      <c r="O551" s="94"/>
      <c r="P551" s="105"/>
      <c r="Y551" s="54"/>
    </row>
    <row r="552" spans="11:25">
      <c r="K552" s="92"/>
      <c r="L552" s="93"/>
      <c r="M552" s="91"/>
      <c r="N552" s="103"/>
      <c r="O552" s="94"/>
      <c r="P552" s="105"/>
      <c r="Y552" s="54"/>
    </row>
    <row r="553" spans="11:25">
      <c r="K553" s="92"/>
      <c r="L553" s="93"/>
      <c r="M553" s="91"/>
      <c r="N553" s="103"/>
      <c r="O553" s="94"/>
      <c r="P553" s="105"/>
      <c r="Y553" s="54"/>
    </row>
    <row r="554" spans="11:25">
      <c r="K554" s="92"/>
      <c r="L554" s="93"/>
      <c r="M554" s="91"/>
      <c r="N554" s="103"/>
      <c r="O554" s="94"/>
      <c r="P554" s="105"/>
      <c r="Y554" s="54"/>
    </row>
    <row r="555" spans="11:25">
      <c r="K555" s="92"/>
      <c r="L555" s="93"/>
      <c r="M555" s="91"/>
      <c r="N555" s="103"/>
      <c r="O555" s="94"/>
      <c r="P555" s="105"/>
      <c r="Y555" s="54"/>
    </row>
    <row r="556" spans="11:25">
      <c r="K556" s="92"/>
      <c r="L556" s="93"/>
      <c r="M556" s="91"/>
      <c r="N556" s="103"/>
      <c r="O556" s="94"/>
      <c r="P556" s="105"/>
      <c r="Y556" s="54"/>
    </row>
    <row r="557" spans="11:25">
      <c r="K557" s="92"/>
      <c r="L557" s="93"/>
      <c r="M557" s="91"/>
      <c r="N557" s="103"/>
      <c r="O557" s="94"/>
      <c r="P557" s="105"/>
      <c r="Y557" s="54"/>
    </row>
    <row r="558" spans="11:25">
      <c r="K558" s="92"/>
      <c r="L558" s="93"/>
      <c r="M558" s="91"/>
      <c r="N558" s="103"/>
      <c r="O558" s="94"/>
      <c r="P558" s="105"/>
      <c r="Y558" s="54"/>
    </row>
    <row r="559" spans="11:25">
      <c r="K559" s="92"/>
      <c r="L559" s="93"/>
      <c r="M559" s="91"/>
      <c r="N559" s="103"/>
      <c r="O559" s="94"/>
      <c r="P559" s="105"/>
      <c r="Y559" s="54"/>
    </row>
    <row r="560" spans="11:25">
      <c r="K560" s="92"/>
      <c r="L560" s="93"/>
      <c r="M560" s="91"/>
      <c r="N560" s="103"/>
      <c r="O560" s="94"/>
      <c r="P560" s="105"/>
      <c r="Y560" s="54"/>
    </row>
    <row r="561" spans="11:25">
      <c r="K561" s="92"/>
      <c r="L561" s="93"/>
      <c r="M561" s="91"/>
      <c r="N561" s="103"/>
      <c r="O561" s="94"/>
      <c r="P561" s="105"/>
      <c r="Y561" s="54"/>
    </row>
    <row r="562" spans="11:25">
      <c r="K562" s="92"/>
      <c r="L562" s="93"/>
      <c r="M562" s="91"/>
      <c r="N562" s="103"/>
      <c r="O562" s="94"/>
      <c r="P562" s="105"/>
      <c r="Y562" s="54"/>
    </row>
    <row r="563" spans="11:25">
      <c r="K563" s="92"/>
      <c r="L563" s="93"/>
      <c r="M563" s="91"/>
      <c r="N563" s="103"/>
      <c r="O563" s="94"/>
      <c r="P563" s="105"/>
      <c r="Y563" s="54"/>
    </row>
    <row r="564" spans="11:25">
      <c r="K564" s="92"/>
      <c r="L564" s="93"/>
      <c r="M564" s="91"/>
      <c r="N564" s="103"/>
      <c r="O564" s="94"/>
      <c r="P564" s="105"/>
      <c r="Y564" s="54"/>
    </row>
    <row r="565" spans="11:25">
      <c r="K565" s="92"/>
      <c r="L565" s="93"/>
      <c r="M565" s="91"/>
      <c r="N565" s="103"/>
      <c r="O565" s="94"/>
      <c r="P565" s="105"/>
      <c r="Y565" s="54"/>
    </row>
    <row r="566" spans="11:25">
      <c r="K566" s="92"/>
      <c r="L566" s="93"/>
      <c r="M566" s="91"/>
      <c r="N566" s="103"/>
      <c r="O566" s="94"/>
      <c r="P566" s="105"/>
      <c r="Y566" s="54"/>
    </row>
    <row r="567" spans="11:25">
      <c r="K567" s="92"/>
      <c r="L567" s="93"/>
      <c r="M567" s="91"/>
      <c r="N567" s="103"/>
      <c r="O567" s="94"/>
      <c r="P567" s="105"/>
      <c r="Y567" s="54"/>
    </row>
    <row r="568" spans="11:25">
      <c r="K568" s="92"/>
      <c r="L568" s="93"/>
      <c r="M568" s="91"/>
      <c r="N568" s="103"/>
      <c r="O568" s="94"/>
      <c r="P568" s="105"/>
      <c r="Y568" s="54"/>
    </row>
    <row r="569" spans="11:25">
      <c r="K569" s="92"/>
      <c r="L569" s="93"/>
      <c r="M569" s="91"/>
      <c r="N569" s="103"/>
      <c r="O569" s="94"/>
      <c r="P569" s="105"/>
      <c r="Y569" s="54"/>
    </row>
    <row r="570" spans="11:25">
      <c r="K570" s="92"/>
      <c r="L570" s="93"/>
      <c r="M570" s="91"/>
      <c r="N570" s="103"/>
      <c r="O570" s="94"/>
      <c r="P570" s="105"/>
      <c r="Y570" s="54"/>
    </row>
    <row r="571" spans="11:25">
      <c r="K571" s="92"/>
      <c r="L571" s="93"/>
      <c r="M571" s="91"/>
      <c r="N571" s="103"/>
      <c r="O571" s="94"/>
      <c r="P571" s="105"/>
      <c r="Y571" s="54"/>
    </row>
    <row r="572" spans="11:25">
      <c r="K572" s="92"/>
      <c r="L572" s="93"/>
      <c r="M572" s="91"/>
      <c r="N572" s="103"/>
      <c r="O572" s="94"/>
      <c r="P572" s="105"/>
      <c r="Y572" s="54"/>
    </row>
    <row r="573" spans="11:25">
      <c r="K573" s="92"/>
      <c r="L573" s="93"/>
      <c r="M573" s="91"/>
      <c r="N573" s="103"/>
      <c r="O573" s="94"/>
      <c r="P573" s="105"/>
      <c r="Y573" s="54"/>
    </row>
    <row r="574" spans="11:25">
      <c r="K574" s="92"/>
      <c r="L574" s="93"/>
      <c r="M574" s="91"/>
      <c r="N574" s="103"/>
      <c r="O574" s="94"/>
      <c r="P574" s="105"/>
      <c r="Y574" s="54"/>
    </row>
    <row r="575" spans="11:25">
      <c r="K575" s="92"/>
      <c r="L575" s="93"/>
      <c r="M575" s="91"/>
      <c r="N575" s="103"/>
      <c r="O575" s="94"/>
      <c r="P575" s="105"/>
      <c r="Y575" s="54"/>
    </row>
    <row r="576" spans="11:25">
      <c r="K576" s="92"/>
      <c r="L576" s="93"/>
      <c r="M576" s="91"/>
      <c r="N576" s="103"/>
      <c r="O576" s="94"/>
      <c r="P576" s="105"/>
      <c r="Y576" s="54"/>
    </row>
    <row r="577" spans="11:25">
      <c r="K577" s="92"/>
      <c r="L577" s="93"/>
      <c r="M577" s="91"/>
      <c r="N577" s="103"/>
      <c r="O577" s="94"/>
      <c r="P577" s="105"/>
      <c r="Y577" s="54"/>
    </row>
    <row r="578" spans="11:25">
      <c r="K578" s="92"/>
      <c r="L578" s="93"/>
      <c r="M578" s="91"/>
      <c r="N578" s="103"/>
      <c r="O578" s="94"/>
      <c r="P578" s="105"/>
      <c r="Y578" s="54"/>
    </row>
    <row r="579" spans="11:25">
      <c r="K579" s="92"/>
      <c r="L579" s="93"/>
      <c r="M579" s="91"/>
      <c r="N579" s="103"/>
      <c r="O579" s="94"/>
      <c r="P579" s="105"/>
      <c r="Y579" s="54"/>
    </row>
    <row r="580" spans="11:25">
      <c r="K580" s="92"/>
      <c r="L580" s="93"/>
      <c r="M580" s="91"/>
      <c r="N580" s="103"/>
      <c r="O580" s="94"/>
      <c r="P580" s="105"/>
      <c r="Y580" s="54"/>
    </row>
    <row r="581" spans="11:25">
      <c r="K581" s="92"/>
      <c r="L581" s="93"/>
      <c r="M581" s="91"/>
      <c r="N581" s="103"/>
      <c r="O581" s="94"/>
      <c r="P581" s="105"/>
      <c r="Y581" s="54"/>
    </row>
    <row r="582" spans="11:25">
      <c r="K582" s="92"/>
      <c r="L582" s="93"/>
      <c r="M582" s="91"/>
      <c r="N582" s="103"/>
      <c r="O582" s="94"/>
      <c r="P582" s="105"/>
      <c r="Y582" s="54"/>
    </row>
    <row r="583" spans="11:25">
      <c r="K583" s="92"/>
      <c r="L583" s="93"/>
      <c r="M583" s="91"/>
      <c r="N583" s="103"/>
      <c r="O583" s="94"/>
      <c r="P583" s="105"/>
      <c r="Y583" s="54"/>
    </row>
    <row r="584" spans="11:25">
      <c r="K584" s="92"/>
      <c r="L584" s="93"/>
      <c r="M584" s="91"/>
      <c r="N584" s="103"/>
      <c r="O584" s="94"/>
      <c r="P584" s="105"/>
      <c r="Y584" s="54"/>
    </row>
    <row r="585" spans="11:25">
      <c r="K585" s="92"/>
      <c r="L585" s="93"/>
      <c r="M585" s="91"/>
      <c r="N585" s="103"/>
      <c r="O585" s="94"/>
      <c r="P585" s="105"/>
      <c r="Y585" s="54"/>
    </row>
    <row r="586" spans="11:25">
      <c r="K586" s="92"/>
      <c r="L586" s="93"/>
      <c r="M586" s="91"/>
      <c r="N586" s="103"/>
      <c r="O586" s="94"/>
      <c r="P586" s="105"/>
      <c r="Y586" s="54"/>
    </row>
    <row r="587" spans="11:25">
      <c r="K587" s="92"/>
      <c r="L587" s="93"/>
      <c r="M587" s="91"/>
      <c r="N587" s="103"/>
      <c r="O587" s="94"/>
      <c r="P587" s="105"/>
      <c r="Y587" s="54"/>
    </row>
    <row r="588" spans="11:25">
      <c r="K588" s="92"/>
      <c r="L588" s="93"/>
      <c r="M588" s="91"/>
      <c r="N588" s="103"/>
      <c r="O588" s="94"/>
      <c r="P588" s="105"/>
      <c r="Y588" s="54"/>
    </row>
    <row r="589" spans="11:25">
      <c r="K589" s="92"/>
      <c r="L589" s="93"/>
      <c r="M589" s="91"/>
      <c r="N589" s="103"/>
      <c r="O589" s="94"/>
      <c r="P589" s="105"/>
      <c r="Y589" s="54"/>
    </row>
    <row r="590" spans="11:25">
      <c r="K590" s="92"/>
      <c r="L590" s="93"/>
      <c r="M590" s="91"/>
      <c r="N590" s="103"/>
      <c r="O590" s="94"/>
      <c r="P590" s="105"/>
      <c r="Y590" s="54"/>
    </row>
    <row r="591" spans="11:25">
      <c r="K591" s="92"/>
      <c r="L591" s="93"/>
      <c r="M591" s="91"/>
      <c r="N591" s="103"/>
      <c r="O591" s="94"/>
      <c r="P591" s="105"/>
      <c r="Y591" s="54"/>
    </row>
    <row r="592" spans="11:25">
      <c r="K592" s="92"/>
      <c r="L592" s="93"/>
      <c r="M592" s="91"/>
      <c r="N592" s="103"/>
      <c r="O592" s="94"/>
      <c r="P592" s="105"/>
      <c r="Y592" s="54"/>
    </row>
    <row r="593" spans="11:25">
      <c r="K593" s="92"/>
      <c r="L593" s="93"/>
      <c r="M593" s="91"/>
      <c r="N593" s="103"/>
      <c r="O593" s="94"/>
      <c r="P593" s="105"/>
      <c r="Y593" s="54"/>
    </row>
    <row r="594" spans="11:25">
      <c r="K594" s="92"/>
      <c r="L594" s="93"/>
      <c r="M594" s="91"/>
      <c r="N594" s="103"/>
      <c r="O594" s="94"/>
      <c r="P594" s="105"/>
      <c r="Y594" s="54"/>
    </row>
    <row r="595" spans="11:25">
      <c r="K595" s="92"/>
      <c r="L595" s="93"/>
      <c r="M595" s="91"/>
      <c r="N595" s="103"/>
      <c r="O595" s="94"/>
      <c r="P595" s="105"/>
      <c r="Y595" s="54"/>
    </row>
    <row r="596" spans="11:25">
      <c r="K596" s="92"/>
      <c r="L596" s="93"/>
      <c r="M596" s="91"/>
      <c r="N596" s="103"/>
      <c r="O596" s="94"/>
      <c r="P596" s="105"/>
      <c r="Y596" s="54"/>
    </row>
    <row r="597" spans="11:25">
      <c r="K597" s="92"/>
      <c r="L597" s="93"/>
      <c r="M597" s="91"/>
      <c r="N597" s="103"/>
      <c r="O597" s="94"/>
      <c r="P597" s="105"/>
      <c r="Y597" s="54"/>
    </row>
    <row r="598" spans="11:25">
      <c r="K598" s="92"/>
      <c r="L598" s="93"/>
      <c r="M598" s="91"/>
      <c r="N598" s="103"/>
      <c r="O598" s="94"/>
      <c r="P598" s="105"/>
      <c r="Y598" s="54"/>
    </row>
    <row r="599" spans="11:25">
      <c r="K599" s="92"/>
      <c r="L599" s="93"/>
      <c r="M599" s="91"/>
      <c r="N599" s="103"/>
      <c r="O599" s="94"/>
      <c r="P599" s="105"/>
      <c r="Y599" s="54"/>
    </row>
    <row r="600" spans="11:25">
      <c r="K600" s="92"/>
      <c r="L600" s="93"/>
      <c r="M600" s="91"/>
      <c r="N600" s="103"/>
      <c r="O600" s="94"/>
      <c r="P600" s="105"/>
      <c r="Y600" s="54"/>
    </row>
    <row r="601" spans="11:25">
      <c r="K601" s="92"/>
      <c r="L601" s="93"/>
      <c r="M601" s="91"/>
      <c r="N601" s="103"/>
      <c r="O601" s="94"/>
      <c r="P601" s="105"/>
      <c r="Y601" s="54"/>
    </row>
    <row r="602" spans="11:25">
      <c r="K602" s="92"/>
      <c r="L602" s="93"/>
      <c r="M602" s="91"/>
      <c r="N602" s="103"/>
      <c r="O602" s="94"/>
      <c r="P602" s="105"/>
      <c r="Y602" s="54"/>
    </row>
    <row r="603" spans="11:25">
      <c r="K603" s="92"/>
      <c r="L603" s="93"/>
      <c r="M603" s="91"/>
      <c r="N603" s="103"/>
      <c r="O603" s="94"/>
      <c r="P603" s="105"/>
      <c r="Y603" s="54"/>
    </row>
    <row r="604" spans="11:25">
      <c r="K604" s="92"/>
      <c r="L604" s="93"/>
      <c r="M604" s="91"/>
      <c r="N604" s="103"/>
      <c r="O604" s="94"/>
      <c r="P604" s="105"/>
      <c r="Y604" s="54"/>
    </row>
    <row r="605" spans="11:25">
      <c r="K605" s="92"/>
      <c r="L605" s="93"/>
      <c r="M605" s="91"/>
      <c r="N605" s="103"/>
      <c r="O605" s="94"/>
      <c r="P605" s="105"/>
      <c r="Y605" s="54"/>
    </row>
    <row r="606" spans="11:25">
      <c r="K606" s="92"/>
      <c r="L606" s="93"/>
      <c r="M606" s="91"/>
      <c r="N606" s="103"/>
      <c r="O606" s="94"/>
      <c r="P606" s="105"/>
      <c r="Y606" s="54"/>
    </row>
    <row r="607" spans="11:25">
      <c r="K607" s="92"/>
      <c r="L607" s="93"/>
      <c r="M607" s="91"/>
      <c r="N607" s="103"/>
      <c r="O607" s="94"/>
      <c r="P607" s="105"/>
      <c r="Y607" s="54"/>
    </row>
    <row r="608" spans="11:25">
      <c r="K608" s="92"/>
      <c r="L608" s="93"/>
      <c r="M608" s="91"/>
      <c r="N608" s="103"/>
      <c r="O608" s="94"/>
      <c r="P608" s="105"/>
      <c r="Y608" s="54"/>
    </row>
    <row r="609" spans="11:25">
      <c r="K609" s="92"/>
      <c r="L609" s="93"/>
      <c r="M609" s="91"/>
      <c r="N609" s="103"/>
      <c r="O609" s="94"/>
      <c r="P609" s="105"/>
      <c r="Y609" s="54"/>
    </row>
    <row r="610" spans="11:25">
      <c r="K610" s="92"/>
      <c r="L610" s="93"/>
      <c r="M610" s="91"/>
      <c r="N610" s="103"/>
      <c r="O610" s="94"/>
      <c r="P610" s="105"/>
      <c r="Y610" s="54"/>
    </row>
    <row r="611" spans="11:25">
      <c r="K611" s="92"/>
      <c r="L611" s="93"/>
      <c r="M611" s="91"/>
      <c r="N611" s="103"/>
      <c r="O611" s="94"/>
      <c r="P611" s="105"/>
      <c r="Y611" s="54"/>
    </row>
    <row r="612" spans="11:25">
      <c r="K612" s="92"/>
      <c r="L612" s="93"/>
      <c r="M612" s="91"/>
      <c r="N612" s="103"/>
      <c r="O612" s="94"/>
      <c r="P612" s="105"/>
      <c r="Y612" s="54"/>
    </row>
    <row r="613" spans="11:25">
      <c r="K613" s="92"/>
      <c r="L613" s="93"/>
      <c r="M613" s="91"/>
      <c r="N613" s="103"/>
      <c r="O613" s="94"/>
      <c r="P613" s="105"/>
      <c r="Y613" s="54"/>
    </row>
    <row r="614" spans="11:25">
      <c r="K614" s="92"/>
      <c r="L614" s="93"/>
      <c r="M614" s="91"/>
      <c r="N614" s="103"/>
      <c r="O614" s="94"/>
      <c r="P614" s="105"/>
      <c r="Y614" s="54"/>
    </row>
    <row r="615" spans="11:25">
      <c r="K615" s="92"/>
      <c r="L615" s="93"/>
      <c r="M615" s="91"/>
      <c r="N615" s="103"/>
      <c r="O615" s="94"/>
      <c r="P615" s="105"/>
      <c r="Y615" s="54"/>
    </row>
    <row r="616" spans="11:25">
      <c r="K616" s="92"/>
      <c r="L616" s="93"/>
      <c r="M616" s="91"/>
      <c r="N616" s="103"/>
      <c r="O616" s="94"/>
      <c r="P616" s="105"/>
      <c r="Y616" s="54"/>
    </row>
    <row r="617" spans="11:25">
      <c r="K617" s="92"/>
      <c r="L617" s="93"/>
      <c r="M617" s="91"/>
      <c r="N617" s="103"/>
      <c r="O617" s="94"/>
      <c r="P617" s="105"/>
      <c r="Y617" s="54"/>
    </row>
    <row r="618" spans="11:25">
      <c r="K618" s="92"/>
      <c r="L618" s="93"/>
      <c r="M618" s="91"/>
      <c r="N618" s="103"/>
      <c r="O618" s="94"/>
      <c r="P618" s="105"/>
      <c r="Y618" s="54"/>
    </row>
    <row r="619" spans="11:25">
      <c r="K619" s="92"/>
      <c r="L619" s="93"/>
      <c r="M619" s="91"/>
      <c r="N619" s="103"/>
      <c r="O619" s="94"/>
      <c r="P619" s="105"/>
      <c r="Y619" s="54"/>
    </row>
    <row r="620" spans="11:25">
      <c r="K620" s="92"/>
      <c r="L620" s="93"/>
      <c r="M620" s="91"/>
      <c r="N620" s="103"/>
      <c r="O620" s="94"/>
      <c r="P620" s="105"/>
      <c r="Y620" s="54"/>
    </row>
    <row r="621" spans="11:25">
      <c r="K621" s="92"/>
      <c r="L621" s="93"/>
      <c r="M621" s="91"/>
      <c r="N621" s="103"/>
      <c r="O621" s="94"/>
      <c r="P621" s="105"/>
      <c r="Y621" s="54"/>
    </row>
    <row r="622" spans="11:25">
      <c r="K622" s="92"/>
      <c r="L622" s="93"/>
      <c r="M622" s="91"/>
      <c r="N622" s="103"/>
      <c r="O622" s="94"/>
      <c r="P622" s="105"/>
      <c r="Y622" s="54"/>
    </row>
    <row r="623" spans="11:25">
      <c r="K623" s="92"/>
      <c r="L623" s="93"/>
      <c r="M623" s="91"/>
      <c r="N623" s="103"/>
      <c r="O623" s="94"/>
      <c r="P623" s="105"/>
      <c r="Y623" s="54"/>
    </row>
    <row r="624" spans="11:25">
      <c r="K624" s="92"/>
      <c r="L624" s="93"/>
      <c r="M624" s="91"/>
      <c r="N624" s="103"/>
      <c r="O624" s="94"/>
      <c r="P624" s="105"/>
      <c r="Y624" s="54"/>
    </row>
    <row r="625" spans="11:25">
      <c r="K625" s="92"/>
      <c r="L625" s="93"/>
      <c r="M625" s="91"/>
      <c r="N625" s="103"/>
      <c r="O625" s="94"/>
      <c r="P625" s="105"/>
      <c r="Y625" s="54"/>
    </row>
    <row r="626" spans="11:25">
      <c r="K626" s="92"/>
      <c r="L626" s="93"/>
      <c r="M626" s="91"/>
      <c r="N626" s="103"/>
      <c r="O626" s="94"/>
      <c r="P626" s="105"/>
      <c r="Y626" s="54"/>
    </row>
    <row r="627" spans="11:25">
      <c r="K627" s="92"/>
      <c r="L627" s="93"/>
      <c r="M627" s="91"/>
      <c r="N627" s="103"/>
      <c r="O627" s="94"/>
      <c r="P627" s="105"/>
      <c r="Y627" s="54"/>
    </row>
    <row r="628" spans="11:25">
      <c r="K628" s="92"/>
      <c r="L628" s="93"/>
      <c r="M628" s="91"/>
      <c r="N628" s="103"/>
      <c r="O628" s="94"/>
      <c r="P628" s="105"/>
      <c r="Y628" s="54"/>
    </row>
    <row r="629" spans="11:25">
      <c r="K629" s="92"/>
      <c r="L629" s="93"/>
      <c r="M629" s="91"/>
      <c r="N629" s="103"/>
      <c r="O629" s="94"/>
      <c r="P629" s="105"/>
      <c r="Y629" s="54"/>
    </row>
    <row r="630" spans="11:25">
      <c r="K630" s="92"/>
      <c r="L630" s="93"/>
      <c r="M630" s="91"/>
      <c r="N630" s="103"/>
      <c r="O630" s="94"/>
      <c r="P630" s="105"/>
      <c r="Y630" s="54"/>
    </row>
    <row r="631" spans="11:25">
      <c r="K631" s="92"/>
      <c r="L631" s="93"/>
      <c r="M631" s="91"/>
      <c r="N631" s="103"/>
      <c r="O631" s="94"/>
      <c r="P631" s="105"/>
      <c r="Y631" s="54"/>
    </row>
    <row r="632" spans="11:25">
      <c r="K632" s="92"/>
      <c r="L632" s="93"/>
      <c r="M632" s="91"/>
      <c r="N632" s="103"/>
      <c r="O632" s="94"/>
      <c r="P632" s="105"/>
      <c r="Y632" s="54"/>
    </row>
    <row r="633" spans="11:25">
      <c r="K633" s="92"/>
      <c r="L633" s="93"/>
      <c r="M633" s="91"/>
      <c r="N633" s="103"/>
      <c r="O633" s="94"/>
      <c r="P633" s="105"/>
      <c r="Y633" s="54"/>
    </row>
    <row r="634" spans="11:25">
      <c r="K634" s="92"/>
      <c r="L634" s="93"/>
      <c r="M634" s="91"/>
      <c r="N634" s="103"/>
      <c r="O634" s="94"/>
      <c r="P634" s="105"/>
      <c r="Y634" s="54"/>
    </row>
    <row r="635" spans="11:25">
      <c r="K635" s="92"/>
      <c r="L635" s="93"/>
      <c r="M635" s="91"/>
      <c r="N635" s="103"/>
      <c r="O635" s="94"/>
      <c r="P635" s="105"/>
      <c r="Y635" s="54"/>
    </row>
    <row r="636" spans="11:25">
      <c r="K636" s="92"/>
      <c r="L636" s="93"/>
      <c r="M636" s="91"/>
      <c r="N636" s="103"/>
      <c r="O636" s="94"/>
      <c r="P636" s="105"/>
      <c r="Y636" s="54"/>
    </row>
    <row r="637" spans="11:25">
      <c r="K637" s="92"/>
      <c r="L637" s="93"/>
      <c r="M637" s="91"/>
      <c r="N637" s="103"/>
      <c r="O637" s="94"/>
      <c r="P637" s="105"/>
      <c r="Y637" s="54"/>
    </row>
  </sheetData>
  <sheetProtection formatCells="0" formatColumns="0" formatRows="0" insertRows="0" insertHyperlinks="0" deleteRows="0" sort="0" autoFilter="0" pivotTables="0"/>
  <protectedRanges>
    <protectedRange sqref="N638:N872 K638:L872" name="区域1_1_1_1"/>
    <protectedRange sqref="O638:O872" name="区域1_1_1_1_1"/>
    <protectedRange sqref="N118:N148" name="区域1_1_1_1_13_1_1"/>
    <protectedRange sqref="N343:N345" name="区域1_1_1_1_2_1"/>
    <protectedRange sqref="N114:N116" name="区域1_1_1_1_13_1_1_1"/>
    <protectedRange sqref="N3:O3 N5 N7 N9 N11 N24:N32 O4:O637" name="区域1_1_1_1_11_1"/>
    <protectedRange sqref="N6 N8 N10 N12:N23 N33:N42 N53:N62 N73:N82" name="区域1_1_1_1_7_1"/>
    <protectedRange sqref="N255 N257 N253" name="区域1_1_1_1_11_1_1_1"/>
    <protectedRange sqref="N254 N256 N258" name="区域1_1_1_1_7_1_2_1"/>
    <protectedRange sqref="N337:N339" name="区域1_1_1_1_13_1_1_1_1"/>
    <protectedRange sqref="N276" name="区域1_1_1_1_7_1_1_1_1"/>
    <protectedRange sqref="N251" name="区域1_1_1_1_11_1_1_1_1_1"/>
    <protectedRange sqref="N252" name="区域1_1_1_1_7_1_1_1_1_1"/>
    <protectedRange sqref="N362:N381" name="区域1_1_1_1_2_1_1_1"/>
  </protectedRanges>
  <autoFilter ref="A2:Y637"/>
  <phoneticPr fontId="2" type="noConversion"/>
  <dataValidations count="1">
    <dataValidation type="custom" allowBlank="1" showInputMessage="1" showErrorMessage="1" errorTitle="注意：" error="摘要长度不能超过25码！" sqref="L1:L1048576">
      <formula1>LENB(L1)&lt;26</formula1>
    </dataValidation>
  </dataValidations>
  <pageMargins left="0.5" right="0.5" top="0.5" bottom="0.5" header="0.5" footer="0.25"/>
  <pageSetup paperSize="9" scale="70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4" r:id="rId4" name="允许修改">
          <controlPr defaultSize="0" autoLine="0" r:id="rId5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1123950</xdr:colOff>
                <xdr:row>0</xdr:row>
                <xdr:rowOff>381000</xdr:rowOff>
              </to>
            </anchor>
          </controlPr>
        </control>
      </mc:Choice>
      <mc:Fallback>
        <control shapeId="34394" r:id="rId4" name="允许修改"/>
      </mc:Fallback>
    </mc:AlternateContent>
    <mc:AlternateContent xmlns:mc="http://schemas.openxmlformats.org/markup-compatibility/2006">
      <mc:Choice Requires="x14">
        <control shapeId="34395" r:id="rId6" name="不允许修改">
          <controlPr defaultSize="0" autoLine="0" r:id="rId7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1114425</xdr:colOff>
                <xdr:row>0</xdr:row>
                <xdr:rowOff>752475</xdr:rowOff>
              </to>
            </anchor>
          </controlPr>
        </control>
      </mc:Choice>
      <mc:Fallback>
        <control shapeId="34395" r:id="rId6" name="不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1133475</xdr:colOff>
                <xdr:row>0</xdr:row>
                <xdr:rowOff>38100</xdr:rowOff>
              </from>
              <to>
                <xdr:col>13</xdr:col>
                <xdr:colOff>447675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JI_budget">
            <anchor moveWithCells="1" sizeWithCells="1">
              <from>
                <xdr:col>11</xdr:col>
                <xdr:colOff>1133475</xdr:colOff>
                <xdr:row>0</xdr:row>
                <xdr:rowOff>381000</xdr:rowOff>
              </from>
              <to>
                <xdr:col>13</xdr:col>
                <xdr:colOff>447675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tabSelected="1" workbookViewId="0">
      <selection activeCell="C16" sqref="C16"/>
    </sheetView>
  </sheetViews>
  <sheetFormatPr defaultRowHeight="12.75"/>
  <sheetData>
    <row r="1" spans="1:1">
      <c r="A1" t="s">
        <v>149</v>
      </c>
    </row>
    <row r="2" spans="1:1">
      <c r="A2" s="119" t="s">
        <v>150</v>
      </c>
    </row>
    <row r="3" spans="1:1">
      <c r="A3" t="s">
        <v>149</v>
      </c>
    </row>
    <row r="4" spans="1:1">
      <c r="A4" s="119" t="s">
        <v>151</v>
      </c>
    </row>
    <row r="5" spans="1:1">
      <c r="A5" t="s">
        <v>149</v>
      </c>
    </row>
    <row r="6" spans="1:1">
      <c r="A6" t="s">
        <v>152</v>
      </c>
    </row>
    <row r="7" spans="1:1">
      <c r="A7" t="s">
        <v>149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7" t="s">
        <v>6</v>
      </c>
      <c r="C1" s="5">
        <v>39820.650995370372</v>
      </c>
      <c r="D1" s="6" t="s">
        <v>10</v>
      </c>
    </row>
    <row r="2" spans="1:4" ht="331.5">
      <c r="A2" t="s">
        <v>2</v>
      </c>
      <c r="B2" s="7" t="s">
        <v>3</v>
      </c>
      <c r="C2" s="5">
        <v>40070.734224537038</v>
      </c>
      <c r="D2" s="6" t="s">
        <v>45</v>
      </c>
    </row>
    <row r="3" spans="1:4" ht="165.75">
      <c r="A3" t="s">
        <v>2</v>
      </c>
      <c r="B3" s="7" t="s">
        <v>7</v>
      </c>
      <c r="C3" s="5">
        <v>39820.598715277774</v>
      </c>
      <c r="D3" s="6" t="s">
        <v>5</v>
      </c>
    </row>
    <row r="4" spans="1:4" ht="204">
      <c r="A4" t="s">
        <v>2</v>
      </c>
      <c r="B4" s="7" t="s">
        <v>8</v>
      </c>
      <c r="C4" s="5">
        <v>39820.65016203704</v>
      </c>
      <c r="D4" s="6" t="s">
        <v>9</v>
      </c>
    </row>
    <row r="5" spans="1:4" ht="255">
      <c r="A5" t="s">
        <v>2</v>
      </c>
      <c r="B5" s="7" t="s">
        <v>12</v>
      </c>
      <c r="C5" s="5">
        <v>40011.462812500002</v>
      </c>
      <c r="D5" s="6" t="s">
        <v>22</v>
      </c>
    </row>
    <row r="6" spans="1:4" ht="255">
      <c r="A6" t="s">
        <v>2</v>
      </c>
      <c r="B6" s="7" t="s">
        <v>13</v>
      </c>
      <c r="C6" s="5">
        <v>40011.463993055557</v>
      </c>
      <c r="D6" s="6" t="s">
        <v>23</v>
      </c>
    </row>
    <row r="7" spans="1:4" ht="255">
      <c r="A7" t="s">
        <v>2</v>
      </c>
      <c r="B7" s="7" t="s">
        <v>14</v>
      </c>
      <c r="C7" s="5">
        <v>40011.464907407404</v>
      </c>
      <c r="D7" s="6" t="s">
        <v>26</v>
      </c>
    </row>
    <row r="8" spans="1:4" ht="255">
      <c r="A8" t="s">
        <v>2</v>
      </c>
      <c r="B8" s="7" t="s">
        <v>15</v>
      </c>
      <c r="C8" s="5">
        <v>40011.46471064815</v>
      </c>
      <c r="D8" s="6" t="s">
        <v>25</v>
      </c>
    </row>
    <row r="9" spans="1:4" ht="255">
      <c r="A9" t="s">
        <v>2</v>
      </c>
      <c r="B9" s="7" t="s">
        <v>16</v>
      </c>
      <c r="C9" s="5">
        <v>40011.464548611111</v>
      </c>
      <c r="D9" s="6" t="s">
        <v>24</v>
      </c>
    </row>
    <row r="10" spans="1:4" ht="255">
      <c r="A10" t="s">
        <v>2</v>
      </c>
      <c r="B10" s="7" t="s">
        <v>17</v>
      </c>
      <c r="C10" s="5">
        <v>40011.465081018519</v>
      </c>
      <c r="D10" s="6" t="s">
        <v>27</v>
      </c>
    </row>
    <row r="11" spans="1:4" ht="255">
      <c r="A11" t="s">
        <v>2</v>
      </c>
      <c r="B11" s="7" t="s">
        <v>18</v>
      </c>
      <c r="C11" s="5">
        <v>40011.465196759258</v>
      </c>
      <c r="D11" s="6" t="s">
        <v>28</v>
      </c>
    </row>
    <row r="12" spans="1:4" ht="255">
      <c r="A12" t="s">
        <v>2</v>
      </c>
      <c r="B12" s="7" t="s">
        <v>19</v>
      </c>
      <c r="C12" s="5">
        <v>40011.46534722222</v>
      </c>
      <c r="D12" s="6" t="s">
        <v>29</v>
      </c>
    </row>
    <row r="13" spans="1:4" ht="255">
      <c r="A13" t="s">
        <v>2</v>
      </c>
      <c r="B13" s="7" t="s">
        <v>20</v>
      </c>
      <c r="C13" s="5">
        <v>40011.465462962966</v>
      </c>
      <c r="D13" s="6" t="s">
        <v>30</v>
      </c>
    </row>
    <row r="14" spans="1:4" ht="255">
      <c r="A14" t="s">
        <v>2</v>
      </c>
      <c r="B14" s="7" t="s">
        <v>21</v>
      </c>
      <c r="C14" s="5">
        <v>40011.465567129628</v>
      </c>
      <c r="D14" s="6" t="s">
        <v>31</v>
      </c>
    </row>
    <row r="15" spans="1:4" ht="178.5">
      <c r="A15" t="s">
        <v>2</v>
      </c>
      <c r="B15" s="7" t="s">
        <v>32</v>
      </c>
      <c r="C15" s="5">
        <v>40401.648449074077</v>
      </c>
      <c r="D15" s="6" t="s">
        <v>106</v>
      </c>
    </row>
    <row r="16" spans="1:4" ht="216.75">
      <c r="A16" t="s">
        <v>2</v>
      </c>
      <c r="B16" s="7" t="s">
        <v>33</v>
      </c>
      <c r="C16" s="5">
        <v>40401.646724537037</v>
      </c>
      <c r="D16" s="6" t="s">
        <v>95</v>
      </c>
    </row>
    <row r="17" spans="1:6" ht="280.5">
      <c r="A17" t="s">
        <v>2</v>
      </c>
      <c r="B17" s="7" t="s">
        <v>34</v>
      </c>
      <c r="C17" s="5">
        <v>40401.646851851852</v>
      </c>
      <c r="D17" s="6" t="s">
        <v>96</v>
      </c>
    </row>
    <row r="18" spans="1:6" ht="280.5">
      <c r="A18" t="s">
        <v>2</v>
      </c>
      <c r="B18" s="7" t="s">
        <v>35</v>
      </c>
      <c r="C18" s="5">
        <v>40401.646944444445</v>
      </c>
      <c r="D18" s="6" t="s">
        <v>97</v>
      </c>
    </row>
    <row r="19" spans="1:6" ht="280.5">
      <c r="A19" t="s">
        <v>2</v>
      </c>
      <c r="B19" s="7" t="s">
        <v>36</v>
      </c>
      <c r="C19" s="5">
        <v>40401.647407407407</v>
      </c>
      <c r="D19" s="6" t="s">
        <v>98</v>
      </c>
    </row>
    <row r="20" spans="1:6" ht="280.5">
      <c r="A20" t="s">
        <v>2</v>
      </c>
      <c r="B20" s="7" t="s">
        <v>37</v>
      </c>
      <c r="C20" s="5">
        <v>40401.647499999999</v>
      </c>
      <c r="D20" s="6" t="s">
        <v>99</v>
      </c>
    </row>
    <row r="21" spans="1:6" ht="280.5">
      <c r="A21" t="s">
        <v>2</v>
      </c>
      <c r="B21" s="7" t="s">
        <v>38</v>
      </c>
      <c r="C21" s="5">
        <v>40401.647581018522</v>
      </c>
      <c r="D21" s="6" t="s">
        <v>100</v>
      </c>
    </row>
    <row r="22" spans="1:6" ht="280.5">
      <c r="A22" t="s">
        <v>2</v>
      </c>
      <c r="B22" s="7" t="s">
        <v>39</v>
      </c>
      <c r="C22" s="5">
        <v>40401.647662037038</v>
      </c>
      <c r="D22" s="6" t="s">
        <v>101</v>
      </c>
    </row>
    <row r="23" spans="1:6" ht="280.5">
      <c r="A23" t="s">
        <v>2</v>
      </c>
      <c r="B23" s="7" t="s">
        <v>40</v>
      </c>
      <c r="C23" s="5">
        <v>40401.647766203707</v>
      </c>
      <c r="D23" s="6" t="s">
        <v>102</v>
      </c>
    </row>
    <row r="24" spans="1:6" ht="280.5">
      <c r="A24" t="s">
        <v>2</v>
      </c>
      <c r="B24" s="7" t="s">
        <v>41</v>
      </c>
      <c r="C24" s="5">
        <v>40401.647870370369</v>
      </c>
      <c r="D24" s="6" t="s">
        <v>103</v>
      </c>
    </row>
    <row r="25" spans="1:6" ht="280.5">
      <c r="A25" t="s">
        <v>2</v>
      </c>
      <c r="B25" s="7" t="s">
        <v>42</v>
      </c>
      <c r="C25" s="5">
        <v>40401.647951388892</v>
      </c>
      <c r="D25" s="6" t="s">
        <v>104</v>
      </c>
    </row>
    <row r="26" spans="1:6" ht="280.5">
      <c r="A26" t="s">
        <v>2</v>
      </c>
      <c r="B26" s="7" t="s">
        <v>43</v>
      </c>
      <c r="C26" s="5">
        <v>40401.648043981484</v>
      </c>
      <c r="D26" s="6" t="s">
        <v>105</v>
      </c>
    </row>
    <row r="27" spans="1:6" ht="191.25">
      <c r="A27" t="s">
        <v>2</v>
      </c>
      <c r="B27" s="7" t="s">
        <v>44</v>
      </c>
      <c r="C27" s="5">
        <v>40401.645196759258</v>
      </c>
      <c r="D27" s="6" t="s">
        <v>94</v>
      </c>
    </row>
    <row r="28" spans="1:6" ht="191.25">
      <c r="A28" t="s">
        <v>0</v>
      </c>
      <c r="B28" s="7" t="s">
        <v>47</v>
      </c>
      <c r="C28" s="5">
        <v>40401.668032407404</v>
      </c>
      <c r="D28" s="9" t="s">
        <v>48</v>
      </c>
    </row>
    <row r="29" spans="1:6" ht="178.5">
      <c r="A29" t="s">
        <v>0</v>
      </c>
      <c r="B29" s="7" t="s">
        <v>49</v>
      </c>
      <c r="C29" s="5">
        <v>40211.569085648145</v>
      </c>
      <c r="D29" s="9" t="s">
        <v>50</v>
      </c>
    </row>
    <row r="30" spans="1:6" ht="382.5">
      <c r="A30" t="s">
        <v>1</v>
      </c>
      <c r="B30" s="7" t="s">
        <v>46</v>
      </c>
      <c r="C30" s="5">
        <v>42674.856782407405</v>
      </c>
      <c r="D30" s="7" t="s">
        <v>124</v>
      </c>
      <c r="E30" s="9" t="s">
        <v>125</v>
      </c>
      <c r="F30" s="9" t="s">
        <v>126</v>
      </c>
    </row>
    <row r="31" spans="1:6" ht="178.5">
      <c r="A31" t="s">
        <v>0</v>
      </c>
      <c r="B31" s="7" t="s">
        <v>51</v>
      </c>
      <c r="C31" s="5">
        <v>40211.591064814813</v>
      </c>
      <c r="D31" s="9" t="s">
        <v>52</v>
      </c>
    </row>
    <row r="32" spans="1:6" ht="395.25">
      <c r="A32" t="s">
        <v>1</v>
      </c>
      <c r="B32" s="7" t="s">
        <v>108</v>
      </c>
      <c r="C32" s="5">
        <v>42674.856898148151</v>
      </c>
      <c r="D32" s="7" t="s">
        <v>127</v>
      </c>
      <c r="E32" s="9" t="s">
        <v>128</v>
      </c>
      <c r="F32" s="9" t="s">
        <v>129</v>
      </c>
    </row>
    <row r="33" spans="1:4">
      <c r="A33" t="s">
        <v>110</v>
      </c>
      <c r="B33" s="7" t="s">
        <v>111</v>
      </c>
      <c r="C33" s="5">
        <v>41243.444756944446</v>
      </c>
      <c r="D33" t="s">
        <v>112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26</vt:i4>
      </vt:variant>
    </vt:vector>
  </HeadingPairs>
  <TitlesOfParts>
    <vt:vector size="29" baseType="lpstr">
      <vt:lpstr>Parameters</vt:lpstr>
      <vt:lpstr>凭证录入</vt:lpstr>
      <vt:lpstr>Sheet1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Zhang, Evans-YF</cp:lastModifiedBy>
  <cp:lastPrinted>2017-12-29T10:40:00Z</cp:lastPrinted>
  <dcterms:created xsi:type="dcterms:W3CDTF">1996-10-14T23:33:28Z</dcterms:created>
  <dcterms:modified xsi:type="dcterms:W3CDTF">2018-06-25T06:38:28Z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</Properties>
</file>